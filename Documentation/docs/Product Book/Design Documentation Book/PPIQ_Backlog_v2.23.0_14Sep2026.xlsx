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ables/table8.xml" ContentType="application/vnd.openxmlformats-officedocument.spreadsheetml.table+xml"/>
  <Override PartName="/xl/worksheets/sheet27.xml" ContentType="application/vnd.openxmlformats-officedocument.spreadsheetml.worksheet+xml"/>
  <Override PartName="/xl/tables/table9.xml" ContentType="application/vnd.openxmlformats-officedocument.spreadsheetml.table+xml"/>
  <Override PartName="/xl/worksheets/sheet28.xml" ContentType="application/vnd.openxmlformats-officedocument.spreadsheetml.worksheet+xml"/>
  <Override PartName="/xl/tables/table10.xml" ContentType="application/vnd.openxmlformats-officedocument.spreadsheetml.table+xml"/>
  <Override PartName="/xl/worksheets/sheet29.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worksheets/sheet30.xml" ContentType="application/vnd.openxmlformats-officedocument.spreadsheetml.worksheet+xml"/>
  <Override PartName="/xl/worksheets/sheet3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6561e44c4c4a8f" /></Relationships>
</file>

<file path=xl/workbook.xml><?xml version="1.0" encoding="utf-8"?>
<x:workbook xmlns:x="http://schemas.openxmlformats.org/spreadsheetml/2006/main">
  <x:sheets>
    <x:sheet xmlns:r="http://schemas.openxmlformats.org/officeDocument/2006/relationships" name="Current Authority" sheetId="1" r:id="R406eac0ebb1f4eb6"/>
    <x:sheet xmlns:r="http://schemas.openxmlformats.org/officeDocument/2006/relationships" name="Backlog" sheetId="2" r:id="R318f4b3856084365"/>
    <x:sheet xmlns:r="http://schemas.openxmlformats.org/officeDocument/2006/relationships" name="Release Plan" sheetId="3" r:id="Rd25cb452ff854dae"/>
    <x:sheet xmlns:r="http://schemas.openxmlformats.org/officeDocument/2006/relationships" name="Worker Tracks" sheetId="4" r:id="R4107531f6848449e"/>
    <x:sheet xmlns:r="http://schemas.openxmlformats.org/officeDocument/2006/relationships" name="Requirement Traceability" sheetId="5" r:id="Rfe1fcd22560c4eb1"/>
    <x:sheet xmlns:r="http://schemas.openxmlformats.org/officeDocument/2006/relationships" name="Dependency Graph" sheetId="6" r:id="Ra9d3b00017374463"/>
    <x:sheet xmlns:r="http://schemas.openxmlformats.org/officeDocument/2006/relationships" name="Prior Baseline Archive" sheetId="7" r:id="Refe73c35a93040de"/>
    <x:sheet xmlns:r="http://schemas.openxmlformats.org/officeDocument/2006/relationships" name="Governance" sheetId="8" r:id="R690e593a5f524cb1"/>
    <x:sheet xmlns:r="http://schemas.openxmlformats.org/officeDocument/2006/relationships" name="Method &amp; Notes" sheetId="13" r:id="Rfdc50b508a744db0"/>
    <x:sheet xmlns:r="http://schemas.openxmlformats.org/officeDocument/2006/relationships" name="Commit Ledger" sheetId="14" r:id="R76048a20bcbe4c9e"/>
    <x:sheet xmlns:r="http://schemas.openxmlformats.org/officeDocument/2006/relationships" name="Backlog Change Log" sheetId="15" r:id="Rf806894a189e4adf"/>
    <x:sheet xmlns:r="http://schemas.openxmlformats.org/officeDocument/2006/relationships" name="Verified Task Ledger" sheetId="16" r:id="R0bb706311a384d74"/>
    <x:sheet xmlns:r="http://schemas.openxmlformats.org/officeDocument/2006/relationships" name="Phase Worker v220" sheetId="19" r:id="Rd1d13ca540f646e7"/>
    <x:sheet xmlns:r="http://schemas.openxmlformats.org/officeDocument/2006/relationships" name="Dashboard v220" sheetId="20" r:id="R82be86ae1a514f91"/>
    <x:sheet xmlns:r="http://schemas.openxmlformats.org/officeDocument/2006/relationships" name="Capability Map v1.1" sheetId="21" r:id="R27a76025c4004bcd"/>
    <x:sheet xmlns:r="http://schemas.openxmlformats.org/officeDocument/2006/relationships" name="Retired Tasks v222" sheetId="22" r:id="R45766ed9150b4979"/>
    <x:sheet xmlns:r="http://schemas.openxmlformats.org/officeDocument/2006/relationships" name="Revision Changes v222" sheetId="23" r:id="Rf69f323914d14540"/>
    <x:sheet xmlns:r="http://schemas.openxmlformats.org/officeDocument/2006/relationships" name="Phase Worker v222" sheetId="24" r:id="Re7510d202b6f45cd"/>
    <x:sheet xmlns:r="http://schemas.openxmlformats.org/officeDocument/2006/relationships" name="Prior Notes v222" sheetId="25" r:id="R274a47d8b9e949d4"/>
    <x:sheet xmlns:r="http://schemas.openxmlformats.org/officeDocument/2006/relationships" name="Dashboard v222" sheetId="26" r:id="R4c5286ff5bd5489c"/>
    <x:sheet xmlns:r="http://schemas.openxmlformats.org/officeDocument/2006/relationships" name="Contract Handoffs" sheetId="27" r:id="R049e30836fea46e1"/>
    <x:sheet xmlns:r="http://schemas.openxmlformats.org/officeDocument/2006/relationships" name="Estimate Review" sheetId="28" r:id="R0c23593ad0524203"/>
    <x:sheet xmlns:r="http://schemas.openxmlformats.org/officeDocument/2006/relationships" name="Repair Changes v2221" sheetId="29" r:id="R584c283dfec24155"/>
    <x:sheet xmlns:r="http://schemas.openxmlformats.org/officeDocument/2006/relationships" name="External Prerequisites" sheetId="30" r:id="R2783166bb27e4b1a"/>
    <x:sheet xmlns:r="http://schemas.openxmlformats.org/officeDocument/2006/relationships" name="Secondary Capability Links" sheetId="31" r:id="R70be5e69fd3e43da"/>
    <x:sheet xmlns:r="http://schemas.openxmlformats.org/officeDocument/2006/relationships" name="UI Coverage v223" sheetId="32" r:id="R7a42a2c2b1ee456e"/>
    <x:sheet xmlns:r="http://schemas.openxmlformats.org/officeDocument/2006/relationships" name="UI Controls v223" sheetId="33" r:id="Rd70255de467440ed"/>
    <x:sheet xmlns:r="http://schemas.openxmlformats.org/officeDocument/2006/relationships" name="Changes v223" sheetId="34" r:id="Rd21b576710904ce2"/>
    <x:sheet xmlns:r="http://schemas.openxmlformats.org/officeDocument/2006/relationships" name="UI Delivery v223" sheetId="35" r:id="R8470aeab58784dc4"/>
    <x:sheet xmlns:r="http://schemas.openxmlformats.org/officeDocument/2006/relationships" name="Book Register" sheetId="36" r:id="R55c7d2fc12bf4398"/>
    <x:sheet xmlns:r="http://schemas.openxmlformats.org/officeDocument/2006/relationships" name="Book Validation" sheetId="37" r:id="R4a15dbdd7cd44041"/>
  </x:sheets>
</x:workbook>
</file>

<file path=xl/sharedStrings.xml><?xml version="1.0" encoding="utf-8"?>
<x:sst xmlns:x="http://schemas.openxmlformats.org/spreadsheetml/2006/main">
  <x:si>
    <x:t xml:space="preserve">Requirement family</x:t>
  </x:si>
  <x:si>
    <x:t xml:space="preserve">Design authority</x:t>
  </x:si>
  <x:si>
    <x:t xml:space="preserve">M2 Release 1</x:t>
  </x:si>
  <x:si>
    <x:t xml:space="preserve">M3 Release 2</x:t>
  </x:si>
  <x:si>
    <x:t xml:space="preserve">Primary tasks</x:t>
  </x:si>
  <x:si>
    <x:t xml:space="preserve">M2 acceptance</x:t>
  </x:si>
  <x:si>
    <x:t xml:space="preserve">M3 acceptance</x:t>
  </x:si>
  <x:si>
    <x:t xml:space="preserve">Customer use</x:t>
  </x:si>
  <x:si>
    <x:t xml:space="preserve">Mirror state</x:t>
  </x:si>
  <x:si>
    <x:t xml:space="preserve">Ruling</x:t>
  </x:si>
  <x:si>
    <x:t xml:space="preserve">DB Link / external databases</x:t>
  </x:si>
  <x:si>
    <x:t xml:space="preserve">Ch3 4.5 + Ch4 5.0.0</x:t>
  </x:si>
  <x:si>
    <x:t xml:space="preserve">Day-1 production</x:t>
  </x:si>
  <x:si>
    <x:t xml:space="preserve">Scale/certification</x:t>
  </x:si>
  <x:si>
    <x:t xml:space="preserve">T-207; T-247; T-254; T-095..105</x:t>
  </x:si>
  <x:si>
    <x:t xml:space="preserve">Connect→browse→preview→map→import→canonical with no product-code diff; capability/certification copy comes from one executable truth</x:t>
  </x:si>
  <x:si>
    <x:t xml:space="preserve">Real-source endurance and complex relationship certification</x:t>
  </x:si>
  <x:si>
    <x:t xml:space="preserve">Customer IT day 1</x:t>
  </x:si>
  <x:si>
    <x:t xml:space="preserve">MIRRORED</x:t>
  </x:si>
  <x:si>
    <x:t xml:space="preserve">M2 first priority</x:t>
  </x:si>
  <x:si>
    <x:t xml:space="preserve">Canvas / SQL / data preparation</x:t>
  </x:si>
  <x:si>
    <x:t xml:space="preserve">Ch4 5.0.0 + 5.2</x:t>
  </x:si>
  <x:si>
    <x:t xml:space="preserve">Day-1 production core</x:t>
  </x:si>
  <x:si>
    <x:t xml:space="preserve">Advanced authoring parity</x:t>
  </x:si>
  <x:si>
    <x:t xml:space="preserve">T-241..246; T-253; T-248</x:t>
  </x:si>
  <x:si>
    <x:t xml:space="preserve">Typed Canvas/SQL, governed output target, validate/dry-run, save/version, Job bind; no hardcoded plant/material output identity</x:t>
  </x:si>
  <x:si>
    <x:t xml:space="preserve">Scoped measure, named states, advanced story/export/subflow parity</x:t>
  </x:si>
  <x:si>
    <x:t xml:space="preserve">No unbounded loops</x:t>
  </x:si>
  <x:si>
    <x:t xml:space="preserve">Jobs / scheduling / logs</x:t>
  </x:si>
  <x:si>
    <x:t xml:space="preserve">Ch4 5.3 + Ch6 runtime</x:t>
  </x:si>
  <x:si>
    <x:t xml:space="preserve">Day-1 run/schedule/monitor/log</x:t>
  </x:si>
  <x:si>
    <x:t xml:space="preserve">High-volume lanes/capacity</x:t>
  </x:si>
  <x:si>
    <x:t xml:space="preserve">T-106..111; T-125; T-245; T-227</x:t>
  </x:si>
  <x:si>
    <x:t xml:space="preserve">Registered executors, target/version, DAG, bounded admission/parallelism, run/monitor/log with mandatory run identity</x:t>
  </x:si>
  <x:si>
    <x:t xml:space="preserve">Capacity, scan amplification, checkpoint/resume under heavy load</x:t>
  </x:si>
  <x:si>
    <x:t xml:space="preserve">Core in M2, scale in M3</x:t>
  </x:si>
  <x:si>
    <x:t xml:space="preserve">Enterprise BI/HMI</x:t>
  </x:si>
  <x:si>
    <x:t xml:space="preserve">Ch3 pages + Ch4 5.0.0/5.1</x:t>
  </x:si>
  <x:si>
    <x:t xml:space="preserve">Enterprise core</x:t>
  </x:si>
  <x:si>
    <x:t xml:space="preserve">Advanced parity</x:t>
  </x:si>
  <x:si>
    <x:t xml:space="preserve">T-148; T-202..205; T-212; T-215; T-222; T-250; T-257; T-258; T-248</x:t>
  </x:si>
  <x:si>
    <x:t xml:space="preserve">Associative/persisted enterprise core, frontend execution truth, and generic customer HMI with material-specific surfaces bounded to presentation compatibility; advanced BI parity in Release 2.</x:t>
  </x:si>
  <x:si>
    <x:t xml:space="preserve">75-item matrix fully closed incl advanced states/story/export</x:t>
  </x:si>
  <x:si>
    <x:t xml:space="preserve">All users day 1</x:t>
  </x:si>
  <x:si>
    <x:t xml:space="preserve">Qlik-class outcome, PPIQ semantics</x:t>
  </x:si>
  <x:si>
    <x:t xml:space="preserve">Production OPC UA</x:t>
  </x:si>
  <x:si>
    <x:t xml:space="preserve">Ch2 OT boundary + Ch6 edge</x:t>
  </x:si>
  <x:si>
    <x:t xml:space="preserve">Read-only production path</x:t>
  </x:si>
  <x:si>
    <x:t xml:space="preserve">Endurance/certification</x:t>
  </x:si>
  <x:si>
    <x:t xml:space="preserve">T-207; T-224..226; T-153</x:t>
  </x:si>
  <x:si>
    <x:t xml:space="preserve">Real session/browse/subscription/quality/timestamps/spool-to-canonical</x:t>
  </x:si>
  <x:si>
    <x:t xml:space="preserve">Real-source endurance and site certification</x:t>
  </x:si>
  <x:si>
    <x:t xml:space="preserve">Operations week 1</x:t>
  </x:si>
  <x:si>
    <x:t xml:space="preserve">No fake sample claim</x:t>
  </x:si>
  <x:si>
    <x:t xml:space="preserve">Performance Reference</x:t>
  </x:si>
  <x:si>
    <x:t xml:space="preserve">Ch3/Ch4 reference authority</x:t>
  </x:si>
  <x:si>
    <x:t xml:space="preserve">Visible and usable</x:t>
  </x:si>
  <x:si>
    <x:t xml:space="preserve">Deeper scale/authoring</x:t>
  </x:si>
  <x:si>
    <x:t xml:space="preserve">T-214; T-232; T-215</x:t>
  </x:si>
  <x:si>
    <x:t xml:space="preserve">Customer standard/target/envelope visible with correct scoring direction</x:t>
  </x:si>
  <x:si>
    <x:t xml:space="preserve">Advanced authoring and large-scale governance</x:t>
  </x:si>
  <x:si>
    <x:t xml:space="preserve">Operations/Quality</x:t>
  </x:si>
  <x:si>
    <x:t xml:space="preserve">Reference can be 100% aim</x:t>
  </x:si>
  <x:si>
    <x:t xml:space="preserve">Reconciliation / root cause</x:t>
  </x:si>
  <x:si>
    <x:t xml:space="preserve">Ch3/Ch4 evidence authority</x:t>
  </x:si>
  <x:si>
    <x:t xml:space="preserve">Historical + live evidence</x:t>
  </x:si>
  <x:si>
    <x:t xml:space="preserve">Persisted/advanced</x:t>
  </x:si>
  <x:si>
    <x:t xml:space="preserve">T-217..223; T-221</x:t>
  </x:si>
  <x:si>
    <x:t xml:space="preserve">Seven evidence states + causal confidence + grounded explanation</x:t>
  </x:si>
  <x:si>
    <x:t xml:space="preserve">Canonical persistence at scale and richer workflows</x:t>
  </x:si>
  <x:si>
    <x:t xml:space="preserve">Never claim human intent/lie</x:t>
  </x:si>
  <x:si>
    <x:t xml:space="preserve">Assistant / LLM</x:t>
  </x:si>
  <x:si>
    <x:t xml:space="preserve">Ch4 Layer-B + Assistant contracts</x:t>
  </x:si>
  <x:si>
    <x:t xml:space="preserve">Grounded investigation</x:t>
  </x:si>
  <x:si>
    <x:t xml:space="preserve">InsightBoard composition</x:t>
  </x:si>
  <x:si>
    <x:t xml:space="preserve">T-179..181; T-223; T-138; T-228..230</x:t>
  </x:si>
  <x:si>
    <x:t xml:space="preserve">Governed tools/evidence; no material-specific KPI authority; provider labels require concrete adapters/conformance</x:t>
  </x:si>
  <x:si>
    <x:t xml:space="preserve">Auto-generated governed investigation boards</x:t>
  </x:si>
  <x:si>
    <x:t xml:space="preserve">All analytical users</x:t>
  </x:si>
  <x:si>
    <x:t xml:space="preserve">LLM never invents plant numbers</x:t>
  </x:si>
  <x:si>
    <x:t xml:space="preserve">Multi-objective best practice</x:t>
  </x:si>
  <x:si>
    <x:t xml:space="preserve">Ch4 practice intelligence</x:t>
  </x:si>
  <x:si>
    <x:t xml:space="preserve">Foundation available</x:t>
  </x:si>
  <x:si>
    <x:t xml:space="preserve">Full Pareto/product integration</x:t>
  </x:si>
  <x:si>
    <x:t xml:space="preserve">T-171..176; T-238..240</x:t>
  </x:si>
  <x:si>
    <x:t xml:space="preserve">Underlying kernels available; not Release-1 blocker</x:t>
  </x:si>
  <x:si>
    <x:t xml:space="preserve">Objective sets, Pareto/non-dominance, trade-off explanation</x:t>
  </x:si>
  <x:si>
    <x:t xml:space="preserve">Operations/CEO</x:t>
  </x:si>
  <x:si>
    <x:t xml:space="preserve">No hidden weights</x:t>
  </x:si>
  <x:si>
    <x:t xml:space="preserve">Transition / stabilisation</x:t>
  </x:si>
  <x:si>
    <x:t xml:space="preserve">Ch3/Ch4 regime context</x:t>
  </x:si>
  <x:si>
    <x:t xml:space="preserve">Correctness gate</x:t>
  </x:si>
  <x:si>
    <x:t xml:space="preserve">Scale/learning integration</x:t>
  </x:si>
  <x:si>
    <x:t xml:space="preserve">T-234..236; T-235</x:t>
  </x:si>
  <x:si>
    <x:t xml:space="preserve">Findings state stable/transition/stabilising/mixed and refuse unsafe pooling</x:t>
  </x:si>
  <x:si>
    <x:t xml:space="preserve">Extended real-data calibration</x:t>
  </x:si>
  <x:si>
    <x:t xml:space="preserve">Prevents confident wrong correlation</x:t>
  </x:si>
  <x:si>
    <x:t xml:space="preserve">Financial value / ROI</x:t>
  </x:si>
  <x:si>
    <x:t xml:space="preserve">Ch1 value promise + Ch4/Ch6 Value Engine</x:t>
  </x:si>
  <x:si>
    <x:t xml:space="preserve">Existing potential-value evidence may be shown bounded</x:t>
  </x:si>
  <x:si>
    <x:t xml:space="preserve">Customer-grade realised ROI</x:t>
  </x:si>
  <x:si>
    <x:t xml:space="preserve">T-164; existing value engine + T-237</x:t>
  </x:si>
  <x:si>
    <x:t xml:space="preserve">No ungoverned monetary promise</x:t>
  </x:si>
  <x:si>
    <x:t xml:space="preserve">Real assumptions, realised-value ledger, heavy-use value certification</x:t>
  </x:si>
  <x:si>
    <x:t xml:space="preserve">CEO</x:t>
  </x:si>
  <x:si>
    <x:t xml:space="preserve">M3 owns customer-certified €/$ value</x:t>
  </x:si>
  <x:si>
    <x:t xml:space="preserve">Users / roles / licence / security</x:t>
  </x:si>
  <x:si>
    <x:t xml:space="preserve">Ch3/Ch6 administration/security</x:t>
  </x:si>
  <x:si>
    <x:t xml:space="preserve">Minimum production-safe controls</x:t>
  </x:si>
  <x:si>
    <x:t xml:space="preserve">Deep enterprise administration</x:t>
  </x:si>
  <x:si>
    <x:t xml:space="preserve">T-112..121; T-161..162; T-198..200</x:t>
  </x:si>
  <x:si>
    <x:t xml:space="preserve">RLS behavioral proof, fail-closed eight-role mapping, vendor-held licence trust root, secret/config/MFA hygiene</x:t>
  </x:si>
  <x:si>
    <x:t xml:space="preserve">SSO, advanced admin/logging/retention/site hardening</x:t>
  </x:si>
  <x:si>
    <x:t xml:space="preserve">Admin/IT</x:t>
  </x:si>
  <x:si>
    <x:t xml:space="preserve">Important but not allowed to starve Day-1 workbench</x:t>
  </x:si>
  <x:si>
    <x:t xml:space="preserve">Database schema authority / physical dictionary</x:t>
  </x:si>
  <x:si>
    <x:t xml:space="preserve">Ch3 4.5.2/4.5.5b/4.5.20a</x:t>
  </x:si>
  <x:si>
    <x:t xml:space="preserve">Zero-unknown fresh schema + upgrade reconciliation</x:t>
  </x:si>
  <x:si>
    <x:t xml:space="preserve">Heavy-use schema evolution and compatibility-safe convergence</x:t>
  </x:si>
  <x:si>
    <x:t xml:space="preserve">T-087; T-088; T-115; T-123; T-251; T-252; T-256; T-258</x:t>
  </x:si>
  <x:si>
    <x:t xml:space="preserve">Zero-unknown physical catalogue + disposable certification DBs + backend runtime three-schema/genericity convergence + frontend consumer handoff with no cross-owner mutation.</x:t>
  </x:si>
  <x:si>
    <x:t xml:space="preserve">Schema evolution remains generated, reversible where possible and customer-operable at scale</x:t>
  </x:si>
  <x:si>
    <x:t xml:space="preserve">Developer + Customer IT</x:t>
  </x:si>
  <x:si>
    <x:t xml:space="preserve">Table count is not a defect; unowned/undocumented authority is.</x:t>
  </x:si>
  <x:si>
    <x:t xml:space="preserve">Repository / audit / release-truth source authority</x:t>
  </x:si>
  <x:si>
    <x:t xml:space="preserve">Governance + Ch6 release truth</x:t>
  </x:si>
  <x:si>
    <x:t xml:space="preserve">Forward-clean source authority and truthful executed gates</x:t>
  </x:si>
  <x:si>
    <x:t xml:space="preserve">Sustained release governance</x:t>
  </x:si>
  <x:si>
    <x:t xml:space="preserve">T-205; T-250; T-255; T-257; T-150; T-249</x:t>
  </x:si>
  <x:si>
    <x:t xml:space="preserve">Root allowlist; no transient run-state/pack payload; audit severity excludes self/backups/generated; gate scripts execute, release profile zero unapproved skips</x:t>
  </x:si>
  <x:si>
    <x:t xml:space="preserve">Same rules remain green under Release-2 production certification</x:t>
  </x:si>
  <x:si>
    <x:t xml:space="preserve">Developer / Customer IT</x:t>
  </x:si>
  <x:si>
    <x:t xml:space="preserve">No mass-renaming of grandfathered task-ID files; forward gate prevents new violations</x:t>
  </x:si>
  <x:si>
    <x:t xml:space="preserve">Historical / Superseded Task Evidence — not current execution authority</x:t>
  </x:si>
  <x:si>
    <x:t xml:space="preserve">Task Id</x:t>
  </x:si>
  <x:si>
    <x:t xml:space="preserve">Task Name</x:t>
  </x:si>
  <x:si>
    <x:t xml:space="preserve">Historical status</x:t>
  </x:si>
  <x:si>
    <x:t xml:space="preserve">Hours</x:t>
  </x:si>
  <x:si>
    <x:t xml:space="preserve">Evidence / Commit</x:t>
  </x:si>
  <x:si>
    <x:t xml:space="preserve">Archive ruling</x:t>
  </x:si>
  <x:si>
    <x:t xml:space="preserve">Column1</x:t>
  </x:si>
  <x:si>
    <x:t xml:space="preserve">Column2</x:t>
  </x:si>
  <x:si>
    <x:t xml:space="preserve">T-001</x:t>
  </x:si>
  <x:si>
    <x:t xml:space="preserve">Build the six-beat Design Traceability Matrix</x:t>
  </x:si>
  <x:si>
    <x:t xml:space="preserve">Done</x:t>
  </x:si>
  <x:si>
    <x:t xml:space="preserve">Historical baseline evidence only; not current execution authority.</x:t>
  </x:si>
  <x:si>
    <x:t xml:space="preserve">T-002</x:t>
  </x:si>
  <x:si>
    <x:t xml:space="preserve">Audit every presented route and control against the Chapter 3 page inventory</x:t>
  </x:si>
  <x:si>
    <x:t xml:space="preserve">T-003</x:t>
  </x:si>
  <x:si>
    <x:t xml:space="preserve">Lock the presentation profile as a data profile, not a branch</x:t>
  </x:si>
  <x:si>
    <x:t xml:space="preserve">T-004</x:t>
  </x:si>
  <x:si>
    <x:t xml:space="preserve">Create the M1 acceptance checklist and evidence folder</x:t>
  </x:si>
  <x:si>
    <x:t xml:space="preserve">T-005</x:t>
  </x:si>
  <x:si>
    <x:t xml:space="preserve">Rebuild ppiq_presentation into scratch and diff against live</x:t>
  </x:si>
  <x:si>
    <x:t xml:space="preserve">T-006</x:t>
  </x:si>
  <x:si>
    <x:t xml:space="preserve">Convert every diff finding into a seed or migration script</x:t>
  </x:si>
  <x:si>
    <x:t xml:space="preserve">T-007</x:t>
  </x:si>
  <x:si>
    <x:t xml:space="preserve">Presentation Phenomena and Widget Coverage Matrix, 
part 1: inventory and the 36-chart blueprint</x:t>
  </x:si>
  <x:si>
    <x:t xml:space="preserve">T-008</x:t>
  </x:si>
  <x:si>
    <x:t xml:space="preserve">Presentation Phenomena and Widget Coverage Matrix, part 2: map, classify, close</x:t>
  </x:si>
  <x:si>
    <x:t xml:space="preserve">T-009</x:t>
  </x:si>
  <x:si>
    <x:t xml:space="preserve">Downtime two-quantity contract: final schema and domain slice</x:t>
  </x:si>
  <x:si>
    <x:t xml:space="preserve">T-010</x:t>
  </x:si>
  <x:si>
    <x:t xml:space="preserve">Run the canonical semantic path end to end through the M1 compatibility boundaries</x:t>
  </x:si>
  <x:si>
    <x:t xml:space="preserve">T-011</x:t>
  </x:si>
  <x:si>
    <x:t xml:space="preserve">Establish and fix the architecture test pool reliability</x:t>
  </x:si>
  <x:si>
    <x:t xml:space="preserve">T-012</x:t>
  </x:si>
  <x:si>
    <x:t xml:space="preserve">Canonicalise the JourneyRail to J1 to J15</x:t>
  </x:si>
  <x:si>
    <x:t xml:space="preserve">T-013</x:t>
  </x:si>
  <x:si>
    <x:t xml:space="preserve">Three-way source reconciliation: KEEP, EXTEND or ADD</x:t>
  </x:si>
  <x:si>
    <x:t xml:space="preserve">T-014</x:t>
  </x:si>
  <x:si>
    <x:t xml:space="preserve">Capture the current source-shaped donor schemas in a committed generator</x:t>
  </x:si>
  <x:si>
    <x:t xml:space="preserve">T-015</x:t>
  </x:si>
  <x:si>
    <x:t xml:space="preserve">Presentation Fleet v2 target specification</x:t>
  </x:si>
  <x:si>
    <x:t xml:space="preserve">T-016</x:t>
  </x:si>
  <x:si>
    <x:t xml:space="preserve">Extend the generator: defect catalogue and chemistry elements</x:t>
  </x:si>
  <x:si>
    <x:t xml:space="preserve">T-017</x:t>
  </x:si>
  <x:si>
    <x:t xml:space="preserve">Extend the generator: grade specification, and shift as BEHAVIOUR</x:t>
  </x:si>
  <x:si>
    <x:t xml:space="preserve">T-018</x:t>
  </x:si>
  <x:si>
    <x:t xml:space="preserve">Extend the generator: downtime two quantities and buffer posture</x:t>
  </x:si>
  <x:si>
    <x:t xml:space="preserve">T-019</x:t>
  </x:si>
  <x:si>
    <x:t xml:space="preserve">Shift and crew operating-practice regimes</x:t>
  </x:si>
  <x:si>
    <x:t xml:space="preserve">T-020</x:t>
  </x:si>
  <x:si>
    <x:t xml:space="preserve">Post-maintenance recovery and campaign-ageing regimes</x:t>
  </x:si>
  <x:si>
    <x:t xml:space="preserve">T-021</x:t>
  </x:si>
  <x:si>
    <x:t xml:space="preserve">Equipment personality and temporal regime changes</x:t>
  </x:si>
  <x:si>
    <x:t xml:space="preserve">T-022</x:t>
  </x:si>
  <x:si>
    <x:t xml:space="preserve">Merge the best existing material into one Fleet v2 truth</x:t>
  </x:si>
  <x:si>
    <x:t xml:space="preserve">T-023</x:t>
  </x:si>
  <x:si>
    <x:t xml:space="preserve">Scale Fleet v2 to the target plant size</x:t>
  </x:si>
  <x:si>
    <x:t xml:space="preserve">T-024</x:t>
  </x:si>
  <x:si>
    <x:t xml:space="preserve">Emit and populate the presentation canonical operational entities</x:t>
  </x:si>
  <x:si>
    <x:t xml:space="preserve">T-025</x:t>
  </x:si>
  <x:si>
    <x:t xml:space="preserve">Compute and populate the presentation analysis entities with the real engines</x:t>
  </x:si>
  <x:si>
    <x:t xml:space="preserve">T-026</x:t>
  </x:si>
  <x:si>
    <x:t xml:space="preserve">Phenomenon test harness: manifest schema and runner</x:t>
  </x:si>
  <x:si>
    <x:t xml:space="preserve">T-027</x:t>
  </x:si>
  <x:si>
    <x:t xml:space="preserve">Populate the manifest and prove every phenomenon</x:t>
  </x:si>
  <x:si>
    <x:t xml:space="preserve">T-028</x:t>
  </x:si>
  <x:si>
    <x:t xml:space="preserve">Verify the confounded correlation and the insufficient-support refusal</x:t>
  </x:si>
  <x:si>
    <x:t xml:space="preserve">T-029</x:t>
  </x:si>
  <x:si>
    <x:t xml:space="preserve">Five-layer realism audit of the emulated plant</x:t>
  </x:si>
  <x:si>
    <x:t xml:space="preserve">T-030</x:t>
  </x:si>
  <x:si>
    <x:t xml:space="preserve">Emit and populate the presentation staging representation, source-shaped</x:t>
  </x:si>
  <x:si>
    <x:t xml:space="preserve">T-031</x:t>
  </x:si>
  <x:si>
    <x:t xml:space="preserve">Certify cross-layer consistency and retire the obsolete donor state</x:t>
  </x:si>
  <x:si>
    <x:t xml:space="preserve">T-032</x:t>
  </x:si>
  <x:si>
    <x:t xml:space="preserve">Shared Authoring Shell, part 1: the shell contract and the four regions</x:t>
  </x:si>
  <x:si>
    <x:t xml:space="preserve">T-033</x:t>
  </x:si>
  <x:si>
    <x:t xml:space="preserve">Shared Authoring Shell, part 2: relational block grammar on the board</x:t>
  </x:si>
  <x:si>
    <x:t xml:space="preserve">T-034</x:t>
  </x:si>
  <x:si>
    <x:t xml:space="preserve">Registry-driven schema, table and attribute tree</x:t>
  </x:si>
  <x:si>
    <x:t xml:space="preserve">T-035</x:t>
  </x:si>
  <x:si>
    <x:t xml:space="preserve">Compiled-SQL pane and debug log with rows and cost</x:t>
  </x:si>
  <x:si>
    <x:t xml:space="preserve">T-036</x:t>
  </x:si>
  <x:si>
    <x:t xml:space="preserve">SQL mode: safe editor, run test, returned columns and the reconstructability rule</x:t>
  </x:si>
  <x:si>
    <x:t xml:space="preserve">T-037</x:t>
  </x:si>
  <x:si>
    <x:t xml:space="preserve">Certify returned-column role mapping inside the S2 shell</x:t>
  </x:si>
  <x:si>
    <x:t xml:space="preserve">T-038</x:t>
  </x:si>
  <x:si>
    <x:t xml:space="preserve">Add Widget and Edit Widget open the shared shell in S2 mode</x:t>
  </x:si>
  <x:si>
    <x:t xml:space="preserve">T-039</x:t>
  </x:si>
  <x:si>
    <x:t xml:space="preserve">Final definition service interface with a compatibility adapter</x:t>
  </x:si>
  <x:si>
    <x:t xml:space="preserve">T-040</x:t>
  </x:si>
  <x:si>
    <x:t xml:space="preserve">Authoring states, keyboard path, RTL and error wording</x:t>
  </x:si>
  <x:si>
    <x:t xml:space="preserve">T-041</x:t>
  </x:si>
  <x:si>
    <x:t xml:space="preserve">D2 Page Builder, part 1: create a page and reach the shared shell</x:t>
  </x:si>
  <x:si>
    <x:t xml:space="preserve">T-042</x:t>
  </x:si>
  <x:si>
    <x:t xml:space="preserve">D2 Page Builder, part 2: arrange, save layout and publish</x:t>
  </x:si>
  <x:si>
    <x:t xml:space="preserve">T-043</x:t>
  </x:si>
  <x:si>
    <x:t xml:space="preserve">Bring the workspace to the final D1 anatomy</x:t>
  </x:si>
  <x:si>
    <x:t xml:space="preserve">T-044</x:t>
  </x:si>
  <x:si>
    <x:t xml:space="preserve">Certify the three operational dashboards and fix their bindings</x:t>
  </x:si>
  <x:si>
    <x:t xml:space="preserve">f966719f functional/data closure + 55157a98 EF/runtime migration parity</x:t>
  </x:si>
  <x:si>
    <x:t xml:space="preserve">T-045</x:t>
  </x:si>
  <x:si>
    <x:t xml:space="preserve">Certify the analysis and model dashboards and choose the six shown</x:t>
  </x:si>
  <x:si>
    <x:t xml:space="preserve">T-045-R1 closed: c56008c0 / dd9a6b04 / 39ce59ef / 283aae2c</x:t>
  </x:si>
  <x:si>
    <x:t xml:space="preserve">T-046</x:t>
  </x:si>
  <x:si>
    <x:t xml:space="preserve">Register the final chart grammar and implement the presentation subset</x:t>
  </x:si>
  <x:si>
    <x:t xml:space="preserve">56ade951 R1 generic heatmap/combo; prior grammar fc146483</x:t>
  </x:si>
  <x:si>
    <x:t xml:space="preserve">T-047</x:t>
  </x:si>
  <x:si>
    <x:t xml:space="preserve">Give the seven pages distinct visual grammars from the registered grammar</x:t>
  </x:si>
  <x:si>
    <x:t xml:space="preserve">4b431463 semantic/data certification + 3cdd3a23 frontend conformance</x:t>
  </x:si>
  <x:si>
    <x:t xml:space="preserve">T-048</x:t>
  </x:si>
  <x:si>
    <x:t xml:space="preserve">Associative model, part 1: the alternative state and registry-driven fields</x:t>
  </x:si>
  <x:si>
    <x:t xml:space="preserve">b687cba4 associative selection states</x:t>
  </x:si>
  <x:si>
    <x:t xml:space="preserve">T-049</x:t>
  </x:si>
  <x:si>
    <x:t xml:space="preserve">Certify layout drag, resize, save, reload and responsive behaviour</x:t>
  </x:si>
  <x:si>
    <x:t xml:space="preserve">16-Aug-2026 R1–R4: auth/license + canonical persistence green; current work is final test isolation/oracle convergence, not backend persistence.</x:t>
  </x:si>
  <x:si>
    <x:t xml:space="preserve">F-070 — Each viewport must snapshot/restore its original layout in finally, mutate relative to its starting state, use PATCH canonical as authoritative changed state, poll DOM to converge after save/reload, and then restore baseline. No more diagnostic-only packs.</x:t>
  </x:si>
  <x:si>
    <x:t xml:space="preserve">T-050</x:t>
  </x:si>
  <x:si>
    <x:t xml:space="preserve">Drill to population, provenance and evidence</x:t>
  </x:si>
  <x:si>
    <x:t xml:space="preserve">T-051</x:t>
  </x:si>
  <x:si>
    <x:t xml:space="preserve">Widget failure isolation and the seven states</x:t>
  </x:si>
  <x:si>
    <x:t xml:space="preserve">T-052</x:t>
  </x:si>
  <x:si>
    <x:t xml:space="preserve">Remove the hardcoded parameter default from the API client</x:t>
  </x:si>
  <x:si>
    <x:t xml:space="preserve">T-053</x:t>
  </x:si>
  <x:si>
    <x:t xml:space="preserve">Reduce the demonstration navigation and add the inventory ratchet</x:t>
  </x:si>
  <x:si>
    <x:t xml:space="preserve">Frozen</x:t>
  </x:si>
  <x:si>
    <x:t xml:space="preserve">Do not continue as M1 content. Preserve generic correctness findings only; execute them through named M2-P0/product-truth owners. | M1 programme scope frozen after the successful 21-Aug-2026 customer presentation. Prior live status was Not Started. Do not schedule this presentation-era task. Any reusable generic requirement must be owned by an M2 task.</x:t>
  </x:si>
  <x:si>
    <x:t xml:space="preserve">T-054</x:t>
  </x:si>
  <x:si>
    <x:t xml:space="preserve">J4 Connections: read-only proof and load budget made visible</x:t>
  </x:si>
  <x:si>
    <x:t xml:space="preserve">T-055</x:t>
  </x:si>
  <x:si>
    <x:t xml:space="preserve">J5 and J6 Dataset registry browse and watermark suggestion</x:t>
  </x:si>
  <x:si>
    <x:t xml:space="preserve">T-056</x:t>
  </x:si>
  <x:si>
    <x:t xml:space="preserve">J6 Import progress visibility</x:t>
  </x:si>
  <x:si>
    <x:t xml:space="preserve">T-057</x:t>
  </x:si>
  <x:si>
    <x:t xml:space="preserve">J7 Relationship model vertical slice, part 1: publish one relationship</x:t>
  </x:si>
  <x:si>
    <x:t xml:space="preserve">F-052 — T-057 must deliver the final external relationship service/API and M1-compatible persistence only. Do not claim final physical schema. T-095 owns canonical ppiq_meta.plant_relationships/_members/_paths convergence after T-089/T-090. T-058/T-059/T-060 consume the service, never table names.</x:t>
  </x:si>
  <x:si>
    <x:t xml:space="preserve">T-058</x:t>
  </x:si>
  <x:si>
    <x:t xml:space="preserve">J7 Relationship model vertical slice, part 2: one resolver consumer</x:t>
  </x:si>
  <x:si>
    <x:t xml:space="preserve">T-059</x:t>
  </x:si>
  <x:si>
    <x:t xml:space="preserve">Associative model, part 2: cross-source state through the published relationship</x:t>
  </x:si>
  <x:si>
    <x:t xml:space="preserve">Frozen as M1. Cross-widget selection correctness is re-owned by T-204 Customer-session associative state-machine certification. | M1 programme scope frozen after the successful 21-Aug-2026 customer presentation. Prior live status was Not Started. Do not schedule this presentation-era task. Any reusable generic requirement must be owned by an M2 task.</x:t>
  </x:si>
  <x:si>
    <x:t xml:space="preserve">T-060</x:t>
  </x:si>
  <x:si>
    <x:t xml:space="preserve">C6 Relationship Browser, minimal read-only slice</x:t>
  </x:si>
  <x:si>
    <x:t xml:space="preserve">Do not continue as M1 content. Preserve generic correctness findings only; execute them through named M2-P0/product-truth owners. | M1 programme scope frozen after the successful 21-Aug-2026 customer presentation. Prior live status was In Progress. Do not schedule this presentation-era task. Any reusable generic requirement must be owned by an M2 task.</x:t>
  </x:si>
  <x:si>
    <x:t xml:space="preserve">T-061</x:t>
  </x:si>
  <x:si>
    <x:t xml:space="preserve">C2 Mapping Health, part 1: the typed issue contract and the reprocess API</x:t>
  </x:si>
  <x:si>
    <x:t xml:space="preserve">T-062</x:t>
  </x:si>
  <x:si>
    <x:t xml:space="preserve">C2 Mapping Health, part 2: the final visible page</x:t>
  </x:si>
  <x:si>
    <x:t xml:space="preserve">T-063</x:t>
  </x:si>
  <x:si>
    <x:t xml:space="preserve">C5 Genealogy: converge the legacy workbench onto the final two-state surface</x:t>
  </x:si>
  <x:si>
    <x:t xml:space="preserve">T-064</x:t>
  </x:si>
  <x:si>
    <x:t xml:space="preserve">Add job_definitions.target_definition_id and the JB error codes</x:t>
  </x:si>
  <x:si>
    <x:t xml:space="preserve">F-053 — 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
F-061 — T-064 owns the M1 functional/public contract and compatibility semantics. T-106 owns canonical physical convergence after definition_store exists plus job_dependencies/DAG/cycle validation; it must not redesign the visible target/version contract.</x:t>
  </x:si>
  <x:si>
    <x:t xml:space="preserve">T-065</x:t>
  </x:si>
  <x:si>
    <x:t xml:space="preserve">J12 Analysis authoring: converge onto D3 Analysis Toolbox in S3 mode</x:t>
  </x:si>
  <x:si>
    <x:t xml:space="preserve">T-066</x:t>
  </x:si>
  <x:si>
    <x:t xml:space="preserve">One visible readiness authority on Home and Analysis</x:t>
  </x:si>
  <x:si>
    <x:t xml:space="preserve">T-067</x:t>
  </x:si>
  <x:si>
    <x:t xml:space="preserve">Findings evidence panel, registry-driven throughout</x:t>
  </x:si>
  <x:si>
    <x:t xml:space="preserve">Do not plan downstream work on T-067 as Done until explicit commit/runtime evidence exists. | M1 programme scope frozen after the successful 21-Aug-2026 customer presentation. Prior live status was Not Started. Do not schedule this presentation-era task. Any reusable generic requirement must be owned by an M2 task.</x:t>
  </x:si>
  <x:si>
    <x:t xml:space="preserve">T-068</x:t>
  </x:si>
  <x:si>
    <x:t xml:space="preserve">Retire the hardcoded outcome and grain arrays</x:t>
  </x:si>
  <x:si>
    <x:t xml:space="preserve">F-056 — T-068 must consume a stable analysis-options/outcome-registry service contract, not a physical table or temporary route. Release 1 swaps storage behind the contract. Complete T-068 before T-065 so the S3 authoring page is built registry-first instead of being rewritten immediately.
F-059 — Remove hardcoded/default coil semantics. Preserve customer-declared multi-grain unit types and outcome-specific grain_code. Rename T-094 scope from 'rename canonical grain' to 'remove hardcoded canonical grain default and bind to registry/material-unit authority'.
F-062 — Dependency order is T-068 -&gt; T-065. T-065 consumes registry-driven outcome/grain options from first implementation.</x:t>
  </x:si>
  <x:si>
    <x:t xml:space="preserve">T-069</x:t>
  </x:si>
  <x:si>
    <x:t xml:space="preserve">Website, part 1: the five-product information architecture</x:t>
  </x:si>
  <x:si>
    <x:t xml:space="preserve">T-070</x:t>
  </x:si>
  <x:si>
    <x:t xml:space="preserve">Website, part 2: polish the presentation routes</x:t>
  </x:si>
  <x:si>
    <x:t xml:space="preserve">T-071</x:t>
  </x:si>
  <x:si>
    <x:t xml:space="preserve">Build the G1 persistent assistant dock</x:t>
  </x:si>
  <x:si>
    <x:t xml:space="preserve">T-072</x:t>
  </x:si>
  <x:si>
    <x:t xml:space="preserve">Page and widget context envelope</x:t>
  </x:si>
  <x:si>
    <x:t xml:space="preserve">T-073</x:t>
  </x:si>
  <x:si>
    <x:t xml:space="preserve">Add the page and widget chunk family to the retrieval corpus</x:t>
  </x:si>
  <x:si>
    <x:t xml:space="preserve">T-074</x:t>
  </x:si>
  <x:si>
    <x:t xml:space="preserve">Registry-typed quantity guard on assistant answers</x:t>
  </x:si>
  <x:si>
    <x:t xml:space="preserve">T-075</x:t>
  </x:si>
  <x:si>
    <x:t xml:space="preserve">Citation chips, evidence strip and suggested questions</x:t>
  </x:si>
  <x:si>
    <x:t xml:space="preserve">T-076</x:t>
  </x:si>
  <x:si>
    <x:t xml:space="preserve">Certified question pack and offline fallback</x:t>
  </x:si>
  <x:si>
    <x:t xml:space="preserve">T-077</x:t>
  </x:si>
  <x:si>
    <x:t xml:space="preserve">One Playwright journey covering all six beats</x:t>
  </x:si>
  <x:si>
    <x:t xml:space="preserve">Frozen as M1. Reusable release acceptance is absorbed by T-202/T-203/T-204/T-205; no more presentation-only gate work. | M1 programme scope frozen after the successful 21-Aug-2026 customer presentation. Prior live status was Not Started. Do not schedule this presentation-era task. Any reusable generic requirement must be owned by an M2 task.</x:t>
  </x:si>
  <x:si>
    <x:t xml:space="preserve">T-078</x:t>
  </x:si>
  <x:si>
    <x:t xml:space="preserve">Execute visual regression and accessibility on the presented routes</x:t>
  </x:si>
  <x:si>
    <x:t xml:space="preserve">T-079</x:t>
  </x:si>
  <x:si>
    <x:t xml:space="preserve">Failure injection suite</x:t>
  </x:si>
  <x:si>
    <x:t xml:space="preserve">T-080</x:t>
  </x:si>
  <x:si>
    <x:t xml:space="preserve">Capture the Customer Contract Continuity snapshots</x:t>
  </x:si>
  <x:si>
    <x:t xml:space="preserve">T-081</x:t>
  </x:si>
  <x:si>
    <x:t xml:space="preserve">Write the screen-by-screen demonstration script</x:t>
  </x:si>
  <x:si>
    <x:t xml:space="preserve">T-082</x:t>
  </x:si>
  <x:si>
    <x:t xml:space="preserve">Presentation environment preparation and clean-start verification</x:t>
  </x:si>
  <x:si>
    <x:t xml:space="preserve">T-083</x:t>
  </x:si>
  <x:si>
    <x:t xml:space="preserve">Three rehearsals, hostile hands and the fallback package</x:t>
  </x:si>
  <x:si>
    <x:t xml:space="preserve">T-084</x:t>
  </x:si>
  <x:si>
    <x:t xml:space="preserve">Emit the frozen Fleet v2 into native customer-source fixtures</x:t>
  </x:si>
  <x:si>
    <x:t xml:space="preserve">Superseded</x:t>
  </x:si>
  <x:si>
    <x:t xml:space="preserve">Removed from the current release roadmap. Generic fixture authority T-208 supersedes Fleet-v2-specific rebuild work.</x:t>
  </x:si>
  <x:si>
    <x:t xml:space="preserve">T-085</x:t>
  </x:si>
  <x:si>
    <x:t xml:space="preserve">Clean-room rebuild of the Fleet v2 emulator sources from source control</x:t>
  </x:si>
  <x:si>
    <x:t xml:space="preserve">T-118</x:t>
  </x:si>
  <x:si>
    <x:t xml:space="preserve">J1 to J3 commissioning built for real</x:t>
  </x:si>
  <x:si>
    <x:t xml:space="preserve">SUPERSEDED / removed from active v2.20.0</x:t>
  </x:si>
  <x:si>
    <x:t xml:space="preserve">08-Sep-2026 final review ruling: commissioning umbrella duplicated T-120 Users/Roles, T-121 licence, T-123 install/upgrade, T-126 runbook/UAT and T-150 final certification. No task depended on T-118, so active scope is retired without deleting historical evidence.</x:t>
  </x:si>
  <x:si>
    <x:t xml:space="preserve">Physical database authority</x:t>
  </x:si>
  <x:si>
    <x:t xml:space="preserve">Zero unknown product tables/columns on fresh certification DB</x:t>
  </x:si>
  <x:si>
    <x:t xml:space="preserve">Every object has schema, family, lifecycle, owner, design clause and generated dictionary entry.</x:t>
  </x:si>
  <x:si>
    <x:t xml:space="preserve">Disposable database lifecycle</x:t>
  </x:si>
  <x:si>
    <x:t xml:space="preserve">CREATE DATABASE implies owner + finally DROP unless explicitly declared persistent</x:t>
  </x:si>
  <x:si>
    <x:t xml:space="preserve">Prevents probe/scratch/backup debris and cross-worker shared-DB contamination.</x:t>
  </x:si>
  <x:si>
    <x:t xml:space="preserve">Database naming</x:t>
  </x:si>
  <x:si>
    <x:t xml:space="preserve">Forward snake_case + no customer vocabulary + no redundant ppiq_ prefix in governed schemas</x:t>
  </x:si>
  <x:si>
    <x:t xml:space="preserve">Existing names are grandfathered; no mass rename without owned compatibility proof.</x:t>
  </x:si>
  <x:si>
    <x:t xml:space="preserve">Authority precedence</x:t>
  </x:si>
  <x:si>
    <x:t xml:space="preserve">Current Master Design / frozen Layer-B semantic rulings &gt; current Backlog execution wording &gt; historical task prose.</x:t>
  </x:si>
  <x:si>
    <x:t xml:space="preserve">When two current documents conflict semantically, Central must rule and amend future scope; workers are not blamed for following the then-current backlog.</x:t>
  </x:si>
  <x:si>
    <x:t xml:space="preserve">Closed-task regression handling</x:t>
  </x:si>
  <x:si>
    <x:t xml:space="preserve">Do not broadly reopen closed tasks. A newly discovered concrete regression receives a narrow new Task ID unless the original closure evidence itself is proven false.</x:t>
  </x:si>
  <x:si>
    <x:t xml:space="preserve">Prevents scope erosion and preserves auditability.</x:t>
  </x:si>
  <x:si>
    <x:t xml:space="preserve">Release evidence envelope</x:t>
  </x:si>
  <x:si>
    <x:t xml:space="preserve">Prevents duplicated skip-count formats and keeps final release gate from redefining evidence semantics late.</x:t>
  </x:si>
  <x:si>
    <x:t xml:space="preserve">Cross-worker genericity handoff</x:t>
  </x:si>
  <x:si>
    <x:t xml:space="preserve">Backend runtime convergence and frontend material-surface convergence have separate owners: T-256 Worker 1, T-258 Worker 2.</x:t>
  </x:si>
  <x:si>
    <x:t xml:space="preserve">Worker 1 must not repair Worker-2 frontend files; compatibility must remain green across the handoff.</x:t>
  </x:si>
  <x:si>
    <x:t xml:space="preserve">Canvas output-target namespace</x:t>
  </x:si>
  <x:si>
    <x:t xml:space="preserve">Canonical entity name from ICanonicalEntityCatalog; never physical relation name and never an overloaded Analysis Subject key.</x:t>
  </x:si>
  <x:si>
    <x:t xml:space="preserve">Graph and SQL share one governed output identity while Analysis Subject remains a separate semantic authority.</x:t>
  </x:si>
  <x:si>
    <x:t xml:space="preserve">Canvas output-target hashing</x:t>
  </x:si>
  <x:si>
    <x:t xml:space="preserve">New Graph/SQL saves carry root `outputTarget` in hashed canonical content. Legacy Graph may derive from graph.targetEntity; legacy SQL missing target returns null, never fabricated.</x:t>
  </x:si>
  <x:si>
    <x:t xml:space="preserve">Hash change on re-save legitimately creates a new immutable version; prior version remains untouched.</x:t>
  </x:si>
  <x:si>
    <x:t xml:space="preserve">Release evidence envelope v1</x:t>
  </x:si>
  <x:si>
    <x:t xml:space="preserve">T-259 owns the small shared machine-readable envelope contract. T-252/T-257 produce it; T-227 owns scorecard/policy; T-150 aggregates.</x:t>
  </x:si>
  <x:si>
    <x:t xml:space="preserve">Removes the impossible dependency where producers needed a P5 schema that did not yet exist.</x:t>
  </x:si>
  <x:si>
    <x:t xml:space="preserve">Release evidence count semantics</x:t>
  </x:si>
  <x:si>
    <x:t xml:space="preserve">total_count = executed_count + skipped_count; executed_count = passed_count + failed_count; skipped work is never counted as executed.</x:t>
  </x:si>
  <x:si>
    <x:t xml:space="preserve">Prevents an all-skipped suite from appearing fully exercised.</x:t>
  </x:si>
  <x:si>
    <x:t xml:space="preserve">Canonical projection-target eligibility</x:t>
  </x:si>
  <x:si>
    <x:t xml:space="preserve">Canonical entity identity and projection-target eligibility are separate facts. Eligibility is an explicit model/type-sourced capability, not 'all mapped entities' and not schema-only.</x:t>
  </x:si>
  <x:si>
    <x:t xml:space="preserve">Prevents ImportBatch/JobRunHistory/etc. from becoming Canvas/mapping targets while preserving valid reference targets outside ppiq_plant.</x:t>
  </x:si>
  <x:si>
    <x:t xml:space="preserve">Schema role in target eligibility</x:t>
  </x:si>
  <x:si>
    <x:t xml:space="preserve">ppiq_plant/ppiq_meta topology is a consistency/governance signal, not the sole target predicate.</x:t>
  </x:si>
  <x:si>
    <x:t xml:space="preserve">ParameterDefinition/DefectCatalog are valid current targets outside ppiq_plant; ppiq_plant also contains analytical outputs.</x:t>
  </x:si>
  <x:si>
    <x:t xml:space="preserve">T-256 synchronization</x:t>
  </x:si>
  <x:si>
    <x:t xml:space="preserve">T-253 is a hard dependency of T-256. If Worker 1 reaches the gate first, CENTRAL assigns a disjoint lane rather than allowing duplicate target-classification work.</x:t>
  </x:si>
  <x:si>
    <x:t xml:space="preserve">Correctness and single authority take precedence over keeping P1 locally wait-free.</x:t>
  </x:si>
  <x:si>
    <x:t xml:space="preserve">Fresh certification DB authority</x:t>
  </x:si>
  <x:si>
    <x:t xml:space="preserve">A database called ppiq_acceptance_empty is not authoritative merely by name; it must be constructed by the complete canonical migration-order authority.</x:t>
  </x:si>
  <x:si>
    <x:t xml:space="preserve">Prevents catalogue/adjudication against a partial fresh build.</x:t>
  </x:si>
  <x:si>
    <x:t xml:space="preserve">T-251/T-260 split</x:t>
  </x:si>
  <x:si>
    <x:t xml:space="preserve">T-251 owns read-only physical truth; T-260 owns correction of the fresh certification DB builder discovered by T-251.</x:t>
  </x:si>
  <x:si>
    <x:t xml:space="preserve">Avoids violating T-251's read-only lock while preventing false classification work.</x:t>
  </x:si>
  <x:si>
    <x:t xml:space="preserve">Adjudication order</x:t>
  </x:si>
  <x:si>
    <x:t xml:space="preserve">Do not classify the old 106/81 fresh-DB queue. Correct/rebuild first, rerun census second, adjudicate only the remaining true queue.</x:t>
  </x:si>
  <x:si>
    <x:t xml:space="preserve">Avoids spending governance effort on objects stranded by an incomplete build path.</x:t>
  </x:si>
  <x:si>
    <x:t xml:space="preserve">Audit package safety</x:t>
  </x:si>
  <x:si>
    <x:t xml:space="preserve">The 08-Sep UltimateAudit package was generated with Mask Secrets=False and is internal engineering evidence only; external evidence must be regenerated masked.</x:t>
  </x:si>
  <x:si>
    <x:t xml:space="preserve">Evidence hierarchy</x:t>
  </x:si>
  <x:si>
    <x:t xml:space="preserve">Current runtime/source path + executed tests &gt; current source trace &gt; commit/closure &gt; handover &gt; backlog/design prose. Backup/archive copies never override the live path.</x:t>
  </x:si>
  <x:si>
    <x:t xml:space="preserve">Evidence-envelope ownership</x:t>
  </x:si>
  <x:si>
    <x:t xml:space="preserve">T-256/T-258 ownership split</x:t>
  </x:si>
  <x:si>
    <x:t xml:space="preserve">T-256 is backend/API/DB-runtime only. Frontend MaterialAnalytics/routes/types are Worker-2 T-258. T-256 must preserve a bounded compatibility handoff so it does not leave the generic frontend red.</x:t>
  </x:si>
  <x:si>
    <x:t xml:space="preserve">Fresh certification DB</x:t>
  </x:si>
  <x:si>
    <x:t xml:space="preserve">The named fresh canonical certification database for T-251 is `ppiq_acceptance_empty`; do not invent ad-hoc fresh database names before T-252 lifecycle authority.</x:t>
  </x:si>
  <x:si>
    <x:t xml:space="preserve">T-253 measured ruling</x:t>
  </x:si>
  <x:si>
    <x:t xml:space="preserve">T-253 target identity</x:t>
  </x:si>
  <x:si>
    <x:t xml:space="preserve">Persist canonical entity name. New hashed root `outputTarget` is representation-independent; graph.targetEntity remains compatibility data and must match on new graph writes.</x:t>
  </x:si>
  <x:si>
    <x:t xml:space="preserve">T-253 legacy compatibility</x:t>
  </x:si>
  <x:si>
    <x:t xml:space="preserve">Legacy Graph lacking root outputTarget may derive it from graph.targetEntity; legacy SQL lacking it returns null. Re-save under the new content schema creates a new immutable version.</x:t>
  </x:si>
  <x:si>
    <x:t xml:space="preserve">T-253 picker</x:t>
  </x:si>
  <x:si>
    <x:t xml:space="preserve">Enumerate ICanonicalEntityCatalog through a minimal existing-authoring-support read endpoint. Do not use MappingDefinitionService.AllowedTargetEntities and do not add MaterialUnit as global UA-08 vocabulary.</x:t>
  </x:si>
  <x:si>
    <x:t xml:space="preserve">T-259 ruling</x:t>
  </x:si>
  <x:si>
    <x:t xml:space="preserve">Option A accepted: 2h P1 Release Evidence Envelope v1 contract after T-251 and before T-252/T-257. T-227 stays P5 scorecard/policy owner.</x:t>
  </x:si>
  <x:si>
    <x:t xml:space="preserve">Dirty-tree checkpoint</x:t>
  </x:si>
  <x:si>
    <x:t xml:space="preserve">Unrelated Documentation/audit dirt does not mean T-243 source exists. T-253 may proceed only with clean owned product paths, strict path staging and T-244 ancestor proof; task-number preflight filename must be renamed semantically before commit.</x:t>
  </x:si>
  <x:si>
    <x:t xml:space="preserve">T-227 ownership check</x:t>
  </x:si>
  <x:si>
    <x:t xml:space="preserve">v2.20.2 already removed the accidental schema ownership from T-227. Its 6h remains because that was the original scorecard/policy task size; no funded hours were transferred out. Stale T-252/T-257 references to T-227 fields are corrected to T-259.</x:t>
  </x:si>
  <x:si>
    <x:t xml:space="preserve">Projection-target predicate</x:t>
  </x:si>
  <x:si>
    <x:t xml:space="preserve">Do not enumerate every mapped entity and do not use schema-only eligibility. T-253 creates one explicit model/type-sourced projection-target capability; catalog identity stays CLR canonical name.</x:t>
  </x:si>
  <x:si>
    <x:t xml:space="preserve">T-251 relationship</x:t>
  </x:si>
  <x:si>
    <x:t xml:space="preserve">T-251 logical-family catalogue later cross-checks the projection-target capability but does not define runtime target eligibility; T-253 can proceed independently.</x:t>
  </x:si>
  <x:si>
    <x:t xml:space="preserve">T-256 dependency</x:t>
  </x:si>
  <x:si>
    <x:t xml:space="preserve">T-253 is intentionally hard in T-256 Depends On. If T-253 is late, Worker 1 stops after T-252 and CENTRAL selects a disjoint lane.</x:t>
  </x:si>
  <x:si>
    <x:t xml:space="preserve">T-260 trigger</x:t>
  </x:si>
  <x:si>
    <x:t xml:space="preserve">T-251 runner is valid/deterministic, but its fresh reference DB exposed an incomplete builder path (EF+scripts without required topology/views).</x:t>
  </x:si>
  <x:si>
    <x:t xml:space="preserve">T-260 execution</x:t>
  </x:si>
  <x:si>
    <x:t xml:space="preserve">Build a disposable candidate using the canonical order first; only replace/recreate ppiq_acceptance_empty after candidate GREEN. Never mutate ppiq_app/ppiq_presentation.</x:t>
  </x:si>
  <x:si>
    <x:t xml:space="preserve">T-251 resume</x:t>
  </x:si>
  <x:si>
    <x:t xml:space="preserve">After T-260, rerun catalogue from scratch. The old 106 unclassified / 81 public-offender counts are diagnostic history, not classification input.</x:t>
  </x:si>
  <x:si>
    <x:t xml:space="preserve">Platform allowlist</x:t>
  </x:si>
  <x:si>
    <x:t xml:space="preserve">`public.__EFMigrationsHistory` is platform migration bookkeeping and may be allowlisted in T-251 after the corrected rebuild; dead assumed-pattern rules should be removed rather than preserved.</x:t>
  </x:si>
  <x:si>
    <x:t xml:space="preserve">Capability standard</x:t>
  </x:si>
  <x:si>
    <x:t xml:space="preserve">Product capability mapping follows PPIQ_Product_Analysis_and_Evaluation_Standard_v1.1 (10 layers, 78 capability points).</x:t>
  </x:si>
  <x:si>
    <x:t xml:space="preserve">Primary mapping law</x:t>
  </x:si>
  <x:si>
    <x:t xml:space="preserve">Every product task has one Primary Capability ID. Secondary IDs are used only where task acceptance genuinely advances another capability.</x:t>
  </x:si>
  <x:si>
    <x:t xml:space="preserve">Task closure law</x:t>
  </x:si>
  <x:si>
    <x:t xml:space="preserve">Closing mapped tasks does not make a capability 5/5. D1–D5 product evidence remains the completeness authority.</x:t>
  </x:si>
  <x:si>
    <x:t xml:space="preserve">Non-capability work</x:t>
  </x:si>
  <x:si>
    <x:t xml:space="preserve">Pure execution instruments may use NO-CAP — Execution Tooling; product-boundary work is labelled explicitly rather than forced into a PPIQ capability.</x:t>
  </x:si>
  <x:si>
    <x:t xml:space="preserve">Summary-sheet authority</x:t>
  </x:si>
  <x:si>
    <x:t xml:space="preserve">Task ID</x:t>
  </x:si>
  <x:si>
    <x:t xml:space="preserve">Phase</x:t>
  </x:si>
  <x:si>
    <x:t xml:space="preserve">Worker</x:t>
  </x:si>
  <x:si>
    <x:t xml:space="preserve">Commit SHA(s) / Tag</x:t>
  </x:si>
  <x:si>
    <x:t xml:space="preserve">Commit Subject / Label</x:t>
  </x:si>
  <x:si>
    <x:t xml:space="preserve">Commit / Closure Date</x:t>
  </x:si>
  <x:si>
    <x:t xml:space="preserve">Date Basis</x:t>
  </x:si>
  <x:si>
    <x:t xml:space="preserve">Evidence Confidence</x:t>
  </x:si>
  <x:si>
    <x:t xml:space="preserve">Notes</x:t>
  </x:si>
  <x:si>
    <x:t xml:space="preserve">T-086</x:t>
  </x:si>
  <x:si>
    <x:t xml:space="preserve">P1</x:t>
  </x:si>
  <x:si>
    <x:t xml:space="preserve">Worker 1</x:t>
  </x:si>
  <x:si>
    <x:t xml:space="preserve">77a8ea4f</x:t>
  </x:si>
  <x:si>
    <x:t xml:space="preserve">T-086: freeze the legacy regression oracle and gate generic surfaces against its vocabulary</x:t>
  </x:si>
  <x:si>
    <x:t xml:space="preserve">Terminal / closure session day</x:t>
  </x:si>
  <x:si>
    <x:t xml:space="preserve">Short SHA + subject verified</x:t>
  </x:si>
  <x:si>
    <x:t xml:space="preserve">Committed after exact 3-file staging; freeze gate GREEN.</x:t>
  </x:si>
  <x:si>
    <x:t xml:space="preserve">T-087</x:t>
  </x:si>
  <x:si>
    <x:t xml:space="preserve">e7d82f078d7dfa4c1ca4ec6e88d0dbc7e1ecd6ba</x:t>
  </x:si>
  <x:si>
    <x:t xml:space="preserve">Closure-session day; exact Git timestamp not recovered</x:t>
  </x:si>
  <x:si>
    <x:t xml:space="preserve">SHA verified</x:t>
  </x:si>
  <x:si>
    <x:t xml:space="preserve">Final three-schema closure HEAD/commit authority recovered from late-Aug closure session.</x:t>
  </x:si>
  <x:si>
    <x:t xml:space="preserve">T-088</x:t>
  </x:si>
  <x:si>
    <x:t xml:space="preserve">6a62c9d6</x:t>
  </x:si>
  <x:si>
    <x:t xml:space="preserve">Establish canonical database migration authority</x:t>
  </x:si>
  <x:si>
    <x:t xml:space="preserve">Closure session day; exact Git timestamp not recovered</x:t>
  </x:si>
  <x:si>
    <x:t xml:space="preserve">Historical canonical migration-order / legacy archival authority.</x:t>
  </x:si>
  <x:si>
    <x:t xml:space="preserve">T-089</x:t>
  </x:si>
  <x:si>
    <x:t xml:space="preserve">0fd79e5e3516cdfd0ab5a73a02e16638fd02693a</x:t>
  </x:si>
  <x:si>
    <x:t xml:space="preserve">Exact day not recovered</x:t>
  </x:si>
  <x:si>
    <x:t xml:space="preserve">Canonical Definition Store authority.</x:t>
  </x:si>
  <x:si>
    <x:t xml:space="preserve">T-090</x:t>
  </x:si>
  <x:si>
    <x:t xml:space="preserve">a6399d9c</x:t>
  </x:si>
  <x:si>
    <x:t xml:space="preserve">Short SHA verified</x:t>
  </x:si>
  <x:si>
    <x:t xml:space="preserve">Definition-kind convergence authority.</x:t>
  </x:si>
  <x:si>
    <x:t xml:space="preserve">T-091</x:t>
  </x:si>
  <x:si>
    <x:t xml:space="preserve">c6d64289</x:t>
  </x:si>
  <x:si>
    <x:t xml:space="preserve">Impact preview/export/import closure authority.</x:t>
  </x:si>
  <x:si>
    <x:t xml:space="preserve">T-092</x:t>
  </x:si>
  <x:si>
    <x:t xml:space="preserve">ab2962a4; 7cad36e4</x:t>
  </x:si>
  <x:si>
    <x:t xml:space="preserve">Session/git-log day</x:t>
  </x:si>
  <x:si>
    <x:t xml:space="preserve">Multi-commit SHAs verified</x:t>
  </x:si>
  <x:si>
    <x:t xml:space="preserve">Registry authority used two commits; latest closure authority is 7cad36e4.</x:t>
  </x:si>
  <x:si>
    <x:t xml:space="preserve">T-093</x:t>
  </x:si>
  <x:si>
    <x:t xml:space="preserve">4e2e0f654b93ceed2ecdfbce4d3c1768550b3079</x:t>
  </x:si>
  <x:si>
    <x:t xml:space="preserve">T-093 govern plant vocabulary as data-driven genericity debt</x:t>
  </x:si>
  <x:si>
    <x:t xml:space="preserve">Closure session day</x:t>
  </x:si>
  <x:si>
    <x:t xml:space="preserve">Full SHA + subject verified</x:t>
  </x:si>
  <x:si>
    <x:t xml:space="preserve">CLOSED GREEN.</x:t>
  </x:si>
  <x:si>
    <x:t xml:space="preserve">T-094</x:t>
  </x:si>
  <x:si>
    <x:t xml:space="preserve">377aabdffb27d651d30537ce5228ee4afe268526; 6ab97ee2; e74ecd1c; 5a967f1b0ab45961c8b8a880bb4fdec53a783134</x:t>
  </x:si>
  <x:si>
    <x:t xml:space="preserve">Wave A part 1; Wave A part 2a; 2b/stage 1; T-094 close keyed declared-dimension cutover and genericity reconciliation</x:t>
  </x:si>
  <x:si>
    <x:t xml:space="preserve">Final closure transcript day</x:t>
  </x:si>
  <x:si>
    <x:t xml:space="preserve">Final full SHA + subject verified; stage SHAs verified</x:t>
  </x:si>
  <x:si>
    <x:t xml:space="preserve">Final closure is 5a967f1b... Earlier part-commits retained for forensic lookup.</x:t>
  </x:si>
  <x:si>
    <x:t xml:space="preserve">T-095</x:t>
  </x:si>
  <x:si>
    <x:t xml:space="preserve">P2</x:t>
  </x:si>
  <x:si>
    <x:t xml:space="preserve">554d1ac02af122fdeb7ca54b1dd35bac0c76f23e</x:t>
  </x:si>
  <x:si>
    <x:t xml:space="preserve">Confirmed baseline in 07-Sep T096 preflight; exact Git timestamp not recovered</x:t>
  </x:si>
  <x:si>
    <x:t xml:space="preserve">Full SHA verified</x:t>
  </x:si>
  <x:si>
    <x:t xml:space="preserve">T-095 closure is ancestral baseline for T-096/T-242 work.</x:t>
  </x:si>
  <x:si>
    <x:t xml:space="preserve">T-096</x:t>
  </x:si>
  <x:si>
    <x:t xml:space="preserve">de243027073fc5e492d65e9f9845255342517510</x:t>
  </x:si>
  <x:si>
    <x:t xml:space="preserve">T-096 relationship resolver consumer convergence</x:t>
  </x:si>
  <x:si>
    <x:t xml:space="preserve">Closure transcript day (logs 08Sep2026_100134)</x:t>
  </x:si>
  <x:si>
    <x:t xml:space="preserve">T-097</x:t>
  </x:si>
  <x:si>
    <x:t xml:space="preserve">95220d1804493f8e7b80347fe3ed4de24741f9ec</x:t>
  </x:si>
  <x:si>
    <x:t xml:space="preserve">T-097 relationship consumer barrier across all sixteen families</x:t>
  </x:si>
  <x:si>
    <x:t xml:space="preserve">Commit/closure session day</x:t>
  </x:si>
  <x:si>
    <x:t xml:space="preserve">Committed after T-096; all sixteen families guarded.</x:t>
  </x:si>
  <x:si>
    <x:t xml:space="preserve">T-168</x:t>
  </x:si>
  <x:si>
    <x:t xml:space="preserve">P4</x:t>
  </x:si>
  <x:si>
    <x:t xml:space="preserve">CLOSED</x:t>
  </x:si>
  <x:si>
    <x:t xml:space="preserve">16ea041a; 94ab4e40; 723b9434; 6aef283f; ef588f0c</x:t>
  </x:si>
  <x:si>
    <x:t xml:space="preserve">Python runtime; C# protocol; real C#→Python→C#; closure evidence; W3-016 CI dependency correction</x:t>
  </x:si>
  <x:si>
    <x:t xml:space="preserve">Closed before 15-Aug handover</x:t>
  </x:si>
  <x:si>
    <x:t xml:space="preserve">Full Backend regression after dependency correction green/no skips.</x:t>
  </x:si>
  <x:si>
    <x:t xml:space="preserve">T-169</x:t>
  </x:si>
  <x:si>
    <x:t xml:space="preserve">a887c554</x:t>
  </x:si>
  <x:si>
    <x:t xml:space="preserve">T-169 Pack 1: typed columnar artifact contract, Parquet and Arrow IPC adapters, two hashes, B-03 hook</x:t>
  </x:si>
  <x:si>
    <x:t xml:space="preserve">Terminal/session day</x:t>
  </x:si>
  <x:si>
    <x:t xml:space="preserve">81 Python tests green.</x:t>
  </x:si>
  <x:si>
    <x:t xml:space="preserve">T-170</x:t>
  </x:si>
  <x:si>
    <x:t xml:space="preserve">5a216483</x:t>
  </x:si>
  <x:si>
    <x:t xml:space="preserve">T-170 Chunked sequence-artifact library and bounded loader</x:t>
  </x:si>
  <x:si>
    <x:t xml:space="preserve">Eight-tasks-closed-today session day</x:t>
  </x:si>
  <x:si>
    <x:t xml:space="preserve">402 Python tests.</x:t>
  </x:si>
  <x:si>
    <x:t xml:space="preserve">T-171</x:t>
  </x:si>
  <x:si>
    <x:t xml:space="preserve">95cc019c</x:t>
  </x:si>
  <x:si>
    <x:t xml:space="preserve">Capability Profiler Pack 2</x:t>
  </x:si>
  <x:si>
    <x:t xml:space="preserve">Short SHA verified; subject label from handover</x:t>
  </x:si>
  <x:si>
    <x:t xml:space="preserve">24 targeted tests.</x:t>
  </x:si>
  <x:si>
    <x:t xml:space="preserve">T-172</x:t>
  </x:si>
  <x:si>
    <x:t xml:space="preserve">d4321856</x:t>
  </x:si>
  <x:si>
    <x:t xml:space="preserve">T-172 MF-01 Process Encoder runtime behind a replaceable contract</x:t>
  </x:si>
  <x:si>
    <x:t xml:space="preserve">448 Python tests.</x:t>
  </x:si>
  <x:si>
    <x:t xml:space="preserve">T-173</x:t>
  </x:si>
  <x:si>
    <x:t xml:space="preserve">00a14286</x:t>
  </x:si>
  <x:si>
    <x:t xml:space="preserve">T-173 MF-02 VectorSimilarityIndex with exact-Flat recall baseline</x:t>
  </x:si>
  <x:si>
    <x:t xml:space="preserve">297 tests.</x:t>
  </x:si>
  <x:si>
    <x:t xml:space="preserve">T-174</x:t>
  </x:si>
  <x:si>
    <x:t xml:space="preserve">db033796</x:t>
  </x:si>
  <x:si>
    <x:t xml:space="preserve">T-174 MF-03 novelty runtime and honest refusal semantics</x:t>
  </x:si>
  <x:si>
    <x:t xml:space="preserve">340 green.</x:t>
  </x:si>
  <x:si>
    <x:t xml:space="preserve">T-175</x:t>
  </x:si>
  <x:si>
    <x:t xml:space="preserve">2413c6e1</x:t>
  </x:si>
  <x:si>
    <x:t xml:space="preserve">T-175 MF-04 supervised training runtime and mandatory simple baseline</x:t>
  </x:si>
  <x:si>
    <x:t xml:space="preserve">Exact terminal/session day</x:t>
  </x:si>
  <x:si>
    <x:t xml:space="preserve">141 Python tests / zero skipped.</x:t>
  </x:si>
  <x:si>
    <x:t xml:space="preserve">T-176</x:t>
  </x:si>
  <x:si>
    <x:t xml:space="preserve">08b54b61; 0a61ccfb</x:t>
  </x:si>
  <x:si>
    <x:t xml:space="preserve">T-176 Calibration, explanation stability and three-dimensional promotion kernel | T-176 Pack 2: real TreeSHAP candidate behind an explanation-provider boundary</x:t>
  </x:si>
  <x:si>
    <x:t xml:space="preserve">Session day</x:t>
  </x:si>
  <x:si>
    <x:t xml:space="preserve">Two short SHAs + subjects verified</x:t>
  </x:si>
  <x:si>
    <x:t xml:space="preserve">Final 230 tests / zero skipped.</x:t>
  </x:si>
  <x:si>
    <x:t xml:space="preserve">T-177</x:t>
  </x:si>
  <x:si>
    <x:t xml:space="preserve">502f8ca3; 502e0da9; bb4c5686</x:t>
  </x:si>
  <x:si>
    <x:t xml:space="preserve">T-177 multi-commit statistical-kernel closure</x:t>
  </x:si>
  <x:si>
    <x:t xml:space="preserve">Three short SHAs verified</x:t>
  </x:si>
  <x:si>
    <x:t xml:space="preserve">52 targeted tests; individual Git subjects not all recovered.</x:t>
  </x:si>
  <x:si>
    <x:t xml:space="preserve">T-178</x:t>
  </x:si>
  <x:si>
    <x:t xml:space="preserve">b8792516; b5dbf232</x:t>
  </x:si>
  <x:si>
    <x:t xml:space="preserve">T-178 Pure remediation eligibility and can_accept decision kernel | T-178 corrective: canonical remediation precedence totalisation</x:t>
  </x:si>
  <x:si>
    <x:t xml:space="preserve">Corrective verified in 16-Aug git log/session</x:t>
  </x:si>
  <x:si>
    <x:t xml:space="preserve">Base + corrective; 503 tests after corrective.</x:t>
  </x:si>
  <x:si>
    <x:t xml:space="preserve">T-179</x:t>
  </x:si>
  <x:si>
    <x:t xml:space="preserve">d2bf1834</x:t>
  </x:si>
  <x:si>
    <x:t xml:space="preserve">T-179: deterministic Assistant tool planner</x:t>
  </x:si>
  <x:si>
    <x:t xml:space="preserve">Git-log/session day</x:t>
  </x:si>
  <x:si>
    <x:t xml:space="preserve">Deterministic planner.</x:t>
  </x:si>
  <x:si>
    <x:t xml:space="preserve">T-180</x:t>
  </x:si>
  <x:si>
    <x:t xml:space="preserve">87428c512c6d6d1ca2bf70a6a8b04aadc7a4cc3b</x:t>
  </x:si>
  <x:si>
    <x:t xml:space="preserve">T-180: permission-first hybrid retrieval and deterministic evidence packer</x:t>
  </x:si>
  <x:si>
    <x:t xml:space="preserve">43 probes.</x:t>
  </x:si>
  <x:si>
    <x:t xml:space="preserve">T-181</x:t>
  </x:si>
  <x:si>
    <x:t xml:space="preserve">0b8a1c74</x:t>
  </x:si>
  <x:si>
    <x:t xml:space="preserve">INVALID — explicitly corrected; commit does not exist</x:t>
  </x:si>
  <x:si>
    <x:t xml:space="preserve">Correction session day</x:t>
  </x:si>
  <x:si>
    <x:t xml:space="preserve">REJECTED / DO NOT USE</x:t>
  </x:si>
  <x:si>
    <x:t xml:space="preserve">Authoritative T-181 = eaa82b8b45fb1fdb4b406abfbe2809c5f6fc9cd5.</x:t>
  </x:si>
  <x:si>
    <x:t xml:space="preserve">eaa82b8b45fb1fdb4b406abfbe2809c5f6fc9cd5</x:t>
  </x:si>
  <x:si>
    <x:t xml:space="preserve">T-181: deterministic answer verifier and Q-01..Q-11 evaluation harness</x:t>
  </x:si>
  <x:si>
    <x:t xml:space="preserve">IMPORTANT: authoritative hash is eaa82b8b; earlier reported 0b8a1c74 was explicitly corrected as nonexistent.</x:t>
  </x:si>
  <x:si>
    <x:t xml:space="preserve">T-201</x:t>
  </x:si>
  <x:si>
    <x:t xml:space="preserve">BASELINE HEAD 7da9d46ed29545f1c4f4686fa82c117c08b9fc86; TAG m1-presentation-baseline-2026-08-21</x:t>
  </x:si>
  <x:si>
    <x:t xml:space="preserve">No task commit — immutable baseline tag is the closure artifact</x:t>
  </x:si>
  <x:si>
    <x:t xml:space="preserve">Executed freeze transcript day</x:t>
  </x:si>
  <x:si>
    <x:t xml:space="preserve">Tag + baseline HEAD verified</x:t>
  </x:si>
  <x:si>
    <x:t xml:space="preserve">T-201 changed no W1 files and required no task commit. Health smoke PASS; tag is the freeze artifact.</x:t>
  </x:si>
  <x:si>
    <x:t xml:space="preserve">T-202</x:t>
  </x:si>
  <x:si>
    <x:t xml:space="preserve">Worker 2</x:t>
  </x:si>
  <x:si>
    <x:t xml:space="preserve">ad37c324</x:t>
  </x:si>
  <x:si>
    <x:t xml:space="preserve">Add persisted definition replay gate for release truth</x:t>
  </x:si>
  <x:si>
    <x:t xml:space="preserve">Terminal / session day</x:t>
  </x:si>
  <x:si>
    <x:t xml:space="preserve">Direct session evidence says the six T-202 files landed in ad37c324. This supersedes the earlier incorrect association to 5920bf27.</x:t>
  </x:si>
  <x:si>
    <x:t xml:space="preserve">T-203</x:t>
  </x:si>
  <x:si>
    <x:t xml:space="preserve">cd1a450e</x:t>
  </x:si>
  <x:si>
    <x:t xml:space="preserve">Add customer route invariant gate with durable evidence</x:t>
  </x:si>
  <x:si>
    <x:t xml:space="preserve">7 files / durable route evidence.</x:t>
  </x:si>
  <x:si>
    <x:t xml:space="preserve">T-204</x:t>
  </x:si>
  <x:si>
    <x:t xml:space="preserve">c6491e2d</x:t>
  </x:si>
  <x:si>
    <x:t xml:space="preserve">Post-close HEAD day; exact task-commit mapping not independently proven</x:t>
  </x:si>
  <x:si>
    <x:t xml:space="preserve">Closure HEAD only</x:t>
  </x:si>
  <x:si>
    <x:t xml:space="preserve">Use as closure-state anchor, not as an independently verified task commit subject.</x:t>
  </x:si>
  <x:si>
    <x:t xml:space="preserve">T-205</x:t>
  </x:si>
  <x:si>
    <x:t xml:space="preserve">b7fcc890</x:t>
  </x:si>
  <x:si>
    <x:t xml:space="preserve">Gate the frontend suite on deterministic termination and machine-readable evidence</x:t>
  </x:si>
  <x:si>
    <x:t xml:space="preserve">Backlog + closure session day</x:t>
  </x:si>
  <x:si>
    <x:t xml:space="preserve">Short SHA + subject + date verified</x:t>
  </x:si>
  <x:si>
    <x:t xml:space="preserve">CLOSED GREEN; do not reopen absent gate-contract regression.</x:t>
  </x:si>
  <x:si>
    <x:t xml:space="preserve">T-208</x:t>
  </x:si>
  <x:si>
    <x:t xml:space="preserve">Worker 3</x:t>
  </x:si>
  <x:si>
    <x:t xml:space="preserve">969c767c</x:t>
  </x:si>
  <x:si>
    <x:t xml:space="preserve">T-208: generic controlled validation fixture and continuous-process known answers</x:t>
  </x:si>
  <x:si>
    <x:t xml:space="preserve">Commit also carried already-staged T-206/T-207 files per session record.</x:t>
  </x:si>
  <x:si>
    <x:t xml:space="preserve">T-209</x:t>
  </x:si>
  <x:si>
    <x:t xml:space="preserve">f2bafdb4</x:t>
  </x:si>
  <x:si>
    <x:t xml:space="preserve">Task closure session day</x:t>
  </x:si>
  <x:si>
    <x:t xml:space="preserve">Analysis Subject + Grain contract/kernel.</x:t>
  </x:si>
  <x:si>
    <x:t xml:space="preserve">T-210</x:t>
  </x:si>
  <x:si>
    <x:t xml:space="preserve">92a655e1ddc4becedbaf89a3db96dc0d0f1eaf94</x:t>
  </x:si>
  <x:si>
    <x:t xml:space="preserve">Executed closure transcript day</x:t>
  </x:si>
  <x:si>
    <x:t xml:space="preserve">Full SHA verified; Git subject not recovered</x:t>
  </x:si>
  <x:si>
    <x:t xml:space="preserve">T-210 CLOSED GREEN; 7 owned paths, 15/15 acceptance, fresh 102-script replay, 0 introduced regression failures.</x:t>
  </x:si>
  <x:si>
    <x:t xml:space="preserve">T-213</x:t>
  </x:si>
  <x:si>
    <x:t xml:space="preserve">2748c7fba8a5c4763bc19112ce57e484cea5b9bb</x:t>
  </x:si>
  <x:si>
    <x:t xml:space="preserve">Closure transcript day</x:t>
  </x:si>
  <x:si>
    <x:t xml:space="preserve">18-file exact owned commit; CLOSED GREEN.</x:t>
  </x:si>
  <x:si>
    <x:t xml:space="preserve">T-216</x:t>
  </x:si>
  <x:si>
    <x:t xml:space="preserve">ea9103fd</x:t>
  </x:si>
  <x:si>
    <x:t xml:space="preserve">Establish source time authority for plant timestamps</x:t>
  </x:si>
  <x:si>
    <x:t xml:space="preserve">T-216 CLOSED; 30/30 T-216, 14/14 T-208, 19/19 genericity.</x:t>
  </x:si>
  <x:si>
    <x:t xml:space="preserve">T-231</x:t>
  </x:si>
  <x:si>
    <x:t xml:space="preserve">c930af079502aa1660ef2bd5c50756d3fc3cf8f3</x:t>
  </x:si>
  <x:si>
    <x:t xml:space="preserve">Persist-T231-canonical-analysis-subject-grain-authority</x:t>
  </x:si>
  <x:si>
    <x:t xml:space="preserve">Canonical Analysis Subject/Grain persistence authority.</x:t>
  </x:si>
  <x:si>
    <x:t xml:space="preserve">T-241</x:t>
  </x:si>
  <x:si>
    <x:t xml:space="preserve">eb7fb2ab</x:t>
  </x:si>
  <x:si>
    <x:t xml:space="preserve">Canvas executable block contract prerequisite.</x:t>
  </x:si>
  <x:si>
    <x:t xml:space="preserve">T-242</x:t>
  </x:si>
  <x:si>
    <x:t xml:space="preserve">b93c7a58; fc029aa44ac0079be05d623c73414b7fd9f05590; aa57a503411abeeff38ef346ba8801c7742c7926</x:t>
  </x:si>
  <x:si>
    <x:t xml:space="preserve">T-242 Stage 1: extend Canvas executable vocabulary; exhaustive serialisation | T-242 Stage 2: deterministic block algebra and the boolean port type | T-242 close governed aggregate and window block contracts</x:t>
  </x:si>
  <x:si>
    <x:t xml:space="preserve">Final closure state as of 08-Sep; stage 2 explicitly seen 07-Sep</x:t>
  </x:si>
  <x:si>
    <x:t xml:space="preserve">Final full SHA + staged subjects verified</x:t>
  </x:si>
  <x:si>
    <x:t xml:space="preserve">Final closure = aa57a503...</x:t>
  </x:si>
  <x:si>
    <x:t xml:space="preserve">T-244</x:t>
  </x:si>
  <x:si>
    <x:t xml:space="preserve">4d32c6b10b4605aeb6e0705ad03537d563125652</x:t>
  </x:si>
  <x:si>
    <x:t xml:space="preserve">T-244 close canonical Canvas lifecycle and selection model</x:t>
  </x:si>
  <x:si>
    <x:t xml:space="preserve">Closure authority known by 04-Sep; exact Git timestamp not recovered</x:t>
  </x:si>
  <x:si>
    <x:t xml:space="preserve">CLOSED; parent of T-094 Wave A part 1.</x:t>
  </x:si>
  <x:si>
    <x:t xml:space="preserve">T-250</x:t>
  </x:si>
  <x:si>
    <x:t xml:space="preserve">6615481b</x:t>
  </x:si>
  <x:si>
    <x:t xml:space="preserve">Converge frontend journey and design-system truth</x:t>
  </x:si>
  <x:si>
    <x:t xml:space="preserve">CLOSED.</x:t>
  </x:si>
  <x:si>
    <x:t xml:space="preserve">Action</x:t>
  </x:si>
  <x:si>
    <x:t xml:space="preserve">Task</x:t>
  </x:si>
  <x:si>
    <x:t xml:space="preserve">Release/Phase</x:t>
  </x:si>
  <x:si>
    <x:t xml:space="preserve">Owner</x:t>
  </x:si>
  <x:si>
    <x:t xml:space="preserve">Hours Δ</x:t>
  </x:si>
  <x:si>
    <x:t xml:space="preserve">Why</x:t>
  </x:si>
  <x:si>
    <x:t xml:space="preserve">Downstream</x:t>
  </x:si>
  <x:si>
    <x:t xml:space="preserve">ADD</x:t>
  </x:si>
  <x:si>
    <x:t xml:space="preserve">T-253</x:t>
  </x:si>
  <x:si>
    <x:t xml:space="preserve">M2/P2</x:t>
  </x:si>
  <x:si>
    <x:t xml:space="preserve">+6</x:t>
  </x:si>
  <x:si>
    <x:t xml:space="preserve">Shared authoring generic output-target authority</x:t>
  </x:si>
  <x:si>
    <x:t xml:space="preserve">Closed genericity tasks did not own the new hardcoded Canvas/SQL target regression.</x:t>
  </x:si>
  <x:si>
    <x:t xml:space="preserve">Precedes T-243/T-245/T-247/T-150</x:t>
  </x:si>
  <x:si>
    <x:t xml:space="preserve">T-254</x:t>
  </x:si>
  <x:si>
    <x:t xml:space="preserve">Connector/customer capability truth convergence</x:t>
  </x:si>
  <x:si>
    <x:t xml:space="preserve">Frontend/website contain a second capability truth after T-207 closure.</x:t>
  </x:si>
  <x:si>
    <x:t xml:space="preserve">Precedes T-247/T-150/T-153</x:t>
  </x:si>
  <x:si>
    <x:t xml:space="preserve">T-255</x:t>
  </x:si>
  <x:si>
    <x:t xml:space="preserve">M2/P5</x:t>
  </x:si>
  <x:si>
    <x:t xml:space="preserve">+8</x:t>
  </x:si>
  <x:si>
    <x:t xml:space="preserve">Repository authority + audit-truth hygiene ratchet</x:t>
  </x:si>
  <x:si>
    <x:t xml:space="preserve">Root/transient/audit self-reference/blank-line findings have no safe current owner.</x:t>
  </x:si>
  <x:si>
    <x:t xml:space="preserve">Precedes T-150/T-249</x:t>
  </x:si>
  <x:si>
    <x:t xml:space="preserve">T-256</x:t>
  </x:si>
  <x:si>
    <x:t xml:space="preserve">M2/P1</x:t>
  </x:si>
  <x:si>
    <x:t xml:space="preserve">+12</x:t>
  </x:si>
  <x:si>
    <x:t xml:space="preserve">Runtime genericity + three-schema consumer convergence</x:t>
  </x:si>
  <x:si>
    <x:t xml:space="preserve">T-251 is read-only catalogue scope and cannot itself mutate 64 public/runtime/material residues.</x:t>
  </x:si>
  <x:si>
    <x:t xml:space="preserve">After T-251/T-252; precedes T-247/T-150/T-116</x:t>
  </x:si>
  <x:si>
    <x:t xml:space="preserve">T-257</x:t>
  </x:si>
  <x:si>
    <x:t xml:space="preserve">Frontend execution-truth and skip-zero gate</x:t>
  </x:si>
  <x:si>
    <x:t xml:space="preserve">Real --list enumeration and release-profile skip truth are outside closed T-205/T-250.</x:t>
  </x:si>
  <x:si>
    <x:t xml:space="preserve">Precedes T-150/T-248</x:t>
  </x:si>
  <x:si>
    <x:t xml:space="preserve">RETIRE</x:t>
  </x:si>
  <x:si>
    <x:t xml:space="preserve">-12</x:t>
  </x:si>
  <x:si>
    <x:t xml:space="preserve">Remove duplicate commissioning umbrella from active authority</x:t>
  </x:si>
  <x:si>
    <x:t xml:space="preserve">Install/licence/users/runbook are already uniquely owned by T-123/T-121/T-120/T-126; T-150 is final gate; no dependency references T-118.</x:t>
  </x:si>
  <x:si>
    <x:t xml:space="preserve">Archived, not deleted from history</x:t>
  </x:si>
  <x:si>
    <x:t xml:space="preserve">PROMOTE</x:t>
  </x:si>
  <x:si>
    <x:t xml:space="preserve">T-252</x:t>
  </x:si>
  <x:si>
    <x:t xml:space="preserve">M2 P5 → P1</x:t>
  </x:si>
  <x:si>
    <x:t xml:space="preserve">0</x:t>
  </x:si>
  <x:si>
    <x:t xml:space="preserve">Disposable DB lifecycle becomes foundation</x:t>
  </x:si>
  <x:si>
    <x:t xml:space="preserve">Current certification fixtures can touch/assume shared databases; downstream evidence cannot be trusted until isolated.</x:t>
  </x:si>
  <x:si>
    <x:t xml:space="preserve">Worker-1 P1: T-251 → T-252 → T-256</x:t>
  </x:si>
  <x:si>
    <x:t xml:space="preserve">STATUS</x:t>
  </x:si>
  <x:si>
    <x:t xml:space="preserve">T-245</x:t>
  </x:si>
  <x:si>
    <x:t xml:space="preserve">In Progress → Not Started / QUEUED</x:t>
  </x:si>
  <x:si>
    <x:t xml:space="preserve">T-243 is open and T-245 also consumes T-106 job target/executor authority.</x:t>
  </x:si>
  <x:si>
    <x:t xml:space="preserve">Start only after T-243 + T-106</x:t>
  </x:si>
  <x:si>
    <x:t xml:space="preserve">AMEND</x:t>
  </x:si>
  <x:si>
    <x:t xml:space="preserve">T-106</x:t>
  </x:si>
  <x:si>
    <x:t xml:space="preserve">+4</x:t>
  </x:si>
  <x:si>
    <x:t xml:space="preserve">Add executor capability registry to target/version/DAG</x:t>
  </x:si>
  <x:si>
    <x:t xml:space="preserve">Current RunNow central switch exposes unsupported late failures.</x:t>
  </x:si>
  <x:si>
    <x:t xml:space="preserve">Unblocks T-245</x:t>
  </x:si>
  <x:si>
    <x:t xml:space="preserve">T-107</x:t>
  </x:si>
  <x:si>
    <x:t xml:space="preserve">Add bounded parallel worker pools</x:t>
  </x:si>
  <x:si>
    <x:t xml:space="preserve">Current import queue is serial and no runtime concurrency primitive is present.</x:t>
  </x:si>
  <x:si>
    <x:t xml:space="preserve">Feeds T-125 / Release-1 job plane</x:t>
  </x:si>
  <x:si>
    <x:t xml:space="preserve">T-112</x:t>
  </x:si>
  <x:si>
    <x:t xml:space="preserve">Real two-tenant RLS proof</x:t>
  </x:si>
  <x:si>
    <x:t xml:space="preserve">Vacuous Assert.True(true) cannot count as evidence.</x:t>
  </x:si>
  <x:si>
    <x:t xml:space="preserve">Depends T-251/T-252</x:t>
  </x:si>
  <x:si>
    <x:t xml:space="preserve">T-113</x:t>
  </x:si>
  <x:si>
    <x:t xml:space="preserve">MFA/config/dead-knob hardening</x:t>
  </x:si>
  <x:si>
    <x:t xml:space="preserve">PPIQ_RUN_E2E is dead; prod MFA minimum must be explicit.</x:t>
  </x:si>
  <x:si>
    <x:t xml:space="preserve">T-150 security gate</x:t>
  </x:si>
  <x:si>
    <x:t xml:space="preserve">T-119</x:t>
  </x:si>
  <x:si>
    <x:t xml:space="preserve">Converge existing formal role catalogue</x:t>
  </x:si>
  <x:si>
    <x:t xml:space="preserve">Model exists; mapping/surface silently collapses/refuses poorly.</x:t>
  </x:si>
  <x:si>
    <x:t xml:space="preserve">T-120/T-121</x:t>
  </x:si>
  <x:si>
    <x:t xml:space="preserve">T-121</x:t>
  </x:si>
  <x:si>
    <x:t xml:space="preserve">Vendor-held licence trust root</x:t>
  </x:si>
  <x:si>
    <x:t xml:space="preserve">Customer DB must verify, not mint, production licences; encryption naming must be truthful.</x:t>
  </x:si>
  <x:si>
    <x:t xml:space="preserve">T-150 / CEO persona</x:t>
  </x:si>
  <x:si>
    <x:t xml:space="preserve">T-123</x:t>
  </x:si>
  <x:si>
    <x:t xml:space="preserve">+2</x:t>
  </x:si>
  <x:si>
    <x:t xml:space="preserve">Non-root Release-1 runtime + profile-only host config</x:t>
  </x:si>
  <x:si>
    <x:t xml:space="preserve">Current Docker/runtime defaults are not yet enterprise-hard.</x:t>
  </x:si>
  <x:si>
    <x:t xml:space="preserve">T-150</x:t>
  </x:si>
  <x:si>
    <x:t xml:space="preserve">T-125</x:t>
  </x:si>
  <x:si>
    <x:t xml:space="preserve">Canonical health + mandatory job correlation + queue metrics</x:t>
  </x:si>
  <x:si>
    <x:t xml:space="preserve">Customer IT needs operational evidence before M3 full SLO work.</x:t>
  </x:si>
  <x:si>
    <x:t xml:space="preserve">T-150/T-163</x:t>
  </x:si>
  <x:si>
    <x:t xml:space="preserve">T-223</x:t>
  </x:si>
  <x:si>
    <x:t xml:space="preserve">M2/P4</x:t>
  </x:si>
  <x:si>
    <x:t xml:space="preserve">Generic Assistant tool/context convergence</x:t>
  </x:si>
  <x:si>
    <x:t xml:space="preserve">Material-specific run_kpi/page/filter context are in existing Assistant tool scope.</x:t>
  </x:si>
  <x:si>
    <x:t xml:space="preserve">T-138</x:t>
  </x:si>
  <x:si>
    <x:t xml:space="preserve">T-116/T-117/T-138/T-153/T-248</x:t>
  </x:si>
  <x:si>
    <x:t xml:space="preserve">M3</x:t>
  </x:si>
  <x:si>
    <x:t xml:space="preserve">Mixed</x:t>
  </x:si>
  <x:si>
    <x:t xml:space="preserve">+6 (T-248)</x:t>
  </x:si>
  <x:si>
    <x:t xml:space="preserve">Absorb route/client/provider/connector/BI parity findings into existing Release-2 owners</x:t>
  </x:si>
  <x:si>
    <x:t xml:space="preserve">Avoid duplicate tasks where a natural owner already exists.</x:t>
  </x:si>
  <x:si>
    <x:t xml:space="preserve">T-249</x:t>
  </x:si>
  <x:si>
    <x:t xml:space="preserve">CORRECT</x:t>
  </x:si>
  <x:si>
    <x:t xml:space="preserve">Add T-251 to dependency cell</x:t>
  </x:si>
  <x:si>
    <x:t xml:space="preserve">Handover and workbook must carry the same mechanical sequence.</x:t>
  </x:si>
  <x:si>
    <x:t xml:space="preserve">T-251 → T-252 → T-256</x:t>
  </x:si>
  <x:si>
    <x:t xml:space="preserve">CLARIFY</x:t>
  </x:si>
  <x:si>
    <x:t xml:space="preserve">T-251</x:t>
  </x:si>
  <x:si>
    <x:t xml:space="preserve">Name fresh certification DB `ppiq_acceptance_empty`</x:t>
  </x:si>
  <x:si>
    <x:t xml:space="preserve">Prevents ad-hoc fresh DB naming before T-252 lifecycle authority.</x:t>
  </x:si>
  <x:si>
    <x:t xml:space="preserve">T-252 protected database list remains consistent</x:t>
  </x:si>
  <x:si>
    <x:t xml:space="preserve">SPLIT</x:t>
  </x:si>
  <x:si>
    <x:t xml:space="preserve">T-256/T-258</x:t>
  </x:si>
  <x:si>
    <x:t xml:space="preserve">M2/P1 + P3</x:t>
  </x:si>
  <x:si>
    <x:t xml:space="preserve">W1/W2</x:t>
  </x:si>
  <x:si>
    <x:t xml:space="preserve">Backend/frontend genericity ownership split</x:t>
  </x:si>
  <x:si>
    <x:t xml:space="preserve">T-256 cannot touch Worker-2 MaterialAnalytics/pages/types; T-258 owns frontend convergence.</x:t>
  </x:si>
  <x:si>
    <x:t xml:space="preserve">T-256 → T-258 → T-247/T-150</x:t>
  </x:si>
  <x:si>
    <x:t xml:space="preserve">RULING</x:t>
  </x:si>
  <x:si>
    <x:t xml:space="preserve">T-227</x:t>
  </x:si>
  <x:si>
    <x:t xml:space="preserve">Canonical evidence-envelope schema owner</x:t>
  </x:si>
  <x:si>
    <x:t xml:space="preserve">Avoids duplicate skip-count artifact formats between T-252 and T-257; T-150 only aggregates.</x:t>
  </x:si>
  <x:si>
    <x:t xml:space="preserve">T-252/T-257 producers → T-150 consumer</x:t>
  </x:si>
  <x:si>
    <x:t xml:space="preserve">Measured canonical-content expansion</x:t>
  </x:si>
  <x:si>
    <x:t xml:space="preserve">Two namespaces exist; SQL target is not hashed and cannot round-trip. Scope now includes catalog enumeration, hashed root outputTarget, compatibility read and focused cross-layer tests.</x:t>
  </x:si>
  <x:si>
    <x:t xml:space="preserve">T-243</x:t>
  </x:si>
  <x:si>
    <x:t xml:space="preserve">In Progress → Not Started</x:t>
  </x:si>
  <x:si>
    <x:t xml:space="preserve">Measured main HEAD is T-242 and zero T-243 product-source work exists.</x:t>
  </x:si>
  <x:si>
    <x:t xml:space="preserve">Starts fresh after T-253</x:t>
  </x:si>
  <x:si>
    <x:t xml:space="preserve">T-259</x:t>
  </x:si>
  <x:si>
    <x:t xml:space="preserve">Release Evidence Envelope v1 contract</x:t>
  </x:si>
  <x:si>
    <x:t xml:space="preserve">Producers T-252/T-257 cannot consume a schema owned only by later P5 T-227.</x:t>
  </x:si>
  <x:si>
    <x:t xml:space="preserve">T-259 → T-252/T-257/T-227/T-150</x:t>
  </x:si>
  <x:si>
    <x:t xml:space="preserve">Scorecard/policy only; consume T-259 schema</x:t>
  </x:si>
  <x:si>
    <x:t xml:space="preserve">Keeps P5 acceptance content separate from P1 machine-readable contract.</x:t>
  </x:si>
  <x:si>
    <x:t xml:space="preserve">P80</x:t>
  </x:si>
  <x:si>
    <x:t xml:space="preserve">New/open review tasks</x:t>
  </x:si>
  <x:si>
    <x:t xml:space="preserve">M2</x:t>
  </x:si>
  <x:si>
    <x:t xml:space="preserve">Populate missing AI Guarded Time P80</x:t>
  </x:si>
  <x:si>
    <x:t xml:space="preserve">Prevents new tasks from counting as zero in capacity views.</x:t>
  </x:si>
  <x:si>
    <x:t xml:space="preserve">Release Plan / worker capacity views</x:t>
  </x:si>
  <x:si>
    <x:t xml:space="preserve">HANDOFF</x:t>
  </x:si>
  <x:si>
    <x:t xml:space="preserve">T-253 → T-256</x:t>
  </x:si>
  <x:si>
    <x:t xml:space="preserve">M2/P2 → P1</x:t>
  </x:si>
  <x:si>
    <x:t xml:space="preserve">W2 → W1</x:t>
  </x:si>
  <x:si>
    <x:t xml:space="preserve">AllowedTargetEntities hardcode assigned to T-256</x:t>
  </x:si>
  <x:si>
    <x:t xml:space="preserve">Worker 2 measured the 12-name list but correctly refused to absorb it into T-253.</x:t>
  </x:si>
  <x:si>
    <x:t xml:space="preserve">T-256 consumes T-253 catalog authority; no duplicate enumeration.</x:t>
  </x:si>
  <x:si>
    <x:t xml:space="preserve">Split total from executed counts</x:t>
  </x:si>
  <x:si>
    <x:t xml:space="preserve">Skipped cases were incorrectly counted as executed.</x:t>
  </x:si>
  <x:si>
    <x:t xml:space="preserve">Envelope v1 invariants corrected</x:t>
  </x:si>
  <x:si>
    <x:t xml:space="preserve">CONFIRM</x:t>
  </x:si>
  <x:si>
    <x:t xml:space="preserve">Scorecard/policy only</x:t>
  </x:si>
  <x:si>
    <x:t xml:space="preserve">v2.20.2 already removed schema ownership; stale producer references were the remaining issue.</x:t>
  </x:si>
  <x:si>
    <x:t xml:space="preserve">T-259 schema → T-227 policy</x:t>
  </x:si>
  <x:si>
    <x:t xml:space="preserve">Add model-sourced projection-target eligibility predicate</x:t>
  </x:si>
  <x:si>
    <x:t xml:space="preserve">All mapped canonical entities are not all legal mapping/authoring targets; schema-only also misclassifies valid/invalid entities.</x:t>
  </x:si>
  <x:si>
    <x:t xml:space="preserve">T-256 consumes same predicate</x:t>
  </x:si>
  <x:si>
    <x:t xml:space="preserve">Keep T-253 as hard dependency</x:t>
  </x:si>
  <x:si>
    <x:t xml:space="preserve">Removing it would permit duplicate or broadened target classification.</x:t>
  </x:si>
  <x:si>
    <x:t xml:space="preserve">If blocked, return to CENTRAL for disjoint lane</x:t>
  </x:si>
  <x:si>
    <x:t xml:space="preserve">T-260</x:t>
  </x:si>
  <x:si>
    <x:t xml:space="preserve">Canonical acceptance database builder convergence</x:t>
  </x:si>
  <x:si>
    <x:t xml:space="preserve">T-251 proved the named fresh DB is built from an incomplete canonical path; classifying it now would be false work.</x:t>
  </x:si>
  <x:si>
    <x:t xml:space="preserve">T-260 → resume T-251 → T-259</x:t>
  </x:si>
  <x:si>
    <x:t xml:space="preserve">PAUSE</x:t>
  </x:si>
  <x:si>
    <x:t xml:space="preserve">Pause adjudication until T-260</x:t>
  </x:si>
  <x:si>
    <x:t xml:space="preserve">Catalogue machine is good; fresh reference state is not yet authoritative.</x:t>
  </x:si>
  <x:si>
    <x:t xml:space="preserve">Do not classify current 106/81 queue</x:t>
  </x:si>
  <x:si>
    <x:t xml:space="preserve">T-261</x:t>
  </x:si>
  <x:si>
    <x:t xml:space="preserve">Governed Transformation/Projection executor</x:t>
  </x:si>
  <x:si>
    <x:t xml:space="preserve">Measured T-245 preflight proved binding exists but CanonicalRefresh honestly has no governed Transformation executor.</x:t>
  </x:si>
  <x:si>
    <x:t xml:space="preserve">T-261 → T-245 → T-247 → T-150</x:t>
  </x:si>
  <x:si>
    <x:t xml:space="preserve">TRACE</x:t>
  </x:si>
  <x:si>
    <x:t xml:space="preserve">ALL</x:t>
  </x:si>
  <x:si>
    <x:t xml:space="preserve">All</x:t>
  </x:si>
  <x:si>
    <x:t xml:space="preserve">CENTRAL</x:t>
  </x:si>
  <x:si>
    <x:t xml:space="preserve">Product Capability Traceability Standard v1.1</x:t>
  </x:si>
  <x:si>
    <x:t xml:space="preserve">Every backlog task now declares a Primary Capability point; secondary capability IDs capture real cross-capability contribution without double-counting.</x:t>
  </x:si>
  <x:si>
    <x:t xml:space="preserve">Backlog → capability → D-dimension → evidence reporting</x:t>
  </x:si>
  <x:si>
    <x:t xml:space="preserve">Release</x:t>
  </x:si>
  <x:si>
    <x:t xml:space="preserve">Nominal h</x:t>
  </x:si>
  <x:si>
    <x:t xml:space="preserve">Backlog Status</x:t>
  </x:si>
  <x:si>
    <x:t xml:space="preserve">Verified Status</x:t>
  </x:si>
  <x:si>
    <x:t xml:space="preserve">Closed h</x:t>
  </x:si>
  <x:si>
    <x:t xml:space="preserve">Remaining h</x:t>
  </x:si>
  <x:si>
    <x:t xml:space="preserve">Active Scope h</x:t>
  </x:si>
  <x:si>
    <x:t xml:space="preserve">Commit String</x:t>
  </x:si>
  <x:si>
    <x:t xml:space="preserve">Commit Date</x:t>
  </x:si>
  <x:si>
    <x:t xml:space="preserve">Depends On</x:t>
  </x:si>
  <x:si>
    <x:t xml:space="preserve">Must Precede</x:t>
  </x:si>
  <x:si>
    <x:t xml:space="preserve">Release Criticality</x:t>
  </x:si>
  <x:si>
    <x:t xml:space="preserve">Tech-Lead Ruling</x:t>
  </x:si>
  <x:si>
    <x:t xml:space="preserve">Freeze the legacy Fleet v2 controlled regression oracle</x:t>
  </x:si>
  <x:si>
    <x:t xml:space="preserve">77a8ea4f — T-086: freeze the legacy regression oracle and gate generic surfaces against its vocabulary</x:t>
  </x:si>
  <x:si>
    <x:t xml:space="preserve">T-087; T-088; T-131</x:t>
  </x:si>
  <x:si>
    <x:t xml:space="preserve">Release 1 MUST</x:t>
  </x:si>
  <x:si>
    <x:t xml:space="preserve">M2 P1 — Product Foundation &amp; Release Truth. Release 1 is genuine early production / first-week customer work.</x:t>
  </x:si>
  <x:si>
    <x:t xml:space="preserve">Physical three-schema migration</x:t>
  </x:si>
  <x:si>
    <x:t xml:space="preserve">e7d82f078d7dfa4c1ca4ec6e88d0dbc7e1ecd6ba — subject not recovered</x:t>
  </x:si>
  <x:si>
    <x:t xml:space="preserve">T-086; T-088</x:t>
  </x:si>
  <x:si>
    <x:t xml:space="preserve">T-061; T-089; T-099; T-102; T-112; T-114; T-128; T-196; T-233</x:t>
  </x:si>
  <x:si>
    <x:t xml:space="preserve">Canonical migration order and legacy script archival</x:t>
  </x:si>
  <x:si>
    <x:t xml:space="preserve">6a62c9d6 — Establish canonical database migration authority</x:t>
  </x:si>
  <x:si>
    <x:t xml:space="preserve">T-087; T-089; T-112; T-128</x:t>
  </x:si>
  <x:si>
    <x:t xml:space="preserve">definition_store, definition_versions and definition_dependencies</x:t>
  </x:si>
  <x:si>
    <x:t xml:space="preserve">0fd79e5e3516cdfd0ab5a73a02e16638fd02693a — subject not recovered</x:t>
  </x:si>
  <x:si>
    <x:t xml:space="preserve">T-087; T-088</x:t>
  </x:si>
  <x:si>
    <x:t xml:space="preserve">T-061; T-090; T-092; T-095; T-099; T-106; T-114; T-128; T-183; T-243; T-244</x:t>
  </x:si>
  <x:si>
    <x:t xml:space="preserve">Move all five definition kinds onto the store</x:t>
  </x:si>
  <x:si>
    <x:t xml:space="preserve">a6399d9c — subject not recovered</x:t>
  </x:si>
  <x:si>
    <x:t xml:space="preserve">T-061; T-091; T-092; T-095; T-099; T-104; T-106; T-114; T-128; T-134; T-147; T-183; T-195; T-210; T-221; T-228; T-231; T-232; T-233; T-235; T-239; T-243; T-244</x:t>
  </x:si>
  <x:si>
    <x:t xml:space="preserve">CENTRAL 30-Aug-2026: canonical definition convergence remains full scope. Deliver the standard executable PowerShell pack; no Task-ID-less changes.</x:t>
  </x:si>
  <x:si>
    <x:t xml:space="preserve">Impact preview, export and import</x:t>
  </x:si>
  <x:si>
    <x:t xml:space="preserve">c6d64289 — subject not recovered</x:t>
  </x:si>
  <x:si>
    <x:t xml:space="preserve">T-128; T-183</x:t>
  </x:si>
  <x:si>
    <x:t xml:space="preserve">Registry authority: dimensions and measures as rows</x:t>
  </x:si>
  <x:si>
    <x:t xml:space="preserve">ab2962a4; 7cad36e4 — registry authority closure commits</x:t>
  </x:si>
  <x:si>
    <x:t xml:space="preserve">T-089; T-090; T-210; T-231</x:t>
  </x:si>
  <x:si>
    <x:t xml:space="preserve">T-093; T-094; T-128; T-183; T-212; T-215; T-228; T-237; T-247</x:t>
  </x:si>
  <x:si>
    <x:t xml:space="preserve">Plant-vocabulary sweep, part 1: build the term list and the architecture test</x:t>
  </x:si>
  <x:si>
    <x:t xml:space="preserve">4e2e0f654b93ceed2ecdfbce4d3c1768550b3079 — T-093 govern plant vocabulary as data-driven genericity debt</x:t>
  </x:si>
  <x:si>
    <x:t xml:space="preserve">T-092; T-206</x:t>
  </x:si>
  <x:si>
    <x:t xml:space="preserve">T-094; T-128; T-183</x:t>
  </x:si>
  <x:si>
    <x:t xml:space="preserve">Plant-vocabulary sweep, part 2: remove hardcoded universal grain and industry vocabulary</x:t>
  </x:si>
  <x:si>
    <x:t xml:space="preserve">377aabdffb27d651d30537ce5228ee4afe268526; 6ab97ee2; e74ecd1c; 5a967f1b0ab45961c8b8a880bb4fdec53a783134 — final: T-094 close keyed declared-dimension cutover and genericity reconciliation</x:t>
  </x:si>
  <x:si>
    <x:t xml:space="preserve">T-092; T-093; T-209</x:t>
  </x:si>
  <x:si>
    <x:t xml:space="preserve">T-095; T-128; T-183; T-196</x:t>
  </x:si>
  <x:si>
    <x:t xml:space="preserve">CENTRAL 04-Sep-2026: T-094 remains open. Scope is formally amended from one wire to both declared-dimension execution surfaces. No new task is created while T-094 is open; after closure any new surface requires a new Task ID.</x:t>
  </x:si>
  <x:si>
    <x:t xml:space="preserve">Freeze the successful M1 presentation baseline and transfer programme authority to M2</x:t>
  </x:si>
  <x:si>
    <x:t xml:space="preserve">BASELINE HEAD 7da9d46ed29545f1c4f4686fa82c117c08b9fc86; TAG m1-presentation-baseline-2026-08-21 — no task commit; tag is closure artifact</x:t>
  </x:si>
  <x:si>
    <x:t xml:space="preserve">T-086; T-202; T-203; T-204; T-205; T-206; T-207; T-208; T-213; T-241</x:t>
  </x:si>
  <x:si>
    <x:t xml:space="preserve">Persisted page/widget definition replay gate</x:t>
  </x:si>
  <x:si>
    <x:t xml:space="preserve">ad37c324 — Add persisted definition replay gate for release truth</x:t>
  </x:si>
  <x:si>
    <x:t xml:space="preserve">T-150; T-212</x:t>
  </x:si>
  <x:si>
    <x:t xml:space="preserve">Customer-route network, console and widget-state invariant</x:t>
  </x:si>
  <x:si>
    <x:t xml:space="preserve">cd1a450e — Add customer route invariant gate with durable evidence</x:t>
  </x:si>
  <x:si>
    <x:t xml:space="preserve">T-150; T-222</x:t>
  </x:si>
  <x:si>
    <x:t xml:space="preserve">Associative cross-filter state-machine certification</x:t>
  </x:si>
  <x:si>
    <x:t xml:space="preserve">c6491e2d — closure-state HEAD; exact task commit subject not independently recovered</x:t>
  </x:si>
  <x:si>
    <x:t xml:space="preserve">Frontend global suite termination and machine-readable gate</x:t>
  </x:si>
  <x:si>
    <x:t xml:space="preserve">b7fcc890 — Gate the frontend suite on deterministic termination and machine-readable evidence</x:t>
  </x:si>
  <x:si>
    <x:t xml:space="preserve">T-150; T-250</x:t>
  </x:si>
  <x:si>
    <x:t xml:space="preserve">CENTRAL 30-Aug-2026: T-205 CLOSED GREEN at b7fcc890. The gate correctly reports suite truth; bounded corrections are a separate explicit task.</x:t>
  </x:si>
  <x:si>
    <x:t xml:space="preserve">T-206</x:t>
  </x:si>
  <x:si>
    <x:t xml:space="preserve">Scope-aware genericity architecture gate</x:t>
  </x:si>
  <x:si>
    <x:t xml:space="preserve">Not recovered from reviewed sessions</x:t>
  </x:si>
  <x:si>
    <x:t xml:space="preserve">T-093; T-150; T-213</x:t>
  </x:si>
  <x:si>
    <x:t xml:space="preserve">Generic controlled validation fixture authority and continuous-process known-answer pack</x:t>
  </x:si>
  <x:si>
    <x:t xml:space="preserve">969c767c — T-208: generic controlled validation fixture and continuous-process known answers</x:t>
  </x:si>
  <x:si>
    <x:t xml:space="preserve">T-150; T-209; T-211; T-216; T-217; T-218; T-234; T-238</x:t>
  </x:si>
  <x:si>
    <x:t xml:space="preserve">Analysis Subject and Grain contract + schema-independent resolution kernel</x:t>
  </x:si>
  <x:si>
    <x:t xml:space="preserve">f2bafdb4 — subject not recovered</x:t>
  </x:si>
  <x:si>
    <x:t xml:space="preserve">T-094; T-210; T-214; T-231; T-234</x:t>
  </x:si>
  <x:si>
    <x:t xml:space="preserve">Canonical signal and aggregation semantics authority</x:t>
  </x:si>
  <x:si>
    <x:t xml:space="preserve">92a655e1ddc4becedbaf89a3db96dc0d0f1eaf94 — subject not recovered</x:t>
  </x:si>
  <x:si>
    <x:t xml:space="preserve">T-090; T-209</x:t>
  </x:si>
  <x:si>
    <x:t xml:space="preserve">T-092; T-128; T-211; T-212; T-242</x:t>
  </x:si>
  <x:si>
    <x:t xml:space="preserve">Source Time Authority contract and timestamp-semantics kernel</x:t>
  </x:si>
  <x:si>
    <x:t xml:space="preserve">ea9103fd — Establish source time authority for plant timestamps</x:t>
  </x:si>
  <x:si>
    <x:t xml:space="preserve">T-200; T-217; T-233</x:t>
  </x:si>
  <x:si>
    <x:t xml:space="preserve">Persist Analysis Subject and Grain authority in canonical definition store</x:t>
  </x:si>
  <x:si>
    <x:t xml:space="preserve">c930af079502aa1660ef2bd5c50756d3fc3cf8f3 — Persist-T231-canonical-analysis-subject-grain-authority</x:t>
  </x:si>
  <x:si>
    <x:t xml:space="preserve">T-092; T-128; T-139; T-232; T-235</x:t>
  </x:si>
  <x:si>
    <x:t xml:space="preserve">Relationship members, cardinality, grain conversion and preferred paths</x:t>
  </x:si>
  <x:si>
    <x:t xml:space="preserve">554d1ac02af122fdeb7ca54b1dd35bac0c76f23e — subject not recovered</x:t>
  </x:si>
  <x:si>
    <x:t xml:space="preserve">T-057; T-089; T-090; T-094</x:t>
  </x:si>
  <x:si>
    <x:t xml:space="preserve">T-096; T-098; T-102; T-103; T-104; T-107; T-109; T-114; T-128; T-134; T-183; T-196; T-221</x:t>
  </x:si>
  <x:si>
    <x:t xml:space="preserve">M2 P2 — Day-1 Data Workbench — DB Link, Canvas, Jobs &amp; OPC. Release 1 is genuine early production / first-week customer work.</x:t>
  </x:si>
  <x:si>
    <x:t xml:space="preserve">Path resolver, part 1: resolver core and the first eight consumers</x:t>
  </x:si>
  <x:si>
    <x:t xml:space="preserve">de243027073fc5e492d65e9f9845255342517510 — T-096 relationship resolver consumer convergence</x:t>
  </x:si>
  <x:si>
    <x:t xml:space="preserve">T-097; T-098; T-107; T-109; T-128; T-134; T-183; T-221</x:t>
  </x:si>
  <x:si>
    <x:t xml:space="preserve">Path resolver, part 2: the remaining eight consumers and the regression suite</x:t>
  </x:si>
  <x:si>
    <x:t xml:space="preserve">95220d1804493f8e7b80347fe3ed4de24741f9ec — T-097 relationship consumer barrier across all sixteen families</x:t>
  </x:si>
  <x:si>
    <x:t xml:space="preserve">T-098; T-107; T-109; T-128; T-183</x:t>
  </x:si>
  <x:si>
    <x:t xml:space="preserve">T-098</x:t>
  </x:si>
  <x:si>
    <x:t xml:space="preserve">Relationship Browser page and path evidence</x:t>
  </x:si>
  <x:si>
    <x:t xml:space="preserve">Not Started</x:t>
  </x:si>
  <x:si>
    <x:t xml:space="preserve">T-095; T-096; T-097</x:t>
  </x:si>
  <x:si>
    <x:t xml:space="preserve">T-107; T-109; T-128; T-183</x:t>
  </x:si>
  <x:si>
    <x:t xml:space="preserve">T-099</x:t>
  </x:si>
  <x:si>
    <x:t xml:space="preserve">Quarantine, part 1: the table, the reprocess API and the first eight PV classes</x:t>
  </x:si>
  <x:si>
    <x:t xml:space="preserve">T-087; T-089; T-090</x:t>
  </x:si>
  <x:si>
    <x:t xml:space="preserve">T-061; T-100; T-101; T-104; T-107; T-109; T-114; T-128; T-183</x:t>
  </x:si>
  <x:si>
    <x:t xml:space="preserve">T-100</x:t>
  </x:si>
  <x:si>
    <x:t xml:space="preserve">Quarantine, part 2: the remaining seven PV classes and per-class tests</x:t>
  </x:si>
  <x:si>
    <x:t xml:space="preserve">T-101; T-107; T-109; T-128; T-183</x:t>
  </x:si>
  <x:si>
    <x:t xml:space="preserve">T-101</x:t>
  </x:si>
  <x:si>
    <x:t xml:space="preserve">Quarantine retry, reprocess and Mapping Health completion</x:t>
  </x:si>
  <x:si>
    <x:t xml:space="preserve">T-099; T-100</x:t>
  </x:si>
  <x:si>
    <x:t xml:space="preserve">T-102</x:t>
  </x:si>
  <x:si>
    <x:t xml:space="preserve">Identity resolution across sources</x:t>
  </x:si>
  <x:si>
    <x:t xml:space="preserve">T-087; T-095</x:t>
  </x:si>
  <x:si>
    <x:t xml:space="preserve">T-103; T-107; T-109; T-128; T-183</x:t>
  </x:si>
  <x:si>
    <x:t xml:space="preserve">T-103</x:t>
  </x:si>
  <x:si>
    <x:t xml:space="preserve">Genealogy bidirectional walk hardening and weight proof</x:t>
  </x:si>
  <x:si>
    <x:t xml:space="preserve">T-095; T-102</x:t>
  </x:si>
  <x:si>
    <x:t xml:space="preserve">T-104</x:t>
  </x:si>
  <x:si>
    <x:t xml:space="preserve">Projection through the versioned mapping, with version stamping</x:t>
  </x:si>
  <x:si>
    <x:t xml:space="preserve">T-090; T-095; T-099</x:t>
  </x:si>
  <x:si>
    <x:t xml:space="preserve">T-105; T-107; T-109; T-128; T-183</x:t>
  </x:si>
  <x:si>
    <x:t xml:space="preserve">T-105</x:t>
  </x:si>
  <x:si>
    <x:t xml:space="preserve">Idempotent reprojection and mapping-version regression</x:t>
  </x:si>
  <x:si>
    <x:t xml:space="preserve">Job target/version policy, executor capability registry and dependency DAG</x:t>
  </x:si>
  <x:si>
    <x:t xml:space="preserve">T-064; T-089; T-090</x:t>
  </x:si>
  <x:si>
    <x:t xml:space="preserve">T-107; T-122; T-245; T-125</x:t>
  </x:si>
  <x:si>
    <x:t xml:space="preserve">Dual-predicate admission, bounded worker pools and the three ML execution lanes</x:t>
  </x:si>
  <x:si>
    <x:t xml:space="preserve">T-095; T-096; T-097; T-098; T-099; T-100; T-101; T-102; T-103; T-104; T-105; T-106</x:t>
  </x:si>
  <x:si>
    <x:t xml:space="preserve">T-122; T-141; T-187; T-192; T-125</x:t>
  </x:si>
  <x:si>
    <x:t xml:space="preserve">T-108</x:t>
  </x:si>
  <x:si>
    <x:t xml:space="preserve">stage_watermarks and delta-scoped projection</x:t>
  </x:si>
  <x:si>
    <x:t xml:space="preserve">T-109</x:t>
  </x:si>
  <x:si>
    <x:t xml:space="preserve">Delta-scoped feature refresh and analysis, with telemetry and ML hand-off</x:t>
  </x:si>
  <x:si>
    <x:t xml:space="preserve">T-095; T-096; T-097; T-098; T-099; T-100; T-101; T-102; T-103; T-104; T-105; T-108</x:t>
  </x:si>
  <x:si>
    <x:t xml:space="preserve">T-136; T-187</x:t>
  </x:si>
  <x:si>
    <x:t xml:space="preserve">T-110</x:t>
  </x:si>
  <x:si>
    <x:t xml:space="preserve">Chunk manifests, checkpoint, resume and deterministic merge</x:t>
  </x:si>
  <x:si>
    <x:t xml:space="preserve">T-111</x:t>
  </x:si>
  <x:si>
    <x:t xml:space="preserve">Scan budget and the Scan Amplification metric</x:t>
  </x:si>
  <x:si>
    <x:t xml:space="preserve">T-207</x:t>
  </x:si>
  <x:si>
    <x:t xml:space="preserve">Connector capability truth: stop advertising unimplemented browse/read/subscription</x:t>
  </x:si>
  <x:si>
    <x:t xml:space="preserve">T-150; T-224</x:t>
  </x:si>
  <x:si>
    <x:t xml:space="preserve">T-212</x:t>
  </x:si>
  <x:si>
    <x:t xml:space="preserve">Integrate aggregation semantics into Layer-A widget/query execution</x:t>
  </x:si>
  <x:si>
    <x:t xml:space="preserve">T-202; T-210; T-211; T-092; T-234; T-235; T-236</x:t>
  </x:si>
  <x:si>
    <x:t xml:space="preserve">Customer Data Intake and Capability Assessment authority</x:t>
  </x:si>
  <x:si>
    <x:t xml:space="preserve">2748c7fba8a5c4763bc19112ce57e484cea5b9bb — subject not recovered</x:t>
  </x:si>
  <x:si>
    <x:t xml:space="preserve">T-201; T-206</x:t>
  </x:si>
  <x:si>
    <x:t xml:space="preserve">T-227; T-247</x:t>
  </x:si>
  <x:si>
    <x:t xml:space="preserve">T-224</x:t>
  </x:si>
  <x:si>
    <x:t xml:space="preserve">Production OPC UA edge runtime: endpoint security, certificates and session lifecycle</x:t>
  </x:si>
  <x:si>
    <x:t xml:space="preserve">T-153; T-225</x:t>
  </x:si>
  <x:si>
    <x:t xml:space="preserve">CENTRAL 04-Sep-2026: remove the contradictory 'after 30-Sep demo' gate. M2 is genuine early production and its P2 outcome includes real read-only OPC UA runtime.</x:t>
  </x:si>
  <x:si>
    <x:t xml:space="preserve">T-225</x:t>
  </x:si>
  <x:si>
    <x:t xml:space="preserve">Production OPC UA edge runtime: browse, tag registration, subscription and monitored items</x:t>
  </x:si>
  <x:si>
    <x:t xml:space="preserve">T-153; T-226</x:t>
  </x:si>
  <x:si>
    <x:t xml:space="preserve">T-226</x:t>
  </x:si>
  <x:si>
    <x:t xml:space="preserve">Production OPC UA edge runtime: quality/timestamps, recovery and spool-to-canonical proof</x:t>
  </x:si>
  <x:si>
    <x:t xml:space="preserve">T-225; T-233</x:t>
  </x:si>
  <x:si>
    <x:t xml:space="preserve">T-153</x:t>
  </x:si>
  <x:si>
    <x:t xml:space="preserve">T-232</x:t>
  </x:si>
  <x:si>
    <x:t xml:space="preserve">Persist Performance Reference authority and projections</x:t>
  </x:si>
  <x:si>
    <x:t xml:space="preserve">T-090; T-231; T-214</x:t>
  </x:si>
  <x:si>
    <x:t xml:space="preserve">T-215</x:t>
  </x:si>
  <x:si>
    <x:t xml:space="preserve">T-233</x:t>
  </x:si>
  <x:si>
    <x:t xml:space="preserve">Persist Source Time Authority and observation timestamp provenance</x:t>
  </x:si>
  <x:si>
    <x:t xml:space="preserve">T-087; T-090; T-216</x:t>
  </x:si>
  <x:si>
    <x:t xml:space="preserve">T-221; T-226</x:t>
  </x:si>
  <x:si>
    <x:t xml:space="preserve">T-235</x:t>
  </x:si>
  <x:si>
    <x:t xml:space="preserve">Persist transition/stabilisation authority and regime context</x:t>
  </x:si>
  <x:si>
    <x:t xml:space="preserve">T-090; T-231; T-234</x:t>
  </x:si>
  <x:si>
    <x:t xml:space="preserve">T-164; T-212; T-237</x:t>
  </x:si>
  <x:si>
    <x:t xml:space="preserve">Canvas executable block contract, typed ports and graph validation</x:t>
  </x:si>
  <x:si>
    <x:t xml:space="preserve">eb7fb2ab — subject not recovered</x:t>
  </x:si>
  <x:si>
    <x:t xml:space="preserve">T-032; T-201</x:t>
  </x:si>
  <x:si>
    <x:t xml:space="preserve">T-242; T-243</x:t>
  </x:si>
  <x:si>
    <x:t xml:space="preserve">Canvas production block library: relational, arithmetic, logic, window and governed aggregate</x:t>
  </x:si>
  <x:si>
    <x:t xml:space="preserve">b93c7a58; fc029aa44ac0079be05d623c73414b7fd9f05590; aa57a503411abeeff38ef346ba8801c7742c7926 — final: T-242 close governed aggregate and window block contracts</x:t>
  </x:si>
  <x:si>
    <x:t xml:space="preserve">T-241; T-210</x:t>
  </x:si>
  <x:si>
    <x:t xml:space="preserve">CENTRAL 04-Sep-2026: remove 'After 30-Sep MUST lane'. A Release-1-MUST task cannot be scheduled after its own release date.</x:t>
  </x:si>
  <x:si>
    <x:t xml:space="preserve">Canvas persistence, immutable versioning and reopen/edit round-trip</x:t>
  </x:si>
  <x:si>
    <x:t xml:space="preserve">T-241; T-242; T-089; T-090; T-253</x:t>
  </x:si>
  <x:si>
    <x:t xml:space="preserve">T-245; T-246</x:t>
  </x:si>
  <x:si>
    <x:t xml:space="preserve">CENTRAL v2.20.2 measured-source correction: current main has zero T-243 product-source work. Status is Not Started; begin fresh only after T-253 closes.</x:t>
  </x:si>
  <x:si>
    <x:t xml:space="preserve">SQL-mode production convergence: compile, validate, bounded dry-run and definition persistence</x:t>
  </x:si>
  <x:si>
    <x:t xml:space="preserve">4d32c6b10b4605aeb6e0705ad03537d563125652 — T-244 close canonical Canvas lifecycle and selection model</x:t>
  </x:si>
  <x:si>
    <x:t xml:space="preserve">T-035; T-036; T-089; T-090</x:t>
  </x:si>
  <x:si>
    <x:t xml:space="preserve">Canvas-to-job compilation, binding, run monitor and per-block evidence</x:t>
  </x:si>
  <x:si>
    <x:t xml:space="preserve">T-243; T-244; T-106</x:t>
  </x:si>
  <x:si>
    <x:t xml:space="preserve">T-246</x:t>
  </x:si>
  <x:si>
    <x:t xml:space="preserve">Canvas governed model/intelligence block invocation</x:t>
  </x:si>
  <x:si>
    <x:t xml:space="preserve">T-243; T-130; T-137</x:t>
  </x:si>
  <x:si>
    <x:t xml:space="preserve">T-247</x:t>
  </x:si>
  <x:si>
    <x:t xml:space="preserve">First-customer Day-1 Golden Journey and same-binary onboarding proof</x:t>
  </x:si>
  <x:si>
    <x:t xml:space="preserve">T-092; T-207; T-212; T-213; T-241; T-242; T-243; T-244; T-245; T-253; T-254; T-256; T-258</x:t>
  </x:si>
  <x:si>
    <x:t xml:space="preserve">Shared authoring governed output-target canonical-content contract</x:t>
  </x:si>
  <x:si>
    <x:t xml:space="preserve">In Progress</x:t>
  </x:si>
  <x:si>
    <x:t xml:space="preserve">T-094; T-209; T-241; T-244</x:t>
  </x:si>
  <x:si>
    <x:t xml:space="preserve">T-243; T-245; T-247; T-150</x:t>
  </x:si>
  <x:si>
    <x:t xml:space="preserve">CENTRAL v2.20.3: canonical output identity = ICanonicalEntityCatalog CLR canonical name. Projection-target eligibility is separate and MUST use the `ICanonicalProjectionTarget` marker interface on mapped entity types; do not enumerate all mapped entities, do not use schema-only eligibility, and do not add a new string allowlist. New root outputTarget is hashed for Graph+SQL; legacy Graph derives from graph.targetEntity, legacy SQL missing target stays null; minimal catalog enumeration/read endpoint allowed; path-scoped comment-stripped guard only. T-243 remains Not Started.</x:t>
  </x:si>
  <x:si>
    <x:t xml:space="preserve">Customer-facing connector capability truth convergence</x:t>
  </x:si>
  <x:si>
    <x:t xml:space="preserve">T-247; T-150; T-153</x:t>
  </x:si>
  <x:si>
    <x:t xml:space="preserve">Narrow truth-regression task; T-207 remains closed.</x:t>
  </x:si>
  <x:si>
    <x:t xml:space="preserve">T-258</x:t>
  </x:si>
  <x:si>
    <x:t xml:space="preserve">P3</x:t>
  </x:si>
  <x:si>
    <x:t xml:space="preserve">Frontend material-surface genericity convergence and presentation compatibility</x:t>
  </x:si>
  <x:si>
    <x:t xml:space="preserve">T-094; T-250; T-256</x:t>
  </x:si>
  <x:si>
    <x:t xml:space="preserve">T-247; T-150</x:t>
  </x:si>
  <x:si>
    <x:t xml:space="preserve">v2.20.1 ownership split: created to prevent Worker 1 T-256 from crossing into Worker-2 frontend ownership while still closing generic-binary material residue.</x:t>
  </x:si>
  <x:si>
    <x:t xml:space="preserve">T-148</x:t>
  </x:si>
  <x:si>
    <x:t xml:space="preserve">Map the 108 page files onto the 40 target pages</x:t>
  </x:si>
  <x:si>
    <x:t xml:space="preserve">T-196; T-197; T-198; T-199; T-200</x:t>
  </x:si>
  <x:si>
    <x:t xml:space="preserve">M2 P3 — Enterprise BI &amp; Customer Experience. Release 1 is genuine early production / first-week customer work.</x:t>
  </x:si>
  <x:si>
    <x:t xml:space="preserve">Reference gap, attainment and envelope measures in registry/BI</x:t>
  </x:si>
  <x:si>
    <x:t xml:space="preserve">T-092; T-214; T-232</x:t>
  </x:si>
  <x:si>
    <x:t xml:space="preserve">T-222</x:t>
  </x:si>
  <x:si>
    <x:t xml:space="preserve">D1/D4 reconciliation evidence surface and reference overlay</x:t>
  </x:si>
  <x:si>
    <x:t xml:space="preserve">T-219; T-220; T-215; T-203; T-204</x:t>
  </x:si>
  <x:si>
    <x:t xml:space="preserve">T-137</x:t>
  </x:si>
  <x:si>
    <x:t xml:space="preserve">ModelServingRuntime and model-gateway adapter, isolated from the presentation dock</x:t>
  </x:si>
  <x:si>
    <x:t xml:space="preserve">T-122; T-138; T-246</x:t>
  </x:si>
  <x:si>
    <x:t xml:space="preserve">M2 P4 — Industrial Intelligence — Reference, Reconciliation &amp; Assistant. Release 1 is genuine early production / first-week customer work.</x:t>
  </x:si>
  <x:si>
    <x:t xml:space="preserve">Versioned C#↔Python ML job protocol and isolated runtime harness</x:t>
  </x:si>
  <x:si>
    <x:t xml:space="preserve">16ea041a; 94ab4e40; 723b9434; 6aef283f; ef588f0c — multi-commit runtime/protocol/CI closure</x:t>
  </x:si>
  <x:si>
    <x:t xml:space="preserve">T-122; T-175; T-187</x:t>
  </x:si>
  <x:si>
    <x:t xml:space="preserve">Typed columnar training-artifact library and B-03 harness</x:t>
  </x:si>
  <x:si>
    <x:t xml:space="preserve">a887c554 — T-169 Pack 1: typed columnar artifact contract, Parquet and Arrow IPC adapters, two hashes, B-03 hook</x:t>
  </x:si>
  <x:si>
    <x:t xml:space="preserve">T-175; T-184; T-187</x:t>
  </x:si>
  <x:si>
    <x:t xml:space="preserve">Chunked sequence-artifact library and bounded loader</x:t>
  </x:si>
  <x:si>
    <x:t xml:space="preserve">5a216483 — T-170 Chunked sequence-artifact library and bounded loader</x:t>
  </x:si>
  <x:si>
    <x:t xml:space="preserve">T-185; T-187</x:t>
  </x:si>
  <x:si>
    <x:t xml:space="preserve">Capability Profiler and eligibility/refusal kernel</x:t>
  </x:si>
  <x:si>
    <x:t xml:space="preserve">95cc019c — Capability Profiler Pack 2</x:t>
  </x:si>
  <x:si>
    <x:t xml:space="preserve">T-131; T-186; T-187</x:t>
  </x:si>
  <x:si>
    <x:t xml:space="preserve">MF-01 Process Encoder runtime behind a replaceable contract</x:t>
  </x:si>
  <x:si>
    <x:t xml:space="preserve">d4321856 — T-172 MF-01 Process Encoder runtime behind a replaceable contract</x:t>
  </x:si>
  <x:si>
    <x:t xml:space="preserve">T-187</x:t>
  </x:si>
  <x:si>
    <x:t xml:space="preserve">MF-02 VectorSimilarityIndex with exact-Flat recall baseline</x:t>
  </x:si>
  <x:si>
    <x:t xml:space="preserve">00a14286 — T-173 MF-02 VectorSimilarityIndex with exact-Flat recall baseline</x:t>
  </x:si>
  <x:si>
    <x:t xml:space="preserve">T-140; T-187</x:t>
  </x:si>
  <x:si>
    <x:t xml:space="preserve">MF-03 novelty-model runtime and honest refusal semantics</x:t>
  </x:si>
  <x:si>
    <x:t xml:space="preserve">db033796 — T-174 MF-03 novelty runtime and honest refusal semantics</x:t>
  </x:si>
  <x:si>
    <x:t xml:space="preserve">MF-04 supervised-outcome training runtime and mandatory simple baseline</x:t>
  </x:si>
  <x:si>
    <x:t xml:space="preserve">2413c6e1 — T-175 MF-04 supervised training runtime and mandatory simple baseline</x:t>
  </x:si>
  <x:si>
    <x:t xml:space="preserve">T-168; T-169</x:t>
  </x:si>
  <x:si>
    <x:t xml:space="preserve">Calibration, explanation stability and three-dimensional promotion kernel</x:t>
  </x:si>
  <x:si>
    <x:t xml:space="preserve">08b54b61; 0a61ccfb — Calibration/explanation stability/promotion kernel + real TreeSHAP Pack 2</x:t>
  </x:si>
  <x:si>
    <x:t xml:space="preserve">T-140; T-187; T-191</x:t>
  </x:si>
  <x:si>
    <x:t xml:space="preserve">Production statistical-method kernel, including Numeric×Categorical</x:t>
  </x:si>
  <x:si>
    <x:t xml:space="preserve">502f8ca3; 502e0da9; bb4c5686 — T-177 multi-commit statistical-kernel closure</x:t>
  </x:si>
  <x:si>
    <x:t xml:space="preserve">T-146; T-147</x:t>
  </x:si>
  <x:si>
    <x:t xml:space="preserve">Pure remediation eligibility and can_accept decision kernel</x:t>
  </x:si>
  <x:si>
    <x:t xml:space="preserve">b8792516; b5dbf232 — remediation eligibility/can_accept kernel + corrective canonical precedence</x:t>
  </x:si>
  <x:si>
    <x:t xml:space="preserve">T-143</x:t>
  </x:si>
  <x:si>
    <x:t xml:space="preserve">Deterministic Assistant tool planner</x:t>
  </x:si>
  <x:si>
    <x:t xml:space="preserve">d2bf1834 — T-179: deterministic Assistant tool planner</x:t>
  </x:si>
  <x:si>
    <x:t xml:space="preserve">T-138; T-223; T-228</x:t>
  </x:si>
  <x:si>
    <x:t xml:space="preserve">Permission-first hybrid retrieval and evidence packer</x:t>
  </x:si>
  <x:si>
    <x:t xml:space="preserve">87428c512c6d6d1ca2bf70a6a8b04aadc7a4cc3b — T-180: permission-first hybrid retrieval and deterministic evidence packer</x:t>
  </x:si>
  <x:si>
    <x:t xml:space="preserve">Deterministic answer verifier and Q-01..Q-11 evaluation harness</x:t>
  </x:si>
  <x:si>
    <x:t xml:space="preserve">eaa82b8b45fb1fdb4b406abfbe2809c5f6fc9cd5 — T-181: deterministic answer verifier and Q-01..Q-11 evaluation harness</x:t>
  </x:si>
  <x:si>
    <x:t xml:space="preserve">T-182</x:t>
  </x:si>
  <x:si>
    <x:t xml:space="preserve">Benchmark harness and result manifest for B-01..B-09</x:t>
  </x:si>
  <x:si>
    <x:t xml:space="preserve">T-211</x:t>
  </x:si>
  <x:si>
    <x:t xml:space="preserve">Aggregation semantics execution kernel with continuous known answers</x:t>
  </x:si>
  <x:si>
    <x:t xml:space="preserve">T-208; T-210</x:t>
  </x:si>
  <x:si>
    <x:t xml:space="preserve">T-214</x:t>
  </x:si>
  <x:si>
    <x:t xml:space="preserve">Performance Reference contract, precedence and scoring-semantics kernel</x:t>
  </x:si>
  <x:si>
    <x:t xml:space="preserve">T-215; T-223; T-232; T-238; T-239</x:t>
  </x:si>
  <x:si>
    <x:t xml:space="preserve">T-217</x:t>
  </x:si>
  <x:si>
    <x:t xml:space="preserve">Temporal evidence alignment kernel</x:t>
  </x:si>
  <x:si>
    <x:t xml:space="preserve">T-208; T-216</x:t>
  </x:si>
  <x:si>
    <x:t xml:space="preserve">T-219; T-236</x:t>
  </x:si>
  <x:si>
    <x:t xml:space="preserve">T-218</x:t>
  </x:si>
  <x:si>
    <x:t xml:space="preserve">Fact Evidence Authority resolution kernel</x:t>
  </x:si>
  <x:si>
    <x:t xml:space="preserve">T-219</x:t>
  </x:si>
  <x:si>
    <x:t xml:space="preserve">Operational Evidence Reconciliation kernel and seven-state taxonomy</x:t>
  </x:si>
  <x:si>
    <x:t xml:space="preserve">T-217; T-218; T-236</x:t>
  </x:si>
  <x:si>
    <x:t xml:space="preserve">T-220; T-221; T-222; T-223</x:t>
  </x:si>
  <x:si>
    <x:t xml:space="preserve">T-220</x:t>
  </x:si>
  <x:si>
    <x:t xml:space="preserve">Causal Confidence Ladder and root-cause hypothesis evaluator</x:t>
  </x:si>
  <x:si>
    <x:t xml:space="preserve">T-221; T-222; T-223</x:t>
  </x:si>
  <x:si>
    <x:t xml:space="preserve">T-221</x:t>
  </x:si>
  <x:si>
    <x:t xml:space="preserve">Canonical reconciliation persistence, evidence handles and bindable source</x:t>
  </x:si>
  <x:si>
    <x:t xml:space="preserve">T-112; T-114; T-090; T-095; T-096; T-219; T-220; T-233</x:t>
  </x:si>
  <x:si>
    <x:t xml:space="preserve">Grounded Assistant tool for reconciliation and Performance Reference explanation</x:t>
  </x:si>
  <x:si>
    <x:t xml:space="preserve">T-179; T-180; T-181; T-214; T-219; T-220</x:t>
  </x:si>
  <x:si>
    <x:t xml:space="preserve">T-234</x:t>
  </x:si>
  <x:si>
    <x:t xml:space="preserve">Operational Transition and Stabilisation contract/kernel</x:t>
  </x:si>
  <x:si>
    <x:t xml:space="preserve">T-208; T-209</x:t>
  </x:si>
  <x:si>
    <x:t xml:space="preserve">T-212; T-235; T-236</x:t>
  </x:si>
  <x:si>
    <x:t xml:space="preserve">T-236</x:t>
  </x:si>
  <x:si>
    <x:t xml:space="preserve">Transition-aware aggregation, statistics and reconciliation guard</x:t>
  </x:si>
  <x:si>
    <x:t xml:space="preserve">T-217; T-234</x:t>
  </x:si>
  <x:si>
    <x:t xml:space="preserve">T-212; T-219</x:t>
  </x:si>
  <x:si>
    <x:t xml:space="preserve">T-237</x:t>
  </x:si>
  <x:si>
    <x:t xml:space="preserve">Operational Period Driver Decomposition exact API and evidence tool</x:t>
  </x:si>
  <x:si>
    <x:t xml:space="preserve">T-092; T-235</x:t>
  </x:si>
  <x:si>
    <x:t xml:space="preserve">T-164</x:t>
  </x:si>
  <x:si>
    <x:t xml:space="preserve">P5</x:t>
  </x:si>
  <x:si>
    <x:t xml:space="preserve">Force RLS on every tenant-owned table with an architecture test</x:t>
  </x:si>
  <x:si>
    <x:t xml:space="preserve">T-087; T-088; T-251; T-252</x:t>
  </x:si>
  <x:si>
    <x:t xml:space="preserve">T-122; T-128; T-129; T-130; T-135; T-183; T-184; T-185; T-187; T-195; T-198; T-221; T-230</x:t>
  </x:si>
  <x:si>
    <x:t xml:space="preserve">M2 P5 — Release Hardening &amp; Week-1 Production Acceptance. Release 1 is genuine early production / first-week customer work.</x:t>
  </x:si>
  <x:si>
    <x:t xml:space="preserve">Secret and configuration hygiene</x:t>
  </x:si>
  <x:si>
    <x:t xml:space="preserve">T-122; T-200</x:t>
  </x:si>
  <x:si>
    <x:t xml:space="preserve">T-114</x:t>
  </x:si>
  <x:si>
    <x:t xml:space="preserve">Tenant keys, tenant-aware uniqueness and canonical namespace on new APIs</x:t>
  </x:si>
  <x:si>
    <x:t xml:space="preserve">T-087; T-089; T-090; T-095; T-099</x:t>
  </x:si>
  <x:si>
    <x:t xml:space="preserve">T-115</x:t>
  </x:si>
  <x:si>
    <x:t xml:space="preserve">Fresh-install Rule 2 acceptance test, ephemeral</x:t>
  </x:si>
  <x:si>
    <x:t xml:space="preserve">Eight-role catalogue convergence, one-to-one wire mapping and three enforcement layers</x:t>
  </x:si>
  <x:si>
    <x:t xml:space="preserve">T-121; T-197; T-198; T-200</x:t>
  </x:si>
  <x:si>
    <x:t xml:space="preserve">T-120</x:t>
  </x:si>
  <x:si>
    <x:t xml:space="preserve">Users and Roles administration surface</x:t>
  </x:si>
  <x:si>
    <x:t xml:space="preserve">Licence and entitlement enforcement</x:t>
  </x:si>
  <x:si>
    <x:t xml:space="preserve">T-127</x:t>
  </x:si>
  <x:si>
    <x:t xml:space="preserve">Install package, migration runner, upgrade and rollback</x:t>
  </x:si>
  <x:si>
    <x:t xml:space="preserve">T-124</x:t>
  </x:si>
  <x:si>
    <x:t xml:space="preserve">Backup with a tested restore acceptance procedure</x:t>
  </x:si>
  <x:si>
    <x:t xml:space="preserve">T-199</x:t>
  </x:si>
  <x:si>
    <x:t xml:space="preserve">Minimum monitoring, health and alerting</x:t>
  </x:si>
  <x:si>
    <x:t xml:space="preserve">T-106; T-107</x:t>
  </x:si>
  <x:si>
    <x:t xml:space="preserve">T-126</x:t>
  </x:si>
  <x:si>
    <x:t xml:space="preserve">Support runbook and UAT dataset and configuration import</x:t>
  </x:si>
  <x:si>
    <x:t xml:space="preserve">Release 1 final production gate: Day-1 workbench, BI, OPC, intelligence and hardening</x:t>
  </x:si>
  <x:si>
    <x:t xml:space="preserve">T-115; T-123; T-124; T-125; T-126; T-205; T-207; T-212; T-215; T-222; T-223; T-226; T-227; T-247; T-250; T-251; T-252; T-253; T-254; T-255; T-256; T-257; T-258; T-259</x:t>
  </x:si>
  <x:si>
    <x:t xml:space="preserve">CENTRAL 04-Sep-2026: T-150 release completeness is generated from Release Criticality, not inferred from transitive Depends-On. A green T-150 with any Release-1-MUST row unproven is mechanically impossible.</x:t>
  </x:si>
  <x:si>
    <x:t xml:space="preserve">Release 1 production acceptance scorecard and evidence policy</x:t>
  </x:si>
  <x:si>
    <x:t xml:space="preserve">T-213; T-259</x:t>
  </x:si>
  <x:si>
    <x:t xml:space="preserve">Frontend suite truth convergence: Journey routing and design-system corrections</x:t>
  </x:si>
  <x:si>
    <x:t xml:space="preserve">6615481b — Converge frontend journey and design-system truth</x:t>
  </x:si>
  <x:si>
    <x:t xml:space="preserve">CENTRAL 30-Aug-2026: no Task ID = no repository mutation. T-250 is the sole owner of these six findings; bounded correction only, narrow tests first, one final normal suite.</x:t>
  </x:si>
  <x:si>
    <x:t xml:space="preserve">Physical database catalogue, naming authority and zero-unknown schema dictionary</x:t>
  </x:si>
  <x:si>
    <x:t xml:space="preserve">T-115; T-123; T-150</x:t>
  </x:si>
  <x:si>
    <x:t xml:space="preserve">CENTRAL 04-Sep-2026: table count is not a defect; unknown authority is. This task establishes zero-unknown physical schema governance before any cleanup.</x:t>
  </x:si>
  <x:si>
    <x:t xml:space="preserve">Release evidence envelope v1 machine-readable contract</x:t>
  </x:si>
  <x:si>
    <x:t xml:space="preserve">T-252; T-257; T-227; T-150</x:t>
  </x:si>
  <x:si>
    <x:t xml:space="preserve">v2.20.2 Option-A ruling from Worker-1 consistency review: split schema contract ahead of producers rather than pulling full T-227 P5 scorecard into P1.</x:t>
  </x:si>
  <x:si>
    <x:t xml:space="preserve">Disposable database lifecycle and integration-test database isolation</x:t>
  </x:si>
  <x:si>
    <x:t xml:space="preserve">T-087; T-088; T-251; T-259</x:t>
  </x:si>
  <x:si>
    <x:t xml:space="preserve">T-150; T-256</x:t>
  </x:si>
  <x:si>
    <x:t xml:space="preserve">CENTRAL v2.20.0 08-Sep-2026: promoted from P5 to P1. Certification DB isolation is foundational; Worker-1 sequence is T-251 → T-252 → T-256.</x:t>
  </x:si>
  <x:si>
    <x:t xml:space="preserve">Runtime genericity and three-schema consumer convergence</x:t>
  </x:si>
  <x:si>
    <x:t xml:space="preserve">T-088; T-094; T-251; T-252; T-253</x:t>
  </x:si>
  <x:si>
    <x:t xml:space="preserve">T-247; T-150; T-116; T-258</x:t>
  </x:si>
  <x:si>
    <x:t xml:space="preserve">New P1 convergence task; closed T-093/T-094 stay closed and act as regression authorities.</x:t>
  </x:si>
  <x:si>
    <x:t xml:space="preserve">Repository authority and audit-truth hygiene ratchet</x:t>
  </x:si>
  <x:si>
    <x:t xml:space="preserve">T-205; T-250</x:t>
  </x:si>
  <x:si>
    <x:t xml:space="preserve">T-150; T-249</x:t>
  </x:si>
  <x:si>
    <x:t xml:space="preserve">Created from merged v1/v2 Developer-persona review; source authority, not cosmetic cleanup.</x:t>
  </x:si>
  <x:si>
    <x:t xml:space="preserve">Frontend execution-truth and release-profile skip-zero gate</x:t>
  </x:si>
  <x:si>
    <x:t xml:space="preserve">T-205; T-250; T-259</x:t>
  </x:si>
  <x:si>
    <x:t xml:space="preserve">T-150; T-248</x:t>
  </x:si>
  <x:si>
    <x:t xml:space="preserve">Created because the 08-Sep audit still has real --list enumeration signals outside the canonical blocking Jenkins stages.</x:t>
  </x:si>
  <x:si>
    <x:t xml:space="preserve">Scope h</x:t>
  </x:si>
  <x:si>
    <x:t xml:space="preserve">Active h</x:t>
  </x:si>
  <x:si>
    <x:t xml:space="preserve">Progress %</x:t>
  </x:si>
  <x:si>
    <x:t xml:space="preserve">Open tasks</x:t>
  </x:si>
  <x:si>
    <x:t xml:space="preserve">Central interpretation</x:t>
  </x:si>
  <x:si>
    <x:t xml:space="preserve">T-251 → T-259 → T-252 → T-256. Physical catalogue, evidence-envelope contract, disposable certification DBs, then backend runtime genericity.</x:t>
  </x:si>
  <x:si>
    <x:t xml:space="preserve">T-253 expanded to canonical-content contract; T-243 measured Not Started; T-245 waits for T-243 + T-106.</x:t>
  </x:si>
  <x:si>
    <x:t xml:space="preserve">Release-1 enterprise BI core unchanged. Full comparative BI parity remains Release 2 / T-248.</x:t>
  </x:si>
  <x:si>
    <x:t xml:space="preserve">No duplicate task added; T-223 absorbs Assistant genericity/context convergence.</x:t>
  </x:si>
  <x:si>
    <x:t xml:space="preserve">T-118 retired; T-255/T-257 added. Security/licence/deploy/monitoring scopes sharpened.</x:t>
  </x:si>
  <x:si>
    <x:t xml:space="preserve">v2.20.4 adds T-260: correct the incomplete fresh acceptance DB builder before T-251 classification continues.</x:t>
  </x:si>
  <x:si>
    <x:t xml:space="preserve">M2 Scope h</x:t>
  </x:si>
  <x:si>
    <x:t xml:space="preserve">Formal Progress</x:t>
  </x:si>
  <x:si>
    <x:t xml:space="preserve">Centrally governed next sequence</x:t>
  </x:si>
  <x:si>
    <x:t xml:space="preserve">Lane</x:t>
  </x:si>
  <x:si>
    <x:t xml:space="preserve">Now</x:t>
  </x:si>
  <x:si>
    <x:t xml:space="preserve">State</x:t>
  </x:si>
  <x:si>
    <x:t xml:space="preserve">Then</x:t>
  </x:si>
  <x:si>
    <x:t xml:space="preserve">Waits for</x:t>
  </x:si>
  <x:si>
    <x:t xml:space="preserve">Central ruling</x:t>
  </x:si>
  <x:si>
    <x:t xml:space="preserve">Resume T-251 → T-259 → T-252</x:t>
  </x:si>
  <x:si>
    <x:t xml:space="preserve">T-088 authority</x:t>
  </x:si>
  <x:si>
    <x:t xml:space="preserve">Fix fresh acceptance DB build path first; do not classify old 106/81 queue.</x:t>
  </x:si>
  <x:si>
    <x:t xml:space="preserve">T-251 machine is valid and remains installed.</x:t>
  </x:si>
  <x:si>
    <x:t xml:space="preserve">T-243 → T-254</x:t>
  </x:si>
  <x:si>
    <x:t xml:space="preserve">T-244 ancestry</x:t>
  </x:si>
  <x:si>
    <x:t xml:space="preserve">Continue implementation, not more architecture review.</x:t>
  </x:si>
  <x:si>
    <x:t xml:space="preserve">Single standard runner.</x:t>
  </x:si>
  <x:si>
    <x:t xml:space="preserve">Start now</x:t>
  </x:si>
  <x:si>
    <x:t xml:space="preserve">T-255 if T-107 blocked</x:t>
  </x:si>
  <x:si>
    <x:t xml:space="preserve">—</x:t>
  </x:si>
  <x:si>
    <x:t xml:space="preserve">Canonical job authority remains T-245 prerequisite.</x:t>
  </x:si>
  <x:si>
    <x:t xml:space="preserve">No Canvas-private scheduler.</x:t>
  </x:si>
  <x:si>
    <x:t xml:space="preserve">Gated</x:t>
  </x:si>
  <x:si>
    <x:t xml:space="preserve">After T-252 + T-253</x:t>
  </x:si>
  <x:si>
    <x:t xml:space="preserve">T-252; T-253</x:t>
  </x:si>
  <x:si>
    <x:t xml:space="preserve">Backend convergence only after both foundations.</x:t>
  </x:si>
  <x:si>
    <x:t xml:space="preserve">If blocked, CENTRAL assigns disjoint work.</x:t>
  </x:si>
  <x:si>
    <x:t xml:space="preserve">Metric</x:t>
  </x:si>
  <x:si>
    <x:t xml:space="preserve">v2.20.1</x:t>
  </x:si>
  <x:si>
    <x:t xml:space="preserve">v2.20.2</x:t>
  </x:si>
  <x:si>
    <x:t xml:space="preserve">Change</x:t>
  </x:si>
  <x:si>
    <x:t xml:space="preserve">Interpretation</x:t>
  </x:si>
  <x:si>
    <x:t xml:space="preserve">M2 scope h</x:t>
  </x:si>
  <x:si>
    <x:t xml:space="preserve">T-253 measured expansion + T-259 evidence contract; no valid closure changed.</x:t>
  </x:si>
  <x:si>
    <x:t xml:space="preserve">M2 closed h</x:t>
  </x:si>
  <x:si>
    <x:t xml:space="preserve">Valid closures stay frozen.</x:t>
  </x:si>
  <x:si>
    <x:t xml:space="preserve">M2 remaining h</x:t>
  </x:si>
  <x:si>
    <x:t xml:space="preserve">Previously hidden canonical-content/evidence-contract work is now explicit.</x:t>
  </x:si>
  <x:si>
    <x:t xml:space="preserve">M2 formal progress</x:t>
  </x:si>
  <x:si>
    <x:t xml:space="preserve">Denominator correction only.</x:t>
  </x:si>
  <x:si>
    <x:t xml:space="preserve">Active task truth</x:t>
  </x:si>
  <x:si>
    <x:t xml:space="preserve">T-243 In Progress</x:t>
  </x:si>
  <x:si>
    <x:t xml:space="preserve">T-253 In Progress / T-243 Not Started</x:t>
  </x:si>
  <x:si>
    <x:t xml:space="preserve">Measured-source correction</x:t>
  </x:si>
  <x:si>
    <x:t xml:space="preserve">Current main has no T-243 product source changes.</x:t>
  </x:si>
  <x:si>
    <x:t xml:space="preserve">Phase Total</x:t>
  </x:si>
  <x:si>
    <x:t xml:space="preserve">TOTAL</x:t>
  </x:si>
</x:sst>
</file>

<file path=xl/styles.xml><?xml version="1.0" encoding="utf-8"?>
<x:styleSheet xmlns:x="http://schemas.openxmlformats.org/spreadsheetml/2006/main">
  <x:numFmts count="7">
    <x:numFmt numFmtId="164" formatCode="0.0"/>
    <x:numFmt numFmtId="165" formatCode="yyyy\-mm\-dd"/>
    <x:numFmt numFmtId="166" formatCode="0.0%"/>
    <x:numFmt numFmtId="200" formatCode="0.0;[Red](0.0);–"/>
    <x:numFmt numFmtId="201" formatCode="0.00;[Red](0.00);–"/>
    <x:numFmt numFmtId="202" formatCode="@"/>
    <x:numFmt numFmtId="203" formatCode="yyyy-mm-dd"/>
  </x:numFmts>
  <x:fonts count="26">
    <x:font>
      <x:sz val="11"/>
      <x:name val="Carlito"/>
    </x:font>
    <x:font>
      <x:b/>
      <x:sz val="16"/>
      <x:color rgb="FFFFFFFF"/>
      <x:name val="Carlito"/>
    </x:font>
    <x:font>
      <x:b/>
      <x:sz val="11"/>
      <x:color rgb="FFFFFFFF"/>
      <x:name val="Carlito"/>
    </x:font>
    <x:font>
      <x:b/>
      <x:sz val="11"/>
      <x:color rgb="FF17384A"/>
      <x:name val="Carlito"/>
    </x:font>
    <x:font>
      <x:b/>
      <x:sz val="14"/>
      <x:color rgb="FFFFFFFF"/>
      <x:name val="Carlito"/>
    </x:font>
    <x:font>
      <x:b/>
      <x:sz val="11"/>
      <x:name val="Carlito"/>
    </x:font>
    <x:font>
      <x:i/>
      <x:sz val="11"/>
      <x:name val="Carlito"/>
    </x:font>
    <x:font>
      <x:b/>
      <x:sz val="11"/>
      <x:color rgb="FF17365D"/>
      <x:name val="Carlito"/>
    </x:font>
    <x:font>
      <x:b/>
      <x:sz val="20"/>
      <x:name val="Carlito"/>
    </x:font>
    <x:font>
      <x:b/>
      <x:sz val="10"/>
      <x:color rgb="FFFFFFFF"/>
      <x:name val="Carlito"/>
    </x:font>
    <x:font>
      <x:sz val="10"/>
      <x:name val="Carlito"/>
    </x:font>
    <x:font>
      <x:b/>
      <x:sz val="10"/>
      <x:color rgb="FF17384A"/>
      <x:name val="Carlito"/>
    </x:font>
    <x:font>
      <x:b/>
      <x:sz val="20"/>
      <x:color rgb="FFFFFFFF"/>
      <x:name val="Carlito"/>
    </x:font>
    <x:font>
      <x:sz val="11"/>
      <x:color rgb="FF334155"/>
      <x:name val="Carlito"/>
    </x:font>
    <x:font>
      <x:sz val="11"/>
      <x:color rgb="FFFFFFFF"/>
      <x:name val="Carlito"/>
    </x:font>
    <x:font>
      <x:sz val="10"/>
      <x:color rgb="FFFFFFFF"/>
      <x:name val="Carlito"/>
    </x:font>
    <x:font>
      <x:b/>
      <x:sz val="11"/>
      <x:color rgb="FFFFFFFF"/>
      <x:name val="Aptos"/>
    </x:font>
    <x:font>
      <x:sz val="11"/>
      <x:name val="Aptos"/>
    </x:font>
    <x:font>
      <x:b/>
      <x:sz val="10"/>
      <x:color rgb="FFFFFFFF"/>
      <x:name val="Aptos"/>
    </x:font>
    <x:font>
      <x:sz val="10"/>
      <x:name val="Aptos"/>
    </x:font>
    <x:font>
      <x:b/>
      <x:sz val="18"/>
      <x:color rgb="FFFFFFFF"/>
      <x:name val="Carlito"/>
    </x:font>
    <x:font>
      <x:i/>
      <x:sz val="10"/>
      <x:color rgb="FF456174"/>
      <x:name val="Carlito"/>
    </x:font>
    <x:font>
      <x:b/>
      <x:sz val="11"/>
      <x:color rgb="FF123048"/>
      <x:name val="Carlito"/>
    </x:font>
    <x:font>
      <x:b/>
      <x:sz val="18"/>
      <x:color rgb="FFFFFFFF"/>
      <x:name val="Aptos"/>
    </x:font>
    <x:font>
      <x:i/>
      <x:sz val="10"/>
      <x:color rgb="FF456174"/>
      <x:name val="Aptos"/>
    </x:font>
    <x:font>
      <x:b/>
      <x:sz val="11"/>
      <x:color rgb="FF123048"/>
      <x:name val="Aptos"/>
    </x:font>
  </x:fonts>
  <x:fills count="33">
    <x:fill>
      <x:patternFill patternType="none"/>
    </x:fill>
    <x:fill>
      <x:patternFill patternType="gray125"/>
    </x:fill>
    <x:fill>
      <x:patternFill patternType="solid">
        <x:fgColor rgb="FF0B1F33"/>
      </x:patternFill>
    </x:fill>
    <x:fill>
      <x:patternFill patternType="solid">
        <x:fgColor rgb="FF1E5A73"/>
      </x:patternFill>
    </x:fill>
    <x:fill>
      <x:patternFill patternType="solid">
        <x:fgColor rgb="FFF0F5F8"/>
      </x:patternFill>
    </x:fill>
    <x:fill>
      <x:patternFill patternType="solid">
        <x:fgColor theme="9" tint="0.39998"/>
      </x:patternFill>
    </x:fill>
    <x:fill>
      <x:patternFill patternType="solid">
        <x:fgColor rgb="FF92D050"/>
      </x:patternFill>
    </x:fill>
    <x:fill>
      <x:patternFill patternType="solid">
        <x:fgColor rgb="FF0B1F2A"/>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0B1F33"/>
      </x:patternFill>
    </x:fill>
    <x:fill>
      <x:patternFill patternType="solid">
        <x:fgColor rgb="FFD9EAF7"/>
      </x:patternFill>
    </x:fill>
    <x:fill>
      <x:patternFill patternType="solid">
        <x:fgColor rgb="FFD9E2F3"/>
      </x:patternFill>
    </x:fill>
    <x:fill>
      <x:patternFill patternType="solid">
        <x:fgColor rgb="FFE2F0D9"/>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92D050"/>
      </x:patternFill>
    </x:fill>
    <x:fill>
      <x:patternFill patternType="solid">
        <x:fgColor rgb="FFFFFF00"/>
      </x:patternFill>
    </x:fill>
    <x:fill>
      <x:patternFill patternType="solid">
        <x:fgColor rgb="FF102A43"/>
      </x:patternFill>
    </x:fill>
    <x:fill>
      <x:patternFill patternType="solid">
        <x:fgColor rgb="FFEAF3F8"/>
      </x:patternFill>
    </x:fill>
    <x:fill>
      <x:patternFill patternType="solid">
        <x:fgColor rgb="FF142B45"/>
      </x:patternFill>
    </x:fill>
    <x:fill>
      <x:patternFill patternType="solid">
        <x:fgColor rgb="FF102C44"/>
      </x:patternFill>
    </x:fill>
    <x:fill>
      <x:patternFill patternType="solid">
        <x:fgColor rgb="FFFFF1C2"/>
      </x:patternFill>
    </x:fill>
    <x:fill>
      <x:patternFill patternType="solid">
        <x:fgColor rgb="FFFFF8DE"/>
      </x:patternFill>
    </x:fill>
    <x:fill>
      <x:patternFill patternType="solid">
        <x:fgColor rgb="FFDBF0E4"/>
      </x:patternFill>
    </x:fill>
    <x:fill>
      <x:patternFill patternType="solid">
        <x:fgColor rgb="FFE7F0F5"/>
      </x:patternFill>
    </x:fill>
    <x:fill>
      <x:patternFill patternType="solid">
        <x:fgColor rgb="FFFFFFFF"/>
      </x:patternFill>
    </x:fill>
    <x:fill>
      <x:patternFill patternType="solid">
        <x:fgColor rgb="FF123048"/>
      </x:patternFill>
    </x:fill>
    <x:fill>
      <x:patternFill patternType="solid">
        <x:fgColor rgb="FFE5F0F5"/>
      </x:patternFill>
    </x:fill>
    <x:fill>
      <x:patternFill patternType="solid">
        <x:fgColor rgb="FF14344B"/>
      </x:patternFill>
    </x:fill>
  </x:fills>
  <x:borders count="2">
    <x:border/>
    <x:border/>
  </x:borders>
  <x:cellStyleXfs count="1">
    <x:xf numFmtId="0" fontId="0" fillId="0" borderId="0"/>
  </x:cellStyleXfs>
  <x:cellXfs count="269">
    <x:xf numFmtId="0" fontId="0" fillId="0" borderId="0" xfId="0"/>
    <x:xf numFmtId="0" fontId="2" fillId="3" borderId="0" xfId="0" applyFont="1" applyFill="1" applyAlignment="1">
      <x:alignment vertical="center" wrapText="1"/>
    </x:xf>
    <x:xf numFmtId="0" fontId="0" fillId="0" borderId="0" xfId="0" applyAlignment="1">
      <x:alignment wrapText="1"/>
    </x:xf>
    <x:xf numFmtId="0" fontId="3" fillId="4" borderId="0" xfId="0" applyFont="1" applyFill="1" applyAlignment="1">
      <x:alignment wrapText="1"/>
    </x:xf>
    <x:xf numFmtId="0" fontId="0" fillId="5" borderId="0" xfId="0" applyFill="1" applyAlignment="1">
      <x:alignment wrapText="1"/>
    </x:xf>
    <x:xf numFmtId="0" fontId="0" fillId="6" borderId="0" xfId="0" applyFill="1" applyAlignment="1">
      <x:alignment wrapText="1"/>
    </x:xf>
    <x:xf numFmtId="1" fontId="0" fillId="0" borderId="0" xfId="0" applyNumberFormat="1" applyAlignment="1">
      <x:alignment wrapText="1"/>
    </x:xf>
    <x:xf numFmtId="164" fontId="0" fillId="0" borderId="0" xfId="0" applyNumberFormat="1" applyAlignment="1">
      <x:alignment wrapText="1"/>
    </x:xf>
    <x:xf numFmtId="1" fontId="0" fillId="4" borderId="0" xfId="0" applyNumberFormat="1" applyFill="1" applyAlignment="1">
      <x:alignment wrapText="1"/>
    </x:xf>
    <x:xf numFmtId="0" fontId="2" fillId="8" borderId="0" xfId="0" applyFont="1" applyFill="1" applyAlignment="1">
      <x:alignment horizontal="center" vertical="center" wrapText="1"/>
    </x:xf>
    <x:xf numFmtId="165" fontId="0" fillId="0" borderId="0" xfId="0" applyNumberFormat="1" applyAlignment="1">
      <x:alignment wrapText="1"/>
    </x:xf>
    <x:xf numFmtId="166" fontId="0" fillId="0" borderId="0" xfId="0" applyNumberFormat="1"/>
    <x:xf numFmtId="164" fontId="0" fillId="6" borderId="0" xfId="0" applyNumberFormat="1" applyFill="1" applyAlignment="1">
      <x:alignment wrapText="1"/>
    </x:xf>
    <x:xf numFmtId="0" fontId="2" fillId="9" borderId="0" xfId="0" applyFont="1" applyFill="1" applyAlignment="1">
      <x:alignment horizontal="center" wrapText="1"/>
    </x:xf>
    <x:xf numFmtId="166" fontId="0" fillId="4" borderId="0" xfId="0" applyNumberFormat="1" applyFill="1" applyAlignment="1">
      <x:alignment wrapText="1"/>
    </x:xf>
    <x:xf numFmtId="166" fontId="0" fillId="0" borderId="0" xfId="0" applyNumberFormat="1" applyAlignment="1">
      <x:alignment wrapText="1"/>
    </x:xf>
    <x:xf numFmtId="0" fontId="2" fillId="10" borderId="0" xfId="0" applyFont="1" applyFill="1"/>
    <x:xf numFmtId="0" fontId="2" fillId="10" borderId="0" xfId="0" applyFont="1" applyFill="1" applyAlignment="1">
      <x:alignment horizontal="center" wrapText="1"/>
    </x:xf>
    <x:xf numFmtId="0" fontId="2" fillId="10" borderId="0" xfId="0" applyFont="1" applyFill="1" applyAlignment="1">
      <x:alignment wrapText="1"/>
    </x:xf>
    <x:xf numFmtId="0" fontId="5" fillId="14" borderId="0" xfId="0" applyFont="1" applyFill="1"/>
    <x:xf numFmtId="0" fontId="2" fillId="15" borderId="0" xfId="0" applyFont="1" applyFill="1" applyAlignment="1">
      <x:alignment horizontal="center" vertical="center" wrapText="1"/>
    </x:xf>
    <x:xf numFmtId="0" fontId="4" fillId="15" borderId="0" xfId="0" applyFont="1" applyFill="1"/>
    <x:xf numFmtId="0" fontId="2" fillId="15" borderId="0" xfId="0" applyFont="1" applyFill="1" applyAlignment="1">
      <x:alignment wrapText="1"/>
    </x:xf>
    <x:xf numFmtId="1" fontId="2" fillId="15" borderId="0" xfId="0" applyNumberFormat="1" applyFont="1" applyFill="1" applyAlignment="1">
      <x:alignment wrapText="1"/>
    </x:xf>
    <x:xf numFmtId="164" fontId="2" fillId="15" borderId="0" xfId="0" applyNumberFormat="1" applyFont="1" applyFill="1" applyAlignment="1">
      <x:alignment wrapText="1"/>
    </x:xf>
    <x:xf numFmtId="0" fontId="2" fillId="16" borderId="0" xfId="0" applyFont="1" applyFill="1" applyAlignment="1">
      <x:alignment horizontal="center" wrapText="1"/>
    </x:xf>
    <x:xf numFmtId="0" fontId="2" fillId="17" borderId="0" xfId="0" applyFont="1" applyFill="1" applyAlignment="1">
      <x:alignment horizontal="center" vertical="center" wrapText="1"/>
    </x:xf>
    <x:xf numFmtId="0" fontId="2" fillId="18" borderId="0" xfId="0" applyFont="1" applyFill="1" applyAlignment="1">
      <x:alignment horizontal="center" vertical="center" wrapText="1"/>
    </x:xf>
    <x:xf numFmtId="0" fontId="4" fillId="7" borderId="0" xfId="0" applyFont="1" applyFill="1" applyAlignment="1">
      <x:alignment horizontal="left" vertical="center" wrapText="1"/>
    </x:xf>
    <x:xf numFmtId="0" fontId="1" fillId="2" borderId="0" xfId="0" applyFont="1" applyFill="1" applyAlignment="1">
      <x:alignment vertical="center" wrapText="1"/>
    </x:xf>
    <x:xf numFmtId="0" fontId="4" fillId="15" borderId="0" xfId="0" applyFont="1" applyFill="1" applyAlignment="1">
      <x:alignment vertical="center" wrapText="1"/>
    </x:xf>
    <x:xf numFmtId="0" fontId="4" fillId="17" borderId="0" xfId="0" applyFont="1" applyFill="1" applyAlignment="1">
      <x:alignment vertical="center" wrapText="1"/>
    </x:xf>
    <x:xf numFmtId="0" fontId="4" fillId="8" borderId="0" xfId="0" applyFont="1" applyFill="1" applyAlignment="1">
      <x:alignment wrapText="1"/>
    </x:xf>
    <x:xf numFmtId="0" fontId="4" fillId="8" borderId="0" xfId="0" applyFont="1" applyFill="1"/>
    <x:xf numFmtId="0" fontId="4" fillId="9" borderId="0" xfId="0" applyFont="1" applyFill="1" applyAlignment="1">
      <x:alignment wrapText="1"/>
    </x:xf>
    <x:xf numFmtId="0" fontId="4" fillId="10" borderId="0" xfId="0" applyFont="1" applyFill="1" applyAlignment="1">
      <x:alignment wrapText="1"/>
    </x:xf>
    <x:xf numFmtId="0" fontId="1" fillId="11" borderId="0" xfId="0" applyFont="1" applyFill="1" applyAlignment="1">
      <x:alignment vertical="center" wrapText="1"/>
    </x:xf>
    <x:xf numFmtId="0" fontId="1" fillId="11" borderId="0" xfId="0" applyFont="1" applyFill="1" applyAlignment="1">
      <x:alignment vertical="center"/>
    </x:xf>
    <x:xf numFmtId="0" fontId="6" fillId="12" borderId="0" xfId="0" applyFont="1" applyFill="1" applyAlignment="1">
      <x:alignment wrapText="1"/>
    </x:xf>
    <x:xf numFmtId="0" fontId="7" fillId="13" borderId="0" xfId="0" applyFont="1" applyFill="1" applyAlignment="1">
      <x:alignment horizontal="center"/>
    </x:xf>
    <x:xf numFmtId="0" fontId="0" fillId="0" borderId="0" xfId="0"/>
    <x:xf numFmtId="0" fontId="8" fillId="0" borderId="0" xfId="0" applyFont="1" applyAlignment="1">
      <x:alignment horizontal="center" vertical="center"/>
    </x:xf>
    <x:xf numFmtId="166" fontId="8" fillId="0" borderId="0" xfId="0" applyNumberFormat="1" applyFont="1" applyAlignment="1">
      <x:alignment horizontal="center" vertical="center"/>
    </x:xf>
    <x:xf numFmtId="0" fontId="2" fillId="10" borderId="0" xfId="0" applyFont="1" applyFill="1"/>
    <x:xf numFmtId="0" fontId="2" fillId="18" borderId="0" xfId="0" applyFont="1" applyFill="1" applyAlignment="1">
      <x:alignment horizontal="left" vertical="center" wrapText="1"/>
    </x:xf>
    <x:xf numFmtId="0" fontId="0" fillId="0" borderId="0" xfId="0" applyAlignment="1">
      <x:alignment wrapText="1"/>
    </x:xf>
    <x:xf numFmtId="0" fontId="0" fillId="19" borderId="0" xfId="0" applyFill="1" applyAlignment="1">
      <x:alignment wrapText="1"/>
    </x:xf>
    <x:xf numFmtId="164" fontId="0" fillId="19" borderId="0" xfId="0" applyNumberFormat="1" applyFill="1" applyAlignment="1">
      <x:alignment wrapText="1"/>
    </x:xf>
    <x:xf numFmtId="0" fontId="0" fillId="0" borderId="0" xfId="0" applyFill="1" applyAlignment="1">
      <x:alignment wrapText="1"/>
    </x:xf>
    <x:xf numFmtId="164" fontId="0" fillId="0" borderId="0" xfId="0" applyNumberFormat="1" applyFill="1" applyAlignment="1">
      <x:alignment wrapText="1"/>
    </x:xf>
    <x:xf numFmtId="0" fontId="0" fillId="20" borderId="0" xfId="0" applyFill="1" applyAlignment="1">
      <x:alignment wrapText="1"/>
    </x:xf>
    <x:xf numFmtId="164" fontId="0" fillId="20" borderId="0" xfId="0" applyNumberFormat="1" applyFill="1" applyAlignment="1">
      <x:alignment wrapText="1"/>
    </x:xf>
    <x:xf numFmtId="0" fontId="0" fillId="20" borderId="0" xfId="0" applyFill="1"/>
    <x:xf numFmtId="0" fontId="0" fillId="0" borderId="1" xfId="0" applyNumberFormat="1" applyFont="1" applyFill="1" applyBorder="1"/>
    <x:xf numFmtId="0" fontId="2" fillId="3"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3" fillId="4" borderId="1" xfId="0" applyNumberFormat="1" applyFont="1" applyFill="1" applyBorder="1" applyAlignment="1">
      <x:alignment wrapText="1"/>
    </x:xf>
    <x:xf numFmtId="0" fontId="0" fillId="5" borderId="1" xfId="0" applyNumberFormat="1" applyFont="1" applyFill="1" applyBorder="1" applyAlignment="1">
      <x:alignment wrapText="1"/>
    </x:xf>
    <x:xf numFmtId="0" fontId="0" fillId="6" borderId="1" xfId="0" applyNumberFormat="1" applyFont="1" applyFill="1" applyBorder="1" applyAlignment="1">
      <x:alignment wrapText="1"/>
    </x:xf>
    <x:xf numFmtId="1" fontId="0" fillId="0" borderId="1" xfId="0" applyNumberFormat="1" applyFont="1" applyFill="1" applyBorder="1" applyAlignment="1">
      <x:alignment wrapText="1"/>
    </x:xf>
    <x:xf numFmtId="164" fontId="0" fillId="0" borderId="1" xfId="0" applyNumberFormat="1" applyFont="1" applyFill="1" applyBorder="1" applyAlignment="1">
      <x:alignment wrapText="1"/>
    </x:xf>
    <x:xf numFmtId="1" fontId="0" fillId="4" borderId="1" xfId="0" applyNumberFormat="1" applyFont="1" applyFill="1" applyBorder="1" applyAlignment="1">
      <x:alignment wrapText="1"/>
    </x:xf>
    <x:xf numFmtId="0" fontId="2" fillId="8" borderId="1" xfId="0" applyNumberFormat="1" applyFont="1" applyFill="1" applyBorder="1" applyAlignment="1">
      <x:alignment horizontal="center" vertical="center" wrapText="1"/>
    </x:xf>
    <x:xf numFmtId="165" fontId="0" fillId="0" borderId="1" xfId="0" applyNumberFormat="1" applyFont="1" applyFill="1" applyBorder="1" applyAlignment="1">
      <x:alignment wrapText="1"/>
    </x:xf>
    <x:xf numFmtId="166" fontId="0" fillId="0" borderId="1" xfId="0" applyNumberFormat="1" applyFont="1" applyFill="1" applyBorder="1"/>
    <x:xf numFmtId="164" fontId="0" fillId="6" borderId="1" xfId="0" applyNumberFormat="1" applyFont="1" applyFill="1" applyBorder="1" applyAlignment="1">
      <x:alignment wrapText="1"/>
    </x:xf>
    <x:xf numFmtId="0" fontId="2" fillId="8" borderId="1" xfId="0" applyNumberFormat="1" applyFont="1" applyFill="1" applyBorder="1" applyAlignment="1">
      <x:alignment horizontal="center" wrapText="1"/>
    </x:xf>
    <x:xf numFmtId="166" fontId="0" fillId="4" borderId="1" xfId="0" applyNumberFormat="1" applyFont="1" applyFill="1" applyBorder="1" applyAlignment="1">
      <x:alignment wrapText="1"/>
    </x:xf>
    <x:xf numFmtId="166" fontId="0" fillId="0" borderId="1" xfId="0" applyNumberFormat="1" applyFont="1" applyFill="1" applyBorder="1" applyAlignment="1">
      <x:alignment wrapText="1"/>
    </x:xf>
    <x:xf numFmtId="0" fontId="2" fillId="8" borderId="1" xfId="0" applyNumberFormat="1" applyFont="1" applyFill="1" applyBorder="1"/>
    <x:xf numFmtId="0" fontId="2" fillId="8" borderId="1" xfId="0" applyNumberFormat="1" applyFont="1" applyFill="1" applyBorder="1" applyAlignment="1">
      <x:alignment wrapText="1"/>
    </x:xf>
    <x:xf numFmtId="0" fontId="5" fillId="14" borderId="1" xfId="0" applyNumberFormat="1" applyFont="1" applyFill="1" applyBorder="1"/>
    <x:xf numFmtId="0" fontId="4" fillId="8" borderId="1" xfId="0" applyNumberFormat="1" applyFont="1" applyFill="1" applyBorder="1"/>
    <x:xf numFmtId="1" fontId="2" fillId="8" borderId="1" xfId="0" applyNumberFormat="1" applyFont="1" applyFill="1" applyBorder="1" applyAlignment="1">
      <x:alignment wrapText="1"/>
    </x:xf>
    <x:xf numFmtId="164" fontId="2" fillId="8" borderId="1" xfId="0" applyNumberFormat="1" applyFont="1" applyFill="1" applyBorder="1" applyAlignment="1">
      <x:alignment wrapText="1"/>
    </x:xf>
    <x:xf numFmtId="0" fontId="4" fillId="7" borderId="1" xfId="0" applyNumberFormat="1" applyFont="1" applyFill="1" applyBorder="1" applyAlignment="1">
      <x:alignment horizontal="left" vertical="center" wrapText="1"/>
    </x:xf>
    <x:xf numFmtId="0" fontId="1" fillId="2" borderId="1" xfId="0" applyNumberFormat="1" applyFont="1" applyFill="1" applyBorder="1" applyAlignment="1">
      <x:alignment vertical="center" wrapText="1"/>
    </x:xf>
    <x:xf numFmtId="0" fontId="4" fillId="8" borderId="1" xfId="0" applyNumberFormat="1" applyFont="1" applyFill="1" applyBorder="1" applyAlignment="1">
      <x:alignment vertical="center" wrapText="1"/>
    </x:xf>
    <x:xf numFmtId="0" fontId="4" fillId="8" borderId="1" xfId="0" applyNumberFormat="1" applyFont="1" applyFill="1" applyBorder="1" applyAlignment="1">
      <x:alignment wrapText="1"/>
    </x:xf>
    <x:xf numFmtId="0" fontId="1" fillId="2" borderId="1" xfId="0" applyNumberFormat="1" applyFont="1" applyFill="1" applyBorder="1" applyAlignment="1">
      <x:alignment vertical="center"/>
    </x:xf>
    <x:xf numFmtId="0" fontId="6" fillId="12" borderId="1" xfId="0" applyNumberFormat="1" applyFont="1" applyFill="1" applyBorder="1" applyAlignment="1">
      <x:alignment wrapText="1"/>
    </x:xf>
    <x:xf numFmtId="0" fontId="7" fillId="13" borderId="1" xfId="0" applyNumberFormat="1" applyFont="1" applyFill="1" applyBorder="1" applyAlignment="1">
      <x:alignment horizontal="center"/>
    </x:xf>
    <x:xf numFmtId="0" fontId="8" fillId="0" borderId="1" xfId="0" applyNumberFormat="1" applyFont="1" applyFill="1" applyBorder="1" applyAlignment="1">
      <x:alignment horizontal="center" vertical="center"/>
    </x:xf>
    <x:xf numFmtId="166" fontId="8" fillId="0" borderId="1" xfId="0" applyNumberFormat="1" applyFont="1" applyFill="1" applyBorder="1" applyAlignment="1">
      <x:alignment horizontal="center" vertical="center"/>
    </x:xf>
    <x:xf numFmtId="0" fontId="2" fillId="8" borderId="1" xfId="0" applyNumberFormat="1" applyFont="1" applyFill="1" applyBorder="1" applyAlignment="1">
      <x:alignment horizontal="left" vertical="center" wrapText="1"/>
    </x:xf>
    <x:xf numFmtId="0" fontId="0" fillId="20" borderId="1" xfId="0" applyNumberFormat="1" applyFont="1" applyFill="1" applyBorder="1" applyAlignment="1">
      <x:alignment wrapText="1"/>
    </x:xf>
    <x:xf numFmtId="164" fontId="0" fillId="20" borderId="1" xfId="0" applyNumberFormat="1" applyFont="1" applyFill="1" applyBorder="1" applyAlignment="1">
      <x:alignment wrapText="1"/>
    </x:xf>
    <x:xf numFmtId="0" fontId="0" fillId="20" borderId="1" xfId="0" applyNumberFormat="1" applyFont="1" applyFill="1" applyBorder="1"/>
    <x:xf numFmtId="0" fontId="2" fillId="21" borderId="0" xfId="0" applyNumberFormat="1" applyFont="1" applyFill="1" applyBorder="1" applyAlignment="1">
      <x:alignment horizontal="center" vertical="center" wrapText="1"/>
    </x:xf>
    <x:xf numFmtId="0" fontId="0" fillId="21" borderId="0" xfId="0" applyNumberFormat="1" applyFont="1" applyFill="1" applyBorder="1" applyAlignment="1">
      <x:alignment wrapText="1"/>
    </x:xf>
    <x:xf numFmtId="0" fontId="0"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x:xf numFmtId="0" fontId="2" fillId="21" borderId="1" xfId="0" applyNumberFormat="1" applyFont="1" applyFill="1" applyBorder="1" applyAlignment="1">
      <x:alignment horizontal="center" vertical="center" wrapText="1"/>
    </x:xf>
    <x:xf numFmtId="0" fontId="0" fillId="21" borderId="1" xfId="0" applyNumberFormat="1" applyFont="1" applyFill="1" applyBorder="1" applyAlignment="1">
      <x:alignment wrapText="1"/>
    </x:xf>
    <x:xf numFmtId="0" fontId="0" fillId="21" borderId="1" xfId="0" applyNumberFormat="1" applyFont="1" applyFill="1" applyBorder="1"/>
    <x:xf numFmtId="0" fontId="2" fillId="21" borderId="1" xfId="0" applyNumberFormat="1" applyFont="1" applyFill="1" applyBorder="1" applyAlignment="1">
      <x:alignment wrapText="1"/>
    </x:xf>
    <x:xf numFmtId="0" fontId="2" fillId="21" borderId="1" xfId="0" applyNumberFormat="1" applyFont="1" applyFill="1" applyBorder="1"/>
    <x:xf numFmtId="0" fontId="0" fillId="6" borderId="0" xfId="0" applyNumberFormat="1" applyFont="1" applyFill="1" applyBorder="1" applyAlignment="1">
      <x:alignment wrapText="1"/>
    </x:xf>
    <x:xf numFmtId="164" fontId="0" fillId="6"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20" borderId="0" xfId="0" applyNumberFormat="1" applyFont="1" applyFill="1" applyBorder="1" applyAlignment="1">
      <x:alignment wrapText="1"/>
    </x:xf>
    <x:xf numFmtId="164" fontId="0" fillId="20" borderId="0" xfId="0" applyNumberFormat="1" applyFont="1" applyFill="1" applyBorder="1" applyAlignment="1">
      <x:alignment wrapText="1"/>
    </x:xf>
    <x:xf numFmtId="200" fontId="0" fillId="6" borderId="0" xfId="0" applyNumberFormat="1" applyFont="1" applyFill="1" applyBorder="1" applyAlignment="1">
      <x:alignment wrapText="1"/>
    </x:xf>
    <x:xf numFmtId="200" fontId="0" fillId="0" borderId="0" xfId="0" applyNumberFormat="1" applyFont="1" applyFill="1" applyBorder="1" applyAlignment="1">
      <x:alignment wrapText="1"/>
    </x:xf>
    <x:xf numFmtId="200" fontId="0" fillId="20" borderId="0" xfId="0" applyNumberFormat="1" applyFont="1" applyFill="1" applyBorder="1" applyAlignment="1">
      <x:alignment wrapText="1"/>
    </x:xf>
    <x:xf numFmtId="200" fontId="0" fillId="6" borderId="1" xfId="0" applyNumberFormat="1" applyFont="1" applyFill="1" applyBorder="1" applyAlignment="1">
      <x:alignment wrapText="1"/>
    </x:xf>
    <x:xf numFmtId="200" fontId="0" fillId="0" borderId="1" xfId="0" applyNumberFormat="1" applyFont="1" applyFill="1" applyBorder="1" applyAlignment="1">
      <x:alignment wrapText="1"/>
    </x:xf>
    <x:xf numFmtId="200" fontId="0" fillId="20" borderId="1" xfId="0" applyNumberFormat="1" applyFont="1" applyFill="1" applyBorder="1" applyAlignment="1">
      <x:alignment wrapText="1"/>
    </x:xf>
    <x:xf numFmtId="0" fontId="9" fillId="7" borderId="0" xfId="0" applyNumberFormat="1" applyFont="1" applyFill="1" applyBorder="1" applyAlignment="1">
      <x:alignment horizontal="left" vertical="center" wrapText="1"/>
    </x:xf>
    <x:xf numFmtId="0" fontId="10" fillId="0" borderId="0" xfId="0" applyNumberFormat="1" applyFont="1" applyFill="1" applyBorder="1" applyAlignment="1">
      <x:alignment wrapText="1"/>
    </x:xf>
    <x:xf numFmtId="0" fontId="9" fillId="3" borderId="0" xfId="0" applyNumberFormat="1" applyFont="1" applyFill="1" applyBorder="1" applyAlignment="1">
      <x:alignment vertical="center" wrapText="1"/>
    </x:xf>
    <x:xf numFmtId="165" fontId="10" fillId="0" borderId="0" xfId="0" applyNumberFormat="1" applyFont="1" applyFill="1" applyBorder="1" applyAlignment="1">
      <x:alignment wrapText="1"/>
    </x:xf>
    <x:xf numFmtId="0" fontId="10" fillId="0" borderId="0" xfId="0" applyNumberFormat="1" applyFont="1" applyFill="1" applyBorder="1"/>
    <x:xf numFmtId="0" fontId="9" fillId="7" borderId="1" xfId="0" applyNumberFormat="1" applyFont="1" applyFill="1" applyBorder="1" applyAlignment="1">
      <x:alignment horizontal="left" vertical="center" wrapText="1"/>
    </x:xf>
    <x:xf numFmtId="0" fontId="10" fillId="0" borderId="1" xfId="0" applyNumberFormat="1" applyFont="1" applyFill="1" applyBorder="1" applyAlignment="1">
      <x:alignment wrapText="1"/>
    </x:xf>
    <x:xf numFmtId="0" fontId="9" fillId="3" borderId="1" xfId="0" applyNumberFormat="1" applyFont="1" applyFill="1" applyBorder="1" applyAlignment="1">
      <x:alignment vertical="center" wrapText="1"/>
    </x:xf>
    <x:xf numFmtId="165" fontId="10" fillId="0" borderId="1" xfId="0" applyNumberFormat="1" applyFont="1" applyFill="1" applyBorder="1" applyAlignment="1">
      <x:alignment wrapText="1"/>
    </x:xf>
    <x:xf numFmtId="0" fontId="10" fillId="0" borderId="1" xfId="0" applyNumberFormat="1" applyFont="1" applyFill="1" applyBorder="1"/>
    <x:xf numFmtId="0" fontId="10" fillId="21" borderId="0" xfId="0" applyNumberFormat="1" applyFont="1" applyFill="1" applyBorder="1" applyAlignment="1">
      <x:alignment wrapText="1"/>
    </x:xf>
    <x:xf numFmtId="0" fontId="9" fillId="21" borderId="0" xfId="0" applyNumberFormat="1" applyFont="1" applyFill="1" applyBorder="1" applyAlignment="1">
      <x:alignment wrapText="1"/>
    </x:xf>
    <x:xf numFmtId="0" fontId="10" fillId="21" borderId="1" xfId="0" applyNumberFormat="1" applyFont="1" applyFill="1" applyBorder="1" applyAlignment="1">
      <x:alignment wrapText="1"/>
    </x:xf>
    <x:xf numFmtId="0" fontId="9" fillId="21" borderId="1" xfId="0" applyNumberFormat="1" applyFont="1" applyFill="1" applyBorder="1" applyAlignment="1">
      <x:alignment wrapText="1"/>
    </x:xf>
    <x:xf numFmtId="0" fontId="9" fillId="8" borderId="0" xfId="0" applyNumberFormat="1" applyFont="1" applyFill="1" applyBorder="1" applyAlignment="1">
      <x:alignment vertical="center" wrapText="1"/>
    </x:xf>
    <x:xf numFmtId="0" fontId="9" fillId="8" borderId="0" xfId="0" applyNumberFormat="1" applyFont="1" applyFill="1" applyBorder="1" applyAlignment="1">
      <x:alignment horizontal="center" vertical="center" wrapText="1"/>
    </x:xf>
    <x:xf numFmtId="0" fontId="9" fillId="8" borderId="1" xfId="0" applyNumberFormat="1" applyFont="1" applyFill="1" applyBorder="1" applyAlignment="1">
      <x:alignment vertical="center" wrapText="1"/>
    </x:xf>
    <x:xf numFmtId="0" fontId="9" fillId="8" borderId="1" xfId="0" applyNumberFormat="1" applyFont="1" applyFill="1" applyBorder="1" applyAlignment="1">
      <x:alignment horizontal="center" vertical="center" wrapText="1"/>
    </x:xf>
    <x:xf numFmtId="0" fontId="9" fillId="21" borderId="0" xfId="0" applyNumberFormat="1" applyFont="1" applyFill="1" applyBorder="1" applyAlignment="1">
      <x:alignment horizontal="center" vertical="center" wrapText="1"/>
    </x:xf>
    <x:xf numFmtId="0" fontId="9" fillId="21" borderId="1" xfId="0" applyNumberFormat="1" applyFont="1" applyFill="1" applyBorder="1" applyAlignment="1">
      <x:alignment horizontal="center" vertical="center" wrapText="1"/>
    </x:xf>
    <x:xf numFmtId="0" fontId="9" fillId="8" borderId="0" xfId="0" applyNumberFormat="1" applyFont="1" applyFill="1" applyBorder="1"/>
    <x:xf numFmtId="0" fontId="9" fillId="8" borderId="0" xfId="0" applyNumberFormat="1" applyFont="1" applyFill="1" applyBorder="1" applyAlignment="1">
      <x:alignment wrapText="1"/>
    </x:xf>
    <x:xf numFmtId="1" fontId="10" fillId="0" borderId="0" xfId="0" applyNumberFormat="1" applyFont="1" applyFill="1" applyBorder="1" applyAlignment="1">
      <x:alignment wrapText="1"/>
    </x:xf>
    <x:xf numFmtId="164" fontId="10" fillId="0" borderId="0" xfId="0" applyNumberFormat="1" applyFont="1" applyFill="1" applyBorder="1" applyAlignment="1">
      <x:alignment wrapText="1"/>
    </x:xf>
    <x:xf numFmtId="0" fontId="11" fillId="4" borderId="0" xfId="0" applyNumberFormat="1" applyFont="1" applyFill="1" applyBorder="1" applyAlignment="1">
      <x:alignment wrapText="1"/>
    </x:xf>
    <x:xf numFmtId="0" fontId="9" fillId="8" borderId="1" xfId="0" applyNumberFormat="1" applyFont="1" applyFill="1" applyBorder="1"/>
    <x:xf numFmtId="0" fontId="9" fillId="8" borderId="1" xfId="0" applyNumberFormat="1" applyFont="1" applyFill="1" applyBorder="1" applyAlignment="1">
      <x:alignment wrapText="1"/>
    </x:xf>
    <x:xf numFmtId="1" fontId="10" fillId="0" borderId="1" xfId="0" applyNumberFormat="1" applyFont="1" applyFill="1" applyBorder="1" applyAlignment="1">
      <x:alignment wrapText="1"/>
    </x:xf>
    <x:xf numFmtId="164" fontId="10" fillId="0" borderId="1" xfId="0" applyNumberFormat="1" applyFont="1" applyFill="1" applyBorder="1" applyAlignment="1">
      <x:alignment wrapText="1"/>
    </x:xf>
    <x:xf numFmtId="0" fontId="11" fillId="4" borderId="1" xfId="0" applyNumberFormat="1" applyFont="1" applyFill="1" applyBorder="1" applyAlignment="1">
      <x:alignment wrapText="1"/>
    </x:xf>
    <x:xf numFmtId="0" fontId="9" fillId="8" borderId="0" xfId="0" applyNumberFormat="1" applyFont="1" applyFill="1" applyBorder="1" applyAlignment="1">
      <x:alignment horizontal="left" vertical="center" wrapText="1"/>
    </x:xf>
    <x:xf numFmtId="0" fontId="9" fillId="8" borderId="1" xfId="0" applyNumberFormat="1" applyFont="1" applyFill="1" applyBorder="1" applyAlignment="1">
      <x:alignment horizontal="left" vertical="center" wrapText="1"/>
    </x:xf>
    <x:xf numFmtId="0" fontId="9" fillId="2" borderId="0" xfId="0" applyNumberFormat="1" applyFont="1" applyFill="1" applyBorder="1" applyAlignment="1">
      <x:alignment vertical="center" wrapText="1"/>
    </x:xf>
    <x:xf numFmtId="0" fontId="9" fillId="2" borderId="1" xfId="0" applyNumberFormat="1" applyFont="1" applyFill="1" applyBorder="1" applyAlignment="1">
      <x:alignment vertical="center" wrapText="1"/>
    </x:xf>
    <x:xf numFmtId="0" fontId="12" fillId="21" borderId="0" xfId="0" applyNumberFormat="1" applyFont="1" applyFill="1" applyBorder="1" applyAlignment="1">
      <x:alignment wrapText="1"/>
    </x:xf>
    <x:xf numFmtId="0" fontId="12" fillId="21" borderId="0" xfId="0" applyNumberFormat="1" applyFont="1" applyFill="1" applyBorder="1"/>
    <x:xf numFmtId="0" fontId="12" fillId="21" borderId="1" xfId="0" applyNumberFormat="1" applyFont="1" applyFill="1" applyBorder="1" applyAlignment="1">
      <x:alignment wrapText="1"/>
    </x:xf>
    <x:xf numFmtId="0" fontId="12" fillId="21" borderId="1" xfId="0" applyNumberFormat="1" applyFont="1" applyFill="1" applyBorder="1"/>
    <x:xf numFmtId="0" fontId="10" fillId="22" borderId="0" xfId="0" applyNumberFormat="1" applyFont="1" applyFill="1" applyBorder="1" applyAlignment="1">
      <x:alignment wrapText="1"/>
    </x:xf>
    <x:xf numFmtId="0" fontId="0" fillId="22" borderId="0" xfId="0" applyNumberFormat="1" applyFont="1" applyFill="1" applyBorder="1"/>
    <x:xf numFmtId="0" fontId="13" fillId="22" borderId="0" xfId="0" applyNumberFormat="1" applyFont="1" applyFill="1" applyBorder="1" applyAlignment="1">
      <x:alignment wrapText="1"/>
    </x:xf>
    <x:xf numFmtId="0" fontId="13" fillId="22" borderId="0" xfId="0" applyNumberFormat="1" applyFont="1" applyFill="1" applyBorder="1"/>
    <x:xf numFmtId="0" fontId="10" fillId="22" borderId="1" xfId="0" applyNumberFormat="1" applyFont="1" applyFill="1" applyBorder="1" applyAlignment="1">
      <x:alignment wrapText="1"/>
    </x:xf>
    <x:xf numFmtId="0" fontId="0" fillId="22" borderId="1" xfId="0" applyNumberFormat="1" applyFont="1" applyFill="1" applyBorder="1"/>
    <x:xf numFmtId="0" fontId="13" fillId="22" borderId="1" xfId="0" applyNumberFormat="1" applyFont="1" applyFill="1" applyBorder="1" applyAlignment="1">
      <x:alignment wrapText="1"/>
    </x:xf>
    <x:xf numFmtId="0" fontId="13" fillId="22" borderId="1" xfId="0" applyNumberFormat="1" applyFont="1" applyFill="1" applyBorder="1"/>
    <x:xf numFmtId="0" fontId="0" fillId="23" borderId="0" xfId="0" applyNumberFormat="1" applyFont="1" applyFill="1" applyBorder="1" applyAlignment="1">
      <x:alignment wrapText="1"/>
    </x:xf>
    <x:xf numFmtId="0" fontId="0" fillId="23" borderId="1" xfId="0" applyNumberFormat="1" applyFont="1" applyFill="1" applyBorder="1" applyAlignment="1">
      <x:alignment wrapText="1"/>
    </x:xf>
    <x:xf numFmtId="0" fontId="14" fillId="23" borderId="0" xfId="0" applyNumberFormat="1" applyFont="1" applyFill="1" applyBorder="1" applyAlignment="1">
      <x:alignment wrapText="1"/>
    </x:xf>
    <x:xf numFmtId="0" fontId="14" fillId="23" borderId="1" xfId="0" applyNumberFormat="1" applyFont="1" applyFill="1" applyBorder="1" applyAlignment="1">
      <x:alignment wrapText="1"/>
    </x:xf>
    <x:xf numFmtId="0" fontId="0" fillId="0" borderId="0" xfId="0" applyNumberFormat="1" applyFont="1" applyFill="1" applyBorder="1"/>
    <x:xf numFmtId="0" fontId="2" fillId="3" borderId="0" xfId="0" applyNumberFormat="1" applyFont="1" applyFill="1" applyBorder="1" applyAlignment="1">
      <x:alignment vertical="center" wrapText="1"/>
    </x:xf>
    <x:xf numFmtId="0" fontId="3" fillId="4" borderId="0" xfId="0" applyNumberFormat="1" applyFont="1" applyFill="1" applyBorder="1" applyAlignment="1">
      <x:alignment wrapText="1"/>
    </x:xf>
    <x:xf numFmtId="1" fontId="0" fillId="0" borderId="0" xfId="0" applyNumberFormat="1" applyFont="1" applyFill="1" applyBorder="1" applyAlignment="1">
      <x:alignment wrapText="1"/>
    </x:xf>
    <x:xf numFmtId="1" fontId="0" fillId="4" borderId="0" xfId="0" applyNumberFormat="1" applyFont="1" applyFill="1" applyBorder="1" applyAlignment="1">
      <x:alignment wrapText="1"/>
    </x:xf>
    <x:xf numFmtId="0" fontId="2" fillId="8" borderId="0" xfId="0" applyNumberFormat="1" applyFont="1" applyFill="1" applyBorder="1" applyAlignment="1">
      <x:alignment horizontal="center" vertical="center" wrapText="1"/>
    </x:xf>
    <x:xf numFmtId="166" fontId="0" fillId="0" borderId="0" xfId="0" applyNumberFormat="1" applyFont="1" applyFill="1" applyBorder="1"/>
    <x:xf numFmtId="0" fontId="2" fillId="8" borderId="0" xfId="0" applyNumberFormat="1" applyFont="1" applyFill="1" applyBorder="1" applyAlignment="1">
      <x:alignment horizontal="center" wrapText="1"/>
    </x:xf>
    <x:xf numFmtId="166" fontId="0" fillId="4" borderId="0" xfId="0" applyNumberFormat="1" applyFont="1" applyFill="1" applyBorder="1" applyAlignment="1">
      <x:alignment wrapText="1"/>
    </x:xf>
    <x:xf numFmtId="166" fontId="0" fillId="0" borderId="0" xfId="0" applyNumberFormat="1" applyFont="1" applyFill="1" applyBorder="1" applyAlignment="1">
      <x:alignment wrapText="1"/>
    </x:xf>
    <x:xf numFmtId="0" fontId="2" fillId="8" borderId="0" xfId="0" applyNumberFormat="1" applyFont="1" applyFill="1" applyBorder="1"/>
    <x:xf numFmtId="0" fontId="2" fillId="8" borderId="0" xfId="0" applyNumberFormat="1" applyFont="1" applyFill="1" applyBorder="1" applyAlignment="1">
      <x:alignment wrapText="1"/>
    </x:xf>
    <x:xf numFmtId="0" fontId="5" fillId="14" borderId="0" xfId="0" applyNumberFormat="1" applyFont="1" applyFill="1" applyBorder="1"/>
    <x:xf numFmtId="0" fontId="4" fillId="8" borderId="0" xfId="0" applyNumberFormat="1" applyFont="1" applyFill="1" applyBorder="1"/>
    <x:xf numFmtId="1" fontId="2" fillId="8" borderId="0" xfId="0" applyNumberFormat="1" applyFont="1" applyFill="1" applyBorder="1" applyAlignment="1">
      <x:alignment wrapText="1"/>
    </x:xf>
    <x:xf numFmtId="164" fontId="2" fillId="8" borderId="0" xfId="0" applyNumberFormat="1" applyFont="1" applyFill="1" applyBorder="1" applyAlignment="1">
      <x:alignment wrapText="1"/>
    </x:xf>
    <x:xf numFmtId="0" fontId="4" fillId="7" borderId="0" xfId="0" applyNumberFormat="1" applyFont="1" applyFill="1" applyBorder="1" applyAlignment="1">
      <x:alignment horizontal="left" vertical="center" wrapText="1"/>
    </x:xf>
    <x:xf numFmtId="0" fontId="1" fillId="2"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4" fillId="8" borderId="0" xfId="0" applyNumberFormat="1" applyFont="1" applyFill="1" applyBorder="1" applyAlignment="1">
      <x:alignment wrapText="1"/>
    </x:xf>
    <x:xf numFmtId="0" fontId="1" fillId="2" borderId="0" xfId="0" applyNumberFormat="1" applyFont="1" applyFill="1" applyBorder="1" applyAlignment="1">
      <x:alignment vertical="center"/>
    </x:xf>
    <x:xf numFmtId="0" fontId="6" fillId="12" borderId="0" xfId="0" applyNumberFormat="1" applyFont="1" applyFill="1" applyBorder="1" applyAlignment="1">
      <x:alignment wrapText="1"/>
    </x:xf>
    <x:xf numFmtId="0" fontId="7" fillId="13" borderId="0" xfId="0" applyNumberFormat="1" applyFont="1" applyFill="1" applyBorder="1" applyAlignment="1">
      <x:alignment horizontal="center"/>
    </x:xf>
    <x:xf numFmtId="0" fontId="8" fillId="0" borderId="0" xfId="0" applyNumberFormat="1" applyFont="1" applyFill="1" applyBorder="1" applyAlignment="1">
      <x:alignment horizontal="center" vertical="center"/>
    </x:xf>
    <x:xf numFmtId="166" fontId="8" fillId="0" borderId="0" xfId="0" applyNumberFormat="1" applyFont="1" applyFill="1" applyBorder="1" applyAlignment="1">
      <x:alignment horizontal="center" vertical="center"/>
    </x:xf>
    <x:xf numFmtId="0" fontId="2" fillId="8" borderId="0" xfId="0" applyNumberFormat="1" applyFont="1" applyFill="1" applyBorder="1" applyAlignment="1">
      <x:alignment horizontal="left" vertical="center" wrapText="1"/>
    </x:xf>
    <x:xf numFmtId="0" fontId="0" fillId="20" borderId="0" xfId="0" applyNumberFormat="1" applyFont="1" applyFill="1" applyBorder="1"/>
    <x:xf numFmtId="0" fontId="2" fillId="24" borderId="0" xfId="0" applyNumberFormat="1" applyFont="1" applyFill="1" applyBorder="1" applyAlignment="1">
      <x:alignment horizontal="center" vertical="center" wrapText="1"/>
    </x:xf>
    <x:xf numFmtId="0" fontId="2" fillId="24" borderId="0" xfId="0" applyNumberFormat="1" applyFont="1" applyFill="1" applyBorder="1" applyAlignment="1">
      <x:alignment wrapText="1"/>
    </x:xf>
    <x:xf numFmtId="0" fontId="0" fillId="24" borderId="0" xfId="0" applyNumberFormat="1" applyFont="1" applyFill="1" applyBorder="1"/>
    <x:xf numFmtId="0" fontId="14" fillId="24" borderId="0" xfId="0" applyNumberFormat="1" applyFont="1" applyFill="1" applyBorder="1" applyAlignment="1">
      <x:alignment wrapText="1"/>
    </x:xf>
    <x:xf numFmtId="0" fontId="2" fillId="24" borderId="0" xfId="0" applyNumberFormat="1" applyFont="1" applyFill="1" applyBorder="1"/>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0" fontId="0" fillId="25" borderId="0" xfId="0" applyNumberFormat="1" applyFont="1" applyFill="1" applyBorder="1" applyAlignment="1">
      <x:alignment wrapText="1"/>
    </x:xf>
    <x:xf numFmtId="0" fontId="0" fillId="26" borderId="0" xfId="0" applyNumberFormat="1" applyFont="1" applyFill="1" applyBorder="1" applyAlignment="1">
      <x:alignment wrapText="1"/>
    </x:xf>
    <x:xf numFmtId="0" fontId="0" fillId="26" borderId="0" xfId="0" applyNumberFormat="1" applyFont="1" applyFill="1" applyBorder="1"/>
    <x:xf numFmtId="0" fontId="0" fillId="26" borderId="0" xfId="0" applyNumberFormat="1" applyFont="1" applyFill="1" applyBorder="1" applyAlignment="1">
      <x:alignment vertical="top" wrapText="1"/>
    </x:xf>
    <x:xf numFmtId="0" fontId="0" fillId="27" borderId="0" xfId="0" applyNumberFormat="1" applyFont="1" applyFill="1" applyBorder="1" applyAlignment="1">
      <x:alignment wrapText="1"/>
    </x:xf>
    <x:xf numFmtId="0" fontId="9" fillId="24" borderId="0" xfId="0" applyNumberFormat="1" applyFont="1" applyFill="1" applyBorder="1" applyAlignment="1">
      <x:alignment horizontal="center" vertical="center" wrapText="1"/>
    </x:xf>
    <x:xf numFmtId="0" fontId="0" fillId="24" borderId="0" xfId="0" applyNumberFormat="1" applyFont="1" applyFill="1" applyBorder="1" applyAlignment="1">
      <x:alignment wrapText="1"/>
    </x:xf>
    <x:xf numFmtId="0" fontId="2" fillId="24" borderId="0" xfId="0" applyNumberFormat="1" applyFont="1" applyFill="1" applyBorder="1" applyAlignment="1">
      <x:alignment vertical="center" wrapText="1"/>
    </x:xf>
    <x:xf numFmtId="0" fontId="10" fillId="0" borderId="0" xfId="0" applyNumberFormat="1" applyFont="1" applyFill="1" applyBorder="1" applyAlignment="1">
      <x:alignment vertical="top" wrapText="1"/>
    </x:xf>
    <x:xf numFmtId="0" fontId="9" fillId="24" borderId="0" xfId="0" applyNumberFormat="1" applyFont="1" applyFill="1" applyBorder="1" applyAlignment="1">
      <x:alignment wrapText="1"/>
    </x:xf>
    <x:xf numFmtId="0" fontId="9" fillId="24" borderId="0" xfId="0" applyNumberFormat="1" applyFont="1" applyFill="1" applyBorder="1" applyAlignment="1">
      <x:alignment vertical="center" wrapText="1"/>
    </x:xf>
    <x:xf numFmtId="0" fontId="9" fillId="8" borderId="0" xfId="0" applyNumberFormat="1" applyFont="1" applyFill="1" applyBorder="1" applyAlignment="1">
      <x:alignment horizontal="center" vertical="top" wrapText="1"/>
    </x:xf>
    <x:xf numFmtId="0" fontId="9" fillId="3" borderId="0" xfId="0" applyNumberFormat="1" applyFont="1" applyFill="1" applyBorder="1" applyAlignment="1">
      <x:alignment vertical="top" wrapText="1"/>
    </x:xf>
    <x:xf numFmtId="165" fontId="10" fillId="0" borderId="0" xfId="0" applyNumberFormat="1" applyFont="1" applyFill="1" applyBorder="1" applyAlignment="1">
      <x:alignment vertical="top" wrapText="1"/>
    </x:xf>
    <x:xf numFmtId="0" fontId="9" fillId="24" borderId="0" xfId="0" applyNumberFormat="1" applyFont="1" applyFill="1" applyBorder="1" applyAlignment="1">
      <x:alignment horizontal="left" vertical="center" wrapText="1"/>
    </x:xf>
    <x:xf numFmtId="0" fontId="10" fillId="24" borderId="0" xfId="0" applyNumberFormat="1" applyFont="1" applyFill="1" applyBorder="1" applyAlignment="1">
      <x:alignment wrapText="1"/>
    </x:xf>
    <x:xf numFmtId="1" fontId="10" fillId="0" borderId="0" xfId="0" applyNumberFormat="1" applyFont="1" applyFill="1" applyBorder="1" applyAlignment="1">
      <x:alignment vertical="top" wrapText="1"/>
    </x:xf>
    <x:xf numFmtId="164" fontId="10" fillId="0" borderId="0" xfId="0" applyNumberFormat="1" applyFont="1" applyFill="1" applyBorder="1" applyAlignment="1">
      <x:alignment vertical="top" wrapText="1"/>
    </x:xf>
    <x:xf numFmtId="0" fontId="11" fillId="4"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164" fontId="0" fillId="0" borderId="0" xfId="0" applyNumberFormat="1" applyFont="1" applyFill="1" applyBorder="1" applyAlignment="1">
      <x:alignment vertical="top" wrapText="1"/>
    </x:xf>
    <x:xf numFmtId="0" fontId="12" fillId="24" borderId="0" xfId="0" applyNumberFormat="1" applyFont="1" applyFill="1" applyBorder="1" applyAlignment="1">
      <x:alignment wrapText="1"/>
    </x:xf>
    <x:xf numFmtId="0" fontId="12" fillId="24" borderId="0" xfId="0" applyNumberFormat="1" applyFont="1" applyFill="1" applyBorder="1"/>
    <x:xf numFmtId="0" fontId="13" fillId="28" borderId="0" xfId="0" applyNumberFormat="1" applyFont="1" applyFill="1" applyBorder="1" applyAlignment="1">
      <x:alignment wrapText="1"/>
    </x:xf>
    <x:xf numFmtId="0" fontId="13" fillId="28" borderId="0" xfId="0" applyNumberFormat="1" applyFont="1" applyFill="1" applyBorder="1"/>
    <x:xf numFmtId="0" fontId="10" fillId="0"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10" fillId="28" borderId="0" xfId="0" applyNumberFormat="1" applyFont="1" applyFill="1" applyBorder="1" applyAlignment="1">
      <x:alignment vertical="center" wrapText="1"/>
    </x:xf>
    <x:xf numFmtId="0" fontId="0" fillId="28" borderId="0" xfId="0" applyNumberFormat="1" applyFont="1" applyFill="1" applyBorder="1" applyAlignment="1">
      <x:alignment vertical="center" wrapText="1"/>
    </x:xf>
    <x:xf numFmtId="0" fontId="9" fillId="29" borderId="0" xfId="0" applyNumberFormat="1" applyFont="1" applyFill="1" applyBorder="1" applyAlignment="1">
      <x:alignment wrapText="1"/>
    </x:xf>
    <x:xf numFmtId="0" fontId="0" fillId="29" borderId="0" xfId="0" applyNumberFormat="1" applyFont="1" applyFill="1" applyBorder="1"/>
    <x:xf numFmtId="0" fontId="9" fillId="30" borderId="0" xfId="0" applyNumberFormat="1" applyFont="1" applyFill="1" applyBorder="1" applyAlignment="1">
      <x:alignment horizontal="left" vertical="center" wrapText="1"/>
    </x:xf>
    <x:xf numFmtId="0" fontId="1" fillId="30" borderId="0" xfId="0" applyNumberFormat="1" applyFont="1" applyFill="1" applyBorder="1" applyAlignment="1">
      <x:alignment vertical="center" wrapText="1"/>
    </x:xf>
    <x:xf numFmtId="0" fontId="0" fillId="30" borderId="0" xfId="0" applyNumberFormat="1" applyFont="1" applyFill="1" applyBorder="1"/>
    <x:xf numFmtId="0" fontId="14" fillId="30" borderId="0" xfId="0" applyNumberFormat="1" applyFont="1" applyFill="1" applyBorder="1"/>
    <x:xf numFmtId="0" fontId="2" fillId="30" borderId="0" xfId="0" applyNumberFormat="1" applyFont="1" applyFill="1" applyBorder="1"/>
    <x:xf numFmtId="0" fontId="9" fillId="30" borderId="0" xfId="0" applyNumberFormat="1" applyFont="1" applyFill="1" applyBorder="1" applyAlignment="1">
      <x:alignment vertical="center" wrapText="1"/>
    </x:xf>
    <x:xf numFmtId="0" fontId="9" fillId="30" borderId="0" xfId="0" applyNumberFormat="1" applyFont="1" applyFill="1" applyBorder="1" applyAlignment="1">
      <x:alignment wrapText="1"/>
    </x:xf>
    <x:xf numFmtId="0" fontId="4" fillId="30" borderId="0" xfId="0" applyNumberFormat="1" applyFont="1" applyFill="1" applyBorder="1"/>
    <x:xf numFmtId="0" fontId="10" fillId="30" borderId="0" xfId="0" applyNumberFormat="1" applyFont="1" applyFill="1" applyBorder="1" applyAlignment="1">
      <x:alignment wrapText="1"/>
    </x:xf>
    <x:xf numFmtId="0" fontId="15" fillId="30" borderId="0" xfId="0" applyNumberFormat="1" applyFont="1" applyFill="1" applyBorder="1" applyAlignment="1">
      <x:alignment wrapText="1"/>
    </x:xf>
    <x:xf numFmtId="0" fontId="12" fillId="30" borderId="0" xfId="0" applyNumberFormat="1" applyFont="1" applyFill="1" applyBorder="1" applyAlignment="1">
      <x:alignment wrapText="1"/>
    </x:xf>
    <x:xf numFmtId="0" fontId="12" fillId="30" borderId="0" xfId="0" applyNumberFormat="1" applyFont="1" applyFill="1" applyBorder="1"/>
    <x:xf numFmtId="0" fontId="2" fillId="30" borderId="0" xfId="0" applyNumberFormat="1" applyFont="1" applyFill="1" applyBorder="1" applyAlignment="1">
      <x:alignment wrapText="1"/>
    </x:xf>
    <x:xf numFmtId="0" fontId="16" fillId="30" borderId="0" xfId="0" applyNumberFormat="1" applyFont="1" applyFill="1" applyBorder="1" applyAlignment="1">
      <x:alignment wrapText="1"/>
    </x:xf>
    <x:xf numFmtId="0" fontId="17" fillId="0" borderId="0" xfId="0" applyNumberFormat="1" applyFont="1" applyFill="1" applyBorder="1" applyAlignment="1">
      <x:alignment wrapText="1"/>
    </x:xf>
    <x:xf numFmtId="0" fontId="18" fillId="30" borderId="0" xfId="0" applyNumberFormat="1" applyFont="1" applyFill="1" applyBorder="1" applyAlignment="1">
      <x:alignment wrapText="1"/>
    </x:xf>
    <x:xf numFmtId="0" fontId="19" fillId="0" borderId="0" xfId="0" applyNumberFormat="1" applyFont="1" applyFill="1" applyBorder="1" applyAlignment="1">
      <x:alignment wrapText="1"/>
    </x:xf>
    <x:xf numFmtId="0" fontId="20" fillId="30" borderId="0" xfId="0" applyNumberFormat="1" applyFont="1" applyFill="1" applyBorder="1"/>
    <x:xf numFmtId="0" fontId="21" fillId="0" borderId="0" xfId="0" applyNumberFormat="1" applyFont="1" applyFill="1" applyBorder="1"/>
    <x:xf numFmtId="0" fontId="21" fillId="0" borderId="0" xfId="0" applyNumberFormat="1" applyFont="1" applyFill="1" applyBorder="1" applyAlignment="1">
      <x:alignment wrapText="1"/>
    </x:xf>
    <x:xf numFmtId="0" fontId="0" fillId="31" borderId="0" xfId="0" applyNumberFormat="1" applyFont="1" applyFill="1" applyBorder="1"/>
    <x:xf numFmtId="0" fontId="22" fillId="31" borderId="0" xfId="0" applyNumberFormat="1" applyFont="1" applyFill="1" applyBorder="1"/>
    <x:xf numFmtId="0" fontId="22" fillId="31" borderId="0" xfId="0" applyNumberFormat="1" applyFont="1" applyFill="1" applyBorder="1" applyAlignment="1">
      <x:alignment wrapText="1"/>
    </x:xf>
    <x:xf numFmtId="0" fontId="23" fillId="30" borderId="0" xfId="0" applyNumberFormat="1" applyFont="1" applyFill="1" applyBorder="1"/>
    <x:xf numFmtId="0" fontId="24" fillId="0" borderId="0" xfId="0" applyNumberFormat="1" applyFont="1" applyFill="1" applyBorder="1" applyAlignment="1">
      <x:alignment wrapText="1"/>
    </x:xf>
    <x:xf numFmtId="0" fontId="17" fillId="0" borderId="0" xfId="0" applyNumberFormat="1" applyFont="1" applyFill="1" applyBorder="1"/>
    <x:xf numFmtId="0" fontId="25" fillId="31" borderId="0" xfId="0" applyNumberFormat="1" applyFont="1" applyFill="1" applyBorder="1" applyAlignment="1">
      <x:alignment wrapText="1"/>
    </x:xf>
    <x:xf numFmtId="0" fontId="23" fillId="30" borderId="0" xfId="0" applyNumberFormat="1" applyFont="1" applyFill="1" applyBorder="1" applyAlignment="1">
      <x:alignment vertical="center"/>
    </x:xf>
    <x:xf numFmtId="0" fontId="20" fillId="30" borderId="0" xfId="0" applyNumberFormat="1" applyFont="1" applyFill="1" applyBorder="1" applyAlignment="1">
      <x:alignment vertical="center"/>
    </x:xf>
    <x:xf numFmtId="0" fontId="24" fillId="0" borderId="0" xfId="0" applyNumberFormat="1" applyFont="1" applyFill="1" applyBorder="1" applyAlignment="1">
      <x:alignment vertical="center" wrapText="1"/>
    </x:xf>
    <x:xf numFmtId="0" fontId="21" fillId="0" borderId="0" xfId="0" applyNumberFormat="1" applyFont="1" applyFill="1" applyBorder="1" applyAlignment="1">
      <x:alignment vertical="center" wrapText="1"/>
    </x:xf>
    <x:xf numFmtId="0" fontId="17"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16" fillId="30" borderId="0" xfId="0" applyNumberFormat="1" applyFont="1" applyFill="1" applyBorder="1" applyAlignment="1">
      <x:alignment vertical="center" wrapText="1"/>
    </x:xf>
    <x:xf numFmtId="0" fontId="17" fillId="0" borderId="0" xfId="0" applyNumberFormat="1" applyFont="1" applyFill="1" applyBorder="1" applyAlignment="1">
      <x:alignment vertical="center" wrapText="1"/>
    </x:xf>
    <x:xf numFmtId="0" fontId="25" fillId="31" borderId="0" xfId="0" applyNumberFormat="1" applyFont="1" applyFill="1" applyBorder="1" applyAlignment="1">
      <x:alignment vertical="center" wrapText="1"/>
    </x:xf>
    <x:xf numFmtId="0" fontId="22" fillId="31" borderId="0" xfId="0" applyNumberFormat="1" applyFont="1" applyFill="1" applyBorder="1" applyAlignment="1">
      <x:alignment vertical="center" wrapText="1"/>
    </x:xf>
    <x:xf numFmtId="0" fontId="0" fillId="32" borderId="0" xfId="0" applyNumberFormat="1" applyFont="1" applyFill="1" applyBorder="1"/>
    <x:xf numFmtId="0" fontId="2" fillId="32" borderId="0" xfId="0" applyNumberFormat="1" applyFont="1" applyFill="1" applyBorder="1"/>
    <x:xf numFmtId="0" fontId="2" fillId="32" borderId="0" xfId="0" applyNumberFormat="1" applyFont="1" applyFill="1" applyBorder="1" applyAlignment="1">
      <x:alignment wrapText="1"/>
    </x:xf>
  </x:cellXfs>
  <x:cellStyles count="1">
    <x:cellStyle name="Normal" xfId="0"/>
  </x:cellStyles>
  <x:dxfs count="15">
    <x:dxf>
      <x:fill>
        <x:patternFill>
          <x:bgColor rgb="FFF4CCCC"/>
        </x:patternFill>
      </x:fill>
    </x:dxf>
    <x:dxf>
      <x:fill>
        <x:patternFill>
          <x:bgColor rgb="FFFFF2CC"/>
        </x:patternFill>
      </x:fill>
    </x:dxf>
    <x:dxf>
      <x:fill>
        <x:patternFill>
          <x:bgColor rgb="FFE2F0D9"/>
        </x:patternFill>
      </x:fill>
    </x:dxf>
    <x:dxf>
      <x:font>
        <x:color rgb="FF1D6B35"/>
      </x:font>
      <x:fill>
        <x:patternFill>
          <x:bgColor rgb="FFE8F6EA"/>
        </x:patternFill>
      </x:fill>
    </x:dxf>
    <x:dxf>
      <x:font>
        <x:color rgb="FF1D6B35"/>
      </x:font>
      <x:fill>
        <x:patternFill>
          <x:bgColor rgb="FFE8F6EA"/>
        </x:patternFill>
      </x:fill>
    </x:dxf>
    <x:dxf>
      <x:fill>
        <x:patternFill>
          <x:bgColor rgb="FFFFF2CC"/>
        </x:patternFill>
      </x:fill>
    </x:dxf>
    <x:dxf>
      <x:fill>
        <x:patternFill>
          <x:bgColor rgb="FFE2F0D9"/>
        </x:patternFill>
      </x:fill>
    </x:dxf>
    <x:dxf>
      <x:font>
        <x:b/>
      </x:font>
      <x:fill>
        <x:patternFill>
          <x:bgColor rgb="FFF4CCCC"/>
        </x:patternFill>
      </x:fill>
    </x:dxf>
    <x:dxf>
      <x:font>
        <x:b/>
        <x:color rgb="FF1D6B35"/>
      </x:font>
      <x:fill>
        <x:patternFill>
          <x:bgColor rgb="FFDDF5EC"/>
        </x:patternFill>
      </x:fill>
    </x:dxf>
    <x:dxf>
      <x:font>
        <x:color rgb="FF9C6500"/>
      </x:font>
      <x:fill>
        <x:patternFill>
          <x:bgColor rgb="FFFFF2CC"/>
        </x:patternFill>
      </x:fill>
    </x:dxf>
    <x:dxf>
      <x:font>
        <x:color rgb="FF1D6B35"/>
      </x:font>
      <x:fill>
        <x:patternFill>
          <x:bgColor rgb="FFE8F6EA"/>
        </x:patternFill>
      </x:fill>
    </x:dxf>
    <x:dxf>
      <x:fill>
        <x:patternFill>
          <x:bgColor rgb="FFE7ECFF"/>
        </x:patternFill>
      </x:fill>
    </x:dxf>
    <x:dxf>
      <x:fill>
        <x:patternFill>
          <x:bgColor rgb="FFDDF5EC"/>
        </x:patternFill>
      </x:fill>
    </x:dxf>
    <x:dxf>
      <x:fill>
        <x:patternFill>
          <x:bgColor rgb="FFFFF2D6"/>
        </x:patternFill>
      </x:fill>
    </x:dxf>
    <x:dxf>
      <x:fill>
        <x:patternFill>
          <x:bgColor rgb="FFD9F0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6e5b632b3a4de3" /><Relationship Type="http://schemas.openxmlformats.org/officeDocument/2006/relationships/theme" Target="/xl/theme/theme1.xml" Id="Rc6686ef32b3a466e" /><Relationship Type="http://schemas.openxmlformats.org/officeDocument/2006/relationships/sharedStrings" Target="/xl/sharedStrings.xml" Id="Rd8b55ece49bc4019" /><Relationship Type="http://schemas.openxmlformats.org/officeDocument/2006/relationships/worksheet" Target="/xl/worksheets/sheet1.xml" Id="R406eac0ebb1f4eb6" /><Relationship Type="http://schemas.openxmlformats.org/officeDocument/2006/relationships/worksheet" Target="/xl/worksheets/sheet2.xml" Id="R318f4b3856084365" /><Relationship Type="http://schemas.openxmlformats.org/officeDocument/2006/relationships/worksheet" Target="/xl/worksheets/sheet3.xml" Id="Rd25cb452ff854dae" /><Relationship Type="http://schemas.openxmlformats.org/officeDocument/2006/relationships/worksheet" Target="/xl/worksheets/sheet4.xml" Id="R4107531f6848449e" /><Relationship Type="http://schemas.openxmlformats.org/officeDocument/2006/relationships/worksheet" Target="/xl/worksheets/sheet5.xml" Id="Rfe1fcd22560c4eb1" /><Relationship Type="http://schemas.openxmlformats.org/officeDocument/2006/relationships/worksheet" Target="/xl/worksheets/sheet6.xml" Id="Ra9d3b00017374463" /><Relationship Type="http://schemas.openxmlformats.org/officeDocument/2006/relationships/worksheet" Target="/xl/worksheets/sheet7.xml" Id="Refe73c35a93040de" /><Relationship Type="http://schemas.openxmlformats.org/officeDocument/2006/relationships/worksheet" Target="/xl/worksheets/sheet8.xml" Id="R690e593a5f524cb1" /><Relationship Type="http://schemas.openxmlformats.org/officeDocument/2006/relationships/worksheet" Target="/xl/worksheets/sheet9.xml" Id="Rfdc50b508a744db0" /><Relationship Type="http://schemas.openxmlformats.org/officeDocument/2006/relationships/worksheet" Target="/xl/worksheets/sheet10.xml" Id="R76048a20bcbe4c9e" /><Relationship Type="http://schemas.openxmlformats.org/officeDocument/2006/relationships/worksheet" Target="/xl/worksheets/sheet11.xml" Id="Rf806894a189e4adf" /><Relationship Type="http://schemas.openxmlformats.org/officeDocument/2006/relationships/worksheet" Target="/xl/worksheets/sheet12.xml" Id="R0bb706311a384d74" /><Relationship Type="http://schemas.openxmlformats.org/officeDocument/2006/relationships/worksheet" Target="/xl/worksheets/sheet13.xml" Id="Rd1d13ca540f646e7" /><Relationship Type="http://schemas.openxmlformats.org/officeDocument/2006/relationships/worksheet" Target="/xl/worksheets/sheet14.xml" Id="R82be86ae1a514f91" /><Relationship Type="http://schemas.openxmlformats.org/officeDocument/2006/relationships/worksheet" Target="/xl/worksheets/sheet15.xml" Id="R27a76025c4004bcd" /><Relationship Type="http://schemas.openxmlformats.org/officeDocument/2006/relationships/worksheet" Target="/xl/worksheets/sheet16.xml" Id="R45766ed9150b4979" /><Relationship Type="http://schemas.openxmlformats.org/officeDocument/2006/relationships/worksheet" Target="/xl/worksheets/sheet17.xml" Id="Rf69f323914d14540" /><Relationship Type="http://schemas.openxmlformats.org/officeDocument/2006/relationships/worksheet" Target="/xl/worksheets/sheet18.xml" Id="Re7510d202b6f45cd" /><Relationship Type="http://schemas.openxmlformats.org/officeDocument/2006/relationships/worksheet" Target="/xl/worksheets/sheet19.xml" Id="R274a47d8b9e949d4" /><Relationship Type="http://schemas.openxmlformats.org/officeDocument/2006/relationships/worksheet" Target="/xl/worksheets/sheet20.xml" Id="R4c5286ff5bd5489c" /><Relationship Type="http://schemas.openxmlformats.org/officeDocument/2006/relationships/worksheet" Target="/xl/worksheets/sheet21.xml" Id="R049e30836fea46e1" /><Relationship Type="http://schemas.openxmlformats.org/officeDocument/2006/relationships/worksheet" Target="/xl/worksheets/sheet22.xml" Id="R0c23593ad0524203" /><Relationship Type="http://schemas.openxmlformats.org/officeDocument/2006/relationships/worksheet" Target="/xl/worksheets/sheet23.xml" Id="R584c283dfec24155" /><Relationship Type="http://schemas.openxmlformats.org/officeDocument/2006/relationships/worksheet" Target="/xl/worksheets/sheet24.xml" Id="R2783166bb27e4b1a" /><Relationship Type="http://schemas.openxmlformats.org/officeDocument/2006/relationships/worksheet" Target="/xl/worksheets/sheet25.xml" Id="R70be5e69fd3e43da" /><Relationship Type="http://schemas.openxmlformats.org/officeDocument/2006/relationships/worksheet" Target="/xl/worksheets/sheet26.xml" Id="R7a42a2c2b1ee456e" /><Relationship Type="http://schemas.openxmlformats.org/officeDocument/2006/relationships/worksheet" Target="/xl/worksheets/sheet27.xml" Id="Rd70255de467440ed" /><Relationship Type="http://schemas.openxmlformats.org/officeDocument/2006/relationships/worksheet" Target="/xl/worksheets/sheet28.xml" Id="Rd21b576710904ce2" /><Relationship Type="http://schemas.openxmlformats.org/officeDocument/2006/relationships/worksheet" Target="/xl/worksheets/sheet29.xml" Id="R8470aeab58784dc4" /><Relationship Type="http://schemas.openxmlformats.org/officeDocument/2006/relationships/worksheet" Target="/xl/worksheets/sheet30.xml" Id="R55c7d2fc12bf4398" /><Relationship Type="http://schemas.openxmlformats.org/officeDocument/2006/relationships/worksheet" Target="/xl/worksheets/sheet31.xml" Id="R4a15dbdd7cd44041" /></Relationships>
</file>

<file path=xl/drawings/_rels/drawing1.xml.rels>&#65279;<?xml version="1.0" encoding="utf-8"?><Relationships xmlns="http://schemas.openxmlformats.org/package/2006/relationships"><Relationship Type="http://schemas.openxmlformats.org/officeDocument/2006/relationships/chart" Target="/xl/drawings/charts/chart1.xml" Id="Rc8e9954fc5d6490c" /></Relationships>
</file>

<file path=xl/drawings/_rels/drawing2.xml.rels>&#65279;<?xml version="1.0" encoding="utf-8"?><Relationships xmlns="http://schemas.openxmlformats.org/package/2006/relationships"><Relationship Type="http://schemas.openxmlformats.org/officeDocument/2006/relationships/chart" Target="/xl/drawings/charts/chart2.xml" Id="Rd855a9777d774a07" /><Relationship Type="http://schemas.openxmlformats.org/officeDocument/2006/relationships/chart" Target="/xl/drawings/charts/chart3.xml" Id="R2f41cae531b843b2" /></Relationships>
</file>

<file path=xl/drawings/_rels/drawing3.xml.rels>&#65279;<?xml version="1.0" encoding="utf-8"?><Relationships xmlns="http://schemas.openxmlformats.org/package/2006/relationships"><Relationship Type="http://schemas.openxmlformats.org/officeDocument/2006/relationships/chart" Target="/xl/drawings/charts/chart4.xml" Id="Rc62024be7d3e41b8" /></Relationships>
</file>

<file path=xl/drawings/_rels/drawing4.xml.rels>&#65279;<?xml version="1.0" encoding="utf-8"?><Relationships xmlns="http://schemas.openxmlformats.org/package/2006/relationships"><Relationship Type="http://schemas.openxmlformats.org/officeDocument/2006/relationships/chart" Target="/xl/drawings/charts/chart5.xml" Id="Rf9aa27c1f050465f" /></Relationships>
</file>

<file path=xl/drawings/charts/chart1.xml><?xml version="1.0" encoding="utf-8"?>
<c:chartSpace xmlns:c="http://schemas.openxmlformats.org/drawingml/2006/chart">
  <c:lang val="en-US"/>
  <c:roundedCorners val="0"/>
  <c:style val="2"/>
  <c:chart>
    <c:autoTitleDeleted val="1"/>
    <c:plotArea>
      <c:barChart>
        <c:barDir val="col"/>
        <c:grouping val="clustered"/>
        <c:varyColors val="0"/>
        <c:ser>
          <c:idx val="0"/>
          <c:order val="0"/>
          <c:tx>
            <c:v>M2 Release 1</c:v>
          </c:tx>
          <c:cat>
            <c:strRef>
              <c:f>'Release Plan'!$C$4:$C$8</c:f>
              <c:strCache>
                <c:ptCount val="5"/>
                <c:pt idx="0">
                  <c:v>P1</c:v>
                </c:pt>
                <c:pt idx="1">
                  <c:v>P2</c:v>
                </c:pt>
                <c:pt idx="2">
                  <c:v>P3</c:v>
                </c:pt>
                <c:pt idx="3">
                  <c:v>P4</c:v>
                </c:pt>
                <c:pt idx="4">
                  <c:v>P5</c:v>
                </c:pt>
              </c:strCache>
            </c:strRef>
          </c:cat>
          <c:val>
            <c:numRef>
              <c:f>'Release Plan'!$G$4:$G$8</c:f>
              <c:numCache>
                <c:formatCode>0.0</c:formatCode>
                <c:ptCount val="5"/>
                <c:pt idx="0">
                  <c:v>6.5</c:v>
                </c:pt>
                <c:pt idx="1">
                  <c:v>82.86785714285715</c:v>
                </c:pt>
                <c:pt idx="2">
                  <c:v>12.983333333333333</c:v>
                </c:pt>
                <c:pt idx="3">
                  <c:v>17.9</c:v>
                </c:pt>
                <c:pt idx="4">
                  <c:v>31.38</c:v>
                </c:pt>
              </c:numCache>
            </c:numRef>
          </c:val>
        </c:ser>
        <c:ser>
          <c:idx val="1"/>
          <c:order val="1"/>
          <c:tx>
            <c:v>M3 Release 2</c:v>
          </c:tx>
          <c:cat>
            <c:strRef>
              <c:f>'Release Plan'!$C$9:$C$13</c:f>
              <c:strCache>
                <c:ptCount val="5"/>
                <c:pt idx="0">
                  <c:v>P1</c:v>
                </c:pt>
                <c:pt idx="1">
                  <c:v>P2</c:v>
                </c:pt>
                <c:pt idx="2">
                  <c:v>P3</c:v>
                </c:pt>
                <c:pt idx="3">
                  <c:v>P4</c:v>
                </c:pt>
                <c:pt idx="4">
                  <c:v>P5</c:v>
                </c:pt>
              </c:strCache>
            </c:strRef>
          </c:cat>
          <c:val>
            <c:numRef>
              <c:f>'Release Plan'!$G$9:$G$13</c:f>
              <c:numCache>
                <c:formatCode>0.0</c:formatCode>
                <c:ptCount val="5"/>
                <c:pt idx="0">
                  <c:v>55.04</c:v>
                </c:pt>
                <c:pt idx="1">
                  <c:v>33.87047619047619</c:v>
                </c:pt>
                <c:pt idx="2">
                  <c:v>40.07142857142857</c:v>
                </c:pt>
                <c:pt idx="3">
                  <c:v>86.94416666666666</c:v>
                </c:pt>
                <c:pt idx="4">
                  <c:v>13.2</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Closed vs Remaining Hours by M2 Phase — v2.20.0</a:t>
            </a:r>
          </a:p>
        </c:rich>
      </c:tx>
    </c:title>
    <c:autoTitleDeleted val="0"/>
    <c:plotArea>
      <c:barChart>
        <c:barDir val="col"/>
        <c:grouping val="stacked"/>
        <c:varyColors val="0"/>
        <c:ser>
          <c:idx val="0"/>
          <c:order val="0"/>
          <c:tx>
            <c:v>Closed h</c:v>
          </c:tx>
          <c:cat>
            <c:strRef>
              <c:f>'Dashboard v220'!$A$20:$A$24</c:f>
              <c:strCache>
                <c:ptCount val="5"/>
                <c:pt idx="0">
                  <c:v>P1</c:v>
                </c:pt>
                <c:pt idx="1">
                  <c:v>P2</c:v>
                </c:pt>
                <c:pt idx="2">
                  <c:v>P3</c:v>
                </c:pt>
                <c:pt idx="3">
                  <c:v>P4</c:v>
                </c:pt>
                <c:pt idx="4">
                  <c:v>P5</c:v>
                </c:pt>
              </c:strCache>
            </c:strRef>
          </c:cat>
          <c:val>
            <c:numRef>
              <c:f>'Dashboard v220'!$B$20:$B$24</c:f>
              <c:numCache>
                <c:formatCode>General</c:formatCode>
                <c:ptCount val="5"/>
                <c:pt idx="0">
                  <c:v>245</c:v>
                </c:pt>
                <c:pt idx="1">
                  <c:v>92</c:v>
                </c:pt>
                <c:pt idx="2">
                  <c:v>0</c:v>
                </c:pt>
                <c:pt idx="3">
                  <c:v>228</c:v>
                </c:pt>
                <c:pt idx="4">
                  <c:v>0</c:v>
                </c:pt>
              </c:numCache>
            </c:numRef>
          </c:val>
        </c:ser>
        <c:ser>
          <c:idx val="1"/>
          <c:order val="1"/>
          <c:tx>
            <c:v>Remaining h</c:v>
          </c:tx>
          <c:cat>
            <c:strRef>
              <c:f>'Dashboard v220'!$A$20:$A$24</c:f>
              <c:strCache>
                <c:ptCount val="5"/>
                <c:pt idx="0">
                  <c:v>P1</c:v>
                </c:pt>
                <c:pt idx="1">
                  <c:v>P2</c:v>
                </c:pt>
                <c:pt idx="2">
                  <c:v>P3</c:v>
                </c:pt>
                <c:pt idx="3">
                  <c:v>P4</c:v>
                </c:pt>
                <c:pt idx="4">
                  <c:v>P5</c:v>
                </c:pt>
              </c:strCache>
            </c:strRef>
          </c:cat>
          <c:val>
            <c:numRef>
              <c:f>'Dashboard v220'!$C$20:$C$24</c:f>
              <c:numCache>
                <c:formatCode>General</c:formatCode>
                <c:ptCount val="5"/>
                <c:pt idx="0">
                  <c:v>0</c:v>
                </c:pt>
                <c:pt idx="1">
                  <c:v>266</c:v>
                </c:pt>
                <c:pt idx="2">
                  <c:v>36</c:v>
                </c:pt>
                <c:pt idx="3">
                  <c:v>48</c:v>
                </c:pt>
                <c:pt idx="4">
                  <c:v>154</c:v>
                </c:pt>
              </c:numCache>
            </c:numRef>
          </c:val>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Closed vs Remaining Hours by Active Worker</a:t>
            </a:r>
          </a:p>
        </c:rich>
      </c:tx>
    </c:title>
    <c:autoTitleDeleted val="0"/>
    <c:plotArea>
      <c:barChart>
        <c:barDir val="bar"/>
        <c:grouping val="stacked"/>
        <c:varyColors val="0"/>
        <c:ser>
          <c:idx val="0"/>
          <c:order val="0"/>
          <c:tx>
            <c:v>Closed h</c:v>
          </c:tx>
          <c:cat>
            <c:strRef>
              <c:f>'Dashboard v220'!$G$20:$G$22</c:f>
              <c:strCache>
                <c:ptCount val="3"/>
                <c:pt idx="0">
                  <c:v>Worker 1</c:v>
                </c:pt>
                <c:pt idx="1">
                  <c:v>Worker 2</c:v>
                </c:pt>
                <c:pt idx="2">
                  <c:v>Worker 3</c:v>
                </c:pt>
              </c:strCache>
            </c:strRef>
          </c:cat>
          <c:val>
            <c:numRef>
              <c:f>'Dashboard v220'!$H$20:$H$22</c:f>
              <c:numCache>
                <c:formatCode>General</c:formatCode>
                <c:ptCount val="3"/>
                <c:pt idx="0">
                  <c:v>204</c:v>
                </c:pt>
                <c:pt idx="1">
                  <c:v>104</c:v>
                </c:pt>
                <c:pt idx="2">
                  <c:v>85</c:v>
                </c:pt>
              </c:numCache>
            </c:numRef>
          </c:val>
        </c:ser>
        <c:ser>
          <c:idx val="1"/>
          <c:order val="1"/>
          <c:tx>
            <c:v>Remaining h</c:v>
          </c:tx>
          <c:cat>
            <c:strRef>
              <c:f>'Dashboard v220'!$G$20:$G$22</c:f>
              <c:strCache>
                <c:ptCount val="3"/>
                <c:pt idx="0">
                  <c:v>Worker 1</c:v>
                </c:pt>
                <c:pt idx="1">
                  <c:v>Worker 2</c:v>
                </c:pt>
                <c:pt idx="2">
                  <c:v>Worker 3</c:v>
                </c:pt>
              </c:strCache>
            </c:strRef>
          </c:cat>
          <c:val>
            <c:numRef>
              <c:f>'Dashboard v220'!$I$20:$I$22</c:f>
              <c:numCache>
                <c:formatCode>General</c:formatCode>
                <c:ptCount val="3"/>
                <c:pt idx="0">
                  <c:v>257</c:v>
                </c:pt>
                <c:pt idx="1">
                  <c:v>163</c:v>
                </c:pt>
                <c:pt idx="2">
                  <c:v>84</c:v>
                </c:pt>
              </c:numCache>
            </c:numRef>
          </c:val>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Task state by release</a:t>
            </a:r>
          </a:p>
        </c:rich>
      </c:tx>
    </c:title>
    <c:plotArea>
      <c:barChart>
        <c:barDir val="col"/>
        <c:grouping val="clustered"/>
        <c:varyColors val="0"/>
        <c:ser>
          <c:idx val="0"/>
          <c:order val="0"/>
          <c:tx>
            <c:v>M2</c:v>
          </c:tx>
          <c:cat>
            <c:strRef>
              <c:f>'Dashboard v222'!$G$5:$G$7</c:f>
              <c:strCache>
                <c:ptCount val="0"/>
              </c:strCache>
            </c:strRef>
          </c:cat>
          <c:val>
            <c:numRef>
              <c:f>'Dashboard v222'!$H$5:$H$7</c:f>
              <c:numCache>
                <c:formatCode>General</c:formatCode>
                <c:ptCount val="0"/>
              </c:numCache>
            </c:numRef>
          </c:val>
        </c:ser>
        <c:ser>
          <c:idx val="1"/>
          <c:order val="1"/>
          <c:tx>
            <c:v>M3</c:v>
          </c:tx>
          <c:cat>
            <c:strRef>
              <c:f>'Dashboard v222'!$G$5:$G$7</c:f>
              <c:strCache>
                <c:ptCount val="0"/>
              </c:strCache>
            </c:strRef>
          </c:cat>
          <c:val>
            <c:numRef>
              <c:f>'Dashboard v222'!$I$5:$I$7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Task states — not product completion</a:t>
            </a:r>
          </a:p>
        </c:rich>
      </c:tx>
    </c:title>
    <c:plotArea>
      <c:barChart>
        <c:barDir val="col"/>
        <c:grouping val="clustered"/>
        <c:varyColors val="0"/>
        <c:ser>
          <c:idx val="0"/>
          <c:order val="0"/>
          <c:tx>
            <c:v>M2</c:v>
          </c:tx>
          <c:cat>
            <c:strRef>
              <c:f>'UI Delivery v223'!$G$24:$G$26</c:f>
              <c:strCache>
                <c:ptCount val="0"/>
              </c:strCache>
            </c:strRef>
          </c:cat>
          <c:val>
            <c:numRef>
              <c:f>'UI Delivery v223'!$H$24:$H$26</c:f>
              <c:numCache>
                <c:formatCode>General</c:formatCode>
                <c:ptCount val="0"/>
              </c:numCache>
            </c:numRef>
          </c:val>
        </c:ser>
        <c:ser>
          <c:idx val="1"/>
          <c:order val="1"/>
          <c:tx>
            <c:v>M3</c:v>
          </c:tx>
          <c:cat>
            <c:strRef>
              <c:f>'UI Delivery v223'!$G$24:$G$26</c:f>
              <c:strCache>
                <c:ptCount val="0"/>
              </c:strCache>
            </c:strRef>
          </c:cat>
          <c:val>
            <c:numRef>
              <c:f>'UI Delivery v223'!$I$24:$I$26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5</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8e9954fc5d6490c"/>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26</xdr:row>
      <xdr:rowOff>0</xdr:rowOff>
    </xdr:from>
    <xdr:to>
      <xdr:col>7</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55a9777d774a07"/>
        </a:graphicData>
      </a:graphic>
    </xdr:graphicFrame>
    <xdr:clientData/>
  </xdr:twoCellAnchor>
  <xdr:twoCellAnchor>
    <xdr:from>
      <xdr:col>7</xdr:col>
      <xdr:colOff>0</xdr:colOff>
      <xdr:row>26</xdr:row>
      <xdr:rowOff>0</xdr:rowOff>
    </xdr:from>
    <xdr:to>
      <xdr:col>14</xdr:col>
      <xdr:colOff>0</xdr:colOff>
      <xdr:row>44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f41cae531b843b2"/>
        </a:graphicData>
      </a:graphic>
    </xdr:graphicFrame>
    <xdr:clientData/>
  </xdr:twoCellAnchor>
</xdr:wsDr>
</file>

<file path=xl/drawings/drawing3.xml><?xml version="1.0" encoding="utf-8"?>
<xdr:wsDr xmlns:xdr="http://schemas.openxmlformats.org/drawingml/2006/spreadsheetDrawing">
  <xdr:twoCellAnchor>
    <xdr:from>
      <xdr:col>6</xdr:col>
      <xdr:colOff>0</xdr:colOff>
      <xdr:row>8</xdr:row>
      <xdr:rowOff>0</xdr:rowOff>
    </xdr:from>
    <xdr:to>
      <xdr:col>15</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2024be7d3e41b8"/>
        </a:graphicData>
      </a:graphic>
    </xdr:graphicFrame>
    <xdr:clientData/>
  </xdr:twoCellAnchor>
</xdr:wsDr>
</file>

<file path=xl/drawings/drawing4.xml><?xml version="1.0" encoding="utf-8"?>
<xdr:wsDr xmlns:xdr="http://schemas.openxmlformats.org/drawingml/2006/spreadsheetDrawing">
  <xdr:twoCellAnchor>
    <xdr:from>
      <xdr:col>6</xdr:col>
      <xdr:colOff>0</xdr:colOff>
      <xdr:row>4</xdr:row>
      <xdr:rowOff>0</xdr:rowOff>
    </xdr:from>
    <xdr:to>
      <xdr:col>13</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aa27c1f050465f"/>
        </a:graphicData>
      </a:graphic>
    </xdr:graphicFrame>
    <xdr:clientData/>
  </xdr:twoCellAnchor>
</xdr:wsDr>
</file>

<file path=xl/tables/table1.xml><?xml version="1.0" encoding="utf-8"?>
<x:table xmlns:x="http://schemas.openxmlformats.org/spreadsheetml/2006/main" id="9" name="CurrentBacklogTable" displayName="CurrentBacklogTable" ref="A1:AR180" headerRowCount="1" totalsRowCount="0" totalsRowShown="0">
  <x:tableColumns count="44">
    <x:tableColumn id="1" name="Task Id"/>
    <x:tableColumn id="2" name="Milestone Id"/>
    <x:tableColumn id="3" name="Phase Id"/>
    <x:tableColumn id="4" name="Task Name"/>
    <x:tableColumn id="5" name="Module"/>
    <x:tableColumn id="6" name="Sub-module"/>
    <x:tableColumn id="7" name="Priority"/>
    <x:tableColumn id="8" name="Task Description"/>
    <x:tableColumn id="9" name="Task Validation"/>
    <x:tableColumn id="10" name="Hours"/>
    <x:tableColumn id="11" name="Status"/>
    <x:tableColumn id="12" name="AI Agent Owner"/>
    <x:tableColumn id="13" name="Depends On (IDs only)"/>
    <x:tableColumn id="14" name="Must Precede (IDs only)"/>
    <x:tableColumn id="15" name="Delivery Target"/>
    <x:tableColumn id="16" name="Release Criticality"/>
    <x:tableColumn id="17" name="AI Execution Class"/>
    <x:tableColumn id="18" name="AI Guarded Time P80 (h)"/>
    <x:tableColumn id="19" name="AI Sequence Wave"/>
    <x:tableColumn id="20" name="AI Start / Dependency Gate"/>
    <x:tableColumn id="21" name="File / Subsystem Lock"/>
    <x:tableColumn id="22" name="No-Rework Handoff Ruling"/>
    <x:tableColumn id="23" name="Product Track"/>
    <x:tableColumn id="24" name="Tech-Lead Ruling"/>
    <x:tableColumn id="25" name="Commit String"/>
    <x:tableColumn id="26" name="Commit Date"/>
    <x:tableColumn id="27" name="Primary Capability ID"/>
    <x:tableColumn id="28" name="Primary Capability Name"/>
    <x:tableColumn id="29" name="Secondary Capability IDs"/>
    <x:tableColumn id="30" name="Capability Contribution"/>
    <x:tableColumn id="31" name="Completeness Dimensions Targeted"/>
    <x:tableColumn id="32" name="Capability Requirement Class"/>
    <x:tableColumn id="33" name="Release Scope"/>
    <x:tableColumn id="34" name="Capability Closure Effect"/>
    <x:tableColumn id="35" name="Capability Evidence"/>
    <x:tableColumn id="36" name="Estimate Basis"/>
    <x:tableColumn id="37" name="Design Package"/>
    <x:tableColumn id="38" name="UI Companion Reference"/>
    <x:tableColumn id="39" name="Has estimate"/>
    <x:tableColumn id="40" name="Contract-ready predecessors (not completion)"/>
    <x:tableColumn id="41" name="Evidence State"/>
    <x:tableColumn id="42" name="Closure Evidence Basis"/>
    <x:tableColumn id="43" name="Parent Commit"/>
    <x:tableColumn id="44" name="Estimate Status"/>
  </x:tableColumns>
  <x:tableStyleInfo name="TableStyleMedium2" showFirstColumn="0" showLastColumn="0" showRowStripes="1" showColumnStripes="0"/>
</x:table>
</file>

<file path=xl/tables/table2.xml><?xml version="1.0" encoding="utf-8"?>
<x:table xmlns:x="http://schemas.openxmlformats.org/spreadsheetml/2006/main" id="12" name="ReleasePlanTable" displayName="ReleasePlanTable" ref="A3:L13" headerRowCount="1" totalsRowCount="0" totalsRowShown="0">
  <x:tableColumns count="12">
    <x:tableColumn id="1" name="Release"/>
    <x:tableColumn id="2" name="Planning target"/>
    <x:tableColumn id="3" name="Phase"/>
    <x:tableColumn id="4" name="Outcome"/>
    <x:tableColumn id="5" name="Active tasks"/>
    <x:tableColumn id="6" name="Done"/>
    <x:tableColumn id="7" name="Open"/>
    <x:tableColumn id="8" name="In progress"/>
    <x:tableColumn id="9" name="Known scope h"/>
    <x:tableColumn id="10" name="Known open h"/>
    <x:tableColumn id="11" name="Unestimated rows"/>
    <x:tableColumn id="12" name="Exit condition"/>
  </x:tableColumns>
  <x:tableStyleInfo name="TableStyleMedium2" showFirstColumn="0" showLastColumn="0" showRowStripes="1" showColumnStripes="0"/>
</x:table>
</file>

<file path=xl/tables/table3.xml><?xml version="1.0" encoding="utf-8"?>
<x:table xmlns:x="http://schemas.openxmlformats.org/spreadsheetml/2006/main" id="11" name="WorkerTrackTable" displayName="WorkerTrackTable" ref="A2:N181" headerRowCount="1" totalsRowCount="0" totalsRowShown="0">
  <x:tableColumns count="14">
    <x:tableColumn id="1" name="Owner"/>
    <x:tableColumn id="2" name="Release"/>
    <x:tableColumn id="3" name="Phase"/>
    <x:tableColumn id="4" name="Task Id"/>
    <x:tableColumn id="5" name="Task Name"/>
    <x:tableColumn id="6" name="Status"/>
    <x:tableColumn id="7" name="Known estimate h"/>
    <x:tableColumn id="8" name="AI P80 h"/>
    <x:tableColumn id="9" name="Depends On"/>
    <x:tableColumn id="10" name="Start/Gate"/>
    <x:tableColumn id="11" name="Lock"/>
    <x:tableColumn id="12" name="Handoff"/>
    <x:tableColumn id="13" name="Evidence state"/>
    <x:tableColumn id="14" name="Contract-ready predecessors"/>
  </x:tableColumns>
  <x:tableStyleInfo name="TableStyleMedium2" showFirstColumn="0" showLastColumn="0" showRowStripes="1" showColumnStripes="0"/>
</x:table>
</file>

<file path=xl/tables/table4.xml><?xml version="1.0" encoding="utf-8"?>
<x:table xmlns:x="http://schemas.openxmlformats.org/spreadsheetml/2006/main" id="4" name="TraceabilityTable" displayName="TraceabilityTable" ref="A3:J15" totalsRowShown="0">
  <x:tableColumns count="10">
    <x:tableColumn id="1" name="Requirement family"/>
    <x:tableColumn id="2" name="Design authority"/>
    <x:tableColumn id="3" name="M2 Release 1"/>
    <x:tableColumn id="4" name="M3 Release 2"/>
    <x:tableColumn id="5" name="Primary tasks"/>
    <x:tableColumn id="6" name="M2 acceptance"/>
    <x:tableColumn id="7" name="M3 acceptance"/>
    <x:tableColumn id="8" name="Customer use"/>
    <x:tableColumn id="9" name="Mirror state"/>
    <x:tableColumn id="10" name="Ruling"/>
  </x:tableColumns>
  <x:tableStyleInfo name="TableStyleMedium2" showFirstColumn="0" showLastColumn="0" showRowStripes="1" showColumnStripes="0"/>
</x:table>
</file>

<file path=xl/tables/table5.xml><?xml version="1.0" encoding="utf-8"?>
<x:table xmlns:x="http://schemas.openxmlformats.org/spreadsheetml/2006/main" id="10" name="DependencyTable" displayName="DependencyTable" ref="A1:J180" headerRowCount="1" totalsRowCount="0" totalsRowShown="0">
  <x:tableColumns count="10">
    <x:tableColumn id="1" name="Task Id"/>
    <x:tableColumn id="2" name="Release"/>
    <x:tableColumn id="3" name="Phase"/>
    <x:tableColumn id="4" name="Owner"/>
    <x:tableColumn id="5" name="Status"/>
    <x:tableColumn id="6" name="AI P80 h"/>
    <x:tableColumn id="7" name="Depends On"/>
    <x:tableColumn id="8" name="Must Precede"/>
    <x:tableColumn id="9" name="Gate"/>
    <x:tableColumn id="10" name="Contract-ready predecessors"/>
  </x:tableColumns>
  <x:tableStyleInfo name="TableStyleMedium2" showFirstColumn="0" showLastColumn="0" showRowStripes="1" showColumnStripes="0"/>
</x:table>
</file>

<file path=xl/tables/table6.xml><?xml version="1.0" encoding="utf-8"?>
<x:table xmlns:x="http://schemas.openxmlformats.org/spreadsheetml/2006/main" id="6" name="PriorBaselineTable" displayName="PriorBaselineTable" ref="A3:H88" totalsRowShown="0">
  <x:tableColumns count="8">
    <x:tableColumn id="1" name="Task Id"/>
    <x:tableColumn id="2" name="Task Name"/>
    <x:tableColumn id="3" name="Historical status"/>
    <x:tableColumn id="4" name="Hours"/>
    <x:tableColumn id="5" name="Evidence / Commit"/>
    <x:tableColumn id="6" name="Archive ruling"/>
    <x:tableColumn id="7" name="Column1"/>
    <x:tableColumn id="8" name="Column2"/>
  </x:tableColumns>
  <x:tableStyleInfo name="TableStyleMedium2" showFirstColumn="0" showLastColumn="0" showRowStripes="1" showColumnStripes="0"/>
</x:table>
</file>

<file path=xl/tables/table7.xml><?xml version="1.0" encoding="utf-8"?>
<x:table xmlns:x="http://schemas.openxmlformats.org/spreadsheetml/2006/main" id="13" name="CommitLedgerTable" displayName="CommitLedgerTable" ref="A1:I44" headerRowCount="1" totalsRowCount="0" totalsRowShown="0">
  <x:tableColumns count="9">
    <x:tableColumn id="1" name="Task ID"/>
    <x:tableColumn id="2" name="Phase"/>
    <x:tableColumn id="3" name="Worker"/>
    <x:tableColumn id="4" name="Commit SHA(s) / Tag"/>
    <x:tableColumn id="5" name="Commit Subject / Label"/>
    <x:tableColumn id="6" name="Commit / Closure Date"/>
    <x:tableColumn id="7" name="Date Basis"/>
    <x:tableColumn id="8" name="Evidence Confidence"/>
    <x:tableColumn id="9" name="Notes"/>
  </x:tableColumns>
  <x:tableStyleInfo name="TableStyleMedium2" showFirstColumn="0" showLastColumn="0" showRowStripes="1" showColumnStripes="0"/>
</x:table>
</file>

<file path=xl/tables/table8.xml><?xml version="1.0" encoding="utf-8"?>
<x:table xmlns:x="http://schemas.openxmlformats.org/spreadsheetml/2006/main" id="14" name="UICoverageTable" displayName="UICoverageTable" ref="A1:K271" headerRowCount="1" totalsRowCount="0" totalsRowShown="0">
  <x:tableColumns count="11">
    <x:tableColumn id="1" name="Artifact ID"/>
    <x:tableColumn id="2" name="Kind"/>
    <x:tableColumn id="3" name="Name"/>
    <x:tableColumn id="4" name="Release portion"/>
    <x:tableColumn id="5" name="Design owner"/>
    <x:tableColumn id="6" name="Runtime owner(s)"/>
    <x:tableColumn id="7" name="Chapter / source"/>
    <x:tableColumn id="8" name="Existing scene IDs"/>
    <x:tableColumn id="9" name="Design state"/>
    <x:tableColumn id="10" name="Required correction / outcome"/>
    <x:tableColumn id="11" name="Citation status"/>
  </x:tableColumns>
  <x:tableStyleInfo name="TableStyleMedium2" showFirstColumn="0" showLastColumn="0" showRowStripes="1" showColumnStripes="0"/>
</x:table>
</file>

<file path=xl/tables/table9.xml><?xml version="1.0" encoding="utf-8"?>
<x:table xmlns:x="http://schemas.openxmlformats.org/spreadsheetml/2006/main" id="15" name="UIControlsTable" displayName="UIControlsTable" ref="A1:K271" headerRowCount="1" totalsRowCount="0" totalsRowShown="0">
  <x:tableColumns count="11">
    <x:tableColumn id="1" name="Control review ID"/>
    <x:tableColumn id="2" name="Parent"/>
    <x:tableColumn id="3" name="Chapter control text"/>
    <x:tableColumn id="4" name="Type"/>
    <x:tableColumn id="5" name="Position / reachability"/>
    <x:tableColumn id="6" name="Enabled / condition"/>
    <x:tableColumn id="7" name="Source"/>
    <x:tableColumn id="8" name="Release portion"/>
    <x:tableColumn id="9" name="Design owner"/>
    <x:tableColumn id="10" name="Trace state"/>
    <x:tableColumn id="11" name="Acceptance requirement"/>
  </x:tableColumns>
  <x:tableStyleInfo name="TableStyleMedium2" showFirstColumn="0" showLastColumn="0" showRowStripes="1" showColumnStripes="0"/>
</x:table>
</file>

<file path=xl/tables/table10.xml><?xml version="1.0" encoding="utf-8"?>
<x:table xmlns:x="http://schemas.openxmlformats.org/spreadsheetml/2006/main" id="16" name="UIChangeTable" displayName="UIChangeTable" ref="A1:E29" headerRowCount="1" totalsRowCount="0" totalsRowShown="0">
  <x:tableColumns count="5">
    <x:tableColumn id="1" name="Task ID"/>
    <x:tableColumn id="2" name="Field"/>
    <x:tableColumn id="3" name="Before"/>
    <x:tableColumn id="4" name="After"/>
    <x:tableColumn id="5"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e25a55d5f7f4403" /></Relationships>
</file>

<file path=xl/worksheets/_rels/sheet3.xml.rels>&#65279;<?xml version="1.0" encoding="utf-8"?><Relationships xmlns="http://schemas.openxmlformats.org/package/2006/relationships"><Relationship Type="http://schemas.openxmlformats.org/officeDocument/2006/relationships/drawing" Target="/xl/drawings/drawing1.xml" Id="R33a4f68bd69f4ce0" /><Relationship Type="http://schemas.openxmlformats.org/officeDocument/2006/relationships/table" Target="/xl/tables/table2.xml" Id="Rf1f2773a54104576" /></Relationships>
</file>

<file path=xl/worksheets/_rels/sheet4.xml.rels>&#65279;<?xml version="1.0" encoding="utf-8"?><Relationships xmlns="http://schemas.openxmlformats.org/package/2006/relationships"><Relationship Type="http://schemas.openxmlformats.org/officeDocument/2006/relationships/table" Target="/xl/tables/table3.xml" Id="R4b82758fa4ed4e2f" /></Relationships>
</file>

<file path=xl/worksheets/_rels/sheet5.xml.rels>&#65279;<?xml version="1.0" encoding="utf-8"?><Relationships xmlns="http://schemas.openxmlformats.org/package/2006/relationships"><Relationship Type="http://schemas.openxmlformats.org/officeDocument/2006/relationships/table" Target="/xl/tables/table4.xml" Id="Ra12f4b63336243f5" /></Relationships>
</file>

<file path=xl/worksheets/_rels/sheet6.xml.rels>&#65279;<?xml version="1.0" encoding="utf-8"?><Relationships xmlns="http://schemas.openxmlformats.org/package/2006/relationships"><Relationship Type="http://schemas.openxmlformats.org/officeDocument/2006/relationships/table" Target="/xl/tables/table5.xml" Id="R3a03cdd45ad346b4" /></Relationships>
</file>

<file path=xl/worksheets/_rels/sheet7.xml.rels>&#65279;<?xml version="1.0" encoding="utf-8"?><Relationships xmlns="http://schemas.openxmlformats.org/package/2006/relationships"><Relationship Type="http://schemas.openxmlformats.org/officeDocument/2006/relationships/table" Target="/xl/tables/table6.xml" Id="Re3ecde5d40ac4d1f" /></Relationships>
</file>

<file path=xl/worksheets/_rels/sheet10.xml.rels>&#65279;<?xml version="1.0" encoding="utf-8"?><Relationships xmlns="http://schemas.openxmlformats.org/package/2006/relationships"><Relationship Type="http://schemas.openxmlformats.org/officeDocument/2006/relationships/table" Target="/xl/tables/table7.xml" Id="R6d7d902d80f54355" /></Relationships>
</file>

<file path=xl/worksheets/_rels/sheet14.xml.rels>&#65279;<?xml version="1.0" encoding="utf-8"?><Relationships xmlns="http://schemas.openxmlformats.org/package/2006/relationships"><Relationship Type="http://schemas.openxmlformats.org/officeDocument/2006/relationships/drawing" Target="/xl/drawings/drawing2.xml" Id="R97865b58b7734724" /></Relationships>
</file>

<file path=xl/worksheets/_rels/sheet20.xml.rels>&#65279;<?xml version="1.0" encoding="utf-8"?><Relationships xmlns="http://schemas.openxmlformats.org/package/2006/relationships"><Relationship Type="http://schemas.openxmlformats.org/officeDocument/2006/relationships/drawing" Target="/xl/drawings/drawing3.xml" Id="R8b5b286c95a04d8b" /></Relationships>
</file>

<file path=xl/worksheets/_rels/sheet26.xml.rels>&#65279;<?xml version="1.0" encoding="utf-8"?><Relationships xmlns="http://schemas.openxmlformats.org/package/2006/relationships"><Relationship Type="http://schemas.openxmlformats.org/officeDocument/2006/relationships/table" Target="/xl/tables/table8.xml" Id="R85871a1f45f5475c" /></Relationships>
</file>

<file path=xl/worksheets/_rels/sheet27.xml.rels>&#65279;<?xml version="1.0" encoding="utf-8"?><Relationships xmlns="http://schemas.openxmlformats.org/package/2006/relationships"><Relationship Type="http://schemas.openxmlformats.org/officeDocument/2006/relationships/table" Target="/xl/tables/table9.xml" Id="R4ba487d0064b490b" /></Relationships>
</file>

<file path=xl/worksheets/_rels/sheet28.xml.rels>&#65279;<?xml version="1.0" encoding="utf-8"?><Relationships xmlns="http://schemas.openxmlformats.org/package/2006/relationships"><Relationship Type="http://schemas.openxmlformats.org/officeDocument/2006/relationships/table" Target="/xl/tables/table10.xml" Id="Rb5ad6d70dd5b412b" /></Relationships>
</file>

<file path=xl/worksheets/_rels/sheet29.xml.rels>&#65279;<?xml version="1.0" encoding="utf-8"?><Relationships xmlns="http://schemas.openxmlformats.org/package/2006/relationships"><Relationship Type="http://schemas.openxmlformats.org/officeDocument/2006/relationships/drawing" Target="/xl/drawings/drawing4.xml" Id="R39f2f5013b07495d" /></Relationships>
</file>

<file path=xl/worksheets/sheet1.xml><?xml version="1.0" encoding="utf-8"?>
<x:worksheet xmlns:x="http://schemas.openxmlformats.org/spreadsheetml/2006/main">
  <x:sheetFormatPr defaultRowHeight="14.25"/>
  <x:cols>
    <x:col min="1" max="1" width="26" hidden="0" customWidth="1"/>
    <x:col min="2" max="2" width="42" hidden="0" customWidth="1"/>
    <x:col min="3" max="3" width="42" hidden="0" customWidth="1"/>
    <x:col min="4" max="4" width="42" hidden="0" customWidth="1"/>
    <x:col min="5" max="8" width="10" customWidth="1"/>
  </x:cols>
  <x:sheetData>
    <x:row r="1" ht="32" customHeight="1">
      <x:c r="A1" s="229" t="str">
        <x:v>PPIQ BACKLOG v2.23.0 — UI design/workflow convergence</x:v>
      </x:c>
      <x:c r="B1" s="229"/>
      <x:c r="C1" s="229"/>
      <x:c r="D1" s="229"/>
      <x:c r="E1" s="230"/>
      <x:c r="F1" s="230"/>
      <x:c r="G1" s="230"/>
      <x:c r="H1" s="230"/>
      <x:c r="I1" s="233"/>
      <x:c r="J1" s="233"/>
      <x:c r="K1" s="233"/>
      <x:c r="L1" s="233"/>
      <x:c r="M1" s="233"/>
      <x:c r="N1" s="233"/>
    </x:row>
    <x:row r="2" ht="36" customHeight="1">
      <x:c r="A2" s="208" t="str">
        <x:v>Authority</x:v>
      </x:c>
      <x:c r="B2" s="208" t="str">
        <x:v>Current value</x:v>
      </x:c>
      <x:c r="C2" s="208" t="str">
        <x:v>As of</x:v>
      </x:c>
      <x:c r="D2" s="208" t="str">
        <x:v>Meaning</x:v>
      </x:c>
      <x:c r="E2" s="2"/>
      <x:c r="F2" s="2"/>
      <x:c r="G2" s="2"/>
      <x:c r="H2" s="2"/>
      <x:c r="I2"/>
      <x:c r="J2"/>
      <x:c r="K2"/>
      <x:c r="L2"/>
    </x:row>
    <x:row r="3" ht="60" customHeight="1">
      <x:c r="A3" s="210" t="str">
        <x:v>Functional Design</x:v>
      </x:c>
      <x:c r="B3" s="210" t="str">
        <x:v>v4.10.3</x:v>
      </x:c>
      <x:c r="C3" s="210" t="str">
        <x:v>2026-09-14</x:v>
      </x:c>
      <x:c r="D3" s="210" t="str">
        <x:v>Functional Design v4.10.3 remains unchanged. No new product behavior is authorised by a visual mockup.</x:v>
      </x:c>
      <x:c r="E3" s="1"/>
      <x:c r="F3" s="1"/>
      <x:c r="G3" s="1"/>
      <x:c r="H3" s="1"/>
      <x:c r="I3"/>
      <x:c r="J3"/>
      <x:c r="K3"/>
      <x:c r="L3"/>
    </x:row>
    <x:row r="4" ht="60" customHeight="1">
      <x:c r="A4" s="206" t="str">
        <x:v>Execution Backlog</x:v>
      </x:c>
      <x:c r="B4" s="206" t="str">
        <x:v>v2.23.0</x:v>
      </x:c>
      <x:c r="C4" s="206" t="str">
        <x:v>2026-09-14</x:v>
      </x:c>
      <x:c r="D4" s="206" t="str">
        <x:v>Supersedes both divergent v2.22.1 files. Baseline is the repaired 176-task workbook; adds T-265..T-267 without regressing closure or estimates.</x:v>
      </x:c>
      <x:c r="E4" s="2"/>
      <x:c r="F4" s="2"/>
      <x:c r="G4" s="2"/>
      <x:c r="H4" s="2"/>
      <x:c r="I4"/>
      <x:c r="J4"/>
      <x:c r="K4"/>
      <x:c r="L4"/>
    </x:row>
    <x:row r="5" ht="60" customHeight="1">
      <x:c r="A5" s="206" t="str">
        <x:v>Integrated Chapter 3/4 visuals</x:v>
      </x:c>
      <x:c r="B5" s="206" t="str">
        <x:v>v4.10.3</x:v>
      </x:c>
      <x:c r="C5" s="211" t="str">
        <x:v>2026-09-14</x:v>
      </x:c>
      <x:c r="D5" s="206" t="str">
        <x:v>UI/Figma companion information is absorbed into Chapters 3/4 MD and illustrated Word. T-265..T-267 depth work remains open; no standalone visual-book file.</x:v>
      </x:c>
      <x:c r="E5" s="2"/>
      <x:c r="F5" s="2"/>
      <x:c r="G5" s="2"/>
      <x:c r="H5" s="2"/>
      <x:c r="I5"/>
      <x:c r="J5"/>
      <x:c r="K5"/>
      <x:c r="L5"/>
    </x:row>
    <x:row r="6" ht="60" customHeight="1">
      <x:c r="A6" s="206" t="str">
        <x:v>Release 1</x:v>
      </x:c>
      <x:c r="B6" s="206" t="str">
        <x:v>M2 — approx. one month from owner planning checkpoint</x:v>
      </x:c>
      <x:c r="C6" s="206" t="str">
        <x:v>Owner planning basis</x:v>
      </x:c>
      <x:c r="D6" s="206" t="str">
        <x:v>No new absolute delivery date.</x:v>
      </x:c>
      <x:c r="E6" s="2"/>
      <x:c r="F6" s="2"/>
      <x:c r="G6" s="2"/>
      <x:c r="H6" s="2"/>
      <x:c r="I6"/>
      <x:c r="J6"/>
      <x:c r="K6"/>
      <x:c r="L6"/>
    </x:row>
    <x:row r="7" ht="60" customHeight="1">
      <x:c r="A7" s="206" t="str">
        <x:v>Release 2</x:v>
      </x:c>
      <x:c r="B7" s="206" t="str">
        <x:v>M3 — 45 days after M2 completion</x:v>
      </x:c>
      <x:c r="C7" s="206" t="str">
        <x:v>Owner planning basis</x:v>
      </x:c>
      <x:c r="D7" s="206" t="str">
        <x:v>45 days after M2 completion; prior approved release allocation retained.</x:v>
      </x:c>
      <x:c r="E7" s="2"/>
      <x:c r="F7" s="2"/>
      <x:c r="G7" s="2"/>
      <x:c r="H7" s="2"/>
      <x:c r="I7"/>
      <x:c r="J7"/>
      <x:c r="K7"/>
      <x:c r="L7"/>
    </x:row>
    <x:row r="8" ht="60" customHeight="1">
      <x:c r="A8" s="206" t="str">
        <x:v>Rows and retirements</x:v>
      </x:c>
      <x:c r="B8" s="206" t="str">
        <x:v>179 active; T-105→T-104; T-111→T-110/T-155/T-159</x:v>
      </x:c>
      <x:c r="C8" s="206" t="str">
        <x:v>Adds T-265 / T-266 / T-267</x:v>
      </x:c>
      <x:c r="D8" s="206" t="str">
        <x:v>No existing task retired, moved, or reopened in this UI merge.</x:v>
      </x:c>
      <x:c r="E8" s="2"/>
      <x:c r="F8" s="2"/>
      <x:c r="G8" s="2"/>
      <x:c r="H8" s="2"/>
      <x:c r="I8"/>
      <x:c r="J8"/>
      <x:c r="K8"/>
      <x:c r="L8"/>
    </x:row>
    <x:row r="9" ht="60" customHeight="1">
      <x:c r="A9" s="206" t="str">
        <x:v>T-099 closure</x:v>
      </x:c>
      <x:c r="B9" s="206" t="str">
        <x:v>ca02b40ea1b69050a45cb35a3e1d64f15b1f66af</x:v>
      </x:c>
      <x:c r="C9" s="206" t="str">
        <x:v>Owner report received 2026-09-14</x:v>
      </x:c>
      <x:c r="D9" s="206" t="str">
        <x:v>CLOSED GREEN / COMMITTED; task-level closure, not release-wide GREEN.</x:v>
      </x:c>
      <x:c r="E9" s="2"/>
      <x:c r="F9" s="2"/>
      <x:c r="G9" s="2"/>
      <x:c r="H9" s="2"/>
      <x:c r="I9"/>
      <x:c r="J9"/>
      <x:c r="K9"/>
      <x:c r="L9"/>
    </x:row>
    <x:row r="10" ht="60" customHeight="1">
      <x:c r="A10" s="206" t="str">
        <x:v>T-262 evidence</x:v>
      </x:c>
      <x:c r="B10" s="206" t="str">
        <x:v>SOURCE PRESENT / UNCLOSED</x:v>
      </x:c>
      <x:c r="C10" s="206" t="str">
        <x:v>2026-09-14</x:v>
      </x:c>
      <x:c r="D10" s="206" t="str">
        <x:v>Status remains In Progress; no accepted closure SHA has been supplied.</x:v>
      </x:c>
      <x:c r="E10" s="2"/>
      <x:c r="F10" s="2"/>
      <x:c r="G10" s="2"/>
      <x:c r="H10" s="2"/>
      <x:c r="I10"/>
      <x:c r="J10"/>
      <x:c r="K10"/>
      <x:c r="L10"/>
    </x:row>
    <x:row r="11" ht="60" customHeight="1">
      <x:c r="A11" s="206" t="str">
        <x:v>Planning estimates</x:v>
      </x:c>
      <x:c r="B11" s="206" t="str">
        <x:v>8 rows unestimated / withdrawn / unconfirmed</x:v>
      </x:c>
      <x:c r="C11" s="211" t="str">
        <x:v>2026-09-14</x:v>
      </x:c>
      <x:c r="D11" s="206" t="str">
        <x:v>T-106/T-108 remain blank; T-262..T-264 remain unestimated; T-265..T-267 proposals are not accepted Hours or P80.</x:v>
      </x:c>
      <x:c r="E11" s="2"/>
      <x:c r="F11" s="2"/>
      <x:c r="G11" s="2"/>
      <x:c r="H11" s="2"/>
      <x:c r="I11"/>
      <x:c r="J11"/>
      <x:c r="K11"/>
      <x:c r="L11"/>
    </x:row>
    <x:row r="12" ht="60" customHeight="1">
      <x:c r="A12" s="206" t="str">
        <x:v>Current task table</x:v>
      </x:c>
      <x:c r="B12" s="206" t="str">
        <x:v>Backlog!A1:AR180</x:v>
      </x:c>
      <x:c r="C12" s="206" t="str">
        <x:v>179 task rows</x:v>
      </x:c>
      <x:c r="D12" s="206" t="str">
        <x:v>All dependency validation is read from the exported cells after saving.</x:v>
      </x:c>
      <x:c r="E12" s="2"/>
      <x:c r="F12" s="2"/>
      <x:c r="G12" s="2"/>
      <x:c r="H12" s="2"/>
      <x:c r="I12"/>
      <x:c r="J12"/>
      <x:c r="K12"/>
      <x:c r="L12"/>
    </x:row>
    <x:row r="13" ht="60" customHeight="1">
      <x:c r="A13" s="206" t="str">
        <x:v>Derived views</x:v>
      </x:c>
      <x:c r="B13" s="206" t="str">
        <x:v>UI Delivery v223 / Dependency Graph / Worker Tracks / Capability Map v1.1 / Release Plan / Dashboard v222</x:v>
      </x:c>
      <x:c r="C13" s="206" t="str">
        <x:v>v2.23.0</x:v>
      </x:c>
      <x:c r="D13" s="206" t="str">
        <x:v>Current views read current Backlog; compatibility worksheet names retained. v220/archive and earlier change logs are historical.</x:v>
      </x:c>
      <x:c r="E13"/>
      <x:c r="F13"/>
      <x:c r="G13"/>
      <x:c r="H13"/>
      <x:c r="I13"/>
      <x:c r="J13"/>
      <x:c r="K13"/>
      <x:c r="L13"/>
    </x:row>
    <x:row r="14" ht="60" customHeight="1">
      <x:c r="A14" s="194" t="str">
        <x:v>Scope of validation</x:v>
      </x:c>
      <x:c r="B14" s="194" t="str">
        <x:v>Workbook structure, formulas and dependency invariants</x:v>
      </x:c>
      <x:c r="C14" s="194" t="str">
        <x:v>2026-09-14</x:v>
      </x:c>
      <x:c r="D14" s="194" t="str">
        <x:v>Not a new product runtime, live DB, repository or full-release certification.</x:v>
      </x:c>
      <x:c r="E14"/>
      <x:c r="F14"/>
      <x:c r="G14"/>
      <x:c r="H14"/>
      <x:c r="I14"/>
      <x:c r="J14"/>
      <x:c r="K14"/>
      <x:c r="L14"/>
    </x:row>
    <x:row r="15" ht="60" customHeight="1">
      <x:c r="A15" s="194" t="str">
        <x:v>Chapter 2 notice</x:v>
      </x:c>
      <x:c r="B15" s="194" t="str">
        <x:v>v4.10.3 includes planning-basis and release-split clarification</x:v>
      </x:c>
      <x:c r="C15" s="194" t="str">
        <x:v>Unchanged here</x:v>
      </x:c>
      <x:c r="D15" s="194" t="str">
        <x:v>Chapter 2 disclosure retained. No further Design edits in v2.23.0.</x:v>
      </x:c>
      <x:c r="E15"/>
      <x:c r="F15"/>
      <x:c r="G15"/>
      <x:c r="H15"/>
      <x:c r="I15"/>
      <x:c r="J15"/>
      <x:c r="K15"/>
      <x:c r="L15"/>
    </x:row>
    <x:row r="16" ht="60" customHeight="1">
      <x:c r="A16"/>
      <x:c r="B16"/>
      <x:c r="C16"/>
      <x:c r="D16"/>
      <x:c r="E16"/>
      <x:c r="F16"/>
      <x:c r="G16"/>
      <x:c r="H16"/>
      <x:c r="I16"/>
      <x:c r="J16"/>
      <x:c r="K16"/>
      <x:c r="L16"/>
    </x:row>
    <x:row r="17">
      <x:c r="A17"/>
      <x:c r="B17"/>
      <x:c r="C17"/>
      <x:c r="D17"/>
      <x:c r="E17"/>
      <x:c r="F17"/>
      <x:c r="G17"/>
      <x:c r="H17"/>
      <x:c r="I17"/>
      <x:c r="J17"/>
      <x:c r="K17"/>
      <x:c r="L17"/>
    </x:row>
    <x:row r="18">
      <x:c r="A18"/>
      <x:c r="B18"/>
      <x:c r="C18"/>
      <x:c r="D18"/>
      <x:c r="E18"/>
      <x:c r="F18"/>
      <x:c r="G18"/>
      <x:c r="H18"/>
      <x:c r="I18"/>
      <x:c r="J18"/>
      <x:c r="K18"/>
      <x:c r="L18"/>
    </x:row>
    <x:row r="19">
      <x:c r="A19"/>
      <x:c r="B19"/>
      <x:c r="C19"/>
      <x:c r="D19"/>
      <x:c r="E19"/>
      <x:c r="F19"/>
      <x:c r="G19"/>
      <x:c r="H19"/>
      <x:c r="I19"/>
      <x:c r="J19"/>
      <x:c r="K19"/>
      <x:c r="L19"/>
    </x:row>
    <x:row r="20">
      <x:c r="A20"/>
      <x:c r="B20"/>
      <x:c r="C20"/>
      <x:c r="D20"/>
      <x:c r="E20"/>
      <x:c r="F20"/>
      <x:c r="G20"/>
      <x:c r="H20"/>
      <x:c r="I20"/>
      <x:c r="J20"/>
      <x:c r="K20"/>
      <x:c r="L20"/>
    </x:row>
    <x:row r="21">
      <x:c r="A21"/>
      <x:c r="B21"/>
      <x:c r="C21"/>
      <x:c r="D21"/>
      <x:c r="E21"/>
      <x:c r="F21"/>
      <x:c r="G21"/>
      <x:c r="H21"/>
      <x:c r="I21"/>
      <x:c r="J21"/>
      <x:c r="K21"/>
      <x:c r="L21"/>
    </x:row>
    <x:row r="22">
      <x:c r="A22"/>
      <x:c r="B22"/>
      <x:c r="C22"/>
      <x:c r="D22"/>
      <x:c r="E22"/>
      <x:c r="F22"/>
      <x:c r="G22"/>
      <x:c r="H22"/>
      <x:c r="I22"/>
      <x:c r="J22"/>
      <x:c r="K22"/>
      <x:c r="L22"/>
    </x:row>
    <x:row r="23">
      <x:c r="A23"/>
      <x:c r="B23"/>
      <x:c r="C23"/>
      <x:c r="D23"/>
      <x:c r="E23"/>
      <x:c r="F23"/>
      <x:c r="G23"/>
      <x:c r="H23"/>
      <x:c r="I23"/>
      <x:c r="J23"/>
      <x:c r="K23"/>
      <x:c r="L23"/>
    </x:row>
    <x:row r="24">
      <x:c r="A24"/>
      <x:c r="B24"/>
      <x:c r="C24"/>
      <x:c r="D24"/>
      <x:c r="E24"/>
      <x:c r="F24"/>
      <x:c r="G24"/>
      <x:c r="H24"/>
      <x:c r="I24"/>
      <x:c r="J24"/>
      <x:c r="K24"/>
      <x:c r="L24"/>
    </x:row>
    <x:row r="25">
      <x:c r="A25"/>
      <x:c r="B25"/>
      <x:c r="C25"/>
      <x:c r="D25"/>
      <x:c r="E25"/>
      <x:c r="F25"/>
      <x:c r="G25"/>
      <x:c r="H25"/>
      <x:c r="I25"/>
      <x:c r="J25"/>
      <x:c r="K25"/>
      <x:c r="L25"/>
    </x:row>
    <x:row r="26">
      <x:c r="A26"/>
      <x:c r="B26"/>
      <x:c r="C26"/>
      <x:c r="D26"/>
      <x:c r="E26"/>
      <x:c r="F26"/>
      <x:c r="G26"/>
      <x:c r="H26"/>
      <x:c r="I26"/>
      <x:c r="J26"/>
      <x:c r="K26"/>
      <x:c r="L26"/>
    </x:row>
    <x:row r="27">
      <x:c r="A27"/>
      <x:c r="B27"/>
      <x:c r="C27"/>
      <x:c r="D27"/>
      <x:c r="E27"/>
      <x:c r="F27"/>
      <x:c r="G27"/>
      <x:c r="H27"/>
      <x:c r="I27"/>
      <x:c r="J27"/>
      <x:c r="K27"/>
      <x:c r="L27"/>
    </x:row>
    <x:row r="28">
      <x:c r="A28"/>
      <x:c r="B28"/>
      <x:c r="C28"/>
      <x:c r="D28"/>
      <x:c r="E28"/>
      <x:c r="F28"/>
      <x:c r="G28"/>
      <x:c r="H28"/>
      <x:c r="I28"/>
      <x:c r="J28"/>
      <x:c r="K28"/>
      <x:c r="L28"/>
    </x:row>
    <x:row r="29">
      <x:c r="A29"/>
      <x:c r="B29"/>
      <x:c r="C29"/>
      <x:c r="D29"/>
      <x:c r="E29"/>
      <x:c r="F29"/>
      <x:c r="G29"/>
      <x:c r="H29"/>
      <x:c r="I29"/>
      <x:c r="J29"/>
      <x:c r="K29"/>
      <x:c r="L29"/>
    </x:row>
    <x:row r="30">
      <x:c r="A30"/>
      <x:c r="B30"/>
      <x:c r="C30"/>
      <x:c r="D30"/>
      <x:c r="E30"/>
      <x:c r="F30"/>
      <x:c r="G30"/>
      <x:c r="H30"/>
      <x:c r="I30"/>
      <x:c r="J30"/>
      <x:c r="K30"/>
      <x:c r="L30"/>
    </x:row>
    <x:row r="31" ht="68" customHeight="1">
      <x:c r="A31" s="101" t="str">
        <x:v>Controlled book</x:v>
      </x:c>
      <x:c r="B31" s="101" t="str">
        <x:v>12 document families / 14 physical files</x:v>
      </x:c>
      <x:c r="C31" s="101" t="str">
        <x:v>Owner direction — 2026-09-14</x:v>
      </x:c>
      <x:c r="D31" s="101" t="str">
        <x:v>PPIQ_Definition.md registers the allowed files. The Backlog holds coverage, acceptance, validation and handoffs; no new status/JSON/README/atlas files.</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4.25"/>
  <x:cols>
    <x:col min="1" max="1" width="11" hidden="0" customWidth="1"/>
    <x:col min="2" max="2" width="11" hidden="0" customWidth="1"/>
    <x:col min="3" max="3" width="10" hidden="0" customWidth="1"/>
    <x:col min="4" max="4" width="36" hidden="0" customWidth="1"/>
    <x:col min="5" max="6" width="18" customWidth="1"/>
    <x:col min="7" max="7" width="14" customWidth="1"/>
    <x:col min="8" max="9" width="64" customWidth="1"/>
    <x:col min="10" max="12" width="12" customWidth="1"/>
    <x:col min="13" max="14" width="28" customWidth="1"/>
    <x:col min="15" max="16" width="22" customWidth="1"/>
    <x:col min="17" max="17" width="24" customWidth="1"/>
    <x:col min="18" max="18" width="13" customWidth="1"/>
    <x:col min="19" max="19" width="12" customWidth="1"/>
    <x:col min="20" max="23" width="48" customWidth="1"/>
    <x:col min="24" max="24" width="35" hidden="0" customWidth="1"/>
    <x:col min="25" max="25" width="62" customWidth="1"/>
    <x:col min="26" max="26" width="15" customWidth="1"/>
    <x:col min="27" max="27" width="19" customWidth="1"/>
    <x:col min="28" max="28" width="38" customWidth="1"/>
    <x:col min="29" max="29" width="26" customWidth="1"/>
    <x:col min="30" max="30" width="18" customWidth="1"/>
    <x:col min="31" max="31" width="23" customWidth="1"/>
    <x:col min="32" max="32" width="17" customWidth="1"/>
    <x:col min="33" max="33" width="12" customWidth="1"/>
    <x:col min="34" max="34" width="20" customWidth="1"/>
    <x:col min="35" max="35" width="40" hidden="0" customWidth="1"/>
    <x:col min="8" max="8" width="64" hidden="0" customWidth="1"/>
    <x:col min="9" max="9" width="64" hidden="0" customWidth="1"/>
    <x:col min="10" max="10" width="10" hidden="0" customWidth="1"/>
    <x:col min="11" max="11" width="17" hidden="0" customWidth="1"/>
    <x:col min="12" max="12" width="17" hidden="0" customWidth="1"/>
    <x:col min="13" max="13" width="36" hidden="0" customWidth="1"/>
    <x:col min="14" max="14" width="36" hidden="0" customWidth="1"/>
    <x:col min="15" max="15" width="32" hidden="0" customWidth="1"/>
    <x:col min="20" max="20" width="40" hidden="0" customWidth="1"/>
    <x:col min="21" max="21" width="35" hidden="0" customWidth="1"/>
    <x:col min="22" max="22" width="35" hidden="0" customWidth="1"/>
    <x:col min="36" max="36" width="32" hidden="0" customWidth="1"/>
    <x:col min="37" max="37" width="15" hidden="0" customWidth="1"/>
    <x:col min="38" max="38" width="37" hidden="0" customWidth="1"/>
    <x:col min="40" max="40" width="36" hidden="0" customWidth="1"/>
    <x:col min="41" max="41" width="34" hidden="0" customWidth="1"/>
    <x:col min="42" max="42" width="34" hidden="0" customWidth="1"/>
    <x:col min="43" max="43" width="34" hidden="0" customWidth="1"/>
    <x:col min="44" max="44" width="34" hidden="0" customWidth="1"/>
  </x:cols>
  <x:sheetData>
    <x:row r="1" ht="52" customHeight="1">
      <x:c r="A1" s="189" t="str">
        <x:v>Task Id</x:v>
      </x:c>
      <x:c r="B1" s="189" t="str">
        <x:v>Milestone Id</x:v>
      </x:c>
      <x:c r="C1" s="189" t="str">
        <x:v>Phase Id</x:v>
      </x:c>
      <x:c r="D1" s="189" t="str">
        <x:v>Task Name</x:v>
      </x:c>
      <x:c r="E1" s="189" t="str">
        <x:v>Module</x:v>
      </x:c>
      <x:c r="F1" s="189" t="str">
        <x:v>Sub-module</x:v>
      </x:c>
      <x:c r="G1" s="189" t="str">
        <x:v>Priority</x:v>
      </x:c>
      <x:c r="H1" s="189" t="str">
        <x:v>Task Description</x:v>
      </x:c>
      <x:c r="I1" s="189" t="str">
        <x:v>Task Validation</x:v>
      </x:c>
      <x:c r="J1" s="189" t="str">
        <x:v>Hours</x:v>
      </x:c>
      <x:c r="K1" s="189" t="str">
        <x:v>Status</x:v>
      </x:c>
      <x:c r="L1" s="189" t="str">
        <x:v>AI Agent Owner</x:v>
      </x:c>
      <x:c r="M1" s="189" t="str">
        <x:v>Depends On (IDs only)</x:v>
      </x:c>
      <x:c r="N1" s="189" t="str">
        <x:v>Must Precede (IDs only)</x:v>
      </x:c>
      <x:c r="O1" s="189" t="str">
        <x:v>Delivery Target</x:v>
      </x:c>
      <x:c r="P1" s="189" t="str">
        <x:v>Release Criticality</x:v>
      </x:c>
      <x:c r="Q1" s="189" t="str">
        <x:v>AI Execution Class</x:v>
      </x:c>
      <x:c r="R1" s="189" t="str">
        <x:v>AI Guarded Time P80 (h)</x:v>
      </x:c>
      <x:c r="S1" s="189" t="str">
        <x:v>AI Sequence Wave</x:v>
      </x:c>
      <x:c r="T1" s="189" t="str">
        <x:v>AI Start / Dependency Gate</x:v>
      </x:c>
      <x:c r="U1" s="189" t="str">
        <x:v>File / Subsystem Lock</x:v>
      </x:c>
      <x:c r="V1" s="189" t="str">
        <x:v>No-Rework Handoff Ruling</x:v>
      </x:c>
      <x:c r="W1" s="189" t="str">
        <x:v>Product Track</x:v>
      </x:c>
      <x:c r="X1" s="189" t="str">
        <x:v>Tech-Lead Ruling</x:v>
      </x:c>
      <x:c r="Y1" s="189" t="str">
        <x:v>Commit String</x:v>
      </x:c>
      <x:c r="Z1" s="189" t="str">
        <x:v>Commit Date</x:v>
      </x:c>
      <x:c r="AA1" s="190" t="str">
        <x:v>Primary Capability ID</x:v>
      </x:c>
      <x:c r="AB1" s="190" t="str">
        <x:v>Primary Capability Name</x:v>
      </x:c>
      <x:c r="AC1" s="190" t="str">
        <x:v>Secondary Capability IDs</x:v>
      </x:c>
      <x:c r="AD1" s="190" t="str">
        <x:v>Capability Contribution</x:v>
      </x:c>
      <x:c r="AE1" s="190" t="str">
        <x:v>Completeness Dimensions Targeted</x:v>
      </x:c>
      <x:c r="AF1" s="190" t="str">
        <x:v>Capability Requirement Class</x:v>
      </x:c>
      <x:c r="AG1" s="190" t="str">
        <x:v>Release Scope</x:v>
      </x:c>
      <x:c r="AH1" s="190" t="str">
        <x:v>Capability Closure Effect</x:v>
      </x:c>
      <x:c r="AI1" s="190" t="str">
        <x:v>Capability Evidence</x:v>
      </x:c>
      <x:c r="AJ1" s="190" t="str">
        <x:v>Estimate Basis</x:v>
      </x:c>
      <x:c r="AK1" s="190" t="str">
        <x:v>Design Package</x:v>
      </x:c>
      <x:c r="AL1" s="190" t="str">
        <x:v>UI Companion Reference</x:v>
      </x:c>
      <x:c r="AM1" s="190" t="str">
        <x:v>Has estimate</x:v>
      </x:c>
      <x:c r="AN1" s="190" t="str">
        <x:v>Contract-ready predecessors (not completion)</x:v>
      </x:c>
      <x:c r="AO1" s="190" t="str">
        <x:v>Evidence State</x:v>
      </x:c>
      <x:c r="AP1" s="190" t="str">
        <x:v>Closure Evidence Basis</x:v>
      </x:c>
      <x:c r="AQ1" s="190" t="str">
        <x:v>Parent Commit</x:v>
      </x:c>
      <x:c r="AR1" s="190" t="str">
        <x:v>Estimate Status</x:v>
      </x:c>
    </x:row>
    <x:row r="2" ht="76" hidden="1" customHeight="1">
      <x:c r="A2" s="98" t="str">
        <x:v>T-086</x:v>
      </x:c>
      <x:c r="B2" s="98" t="str">
        <x:v>M2</x:v>
      </x:c>
      <x:c r="C2" s="98" t="str">
        <x:v>P1</x:v>
      </x:c>
      <x:c r="D2" s="98" t="str">
        <x:v>Freeze the legacy Fleet v2 controlled regression oracle</x:v>
      </x:c>
      <x:c r="E2" s="98" t="str">
        <x:v>Testing</x:v>
      </x:c>
      <x:c r="F2" s="98" t="str">
        <x:v>Emulated sources</x:v>
      </x:c>
      <x:c r="G2" s="98" t="str">
        <x:v>Critical</x:v>
      </x:c>
      <x:c r="H2" s="98" t="str">
        <x:v>Freeze and certify the existing Fleet v2 dataset only as a legacy discrete-manufacturing regression oracle with predeclared known answers/negative controls. It is not the canonical product vocabulary, not the generic M2 fixture authority and not the source of customer schema semantics. T-208 owns new generic controlled fixtures, including the continuous-process known-answer pack.</x:v>
      </x:c>
      <x:c r="I2" s="98" t="str">
        <x:v>Fleet v2 is immutable and its declared phenomena/negative controls are reproducible. An architecture check proves no generic runtime/Layer-B/registry contract derives vocabulary or universal grain from Fleet. T-208 can run independently with neutral/continuous fixtures.</x:v>
      </x:c>
      <x:c r="J2" s="106" t="n">
        <x:v>8</x:v>
      </x:c>
      <x:c r="K2" s="100" t="str">
        <x:v>Done</x:v>
      </x:c>
      <x:c r="L2" s="98" t="str">
        <x:v>Worker 1</x:v>
      </x:c>
      <x:c r="M2" s="101" t="str">
        <x:v>T-201</x:v>
      </x:c>
      <x:c r="N2" s="101" t="str">
        <x:v>T-087; T-088; T-131</x:v>
      </x:c>
      <x:c r="O2" s="101" t="str">
        <x:v>M2: ~1 month from owner planning checkpoint; exact date not committed</x:v>
      </x:c>
      <x:c r="P2" s="101" t="str">
        <x:v>Release 1 MUST</x:v>
      </x:c>
      <x:c r="Q2" s="101" t="str">
        <x:v>Integration/E2E/certification</x:v>
      </x:c>
      <x:c r="R2" s="195" t="n">
        <x:v>2.72</x:v>
      </x:c>
      <x:c r="S2" s="101" t="str">
        <x:v>M2-P1</x:v>
      </x:c>
      <x:c r="T2" s="101" t="str">
        <x:v>WAIT for Presentation RC freeze/tag + clean index/worktree. Then: Release 1 dependency order</x:v>
      </x:c>
      <x:c r="U2" s="101" t="str">
        <x:v>Own canonical DB/backend/security/API/infra. No W2-owned UI/admin task files and no W3 ML/Assistant runtime.</x:v>
      </x:c>
      <x:c r="V2" s="101" t="str">
        <x:v>Commit before downstream consumer starts; consumer must use the contract, not redesign producer-owned semantics.</x:v>
      </x:c>
      <x:c r="W2" s="101" t="str">
        <x:v>Product Foundation &amp; Release Truth</x:v>
      </x:c>
      <x:c r="X2" s="101" t="str">
        <x:v>M2 P1 — Product Foundation &amp; Release Truth. Release 1 is genuine early production / first-week customer work.</x:v>
      </x:c>
      <x:c r="Y2" s="196" t="str">
        <x:v>77a8ea4f — T-086: freeze the legacy regression oracle and gate generic surfaces against its vocabulary</x:v>
      </x:c>
      <x:c r="Z2" s="197" t="n">
        <x:v>46259</x:v>
      </x:c>
      <x:c r="AA2" s="101" t="str">
        <x:v>L8.8</x:v>
      </x:c>
      <x:c r="AB2" s="101" t="str">
        <x:v>C1–C4 performance certification and golden-journey release gate</x:v>
      </x:c>
      <x:c r="AC2" s="101"/>
      <x:c r="AD2" s="101" t="str">
        <x:v>Validate</x:v>
      </x:c>
      <x:c r="AE2" s="101" t="str">
        <x:v>D5</x:v>
      </x:c>
      <x:c r="AF2" s="101" t="str">
        <x:v>Core</x:v>
      </x:c>
      <x:c r="AG2" s="101" t="str">
        <x:v>R1</x:v>
      </x:c>
      <x:c r="AH2" s="101" t="str">
        <x:v>Advances</x:v>
      </x:c>
      <x:c r="AI2" s="101" t="str">
        <x:f t="shared" ref="AI2:AI33" si="0">IF(Y2="","",Y2)</x:f>
        <x:v>77a8ea4f — T-086: freeze the legacy regression oracle and gate generic surfaces against its vocabulary</x:v>
      </x:c>
      <x:c r="AJ2" s="101" t="str">
        <x:v>Inherited baseline estimate</x:v>
      </x:c>
      <x:c r="AK2" s="101" t="str">
        <x:v>v4.10.3</x:v>
      </x:c>
      <x:c r="AL2" s="101" t="str">
        <x:v>Chapters 3/4 v4.10.3 — MD + illustrated Word; UI Coverage / UI Controls in this workbook</x:v>
      </x:c>
      <x:c r="AM2" t="n">
        <x:f>IF(ISNUMBER(J2),1,0)</x:f>
        <x:v>1</x:v>
      </x:c>
      <x:c r="AN2" s="101"/>
      <x:c r="AO2" s="194" t="str">
        <x:v>Recorded closed — inherited evidence</x:v>
      </x:c>
      <x:c r="AP2" s="194" t="str">
        <x:v>Inherited v2.22.0 intended record; no new runtime certification in this repair.</x:v>
      </x:c>
      <x:c r="AQ2" s="194"/>
      <x:c r="AR2" s="194" t="str">
        <x:v>INHERITED ESTIMATE</x:v>
      </x:c>
    </x:row>
    <x:row r="3" ht="76" hidden="1" customHeight="1">
      <x:c r="A3" s="98" t="str">
        <x:v>T-087</x:v>
      </x:c>
      <x:c r="B3" s="98" t="str">
        <x:v>M2</x:v>
      </x:c>
      <x:c r="C3" s="98" t="str">
        <x:v>P1</x:v>
      </x:c>
      <x:c r="D3" s="98" t="str">
        <x:v>Physical three-schema migration</x:v>
      </x:c>
      <x:c r="E3" s="98" t="str">
        <x:v>Database</x:v>
      </x:c>
      <x:c r="F3" s="98" t="str">
        <x:v>Schema</x:v>
      </x:c>
      <x:c r="G3" s="98" t="str">
        <x:v>Critical</x:v>
      </x:c>
      <x:c r="H3" s="98" t="str">
        <x:v>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x:v>
      </x:c>
      <x:c r="I3" s="98" t="str">
        <x:v>Rule 2 is provable in one query on a fresh database. All application tests pass. The canvas catalogue lists tables from the renamed schema with only a configuration change. AND THE BENCHMARK SURVIVES THE MOVE: the phenomenon and benchmark harness frozen in T-086 is re-run UNCHANGED after the schema migration and produces identical results. A migration that silently alters the reference dataset destroys every comparison made against it.</x:v>
      </x:c>
      <x:c r="J3" s="106" t="n">
        <x:v>12</x:v>
      </x:c>
      <x:c r="K3" s="100" t="str">
        <x:v>Done</x:v>
      </x:c>
      <x:c r="L3" s="98" t="str">
        <x:v>Worker 1</x:v>
      </x:c>
      <x:c r="M3" s="101" t="str">
        <x:v>T-086; T-088</x:v>
      </x:c>
      <x:c r="N3" s="101" t="str">
        <x:v>T-089; T-099; T-102; T-112; T-114; T-128; T-196; T-233; T-251; T-252</x:v>
      </x:c>
      <x:c r="O3" s="101" t="str">
        <x:v>M2: ~1 month from owner planning checkpoint; exact date not committed</x:v>
      </x:c>
      <x:c r="P3" s="101" t="str">
        <x:v>Release 1 MUST</x:v>
      </x:c>
      <x:c r="Q3" s="101" t="str">
        <x:v>DB/schema/migration</x:v>
      </x:c>
      <x:c r="R3" s="195" t="n">
        <x:v>2.325</x:v>
      </x:c>
      <x:c r="S3" s="101" t="str">
        <x:v>M2-P1</x:v>
      </x:c>
      <x:c r="T3" s="101" t="str">
        <x:v>WAIT for Presentation RC freeze/tag + clean index/worktree. Then: T-086 + T-088 canonical migration order/runner/truth gate established FIRST.</x:v>
      </x:c>
      <x:c r="U3" s="101" t="str">
        <x:v>Own canonical DB/backend/security/API/infra. No W2-owned UI/admin task files and no W3 ML/Assistant runtime.</x:v>
      </x:c>
      <x:c r="V3" s="101" t="str">
        <x:v>Commit before downstream consumer starts; consumer must use the contract, not redesign producer-owned semantics.</x:v>
      </x:c>
      <x:c r="W3" s="101" t="str">
        <x:v>Product Foundation &amp; Release Truth</x:v>
      </x:c>
      <x:c r="X3" s="101" t="str">
        <x:v>M2 P1 — Product Foundation &amp; Release Truth. Release 1 is genuine early production / first-week customer work.</x:v>
      </x:c>
      <x:c r="Y3" s="196" t="str">
        <x:v>e7d82f078d7dfa4c1ca4ec6e88d0dbc7e1ecd6ba — subject not recovered</x:v>
      </x:c>
      <x:c r="Z3" s="197" t="n">
        <x:v>46262</x:v>
      </x:c>
      <x:c r="AA3" s="101" t="str">
        <x:v>L2.1</x:v>
      </x:c>
      <x:c r="AB3" s="101" t="str">
        <x:v>Three-schema platform and placement law</x:v>
      </x:c>
      <x:c r="AC3" s="101" t="str">
        <x:v>L5.7</x:v>
      </x:c>
      <x:c r="AD3" s="101" t="str">
        <x:v>Converge</x:v>
      </x:c>
      <x:c r="AE3" s="101" t="str">
        <x:v>D4; D5</x:v>
      </x:c>
      <x:c r="AF3" s="101" t="str">
        <x:v>Core</x:v>
      </x:c>
      <x:c r="AG3" s="101" t="str">
        <x:v>R1</x:v>
      </x:c>
      <x:c r="AH3" s="101" t="str">
        <x:v>Advances</x:v>
      </x:c>
      <x:c r="AI3" s="101" t="str">
        <x:f t="shared" si="0"/>
        <x:v>e7d82f078d7dfa4c1ca4ec6e88d0dbc7e1ecd6ba — subject not recovered</x:v>
      </x:c>
      <x:c r="AJ3" s="101" t="str">
        <x:v>Inherited baseline estimate</x:v>
      </x:c>
      <x:c r="AK3" s="101" t="str">
        <x:v>v4.10.3</x:v>
      </x:c>
      <x:c r="AL3" s="101" t="str">
        <x:v>Chapters 3/4 v4.10.3 — MD + illustrated Word; UI Coverage / UI Controls in this workbook</x:v>
      </x:c>
      <x:c r="AM3" t="n">
        <x:f>IF(ISNUMBER(J3),1,0)</x:f>
        <x:v>1</x:v>
      </x:c>
      <x:c r="AN3" s="101"/>
      <x:c r="AO3" s="194" t="str">
        <x:v>Recorded closed — inherited evidence</x:v>
      </x:c>
      <x:c r="AP3" s="194" t="str">
        <x:v>Inherited v2.22.0 intended record; no new runtime certification in this repair.</x:v>
      </x:c>
      <x:c r="AQ3" s="194"/>
      <x:c r="AR3" s="194" t="str">
        <x:v>INHERITED ESTIMATE</x:v>
      </x:c>
    </x:row>
    <x:row r="4" ht="76" hidden="1" customHeight="1">
      <x:c r="A4" s="98" t="str">
        <x:v>T-088</x:v>
      </x:c>
      <x:c r="B4" s="98" t="str">
        <x:v>M2</x:v>
      </x:c>
      <x:c r="C4" s="98" t="str">
        <x:v>P1</x:v>
      </x:c>
      <x:c r="D4" s="98" t="str">
        <x:v>Canonical migration order and legacy script archival</x:v>
      </x:c>
      <x:c r="E4" s="98" t="str">
        <x:v>Database</x:v>
      </x:c>
      <x:c r="F4" s="98" t="str">
        <x:v>Schema</x:v>
      </x:c>
      <x:c r="G4" s="98" t="str">
        <x:v>Very Important</x:v>
      </x:c>
      <x:c r="H4" s="98" t="str">
        <x:v>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x:v>
      </x:c>
      <x:c r="I4" s="98" t="str">
        <x:v>A fresh database builds from the canonical path with no manual step. The truth gate fails if a duplicate CREATE TABLE is introduced.</x:v>
      </x:c>
      <x:c r="J4" s="106" t="n">
        <x:v>12</x:v>
      </x:c>
      <x:c r="K4" s="100" t="str">
        <x:v>Done</x:v>
      </x:c>
      <x:c r="L4" s="98" t="str">
        <x:v>Worker 1</x:v>
      </x:c>
      <x:c r="M4" s="101" t="str">
        <x:v>T-086</x:v>
      </x:c>
      <x:c r="N4" s="101" t="str">
        <x:v>T-087; T-089; T-112; T-128; T-251; T-252; T-256; T-260</x:v>
      </x:c>
      <x:c r="O4" s="101" t="str">
        <x:v>M2: ~1 month from owner planning checkpoint; exact date not committed</x:v>
      </x:c>
      <x:c r="P4" s="101" t="str">
        <x:v>Release 1 MUST</x:v>
      </x:c>
      <x:c r="Q4" s="101" t="str">
        <x:v>DB/schema/migration</x:v>
      </x:c>
      <x:c r="R4" s="195" t="n">
        <x:v>2.325</x:v>
      </x:c>
      <x:c r="S4" s="101" t="str">
        <x:v>M2-P1</x:v>
      </x:c>
      <x:c r="T4" s="101" t="str">
        <x:v>WAIT for Presentation RC freeze/tag + clean index/worktree. Then: T-086 frozen M2 reference dataset; define canonical migration order before T-...</x:v>
      </x:c>
      <x:c r="U4" s="101" t="str">
        <x:v>Own canonical DB/backend/security/API/infra. No W2-owned UI/admin task files and no W3 ML/Assistant runtime.</x:v>
      </x:c>
      <x:c r="V4" s="101" t="str">
        <x:v>Commit before downstream consumer starts; consumer must use the contract, not redesign producer-owned semantics.</x:v>
      </x:c>
      <x:c r="W4" s="101" t="str">
        <x:v>Product Foundation &amp; Release Truth</x:v>
      </x:c>
      <x:c r="X4" s="101" t="str">
        <x:v>M2 P1 — Product Foundation &amp; Release Truth. Release 1 is genuine early production / first-week customer work.</x:v>
      </x:c>
      <x:c r="Y4" s="196" t="str">
        <x:v>6a62c9d6 — Establish canonical database migration authority</x:v>
      </x:c>
      <x:c r="Z4" s="197" t="n">
        <x:v>46260</x:v>
      </x:c>
      <x:c r="AA4" s="101" t="str">
        <x:v>L8.1</x:v>
      </x:c>
      <x:c r="AB4" s="101" t="str">
        <x:v>Fresh install and upgrade authority</x:v>
      </x:c>
      <x:c r="AC4" s="101" t="str">
        <x:v>L5.7; L2.1</x:v>
      </x:c>
      <x:c r="AD4" s="101" t="str">
        <x:v>Converge</x:v>
      </x:c>
      <x:c r="AE4" s="101" t="str">
        <x:v>D4; D5</x:v>
      </x:c>
      <x:c r="AF4" s="101" t="str">
        <x:v>Core</x:v>
      </x:c>
      <x:c r="AG4" s="101" t="str">
        <x:v>R1</x:v>
      </x:c>
      <x:c r="AH4" s="101" t="str">
        <x:v>Advances</x:v>
      </x:c>
      <x:c r="AI4" s="101" t="str">
        <x:f t="shared" si="0"/>
        <x:v>6a62c9d6 — Establish canonical database migration authority</x:v>
      </x:c>
      <x:c r="AJ4" s="101" t="str">
        <x:v>Inherited baseline estimate</x:v>
      </x:c>
      <x:c r="AK4" s="101" t="str">
        <x:v>v4.10.3</x:v>
      </x:c>
      <x:c r="AL4" s="101" t="str">
        <x:v>Chapters 3/4 v4.10.3 — MD + illustrated Word; UI Coverage / UI Controls in this workbook</x:v>
      </x:c>
      <x:c r="AM4" t="n">
        <x:f>IF(ISNUMBER(J4),1,0)</x:f>
        <x:v>1</x:v>
      </x:c>
      <x:c r="AN4" s="101"/>
      <x:c r="AO4" s="194" t="str">
        <x:v>Recorded closed — inherited evidence</x:v>
      </x:c>
      <x:c r="AP4" s="194" t="str">
        <x:v>Inherited v2.22.0 intended record; no new runtime certification in this repair.</x:v>
      </x:c>
      <x:c r="AQ4" s="194"/>
      <x:c r="AR4" s="194" t="str">
        <x:v>INHERITED ESTIMATE</x:v>
      </x:c>
    </x:row>
    <x:row r="5" ht="76" hidden="1" customHeight="1">
      <x:c r="A5" s="98" t="str">
        <x:v>T-089</x:v>
      </x:c>
      <x:c r="B5" s="98" t="str">
        <x:v>M2</x:v>
      </x:c>
      <x:c r="C5" s="98" t="str">
        <x:v>P1</x:v>
      </x:c>
      <x:c r="D5" s="98" t="str">
        <x:v>definition_store, definition_versions and definition_dependencies</x:v>
      </x:c>
      <x:c r="E5" s="98" t="str">
        <x:v>Database</x:v>
      </x:c>
      <x:c r="F5" s="98" t="str">
        <x:v>Definition store</x:v>
      </x:c>
      <x:c r="G5" s="98" t="str">
        <x:v>Critical</x:v>
      </x:c>
      <x:c r="H5" s="98" t="str">
        <x:v>Create the tables specified in Chapter 3 4.5.11 with immutable versions and a dependency graph, plus a trigger that rejects a dependency cycle.</x:v>
      </x:c>
      <x:c r="I5" s="98" t="str">
        <x:v>Integration tests: create, version, publish, and reject a cycle. Version rows must be immutable, proved by an update attempt that fails.</x:v>
      </x:c>
      <x:c r="J5" s="106" t="n">
        <x:v>12</x:v>
      </x:c>
      <x:c r="K5" s="100" t="str">
        <x:v>Done</x:v>
      </x:c>
      <x:c r="L5" s="98" t="str">
        <x:v>Worker 1</x:v>
      </x:c>
      <x:c r="M5" s="101" t="str">
        <x:v>T-087; T-088</x:v>
      </x:c>
      <x:c r="N5" s="101" t="str">
        <x:v>T-090; T-092; T-095; T-099; T-106; T-114; T-128; T-183; T-243; T-244</x:v>
      </x:c>
      <x:c r="O5" s="101" t="str">
        <x:v>M2: ~1 month from owner planning checkpoint; exact date not committed</x:v>
      </x:c>
      <x:c r="P5" s="101" t="str">
        <x:v>Release 1 MUST</x:v>
      </x:c>
      <x:c r="Q5" s="101" t="str">
        <x:v>DB/schema/migration</x:v>
      </x:c>
      <x:c r="R5" s="195" t="n">
        <x:v>2.325</x:v>
      </x:c>
      <x:c r="S5" s="101" t="str">
        <x:v>M2-P1</x:v>
      </x:c>
      <x:c r="T5" s="101" t="str">
        <x:v>WAIT for Presentation RC freeze/tag + clean index/worktree. Then: T-087 + T-088 canonical three-schema/migration authority green.</x:v>
      </x:c>
      <x:c r="U5" s="101" t="str">
        <x:v>Own canonical DB/backend/security/API/infra. No W2-owned UI/admin task files and no W3 ML/Assistant runtime.</x:v>
      </x:c>
      <x:c r="V5" s="101" t="str">
        <x:v>Commit before downstream consumer starts; consumer must use the contract, not redesign producer-owned semantics.</x:v>
      </x:c>
      <x:c r="W5" s="101" t="str">
        <x:v>Product Foundation &amp; Release Truth</x:v>
      </x:c>
      <x:c r="X5" s="101" t="str">
        <x:v>M2 P1 — Product Foundation &amp; Release Truth. Release 1 is genuine early production / first-week customer work.</x:v>
      </x:c>
      <x:c r="Y5" s="196" t="str">
        <x:v>0fd79e5e3516cdfd0ab5a73a02e16638fd02693a — subject not recovered</x:v>
      </x:c>
      <x:c r="Z5" s="197"/>
      <x:c r="AA5" s="101" t="str">
        <x:v>L2.5</x:v>
      </x:c>
      <x:c r="AB5" s="101" t="str">
        <x:v>Unified definition store and immutable target/version governance</x:v>
      </x:c>
      <x:c r="AC5" s="101" t="str">
        <x:v>L5.6</x:v>
      </x:c>
      <x:c r="AD5" s="101" t="str">
        <x:v>Build</x:v>
      </x:c>
      <x:c r="AE5" s="101" t="str">
        <x:v>D4; D5</x:v>
      </x:c>
      <x:c r="AF5" s="101" t="str">
        <x:v>Core</x:v>
      </x:c>
      <x:c r="AG5" s="101" t="str">
        <x:v>R1</x:v>
      </x:c>
      <x:c r="AH5" s="101" t="str">
        <x:v>Advances</x:v>
      </x:c>
      <x:c r="AI5" s="101" t="str">
        <x:f t="shared" si="0"/>
        <x:v>0fd79e5e3516cdfd0ab5a73a02e16638fd02693a — subject not recovered</x:v>
      </x:c>
      <x:c r="AJ5" s="101" t="str">
        <x:v>Inherited baseline estimate</x:v>
      </x:c>
      <x:c r="AK5" s="101" t="str">
        <x:v>v4.10.3</x:v>
      </x:c>
      <x:c r="AL5" s="101" t="str">
        <x:v>Chapters 3/4 v4.10.3 — MD + illustrated Word; UI Coverage / UI Controls in this workbook</x:v>
      </x:c>
      <x:c r="AM5" t="n">
        <x:f>IF(ISNUMBER(J5),1,0)</x:f>
        <x:v>1</x:v>
      </x:c>
      <x:c r="AN5" s="101"/>
      <x:c r="AO5" s="194" t="str">
        <x:v>Recorded closed — inherited evidence</x:v>
      </x:c>
      <x:c r="AP5" s="194" t="str">
        <x:v>Inherited v2.22.0 intended record; no new runtime certification in this repair.</x:v>
      </x:c>
      <x:c r="AQ5" s="194"/>
      <x:c r="AR5" s="194" t="str">
        <x:v>INHERITED ESTIMATE</x:v>
      </x:c>
    </x:row>
    <x:row r="6" ht="76" hidden="1" customHeight="1">
      <x:c r="A6" s="98" t="str">
        <x:v>T-090</x:v>
      </x:c>
      <x:c r="B6" s="98" t="str">
        <x:v>M2</x:v>
      </x:c>
      <x:c r="C6" s="98" t="str">
        <x:v>P1</x:v>
      </x:c>
      <x:c r="D6" s="98" t="str">
        <x:v>Move all five definition kinds onto the store</x:v>
      </x:c>
      <x:c r="E6" s="98" t="str">
        <x:v>Backend</x:v>
      </x:c>
      <x:c r="F6" s="98" t="str">
        <x:v>Definition store</x:v>
      </x:c>
      <x:c r="G6" s="98" t="str">
        <x:v>Critical</x:v>
      </x:c>
      <x:c r="H6" s="98" t="str">
        <x:v>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 v2.10.1 OUTCOME SEMANTICS BINDING. As part of canonical definition convergence, bind the already-frozen SM-06 OutcomeDefinition to the canonical immutable versioned definition authority; do not design a second outcome authority. The canonical binding preserves outcome_code, outcome_type, class_taxonomy_ref, ordinal_rank_map, grain_code, detection_position_code, detection_timestamp_field, direction, unit_code, censoring_policy and definition/version identity. Any legacy ml_outcome_definitions representation may remain only as a compatibility projection during convergence and must not remain an independent semantic authority.</x:v>
      </x:c>
      <x:c r="I6" s="98" t="str">
        <x:v>The M1 integration test written against IDefinitionService must pass unchanged, since it references no table name. That is the proof that the visible contract did not move. Publish an SM-06 OutcomeDefinition and resolve it back by exact immutable version. Changing detection_position_code, detection_timestamp_field, grain, taxonomy, ordinal map, direction, unit or censoring policy creates a new definition version rather than silently mutating published meaning. If a compatibility outcome representation remains during convergence, prove it resolves to the same canonical definition/version and cannot diverge into a second authority.</x:v>
      </x:c>
      <x:c r="J6" s="106" t="n">
        <x:v>12</x:v>
      </x:c>
      <x:c r="K6" s="98" t="str">
        <x:v>Done</x:v>
      </x:c>
      <x:c r="L6" s="98" t="str">
        <x:v>Worker 1</x:v>
      </x:c>
      <x:c r="M6" s="101" t="str">
        <x:v>T-089</x:v>
      </x:c>
      <x:c r="N6" s="101" t="str">
        <x:v>T-091; T-092; T-095; T-099; T-104; T-106; T-114; T-128; T-134; T-147; T-183; T-195; T-210; T-221; T-228; T-231; T-232; T-233; T-235; T-239; T-243; T-244</x:v>
      </x:c>
      <x:c r="O6" s="101" t="str">
        <x:v>M2: ~1 month from owner planning checkpoint; exact date not committed</x:v>
      </x:c>
      <x:c r="P6" s="101" t="str">
        <x:v>Release 1 MUST</x:v>
      </x:c>
      <x:c r="Q6" s="101" t="str">
        <x:v>Backend/domain contract</x:v>
      </x:c>
      <x:c r="R6" s="195" t="n">
        <x:v>1.7999999999999998</x:v>
      </x:c>
      <x:c r="S6" s="101" t="str">
        <x:v>M2-P1</x:v>
      </x:c>
      <x:c r="T6" s="101" t="str">
        <x:v>IN PROGRESS — T-089 complete. Full T-090 remains one task and one final commit. Worker 1 must deliver one self-contained standard PowerShell apply pack; no scope split and no manual .cs/SQL installation.</x:v>
      </x:c>
      <x:c r="U6" s="101" t="str">
        <x:v>Own canonical DB/backend/security/API/infra. No W2-owned UI/admin task files and no W3 ML/Assistant runtime.</x:v>
      </x:c>
      <x:c r="V6" s="101" t="str">
        <x:v>Downstream consumers wait for the committed T-090 authority. Handover/progress notes do not substitute for closure; the pack must apply, build, test, replay and commit on the user machine.</x:v>
      </x:c>
      <x:c r="W6" s="101" t="str">
        <x:v>Product Foundation &amp; Release Truth</x:v>
      </x:c>
      <x:c r="X6" s="101" t="str">
        <x:v>CENTRAL 30-Aug-2026: canonical definition convergence remains full scope. Deliver the standard executable PowerShell pack; no Task-ID-less changes.</x:v>
      </x:c>
      <x:c r="Y6" s="196" t="str">
        <x:v>a6399d9c — subject not recovered</x:v>
      </x:c>
      <x:c r="Z6" s="197"/>
      <x:c r="AA6" s="101" t="str">
        <x:v>L5.6</x:v>
      </x:c>
      <x:c r="AB6" s="101" t="str">
        <x:v>Unified definition-store semantics</x:v>
      </x:c>
      <x:c r="AC6" s="101" t="str">
        <x:v>L2.5</x:v>
      </x:c>
      <x:c r="AD6" s="101" t="str">
        <x:v>Converge</x:v>
      </x:c>
      <x:c r="AE6" s="101" t="str">
        <x:v>D3; D4; D5</x:v>
      </x:c>
      <x:c r="AF6" s="101" t="str">
        <x:v>Core</x:v>
      </x:c>
      <x:c r="AG6" s="101" t="str">
        <x:v>R1</x:v>
      </x:c>
      <x:c r="AH6" s="101" t="str">
        <x:v>Advances</x:v>
      </x:c>
      <x:c r="AI6" s="101" t="str">
        <x:f t="shared" si="0"/>
        <x:v>a6399d9c — subject not recovered</x:v>
      </x:c>
      <x:c r="AJ6" s="101" t="str">
        <x:v>Inherited baseline estimate</x:v>
      </x:c>
      <x:c r="AK6" s="101" t="str">
        <x:v>v4.10.3</x:v>
      </x:c>
      <x:c r="AL6" s="101" t="str">
        <x:v>Chapters 3/4 v4.10.3 — MD + illustrated Word; UI Coverage / UI Controls in this workbook</x:v>
      </x:c>
      <x:c r="AM6" t="n">
        <x:f>IF(ISNUMBER(J6),1,0)</x:f>
        <x:v>1</x:v>
      </x:c>
      <x:c r="AN6" s="101"/>
      <x:c r="AO6" s="194" t="str">
        <x:v>Recorded closed — inherited evidence</x:v>
      </x:c>
      <x:c r="AP6" s="194" t="str">
        <x:v>Inherited v2.22.0 intended record; no new runtime certification in this repair.</x:v>
      </x:c>
      <x:c r="AQ6" s="194"/>
      <x:c r="AR6" s="194" t="str">
        <x:v>INHERITED ESTIMATE</x:v>
      </x:c>
    </x:row>
    <x:row r="7" ht="76" hidden="1" customHeight="1">
      <x:c r="A7" s="98" t="str">
        <x:v>T-091</x:v>
      </x:c>
      <x:c r="B7" s="98" t="str">
        <x:v>M2</x:v>
      </x:c>
      <x:c r="C7" s="98" t="str">
        <x:v>P1</x:v>
      </x:c>
      <x:c r="D7" s="98" t="str">
        <x:v>Impact preview, export and import</x:v>
      </x:c>
      <x:c r="E7" s="98" t="str">
        <x:v>Backend</x:v>
      </x:c>
      <x:c r="F7" s="98" t="str">
        <x:v>Definition store</x:v>
      </x:c>
      <x:c r="G7" s="98" t="str">
        <x:v>Very Important</x:v>
      </x:c>
      <x:c r="H7" s="98" t="str">
        <x:v>Add dependency impact preview before a publish, and export and import of a definition with its dependencies, per Chapter 3 4.5.11.</x:v>
      </x:c>
      <x:c r="I7" s="98" t="str">
        <x:v>Publish a change to a definition three others depend on and confirm the preview lists all three before the publish is confirmed. Export and reimport into an empty database and confirm equality.</x:v>
      </x:c>
      <x:c r="J7" s="106" t="n">
        <x:v>12</x:v>
      </x:c>
      <x:c r="K7" s="98" t="str">
        <x:v>Done</x:v>
      </x:c>
      <x:c r="L7" s="98" t="str">
        <x:v>Worker 1</x:v>
      </x:c>
      <x:c r="M7" s="101" t="str">
        <x:v>T-090</x:v>
      </x:c>
      <x:c r="N7" s="101" t="str">
        <x:v>T-128; T-183</x:v>
      </x:c>
      <x:c r="O7" s="101" t="str">
        <x:v>M2: ~1 month from owner planning checkpoint; exact date not committed</x:v>
      </x:c>
      <x:c r="P7" s="101" t="str">
        <x:v>Release 1 MUST</x:v>
      </x:c>
      <x:c r="Q7" s="101" t="str">
        <x:v>Backend/domain contract</x:v>
      </x:c>
      <x:c r="R7" s="195" t="n">
        <x:v>1.7999999999999998</x:v>
      </x:c>
      <x:c r="S7" s="101" t="str">
        <x:v>M2-P1</x:v>
      </x:c>
      <x:c r="T7" s="101" t="str">
        <x:v>WAIT for Presentation RC freeze/tag + clean index/worktree. Then: T-090 all definition kinds bound to the canonical store.</x:v>
      </x:c>
      <x:c r="U7" s="101" t="str">
        <x:v>Own canonical DB/backend/security/API/infra. No W2-owned UI/admin task files and no W3 ML/Assistant runtime.</x:v>
      </x:c>
      <x:c r="V7" s="101" t="str">
        <x:v>Commit before downstream consumer starts; consumer must use the contract, not redesign producer-owned semantics.</x:v>
      </x:c>
      <x:c r="W7" s="101" t="str">
        <x:v>Product Foundation &amp; Release Truth</x:v>
      </x:c>
      <x:c r="X7" s="101" t="str">
        <x:v>M2 P1 — Product Foundation &amp; Release Truth. Release 1 is genuine early production / first-week customer work.</x:v>
      </x:c>
      <x:c r="Y7" s="196" t="str">
        <x:v>c6d64289 — subject not recovered</x:v>
      </x:c>
      <x:c r="Z7" s="197"/>
      <x:c r="AA7" s="101" t="str">
        <x:v>L5.6</x:v>
      </x:c>
      <x:c r="AB7" s="101" t="str">
        <x:v>Unified definition-store semantics</x:v>
      </x:c>
      <x:c r="AC7" s="101" t="str">
        <x:v>L2.5</x:v>
      </x:c>
      <x:c r="AD7" s="101" t="str">
        <x:v>Build</x:v>
      </x:c>
      <x:c r="AE7" s="101" t="str">
        <x:v>D3; D5</x:v>
      </x:c>
      <x:c r="AF7" s="101" t="str">
        <x:v>Core</x:v>
      </x:c>
      <x:c r="AG7" s="101" t="str">
        <x:v>R1</x:v>
      </x:c>
      <x:c r="AH7" s="101" t="str">
        <x:v>Advances</x:v>
      </x:c>
      <x:c r="AI7" s="101" t="str">
        <x:f t="shared" si="0"/>
        <x:v>c6d64289 — subject not recovered</x:v>
      </x:c>
      <x:c r="AJ7" s="101" t="str">
        <x:v>Inherited baseline estimate</x:v>
      </x:c>
      <x:c r="AK7" s="101" t="str">
        <x:v>v4.10.3</x:v>
      </x:c>
      <x:c r="AL7" s="101" t="str">
        <x:v>Chapters 3/4 v4.10.3 — MD + illustrated Word; UI Coverage / UI Controls in this workbook</x:v>
      </x:c>
      <x:c r="AM7" t="n">
        <x:f>IF(ISNUMBER(J7),1,0)</x:f>
        <x:v>1</x:v>
      </x:c>
      <x:c r="AN7" s="101"/>
      <x:c r="AO7" s="194" t="str">
        <x:v>Recorded closed — inherited evidence</x:v>
      </x:c>
      <x:c r="AP7" s="194" t="str">
        <x:v>Inherited v2.22.0 intended record; no new runtime certification in this repair.</x:v>
      </x:c>
      <x:c r="AQ7" s="194"/>
      <x:c r="AR7" s="194" t="str">
        <x:v>INHERITED ESTIMATE</x:v>
      </x:c>
    </x:row>
    <x:row r="8" ht="76" hidden="1" customHeight="1">
      <x:c r="A8" s="98" t="str">
        <x:v>T-092</x:v>
      </x:c>
      <x:c r="B8" s="98" t="str">
        <x:v>M2</x:v>
      </x:c>
      <x:c r="C8" s="98" t="str">
        <x:v>P1</x:v>
      </x:c>
      <x:c r="D8" s="98" t="str">
        <x:v>Registry authority: dimensions and measures as rows</x:v>
      </x:c>
      <x:c r="E8" s="98" t="str">
        <x:v>Backend</x:v>
      </x:c>
      <x:c r="F8" s="98" t="str">
        <x:v>Registry</x:v>
      </x:c>
      <x:c r="G8" s="98" t="str">
        <x:v>Critical</x:v>
      </x:c>
      <x:c r="H8" s="98" t="str">
        <x:v>Replace compiled dimension/measure catalogues with canonical registry projections over published definition versions. Registry rows must support customer-defined dimensions/measures without rebuild, plus analysis-grain metadata, signal/aggregation semantics and reference-derived measure roles. It remains a projection/serving authority, not a competing mutable definition store.</x:v>
      </x:c>
      <x:c r="I8" s="98" t="str">
        <x:v>Using the same binary, add a customer-shaped dimension and measure through definitions/registry data only and use them in an authored widget. No C#/React/product-SQL edit. Registry exposes declared grain and aggregation/reference metadata and rejects unresolved semantics.</x:v>
      </x:c>
      <x:c r="J8" s="106" t="n">
        <x:v>12</x:v>
      </x:c>
      <x:c r="K8" s="98" t="str">
        <x:v>Done</x:v>
      </x:c>
      <x:c r="L8" s="98" t="str">
        <x:v>Worker 1</x:v>
      </x:c>
      <x:c r="M8" s="101" t="str">
        <x:v>T-089; T-090; T-210; T-231</x:v>
      </x:c>
      <x:c r="N8" s="101" t="str">
        <x:v>T-093; T-094; T-128; T-183; T-212; T-215; T-228; T-237; T-247</x:v>
      </x:c>
      <x:c r="O8" s="101" t="str">
        <x:v>M2: ~1 month from owner planning checkpoint; exact date not committed</x:v>
      </x:c>
      <x:c r="P8" s="101" t="str">
        <x:v>Release 1 MUST</x:v>
      </x:c>
      <x:c r="Q8" s="101" t="str">
        <x:v>Backend/domain contract</x:v>
      </x:c>
      <x:c r="R8" s="195" t="n">
        <x:v>1.7999999999999998</x:v>
      </x:c>
      <x:c r="S8" s="101" t="str">
        <x:v>M2-P1</x:v>
      </x:c>
      <x:c r="T8" s="101" t="str">
        <x:v>WAIT for Presentation RC freeze/tag + clean index/worktree. Then: T-089 + T-090 canonical definition authority.</x:v>
      </x:c>
      <x:c r="U8" s="101" t="str">
        <x:v>Own canonical DB/backend/security/API/infra. No W2-owned UI/admin task files and no W3 ML/Assistant runtime.</x:v>
      </x:c>
      <x:c r="V8" s="101" t="str">
        <x:v>Commit before downstream consumer starts; consumer must use the contract, not redesign producer-owned semantics.</x:v>
      </x:c>
      <x:c r="W8" s="101" t="str">
        <x:v>Product Foundation &amp; Release Truth</x:v>
      </x:c>
      <x:c r="X8" s="101" t="str">
        <x:v>M2 P1 — Product Foundation &amp; Release Truth. Release 1 is genuine early production / first-week customer work.</x:v>
      </x:c>
      <x:c r="Y8" s="196" t="str">
        <x:v>ab2962a4; 7cad36e4 — registry authority closure commits</x:v>
      </x:c>
      <x:c r="Z8" s="197" t="n">
        <x:v>46267</x:v>
      </x:c>
      <x:c r="AA8" s="101" t="str">
        <x:v>L3.9</x:v>
      </x:c>
      <x:c r="AB8" s="101" t="str">
        <x:v>Master items, bookmarks and saved views</x:v>
      </x:c>
      <x:c r="AC8" s="101" t="str">
        <x:v>L5.1</x:v>
      </x:c>
      <x:c r="AD8" s="101" t="str">
        <x:v>Build</x:v>
      </x:c>
      <x:c r="AE8" s="101" t="str">
        <x:v>D1; D3; D5</x:v>
      </x:c>
      <x:c r="AF8" s="101" t="str">
        <x:v>Core</x:v>
      </x:c>
      <x:c r="AG8" s="101" t="str">
        <x:v>R1</x:v>
      </x:c>
      <x:c r="AH8" s="101" t="str">
        <x:v>Advances</x:v>
      </x:c>
      <x:c r="AI8" s="101" t="str">
        <x:f t="shared" si="0"/>
        <x:v>ab2962a4; 7cad36e4 — registry authority closure commits</x:v>
      </x:c>
      <x:c r="AJ8" s="101" t="str">
        <x:v>Inherited baseline estimate</x:v>
      </x:c>
      <x:c r="AK8" s="101" t="str">
        <x:v>v4.10.3</x:v>
      </x:c>
      <x:c r="AL8" s="101" t="str">
        <x:v>Chapters 3/4 v4.10.3 — MD + illustrated Word; UI Coverage / UI Controls in this workbook</x:v>
      </x:c>
      <x:c r="AM8" t="n">
        <x:f>IF(ISNUMBER(J8),1,0)</x:f>
        <x:v>1</x:v>
      </x:c>
      <x:c r="AN8" s="101"/>
      <x:c r="AO8" s="194" t="str">
        <x:v>Recorded closed — inherited evidence</x:v>
      </x:c>
      <x:c r="AP8" s="194" t="str">
        <x:v>Inherited v2.22.0 intended record; no new runtime certification in this repair.</x:v>
      </x:c>
      <x:c r="AQ8" s="194"/>
      <x:c r="AR8" s="194" t="str">
        <x:v>INHERITED ESTIMATE</x:v>
      </x:c>
    </x:row>
    <x:row r="9" ht="76" hidden="1" customHeight="1">
      <x:c r="A9" s="98" t="str">
        <x:v>T-093</x:v>
      </x:c>
      <x:c r="B9" s="98" t="str">
        <x:v>M2</x:v>
      </x:c>
      <x:c r="C9" s="98" t="str">
        <x:v>P1</x:v>
      </x:c>
      <x:c r="D9" s="98" t="str">
        <x:v>Plant-vocabulary sweep, part 1: build the term list and the architecture test</x:v>
      </x:c>
      <x:c r="E9" s="98" t="str">
        <x:v>Backend</x:v>
      </x:c>
      <x:c r="F9" s="98" t="str">
        <x:v>Registry</x:v>
      </x:c>
      <x:c r="G9" s="98" t="str">
        <x:v>Very Important</x:v>
      </x:c>
      <x:c r="H9" s="98" t="str">
        <x:v>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x:v>
      </x:c>
      <x:c r="I9" s="98" t="str">
        <x:v>Add a term to the list and confirm the build goes red on an existing violation, then goes green once that violation is fixed. Confirm removing a term from the list does not require a code change.</x:v>
      </x:c>
      <x:c r="J9" s="106" t="n">
        <x:v>6</x:v>
      </x:c>
      <x:c r="K9" s="98" t="str">
        <x:v>Done</x:v>
      </x:c>
      <x:c r="L9" s="98" t="str">
        <x:v>Worker 1</x:v>
      </x:c>
      <x:c r="M9" s="101" t="str">
        <x:v>T-092; T-206</x:v>
      </x:c>
      <x:c r="N9" s="101" t="str">
        <x:v>T-094; T-128; T-183</x:v>
      </x:c>
      <x:c r="O9" s="101" t="str">
        <x:v>M2: ~1 month from owner planning checkpoint; exact date not committed</x:v>
      </x:c>
      <x:c r="P9" s="101" t="str">
        <x:v>Release 1 MUST</x:v>
      </x:c>
      <x:c r="Q9" s="101" t="str">
        <x:v>Backend/domain contract</x:v>
      </x:c>
      <x:c r="R9" s="195" t="n">
        <x:v>0.8999999999999999</x:v>
      </x:c>
      <x:c r="S9" s="101" t="str">
        <x:v>M2-P1</x:v>
      </x:c>
      <x:c r="T9" s="101" t="str">
        <x:v>WAIT for Presentation RC freeze/tag + clean index/worktree. Then: T-092 registry/definition authority available; architecture term list is comm...</x:v>
      </x:c>
      <x:c r="U9" s="101" t="str">
        <x:v>Own canonical DB/backend/security/API/infra. No W2-owned UI/admin task files and no W3 ML/Assistant runtime.</x:v>
      </x:c>
      <x:c r="V9" s="101" t="str">
        <x:v>Commit before downstream consumer starts; consumer must use the contract, not redesign producer-owned semantics.</x:v>
      </x:c>
      <x:c r="W9" s="101" t="str">
        <x:v>Product Foundation &amp; Release Truth</x:v>
      </x:c>
      <x:c r="X9" s="101" t="str">
        <x:v>M2 P1 — Product Foundation &amp; Release Truth. Release 1 is genuine early production / first-week customer work.</x:v>
      </x:c>
      <x:c r="Y9" s="196" t="str">
        <x:v>4e2e0f654b93ceed2ecdfbce4d3c1768550b3079 — T-093 govern plant vocabulary as data-driven genericity debt</x:v>
      </x:c>
      <x:c r="Z9" s="197" t="n">
        <x:v>46268</x:v>
      </x:c>
      <x:c r="AA9" s="101" t="str">
        <x:v>L5.1</x:v>
      </x:c>
      <x:c r="AB9" s="101" t="str">
        <x:v>Canonical entity catalogue</x:v>
      </x:c>
      <x:c r="AC9" s="101"/>
      <x:c r="AD9" s="101" t="str">
        <x:v>Build</x:v>
      </x:c>
      <x:c r="AE9" s="101" t="str">
        <x:v>D3; D5</x:v>
      </x:c>
      <x:c r="AF9" s="101" t="str">
        <x:v>Core</x:v>
      </x:c>
      <x:c r="AG9" s="101" t="str">
        <x:v>R1</x:v>
      </x:c>
      <x:c r="AH9" s="101" t="str">
        <x:v>Advances</x:v>
      </x:c>
      <x:c r="AI9" s="101" t="str">
        <x:f t="shared" si="0"/>
        <x:v>4e2e0f654b93ceed2ecdfbce4d3c1768550b3079 — T-093 govern plant vocabulary as data-driven genericity debt</x:v>
      </x:c>
      <x:c r="AJ9" s="101" t="str">
        <x:v>Inherited baseline estimate</x:v>
      </x:c>
      <x:c r="AK9" s="101" t="str">
        <x:v>v4.10.3</x:v>
      </x:c>
      <x:c r="AL9" s="101" t="str">
        <x:v>Chapters 3/4 v4.10.3 — MD + illustrated Word; UI Coverage / UI Controls in this workbook</x:v>
      </x:c>
      <x:c r="AM9" t="n">
        <x:f>IF(ISNUMBER(J9),1,0)</x:f>
        <x:v>1</x:v>
      </x:c>
      <x:c r="AN9" s="101"/>
      <x:c r="AO9" s="194" t="str">
        <x:v>Recorded closed — inherited evidence</x:v>
      </x:c>
      <x:c r="AP9" s="194" t="str">
        <x:v>Inherited v2.22.0 intended record; no new runtime certification in this repair.</x:v>
      </x:c>
      <x:c r="AQ9" s="194"/>
      <x:c r="AR9" s="194" t="str">
        <x:v>INHERITED ESTIMATE</x:v>
      </x:c>
    </x:row>
    <x:row r="10" ht="76" hidden="1" customHeight="1">
      <x:c r="A10" s="98" t="str">
        <x:v>T-094</x:v>
      </x:c>
      <x:c r="B10" s="98" t="str">
        <x:v>M2</x:v>
      </x:c>
      <x:c r="C10" s="98" t="str">
        <x:v>P1</x:v>
      </x:c>
      <x:c r="D10" s="98" t="str">
        <x:v>Plant-vocabulary sweep, part 2: remove hardcoded universal grain and industry vocabulary</x:v>
      </x:c>
      <x:c r="E10" s="98" t="str">
        <x:v>Backend</x:v>
      </x:c>
      <x:c r="F10" s="98" t="str">
        <x:v>Registry</x:v>
      </x:c>
      <x:c r="G10" s="98" t="str">
        <x:v>Very Important</x:v>
      </x:c>
      <x:c r="H10" s="98" t="str">
        <x:v>Clear generic-runtime/demo-vocabulary violations without replacing one industry noun with another. Complete the declared-dimension execution path on BOTH runtime wire surfaces: (A) persisted widget execution via DashboardWidgetFiltersDto/declared keyed dimensions and (B) workspace/global dashboard query execution via DashboardQueryDto and the overview/quality/risk/data-quality/materials routes. Remove fixed universal grain/industry vocabulary from DashboardReferenceDataDto and the frontend consumers by resolving published registry definitions, canonical members and governed Analysis Subject/relationship authority. The target contract is definition/registry member -&gt; relationship/path resolution -&gt; Analysis Subject -&gt; typed refusal; the current direct single-reference resolver is an interim implementation until T-095/T-096 path authority lands. No presentation vocabulary becomes product authority.</x:v>
      </x:c>
      <x:c r="I10" s="98" t="str">
        <x:v>Using the same binary, author a foreign/customer-shaped dimension and prove it filters both a persisted widget and the workspace/global route surface through the same published definition/member identity. Both surfaces must return the same typed refusal when the dimension is undeclared, inactive, unmapped, has no subject path, or becomes ambiguous. No compiled fallback to defectType/riskClass/shiftCode or a universal material grain. Frontend consumers use the keyed contract. Wave-C genericity arithmetic remains exact: every known fingerprint is retired or explicitly lawful; unknown=0.</x:v>
      </x:c>
      <x:c r="J10" s="106" t="n">
        <x:v>24</x:v>
      </x:c>
      <x:c r="K10" s="98" t="str">
        <x:v>Done</x:v>
      </x:c>
      <x:c r="L10" s="98" t="str">
        <x:v>Worker 1</x:v>
      </x:c>
      <x:c r="M10" s="101" t="str">
        <x:v>T-092; T-093; T-209</x:v>
      </x:c>
      <x:c r="N10" s="101" t="str">
        <x:v>T-095; T-128; T-183; T-196; T-253; T-256; T-258</x:v>
      </x:c>
      <x:c r="O10" s="101" t="str">
        <x:v>M2: ~1 month from owner planning checkpoint; exact date not committed</x:v>
      </x:c>
      <x:c r="P10" s="101" t="str">
        <x:v>Release 1 MUST</x:v>
      </x:c>
      <x:c r="Q10" s="101" t="str">
        <x:v>Backend/domain contract</x:v>
      </x:c>
      <x:c r="R10" s="195" t="n">
        <x:v>3.6</x:v>
      </x:c>
      <x:c r="S10" s="101" t="str">
        <x:v>M2-P1</x:v>
      </x:c>
      <x:c r="T10" s="101" t="str">
        <x:v>IN PROGRESS — T-092/T-093/T-209 authorities are green. Three part-commits exist but no closure. Finish the second wire, frontend consumers and Wave-C proof under the same T-094 scope; do not reopen after closure.</x:v>
      </x:c>
      <x:c r="U10" s="101" t="str">
        <x:v>Own canonical DB/backend/security/API/infra. No W2-owned UI/admin task files and no W3 ML/Assistant runtime.</x:v>
      </x:c>
      <x:c r="V10" s="101" t="str">
        <x:v>Commit before downstream consumer starts; consumer must use the contract, not redesign producer-owned semantics.</x:v>
      </x:c>
      <x:c r="W10" s="101" t="str">
        <x:v>Product Foundation &amp; Release Truth</x:v>
      </x:c>
      <x:c r="X10" s="101" t="str">
        <x:v>CENTRAL 04-Sep-2026: T-094 remains open. Scope is formally amended from one wire to both declared-dimension execution surfaces. No new task is created while T-094 is open; after closure any new surface requires a new Task ID.</x:v>
      </x:c>
      <x:c r="Y10" s="196" t="str">
        <x:v>377aabdffb27d651d30537ce5228ee4afe268526; 6ab97ee2; e74ecd1c; 5a967f1b0ab45961c8b8a880bb4fdec53a783134 — final: T-094 close keyed declared-dimension cutover and genericity reconciliation</x:v>
      </x:c>
      <x:c r="Z10" s="197" t="n">
        <x:v>46272</x:v>
      </x:c>
      <x:c r="AA10" s="101" t="str">
        <x:v>L5.1</x:v>
      </x:c>
      <x:c r="AB10" s="101" t="str">
        <x:v>Canonical entity catalogue</x:v>
      </x:c>
      <x:c r="AC10" s="101" t="str">
        <x:v>L5.3</x:v>
      </x:c>
      <x:c r="AD10" s="101" t="str">
        <x:v>Build</x:v>
      </x:c>
      <x:c r="AE10" s="101" t="str">
        <x:v>D1; D3; D5</x:v>
      </x:c>
      <x:c r="AF10" s="101" t="str">
        <x:v>Core</x:v>
      </x:c>
      <x:c r="AG10" s="101" t="str">
        <x:v>R1</x:v>
      </x:c>
      <x:c r="AH10" s="101" t="str">
        <x:v>Advances</x:v>
      </x:c>
      <x:c r="AI10" s="101" t="str">
        <x:f t="shared" si="0"/>
        <x:v>377aabdffb27d651d30537ce5228ee4afe268526; 6ab97ee2; e74ecd1c; 5a967f1b0ab45961c8b8a880bb4fdec53a783134 — final: T-094 close keyed declared-dimension cutover and genericity reconciliation</x:v>
      </x:c>
      <x:c r="AJ10" s="101" t="str">
        <x:v>Inherited baseline estimate</x:v>
      </x:c>
      <x:c r="AK10" s="101" t="str">
        <x:v>v4.10.3</x:v>
      </x:c>
      <x:c r="AL10" s="101" t="str">
        <x:v>Chapters 3/4 v4.10.3 — MD + illustrated Word; UI Coverage / UI Controls in this workbook</x:v>
      </x:c>
      <x:c r="AM10" t="n">
        <x:f>IF(ISNUMBER(J10),1,0)</x:f>
        <x:v>1</x:v>
      </x:c>
      <x:c r="AN10" s="101"/>
      <x:c r="AO10" s="194" t="str">
        <x:v>Recorded closed — inherited evidence</x:v>
      </x:c>
      <x:c r="AP10" s="194" t="str">
        <x:v>Inherited v2.22.0 intended record; no new runtime certification in this repair.</x:v>
      </x:c>
      <x:c r="AQ10" s="194"/>
      <x:c r="AR10" s="194" t="str">
        <x:v>INHERITED ESTIMATE</x:v>
      </x:c>
    </x:row>
    <x:row r="11" ht="76" hidden="1" customHeight="1">
      <x:c r="A11" s="98" t="str">
        <x:v>T-201</x:v>
      </x:c>
      <x:c r="B11" s="98" t="str">
        <x:v>M2</x:v>
      </x:c>
      <x:c r="C11" s="98" t="str">
        <x:v>P1</x:v>
      </x:c>
      <x:c r="D11" s="98" t="str">
        <x:v>Freeze the successful M1 presentation baseline and transfer programme authority to M2</x:v>
      </x:c>
      <x:c r="E11" s="98" t="str">
        <x:v>Programme</x:v>
      </x:c>
      <x:c r="F11" s="98" t="str">
        <x:v>Release baseline</x:v>
      </x:c>
      <x:c r="G11" s="98" t="str">
        <x:v>Critical</x:v>
      </x:c>
      <x:c r="H11" s="98" t="str">
        <x:v>Resolve the shared dirty tree, keep/revert the associative change on evidence, commit exact owned files, tag/freeze the successful presentation baseline, and formally stop presentation-only feature/page/data work. Remaining generic defects move to M2-P0 owners rather than being completed as M1 content.</x:v>
      </x:c>
      <x:c r="I11" s="98" t="str">
        <x:v>Clean index and explicit foreign-file inventory; immutable release/tag or equivalent frozen artifact; presentation profile still launches; one ledger lists every unclosed M1 item as frozen, superseded, or consumed by a named M2 task. No customer-demo-only task remains on the September critical path.</x:v>
      </x:c>
      <x:c r="J11" s="106" t="n">
        <x:v>4</x:v>
      </x:c>
      <x:c r="K11" s="100" t="str">
        <x:v>Done</x:v>
      </x:c>
      <x:c r="L11" s="98" t="str">
        <x:v>Worker 1</x:v>
      </x:c>
      <x:c r="M11" s="101"/>
      <x:c r="N11" s="101" t="str">
        <x:v>T-086; T-202; T-203; T-204; T-205; T-206; T-207; T-208; T-213; T-241</x:v>
      </x:c>
      <x:c r="O11" s="101" t="str">
        <x:v>M2: ~1 month from owner planning checkpoint; exact date not committed</x:v>
      </x:c>
      <x:c r="P11" s="101" t="str">
        <x:v>Release 1 MUST</x:v>
      </x:c>
      <x:c r="Q11" s="101" t="str">
        <x:v>Release / governance</x:v>
      </x:c>
      <x:c r="R11" s="195" t="n">
        <x:v>1.5</x:v>
      </x:c>
      <x:c r="S11" s="101" t="str">
        <x:v>M2-P1</x:v>
      </x:c>
      <x:c r="T11" s="101" t="str">
        <x:v>Start immediately. No later M2 mutating work begins on the shared tree before this close.</x:v>
      </x:c>
      <x:c r="U11" s="101" t="str">
        <x:v>Git/worktree ownership + release/tag only.</x:v>
      </x:c>
      <x:c r="V11" s="101" t="str">
        <x:v>After commit/tag, all workers consume the frozen baseline; nobody reopens M1 presentation scope without a proven regression.</x:v>
      </x:c>
      <x:c r="W11" s="101" t="str">
        <x:v>Product Foundation &amp; Release Truth</x:v>
      </x:c>
      <x:c r="X11" s="101" t="str">
        <x:v>M2 P1 — Product Foundation &amp; Release Truth. Release 1 is genuine early production / first-week customer work.</x:v>
      </x:c>
      <x:c r="Y11" s="196" t="str">
        <x:v>BASELINE HEAD 7da9d46ed29545f1c4f4686fa82c117c08b9fc86; TAG m1-presentation-baseline-2026-08-21 — no task commit; tag is closure artifact</x:v>
      </x:c>
      <x:c r="Z11" s="197" t="n">
        <x:v>46258</x:v>
      </x:c>
      <x:c r="AA11" s="101" t="str">
        <x:v>L8.8</x:v>
      </x:c>
      <x:c r="AB11" s="101" t="str">
        <x:v>C1–C4 performance certification and golden-journey release gate</x:v>
      </x:c>
      <x:c r="AC11" s="101"/>
      <x:c r="AD11" s="101" t="str">
        <x:v>Validate</x:v>
      </x:c>
      <x:c r="AE11" s="101" t="str">
        <x:v>D1; D5</x:v>
      </x:c>
      <x:c r="AF11" s="101" t="str">
        <x:v>Core</x:v>
      </x:c>
      <x:c r="AG11" s="101" t="str">
        <x:v>R1</x:v>
      </x:c>
      <x:c r="AH11" s="101" t="str">
        <x:v>Advances</x:v>
      </x:c>
      <x:c r="AI11" s="101" t="str">
        <x:f t="shared" si="0"/>
        <x:v>BASELINE HEAD 7da9d46ed29545f1c4f4686fa82c117c08b9fc86; TAG m1-presentation-baseline-2026-08-21 — no task commit; tag is closure artifact</x:v>
      </x:c>
      <x:c r="AJ11" s="101" t="str">
        <x:v>Inherited baseline estimate</x:v>
      </x:c>
      <x:c r="AK11" s="101" t="str">
        <x:v>v4.10.3</x:v>
      </x:c>
      <x:c r="AL11" s="101" t="str">
        <x:v>Chapters 3/4 v4.10.3 — MD + illustrated Word; UI Coverage / UI Controls in this workbook</x:v>
      </x:c>
      <x:c r="AM11" t="n">
        <x:f>IF(ISNUMBER(J11),1,0)</x:f>
        <x:v>1</x:v>
      </x:c>
      <x:c r="AN11" s="101"/>
      <x:c r="AO11" s="194" t="str">
        <x:v>Recorded closed — inherited evidence</x:v>
      </x:c>
      <x:c r="AP11" s="194" t="str">
        <x:v>Inherited v2.22.0 intended record; no new runtime certification in this repair.</x:v>
      </x:c>
      <x:c r="AQ11" s="194"/>
      <x:c r="AR11" s="194" t="str">
        <x:v>INHERITED ESTIMATE</x:v>
      </x:c>
    </x:row>
    <x:row r="12" ht="76" hidden="1" customHeight="1">
      <x:c r="A12" s="98" t="str">
        <x:v>T-202</x:v>
      </x:c>
      <x:c r="B12" s="98" t="str">
        <x:v>M2</x:v>
      </x:c>
      <x:c r="C12" s="98" t="str">
        <x:v>P1</x:v>
      </x:c>
      <x:c r="D12" s="98" t="str">
        <x:v>Persisted page/widget definition replay gate</x:v>
      </x:c>
      <x:c r="E12" s="98" t="str">
        <x:v>Quality</x:v>
      </x:c>
      <x:c r="F12" s="98" t="str">
        <x:v>Release Truth</x:v>
      </x:c>
      <x:c r="G12" s="98" t="str">
        <x:v>Critical</x:v>
      </x:c>
      <x:c r="H12" s="98" t="str">
        <x:v>Enumerate every active customer-facing page/widget definition from the real database and execute its actual query contract against the release API/database. Validate declared terminal semantics, row/population evidence and compatibility. This gate tests the product as persisted, not merely source-code paths.</x:v>
      </x:c>
      <x:c r="I12" s="98" t="str">
        <x:v>Every active persisted widget executes with 2xx plus Populated/Empty/Blocked/Refused as documented; unexpected 4xx/5xx is a failure. Deliberately corrupt one dimension/measure combination and prove the gate fails. Restore and prove green. Emit machine-readable report naming definition/page/widget.</x:v>
      </x:c>
      <x:c r="J12" s="106" t="n">
        <x:v>10</x:v>
      </x:c>
      <x:c r="K12" s="100" t="str">
        <x:v>Done</x:v>
      </x:c>
      <x:c r="L12" s="98" t="str">
        <x:v>Worker 2</x:v>
      </x:c>
      <x:c r="M12" s="101" t="str">
        <x:v>T-201</x:v>
      </x:c>
      <x:c r="N12" s="101" t="str">
        <x:v>T-212; T-248</x:v>
      </x:c>
      <x:c r="O12" s="101" t="str">
        <x:v>M2: ~1 month from owner planning checkpoint; exact date not committed</x:v>
      </x:c>
      <x:c r="P12" s="101" t="str">
        <x:v>Release 1 MUST</x:v>
      </x:c>
      <x:c r="Q12" s="101" t="str">
        <x:v>E2E / integration gate</x:v>
      </x:c>
      <x:c r="R12" s="195" t="n">
        <x:v>4</x:v>
      </x:c>
      <x:c r="S12" s="101" t="str">
        <x:v>M2-P1</x:v>
      </x:c>
      <x:c r="T12" s="101" t="str">
        <x:v>T-201 committed/frozen baseline.</x:v>
      </x:c>
      <x:c r="U12" s="101" t="str">
        <x:v>Frontend E2E + dashboard query test harness; no canonical schema edits.</x:v>
      </x:c>
      <x:c r="V12" s="101" t="str">
        <x:v>T-150 later consumes this gate; it does not redesign it.</x:v>
      </x:c>
      <x:c r="W12" s="101" t="str">
        <x:v>Product Foundation &amp; Release Truth</x:v>
      </x:c>
      <x:c r="X12" s="101" t="str">
        <x:v>M2 P1 — Product Foundation &amp; Release Truth. Release 1 is genuine early production / first-week customer work.</x:v>
      </x:c>
      <x:c r="Y12" s="196" t="str">
        <x:v>ad37c324 — Add persisted definition replay gate for release truth</x:v>
      </x:c>
      <x:c r="Z12" s="197" t="n">
        <x:v>46259</x:v>
      </x:c>
      <x:c r="AA12" s="101" t="str">
        <x:v>L8.8</x:v>
      </x:c>
      <x:c r="AB12" s="101" t="str">
        <x:v>C1–C4 performance certification and golden-journey release gate</x:v>
      </x:c>
      <x:c r="AC12" s="101" t="str">
        <x:v>L3.1; L3.4</x:v>
      </x:c>
      <x:c r="AD12" s="101" t="str">
        <x:v>Validate</x:v>
      </x:c>
      <x:c r="AE12" s="101" t="str">
        <x:v>D2; D5</x:v>
      </x:c>
      <x:c r="AF12" s="101" t="str">
        <x:v>Core</x:v>
      </x:c>
      <x:c r="AG12" s="101" t="str">
        <x:v>R1</x:v>
      </x:c>
      <x:c r="AH12" s="101" t="str">
        <x:v>Advances</x:v>
      </x:c>
      <x:c r="AI12" s="101" t="str">
        <x:f t="shared" si="0"/>
        <x:v>ad37c324 — Add persisted definition replay gate for release truth</x:v>
      </x:c>
      <x:c r="AJ12" s="101" t="str">
        <x:v>Inherited baseline estimate</x:v>
      </x:c>
      <x:c r="AK12" s="101" t="str">
        <x:v>v4.10.3</x:v>
      </x:c>
      <x:c r="AL12" s="101" t="str">
        <x:v>Chapters 3/4 v4.10.3 — MD + illustrated Word; UI Coverage / UI Controls in this workbook</x:v>
      </x:c>
      <x:c r="AM12" t="n">
        <x:f>IF(ISNUMBER(J12),1,0)</x:f>
        <x:v>1</x:v>
      </x:c>
      <x:c r="AN12" s="101"/>
      <x:c r="AO12" s="194" t="str">
        <x:v>Recorded closed — inherited evidence</x:v>
      </x:c>
      <x:c r="AP12" s="194" t="str">
        <x:v>Inherited v2.22.0 intended record; no new runtime certification in this repair.</x:v>
      </x:c>
      <x:c r="AQ12" s="194"/>
      <x:c r="AR12" s="194" t="str">
        <x:v>INHERITED ESTIMATE</x:v>
      </x:c>
    </x:row>
    <x:row r="13" ht="76" hidden="1" customHeight="1">
      <x:c r="A13" s="98" t="str">
        <x:v>T-203</x:v>
      </x:c>
      <x:c r="B13" s="98" t="str">
        <x:v>M2</x:v>
      </x:c>
      <x:c r="C13" s="98" t="str">
        <x:v>P1</x:v>
      </x:c>
      <x:c r="D13" s="98" t="str">
        <x:v>Customer-route network, console and widget-state invariant</x:v>
      </x:c>
      <x:c r="E13" s="98" t="str">
        <x:v>Quality</x:v>
      </x:c>
      <x:c r="F13" s="98" t="str">
        <x:v>Release Truth</x:v>
      </x:c>
      <x:c r="G13" s="98" t="str">
        <x:v>Critical</x:v>
      </x:c>
      <x:c r="H13" s="98" t="str">
        <x:v>For every customer-reachable route, navigate and settle against the real API; fail on unexpected HTTP &gt;=400, failed required request, uncaught JS exception, unhandled console error, error toast, or widget Failed state. Record route/request/widget evidence.</x:v>
      </x:c>
      <x:c r="I13" s="98" t="str">
        <x:v>Inject one failing API response and one uncaught render error and prove the route gate fails for the named cause. With faults removed, every customer route settles with zero unexpected network/console/widget failures.</x:v>
      </x:c>
      <x:c r="J13" s="106" t="n">
        <x:v>10</x:v>
      </x:c>
      <x:c r="K13" s="100" t="str">
        <x:v>Done</x:v>
      </x:c>
      <x:c r="L13" s="98" t="str">
        <x:v>Worker 2</x:v>
      </x:c>
      <x:c r="M13" s="101" t="str">
        <x:v>T-201</x:v>
      </x:c>
      <x:c r="N13" s="101" t="str">
        <x:v>T-222; T-248</x:v>
      </x:c>
      <x:c r="O13" s="101" t="str">
        <x:v>M2: ~1 month from owner planning checkpoint; exact date not committed</x:v>
      </x:c>
      <x:c r="P13" s="101" t="str">
        <x:v>Release 1 MUST</x:v>
      </x:c>
      <x:c r="Q13" s="101" t="str">
        <x:v>Playwright / session</x:v>
      </x:c>
      <x:c r="R13" s="195" t="n">
        <x:v>4</x:v>
      </x:c>
      <x:c r="S13" s="101" t="str">
        <x:v>M2-P1</x:v>
      </x:c>
      <x:c r="T13" s="101" t="str">
        <x:v>T-201; may run in parallel with T-202 on non-overlapping test files.</x:v>
      </x:c>
      <x:c r="U13" s="101" t="str">
        <x:v>Frontend E2E/session harness.</x:v>
      </x:c>
      <x:c r="V13" s="101" t="str">
        <x:v>All later customer-facing feature tasks must add their route to this gate before close.</x:v>
      </x:c>
      <x:c r="W13" s="101" t="str">
        <x:v>Product Foundation &amp; Release Truth</x:v>
      </x:c>
      <x:c r="X13" s="101" t="str">
        <x:v>M2 P1 — Product Foundation &amp; Release Truth. Release 1 is genuine early production / first-week customer work.</x:v>
      </x:c>
      <x:c r="Y13" s="196" t="str">
        <x:v>cd1a450e — Add customer route invariant gate with durable evidence</x:v>
      </x:c>
      <x:c r="Z13" s="197" t="n">
        <x:v>46259</x:v>
      </x:c>
      <x:c r="AA13" s="101" t="str">
        <x:v>L8.8</x:v>
      </x:c>
      <x:c r="AB13" s="101" t="str">
        <x:v>C1–C4 performance certification and golden-journey release gate</x:v>
      </x:c>
      <x:c r="AC13" s="101" t="str">
        <x:v>L6.7</x:v>
      </x:c>
      <x:c r="AD13" s="101" t="str">
        <x:v>Validate</x:v>
      </x:c>
      <x:c r="AE13" s="101" t="str">
        <x:v>D2; D5</x:v>
      </x:c>
      <x:c r="AF13" s="101" t="str">
        <x:v>Core</x:v>
      </x:c>
      <x:c r="AG13" s="101" t="str">
        <x:v>R1</x:v>
      </x:c>
      <x:c r="AH13" s="101" t="str">
        <x:v>Advances</x:v>
      </x:c>
      <x:c r="AI13" s="101" t="str">
        <x:f t="shared" si="0"/>
        <x:v>cd1a450e — Add customer route invariant gate with durable evidence</x:v>
      </x:c>
      <x:c r="AJ13" s="101" t="str">
        <x:v>Inherited baseline estimate</x:v>
      </x:c>
      <x:c r="AK13" s="101" t="str">
        <x:v>v4.10.3</x:v>
      </x:c>
      <x:c r="AL13" s="101" t="str">
        <x:v>Chapters 3/4 v4.10.3 — MD + illustrated Word; UI Coverage / UI Controls in this workbook</x:v>
      </x:c>
      <x:c r="AM13" t="n">
        <x:f>IF(ISNUMBER(J13),1,0)</x:f>
        <x:v>1</x:v>
      </x:c>
      <x:c r="AN13" s="101"/>
      <x:c r="AO13" s="194" t="str">
        <x:v>Recorded closed — inherited evidence</x:v>
      </x:c>
      <x:c r="AP13" s="194" t="str">
        <x:v>Inherited v2.22.0 intended record; no new runtime certification in this repair.</x:v>
      </x:c>
      <x:c r="AQ13" s="194"/>
      <x:c r="AR13" s="194" t="str">
        <x:v>INHERITED ESTIMATE</x:v>
      </x:c>
    </x:row>
    <x:row r="14" ht="76" hidden="1" customHeight="1">
      <x:c r="A14" s="98" t="str">
        <x:v>T-204</x:v>
      </x:c>
      <x:c r="B14" s="98" t="str">
        <x:v>M2</x:v>
      </x:c>
      <x:c r="C14" s="98" t="str">
        <x:v>P1</x:v>
      </x:c>
      <x:c r="D14" s="98" t="str">
        <x:v>Associative cross-filter state-machine certification</x:v>
      </x:c>
      <x:c r="E14" s="98" t="str">
        <x:v>Frontend</x:v>
      </x:c>
      <x:c r="F14" s="98" t="str">
        <x:v>Associative BI</x:v>
      </x:c>
      <x:c r="G14" s="98" t="str">
        <x:v>Critical</x:v>
      </x:c>
      <x:c r="H14" s="98" t="str">
        <x:v>Replace click-smoke acceptance with a state-machine proof: capture widgets A/B/C, click X in A, assert selection state, assert B/C re-query with X, assert returned populations and visible results change, clear X and assert restoration. Execute across interactive renderer families.</x:v>
      </x:c>
      <x:c r="I14" s="98" t="str">
        <x:v>Bar, line, scatter, heatmap, table-row and interactive KPI families each prove selection propagation, dependent request mutation, population/result change, and restoration. A deliberate broken dependency-array/bridge falsification must fail the test.</x:v>
      </x:c>
      <x:c r="J14" s="106" t="n">
        <x:v>10</x:v>
      </x:c>
      <x:c r="K14" s="98" t="str">
        <x:v>Done</x:v>
      </x:c>
      <x:c r="L14" s="98" t="str">
        <x:v>Worker 2</x:v>
      </x:c>
      <x:c r="M14" s="101" t="str">
        <x:v>T-201</x:v>
      </x:c>
      <x:c r="N14" s="101" t="str">
        <x:v>T-222; T-248</x:v>
      </x:c>
      <x:c r="O14" s="101" t="str">
        <x:v>M2: ~1 month from owner planning checkpoint; exact date not committed</x:v>
      </x:c>
      <x:c r="P14" s="101" t="str">
        <x:v>Release 1 MUST</x:v>
      </x:c>
      <x:c r="Q14" s="101" t="str">
        <x:v>Frontend behavioural E2E</x:v>
      </x:c>
      <x:c r="R14" s="195" t="n">
        <x:v>4.25</x:v>
      </x:c>
      <x:c r="S14" s="101" t="str">
        <x:v>M2-P1</x:v>
      </x:c>
      <x:c r="T14" s="101" t="str">
        <x:v>T-201; resolve current associative ownership first.</x:v>
      </x:c>
      <x:c r="U14" s="101" t="str">
        <x:v>AssociativeContext/filter bridge + E2E tests; no unrelated chart redesign.</x:v>
      </x:c>
      <x:c r="V14" s="101" t="str">
        <x:v>This task supersedes using browser walking as the acceptance of cross-filtering.</x:v>
      </x:c>
      <x:c r="W14" s="101" t="str">
        <x:v>Product Foundation &amp; Release Truth</x:v>
      </x:c>
      <x:c r="X14" s="101" t="str">
        <x:v>M2 P1 — Product Foundation &amp; Release Truth. Release 1 is genuine early production / first-week customer work.</x:v>
      </x:c>
      <x:c r="Y14" s="196" t="str">
        <x:v>c6491e2d — closure-state HEAD; exact task commit subject not independently recovered</x:v>
      </x:c>
      <x:c r="Z14" s="197" t="n">
        <x:v>46265</x:v>
      </x:c>
      <x:c r="AA14" s="101" t="str">
        <x:v>L3.2</x:v>
      </x:c>
      <x:c r="AB14" s="101" t="str">
        <x:v>Associative engine and selection strip</x:v>
      </x:c>
      <x:c r="AC14" s="101"/>
      <x:c r="AD14" s="101" t="str">
        <x:v>Validate</x:v>
      </x:c>
      <x:c r="AE14" s="101" t="str">
        <x:v>D2; D5</x:v>
      </x:c>
      <x:c r="AF14" s="101" t="str">
        <x:v>Core</x:v>
      </x:c>
      <x:c r="AG14" s="101" t="str">
        <x:v>R1</x:v>
      </x:c>
      <x:c r="AH14" s="101" t="str">
        <x:v>Advances</x:v>
      </x:c>
      <x:c r="AI14" s="101" t="str">
        <x:f t="shared" si="0"/>
        <x:v>c6491e2d — closure-state HEAD; exact task commit subject not independently recovered</x:v>
      </x:c>
      <x:c r="AJ14" s="101" t="str">
        <x:v>Inherited baseline estimate</x:v>
      </x:c>
      <x:c r="AK14" s="101" t="str">
        <x:v>v4.10.3</x:v>
      </x:c>
      <x:c r="AL14" s="101" t="str">
        <x:v>Chapters 3/4 v4.10.3 — MD + illustrated Word; UI Coverage / UI Controls in this workbook</x:v>
      </x:c>
      <x:c r="AM14" t="n">
        <x:f>IF(ISNUMBER(J14),1,0)</x:f>
        <x:v>1</x:v>
      </x:c>
      <x:c r="AN14" s="101"/>
      <x:c r="AO14" s="194" t="str">
        <x:v>Recorded closed — inherited evidence</x:v>
      </x:c>
      <x:c r="AP14" s="194" t="str">
        <x:v>Inherited v2.22.0 intended record; no new runtime certification in this repair.</x:v>
      </x:c>
      <x:c r="AQ14" s="194"/>
      <x:c r="AR14" s="194" t="str">
        <x:v>INHERITED ESTIMATE</x:v>
      </x:c>
    </x:row>
    <x:row r="15" ht="76" hidden="1" customHeight="1">
      <x:c r="A15" s="98" t="str">
        <x:v>T-205</x:v>
      </x:c>
      <x:c r="B15" s="98" t="str">
        <x:v>M2</x:v>
      </x:c>
      <x:c r="C15" s="98" t="str">
        <x:v>P1</x:v>
      </x:c>
      <x:c r="D15" s="98" t="str">
        <x:v>Frontend global suite termination and machine-readable gate</x:v>
      </x:c>
      <x:c r="E15" s="98" t="str">
        <x:v>Frontend</x:v>
      </x:c>
      <x:c r="F15" s="98" t="str">
        <x:v>Test infrastructure</x:v>
      </x:c>
      <x:c r="G15" s="98" t="str">
        <x:v>Very Important</x:v>
      </x:c>
      <x:c r="H15" s="98" t="str">
        <x:v>Make the global frontend unit/component suite terminate deterministically, produce a machine-readable result, and fail the pipeline on non-termination, timeout, skipped mandatory tests or leaked handles.</x:v>
      </x:c>
      <x:c r="I15" s="98" t="str">
        <x:v>Run the full suite twice from clean processes under the declared timeout; both terminate with identical pass/fail/skip counts and machine-readable output. Inject a leaked handle/non-terminating test and prove the gate goes red.</x:v>
      </x:c>
      <x:c r="J15" s="106" t="n">
        <x:v>8</x:v>
      </x:c>
      <x:c r="K15" s="98" t="str">
        <x:v>Done</x:v>
      </x:c>
      <x:c r="L15" s="98" t="str">
        <x:v>Worker 2</x:v>
      </x:c>
      <x:c r="M15" s="101" t="str">
        <x:v>T-201</x:v>
      </x:c>
      <x:c r="N15" s="101" t="str">
        <x:v>T-150; T-248; T-250; T-255; T-257</x:v>
      </x:c>
      <x:c r="O15" s="101" t="str">
        <x:v>M2: ~1 month from owner planning checkpoint; exact date not committed</x:v>
      </x:c>
      <x:c r="P15" s="101" t="str">
        <x:v>Release 1 MUST</x:v>
      </x:c>
      <x:c r="Q15" s="101" t="str">
        <x:v>Frontend test infrastructure</x:v>
      </x:c>
      <x:c r="R15" s="195" t="n">
        <x:v>3.2</x:v>
      </x:c>
      <x:c r="S15" s="101" t="str">
        <x:v>M2-P1</x:v>
      </x:c>
      <x:c r="T15" s="101" t="str">
        <x:v>CLOSED GREEN 2026-08-30 at b7fcc890. Infrastructure gate certified. Do not rerun full T-205 Certify unless the T-205 gate/validator/watchdog/reaper/evidence contract itself changes.</x:v>
      </x:c>
      <x:c r="U15" s="101" t="str">
        <x:v>Frontend test runner/config only.</x:v>
      </x:c>
      <x:c r="V15" s="101" t="str">
        <x:v>T-205 remains closed. Deterministic suite-truth mutations are owned by T-250; do not amend or reopen T-205 for product/test corrections.</x:v>
      </x:c>
      <x:c r="W15" s="101" t="str">
        <x:v>Product Foundation &amp; Release Truth</x:v>
      </x:c>
      <x:c r="X15" s="101" t="str">
        <x:v>CENTRAL 30-Aug-2026: T-205 CLOSED GREEN at b7fcc890. The gate correctly reports suite truth; bounded corrections are a separate explicit task.</x:v>
      </x:c>
      <x:c r="Y15" s="196" t="str">
        <x:v>b7fcc890 — Gate the frontend suite on deterministic termination and machine-readable evidence</x:v>
      </x:c>
      <x:c r="Z15" s="197" t="n">
        <x:v>46264</x:v>
      </x:c>
      <x:c r="AA15" s="101" t="str">
        <x:v>L8.2</x:v>
      </x:c>
      <x:c r="AB15" s="101" t="str">
        <x:v>Test architecture with disposable isolated databases</x:v>
      </x:c>
      <x:c r="AC15" s="101"/>
      <x:c r="AD15" s="101" t="str">
        <x:v>Validate</x:v>
      </x:c>
      <x:c r="AE15" s="101" t="str">
        <x:v>D2; D5</x:v>
      </x:c>
      <x:c r="AF15" s="101" t="str">
        <x:v>Core</x:v>
      </x:c>
      <x:c r="AG15" s="101" t="str">
        <x:v>R1</x:v>
      </x:c>
      <x:c r="AH15" s="101" t="str">
        <x:v>Advances</x:v>
      </x:c>
      <x:c r="AI15" s="101" t="str">
        <x:f t="shared" si="0"/>
        <x:v>b7fcc890 — Gate the frontend suite on deterministic termination and machine-readable evidence</x:v>
      </x:c>
      <x:c r="AJ15" s="101" t="str">
        <x:v>Inherited baseline estimate</x:v>
      </x:c>
      <x:c r="AK15" s="101" t="str">
        <x:v>v4.10.3</x:v>
      </x:c>
      <x:c r="AL15" s="101" t="str">
        <x:v>Chapters 3/4 v4.10.3 — MD + illustrated Word; UI Coverage / UI Controls in this workbook</x:v>
      </x:c>
      <x:c r="AM15" t="n">
        <x:f>IF(ISNUMBER(J15),1,0)</x:f>
        <x:v>1</x:v>
      </x:c>
      <x:c r="AN15" s="101"/>
      <x:c r="AO15" s="194" t="str">
        <x:v>Recorded closed — inherited evidence</x:v>
      </x:c>
      <x:c r="AP15" s="194" t="str">
        <x:v>Inherited v2.22.0 intended record; no new runtime certification in this repair.</x:v>
      </x:c>
      <x:c r="AQ15" s="194"/>
      <x:c r="AR15" s="194" t="str">
        <x:v>INHERITED ESTIMATE</x:v>
      </x:c>
    </x:row>
    <x:row r="16" ht="76" hidden="1" customHeight="1">
      <x:c r="A16" s="98" t="str">
        <x:v>T-206</x:v>
      </x:c>
      <x:c r="B16" s="98" t="str">
        <x:v>M2</x:v>
      </x:c>
      <x:c r="C16" s="98" t="str">
        <x:v>P1</x:v>
      </x:c>
      <x:c r="D16" s="98" t="str">
        <x:v>Scope-aware genericity architecture gate</x:v>
      </x:c>
      <x:c r="E16" s="98" t="str">
        <x:v>Architecture</x:v>
      </x:c>
      <x:c r="F16" s="98" t="str">
        <x:v>Genericity</x:v>
      </x:c>
      <x:c r="G16" s="98" t="str">
        <x:v>Critical</x:v>
      </x:c>
      <x:c r="H16" s="98" t="str">
        <x:v>Create a scope-aware architecture test that forbids customer/demo/industry vocabulary and compiled customer dimension/grain authorities inside generic runtime/engine/API contracts while allowing that vocabulary in explicitly classified fixtures, mappings and documentation. Include detection of compiled dimension arrays and implicit grain defaults.</x:v>
      </x:c>
      <x:c r="I16" s="98" t="str">
        <x:v>Falsify the gate with a generic-runtime 'coil' fallback, a compiled customer dimension, and an industry-specific class; each fails. The same terms in approved fixture paths remain allowed. Gate consumes configured path/authority classes, not a naive whole-repo negative text scan.</x:v>
      </x:c>
      <x:c r="J16" s="106" t="n">
        <x:v>8</x:v>
      </x:c>
      <x:c r="K16" s="98" t="str">
        <x:v>Done</x:v>
      </x:c>
      <x:c r="L16" s="98" t="str">
        <x:v>Worker 3</x:v>
      </x:c>
      <x:c r="M16" s="101" t="str">
        <x:v>T-201</x:v>
      </x:c>
      <x:c r="N16" s="101" t="str">
        <x:v>T-093; T-213</x:v>
      </x:c>
      <x:c r="O16" s="101" t="str">
        <x:v>M2: ~1 month from owner planning checkpoint; exact date not committed</x:v>
      </x:c>
      <x:c r="P16" s="101" t="str">
        <x:v>Release 1 MUST</x:v>
      </x:c>
      <x:c r="Q16" s="101" t="str">
        <x:v>Architecture/test</x:v>
      </x:c>
      <x:c r="R16" s="195" t="n">
        <x:v>2</x:v>
      </x:c>
      <x:c r="S16" s="101" t="str">
        <x:v>M2-P1</x:v>
      </x:c>
      <x:c r="T16" s="101" t="str">
        <x:v>T-201. Isolated architecture test files only until each product owner consumes findings.</x:v>
      </x:c>
      <x:c r="U16" s="101" t="str">
        <x:v>Architecture/genericity tests only; no W1 schema or W2 UI mutation.</x:v>
      </x:c>
      <x:c r="V16" s="101" t="str">
        <x:v>Violations are routed to the owning task/file; Worker 3 does not fix foreign files.</x:v>
      </x:c>
      <x:c r="W16" s="101" t="str">
        <x:v>Product Foundation &amp; Release Truth</x:v>
      </x:c>
      <x:c r="X16" s="101" t="str">
        <x:v>M2 P1 — Product Foundation &amp; Release Truth. Release 1 is genuine early production / first-week customer work.</x:v>
      </x:c>
      <x:c r="Y16" s="196" t="str">
        <x:v>Not recovered from reviewed sessions</x:v>
      </x:c>
      <x:c r="Z16" s="197"/>
      <x:c r="AA16" s="101" t="str">
        <x:v>L5.1</x:v>
      </x:c>
      <x:c r="AB16" s="101" t="str">
        <x:v>Canonical entity catalogue</x:v>
      </x:c>
      <x:c r="AC16" s="101"/>
      <x:c r="AD16" s="101" t="str">
        <x:v>Validate</x:v>
      </x:c>
      <x:c r="AE16" s="101" t="str">
        <x:v>D1; D5</x:v>
      </x:c>
      <x:c r="AF16" s="101" t="str">
        <x:v>Core</x:v>
      </x:c>
      <x:c r="AG16" s="101" t="str">
        <x:v>R1</x:v>
      </x:c>
      <x:c r="AH16" s="101" t="str">
        <x:v>Advances</x:v>
      </x:c>
      <x:c r="AI16" s="101" t="str">
        <x:f t="shared" si="0"/>
        <x:v>Not recovered from reviewed sessions</x:v>
      </x:c>
      <x:c r="AJ16" s="101" t="str">
        <x:v>Inherited baseline estimate</x:v>
      </x:c>
      <x:c r="AK16" s="101" t="str">
        <x:v>v4.10.3</x:v>
      </x:c>
      <x:c r="AL16" s="101" t="str">
        <x:v>Chapters 3/4 v4.10.3 — MD + illustrated Word; UI Coverage / UI Controls in this workbook</x:v>
      </x:c>
      <x:c r="AM16" t="n">
        <x:f>IF(ISNUMBER(J16),1,0)</x:f>
        <x:v>1</x:v>
      </x:c>
      <x:c r="AN16" s="101"/>
      <x:c r="AO16" s="194" t="str">
        <x:v>Recorded closed — inherited evidence</x:v>
      </x:c>
      <x:c r="AP16" s="194" t="str">
        <x:v>Inherited v2.22.0 intended record; no new runtime certification in this repair.</x:v>
      </x:c>
      <x:c r="AQ16" s="194"/>
      <x:c r="AR16" s="194" t="str">
        <x:v>INHERITED ESTIMATE</x:v>
      </x:c>
    </x:row>
    <x:row r="17" ht="76" hidden="1" customHeight="1">
      <x:c r="A17" s="98" t="str">
        <x:v>T-208</x:v>
      </x:c>
      <x:c r="B17" s="98" t="str">
        <x:v>M2</x:v>
      </x:c>
      <x:c r="C17" s="98" t="str">
        <x:v>P1</x:v>
      </x:c>
      <x:c r="D17" s="98" t="str">
        <x:v>Generic controlled validation fixture authority and continuous-process known-answer pack</x:v>
      </x:c>
      <x:c r="E17" s="98" t="str">
        <x:v>Quality</x:v>
      </x:c>
      <x:c r="F17" s="98" t="str">
        <x:v>Test data</x:v>
      </x:c>
      <x:c r="G17" s="98" t="str">
        <x:v>Critical</x:v>
      </x:c>
      <x:c r="H17" s="98" t="str">
        <x:v>Create the dataset-neutral controlled fixture authority separate from product vocabulary. Keep Fleet v2 as legacy discrete regression oracle only; continuous-process fixture includes irregular analog samples, state intervals, counters, alarms, process windows, independent manual/business records, PLUS a declared transition/stabilisation event and conflicting multi-objective practice vectors with predeclared known answers.</x:v>
      </x:c>
      <x:c r="I17" s="98" t="str">
        <x:v>Fixture manifests are machine-readable, immutable by version, inaccessible as planted truth to runtime, and include SampleMean vs TimeWeightedMean, StateDuration, Delta, interval overlap, transition/stabilisation regime truth, a pooled-vs-steady-state confounding case, a known Pareto frontier, negative controls and refusal cases. Product code contains no fixture vocabulary.</x:v>
      </x:c>
      <x:c r="J17" s="106" t="n">
        <x:v>10</x:v>
      </x:c>
      <x:c r="K17" s="98" t="str">
        <x:v>Done</x:v>
      </x:c>
      <x:c r="L17" s="98" t="str">
        <x:v>Worker 3</x:v>
      </x:c>
      <x:c r="M17" s="101" t="str">
        <x:v>T-201</x:v>
      </x:c>
      <x:c r="N17" s="101" t="str">
        <x:v>T-209; T-211; T-216; T-217; T-218; T-234; T-238</x:v>
      </x:c>
      <x:c r="O17" s="101" t="str">
        <x:v>M2: ~1 month from owner planning checkpoint; exact date not committed</x:v>
      </x:c>
      <x:c r="P17" s="101" t="str">
        <x:v>Release 1 MUST</x:v>
      </x:c>
      <x:c r="Q17" s="101" t="str">
        <x:v>Test fixture / kernel</x:v>
      </x:c>
      <x:c r="R17" s="195" t="n">
        <x:v>2.5</x:v>
      </x:c>
      <x:c r="S17" s="101" t="str">
        <x:v>M2-P1</x:v>
      </x:c>
      <x:c r="T17" s="101" t="str">
        <x:v>T-201. May run in parallel with T-206; no production DB migration/DI.</x:v>
      </x:c>
      <x:c r="U17" s="101" t="str">
        <x:v>New generic fixture/test assets only.</x:v>
      </x:c>
      <x:c r="V17" s="101" t="str">
        <x:v>T-211/T-217/T-219 consume this fixture; they never read planted expected answers at runtime.</x:v>
      </x:c>
      <x:c r="W17" s="101" t="str">
        <x:v>Product Foundation &amp; Release Truth</x:v>
      </x:c>
      <x:c r="X17" s="101" t="str">
        <x:v>M2 P1 — Product Foundation &amp; Release Truth. Release 1 is genuine early production / first-week customer work.</x:v>
      </x:c>
      <x:c r="Y17" s="196" t="str">
        <x:v>969c767c — T-208: generic controlled validation fixture and continuous-process known answers</x:v>
      </x:c>
      <x:c r="Z17" s="197"/>
      <x:c r="AA17" s="101" t="str">
        <x:v>L8.2</x:v>
      </x:c>
      <x:c r="AB17" s="101" t="str">
        <x:v>Test architecture with disposable isolated databases</x:v>
      </x:c>
      <x:c r="AC17" s="101"/>
      <x:c r="AD17" s="101" t="str">
        <x:v>Build</x:v>
      </x:c>
      <x:c r="AE17" s="101" t="str">
        <x:v>D1; D5</x:v>
      </x:c>
      <x:c r="AF17" s="101" t="str">
        <x:v>Core</x:v>
      </x:c>
      <x:c r="AG17" s="101" t="str">
        <x:v>R1</x:v>
      </x:c>
      <x:c r="AH17" s="101" t="str">
        <x:v>Advances</x:v>
      </x:c>
      <x:c r="AI17" s="101" t="str">
        <x:f t="shared" si="0"/>
        <x:v>969c767c — T-208: generic controlled validation fixture and continuous-process known answers</x:v>
      </x:c>
      <x:c r="AJ17" s="101" t="str">
        <x:v>Inherited baseline estimate</x:v>
      </x:c>
      <x:c r="AK17" s="101" t="str">
        <x:v>v4.10.3</x:v>
      </x:c>
      <x:c r="AL17" s="101" t="str">
        <x:v>Chapters 3/4 v4.10.3 — MD + illustrated Word; UI Coverage / UI Controls in this workbook</x:v>
      </x:c>
      <x:c r="AM17" t="n">
        <x:f>IF(ISNUMBER(J17),1,0)</x:f>
        <x:v>1</x:v>
      </x:c>
      <x:c r="AN17" s="101"/>
      <x:c r="AO17" s="194" t="str">
        <x:v>Recorded closed — inherited evidence</x:v>
      </x:c>
      <x:c r="AP17" s="194" t="str">
        <x:v>Inherited v2.22.0 intended record; no new runtime certification in this repair.</x:v>
      </x:c>
      <x:c r="AQ17" s="194"/>
      <x:c r="AR17" s="194" t="str">
        <x:v>INHERITED ESTIMATE</x:v>
      </x:c>
    </x:row>
    <x:row r="18" ht="76" hidden="1" customHeight="1">
      <x:c r="A18" s="98" t="str">
        <x:v>T-209</x:v>
      </x:c>
      <x:c r="B18" s="98" t="str">
        <x:v>M2</x:v>
      </x:c>
      <x:c r="C18" s="98" t="str">
        <x:v>P1</x:v>
      </x:c>
      <x:c r="D18" s="98" t="str">
        <x:v>Analysis Subject and Grain contract + schema-independent resolution kernel</x:v>
      </x:c>
      <x:c r="E18" s="98" t="str">
        <x:v>Architecture / Analytics Engine</x:v>
      </x:c>
      <x:c r="F18" s="98" t="str">
        <x:v>Generic subject/grain contract</x:v>
      </x:c>
      <x:c r="G18" s="98" t="str">
        <x:v>Critical</x:v>
      </x:c>
      <x:c r="H18" s="98" t="str">
        <x:v>Freeze the generic AnalysisSubject/GrainDefinition contract and a schema-independent resolver/kernel. It defines subject kinds, grain identity, time-window semantics, typed GR01 refusal and the rule that no analytical result requires a material identifier. No production migration, DI registration or canonical table edit in this task.</x:v>
      </x:c>
      <x:c r="I18" s="98" t="str">
        <x:v>Known-answer tests resolve discrete, equipment-window and flow-interval subjects; missing grain refuses GR01; no industry noun/material-only assumption appears in the public contract. Runs without production DB access.</x:v>
      </x:c>
      <x:c r="J18" s="106" t="n">
        <x:v>6</x:v>
      </x:c>
      <x:c r="K18" s="98" t="str">
        <x:v>Done</x:v>
      </x:c>
      <x:c r="L18" s="98" t="str">
        <x:v>Worker 3</x:v>
      </x:c>
      <x:c r="M18" s="101" t="str">
        <x:v>T-208</x:v>
      </x:c>
      <x:c r="N18" s="101" t="str">
        <x:v>T-094; T-210; T-214; T-231; T-234; T-253</x:v>
      </x:c>
      <x:c r="O18" s="101" t="str">
        <x:v>M2: ~1 month from owner planning checkpoint; exact date not committed</x:v>
      </x:c>
      <x:c r="P18" s="101" t="str">
        <x:v>Release 1 MUST</x:v>
      </x:c>
      <x:c r="Q18" s="101" t="str">
        <x:v>Kernel/contract</x:v>
      </x:c>
      <x:c r="R18" s="195" t="n">
        <x:v>1.5</x:v>
      </x:c>
      <x:c r="S18" s="101" t="str">
        <x:v>M2-P1</x:v>
      </x:c>
      <x:c r="T18" s="101" t="str">
        <x:v>T-208 only; no production DB dependency.</x:v>
      </x:c>
      <x:c r="U18" s="101" t="str">
        <x:v>New generic contract/kernel/tests only.</x:v>
      </x:c>
      <x:c r="V18" s="101" t="str">
        <x:v>T-231 persists this contract; downstream consumers bind to contract, not table shape.</x:v>
      </x:c>
      <x:c r="W18" s="101" t="str">
        <x:v>Product Foundation &amp; Release Truth</x:v>
      </x:c>
      <x:c r="X18" s="101" t="str">
        <x:v>M2 P1 — Product Foundation &amp; Release Truth. Release 1 is genuine early production / first-week customer work.</x:v>
      </x:c>
      <x:c r="Y18" s="196" t="str">
        <x:v>f2bafdb4 — subject not recovered</x:v>
      </x:c>
      <x:c r="Z18" s="197" t="n">
        <x:v>46259</x:v>
      </x:c>
      <x:c r="AA18" s="101" t="str">
        <x:v>L5.3</x:v>
      </x:c>
      <x:c r="AB18" s="101" t="str">
        <x:v>Analysis Subject, grain and signal aggregation authority</x:v>
      </x:c>
      <x:c r="AC18" s="101"/>
      <x:c r="AD18" s="101" t="str">
        <x:v>Build</x:v>
      </x:c>
      <x:c r="AE18" s="101" t="str">
        <x:v>D1; D3; D4; D5</x:v>
      </x:c>
      <x:c r="AF18" s="101" t="str">
        <x:v>Core</x:v>
      </x:c>
      <x:c r="AG18" s="101" t="str">
        <x:v>R1</x:v>
      </x:c>
      <x:c r="AH18" s="101" t="str">
        <x:v>Advances</x:v>
      </x:c>
      <x:c r="AI18" s="101" t="str">
        <x:f t="shared" si="0"/>
        <x:v>f2bafdb4 — subject not recovered</x:v>
      </x:c>
      <x:c r="AJ18" s="101" t="str">
        <x:v>Inherited baseline estimate</x:v>
      </x:c>
      <x:c r="AK18" s="101" t="str">
        <x:v>v4.10.3</x:v>
      </x:c>
      <x:c r="AL18" s="101" t="str">
        <x:v>Chapters 3/4 v4.10.3 — MD + illustrated Word; UI Coverage / UI Controls in this workbook</x:v>
      </x:c>
      <x:c r="AM18" t="n">
        <x:f>IF(ISNUMBER(J18),1,0)</x:f>
        <x:v>1</x:v>
      </x:c>
      <x:c r="AN18" s="101"/>
      <x:c r="AO18" s="194" t="str">
        <x:v>Recorded closed — inherited evidence</x:v>
      </x:c>
      <x:c r="AP18" s="194" t="str">
        <x:v>Inherited v2.22.0 intended record; no new runtime certification in this repair.</x:v>
      </x:c>
      <x:c r="AQ18" s="194"/>
      <x:c r="AR18" s="194" t="str">
        <x:v>INHERITED ESTIMATE</x:v>
      </x:c>
    </x:row>
    <x:row r="19" ht="76" hidden="1" customHeight="1">
      <x:c r="A19" s="98" t="str">
        <x:v>T-210</x:v>
      </x:c>
      <x:c r="B19" s="98" t="str">
        <x:v>M2</x:v>
      </x:c>
      <x:c r="C19" s="98" t="str">
        <x:v>P1</x:v>
      </x:c>
      <x:c r="D19" s="98" t="str">
        <x:v>Canonical signal and aggregation semantics authority</x:v>
      </x:c>
      <x:c r="E19" s="98" t="str">
        <x:v>Backend</x:v>
      </x:c>
      <x:c r="F19" s="98" t="str">
        <x:v>Semantic measurement authority</x:v>
      </x:c>
      <x:c r="G19" s="98" t="str">
        <x:v>Critical</x:v>
      </x:c>
      <x:c r="H19" s="98" t="str">
        <x:v>Extend parameter definitions and KPI bindings with signal_kind, aggregation_kind, interpolation, weight basis, maximum gap, quality policy, counter-reset and time basis. Remove any silent DEFAULT 'Average'. Store grammar as product-owned enums/registry; customer parameters select it.</x:v>
      </x:c>
      <x:c r="I19" s="98" t="str">
        <x:v>Create Analog/State/Counter definitions and prove no aggregate can execute from data_type alone. Parameter or KPI binding may declare a valid method; absent semantics returns AG01. Invalid method for signal returns AG02. Fresh DB/replay green and no default Average in canonical schema.</x:v>
      </x:c>
      <x:c r="J19" s="106" t="n">
        <x:v>12</x:v>
      </x:c>
      <x:c r="K19" s="98" t="str">
        <x:v>Done</x:v>
      </x:c>
      <x:c r="L19" s="98" t="str">
        <x:v>Worker 1</x:v>
      </x:c>
      <x:c r="M19" s="101" t="str">
        <x:v>T-090; T-209</x:v>
      </x:c>
      <x:c r="N19" s="101" t="str">
        <x:v>T-092; T-128; T-211; T-212; T-242</x:v>
      </x:c>
      <x:c r="O19" s="101" t="str">
        <x:v>M2: ~1 month from owner planning checkpoint; exact date not committed</x:v>
      </x:c>
      <x:c r="P19" s="101" t="str">
        <x:v>Release 1 MUST</x:v>
      </x:c>
      <x:c r="Q19" s="101" t="str">
        <x:v>DB/schema authority</x:v>
      </x:c>
      <x:c r="R19" s="195" t="n">
        <x:v>5.1</x:v>
      </x:c>
      <x:c r="S19" s="101" t="str">
        <x:v>M2-P1</x:v>
      </x:c>
      <x:c r="T19" s="101" t="str">
        <x:v>T-209 + T-090. Complete before T-092 exposes measures and before T-211 integration.</x:v>
      </x:c>
      <x:c r="U19" s="101" t="str">
        <x:v>Parameter definitions/KPI bindings/migrations/definition contract.</x:v>
      </x:c>
      <x:c r="V19" s="101" t="str">
        <x:v>T-211 executes exactly this contract; no second aggregation registry.</x:v>
      </x:c>
      <x:c r="W19" s="101" t="str">
        <x:v>Product Foundation &amp; Release Truth</x:v>
      </x:c>
      <x:c r="X19" s="101" t="str">
        <x:v>M2 P1 — Product Foundation &amp; Release Truth. Release 1 is genuine early production / first-week customer work.</x:v>
      </x:c>
      <x:c r="Y19" s="196" t="str">
        <x:v>92a655e1ddc4becedbaf89a3db96dc0d0f1eaf94 — subject not recovered</x:v>
      </x:c>
      <x:c r="Z19" s="197" t="n">
        <x:v>46266</x:v>
      </x:c>
      <x:c r="AA19" s="101" t="str">
        <x:v>L5.3</x:v>
      </x:c>
      <x:c r="AB19" s="101" t="str">
        <x:v>Analysis Subject, grain and signal aggregation authority</x:v>
      </x:c>
      <x:c r="AC19" s="101" t="str">
        <x:v>L4.2</x:v>
      </x:c>
      <x:c r="AD19" s="101" t="str">
        <x:v>Build</x:v>
      </x:c>
      <x:c r="AE19" s="101" t="str">
        <x:v>D1; D3; D5</x:v>
      </x:c>
      <x:c r="AF19" s="101" t="str">
        <x:v>Core</x:v>
      </x:c>
      <x:c r="AG19" s="101" t="str">
        <x:v>R1</x:v>
      </x:c>
      <x:c r="AH19" s="101" t="str">
        <x:v>Advances</x:v>
      </x:c>
      <x:c r="AI19" s="101" t="str">
        <x:f t="shared" si="0"/>
        <x:v>92a655e1ddc4becedbaf89a3db96dc0d0f1eaf94 — subject not recovered</x:v>
      </x:c>
      <x:c r="AJ19" s="101" t="str">
        <x:v>Inherited baseline estimate</x:v>
      </x:c>
      <x:c r="AK19" s="101" t="str">
        <x:v>v4.10.3</x:v>
      </x:c>
      <x:c r="AL19" s="101" t="str">
        <x:v>Chapters 3/4 v4.10.3 — MD + illustrated Word; UI Coverage / UI Controls in this workbook</x:v>
      </x:c>
      <x:c r="AM19" t="n">
        <x:f>IF(ISNUMBER(J19),1,0)</x:f>
        <x:v>1</x:v>
      </x:c>
      <x:c r="AN19" s="101"/>
      <x:c r="AO19" s="194" t="str">
        <x:v>Recorded closed — inherited evidence</x:v>
      </x:c>
      <x:c r="AP19" s="194" t="str">
        <x:v>Inherited v2.22.0 intended record; no new runtime certification in this repair.</x:v>
      </x:c>
      <x:c r="AQ19" s="194"/>
      <x:c r="AR19" s="194" t="str">
        <x:v>INHERITED ESTIMATE</x:v>
      </x:c>
    </x:row>
    <x:row r="20" ht="76" hidden="1" customHeight="1">
      <x:c r="A20" s="98" t="str">
        <x:v>T-216</x:v>
      </x:c>
      <x:c r="B20" s="98" t="str">
        <x:v>M2</x:v>
      </x:c>
      <x:c r="C20" s="98" t="str">
        <x:v>P1</x:v>
      </x:c>
      <x:c r="D20" s="98" t="str">
        <x:v>Source Time Authority contract and timestamp-semantics kernel</x:v>
      </x:c>
      <x:c r="E20" s="98" t="str">
        <x:v>Architecture / Analytics Engine</x:v>
      </x:c>
      <x:c r="F20" s="98" t="str">
        <x:v>Temporal authority contract</x:v>
      </x:c>
      <x:c r="G20" s="98" t="str">
        <x:v>Critical</x:v>
      </x:c>
      <x:c r="H20" s="98" t="str">
        <x:v>Freeze the per-source time contract: timezone, timestamp basis/origin, DST policy, clock reference, observed skew, maximum tolerated skew, and source/server/ingest timestamp semantics. No production persistence in this task.</x:v>
      </x:c>
      <x:c r="I20" s="98" t="str">
        <x:v>Known-answer contract tests distinguish source/server/ingest timestamps and prove skew beyond tolerance yields TemporalUncertain rather than conflict. Runs without production DB access.</x:v>
      </x:c>
      <x:c r="J20" s="106" t="n">
        <x:v>5</x:v>
      </x:c>
      <x:c r="K20" s="98" t="str">
        <x:v>Done</x:v>
      </x:c>
      <x:c r="L20" s="98" t="str">
        <x:v>Worker 3</x:v>
      </x:c>
      <x:c r="M20" s="101" t="str">
        <x:v>T-208</x:v>
      </x:c>
      <x:c r="N20" s="101" t="str">
        <x:v>T-200; T-217; T-233</x:v>
      </x:c>
      <x:c r="O20" s="101" t="str">
        <x:v>M2: ~1 month from owner planning checkpoint; exact date not committed</x:v>
      </x:c>
      <x:c r="P20" s="101" t="str">
        <x:v>Release 1 MUST</x:v>
      </x:c>
      <x:c r="Q20" s="101" t="str">
        <x:v>Kernel/contract</x:v>
      </x:c>
      <x:c r="R20" s="195" t="n">
        <x:v>1.25</x:v>
      </x:c>
      <x:c r="S20" s="101" t="str">
        <x:v>M2-P1</x:v>
      </x:c>
      <x:c r="T20" s="101" t="str">
        <x:v>T-208 fixture; no canonical DB dependency.</x:v>
      </x:c>
      <x:c r="U20" s="101" t="str">
        <x:v>Temporal contract/tests only.</x:v>
      </x:c>
      <x:c r="V20" s="101" t="str">
        <x:v>T-233 persists source-time authority; T-217 consumes contract without waiting for persistence.</x:v>
      </x:c>
      <x:c r="W20" s="101" t="str">
        <x:v>Product Foundation &amp; Release Truth</x:v>
      </x:c>
      <x:c r="X20" s="101" t="str">
        <x:v>M2 P1 — Product Foundation &amp; Release Truth. Release 1 is genuine early production / first-week customer work.</x:v>
      </x:c>
      <x:c r="Y20" s="196" t="str">
        <x:v>ea9103fd — Establish source time authority for plant timestamps</x:v>
      </x:c>
      <x:c r="Z20" s="197" t="n">
        <x:v>46259</x:v>
      </x:c>
      <x:c r="AA20" s="101" t="str">
        <x:v>L1.5</x:v>
      </x:c>
      <x:c r="AB20" s="101" t="str">
        <x:v>Acquisition provenance and source lineage</x:v>
      </x:c>
      <x:c r="AC20" s="101" t="str">
        <x:v>L5.5</x:v>
      </x:c>
      <x:c r="AD20" s="101" t="str">
        <x:v>Build</x:v>
      </x:c>
      <x:c r="AE20" s="101" t="str">
        <x:v>D1; D3; D5</x:v>
      </x:c>
      <x:c r="AF20" s="101" t="str">
        <x:v>Core</x:v>
      </x:c>
      <x:c r="AG20" s="101" t="str">
        <x:v>R1</x:v>
      </x:c>
      <x:c r="AH20" s="101" t="str">
        <x:v>Advances</x:v>
      </x:c>
      <x:c r="AI20" s="101" t="str">
        <x:f t="shared" si="0"/>
        <x:v>ea9103fd — Establish source time authority for plant timestamps</x:v>
      </x:c>
      <x:c r="AJ20" s="101" t="str">
        <x:v>Inherited baseline estimate</x:v>
      </x:c>
      <x:c r="AK20" s="101" t="str">
        <x:v>v4.10.3</x:v>
      </x:c>
      <x:c r="AL20" s="101" t="str">
        <x:v>Chapters 3/4 v4.10.3 — MD + illustrated Word; UI Coverage / UI Controls in this workbook</x:v>
      </x:c>
      <x:c r="AM20" t="n">
        <x:f>IF(ISNUMBER(J20),1,0)</x:f>
        <x:v>1</x:v>
      </x:c>
      <x:c r="AN20" s="101"/>
      <x:c r="AO20" s="194" t="str">
        <x:v>Recorded closed — inherited evidence</x:v>
      </x:c>
      <x:c r="AP20" s="194" t="str">
        <x:v>Inherited v2.22.0 intended record; no new runtime certification in this repair.</x:v>
      </x:c>
      <x:c r="AQ20" s="194"/>
      <x:c r="AR20" s="194" t="str">
        <x:v>INHERITED ESTIMATE</x:v>
      </x:c>
    </x:row>
    <x:row r="21" ht="76" hidden="1" customHeight="1">
      <x:c r="A21" s="98" t="str">
        <x:v>T-231</x:v>
      </x:c>
      <x:c r="B21" s="98" t="str">
        <x:v>M2</x:v>
      </x:c>
      <x:c r="C21" s="98" t="str">
        <x:v>P1</x:v>
      </x:c>
      <x:c r="D21" s="98" t="str">
        <x:v>Persist Analysis Subject and Grain authority in canonical definition store</x:v>
      </x:c>
      <x:c r="E21" s="98" t="str">
        <x:v>Backend / Database</x:v>
      </x:c>
      <x:c r="F21" s="98" t="str">
        <x:v>Canonical subject/grain persistence</x:v>
      </x:c>
      <x:c r="G21" s="98" t="str">
        <x:v>Critical</x:v>
      </x:c>
      <x:c r="H21" s="98" t="str">
        <x:v>Persist the frozen T-209 AnalysisSubject/GrainDefinition contract through canonical definitions and analysis_subjects/grain-definition tables. This task owns migration, tenant-safe keys, version binding and canonical APIs only; it does not redesign the contract.</x:v>
      </x:c>
      <x:c r="I21" s="98" t="str">
        <x:v>Fresh migration/replay green. Persist discrete, equipment-window and flow-interval grains; same binary resolves all via API. GR01 preserved. Tenant isolation and definition-version replay pass.</x:v>
      </x:c>
      <x:c r="J21" s="106" t="n">
        <x:v>6</x:v>
      </x:c>
      <x:c r="K21" s="98" t="str">
        <x:v>Done</x:v>
      </x:c>
      <x:c r="L21" s="98" t="str">
        <x:v>Worker 1</x:v>
      </x:c>
      <x:c r="M21" s="101" t="str">
        <x:v>T-090; T-209</x:v>
      </x:c>
      <x:c r="N21" s="101" t="str">
        <x:v>T-092; T-128; T-139; T-232; T-235</x:v>
      </x:c>
      <x:c r="O21" s="101" t="str">
        <x:v>M2: ~1 month from owner planning checkpoint; exact date not committed</x:v>
      </x:c>
      <x:c r="P21" s="101" t="str">
        <x:v>Release 1 MUST</x:v>
      </x:c>
      <x:c r="Q21" s="101" t="str">
        <x:v>DB/schema authority</x:v>
      </x:c>
      <x:c r="R21" s="195" t="n">
        <x:v>2.55</x:v>
      </x:c>
      <x:c r="S21" s="101" t="str">
        <x:v>M2-P1</x:v>
      </x:c>
      <x:c r="T21" s="101" t="str">
        <x:v>T-090 + committed T-209 contract.</x:v>
      </x:c>
      <x:c r="U21" s="101" t="str">
        <x:v>analysis_subjects/grain definitions + API/migrations.</x:v>
      </x:c>
      <x:c r="V21" s="101" t="str">
        <x:v>T-092/T-128/T-139/T-213 consume committed persistence; they do not invent subject identity.</x:v>
      </x:c>
      <x:c r="W21" s="101" t="str">
        <x:v>Product Foundation &amp; Release Truth</x:v>
      </x:c>
      <x:c r="X21" s="101" t="str">
        <x:v>M2 P1 — Product Foundation &amp; Release Truth. Release 1 is genuine early production / first-week customer work.</x:v>
      </x:c>
      <x:c r="Y21" s="196" t="str">
        <x:v>c930af079502aa1660ef2bd5c50756d3fc3cf8f3 — Persist-T231-canonical-analysis-subject-grain-authority</x:v>
      </x:c>
      <x:c r="Z21" s="197"/>
      <x:c r="AA21" s="101" t="str">
        <x:v>L5.3</x:v>
      </x:c>
      <x:c r="AB21" s="101" t="str">
        <x:v>Analysis Subject, grain and signal aggregation authority</x:v>
      </x:c>
      <x:c r="AC21" s="101"/>
      <x:c r="AD21" s="101" t="str">
        <x:v>Build</x:v>
      </x:c>
      <x:c r="AE21" s="101" t="str">
        <x:v>D1; D3; D4; D5</x:v>
      </x:c>
      <x:c r="AF21" s="101" t="str">
        <x:v>Core</x:v>
      </x:c>
      <x:c r="AG21" s="101" t="str">
        <x:v>R1</x:v>
      </x:c>
      <x:c r="AH21" s="101" t="str">
        <x:v>Advances</x:v>
      </x:c>
      <x:c r="AI21" s="101" t="str">
        <x:f t="shared" si="0"/>
        <x:v>c930af079502aa1660ef2bd5c50756d3fc3cf8f3 — Persist-T231-canonical-analysis-subject-grain-authority</x:v>
      </x:c>
      <x:c r="AJ21" s="101" t="str">
        <x:v>Inherited baseline estimate</x:v>
      </x:c>
      <x:c r="AK21" s="101" t="str">
        <x:v>v4.10.3</x:v>
      </x:c>
      <x:c r="AL21" s="101" t="str">
        <x:v>Chapters 3/4 v4.10.3 — MD + illustrated Word; UI Coverage / UI Controls in this workbook</x:v>
      </x:c>
      <x:c r="AM21" t="n">
        <x:f>IF(ISNUMBER(J21),1,0)</x:f>
        <x:v>1</x:v>
      </x:c>
      <x:c r="AN21" s="101"/>
      <x:c r="AO21" s="194" t="str">
        <x:v>Recorded closed — inherited evidence</x:v>
      </x:c>
      <x:c r="AP21" s="194" t="str">
        <x:v>Inherited v2.22.0 intended record; no new runtime certification in this repair.</x:v>
      </x:c>
      <x:c r="AQ21" s="194"/>
      <x:c r="AR21" s="194" t="str">
        <x:v>INHERITED ESTIMATE</x:v>
      </x:c>
    </x:row>
    <x:row r="22" ht="76" hidden="1" customHeight="1">
      <x:c r="A22" s="98" t="str">
        <x:v>T-250</x:v>
      </x:c>
      <x:c r="B22" s="98" t="str">
        <x:v>M2</x:v>
      </x:c>
      <x:c r="C22" s="98" t="str">
        <x:v>P1</x:v>
      </x:c>
      <x:c r="D22" s="98" t="str">
        <x:v>Frontend suite truth convergence: Journey routing and design-system corrections</x:v>
      </x:c>
      <x:c r="E22" s="98" t="str">
        <x:v>Frontend</x:v>
      </x:c>
      <x:c r="F22" s="98" t="str">
        <x:v>Release truth / design system</x:v>
      </x:c>
      <x:c r="G22" s="98" t="str">
        <x:v>Very Important</x:v>
      </x:c>
      <x:c r="H22" s="98" t="str">
        <x:v>Resolve only the six deterministic findings exposed by T-205 without reopening T-205: correct stale JourneyRail certification for Connections=J4 and Supervisor=J15; map the real /assistant/configuration route directly to J15 and guard redirect aliases; move constant MetricCard inline styles to CSS; retain HeatmapChart only as an exact-file semantic-matrix exception; convert SpecificationTable to StandardTable while preserving observed-state semantics. No broad frontend cleanup.</x:v>
      </x:c>
      <x:c r="I22" s="98" t="str">
        <x:v>Narrow affected tests GREEN first: Connections=J4, Supervisor=J15, /assistant/configuration=J15, redirect-alias guard GREEN, MetricCard D2 violations=0, Heatmap exact-file exception only, SpecificationTable uses StandardTable and existing component tests stay GREEN. Then run the ordinary complete frontend suite once with failed=0 and skipped=0. Do not rerun T-205 Certify unless T-205 gate code changes.</x:v>
      </x:c>
      <x:c r="J22" s="106" t="n">
        <x:v>6</x:v>
      </x:c>
      <x:c r="K22" s="98" t="str">
        <x:v>Done</x:v>
      </x:c>
      <x:c r="L22" s="98" t="str">
        <x:v>Worker 2</x:v>
      </x:c>
      <x:c r="M22" s="101" t="str">
        <x:v>T-205</x:v>
      </x:c>
      <x:c r="N22" s="101" t="str">
        <x:v>T-150; T-255; T-257; T-258</x:v>
      </x:c>
      <x:c r="O22" s="101" t="str">
        <x:v>M2: ~1 month from owner planning checkpoint; exact date not committed</x:v>
      </x:c>
      <x:c r="P22" s="101" t="str">
        <x:v>Release 1 MUST</x:v>
      </x:c>
      <x:c r="Q22" s="101" t="str">
        <x:v>Frontend bounded correction</x:v>
      </x:c>
      <x:c r="R22" s="195" t="n">
        <x:v>2.5</x:v>
      </x:c>
      <x:c r="S22" s="101" t="str">
        <x:v>M2-P1</x:v>
      </x:c>
      <x:c r="T22" s="101" t="str">
        <x:v>T-205 CLOSED GREEN at b7fcc890. Two read-only adjudication extracts are sufficient; no third diagnostic runner. Build one corrective pack, run narrow tests, then one normal full frontend suite.</x:v>
      </x:c>
      <x:c r="U22" s="101" t="str">
        <x:v>Own only the bounded JourneyRail/Journey tests, MetricCard styling, exact Heatmap architecture exception and SpecificationTable convergence. No edits to T-205 runner/validator and no unrelated frontend cleanup.</x:v>
      </x:c>
      <x:c r="V22" s="101" t="str">
        <x:v>T-205 remains closed. After T-250 GREEN, move directly to the next eligible existing Worker-2 task. No unnamed corrective work and no repeated expensive certification loop.</x:v>
      </x:c>
      <x:c r="W22" s="101" t="str">
        <x:v>Product Foundation &amp; Release Truth</x:v>
      </x:c>
      <x:c r="X22" s="101" t="str">
        <x:v>CENTRAL 30-Aug-2026: no Task ID = no repository mutation. T-250 is the sole owner of these six findings; bounded correction only, narrow tests first, one final normal suite.</x:v>
      </x:c>
      <x:c r="Y22" s="196" t="str">
        <x:v>6615481b — Converge frontend journey and design-system truth</x:v>
      </x:c>
      <x:c r="Z22" s="197" t="n">
        <x:v>46264</x:v>
      </x:c>
      <x:c r="AA22" s="101" t="str">
        <x:v>L8.2</x:v>
      </x:c>
      <x:c r="AB22" s="101" t="str">
        <x:v>Test architecture with disposable isolated databases</x:v>
      </x:c>
      <x:c r="AC22" s="101"/>
      <x:c r="AD22" s="101" t="str">
        <x:v>Converge</x:v>
      </x:c>
      <x:c r="AE22" s="101" t="str">
        <x:v>D1; D2; D5</x:v>
      </x:c>
      <x:c r="AF22" s="101" t="str">
        <x:v>Core</x:v>
      </x:c>
      <x:c r="AG22" s="101" t="str">
        <x:v>R1</x:v>
      </x:c>
      <x:c r="AH22" s="101" t="str">
        <x:v>Advances</x:v>
      </x:c>
      <x:c r="AI22" s="101" t="str">
        <x:f t="shared" si="0"/>
        <x:v>6615481b — Converge frontend journey and design-system truth</x:v>
      </x:c>
      <x:c r="AJ22" s="101" t="str">
        <x:v>Inherited baseline estimate</x:v>
      </x:c>
      <x:c r="AK22" s="101" t="str">
        <x:v>v4.10.3</x:v>
      </x:c>
      <x:c r="AL22" s="101" t="str">
        <x:v>Chapters 3/4 v4.10.3 — MD + illustrated Word; UI Coverage / UI Controls in this workbook</x:v>
      </x:c>
      <x:c r="AM22" t="n">
        <x:f>IF(ISNUMBER(J22),1,0)</x:f>
        <x:v>1</x:v>
      </x:c>
      <x:c r="AN22" s="101"/>
      <x:c r="AO22" s="194" t="str">
        <x:v>Recorded closed — inherited evidence</x:v>
      </x:c>
      <x:c r="AP22" s="194" t="str">
        <x:v>Inherited v2.22.0 intended record; no new runtime certification in this repair.</x:v>
      </x:c>
      <x:c r="AQ22" s="194"/>
      <x:c r="AR22" s="194" t="str">
        <x:v>INHERITED ESTIMATE</x:v>
      </x:c>
    </x:row>
    <x:row r="23" ht="76" hidden="1" customHeight="1">
      <x:c r="A23" s="98" t="str">
        <x:v>T-251</x:v>
      </x:c>
      <x:c r="B23" s="98" t="str">
        <x:v>M2</x:v>
      </x:c>
      <x:c r="C23" s="98" t="str">
        <x:v>P1</x:v>
      </x:c>
      <x:c r="D23" s="98" t="str">
        <x:v>Physical database catalogue, naming authority and zero-unknown schema dictionary</x:v>
      </x:c>
      <x:c r="E23" s="98" t="str">
        <x:v>Database</x:v>
      </x:c>
      <x:c r="F23" s="98" t="str">
        <x:v>Schema governance</x:v>
      </x:c>
      <x:c r="G23" s="98" t="str">
        <x:v>Critical</x:v>
      </x:c>
      <x:c r="H23" s="98" t="str">
        <x:v>Create the generated physical database catalogue required by Master Design v4.10.1. Reconcile canonical migration/EF authority with fresh canonical certification database `ppiq_acceptance_empty` and long-lived `ppiq_app`. Every table/view and every column in ppiq_meta, ppiq_plant, ppiq_staging and permitted public infrastructure receives schema, logical family, lifecycle class, owner, purpose, creator, readers/writers, keys/FKs, design clause, backlog owner, retention/RLS policy and naming-conformance state. Generate the relation graph. Define/enforce the forward snake_case/no-customer-vocabulary naming standard without mass-renaming grandfathered objects. Read-only census first; deletion/rename is outside this task.</x:v>
      </x:c>
      <x:c r="I23" s="98" t="str">
        <x:v>Fresh canonical certification DB `ppiq_acceptance_empty`: 100% tables/views/columns represented; zero unknown product objects; every table has logical family + lifecycle + owner + design clause; physical FK graph generated; public contains platform infrastructure only. Long-lived ppiq_app: every extra object classified, never auto-deleted. Generator reruns deterministically from executable schema authority. A new DDL object without catalogue classification makes the gate red.</x:v>
      </x:c>
      <x:c r="J23" s="106" t="n">
        <x:v>12</x:v>
      </x:c>
      <x:c r="K23" s="98" t="str">
        <x:v>Done</x:v>
      </x:c>
      <x:c r="L23" s="98" t="str">
        <x:v>Worker 1</x:v>
      </x:c>
      <x:c r="M23" s="101" t="str">
        <x:v>T-087; T-088; T-260</x:v>
      </x:c>
      <x:c r="N23" s="101" t="str">
        <x:v>T-112; T-150; T-252; T-256; T-259</x:v>
      </x:c>
      <x:c r="O23" s="101" t="str">
        <x:v>M2: ~1 month from owner planning checkpoint; exact date not committed</x:v>
      </x:c>
      <x:c r="P23" s="101" t="str">
        <x:v>Release 1 MUST</x:v>
      </x:c>
      <x:c r="Q23" s="101" t="str">
        <x:v>DB/schema/migration</x:v>
      </x:c>
      <x:c r="R23" s="195" t="n">
        <x:v>1.8</x:v>
      </x:c>
      <x:c r="S23" s="101" t="str">
        <x:v>M2-P1</x:v>
      </x:c>
      <x:c r="T23" s="101" t="str">
        <x:v>PAUSED AFTER MACHINE INSTALL/CENSUS. T-260 is the immediate blocker because the designated fresh certification DB was proven to be built from an incomplete canonical path. Do not adjudicate the current fresh-DB 106/81 queue. Resume T-251 only after T-260 rebuilds `ppiq_acceptance_empty` correctly and produces a new census.</x:v>
      </x:c>
      <x:c r="U23" s="101" t="str">
        <x:v>Own generated DB catalogue tooling/documentation and read-only pg_catalog queries. No product table deletion, rename or unrelated DDL.</x:v>
      </x:c>
      <x:c r="V23" s="101" t="str">
        <x:v>Publish semantic-named catalogue artifacts only; no task-number repository filename. Hand off the generated dictionary to T-115/T-123/T-150.</x:v>
      </x:c>
      <x:c r="W23" s="101" t="str">
        <x:v>Product Foundation &amp; Release Truth</x:v>
      </x:c>
      <x:c r="X23" s="101" t="str">
        <x:v>CENTRAL 04-Sep-2026: table count is not a defect; unknown authority is. This task establishes zero-unknown physical schema governance before any cleanup.</x:v>
      </x:c>
      <x:c r="Y23" s="196"/>
      <x:c r="Z23" s="197"/>
      <x:c r="AA23" s="101" t="str">
        <x:v>L5.7</x:v>
      </x:c>
      <x:c r="AB23" s="101" t="str">
        <x:v>Physical database governance and zero-unknown catalogue</x:v>
      </x:c>
      <x:c r="AC23" s="101" t="str">
        <x:v>L8.1</x:v>
      </x:c>
      <x:c r="AD23" s="101" t="str">
        <x:v>Build</x:v>
      </x:c>
      <x:c r="AE23" s="101" t="str">
        <x:v>D4; D5</x:v>
      </x:c>
      <x:c r="AF23" s="101" t="str">
        <x:v>Core</x:v>
      </x:c>
      <x:c r="AG23" s="101" t="str">
        <x:v>R1</x:v>
      </x:c>
      <x:c r="AH23" s="101" t="str">
        <x:v>Advances</x:v>
      </x:c>
      <x:c r="AI23" s="101">
        <x:f t="shared" si="0"/>
      </x:c>
      <x:c r="AJ23" s="101" t="str">
        <x:v>Inherited baseline estimate</x:v>
      </x:c>
      <x:c r="AK23" s="101" t="str">
        <x:v>v4.10.3</x:v>
      </x:c>
      <x:c r="AL23" s="101" t="str">
        <x:v>Chapters 3/4 v4.10.3 — MD + illustrated Word; UI Coverage / UI Controls in this workbook</x:v>
      </x:c>
      <x:c r="AM23" t="n">
        <x:f>IF(ISNUMBER(J23),1,0)</x:f>
        <x:v>1</x:v>
      </x:c>
      <x:c r="AN23" s="101"/>
      <x:c r="AO23" s="194" t="str">
        <x:v>Recorded closed — inherited evidence</x:v>
      </x:c>
      <x:c r="AP23" s="194" t="str">
        <x:v>Inherited v2.22.0 intended record; no new runtime certification in this repair.</x:v>
      </x:c>
      <x:c r="AQ23" s="194"/>
      <x:c r="AR23" s="194" t="str">
        <x:v>INHERITED ESTIMATE</x:v>
      </x:c>
    </x:row>
    <x:row r="24" ht="76" hidden="1" customHeight="1">
      <x:c r="A24" s="98" t="str">
        <x:v>T-252</x:v>
      </x:c>
      <x:c r="B24" s="98" t="str">
        <x:v>M2</x:v>
      </x:c>
      <x:c r="C24" s="98" t="str">
        <x:v>P1</x:v>
      </x:c>
      <x:c r="D24" s="98" t="str">
        <x:v>Disposable database lifecycle and integration-test database isolation</x:v>
      </x:c>
      <x:c r="E24" s="98" t="str">
        <x:v>Quality</x:v>
      </x:c>
      <x:c r="F24" s="98" t="str">
        <x:v>Database isolation</x:v>
      </x:c>
      <x:c r="G24" s="98" t="str">
        <x:v>Critical</x:v>
      </x:c>
      <x:c r="H24" s="98" t="str">
        <x:v>Remove shared-live-database mutation from certification/test infrastructure. Integration suites and corrective packs create or clone a dedicated disposable database/template, record its name, execute against it, and drop it in an unconditional finally path on success/failure. Never flip or mutate live ppiq_app/ppiq_presentation as a test fixture. Add bounded cleanup for current orphan probe/backup/scratch databases after evidence-retention adjudication.
v2.20.0 PROMOTION — this is now M2-P1 foundation scope, not late P5 hardening. Every DB-dependent certification path must either receive a dedicated disposable database/template from this authority or explicitly declare that it is a read-only external probe. Local developer runs may skip an external-probe-only test with a named reason when the probe is absent; Release-1 CI/certification provisions its own disposable target and permits zero DB-fixture skips.
v2.20.1 DEPENDENCY CORRECTION — T-251 is an explicit prerequisite, not only a handover convention. T-251 classifies current/fresh physical database authority before T-252 changes certification/test database lifecycle.</x:v>
      </x:c>
      <x:c r="I24" s="98" t="str">
        <x:v>Induced test failure, PowerShell/native-command failure and timeout each leave zero newly orphaned databases. Captured database names are gone after cleanup; ppiq_app, ppiq_acceptance_empty, ppiq_presentation and postgres are untouched. Two parallel suites use distinct DBs. A post-run orphan query is green. Current retained backups/probes are classified and removed only after retention proof. A release-profile certification provisions its own disposable DB and records zero database-fixture skips. A developer-local run with an intentionally absent external probe may skip only the named probe test and must emit the exact reason; it may not fail by mutating or assuming a shared live database.
Emit the DB-fixture execution result using the canonical T-259 Release Evidence Envelope v1 fields. T-252 owns DB skip semantics and database_fixture_mode/name values; it does not invent a second envelope format.
Producer contract is T-259 Release Evidence Envelope v1. T-252 may add DB-specific extension fields but may not rename/redefine common fields.
For Release-1 DB-fixture certification specifically, `skipped_count` must be 0. A local approved external-probe skip is allowed only outside the Release-1 certification profile and still counts in total_count, not executed_count.</x:v>
      </x:c>
      <x:c r="J24" s="106" t="n">
        <x:v>8</x:v>
      </x:c>
      <x:c r="K24" s="98" t="str">
        <x:v>Done</x:v>
      </x:c>
      <x:c r="L24" s="98" t="str">
        <x:v>Worker 1</x:v>
      </x:c>
      <x:c r="M24" s="101" t="str">
        <x:v>T-087; T-088; T-251; T-259</x:v>
      </x:c>
      <x:c r="N24" s="101" t="str">
        <x:v>T-106; T-112; T-150; T-256</x:v>
      </x:c>
      <x:c r="O24" s="101" t="str">
        <x:v>M2: ~1 month from owner planning checkpoint; exact date not committed</x:v>
      </x:c>
      <x:c r="P24" s="101" t="str">
        <x:v>Release 1 MUST</x:v>
      </x:c>
      <x:c r="Q24" s="101" t="str">
        <x:v>Integration/E2E/certification</x:v>
      </x:c>
      <x:c r="R24" s="195" t="n">
        <x:v>1.2</x:v>
      </x:c>
      <x:c r="S24" s="101" t="str">
        <x:v>M2-P1</x:v>
      </x:c>
      <x:c r="T24" s="101" t="str">
        <x:v>P1 PROMOTION IN v2.20.0 — start immediately after T-251 closes. Certification infrastructure must stop touching shared/live databases before further database/runtime closure work. One task, one disposable-DB lifecycle; no mutation of ppiq_app/ppiq_presentation as fixtures.</x:v>
      </x:c>
      <x:c r="U24" s="101" t="str">
        <x:v>Own integration-test DB fixture/runner and disposable-DB lifecycle tooling only. Do not change product schema semantics.</x:v>
      </x:c>
      <x:c r="V24" s="101" t="str">
        <x:v>Every pack that CREATE DATABASEs owns DROP in finally. Persistent DB roles are explicit and protected.</x:v>
      </x:c>
      <x:c r="W24" s="101" t="str">
        <x:v>Product Foundation &amp; Release Truth</x:v>
      </x:c>
      <x:c r="X24" s="101" t="str">
        <x:v>CENTRAL v2.20.0 08-Sep-2026: promoted from P5 to P1. Certification DB isolation is foundational; Worker-1 sequence is T-251 → T-252 → T-256.</x:v>
      </x:c>
      <x:c r="Y24" s="196"/>
      <x:c r="Z24" s="197"/>
      <x:c r="AA24" s="101" t="str">
        <x:v>L8.2</x:v>
      </x:c>
      <x:c r="AB24" s="101" t="str">
        <x:v>Test architecture with disposable isolated databases</x:v>
      </x:c>
      <x:c r="AC24" s="101"/>
      <x:c r="AD24" s="101" t="str">
        <x:v>Harden</x:v>
      </x:c>
      <x:c r="AE24" s="101" t="str">
        <x:v>D3; D4; D5</x:v>
      </x:c>
      <x:c r="AF24" s="101" t="str">
        <x:v>Core</x:v>
      </x:c>
      <x:c r="AG24" s="101" t="str">
        <x:v>R1</x:v>
      </x:c>
      <x:c r="AH24" s="101" t="str">
        <x:v>Advances</x:v>
      </x:c>
      <x:c r="AI24" s="101">
        <x:f t="shared" si="0"/>
      </x:c>
      <x:c r="AJ24" s="101" t="str">
        <x:v>Inherited baseline estimate</x:v>
      </x:c>
      <x:c r="AK24" s="101" t="str">
        <x:v>v4.10.3</x:v>
      </x:c>
      <x:c r="AL24" s="101" t="str">
        <x:v>Chapters 3/4 v4.10.3 — MD + illustrated Word; UI Coverage / UI Controls in this workbook</x:v>
      </x:c>
      <x:c r="AM24" t="n">
        <x:f>IF(ISNUMBER(J24),1,0)</x:f>
        <x:v>1</x:v>
      </x:c>
      <x:c r="AN24" s="101"/>
      <x:c r="AO24" s="194" t="str">
        <x:v>Recorded closed — inherited evidence</x:v>
      </x:c>
      <x:c r="AP24" s="194" t="str">
        <x:v>Inherited v2.22.0 intended record; no new runtime certification in this repair.</x:v>
      </x:c>
      <x:c r="AQ24" s="194"/>
      <x:c r="AR24" s="194" t="str">
        <x:v>INHERITED ESTIMATE</x:v>
      </x:c>
    </x:row>
    <x:row r="25" ht="76" customHeight="1">
      <x:c r="A25" s="101" t="str">
        <x:v>T-256</x:v>
      </x:c>
      <x:c r="B25" s="101" t="str">
        <x:v>M2</x:v>
      </x:c>
      <x:c r="C25" s="101" t="str">
        <x:v>P1</x:v>
      </x:c>
      <x:c r="D25" s="101" t="str">
        <x:v>Runtime genericity and three-schema consumer convergence</x:v>
      </x:c>
      <x:c r="E25" s="101" t="str">
        <x:v>Backend</x:v>
      </x:c>
      <x:c r="F25" s="101" t="str">
        <x:v>Genericity / physical-consumer convergence</x:v>
      </x:c>
      <x:c r="G25" s="101" t="str">
        <x:v>Critical</x:v>
      </x:c>
      <x:c r="H25" s="101" t="str">
        <x:v>After T-251 classifies the physical catalogue and T-252 stabilises test DBs, converge runtime consumers onto the three-schema/generic product authority. Every runtime `public.*` product reference is either migrated to ppiq_meta/ppiq_plant/ppiq_staging/definition authority or explicitly catalogued as permitted platform compatibility with a bounded retirement owner. Material/heat/coil-specific endpoint/service families in the generic binary are retired, moved behind an explicit presentation/demo compatibility boundary, or replaced by Analysis Subject/relationship/registry-driven surfaces. Do not mass-rename blindly and do not break the retained presentation database.
v2.20.1 OWNERSHIP BOUNDARY — T-256 is BACKEND/API/DB-RUNTIME convergence only. Do not edit Worker-2 frontend MaterialAnalytics pages, frontend route ownership, or productApiClient frontend types. Where backend convergence would otherwise break an existing frontend material surface, preserve a bounded typed compatibility contract long enough for T-258 to migrate/retire that frontend consumer; do not leave the generic build red.
v2.20.2 RECORDED T-253 HANDOFF — `MappingDefinitionService.AllowedTargetEntities` is a measured hardcoded 12-name target vocabulary and is NOT T-253 scope. T-256 owns its backend convergence: consume the canonical projection-target capability and catalog authority established by T-253, remove the duplicate plant-vocabulary list as runtime authority, and preserve only any explicitly justified compatibility mapping.
v2.20.3 DEPENDENCY RULING — T-253 remains a HARD dependency for T-256 because T-256 must replace MappingDefinitionService.AllowedTargetEntities with the exact canonical projection-target predicate created by T-253. Starting T-256 without that contract would either duplicate classification or broaden eligibility incorrectly. Phase IDs are product/outcome groupings, not chronological barriers; the dependency graph governs execution.</x:v>
      </x:c>
      <x:c r="I25" s="101" t="str">
        <x:v>Runtime-project scan reports zero unapproved `public.` product reference; every permitted public object exists in the T-251 platform/compatibility catalogue with owner and retirement state. Genericity gate explicitly covers material endpoint/service and generic API composition paths and has unknown=0. A foreign customer-shaped backend/API/query journey runs on the same binary with no material/heat/coil backend product dependency. If a presentation-only compatibility route remains, it is disabled outside the explicit presentation profile and is not required by canonical product paths.
Backend/API acceptance is green without editing Worker-2 frontend files. Enumerate every remaining frontend material-specific consumer discovered by the backend convergence and hand it to T-258 as machine-readable evidence. The current generic frontend build remains green through the compatibility handoff.
Static/runtime proof shows MappingDefinitionService no longer owns an independent hardcoded AllowedTargetEntities plant vocabulary; valid target eligibility resolves from canonical catalog/registry authority and foreign-shaped targets require no source-code list edit.
MappingDefinitionService target validation consumes the same T-253 projection-target predicate used by the authoring picker. Positive/negative eligibility decisions are identical across Canvas authoring and MappingDefinitionService; no second list or schema-only rule survives.</x:v>
      </x:c>
      <x:c r="J25" s="107" t="n">
        <x:v>12</x:v>
      </x:c>
      <x:c r="K25" s="101" t="str">
        <x:v>Done</x:v>
      </x:c>
      <x:c r="L25" s="101" t="str">
        <x:v>Worker 1</x:v>
      </x:c>
      <x:c r="M25" s="101" t="str">
        <x:v>T-088; T-094; T-251; T-252; T-253</x:v>
      </x:c>
      <x:c r="N25" s="101" t="str">
        <x:v>T-116; T-150; T-247; T-258</x:v>
      </x:c>
      <x:c r="O25" s="101" t="str">
        <x:v>M2: ~1 month from owner planning checkpoint; exact date not committed</x:v>
      </x:c>
      <x:c r="P25" s="101" t="str">
        <x:v>Release 1 MUST</x:v>
      </x:c>
      <x:c r="Q25" s="101" t="str">
        <x:v>Backend/domain contract</x:v>
      </x:c>
      <x:c r="R25" s="195" t="n">
        <x:v>3.2</x:v>
      </x:c>
      <x:c r="S25" s="101" t="str">
        <x:v>M2-P1</x:v>
      </x:c>
      <x:c r="T25" s="101" t="str">
        <x:v>Worker-1 local P1 sequence is T-251 → T-259 → T-252. T-256 starts only when BOTH T-252 and Worker-2 T-253 are CLOSED GREEN. If T-252 finishes first and T-253 is still open, STOP and return to CENTRAL for a disjoint Worker-1 lane; do not start T-256 partially and do not duplicate the projection-target predicate.</x:v>
      </x:c>
      <x:c r="U25" s="101" t="str">
        <x:v>Backend runtime consumers, API composition, DB-facing services and backend architecture/genericity guards only. NO Frontend/PlantProcess.Web mutation. T-258 exclusively owns frontend material/genericity convergence.</x:v>
      </x:c>
      <x:c r="V25" s="101" t="str">
        <x:v>Publish a bounded compatibility/consumer handoff manifest to T-258. Do not solve frontend Material pages/types/routes inside T-256; do not leave generic frontend red.</x:v>
      </x:c>
      <x:c r="W25" s="101" t="str">
        <x:v>Product Foundation &amp; Release Truth</x:v>
      </x:c>
      <x:c r="X25" s="101" t="str">
        <x:v>New P1 convergence task; closed T-093/T-094 stay closed and act as regression authorities.</x:v>
      </x:c>
      <x:c r="Y25" s="196"/>
      <x:c r="Z25" s="197"/>
      <x:c r="AA25" s="101" t="str">
        <x:v>L2.1</x:v>
      </x:c>
      <x:c r="AB25" s="101" t="str">
        <x:v>Three-schema platform and placement law</x:v>
      </x:c>
      <x:c r="AC25" s="101" t="str">
        <x:v>L5.1; L5.7</x:v>
      </x:c>
      <x:c r="AD25" s="101" t="str">
        <x:v>Converge</x:v>
      </x:c>
      <x:c r="AE25" s="101" t="str">
        <x:v>D1; D3; D4; D5</x:v>
      </x:c>
      <x:c r="AF25" s="101" t="str">
        <x:v>Core</x:v>
      </x:c>
      <x:c r="AG25" s="101" t="str">
        <x:v>R1</x:v>
      </x:c>
      <x:c r="AH25" s="101" t="str">
        <x:v>Advances</x:v>
      </x:c>
      <x:c r="AI25" s="101">
        <x:f t="shared" si="0"/>
      </x:c>
      <x:c r="AJ25" s="101" t="str">
        <x:v>Inherited baseline estimate</x:v>
      </x:c>
      <x:c r="AK25" s="101" t="str">
        <x:v>v4.10.3</x:v>
      </x:c>
      <x:c r="AL25" s="101" t="str">
        <x:v>Chapters 3/4 v4.10.3 — MD + illustrated Word; UI Coverage / UI Controls in this workbook</x:v>
      </x:c>
      <x:c r="AM25" t="n">
        <x:f>IF(ISNUMBER(J25),1,0)</x:f>
        <x:v>1</x:v>
      </x:c>
      <x:c r="AN25" s="101"/>
      <x:c r="AO25" s="194" t="str">
        <x:v>Recorded closed — inherited evidence</x:v>
      </x:c>
      <x:c r="AP25" s="194" t="str">
        <x:v>Inherited v2.22.0 intended record; no new runtime certification in this repair.</x:v>
      </x:c>
      <x:c r="AQ25" s="194"/>
      <x:c r="AR25" s="194" t="str">
        <x:v>INHERITED ESTIMATE</x:v>
      </x:c>
    </x:row>
    <x:row r="26" ht="76" customHeight="1">
      <x:c r="A26" s="104" t="str">
        <x:v>T-259</x:v>
      </x:c>
      <x:c r="B26" s="104" t="str">
        <x:v>M2</x:v>
      </x:c>
      <x:c r="C26" s="104" t="str">
        <x:v>P1</x:v>
      </x:c>
      <x:c r="D26" s="104" t="str">
        <x:v>Release evidence envelope v1 machine-readable contract</x:v>
      </x:c>
      <x:c r="E26" s="104" t="str">
        <x:v>Release / governance</x:v>
      </x:c>
      <x:c r="F26" s="104" t="str">
        <x:v>Evidence contract</x:v>
      </x:c>
      <x:c r="G26" s="104" t="str">
        <x:v>Critical</x:v>
      </x:c>
      <x:c r="H26" s="104" t="str">
        <x:v>Freeze the small representation-independent machine-readable Release Evidence Envelope contract before DB/frontend producers implement it. This task owns ONLY the shared schema/validator contract, not the T-227 production scorecard and not producer execution. Contract version `1.0` defines required common fields: contract_version, task_id, gate_id/suite_id, environment, profile, started_at, completed_at, total_count, executed_count, passed_count, failed_count, skipped_count, unapproved_skip_count, structured skip_reasons, commit_sha, artifact/evidence paths and final verdict. Optional producer extensions include database_fixture_mode/database_name and other namespaced evidence details. Count semantics are explicit: `total_count = executed_count + skipped_count`; `executed_count = passed_count + failed_count`; `0 &lt;= unapproved_skip_count &lt;= skipped_count`. A skipped case is discovered/total but NOT executed. GREEN is impossible when failed_count&gt;0 or unapproved_skip_count&gt;0. Producer-specific release policy may be stricter (for example T-252 Release-1 DB-fixture acceptance requires skipped_count=0). Use semantic repository filenames, never a task-number filename.</x:v>
      </x:c>
      <x:c r="I26" s="104" t="str">
        <x:v>Validate one DB-fixture example shaped for T-252 and one frontend/E2E example shaped for T-257 against the same contract. Required invariants: total_count=executed_count+skipped_count; executed_count=passed_count+failed_count; unapproved_skip_count&lt;=skipped_count. Negative controls reject: wrong contract version, inconsistent totals, a skipped case counted as executed, GREEN with failed_count&gt;0, GREEN with unapproved_skip_count&gt;0, unapproved_skip_count greater than skipped_count, and malformed skip-reason classification. Include an all-skipped fixture and prove executed_count=0 rather than total_count. The schema/validator is consumable from PowerShell/CI and application/test tooling without either producer redefining fields. No scorecard thresholds, DB lifecycle or frontend runner behavior is implemented here.</x:v>
      </x:c>
      <x:c r="J26" s="108" t="n">
        <x:v>2</x:v>
      </x:c>
      <x:c r="K26" s="104" t="str">
        <x:v>Done</x:v>
      </x:c>
      <x:c r="L26" s="104" t="str">
        <x:v>Worker 1</x:v>
      </x:c>
      <x:c r="M26" s="101" t="str">
        <x:v>T-251</x:v>
      </x:c>
      <x:c r="N26" s="101" t="str">
        <x:v>T-150; T-227; T-252; T-257</x:v>
      </x:c>
      <x:c r="O26" s="101" t="str">
        <x:v>M2: ~1 month from owner planning checkpoint; exact date not committed</x:v>
      </x:c>
      <x:c r="P26" s="101" t="str">
        <x:v>Release 1 MUST</x:v>
      </x:c>
      <x:c r="Q26" s="101" t="str">
        <x:v>Architecture/test</x:v>
      </x:c>
      <x:c r="R26" s="195" t="n">
        <x:v>0.3</x:v>
      </x:c>
      <x:c r="S26" s="101" t="str">
        <x:v>M2-P1</x:v>
      </x:c>
      <x:c r="T26" s="101" t="str">
        <x:v>Worker-1 P1 sequence is now T-251 → T-259 → T-252 → T-256. Start only after T-251 closes; contract-only bounded task.</x:v>
      </x:c>
      <x:c r="U26" s="101" t="str">
        <x:v>Shared release-evidence schema/validator + focused contract tests only. No DB fixture implementation, frontend test runner, scorecard, feature code or release aggregation.</x:v>
      </x:c>
      <x:c r="V26" s="101" t="str">
        <x:v>T-252/T-257 are producers. T-227 owns production acceptance scorecard/policy. T-150 aggregates. None may redefine the v1 envelope.</x:v>
      </x:c>
      <x:c r="W26" s="101" t="str">
        <x:v>Product Foundation &amp; Release Truth</x:v>
      </x:c>
      <x:c r="X26" s="101" t="str">
        <x:v>v2.20.2 Option-A ruling from Worker-1 consistency review: split schema contract ahead of producers rather than pulling full T-227 P5 scorecard into P1.</x:v>
      </x:c>
      <x:c r="Y26" s="196"/>
      <x:c r="Z26" s="197"/>
      <x:c r="AA26" s="101" t="str">
        <x:v>L8.8</x:v>
      </x:c>
      <x:c r="AB26" s="101" t="str">
        <x:v>C1–C4 performance certification and golden-journey release gate</x:v>
      </x:c>
      <x:c r="AC26" s="101"/>
      <x:c r="AD26" s="101" t="str">
        <x:v>Build</x:v>
      </x:c>
      <x:c r="AE26" s="101" t="str">
        <x:v>D3; D5</x:v>
      </x:c>
      <x:c r="AF26" s="101" t="str">
        <x:v>Core</x:v>
      </x:c>
      <x:c r="AG26" s="101" t="str">
        <x:v>R1</x:v>
      </x:c>
      <x:c r="AH26" s="101" t="str">
        <x:v>Advances</x:v>
      </x:c>
      <x:c r="AI26" s="101">
        <x:f t="shared" si="0"/>
      </x:c>
      <x:c r="AJ26" s="101" t="str">
        <x:v>Inherited baseline estimate</x:v>
      </x:c>
      <x:c r="AK26" s="101" t="str">
        <x:v>v4.10.3</x:v>
      </x:c>
      <x:c r="AL26" s="101" t="str">
        <x:v>Chapters 3/4 v4.10.3 — MD + illustrated Word; UI Coverage / UI Controls in this workbook</x:v>
      </x:c>
      <x:c r="AM26" t="n">
        <x:f>IF(ISNUMBER(J26),1,0)</x:f>
        <x:v>1</x:v>
      </x:c>
      <x:c r="AN26" s="101"/>
      <x:c r="AO26" s="194" t="str">
        <x:v>Recorded closed — inherited evidence</x:v>
      </x:c>
      <x:c r="AP26" s="194" t="str">
        <x:v>Inherited v2.22.0 intended record; no new runtime certification in this repair.</x:v>
      </x:c>
      <x:c r="AQ26" s="194"/>
      <x:c r="AR26" s="194" t="str">
        <x:v>INHERITED ESTIMATE</x:v>
      </x:c>
    </x:row>
    <x:row r="27" ht="76" customHeight="1">
      <x:c r="A27" s="101" t="str">
        <x:v>T-260</x:v>
      </x:c>
      <x:c r="B27" s="101" t="str">
        <x:v>M2</x:v>
      </x:c>
      <x:c r="C27" s="101" t="str">
        <x:v>P1</x:v>
      </x:c>
      <x:c r="D27" s="101" t="str">
        <x:v>Canonical acceptance database builder convergence</x:v>
      </x:c>
      <x:c r="E27" s="101" t="str">
        <x:v>Database / release infrastructure</x:v>
      </x:c>
      <x:c r="F27" s="101" t="str">
        <x:v>Fresh certification database build path</x:v>
      </x:c>
      <x:c r="G27" s="101" t="str">
        <x:v>Critical</x:v>
      </x:c>
      <x:c r="H27" s="101" t="str">
        <x:v>Correct the governed builder for `ppiq_acceptance_empty` so a fresh NO-SEED certification database is created by the complete canonical migration authority rather than a partial EF+scripts subset. The builder must consume `canonical-migration-order.json` (or the same single canonical ordering authority) and execute every required tier in declared order, including topology/storage convergence and declared views, while excluding demonstration/seed/test content. Trace the creator authority for `dump_store.src_caster_oracle_shape_cast_pieces`; if it enters through demo/seed/test content incorrectly present on the canonical fresh path, remove that path defect. If it is an explicitly required legacy compatibility migration, report it for T-256 rather than silently deleting product data. This task may rebuild the empty certification database as a governed certification operation; it must not mutate `ppiq_app` or `ppiq_presentation` and must not use them as fixtures.</x:v>
      </x:c>
      <x:c r="I27" s="101" t="str">
        <x:v>One semantic PowerShell runner performs non-writing preflight, backs up owned builder/order files, builds a uniquely named disposable candidate from the canonical order, proves required topology convergence + declared views are present and demo/seed/test content is absent, then replaces/recreates `ppiq_acceptance_empty` only after the candidate is GREEN and the previous certification DB can be restored on failure. Prove the canonical-order consumer executed all declared required entries exactly once in order, with zero undeclared execution. Prove `ppiq_app` and `ppiq_presentation` are untouched. After rebuild, rerun the T-251 catalogue and record before/after counts; do not classify the old 106/81 queue. The `dump_store.src_caster_oracle_shape_cast_pieces` creator is identified exactly and ruled as canonical compatibility or excluded demo/seed/test path. Negative control: omit one terminal canonical tier in a disposable candidate and the build-path gate must go RED.</x:v>
      </x:c>
      <x:c r="J27" s="107" t="n">
        <x:v>6</x:v>
      </x:c>
      <x:c r="K27" s="101" t="str">
        <x:v>Done</x:v>
      </x:c>
      <x:c r="L27" s="101" t="str">
        <x:v>Worker 1</x:v>
      </x:c>
      <x:c r="M27" s="101" t="str">
        <x:v>T-088</x:v>
      </x:c>
      <x:c r="N27" s="101" t="str">
        <x:v>T-251</x:v>
      </x:c>
      <x:c r="O27" s="101" t="str">
        <x:v>M2: ~1 month from owner planning checkpoint; exact date not committed</x:v>
      </x:c>
      <x:c r="P27" s="101" t="str">
        <x:v>Release 1 MUST</x:v>
      </x:c>
      <x:c r="Q27" s="101" t="str">
        <x:v>Database infrastructure corrective</x:v>
      </x:c>
      <x:c r="R27" s="195" t="n">
        <x:v>1.8</x:v>
      </x:c>
      <x:c r="S27" s="101" t="str">
        <x:v>M2-P1</x:v>
      </x:c>
      <x:c r="T27" s="101" t="str">
        <x:v>START NOW as the narrow blocker discovered by T-251. Pause catalogue adjudication; do not hand-classify the current 106/81 fresh-DB queue. Build/fix the canonical acceptance DB first, then resume T-251 on the corrected census.</x:v>
      </x:c>
      <x:c r="U27" s="101" t="str">
        <x:v>Fresh acceptance DB builder, canonical migration-order consumer/validation, focused builder tests and T-251 rerun orchestration only. No product runtime/API/frontend changes; no mutation of ppiq_app or ppiq_presentation; no broad migration rewrite.</x:v>
      </x:c>
      <x:c r="V27" s="101" t="str">
        <x:v>T-260 corrects how the fresh certification DB is constructed; T-251 remains the physical catalogue owner and resumes only on the corrected DB. T-256 later owns genuine runtime/schema compatibility residue that remains after a correct fresh build.</x:v>
      </x:c>
      <x:c r="W27" s="101" t="str">
        <x:v>Product Foundation &amp; Release Truth</x:v>
      </x:c>
      <x:c r="X27" s="101" t="str">
        <x:v>Created from T-251 runtime evidence on 09-Sep-2026. The catalogue machine is valid, but the designated fresh certification DB is built from an incomplete canonical path, so classifying its current queue would create false governance work. Narrow corrective task; closed T-088 is not reopened.</x:v>
      </x:c>
      <x:c r="Y27" s="196"/>
      <x:c r="Z27" s="197"/>
      <x:c r="AA27" s="101" t="str">
        <x:v>L8.1</x:v>
      </x:c>
      <x:c r="AB27" s="101" t="str">
        <x:v>Fresh install and upgrade authority</x:v>
      </x:c>
      <x:c r="AC27" s="101" t="str">
        <x:v>L5.7; L8.2</x:v>
      </x:c>
      <x:c r="AD27" s="101" t="str">
        <x:v>Converge</x:v>
      </x:c>
      <x:c r="AE27" s="101" t="str">
        <x:v>D3; D4; D5</x:v>
      </x:c>
      <x:c r="AF27" s="101" t="str">
        <x:v>Core</x:v>
      </x:c>
      <x:c r="AG27" s="101" t="str">
        <x:v>R1</x:v>
      </x:c>
      <x:c r="AH27" s="101" t="str">
        <x:v>Advances</x:v>
      </x:c>
      <x:c r="AI27" s="101">
        <x:f t="shared" si="0"/>
      </x:c>
      <x:c r="AJ27" s="101" t="str">
        <x:v>Inherited baseline estimate</x:v>
      </x:c>
      <x:c r="AK27" s="101" t="str">
        <x:v>v4.10.3</x:v>
      </x:c>
      <x:c r="AL27" s="101" t="str">
        <x:v>Chapters 3/4 v4.10.3 — MD + illustrated Word; UI Coverage / UI Controls in this workbook</x:v>
      </x:c>
      <x:c r="AM27" t="n">
        <x:f>IF(ISNUMBER(J27),1,0)</x:f>
        <x:v>1</x:v>
      </x:c>
      <x:c r="AN27" s="101"/>
      <x:c r="AO27" s="194" t="str">
        <x:v>Recorded closed — inherited evidence</x:v>
      </x:c>
      <x:c r="AP27" s="194" t="str">
        <x:v>Inherited v2.22.0 intended record; no new runtime certification in this repair.</x:v>
      </x:c>
      <x:c r="AQ27" s="194"/>
      <x:c r="AR27" s="194" t="str">
        <x:v>INHERITED ESTIMATE</x:v>
      </x:c>
    </x:row>
    <x:row r="28" ht="76" customHeight="1">
      <x:c r="A28" s="101" t="str">
        <x:v>T-095</x:v>
      </x:c>
      <x:c r="B28" s="101" t="str">
        <x:v>M2</x:v>
      </x:c>
      <x:c r="C28" s="101" t="str">
        <x:v>P2</x:v>
      </x:c>
      <x:c r="D28" s="101" t="str">
        <x:v>Relationship members, cardinality, grain conversion and preferred paths</x:v>
      </x:c>
      <x:c r="E28" s="101" t="str">
        <x:v>Backend</x:v>
      </x:c>
      <x:c r="F28" s="101" t="str">
        <x:v>Relationship model</x:v>
      </x:c>
      <x:c r="G28" s="101" t="str">
        <x:v>Critical</x:v>
      </x:c>
      <x:c r="H28" s="101" t="str">
        <x:v>Extend the M1 slice to the full model in Chapter 3 4.5.10: members, cardinality, grain conversion between related entities, preferred path selection when more than one path exists, and published versions.
v2.10.2 CONVERGENCE CORRECTION — T-095 does not merely 'extend' M1 physical tables. It converges the M1 relationship service/compatibility persistence onto the canonical Chapter 3 4.5.10 tables after definition_store exists, including source_definition_id/version, grain conversion, preferred paths, ambiguity/validation state and retirement semantics, while keeping the M1 external contract stable.</x:v>
      </x:c>
      <x:c r="I28" s="101" t="str">
        <x:v>Declare two paths between the same pair of entities, mark one preferred, and confirm the resolver chooses it. Change the preference and confirm the resolution changes with no other edit.</x:v>
      </x:c>
      <x:c r="J28" s="107" t="n">
        <x:v>12</x:v>
      </x:c>
      <x:c r="K28" s="101" t="str">
        <x:v>Done</x:v>
      </x:c>
      <x:c r="L28" s="101" t="str">
        <x:v>Worker 1</x:v>
      </x:c>
      <x:c r="M28" s="101" t="str">
        <x:v>T-057; T-089; T-090; T-094</x:v>
      </x:c>
      <x:c r="N28" s="101" t="str">
        <x:v>T-096; T-098; T-102; T-103; T-104; T-107; T-109; T-114; T-128; T-134; T-183; T-196; T-221</x:v>
      </x:c>
      <x:c r="O28" s="101" t="str">
        <x:v>M2: ~1 month from owner planning checkpoint; exact date not committed</x:v>
      </x:c>
      <x:c r="P28" s="101" t="str">
        <x:v>Release 1 MUST</x:v>
      </x:c>
      <x:c r="Q28" s="101" t="str">
        <x:v>Backend/domain contract</x:v>
      </x:c>
      <x:c r="R28" s="195" t="n">
        <x:v>1.7999999999999998</x:v>
      </x:c>
      <x:c r="S28" s="101" t="str">
        <x:v>M2-P2</x:v>
      </x:c>
      <x:c r="T28" s="101" t="str">
        <x:v>WAIT for Presentation RC freeze/tag + clean index/worktree. Then: T-057 M1 relationship contract + T-089 + T-090 + T-094.</x:v>
      </x:c>
      <x:c r="U28" s="101" t="str">
        <x:v>Own canonical DB/backend/security/API/infra. No W2-owned UI/admin task files and no W3 ML/Assistant runtime.</x:v>
      </x:c>
      <x:c r="V28" s="101" t="str">
        <x:v>Commit before downstream consumer starts; consumer must use the contract, not redesign producer-owned semantics.</x:v>
      </x:c>
      <x:c r="W28" s="101" t="str">
        <x:v>Day-1 Data Workbench — DB Link, Canvas, Jobs &amp; OPC</x:v>
      </x:c>
      <x:c r="X28" s="101" t="str">
        <x:v>M2 P2 — Day-1 Data Workbench — DB Link, Canvas, Jobs &amp; OPC. Release 1 is genuine early production / first-week customer work.</x:v>
      </x:c>
      <x:c r="Y28" s="196" t="str">
        <x:v>554d1ac02af122fdeb7ca54b1dd35bac0c76f23e — subject not recovered</x:v>
      </x:c>
      <x:c r="Z28" s="197" t="n">
        <x:v>46272</x:v>
      </x:c>
      <x:c r="AA28" s="101" t="str">
        <x:v>L5.2</x:v>
      </x:c>
      <x:c r="AB28" s="101" t="str">
        <x:v>Permanent relationship model</x:v>
      </x:c>
      <x:c r="AC28" s="101"/>
      <x:c r="AD28" s="101" t="str">
        <x:v>Build</x:v>
      </x:c>
      <x:c r="AE28" s="101" t="str">
        <x:v>D1; D3; D5</x:v>
      </x:c>
      <x:c r="AF28" s="101" t="str">
        <x:v>Core</x:v>
      </x:c>
      <x:c r="AG28" s="101" t="str">
        <x:v>R1</x:v>
      </x:c>
      <x:c r="AH28" s="101" t="str">
        <x:v>Advances</x:v>
      </x:c>
      <x:c r="AI28" s="101" t="str">
        <x:f t="shared" si="0"/>
        <x:v>554d1ac02af122fdeb7ca54b1dd35bac0c76f23e — subject not recovered</x:v>
      </x:c>
      <x:c r="AJ28" s="101" t="str">
        <x:v>Inherited baseline estimate</x:v>
      </x:c>
      <x:c r="AK28" s="101" t="str">
        <x:v>v4.10.3</x:v>
      </x:c>
      <x:c r="AL28" s="101" t="str">
        <x:v>Chapters 3/4 v4.10.3 — MD + illustrated Word; UI Coverage / UI Controls in this workbook</x:v>
      </x:c>
      <x:c r="AM28" t="n">
        <x:f>IF(ISNUMBER(J28),1,0)</x:f>
        <x:v>1</x:v>
      </x:c>
      <x:c r="AN28" s="101"/>
      <x:c r="AO28" s="194" t="str">
        <x:v>Recorded closed — inherited evidence</x:v>
      </x:c>
      <x:c r="AP28" s="194" t="str">
        <x:v>Inherited v2.22.0 intended record; no new runtime certification in this repair.</x:v>
      </x:c>
      <x:c r="AQ28" s="194"/>
      <x:c r="AR28" s="194" t="str">
        <x:v>INHERITED ESTIMATE</x:v>
      </x:c>
    </x:row>
    <x:row r="29" ht="76" customHeight="1">
      <x:c r="A29" s="101" t="str">
        <x:v>T-096</x:v>
      </x:c>
      <x:c r="B29" s="101" t="str">
        <x:v>M2</x:v>
      </x:c>
      <x:c r="C29" s="101" t="str">
        <x:v>P2</x:v>
      </x:c>
      <x:c r="D29" s="101" t="str">
        <x:v>Path resolver, part 1: resolver core and the first eight consumers</x:v>
      </x:c>
      <x:c r="E29" s="101" t="str">
        <x:v>Backend</x:v>
      </x:c>
      <x:c r="F29" s="101" t="str">
        <x:v>Relationship model</x:v>
      </x:c>
      <x:c r="G29" s="101" t="str">
        <x:v>Critical</x:v>
      </x:c>
      <x:c r="H29" s="101" t="str">
        <x:v>Chapter 2 3.15.4 names sixteen consumers of the relationship model. Build the resolver core, then route the first eight through it: canonical projection, page and widget queries, associative filtering, drill-down, drill-through, genealogy, statistics and correlation.</x:v>
      </x:c>
      <x:c r="I29" s="101" t="str">
        <x:v>A regression test per consumer asserting it resolves through the published model, and refuses with a named reason when the relationship is unpublished. Eight tests, no exceptions.</x:v>
      </x:c>
      <x:c r="J29" s="107" t="n">
        <x:v>8</x:v>
      </x:c>
      <x:c r="K29" s="101" t="str">
        <x:v>Done</x:v>
      </x:c>
      <x:c r="L29" s="101" t="str">
        <x:v>Worker 1</x:v>
      </x:c>
      <x:c r="M29" s="101" t="str">
        <x:v>T-095</x:v>
      </x:c>
      <x:c r="N29" s="101" t="str">
        <x:v>T-097; T-098; T-107; T-109; T-128; T-134; T-183; T-221</x:v>
      </x:c>
      <x:c r="O29" s="101" t="str">
        <x:v>M2: ~1 month from owner planning checkpoint; exact date not committed</x:v>
      </x:c>
      <x:c r="P29" s="101" t="str">
        <x:v>Release 1 MUST</x:v>
      </x:c>
      <x:c r="Q29" s="101" t="str">
        <x:v>Backend/domain contract</x:v>
      </x:c>
      <x:c r="R29" s="195" t="n">
        <x:v>1.2000000000000002</x:v>
      </x:c>
      <x:c r="S29" s="101" t="str">
        <x:v>M2-P2</x:v>
      </x:c>
      <x:c r="T29" s="101" t="str">
        <x:v>WAIT for Presentation RC freeze/tag + clean index/worktree. Then: T-095 canonical relationship publication/model complete.</x:v>
      </x:c>
      <x:c r="U29" s="101" t="str">
        <x:v>Own canonical DB/backend/security/API/infra. No W2-owned UI/admin task files and no W3 ML/Assistant runtime.</x:v>
      </x:c>
      <x:c r="V29" s="101" t="str">
        <x:v>Commit before downstream consumer starts; consumer must use the contract, not redesign producer-owned semantics.</x:v>
      </x:c>
      <x:c r="W29" s="101" t="str">
        <x:v>Day-1 Data Workbench — DB Link, Canvas, Jobs &amp; OPC</x:v>
      </x:c>
      <x:c r="X29" s="101" t="str">
        <x:v>M2 P2 — Day-1 Data Workbench — DB Link, Canvas, Jobs &amp; OPC. Release 1 is genuine early production / first-week customer work.</x:v>
      </x:c>
      <x:c r="Y29" s="196" t="str">
        <x:v>de243027073fc5e492d65e9f9845255342517510 — T-096 relationship resolver consumer convergence</x:v>
      </x:c>
      <x:c r="Z29" s="197" t="n">
        <x:v>46273</x:v>
      </x:c>
      <x:c r="AA29" s="101" t="str">
        <x:v>L5.2</x:v>
      </x:c>
      <x:c r="AB29" s="101" t="str">
        <x:v>Permanent relationship model</x:v>
      </x:c>
      <x:c r="AC29" s="101"/>
      <x:c r="AD29" s="101" t="str">
        <x:v>Build</x:v>
      </x:c>
      <x:c r="AE29" s="101" t="str">
        <x:v>D3; D5</x:v>
      </x:c>
      <x:c r="AF29" s="101" t="str">
        <x:v>Core</x:v>
      </x:c>
      <x:c r="AG29" s="101" t="str">
        <x:v>R1</x:v>
      </x:c>
      <x:c r="AH29" s="101" t="str">
        <x:v>Advances</x:v>
      </x:c>
      <x:c r="AI29" s="101" t="str">
        <x:f t="shared" si="0"/>
        <x:v>de243027073fc5e492d65e9f9845255342517510 — T-096 relationship resolver consumer convergence</x:v>
      </x:c>
      <x:c r="AJ29" s="101" t="str">
        <x:v>Inherited baseline estimate</x:v>
      </x:c>
      <x:c r="AK29" s="101" t="str">
        <x:v>v4.10.3</x:v>
      </x:c>
      <x:c r="AL29" s="101" t="str">
        <x:v>Chapters 3/4 v4.10.3 — MD + illustrated Word; UI Coverage / UI Controls in this workbook</x:v>
      </x:c>
      <x:c r="AM29" t="n">
        <x:f>IF(ISNUMBER(J29),1,0)</x:f>
        <x:v>1</x:v>
      </x:c>
      <x:c r="AN29" s="101"/>
      <x:c r="AO29" s="194" t="str">
        <x:v>Recorded closed — inherited evidence</x:v>
      </x:c>
      <x:c r="AP29" s="194" t="str">
        <x:v>Inherited v2.22.0 intended record; no new runtime certification in this repair.</x:v>
      </x:c>
      <x:c r="AQ29" s="194"/>
      <x:c r="AR29" s="194" t="str">
        <x:v>INHERITED ESTIMATE</x:v>
      </x:c>
    </x:row>
    <x:row r="30" ht="76" customHeight="1">
      <x:c r="A30" s="101" t="str">
        <x:v>T-097</x:v>
      </x:c>
      <x:c r="B30" s="101" t="str">
        <x:v>M2</x:v>
      </x:c>
      <x:c r="C30" s="101" t="str">
        <x:v>P2</x:v>
      </x:c>
      <x:c r="D30" s="101" t="str">
        <x:v>Path resolver, part 2: the remaining eight consumers and the regression suite</x:v>
      </x:c>
      <x:c r="E30" s="101" t="str">
        <x:v>Backend</x:v>
      </x:c>
      <x:c r="F30" s="101" t="str">
        <x:v>Relationship model</x:v>
      </x:c>
      <x:c r="G30" s="101" t="str">
        <x:v>Critical</x:v>
      </x:c>
      <x:c r="H30" s="101" t="str">
        <x:v>Route the remaining eight through the resolver: feature engineering, model training, prediction, practice learning, remediation search, value calculation, assistant retrieval and evidence. Some of these are built in Release 2; add the resolver seam now so they cannot be written against an ad-hoc join later.</x:v>
      </x:c>
      <x:c r="I30" s="101" t="str">
        <x:v>Eight further regression tests. For consumers whose engine arrives in Release 2, the test asserts the seam exists and refuses when unpublished, which is what stops a later shortcut.</x:v>
      </x:c>
      <x:c r="J30" s="107" t="n">
        <x:v>6</x:v>
      </x:c>
      <x:c r="K30" s="101" t="str">
        <x:v>Done</x:v>
      </x:c>
      <x:c r="L30" s="101" t="str">
        <x:v>Worker 1</x:v>
      </x:c>
      <x:c r="M30" s="101" t="str">
        <x:v>T-096</x:v>
      </x:c>
      <x:c r="N30" s="101" t="str">
        <x:v>T-098; T-107; T-109; T-128; T-183</x:v>
      </x:c>
      <x:c r="O30" s="101" t="str">
        <x:v>M2: ~1 month from owner planning checkpoint; exact date not committed</x:v>
      </x:c>
      <x:c r="P30" s="101" t="str">
        <x:v>Release 1 MUST</x:v>
      </x:c>
      <x:c r="Q30" s="101" t="str">
        <x:v>Backend/domain contract</x:v>
      </x:c>
      <x:c r="R30" s="195" t="n">
        <x:v>0.8999999999999999</x:v>
      </x:c>
      <x:c r="S30" s="101" t="str">
        <x:v>M2-P2</x:v>
      </x:c>
      <x:c r="T30" s="101" t="str">
        <x:v>WAIT for Presentation RC freeze/tag + clean index/worktree. Then: T-096 first resolver consumers green.</x:v>
      </x:c>
      <x:c r="U30" s="101" t="str">
        <x:v>Own canonical DB/backend/security/API/infra. No W2-owned UI/admin task files and no W3 ML/Assistant runtime.</x:v>
      </x:c>
      <x:c r="V30" s="101" t="str">
        <x:v>Commit before downstream consumer starts; consumer must use the contract, not redesign producer-owned semantics.</x:v>
      </x:c>
      <x:c r="W30" s="101" t="str">
        <x:v>Day-1 Data Workbench — DB Link, Canvas, Jobs &amp; OPC</x:v>
      </x:c>
      <x:c r="X30" s="101" t="str">
        <x:v>M2 P2 — Day-1 Data Workbench — DB Link, Canvas, Jobs &amp; OPC. Release 1 is genuine early production / first-week customer work.</x:v>
      </x:c>
      <x:c r="Y30" s="196" t="str">
        <x:v>95220d1804493f8e7b80347fe3ed4de24741f9ec — T-097 relationship consumer barrier across all sixteen families</x:v>
      </x:c>
      <x:c r="Z30" s="197" t="n">
        <x:v>46273</x:v>
      </x:c>
      <x:c r="AA30" s="101" t="str">
        <x:v>L5.2</x:v>
      </x:c>
      <x:c r="AB30" s="101" t="str">
        <x:v>Permanent relationship model</x:v>
      </x:c>
      <x:c r="AC30" s="101"/>
      <x:c r="AD30" s="101" t="str">
        <x:v>Build</x:v>
      </x:c>
      <x:c r="AE30" s="101" t="str">
        <x:v>D3; D5</x:v>
      </x:c>
      <x:c r="AF30" s="101" t="str">
        <x:v>Core</x:v>
      </x:c>
      <x:c r="AG30" s="101" t="str">
        <x:v>R1</x:v>
      </x:c>
      <x:c r="AH30" s="101" t="str">
        <x:v>Advances</x:v>
      </x:c>
      <x:c r="AI30" s="101" t="str">
        <x:f t="shared" si="0"/>
        <x:v>95220d1804493f8e7b80347fe3ed4de24741f9ec — T-097 relationship consumer barrier across all sixteen families</x:v>
      </x:c>
      <x:c r="AJ30" s="101" t="str">
        <x:v>Inherited baseline estimate</x:v>
      </x:c>
      <x:c r="AK30" s="101" t="str">
        <x:v>v4.10.3</x:v>
      </x:c>
      <x:c r="AL30" s="101" t="str">
        <x:v>Chapters 3/4 v4.10.3 — MD + illustrated Word; UI Coverage / UI Controls in this workbook</x:v>
      </x:c>
      <x:c r="AM30" t="n">
        <x:f>IF(ISNUMBER(J30),1,0)</x:f>
        <x:v>1</x:v>
      </x:c>
      <x:c r="AN30" s="101"/>
      <x:c r="AO30" s="194" t="str">
        <x:v>Recorded closed — inherited evidence</x:v>
      </x:c>
      <x:c r="AP30" s="194" t="str">
        <x:v>Inherited v2.22.0 intended record; no new runtime certification in this repair.</x:v>
      </x:c>
      <x:c r="AQ30" s="194"/>
      <x:c r="AR30" s="194" t="str">
        <x:v>INHERITED ESTIMATE</x:v>
      </x:c>
    </x:row>
    <x:row r="31" ht="76" customHeight="1">
      <x:c r="A31" s="101" t="str">
        <x:v>T-098</x:v>
      </x:c>
      <x:c r="B31" s="101" t="str">
        <x:v>M2</x:v>
      </x:c>
      <x:c r="C31" s="101" t="str">
        <x:v>P2</x:v>
      </x:c>
      <x:c r="D31" s="101" t="str">
        <x:v>Relationship Browser page and path evidence</x:v>
      </x:c>
      <x:c r="E31" s="101" t="str">
        <x:v>Frontend</x:v>
      </x:c>
      <x:c r="F31" s="101" t="str">
        <x:v>Relationship model</x:v>
      </x:c>
      <x:c r="G31" s="101" t="str">
        <x:v>Very Important</x:v>
      </x:c>
      <x:c r="H31" s="101" t="str">
        <x:v>Build the C6 Relationship Browser from Chapter 3 4.4 with the ten-field page contract, showing declared relationships, their members, their paths and the evidence for each path.
v2.10.2 CONTINUITY CORRECTION — complete the existing T-060 /relationships page in place. Do not create a second C6 surface. Preserve the route, layout and M1 control contract while replacing/extending the hidden relationship authority and path evidence.</x:v>
      </x:c>
      <x:c r="I31" s="101" t="str">
        <x:v>Open a relationship and confirm its members, cardinality and path are shown with evidence. Confirm an unpublished relationship is visibly distinct from a published one.
Run the M1 C6 continuity snapshot before/after canonical cutover and prove no visible-contract regression.</x:v>
      </x:c>
      <x:c r="J31" s="107" t="n">
        <x:v>12</x:v>
      </x:c>
      <x:c r="K31" s="101" t="str">
        <x:v>Not Started</x:v>
      </x:c>
      <x:c r="L31" s="101" t="str">
        <x:v>Worker 2</x:v>
      </x:c>
      <x:c r="M31" s="101" t="str">
        <x:v>T-095; T-096; T-097</x:v>
      </x:c>
      <x:c r="N31" s="101" t="str">
        <x:v>T-107; T-109; T-128; T-183</x:v>
      </x:c>
      <x:c r="O31" s="101" t="str">
        <x:v>M2: ~1 month from owner planning checkpoint; exact date not committed</x:v>
      </x:c>
      <x:c r="P31" s="101" t="str">
        <x:v>Release 1 MUST</x:v>
      </x:c>
      <x:c r="Q31" s="101" t="str">
        <x:v>Frontend/UI feature</x:v>
      </x:c>
      <x:c r="R31" s="195" t="n">
        <x:v>2</x:v>
      </x:c>
      <x:c r="S31" s="101" t="str">
        <x:v>M2-P2</x:v>
      </x:c>
      <x:c r="T31" s="101" t="str">
        <x:v>WAIT for Presentation RC freeze/tag + clean index/worktree. Then: T-060 M1 C6 surface + T-095 + T-096 + T-097.</x:v>
      </x:c>
      <x:c r="U31" s="101" t="str">
        <x:v>Own named UI/admin task end-to-end only after producer APIs/security are committed.</x:v>
      </x:c>
      <x:c r="V31" s="101" t="str">
        <x:v>Commit before downstream consumer starts; consumer must use the contract, not redesign producer-owned semantics.</x:v>
      </x:c>
      <x:c r="W31" s="101" t="str">
        <x:v>Day-1 Data Workbench — DB Link, Canvas, Jobs &amp; OPC</x:v>
      </x:c>
      <x:c r="X31" s="101" t="str">
        <x:v>M2 P2 — Day-1 Data Workbench — DB Link, Canvas, Jobs &amp; OPC. Release 1 is genuine early production / first-week customer work.</x:v>
      </x:c>
      <x:c r="Y31" s="196"/>
      <x:c r="Z31" s="197"/>
      <x:c r="AA31" s="101" t="str">
        <x:v>L5.2</x:v>
      </x:c>
      <x:c r="AB31" s="101" t="str">
        <x:v>Permanent relationship model</x:v>
      </x:c>
      <x:c r="AC31" s="101"/>
      <x:c r="AD31" s="101" t="str">
        <x:v>Build</x:v>
      </x:c>
      <x:c r="AE31" s="101" t="str">
        <x:v>D1; D2; D5</x:v>
      </x:c>
      <x:c r="AF31" s="101" t="str">
        <x:v>Core</x:v>
      </x:c>
      <x:c r="AG31" s="101" t="str">
        <x:v>R1</x:v>
      </x:c>
      <x:c r="AH31" s="101" t="str">
        <x:v>Advances</x:v>
      </x:c>
      <x:c r="AI31" s="101">
        <x:f t="shared" si="0"/>
      </x:c>
      <x:c r="AJ31" s="101" t="str">
        <x:v>Inherited baseline estimate</x:v>
      </x:c>
      <x:c r="AK31" s="101" t="str">
        <x:v>v4.10.3</x:v>
      </x:c>
      <x:c r="AL31" s="101" t="str">
        <x:v>Chapters 3/4 v4.10.3 — MD + illustrated Word; UI Coverage / UI Controls in this workbook
v2.23.0 — Use T-265 C6 relationship list/detail/member/cardinality/path-validation handoffs. Trace every applicable Chapter 3 control to a reachable UI variant and keep resolver behavior under its existing authority.</x:v>
      </x:c>
      <x:c r="AM31" t="n">
        <x:f>IF(ISNUMBER(J31),1,0)</x:f>
        <x:v>1</x:v>
      </x:c>
      <x:c r="AN31" s="101"/>
      <x:c r="AO31" s="194" t="str">
        <x:v>Not started — no completion claimed</x:v>
      </x:c>
      <x:c r="AP31" s="194" t="str">
        <x:v>Inherited v2.22.0 intended record; no new runtime certification in this repair.</x:v>
      </x:c>
      <x:c r="AQ31" s="194"/>
      <x:c r="AR31" s="194" t="str">
        <x:v>INHERITED ESTIMATE</x:v>
      </x:c>
    </x:row>
    <x:row r="32" ht="76" customHeight="1">
      <x:c r="A32" s="101" t="str">
        <x:v>T-099</x:v>
      </x:c>
      <x:c r="B32" s="101" t="str">
        <x:v>M2</x:v>
      </x:c>
      <x:c r="C32" s="101" t="str">
        <x:v>P2</x:v>
      </x:c>
      <x:c r="D32" s="101" t="str">
        <x:v>Quarantine, part 1: the table, the reprocess API and the first eight PV classes</x:v>
      </x:c>
      <x:c r="E32" s="101" t="str">
        <x:v>Backend</x:v>
      </x:c>
      <x:c r="F32" s="101" t="str">
        <x:v>Quarantine</x:v>
      </x:c>
      <x:c r="G32" s="101" t="str">
        <x:v>Critical</x:v>
      </x:c>
      <x:c r="H32" s="101" t="str">
        <x:v>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x:v>
      </x:c>
      <x:c r="I32" s="101" t="str">
        <x:v>Craft one malformed input per implemented class and assert each is quarantined under the correct code, while the good rows in the same batch still project.</x:v>
      </x:c>
      <x:c r="J32" s="107" t="n">
        <x:v>8</x:v>
      </x:c>
      <x:c r="K32" s="202" t="str">
        <x:v>Done</x:v>
      </x:c>
      <x:c r="L32" s="101" t="str">
        <x:v>Worker 1</x:v>
      </x:c>
      <x:c r="M32" s="101" t="str">
        <x:v>T-087; T-089; T-090</x:v>
      </x:c>
      <x:c r="N32" s="101" t="str">
        <x:v>T-100; T-101; T-104; T-107; T-108; T-109; T-114; T-128; T-183; T-261</x:v>
      </x:c>
      <x:c r="O32" s="101" t="str">
        <x:v>M2: ~1 month from owner planning checkpoint; exact date not committed</x:v>
      </x:c>
      <x:c r="P32" s="101" t="str">
        <x:v>Release 1 MUST</x:v>
      </x:c>
      <x:c r="Q32" s="101" t="str">
        <x:v>Backend/domain contract</x:v>
      </x:c>
      <x:c r="R32" s="195" t="n">
        <x:v>1.2000000000000002</x:v>
      </x:c>
      <x:c r="S32" s="101" t="str">
        <x:v>M2-P2</x:v>
      </x:c>
      <x:c r="T32" s="101" t="str">
        <x:v>WAIT for Presentation RC freeze/tag + clean index/worktree. Then: T-087 canonical staging schema + T-089/T-090 definition_versions authority.</x:v>
      </x:c>
      <x:c r="U32" s="101" t="str">
        <x:v>Own canonical DB/backend/security/API/infra. No W2-owned UI/admin task files and no W3 ML/Assistant runtime.</x:v>
      </x:c>
      <x:c r="V32" s="101" t="str">
        <x:v>Commit before downstream consumer starts; consumer must use the contract, not redesign producer-owned semantics.</x:v>
      </x:c>
      <x:c r="W32" s="101" t="str">
        <x:v>Day-1 Data Workbench — DB Link, Canvas, Jobs &amp; OPC</x:v>
      </x:c>
      <x:c r="X32" s="101" t="str">
        <x:v>M2 P2 — Day-1 Data Workbench — DB Link, Canvas, Jobs &amp; OPC. Release 1 is genuine early production / first-week customer work.
v2.22.1 — CLOSED GREEN / COMMITTED at ca02b40ea1b69050a45cb35a3e1d64f15b1f66af (parent 86e1b677212195f191697ecdca7e9441b3dbde33). Preserve this closure unless a concrete later regression is demonstrated. Gate O has one exact inherited DefinitionKind RED and canonical replay limitations remain; this is not Release-wide GREEN.</x:v>
      </x:c>
      <x:c r="Y32" s="196" t="str">
        <x:v>ca02b40ea1b69050a45cb35a3e1d64f15b1f66af</x:v>
      </x:c>
      <x:c r="Z32" s="197"/>
      <x:c r="AA32" s="101" t="str">
        <x:v>L2.3</x:v>
      </x:c>
      <x:c r="AB32" s="101" t="str">
        <x:v>Canonical projection with validation, quarantine and reprocessing</x:v>
      </x:c>
      <x:c r="AC32" s="101"/>
      <x:c r="AD32" s="101" t="str">
        <x:v>Build</x:v>
      </x:c>
      <x:c r="AE32" s="101" t="str">
        <x:v>D3; D4; D5</x:v>
      </x:c>
      <x:c r="AF32" s="101" t="str">
        <x:v>Core</x:v>
      </x:c>
      <x:c r="AG32" s="101" t="str">
        <x:v>R1</x:v>
      </x:c>
      <x:c r="AH32" s="101" t="str">
        <x:v>Advances</x:v>
      </x:c>
      <x:c r="AI32" s="101" t="str">
        <x:f t="shared" si="0"/>
        <x:v>Owner-provided final runner report in this conversation, received 14-Sep-2026; not independently rerun or verified against a live Git checkout here. Live acceptance 49/49; catalogue 5/5; owned contract 19/19; cleanup 6/6, survivors 0. Gate O: 900 = 899 passed + 1 exact inherited DefinitionKind RED; 900 unique testId and executionId. Exact staging/byte boundary passed; cleanup before one semantic commit. Task closure GREEN, not release-wide GREEN; canonical replay limitations remain separately tracked.</x:v>
      </x:c>
      <x:c r="AJ32" s="101" t="str">
        <x:v>Inherited baseline estimate</x:v>
      </x:c>
      <x:c r="AK32" s="101" t="str">
        <x:v>v4.10.3</x:v>
      </x:c>
      <x:c r="AL32" s="101" t="str">
        <x:v>Chapters 3/4 v4.10.3 — MD + illustrated Word; UI Coverage / UI Controls in this workbook</x:v>
      </x:c>
      <x:c r="AM32" t="n">
        <x:f>IF(ISNUMBER(J32),1,0)</x:f>
        <x:v>1</x:v>
      </x:c>
      <x:c r="AN32" s="101"/>
      <x:c r="AO32" s="194" t="str">
        <x:v>CLOSED GREEN / COMMITTED — owner-reported</x:v>
      </x:c>
      <x:c r="AP32" s="194" t="str">
        <x:v>Owner-provided final runner report in this conversation, received 14-Sep-2026; not independently rerun or verified against a live Git checkout here. Live acceptance 49/49; catalogue 5/5; owned contract 19/19; cleanup 6/6, survivors 0. Gate O: 900 = 899 passed + 1 exact inherited DefinitionKind RED; 900 unique testId and executionId. Exact staging/byte boundary passed; cleanup before one semantic commit. Task closure GREEN, not release-wide GREEN; canonical replay limitations remain separately tracked.</x:v>
      </x:c>
      <x:c r="AQ32" s="194" t="str">
        <x:v>86e1b677212195f191697ecdca7e9441b3dbde33</x:v>
      </x:c>
      <x:c r="AR32" s="194" t="str">
        <x:v>INHERITED ESTIMATE</x:v>
      </x:c>
    </x:row>
    <x:row r="33" ht="76" customHeight="1">
      <x:c r="A33" s="101" t="str">
        <x:v>T-100</x:v>
      </x:c>
      <x:c r="B33" s="101" t="str">
        <x:v>M2</x:v>
      </x:c>
      <x:c r="C33" s="101" t="str">
        <x:v>P2</x:v>
      </x:c>
      <x:c r="D33" s="101" t="str">
        <x:v>Quarantine, part 2: the remaining seven PV classes and per-class tests</x:v>
      </x:c>
      <x:c r="E33" s="101" t="str">
        <x:v>Backend</x:v>
      </x:c>
      <x:c r="F33" s="101" t="str">
        <x:v>Quarantine</x:v>
      </x:c>
      <x:c r="G33" s="101" t="str">
        <x:v>Critical</x:v>
      </x:c>
      <x:c r="H33" s="101" t="str">
        <x:v>Implement the remaining seven validation classes and give every class its own test fixture, so the class set is provably complete against Chapter 3 4.5.14 rather than approximately complete.</x:v>
      </x:c>
      <x:c r="I33" s="101" t="str">
        <x:v>Fifteen fixtures, fifteen codes, fifteen passing tests. A test that enumerates the PV enum and fails if any member has no fixture.</x:v>
      </x:c>
      <x:c r="J33" s="107" t="n">
        <x:v>6</x:v>
      </x:c>
      <x:c r="K33" s="101" t="str">
        <x:v>Not Started</x:v>
      </x:c>
      <x:c r="L33" s="101" t="str">
        <x:v>Worker 1</x:v>
      </x:c>
      <x:c r="M33" s="101" t="str">
        <x:v>T-099</x:v>
      </x:c>
      <x:c r="N33" s="101" t="str">
        <x:v>T-101; T-107; T-109; T-128; T-183</x:v>
      </x:c>
      <x:c r="O33" s="101" t="str">
        <x:v>M2: ~1 month from owner planning checkpoint; exact date not committed</x:v>
      </x:c>
      <x:c r="P33" s="101" t="str">
        <x:v>Release 1 MUST</x:v>
      </x:c>
      <x:c r="Q33" s="101" t="str">
        <x:v>Backend/domain contract</x:v>
      </x:c>
      <x:c r="R33" s="195" t="n">
        <x:v>0.8999999999999999</x:v>
      </x:c>
      <x:c r="S33" s="101" t="str">
        <x:v>M2-P2</x:v>
      </x:c>
      <x:c r="T33" s="101" t="str">
        <x:v>WAIT for Presentation RC freeze/tag + clean index/worktree. Then: T-099 canonical quarantine table/API and first eight PV classes.</x:v>
      </x:c>
      <x:c r="U33" s="101" t="str">
        <x:v>Own canonical DB/backend/security/API/infra. No W2-owned UI/admin task files and no W3 ML/Assistant runtime.</x:v>
      </x:c>
      <x:c r="V33" s="101" t="str">
        <x:v>Commit before downstream consumer starts; consumer must use the contract, not redesign producer-owned semantics.</x:v>
      </x:c>
      <x:c r="W33" s="101" t="str">
        <x:v>Day-1 Data Workbench — DB Link, Canvas, Jobs &amp; OPC</x:v>
      </x:c>
      <x:c r="X33" s="101" t="str">
        <x:v>M2 P2 — Day-1 Data Workbench — DB Link, Canvas, Jobs &amp; OPC. Release 1 is genuine early production / first-week customer work.</x:v>
      </x:c>
      <x:c r="Y33" s="196"/>
      <x:c r="Z33" s="197"/>
      <x:c r="AA33" s="101" t="str">
        <x:v>L2.3</x:v>
      </x:c>
      <x:c r="AB33" s="101" t="str">
        <x:v>Canonical projection with validation, quarantine and reprocessing</x:v>
      </x:c>
      <x:c r="AC33" s="101"/>
      <x:c r="AD33" s="101" t="str">
        <x:v>Build</x:v>
      </x:c>
      <x:c r="AE33" s="101" t="str">
        <x:v>D3; D5</x:v>
      </x:c>
      <x:c r="AF33" s="101" t="str">
        <x:v>Core</x:v>
      </x:c>
      <x:c r="AG33" s="101" t="str">
        <x:v>R1</x:v>
      </x:c>
      <x:c r="AH33" s="101" t="str">
        <x:v>Advances</x:v>
      </x:c>
      <x:c r="AI33" s="101">
        <x:f t="shared" si="0"/>
      </x:c>
      <x:c r="AJ33" s="101" t="str">
        <x:v>Inherited baseline estimate</x:v>
      </x:c>
      <x:c r="AK33" s="101" t="str">
        <x:v>v4.10.3</x:v>
      </x:c>
      <x:c r="AL33" s="101" t="str">
        <x:v>Chapters 3/4 v4.10.3 — MD + illustrated Word; UI Coverage / UI Controls in this workbook</x:v>
      </x:c>
      <x:c r="AM33" t="n">
        <x:f>IF(ISNUMBER(J33),1,0)</x:f>
        <x:v>1</x:v>
      </x:c>
      <x:c r="AN33" s="101"/>
      <x:c r="AO33" s="194" t="str">
        <x:v>Not started — no completion claimed</x:v>
      </x:c>
      <x:c r="AP33" s="194" t="str">
        <x:v>Inherited v2.22.0 intended record; no new runtime certification in this repair.</x:v>
      </x:c>
      <x:c r="AQ33" s="194"/>
      <x:c r="AR33" s="194" t="str">
        <x:v>INHERITED ESTIMATE</x:v>
      </x:c>
    </x:row>
    <x:row r="34" ht="76" customHeight="1">
      <x:c r="A34" s="101" t="str">
        <x:v>T-101</x:v>
      </x:c>
      <x:c r="B34" s="101" t="str">
        <x:v>M2</x:v>
      </x:c>
      <x:c r="C34" s="101" t="str">
        <x:v>P2</x:v>
      </x:c>
      <x:c r="D34" s="101" t="str">
        <x:v>Quarantine retry, reprocess and Mapping Health completion</x:v>
      </x:c>
      <x:c r="E34" s="101" t="str">
        <x:v>Frontend</x:v>
      </x:c>
      <x:c r="F34" s="101" t="str">
        <x:v>Quarantine</x:v>
      </x:c>
      <x:c r="G34" s="101" t="str">
        <x:v>Very Important</x:v>
      </x:c>
      <x:c r="H34" s="101" t="str">
        <x:v>Complete the C2 Mapping Health page against Chapter 3 4.4 C2: issues grouped by code, example rows, and Reprocess after the mapping is corrected. The M1 version delivered the shape; this delivers the full class set and the retry semantics.
v2.22.0 — Quarantine inspection API/UI and schema-drift enforcement. Keep one drift event authority and reuse current schemas/compatibility safely.
v2.22.1 — Own the M2 B4 Importing monitoring surface as well as C2 quarantine/Mapping Health: show each real batch status, failure code/reason, progress/counts, last committed cursor and its watermark range; drill into durable batch/run evidence. Use the existing canonical import/job contracts. T-106 owns terminal-status truth; T-108 owns durable cursor/replay; T-125 owns operational metrics/API observability. No second status or cursor authority and no advanced M3 recovery UI is introduced.</x:v>
      </x:c>
      <x:c r="I34" s="101" t="str">
        <x:v>Quarantine rows under three different codes, correct one mapping, reprocess, and confirm only the affected rows clear. The M1 continuity snapshot of this page must still match.
v2.22.0 — GET quarantine list/detail filtered by code, dataset and batch with staging lineage/correction hint; tenant denial; remove mapped source object/field -&gt; typed execution refusal and persisted C2 event; corrected reprocess uses declared version and records outcome.
v2.22.1 — Drive B4 against a successful batch, a failed batch and a capped/partial batch; displayed outcome, counts, error and last committed cursor equal the canonical response after reload. A failed batch is never green; a retry/correction links to the same durable evidence. Tenant denial and empty/loading/failure states are asserted. Consume frozen T-106/T-108/T-125 response contracts for parallel UI work; final live integration is certified by T-247/T-150, not by a mock-only result.</x:v>
      </x:c>
      <x:c r="J34" s="107" t="n">
        <x:v>12</x:v>
      </x:c>
      <x:c r="K34" s="101" t="str">
        <x:v>Not Started</x:v>
      </x:c>
      <x:c r="L34" s="101" t="str">
        <x:v>Worker 2</x:v>
      </x:c>
      <x:c r="M34" s="101" t="str">
        <x:v>T-099; T-100</x:v>
      </x:c>
      <x:c r="N34" s="101" t="str">
        <x:v>T-107; T-109; T-128; T-183</x:v>
      </x:c>
      <x:c r="O34" s="101" t="str">
        <x:v>M2: ~1 month from owner planning checkpoint; exact date not committed</x:v>
      </x:c>
      <x:c r="P34" s="101" t="str">
        <x:v>Release 1 MUST</x:v>
      </x:c>
      <x:c r="Q34" s="101" t="str">
        <x:v>Frontend/UI feature</x:v>
      </x:c>
      <x:c r="R34" s="195" t="n">
        <x:v>2</x:v>
      </x:c>
      <x:c r="S34" s="101" t="str">
        <x:v>M2-P2</x:v>
      </x:c>
      <x:c r="T34" s="101" t="str">
        <x:v>WAIT for Presentation RC freeze/tag + clean index/worktree. Then: T-061 final M1 API/page contract + T-099 + T-100 canonical quarantine impleme...</x:v>
      </x:c>
      <x:c r="U34" s="101" t="str">
        <x:v>Own named UI/admin task end-to-end only after producer APIs/security are committed.</x:v>
      </x:c>
      <x:c r="V34" s="101" t="str">
        <x:v>Commit before downstream consumer starts; consumer must use the contract, not redesign producer-owned semantics.</x:v>
      </x:c>
      <x:c r="W34" s="101" t="str">
        <x:v>Day-1 Data Workbench — DB Link, Canvas, Jobs &amp; OPC</x:v>
      </x:c>
      <x:c r="X34" s="101" t="str">
        <x:v>M2 P2 — Day-1 Data Workbench — DB Link, Canvas, Jobs &amp; OPC. Release 1 is genuine early production / first-week customer work.</x:v>
      </x:c>
      <x:c r="Y34" s="196"/>
      <x:c r="Z34" s="197"/>
      <x:c r="AA34" s="101" t="str">
        <x:v>L2.3</x:v>
      </x:c>
      <x:c r="AB34" s="101" t="str">
        <x:v>Canonical projection with validation, quarantine and reprocessing</x:v>
      </x:c>
      <x:c r="AC34" s="101" t="str">
        <x:v>L1.6; L1.2; L1.7</x:v>
      </x:c>
      <x:c r="AD34" s="101" t="str">
        <x:v>Build</x:v>
      </x:c>
      <x:c r="AE34" s="101" t="str">
        <x:v>D2; D5</x:v>
      </x:c>
      <x:c r="AF34" s="101" t="str">
        <x:v>Core</x:v>
      </x:c>
      <x:c r="AG34" s="101" t="str">
        <x:v>R1</x:v>
      </x:c>
      <x:c r="AH34" s="101" t="str">
        <x:v>Advances</x:v>
      </x:c>
      <x:c r="AI34" s="101" t="str">
        <x:f t="shared" ref="AI34:AI65" si="1">IF(Y34="","",Y34)</x:f>
      </x:c>
      <x:c r="AJ34" s="101" t="str">
        <x:v>Inherited estimate; scope changed — re-estimation required v2.22.1 acceptance/ownership clarification; owner to review planning impact.</x:v>
      </x:c>
      <x:c r="AK34" s="101" t="str">
        <x:v>v4.10.3</x:v>
      </x:c>
      <x:c r="AL34" s="101" t="str">
        <x:v>Chapters 3/4 v4.10.3 — MD + illustrated Word; UI Coverage / UI Controls in this workbook
v2.23.0 — T-265 owns B4/C2/C3 visual depth. Implement its applicable batch outcome/error/committed cursor and catalogue-driven quarantine list/detail/refusal/reprocess states under the existing T-101 scope; all row actions and counts use canonical tenant-scoped payloads. Do not limit the renderer to eight PV codes.</x:v>
      </x:c>
      <x:c r="AM34" t="n">
        <x:f>IF(ISNUMBER(J34),1,0)</x:f>
        <x:v>1</x:v>
      </x:c>
      <x:c r="AN34" s="101"/>
      <x:c r="AO34" s="194" t="str">
        <x:v>Not started — no completion claimed</x:v>
      </x:c>
      <x:c r="AP34" s="194" t="str">
        <x:v>Inherited v2.22.0 intended record; no new runtime certification in this repair.</x:v>
      </x:c>
      <x:c r="AQ34" s="194"/>
      <x:c r="AR34" s="194" t="str">
        <x:v>INHERITED ESTIMATE</x:v>
      </x:c>
    </x:row>
    <x:row r="35" ht="76" customHeight="1">
      <x:c r="A35" s="101" t="str">
        <x:v>T-102</x:v>
      </x:c>
      <x:c r="B35" s="101" t="str">
        <x:v>M2</x:v>
      </x:c>
      <x:c r="C35" s="101" t="str">
        <x:v>P2</x:v>
      </x:c>
      <x:c r="D35" s="101" t="str">
        <x:v>Identity resolution across sources</x:v>
      </x:c>
      <x:c r="E35" s="101" t="str">
        <x:v>Backend</x:v>
      </x:c>
      <x:c r="F35" s="101" t="str">
        <x:v>Genealogy</x:v>
      </x:c>
      <x:c r="G35" s="101" t="str">
        <x:v>Very Important</x:v>
      </x:c>
      <x:c r="H35" s="101" t="str">
        <x:v>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x:v>
      </x:c>
      <x:c r="I35" s="101" t="str">
        <x:v>Import the same material under two different source identifiers and confirm one canonical unit results with both aliases recorded. Re-run the import and confirm no duplicate appears.</x:v>
      </x:c>
      <x:c r="J35" s="107" t="n">
        <x:v>8</x:v>
      </x:c>
      <x:c r="K35" s="101" t="str">
        <x:v>Not Started</x:v>
      </x:c>
      <x:c r="L35" s="101" t="str">
        <x:v>Worker 1</x:v>
      </x:c>
      <x:c r="M35" s="101" t="str">
        <x:v>T-087; T-095</x:v>
      </x:c>
      <x:c r="N35" s="101" t="str">
        <x:v>T-103; T-107; T-109; T-128; T-183</x:v>
      </x:c>
      <x:c r="O35" s="101" t="str">
        <x:v>M2: ~1 month from owner planning checkpoint; exact date not committed</x:v>
      </x:c>
      <x:c r="P35" s="101" t="str">
        <x:v>Release 1 MUST</x:v>
      </x:c>
      <x:c r="Q35" s="101" t="str">
        <x:v>Backend/domain contract</x:v>
      </x:c>
      <x:c r="R35" s="195" t="n">
        <x:v>1.2000000000000002</x:v>
      </x:c>
      <x:c r="S35" s="101" t="str">
        <x:v>M2-P2</x:v>
      </x:c>
      <x:c r="T35" s="101" t="str">
        <x:v>WAIT for Presentation RC freeze/tag + clean index/worktree. Then: T-087 canonical plant schema + T-095 relationship/material identity authority.</x:v>
      </x:c>
      <x:c r="U35" s="101" t="str">
        <x:v>Own canonical DB/backend/security/API/infra. No W2-owned UI/admin task files and no W3 ML/Assistant runtime.</x:v>
      </x:c>
      <x:c r="V35" s="101" t="str">
        <x:v>Commit before downstream consumer starts; consumer must use the contract, not redesign producer-owned semantics.</x:v>
      </x:c>
      <x:c r="W35" s="101" t="str">
        <x:v>Day-1 Data Workbench — DB Link, Canvas, Jobs &amp; OPC</x:v>
      </x:c>
      <x:c r="X35" s="101" t="str">
        <x:v>M2 P2 — Day-1 Data Workbench — DB Link, Canvas, Jobs &amp; OPC. Release 1 is genuine early production / first-week customer work.</x:v>
      </x:c>
      <x:c r="Y35" s="196"/>
      <x:c r="Z35" s="197"/>
      <x:c r="AA35" s="101" t="str">
        <x:v>L2.4</x:v>
      </x:c>
      <x:c r="AB35" s="101" t="str">
        <x:v>Genealogy resolution and attribution</x:v>
      </x:c>
      <x:c r="AC35" s="101"/>
      <x:c r="AD35" s="101" t="str">
        <x:v>Build</x:v>
      </x:c>
      <x:c r="AE35" s="101" t="str">
        <x:v>D3; D5</x:v>
      </x:c>
      <x:c r="AF35" s="101" t="str">
        <x:v>Core</x:v>
      </x:c>
      <x:c r="AG35" s="101" t="str">
        <x:v>R1</x:v>
      </x:c>
      <x:c r="AH35" s="101" t="str">
        <x:v>Advances</x:v>
      </x:c>
      <x:c r="AI35" s="101">
        <x:f t="shared" si="1"/>
      </x:c>
      <x:c r="AJ35" s="101" t="str">
        <x:v>Inherited baseline estimate</x:v>
      </x:c>
      <x:c r="AK35" s="101" t="str">
        <x:v>v4.10.3</x:v>
      </x:c>
      <x:c r="AL35" s="101" t="str">
        <x:v>Chapters 3/4 v4.10.3 — MD + illustrated Word; UI Coverage / UI Controls in this workbook</x:v>
      </x:c>
      <x:c r="AM35" t="n">
        <x:f>IF(ISNUMBER(J35),1,0)</x:f>
        <x:v>1</x:v>
      </x:c>
      <x:c r="AN35" s="101"/>
      <x:c r="AO35" s="194" t="str">
        <x:v>Not started — no completion claimed</x:v>
      </x:c>
      <x:c r="AP35" s="194" t="str">
        <x:v>Inherited v2.22.0 intended record; no new runtime certification in this repair.</x:v>
      </x:c>
      <x:c r="AQ35" s="194"/>
      <x:c r="AR35" s="194" t="str">
        <x:v>INHERITED ESTIMATE</x:v>
      </x:c>
    </x:row>
    <x:row r="36" ht="76" customHeight="1">
      <x:c r="A36" s="101" t="str">
        <x:v>T-103</x:v>
      </x:c>
      <x:c r="B36" s="101" t="str">
        <x:v>M2</x:v>
      </x:c>
      <x:c r="C36" s="101" t="str">
        <x:v>P2</x:v>
      </x:c>
      <x:c r="D36" s="101" t="str">
        <x:v>Genealogy bidirectional walk hardening and weight proof</x:v>
      </x:c>
      <x:c r="E36" s="101" t="str">
        <x:v>Backend</x:v>
      </x:c>
      <x:c r="F36" s="101" t="str">
        <x:v>Genealogy</x:v>
      </x:c>
      <x:c r="G36" s="101" t="str">
        <x:v>Very Important</x:v>
      </x:c>
      <x:c r="H36" s="101" t="str">
        <x:v>Confirm the genealogy layer walks both directions on the customer's own keys and that attribution weights are enforced to sum to exactly 1.0 per child by the database trigger on genealogy_edges.contribution_weight numeric(9,6).
v2.22.0 — Retain genealogy semantics and add explicit cyclic/self-edge protection at service and database boundaries.</x:v>
      </x:c>
      <x:c r="I36" s="101" t="str">
        <x:v>Walk a chain backward and forward and confirm the same edges are traversed. Attempt an insert whose weights sum to 0.99 inside a transaction and confirm the trigger rejects it, then roll back.
v2.22.0 — Negative controls: self-edge, two-node and longer cycles refused; ordered weighted genealogy valid paths remain accepted; no silent deletion of lineage.</x:v>
      </x:c>
      <x:c r="J36" s="107" t="n">
        <x:v>6</x:v>
      </x:c>
      <x:c r="K36" s="101" t="str">
        <x:v>Not Started</x:v>
      </x:c>
      <x:c r="L36" s="101" t="str">
        <x:v>Worker 1</x:v>
      </x:c>
      <x:c r="M36" s="101" t="str">
        <x:v>T-095; T-102</x:v>
      </x:c>
      <x:c r="N36" s="101" t="str">
        <x:v>T-107; T-109; T-128; T-183</x:v>
      </x:c>
      <x:c r="O36" s="101" t="str">
        <x:v>M2: ~1 month from owner planning checkpoint; exact date not committed</x:v>
      </x:c>
      <x:c r="P36" s="101" t="str">
        <x:v>Release 1 MUST</x:v>
      </x:c>
      <x:c r="Q36" s="101" t="str">
        <x:v>Backend/domain contract</x:v>
      </x:c>
      <x:c r="R36" s="195" t="n">
        <x:v>0.8999999999999999</x:v>
      </x:c>
      <x:c r="S36" s="101" t="str">
        <x:v>M2-P2</x:v>
      </x:c>
      <x:c r="T36" s="101" t="str">
        <x:v>WAIT for Presentation RC freeze/tag + clean index/worktree. Then: T-095 + T-102 canonical relationship/identity authority.</x:v>
      </x:c>
      <x:c r="U36" s="101" t="str">
        <x:v>Own canonical DB/backend/security/API/infra. No W2-owned UI/admin task files and no W3 ML/Assistant runtime.</x:v>
      </x:c>
      <x:c r="V36" s="101" t="str">
        <x:v>Commit before downstream consumer starts; consumer must use the contract, not redesign producer-owned semantics.</x:v>
      </x:c>
      <x:c r="W36" s="101" t="str">
        <x:v>Day-1 Data Workbench — DB Link, Canvas, Jobs &amp; OPC</x:v>
      </x:c>
      <x:c r="X36" s="101" t="str">
        <x:v>M2 P2 — Day-1 Data Workbench — DB Link, Canvas, Jobs &amp; OPC. Release 1 is genuine early production / first-week customer work.</x:v>
      </x:c>
      <x:c r="Y36" s="196"/>
      <x:c r="Z36" s="197"/>
      <x:c r="AA36" s="101" t="str">
        <x:v>L2.4</x:v>
      </x:c>
      <x:c r="AB36" s="101" t="str">
        <x:v>Genealogy resolution and attribution</x:v>
      </x:c>
      <x:c r="AC36" s="101"/>
      <x:c r="AD36" s="101" t="str">
        <x:v>Harden</x:v>
      </x:c>
      <x:c r="AE36" s="101" t="str">
        <x:v>D3; D5</x:v>
      </x:c>
      <x:c r="AF36" s="101" t="str">
        <x:v>Core</x:v>
      </x:c>
      <x:c r="AG36" s="101" t="str">
        <x:v>R1</x:v>
      </x:c>
      <x:c r="AH36" s="101" t="str">
        <x:v>Advances</x:v>
      </x:c>
      <x:c r="AI36" s="101">
        <x:f t="shared" si="1"/>
      </x:c>
      <x:c r="AJ36" s="101" t="str">
        <x:v>Inherited estimate; scope changed — re-estimation required</x:v>
      </x:c>
      <x:c r="AK36" s="101" t="str">
        <x:v>v4.10.3</x:v>
      </x:c>
      <x:c r="AL36" s="101" t="str">
        <x:v>Chapters 3/4 v4.10.3 — MD + illustrated Word; UI Coverage / UI Controls in this workbook</x:v>
      </x:c>
      <x:c r="AM36" t="n">
        <x:f>IF(ISNUMBER(J36),1,0)</x:f>
        <x:v>1</x:v>
      </x:c>
      <x:c r="AN36" s="101"/>
      <x:c r="AO36" s="194" t="str">
        <x:v>Not started — no completion claimed</x:v>
      </x:c>
      <x:c r="AP36" s="194" t="str">
        <x:v>Inherited v2.22.0 intended record; no new runtime certification in this repair.</x:v>
      </x:c>
      <x:c r="AQ36" s="194"/>
      <x:c r="AR36" s="194" t="str">
        <x:v>INHERITED ESTIMATE</x:v>
      </x:c>
    </x:row>
    <x:row r="37" ht="76" customHeight="1">
      <x:c r="A37" s="101" t="str">
        <x:v>T-104</x:v>
      </x:c>
      <x:c r="B37" s="101" t="str">
        <x:v>M2</x:v>
      </x:c>
      <x:c r="C37" s="101" t="str">
        <x:v>P2</x:v>
      </x:c>
      <x:c r="D37" s="101" t="str">
        <x:v>Projection provenance, exact-version stamping and idempotent reprojection</x:v>
      </x:c>
      <x:c r="E37" s="101" t="str">
        <x:v>Backend</x:v>
      </x:c>
      <x:c r="F37" s="101" t="str">
        <x:v>Projection</x:v>
      </x:c>
      <x:c r="G37" s="101" t="str">
        <x:v>Critical</x:v>
      </x:c>
      <x:c r="H37" s="101" t="str">
        <x:v>Complete the DF5 contract: source-shaped staging projects into the canonical plant model through the customer-authored versioned mapping, and every projected row records the mapping version that produced it.
v2.22.0 — Absorbs T-105: Make reprojection idempotent and add the regression suite: reprojecting the same batch must not duplicate rows, and rolling a mapping back to a previous version must produce the earlier result exactly. T-261 owns the executor. This task owns canonical row-level definition/version provenance and replay effects, using that executor; it does not implement a competing MappingDefinition runtime.</x:v>
      </x:c>
      <x:c r="I37" s="101" t="str">
        <x:v>Project a batch, change the mapping version, project again, and confirm each row records the version that produced it. No row may carry a null mapping version.
v2.22.0 — Reproject the same batch three times and confirm row counts are unchanged. Roll a mapping back and confirm the canonical output matches the earlier snapshot byte for byte. Assert exact resolved Transformation version/hash per run and row, tenant/dataset/batch source lineage, no duplicate accepted effect and byte-identical deterministic business output on rollback. Clock/run metadata is compared separately from business-result equivalence.</x:v>
      </x:c>
      <x:c r="J37" s="107" t="n">
        <x:v>14</x:v>
      </x:c>
      <x:c r="K37" s="101" t="str">
        <x:v>Not Started</x:v>
      </x:c>
      <x:c r="L37" s="101" t="str">
        <x:v>Worker 1</x:v>
      </x:c>
      <x:c r="M37" s="101" t="str">
        <x:v>T-090; T-095; T-099; T-261</x:v>
      </x:c>
      <x:c r="N37" s="101" t="str">
        <x:v>T-107; T-108; T-109; T-128; T-183; T-247</x:v>
      </x:c>
      <x:c r="O37" s="101" t="str">
        <x:v>M2: ~1 month from owner planning checkpoint; exact date not committed</x:v>
      </x:c>
      <x:c r="P37" s="101" t="str">
        <x:v>Release 1 MUST</x:v>
      </x:c>
      <x:c r="Q37" s="101" t="str">
        <x:v>Backend/domain contract</x:v>
      </x:c>
      <x:c r="R37" s="195" t="n">
        <x:v>1.2000000000000002</x:v>
      </x:c>
      <x:c r="S37" s="101" t="str">
        <x:v>M2-P2</x:v>
      </x:c>
      <x:c r="T37" s="101" t="str">
        <x:v>WAIT for Presentation RC freeze/tag + clean index/worktree. Then: T-090 canonical versioned mapping definitions + T-095 relationship authority ...</x:v>
      </x:c>
      <x:c r="U37" s="101" t="str">
        <x:v>Own canonical DB/backend/security/API/infra. No W2-owned UI/admin task files and no W3 ML/Assistant runtime.</x:v>
      </x:c>
      <x:c r="V37" s="101" t="str">
        <x:v>Commit before downstream consumer starts; consumer must use the contract, not redesign producer-owned semantics.</x:v>
      </x:c>
      <x:c r="W37" s="101" t="str">
        <x:v>Day-1 Data Workbench — DB Link, Canvas, Jobs &amp; OPC</x:v>
      </x:c>
      <x:c r="X37" s="101" t="str">
        <x:v>M2 P2 — Day-1 Data Workbench — DB Link, Canvas, Jobs &amp; OPC. Release 1 is genuine early production / first-week customer work.</x:v>
      </x:c>
      <x:c r="Y37" s="196"/>
      <x:c r="Z37" s="197"/>
      <x:c r="AA37" s="101" t="str">
        <x:v>L2.3</x:v>
      </x:c>
      <x:c r="AB37" s="101" t="str">
        <x:v>Canonical projection with validation, quarantine and reprocessing</x:v>
      </x:c>
      <x:c r="AC37" s="101" t="str">
        <x:v>L2.5</x:v>
      </x:c>
      <x:c r="AD37" s="101" t="str">
        <x:v>Build</x:v>
      </x:c>
      <x:c r="AE37" s="101" t="str">
        <x:v>D3; D5</x:v>
      </x:c>
      <x:c r="AF37" s="101" t="str">
        <x:v>Core</x:v>
      </x:c>
      <x:c r="AG37" s="101" t="str">
        <x:v>R1</x:v>
      </x:c>
      <x:c r="AH37" s="101" t="str">
        <x:v>Advances</x:v>
      </x:c>
      <x:c r="AI37" s="101">
        <x:f t="shared" si="1"/>
      </x:c>
      <x:c r="AJ37" s="101" t="str">
        <x:v>Inherited estimate; scope changed — re-estimation required</x:v>
      </x:c>
      <x:c r="AK37" s="101" t="str">
        <x:v>v4.10.3</x:v>
      </x:c>
      <x:c r="AL37" s="101" t="str">
        <x:v>Chapters 3/4 v4.10.3 — MD + illustrated Word; UI Coverage / UI Controls in this workbook</x:v>
      </x:c>
      <x:c r="AM37" t="n">
        <x:f>IF(ISNUMBER(J37),1,0)</x:f>
        <x:v>1</x:v>
      </x:c>
      <x:c r="AN37" s="101"/>
      <x:c r="AO37" s="194" t="str">
        <x:v>Not started — no completion claimed</x:v>
      </x:c>
      <x:c r="AP37" s="194" t="str">
        <x:v>Inherited v2.22.0 intended record; no new runtime certification in this repair.</x:v>
      </x:c>
      <x:c r="AQ37" s="194"/>
      <x:c r="AR37" s="194" t="str">
        <x:v>INHERITED ESTIMATE</x:v>
      </x:c>
    </x:row>
    <x:row r="38" ht="76" customHeight="1">
      <x:c r="A38" s="101" t="str">
        <x:v>T-106</x:v>
      </x:c>
      <x:c r="B38" s="101" t="str">
        <x:v>M2</x:v>
      </x:c>
      <x:c r="C38" s="101" t="str">
        <x:v>P2</x:v>
      </x:c>
      <x:c r="D38" s="101" t="str">
        <x:v>Canonical jobs: target/version, scheduling, dependencies, cancellation and outcome truth</x:v>
      </x:c>
      <x:c r="E38" s="101" t="str">
        <x:v>Backend</x:v>
      </x:c>
      <x:c r="F38" s="101" t="str">
        <x:v>Jobs</x:v>
      </x:c>
      <x:c r="G38" s="101" t="str">
        <x:v>Critical</x:v>
      </x:c>
      <x:c r="H38" s="101" t="str">
        <x:v>Build on the M1 target_definition_id work: add the full version policy (pinned or current published), the job dependency graph, and cycle validation.
v2.10.2 BOUNDARY CORRECTION — the pinned/current-published PUBLIC semantics are already frozen by T-064. This task performs canonical physical convergence: job_definitions FK -&gt; definition_store(id) ON DELETE RESTRICT, target-version policy CHECKs/target-surface trigger against the canonical store, target_parameters persistence, plus job_dependencies DAG/cycle validation. Do not redesign T-064's visible contract.
v2.20.0 EXECUTION-PLANE EXPANSION — replace the central job-type switch as the authority for manual execution. Each executable job family registers an executor capability through DI/registry metadata: supported/unsupported state, target definition kind, version policy, input contract and run capability. A new executor family must be addable without editing a central switch. Unsupported families refuse at definition/save or capability discovery with a typed reason rather than surviving until RunNow.
v2.20.0 LAYER-B PLACEMENT RULING — scheduling count, repetition, iteration windows and control flow belong to governed Job orchestration. Do not add new FOR/WHILE-style board execution semantics. Existing T-242 saved definitions remain readable through compatibility handling, but new orchestration authority is the Job plane.
v2.22.0 — Deliver one canonical Job authority for target/version/capability, schedule grammar and occurrence identity, due scheduling, dependency resolution, cooperative cancellation and terminal-status truth. Implement Design v4.10.3 Ch4 5.3.2a / 5.3.6. The scheduler produces due requests; existing admission admits them. T-107 owns bounded pools; T-261 owns the actual Transformation executor. Keep these as separately testable sub-deliverables inside T-106 rather than additional task IDs. An executor supplied by tests proves orchestration before T-261 is commissioned, so T-106 must not depend on T-261 or T-107 closure.</x:v>
      </x:c>
      <x:c r="I38" s="101" t="str">
        <x:v>Declare a three-job chain, run it, and confirm order. Introduce a cycle and confirm it is refused at save time with a named code. Enumerate every job family exposed by the product and prove each is either backed by a registered executor or explicitly unavailable by typed reason. Register a test executor through DI and prove it runs without editing the orchestrator switch. The current 'no manual executor'/'not implemented yet' runtime fall-through is no longer reachable for an advertised executable job.
Newly authored execution schedules express repetition/window/control-flow in the Job contract rather than creating a new Canvas FOR/WHILE node. A compatibility fixture for an existing T-242 loop definition remains readable and produces an explicit compatibility interpretation rather than data loss.
v2.22.0 — Prove canonical schedule parsing/normalisation and UI next-occurrence parity; UTC/timezone and DST gap/fold rules; one atomic admission per tenant/job/schedule-revision/occurrence under racing workers; restart/missed ticks; invalid or unsupported schedule typed refusal; paused state persists. Cancel API is tenant/role-scoped, idempotent, reaches executor and records exactly one final outcome. Cancellation request is not completion acknowledgement. Define all-success, mixed, all-failed, no-work, cancelled and interrupted outcomes; one failed import batch cannot be hidden in an Ok run in either manual or worker path. Current-cycle and earlier-success reuse follow explicit allow_stale_reuse and age ceiling, with timestamps, policy and watermark in job_run_dependencies. Trigger-fires, wrong-kind/surface and actual orchestration evidence use disposable DB fixtures. Keep existing historical closure evidence; certify newly widened obligations separately.</x:v>
      </x:c>
      <x:c r="J38" s="198"/>
      <x:c r="K38" s="101" t="str">
        <x:v>In Progress</x:v>
      </x:c>
      <x:c r="L38" s="101" t="str">
        <x:v>Worker 3</x:v>
      </x:c>
      <x:c r="M38" s="101" t="str">
        <x:v>T-064; T-089; T-090; T-252</x:v>
      </x:c>
      <x:c r="N38" s="101" t="str">
        <x:v>T-107; T-122; T-125; T-245; T-261; T-263</x:v>
      </x:c>
      <x:c r="O38" s="101" t="str">
        <x:v>M2: ~1 month from owner planning checkpoint; exact date not committed</x:v>
      </x:c>
      <x:c r="P38" s="101" t="str">
        <x:v>Release 1 MUST</x:v>
      </x:c>
      <x:c r="Q38" s="101" t="str">
        <x:v>Backend/domain contract</x:v>
      </x:c>
      <x:c r="R38" s="195"/>
      <x:c r="S38" s="101" t="str">
        <x:v>M2-P2</x:v>
      </x:c>
      <x:c r="T38" s="101" t="str">
        <x:v>Consume accepted producer contracts; remaining dependencies: T-064; T-089; T-090; T-252. No private scheduler/definition authority. Source-present is not closure proof.</x:v>
      </x:c>
      <x:c r="U38" s="101" t="str">
        <x:v>Own T-106/T-107/T-109 only after W1 producer contracts; no schema authority rewrites.</x:v>
      </x:c>
      <x:c r="V38" s="101" t="str">
        <x:v>Commit before downstream consumer starts; consumer must use the contract, not redesign producer-owned semantics.</x:v>
      </x:c>
      <x:c r="W38" s="101" t="str">
        <x:v>Day-1 Data Workbench — DB Link, Canvas, Jobs &amp; OPC</x:v>
      </x:c>
      <x:c r="X38" s="101" t="str">
        <x:v>v2.22.0 owner-approved scope and release disposition; original evidence remains in change log/archive.</x:v>
      </x:c>
      <x:c r="Y38" s="196"/>
      <x:c r="Z38" s="197"/>
      <x:c r="AA38" s="101" t="str">
        <x:v>L2.6</x:v>
      </x:c>
      <x:c r="AB38" s="101" t="str">
        <x:v>Job definition, scheduling, execution monitor and history</x:v>
      </x:c>
      <x:c r="AC38" s="101" t="str">
        <x:v>L2.5; L2.7; L1.7</x:v>
      </x:c>
      <x:c r="AD38" s="101" t="str">
        <x:v>Build</x:v>
      </x:c>
      <x:c r="AE38" s="101" t="str">
        <x:v>D3; D4; D5</x:v>
      </x:c>
      <x:c r="AF38" s="101" t="str">
        <x:v>Core</x:v>
      </x:c>
      <x:c r="AG38" s="101" t="str">
        <x:v>R1</x:v>
      </x:c>
      <x:c r="AH38" s="101" t="str">
        <x:v>Advances</x:v>
      </x:c>
      <x:c r="AI38" s="101">
        <x:f t="shared" si="1"/>
      </x:c>
      <x:c r="AJ38" s="199" t="str">
        <x:v>RE-ESTIMATE REQUIRED — prior Hours/P80 preserved in Estimate Review; not zero remaining effort.</x:v>
      </x:c>
      <x:c r="AK38" s="199" t="str">
        <x:v>v4.10.3</x:v>
      </x:c>
      <x:c r="AL38" s="199" t="str">
        <x:v>Chapters 3/4 v4.10.3 — MD + illustrated Word; UI Coverage / UI Controls in this workbook</x:v>
      </x:c>
      <x:c r="AM38" s="200" t="n">
        <x:f>IF(ISNUMBER(J38),1,0)</x:f>
        <x:v>0</x:v>
      </x:c>
      <x:c r="AN38" s="199"/>
      <x:c r="AO38" s="201" t="str">
        <x:v>In progress — closure not recorded</x:v>
      </x:c>
      <x:c r="AP38" s="201" t="str">
        <x:v>Inherited v2.22.0 intended record; no new runtime certification in this repair.</x:v>
      </x:c>
      <x:c r="AQ38" s="201"/>
      <x:c r="AR38" s="201" t="str">
        <x:v>RE-ESTIMATE REQUIRED</x:v>
      </x:c>
    </x:row>
    <x:row r="39" ht="76" hidden="1" customHeight="1">
      <x:c r="A39" s="98" t="str">
        <x:v>T-107</x:v>
      </x:c>
      <x:c r="B39" s="98" t="str">
        <x:v>M2</x:v>
      </x:c>
      <x:c r="C39" s="98" t="str">
        <x:v>P2</x:v>
      </x:c>
      <x:c r="D39" s="98" t="str">
        <x:v>Dual-predicate admission, bounded worker pools and the three ML execution lanes</x:v>
      </x:c>
      <x:c r="E39" s="98" t="str">
        <x:v>Backend</x:v>
      </x:c>
      <x:c r="F39" s="98" t="str">
        <x:v>Jobs</x:v>
      </x:c>
      <x:c r="G39" s="98" t="str">
        <x:v>Critical</x:v>
      </x:c>
      <x:c r="H39" s="98" t="str">
        <x:v>Replace the old single weighted-pool assumption with the frozen resource contract. Each lane has max_concurrency and resource_capacity; admission requires both running_count &lt; max_concurrency and sum(compute_weight)+candidate &lt;= resource_capacity. The logical ml class resolves to ml.training, ml.batch_scoring and ml.online_scoring. Online capacity is hard-reserved and unavailable to training or batch. Keep this platform-level scheduler generic; Worker 3 supplies the ML job classes and later integration tests, but this task must not wire any new AI runtime into the M1 presentation path.
v2.10.2 MEASUREMENT RULING — this task implements the configurable dual-predicate admission mechanism and three-lane isolation. Test values may prove satisfiability, but no max_concurrency/resource_capacity/reserved fraction is a production-selected value here. Site values remain benchmark outputs owned by T-155/T-159.
v2.20.0 BOUNDED-PARALLELISM EXPANSION — the same admission authority owns bounded parallel execution for eligible non-ML job families. The current serial import-loop behavior is replaced by queue/admission scheduling that respects both max_concurrency and resource_capacity. Do not implement unbounded Task.WhenAll/Parallel.ForEach. Per-family limits, cancellation, fair queueing and hard online reservation remain explicit.</x:v>
      </x:c>
      <x:c r="I39" s="98" t="str">
        <x:v>Prove a declared job can be admitted under a satisfiable configuration and a too-heavy job is refused by name. Saturate training and batch and prove an online-scoring job still admits inside its reservation. Prove batch never enters the online lane and the same compute_weight is never used as a concurrency count. Existing import/projection/analysis/report behaviour remains green.
The acceptance report labels resource values as TEST_CONFIGURATION unless they come from the named production/site benchmark manifest. No code default is presented as the final capacity decision. Run multiple slow import/analysis jobs and prove concurrency rises above one only up to the configured bound, then queues. Queueing must not increase memory without bound; cancellation frees capacity; a too-heavy job remains queued/refused by named policy. A negative-control implementation using unbounded fan-out must make the gate red.</x:v>
      </x:c>
      <x:c r="J39" s="106" t="n">
        <x:v>16</x:v>
      </x:c>
      <x:c r="K39" s="98" t="str">
        <x:v>Not Started</x:v>
      </x:c>
      <x:c r="L39" s="98" t="str">
        <x:v>Worker 3</x:v>
      </x:c>
      <x:c r="M39" s="101" t="str">
        <x:v>T-095; T-096; T-097; T-098; T-099; T-100; T-101; T-102; T-103; T-104; T-106</x:v>
      </x:c>
      <x:c r="N39" s="101" t="str">
        <x:v>T-122; T-125; T-141; T-187; T-192</x:v>
      </x:c>
      <x:c r="O39" s="101" t="str">
        <x:v>M2: ~1 month from owner planning checkpoint; exact date not committed</x:v>
      </x:c>
      <x:c r="P39" s="101" t="str">
        <x:v>Release 1 MUST</x:v>
      </x:c>
      <x:c r="Q39" s="101" t="str">
        <x:v>Backend/domain contract</x:v>
      </x:c>
      <x:c r="R39" s="195" t="n">
        <x:v>1.7999999999999998</x:v>
      </x:c>
      <x:c r="S39" s="101" t="str">
        <x:v>M2-P2</x:v>
      </x:c>
      <x:c r="T39" s="101" t="str">
        <x:v>WAIT for Presentation RC freeze/tag + clean index/worktree. Then: T-106 canonical job contract + T-095..T-105 canonical data/relationship path;...</x:v>
      </x:c>
      <x:c r="U39" s="101" t="str">
        <x:v>Own T-106/T-107/T-109 only after W1 producer contracts; no schema authority rewrites.</x:v>
      </x:c>
      <x:c r="V39" s="101" t="str">
        <x:v>Commit before downstream consumer starts; consumer must use the contract, not redesign producer-owned semantics.</x:v>
      </x:c>
      <x:c r="W39" s="101" t="str">
        <x:v>Day-1 Data Workbench — DB Link, Canvas, Jobs &amp; OPC</x:v>
      </x:c>
      <x:c r="X39" s="101" t="str">
        <x:v>M2 P2 — Day-1 Data Workbench — DB Link, Canvas, Jobs &amp; OPC. Release 1 is genuine early production / first-week customer work.</x:v>
      </x:c>
      <x:c r="Y39" s="196"/>
      <x:c r="Z39" s="197"/>
      <x:c r="AA39" s="101" t="str">
        <x:v>L8.4</x:v>
      </x:c>
      <x:c r="AB39" s="101" t="str">
        <x:v>Execution lanes, admission and resource isolation</x:v>
      </x:c>
      <x:c r="AC39" s="101" t="str">
        <x:v>L2.6</x:v>
      </x:c>
      <x:c r="AD39" s="101" t="str">
        <x:v>Build</x:v>
      </x:c>
      <x:c r="AE39" s="101" t="str">
        <x:v>D3; D5</x:v>
      </x:c>
      <x:c r="AF39" s="101" t="str">
        <x:v>Core</x:v>
      </x:c>
      <x:c r="AG39" s="101" t="str">
        <x:v>R1</x:v>
      </x:c>
      <x:c r="AH39" s="101" t="str">
        <x:v>Advances</x:v>
      </x:c>
      <x:c r="AI39" s="101">
        <x:f t="shared" si="1"/>
      </x:c>
      <x:c r="AJ39" s="101" t="str">
        <x:v>Inherited baseline estimate</x:v>
      </x:c>
      <x:c r="AK39" s="101" t="str">
        <x:v>v4.10.3</x:v>
      </x:c>
      <x:c r="AL39" s="101" t="str">
        <x:v>Chapters 3/4 v4.10.3 — MD + illustrated Word; UI Coverage / UI Controls in this workbook</x:v>
      </x:c>
      <x:c r="AM39" t="n">
        <x:f>IF(ISNUMBER(J39),1,0)</x:f>
        <x:v>1</x:v>
      </x:c>
      <x:c r="AN39" s="101"/>
      <x:c r="AO39" s="194" t="str">
        <x:v>Not started — no completion claimed</x:v>
      </x:c>
      <x:c r="AP39" s="194" t="str">
        <x:v>Inherited v2.22.0 intended record; no new runtime certification in this repair.</x:v>
      </x:c>
      <x:c r="AQ39" s="194"/>
      <x:c r="AR39" s="194" t="str">
        <x:v>INHERITED ESTIMATE</x:v>
      </x:c>
    </x:row>
    <x:row r="40" ht="76" customHeight="1">
      <x:c r="A40" s="101" t="str">
        <x:v>T-108</x:v>
      </x:c>
      <x:c r="B40" s="101" t="str">
        <x:v>M2</x:v>
      </x:c>
      <x:c r="C40" s="101" t="str">
        <x:v>P2</x:v>
      </x:c>
      <x:c r="D40" s="101" t="str">
        <x:v>End-to-end delta correctness: source cursor, load protection, replay and projection watermark</x:v>
      </x:c>
      <x:c r="E40" s="101" t="str">
        <x:v>Backend</x:v>
      </x:c>
      <x:c r="F40" s="101" t="str">
        <x:v>Delta propagation</x:v>
      </x:c>
      <x:c r="G40" s="101" t="str">
        <x:v>Critical</x:v>
      </x:c>
      <x:c r="H40" s="101" t="str">
        <x:v>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
v2.22.0 — Own acquisition-to-projection delta correctness: typed total-order cursor with source-stable tie-break for non-unique watermarks; one invariant provider-native ordering contract; durable cursor/staging/receipt atomicity; replay-safe accepted effects; per-dataset/profile budget resolution constrained by installation/source ceilings; apply pre-read budget/window/rate/concurrency/timeout checks on incremental as well as preview reads. Do not replace a stricter parent ceiling with a looser child override. Source native ordering and source-version identity govern legitimate updates. Retain existing stage-watermark and delta-projection duties; T-110 owns the advanced M3 parallel chunk engine.</x:v>
      </x:c>
      <x:c r="I40" s="101" t="str">
        <x:v>Change one source row and confirm projection processes a bounded delta rather than a full scan, evidenced by rows-scanned telemetry.
v2.22.0 — Use more equal-watermark records than three page limits, numeric/timestamp/composite cursors, declared key changes, source updates, no change, de-DE/en-US serialization, crash before and after commit and racing workers. Prove no missed rows/no duplicate accepted source revision, and checkpoint advanced only with durable effects. Over-budget incremental reads issue no source query. Replay of a partially failed import preserves legitimate later versions of the same business key. One changed source row produces bounded downstream work with recorded counts.</x:v>
      </x:c>
      <x:c r="J40" s="198"/>
      <x:c r="K40" s="101" t="str">
        <x:v>Not Started</x:v>
      </x:c>
      <x:c r="L40" s="101" t="str">
        <x:v>Worker 1</x:v>
      </x:c>
      <x:c r="M40" s="101" t="str">
        <x:v>T-099; T-104</x:v>
      </x:c>
      <x:c r="N40" s="101" t="str">
        <x:v>T-109; T-110; T-247</x:v>
      </x:c>
      <x:c r="O40" s="101" t="str">
        <x:v>M2: ~1 month from owner planning checkpoint; exact date not committed</x:v>
      </x:c>
      <x:c r="P40" s="101" t="str">
        <x:v>Release 1 MUST</x:v>
      </x:c>
      <x:c r="Q40" s="101" t="str">
        <x:v>Backend/domain contract</x:v>
      </x:c>
      <x:c r="R40" s="195"/>
      <x:c r="S40" s="101" t="str">
        <x:v>M2-P2</x:v>
      </x:c>
      <x:c r="T40" s="101" t="str">
        <x:v>Consume accepted producer contracts; remaining dependencies: T-099; T-104. No private scheduler/definition authority. Source-present is not closure proof.</x:v>
      </x:c>
      <x:c r="U40" s="101" t="str">
        <x:v>Own canonical DB/backend/security/API/infra. No W2-owned UI/admin task files and no W3 ML/Assistant runtime.</x:v>
      </x:c>
      <x:c r="V40" s="101" t="str">
        <x:v>Commit before downstream consumer starts; consumer must use the contract, not redesign producer-owned semantics.</x:v>
      </x:c>
      <x:c r="W40" s="101" t="str">
        <x:v>Day-1 Data Workbench — DB Link, Canvas, Jobs &amp; OPC</x:v>
      </x:c>
      <x:c r="X40" s="101" t="str">
        <x:v>v2.22.0 owner-approved scope and release disposition; original evidence remains in change log/archive.</x:v>
      </x:c>
      <x:c r="Y40" s="196"/>
      <x:c r="Z40" s="197"/>
      <x:c r="AA40" s="101" t="str">
        <x:v>L2.8</x:v>
      </x:c>
      <x:c r="AB40" s="101" t="str">
        <x:v>Delta propagation law</x:v>
      </x:c>
      <x:c r="AC40" s="101" t="str">
        <x:v>L1.3; L1.1; L1.7</x:v>
      </x:c>
      <x:c r="AD40" s="101" t="str">
        <x:v>Build</x:v>
      </x:c>
      <x:c r="AE40" s="101" t="str">
        <x:v>D3; D4; D5</x:v>
      </x:c>
      <x:c r="AF40" s="101" t="str">
        <x:v>Core</x:v>
      </x:c>
      <x:c r="AG40" s="101" t="str">
        <x:v>R1</x:v>
      </x:c>
      <x:c r="AH40" s="101" t="str">
        <x:v>Advances</x:v>
      </x:c>
      <x:c r="AI40" s="101">
        <x:f t="shared" si="1"/>
      </x:c>
      <x:c r="AJ40" s="199" t="str">
        <x:v>RE-ESTIMATE REQUIRED — prior Hours/P80 preserved in Estimate Review; not zero remaining effort.</x:v>
      </x:c>
      <x:c r="AK40" s="199" t="str">
        <x:v>v4.10.3</x:v>
      </x:c>
      <x:c r="AL40" s="199" t="str">
        <x:v>Chapters 3/4 v4.10.3 — MD + illustrated Word; UI Coverage / UI Controls in this workbook</x:v>
      </x:c>
      <x:c r="AM40" s="200" t="n">
        <x:f>IF(ISNUMBER(J40),1,0)</x:f>
        <x:v>0</x:v>
      </x:c>
      <x:c r="AN40" s="199"/>
      <x:c r="AO40" s="201" t="str">
        <x:v>Not started — no completion claimed</x:v>
      </x:c>
      <x:c r="AP40" s="201" t="str">
        <x:v>Inherited v2.22.0 intended record; no new runtime certification in this repair.</x:v>
      </x:c>
      <x:c r="AQ40" s="201"/>
      <x:c r="AR40" s="201" t="str">
        <x:v>RE-ESTIMATE REQUIRED</x:v>
      </x:c>
    </x:row>
    <x:row r="41" ht="76" hidden="1" customHeight="1">
      <x:c r="A41" s="98" t="str">
        <x:v>T-109</x:v>
      </x:c>
      <x:c r="B41" s="98" t="str">
        <x:v>M2</x:v>
      </x:c>
      <x:c r="C41" s="98" t="str">
        <x:v>P2</x:v>
      </x:c>
      <x:c r="D41" s="98" t="str">
        <x:v>Delta-scoped feature refresh and analysis, with telemetry and ML hand-off</x:v>
      </x:c>
      <x:c r="E41" s="98" t="str">
        <x:v>Backend</x:v>
      </x:c>
      <x:c r="F41" s="98" t="str">
        <x:v>Delta propagation</x:v>
      </x:c>
      <x:c r="G41" s="98" t="str">
        <x:v>Critical</x:v>
      </x:c>
      <x:c r="H41" s="98" t="str">
        <x:v>Extend the stage-watermark mechanism into the canonical feature refresh and analysis path. The task owns delta discovery, dirty-feature identification and telemetry only; training must never read feature_store directly. Expose a bounded changed-population contract that Worker 3's Snapshot Materialiser consumes later. Do not add temporary M1/presentation schema dependencies.</x:v>
      </x:c>
      <x:c r="I41" s="98" t="str">
        <x:v>Insert one bounded delta and prove only affected feature rows and analyses are recomputed. Record rows scanned, rows changed and Scan Amplification. Assert no training/encoding component is reachable from this task and the output contract contains no customer table name.</x:v>
      </x:c>
      <x:c r="J41" s="106" t="n">
        <x:v>6</x:v>
      </x:c>
      <x:c r="K41" s="98" t="str">
        <x:v>Not Started</x:v>
      </x:c>
      <x:c r="L41" s="98" t="str">
        <x:v>Worker 3</x:v>
      </x:c>
      <x:c r="M41" s="101" t="str">
        <x:v>T-095; T-096; T-097; T-098; T-099; T-100; T-101; T-102; T-103; T-104; T-108</x:v>
      </x:c>
      <x:c r="N41" s="101" t="str">
        <x:v>T-110; T-136; T-187</x:v>
      </x:c>
      <x:c r="O41" s="101" t="str">
        <x:v>M2: ~1 month from owner planning checkpoint; exact date not committed</x:v>
      </x:c>
      <x:c r="P41" s="101" t="str">
        <x:v>Release 1 MUST</x:v>
      </x:c>
      <x:c r="Q41" s="101" t="str">
        <x:v>Backend/domain contract</x:v>
      </x:c>
      <x:c r="R41" s="195" t="n">
        <x:v>0.8999999999999999</x:v>
      </x:c>
      <x:c r="S41" s="101" t="str">
        <x:v>M2-P2</x:v>
      </x:c>
      <x:c r="T41" s="101" t="str">
        <x:v>WAIT for Presentation RC freeze/tag + clean index/worktree. Then: T-095..T-105; T-108</x:v>
      </x:c>
      <x:c r="U41" s="101" t="str">
        <x:v>Own T-106/T-107/T-109 only after W1 producer contracts; no schema authority rewrites.</x:v>
      </x:c>
      <x:c r="V41" s="101" t="str">
        <x:v>Commit before downstream consumer starts; consumer must use the contract, not redesign producer-owned semantics.</x:v>
      </x:c>
      <x:c r="W41" s="101" t="str">
        <x:v>Day-1 Data Workbench — DB Link, Canvas, Jobs &amp; OPC</x:v>
      </x:c>
      <x:c r="X41" s="101" t="str">
        <x:v>M2 P2 — Day-1 Data Workbench — DB Link, Canvas, Jobs &amp; OPC. Release 1 is genuine early production / first-week customer work.</x:v>
      </x:c>
      <x:c r="Y41" s="196"/>
      <x:c r="Z41" s="197"/>
      <x:c r="AA41" s="101" t="str">
        <x:v>L2.8</x:v>
      </x:c>
      <x:c r="AB41" s="101" t="str">
        <x:v>Delta propagation law</x:v>
      </x:c>
      <x:c r="AC41" s="101" t="str">
        <x:v>L4.3</x:v>
      </x:c>
      <x:c r="AD41" s="101" t="str">
        <x:v>Build</x:v>
      </x:c>
      <x:c r="AE41" s="101" t="str">
        <x:v>D3; D5</x:v>
      </x:c>
      <x:c r="AF41" s="101" t="str">
        <x:v>Core</x:v>
      </x:c>
      <x:c r="AG41" s="101" t="str">
        <x:v>R1</x:v>
      </x:c>
      <x:c r="AH41" s="101" t="str">
        <x:v>Advances</x:v>
      </x:c>
      <x:c r="AI41" s="101">
        <x:f t="shared" si="1"/>
      </x:c>
      <x:c r="AJ41" s="101" t="str">
        <x:v>Inherited baseline estimate</x:v>
      </x:c>
      <x:c r="AK41" s="101" t="str">
        <x:v>v4.10.3</x:v>
      </x:c>
      <x:c r="AL41" s="101" t="str">
        <x:v>Chapters 3/4 v4.10.3 — MD + illustrated Word; UI Coverage / UI Controls in this workbook</x:v>
      </x:c>
      <x:c r="AM41" t="n">
        <x:f>IF(ISNUMBER(J41),1,0)</x:f>
        <x:v>1</x:v>
      </x:c>
      <x:c r="AN41" s="101"/>
      <x:c r="AO41" s="194" t="str">
        <x:v>Not started — no completion claimed</x:v>
      </x:c>
      <x:c r="AP41" s="194" t="str">
        <x:v>Inherited v2.22.0 intended record; no new runtime certification in this repair.</x:v>
      </x:c>
      <x:c r="AQ41" s="194"/>
      <x:c r="AR41" s="194" t="str">
        <x:v>INHERITED ESTIMATE</x:v>
      </x:c>
    </x:row>
    <x:row r="42" ht="76" customHeight="1">
      <x:c r="A42" s="101" t="str">
        <x:v>T-207</x:v>
      </x:c>
      <x:c r="B42" s="101" t="str">
        <x:v>M2</x:v>
      </x:c>
      <x:c r="C42" s="101" t="str">
        <x:v>P2</x:v>
      </x:c>
      <x:c r="D42" s="101" t="str">
        <x:v>Connector capability truth: stop advertising unimplemented browse/read/subscription</x:v>
      </x:c>
      <x:c r="E42" s="101" t="str">
        <x:v>Acquisition</x:v>
      </x:c>
      <x:c r="F42" s="101" t="str">
        <x:v>Connector truth</x:v>
      </x:c>
      <x:c r="G42" s="101" t="str">
        <x:v>Critical</x:v>
      </x:c>
      <x:c r="H42" s="101" t="str">
        <x:v>Make connector capability metadata executable truth. Current OPC/historian configuration validation or deterministic sample generation must not advertise live browse/bounded-read/subscription unless the connector build executes and tests that operation.</x:v>
      </x:c>
      <x:c r="I42" s="101" t="str">
        <x:v>Against the current implementation, unsupported browse/read/subscription report false/unavailable and attempts return typed OT01 rather than fabricated data. Add a contract test that makes any future advertised capability fail until an executable implementation passes.</x:v>
      </x:c>
      <x:c r="J42" s="107" t="n">
        <x:v>6</x:v>
      </x:c>
      <x:c r="K42" s="101" t="str">
        <x:v>Done</x:v>
      </x:c>
      <x:c r="L42" s="101" t="str">
        <x:v>Worker 1</x:v>
      </x:c>
      <x:c r="M42" s="101" t="str">
        <x:v>T-201</x:v>
      </x:c>
      <x:c r="N42" s="101" t="str">
        <x:v>T-150; T-224; T-247; T-254; T-266</x:v>
      </x:c>
      <x:c r="O42" s="101" t="str">
        <x:v>M2: ~1 month from owner planning checkpoint; exact date not committed</x:v>
      </x:c>
      <x:c r="P42" s="101" t="str">
        <x:v>Release 1 MUST</x:v>
      </x:c>
      <x:c r="Q42" s="101" t="str">
        <x:v>Backend contract</x:v>
      </x:c>
      <x:c r="R42" s="195" t="n">
        <x:v>2.25</x:v>
      </x:c>
      <x:c r="S42" s="101" t="str">
        <x:v>M2-P2</x:v>
      </x:c>
      <x:c r="T42" s="101" t="str">
        <x:v>T-201. Does not implement production OPC; truth-corrects the current connector contract only.</x:v>
      </x:c>
      <x:c r="U42" s="101" t="str">
        <x:v>Connector metadata/API contract and tests.</x:v>
      </x:c>
      <x:c r="V42" s="101" t="str">
        <x:v>T-224..T-226 later may flip capabilities to true only by passing this contract.</x:v>
      </x:c>
      <x:c r="W42" s="101" t="str">
        <x:v>Day-1 Data Workbench — DB Link, Canvas, Jobs &amp; OPC</x:v>
      </x:c>
      <x:c r="X42" s="101" t="str">
        <x:v>M2 P2 — Day-1 Data Workbench — DB Link, Canvas, Jobs &amp; OPC. Release 1 is genuine early production / first-week customer work.</x:v>
      </x:c>
      <x:c r="Y42" s="196" t="str">
        <x:v>Not recovered from reviewed sessions</x:v>
      </x:c>
      <x:c r="Z42" s="197"/>
      <x:c r="AA42" s="101" t="str">
        <x:v>L1.4</x:v>
      </x:c>
      <x:c r="AB42" s="101" t="str">
        <x:v>Connector capability truth</x:v>
      </x:c>
      <x:c r="AC42" s="101"/>
      <x:c r="AD42" s="101" t="str">
        <x:v>Build</x:v>
      </x:c>
      <x:c r="AE42" s="101" t="str">
        <x:v>D1; D3; D5</x:v>
      </x:c>
      <x:c r="AF42" s="101" t="str">
        <x:v>Core</x:v>
      </x:c>
      <x:c r="AG42" s="101" t="str">
        <x:v>R1</x:v>
      </x:c>
      <x:c r="AH42" s="101" t="str">
        <x:v>Advances</x:v>
      </x:c>
      <x:c r="AI42" s="101" t="str">
        <x:f t="shared" si="1"/>
        <x:v>Not recovered from reviewed sessions</x:v>
      </x:c>
      <x:c r="AJ42" s="101" t="str">
        <x:v>Inherited baseline estimate</x:v>
      </x:c>
      <x:c r="AK42" s="101" t="str">
        <x:v>v4.10.3</x:v>
      </x:c>
      <x:c r="AL42" s="101" t="str">
        <x:v>Chapters 3/4 v4.10.3 — MD + illustrated Word; UI Coverage / UI Controls in this workbook</x:v>
      </x:c>
      <x:c r="AM42" t="n">
        <x:f>IF(ISNUMBER(J42),1,0)</x:f>
        <x:v>1</x:v>
      </x:c>
      <x:c r="AN42" s="101"/>
      <x:c r="AO42" s="194" t="str">
        <x:v>Recorded closed — inherited evidence</x:v>
      </x:c>
      <x:c r="AP42" s="194" t="str">
        <x:v>Inherited v2.22.0 intended record; no new runtime certification in this repair.</x:v>
      </x:c>
      <x:c r="AQ42" s="194"/>
      <x:c r="AR42" s="194" t="str">
        <x:v>INHERITED ESTIMATE</x:v>
      </x:c>
    </x:row>
    <x:row r="43" ht="76" customHeight="1">
      <x:c r="A43" s="101" t="str">
        <x:v>T-212</x:v>
      </x:c>
      <x:c r="B43" s="101" t="str">
        <x:v>M2</x:v>
      </x:c>
      <x:c r="C43" s="101" t="str">
        <x:v>P2</x:v>
      </x:c>
      <x:c r="D43" s="101" t="str">
        <x:v>Integrate aggregation semantics into Layer-A widget/query execution</x:v>
      </x:c>
      <x:c r="E43" s="101" t="str">
        <x:v>Backend/Frontend</x:v>
      </x:c>
      <x:c r="F43" s="101" t="str">
        <x:v>Dashboard query semantics</x:v>
      </x:c>
      <x:c r="G43" s="101" t="str">
        <x:v>Critical</x:v>
      </x:c>
      <x:c r="H43" s="101" t="str">
        <x:v>Make dashboard/query aggregation resolve the canonical KPI/parameter semantics and certified kernel/database implementation. Remove raw-cap-before-aggregate and implicit average fallbacks in all customer-facing measures touched by this contract.</x:v>
      </x:c>
      <x:c r="I43" s="101" t="str">
        <x:v>Persisted-definition replay on discrete and continuous fixtures proves exact known answers; no raw row limit is applied before aggregate; AG01/AG02 render typed Blocked/Refused rather than API 500. Query plan performs bounded server-side aggregation.</x:v>
      </x:c>
      <x:c r="J43" s="107" t="n">
        <x:v>10</x:v>
      </x:c>
      <x:c r="K43" s="101" t="str">
        <x:v>Not Started</x:v>
      </x:c>
      <x:c r="L43" s="101" t="str">
        <x:v>Worker 2</x:v>
      </x:c>
      <x:c r="M43" s="101" t="str">
        <x:v>T-202; T-210; T-211; T-092; T-234; T-235; T-236</x:v>
      </x:c>
      <x:c r="N43" s="101" t="str">
        <x:v>T-150; T-247</x:v>
      </x:c>
      <x:c r="O43" s="101" t="str">
        <x:v>M2: ~1 month from owner planning checkpoint; exact date not committed</x:v>
      </x:c>
      <x:c r="P43" s="101" t="str">
        <x:v>Release 1 MUST</x:v>
      </x:c>
      <x:c r="Q43" s="101" t="str">
        <x:v>Cross-layer integration</x:v>
      </x:c>
      <x:c r="R43" s="195" t="n">
        <x:v>5.142857142857143</x:v>
      </x:c>
      <x:c r="S43" s="101" t="str">
        <x:v>M2-P2</x:v>
      </x:c>
      <x:c r="T43" s="101" t="str">
        <x:v>T-202 + T-210/T-211 + T-092 + committed T-234/T-235/T-236.</x:v>
      </x:c>
      <x:c r="U43" s="101" t="str">
        <x:v>Dashboard query service/executor + focused frontend state mapping.</x:v>
      </x:c>
      <x:c r="V43" s="101" t="str">
        <x:v>Consumes W1 semantics and W3 kernel; no independent aggregation rules.</x:v>
      </x:c>
      <x:c r="W43" s="101" t="str">
        <x:v>Day-1 Data Workbench — DB Link, Canvas, Jobs &amp; OPC</x:v>
      </x:c>
      <x:c r="X43" s="101" t="str">
        <x:v>M2 P2 — Day-1 Data Workbench — DB Link, Canvas, Jobs &amp; OPC. Release 1 is genuine early production / first-week customer work.</x:v>
      </x:c>
      <x:c r="Y43" s="196"/>
      <x:c r="Z43" s="197"/>
      <x:c r="AA43" s="101" t="str">
        <x:v>L3.4</x:v>
      </x:c>
      <x:c r="AB43" s="101" t="str">
        <x:v>Widget catalogue and intelligence visualisation</x:v>
      </x:c>
      <x:c r="AC43" s="101" t="str">
        <x:v>L5.3; L4.2</x:v>
      </x:c>
      <x:c r="AD43" s="101" t="str">
        <x:v>Build</x:v>
      </x:c>
      <x:c r="AE43" s="101" t="str">
        <x:v>D1; D2; D3; D5</x:v>
      </x:c>
      <x:c r="AF43" s="101" t="str">
        <x:v>Core</x:v>
      </x:c>
      <x:c r="AG43" s="101" t="str">
        <x:v>R1</x:v>
      </x:c>
      <x:c r="AH43" s="101" t="str">
        <x:v>Advances</x:v>
      </x:c>
      <x:c r="AI43" s="101">
        <x:f t="shared" si="1"/>
      </x:c>
      <x:c r="AJ43" s="101" t="str">
        <x:v>Inherited baseline estimate</x:v>
      </x:c>
      <x:c r="AK43" s="101" t="str">
        <x:v>v4.10.3</x:v>
      </x:c>
      <x:c r="AL43" s="101" t="str">
        <x:v>Chapters 3/4 v4.10.3 — MD + illustrated Word; UI Coverage / UI Controls in this workbook</x:v>
      </x:c>
      <x:c r="AM43" t="n">
        <x:f>IF(ISNUMBER(J43),1,0)</x:f>
        <x:v>1</x:v>
      </x:c>
      <x:c r="AN43" s="101"/>
      <x:c r="AO43" s="194" t="str">
        <x:v>Not started — no completion claimed</x:v>
      </x:c>
      <x:c r="AP43" s="194" t="str">
        <x:v>Inherited v2.22.0 intended record; no new runtime certification in this repair.</x:v>
      </x:c>
      <x:c r="AQ43" s="194"/>
      <x:c r="AR43" s="194" t="str">
        <x:v>INHERITED ESTIMATE</x:v>
      </x:c>
    </x:row>
    <x:row r="44" ht="76" customHeight="1">
      <x:c r="A44" s="101" t="str">
        <x:v>T-213</x:v>
      </x:c>
      <x:c r="B44" s="101" t="str">
        <x:v>M2</x:v>
      </x:c>
      <x:c r="C44" s="101" t="str">
        <x:v>P2</x:v>
      </x:c>
      <x:c r="D44" s="101" t="str">
        <x:v>Customer Data Intake and Capability Assessment authority</x:v>
      </x:c>
      <x:c r="E44" s="101" t="str">
        <x:v>Onboarding</x:v>
      </x:c>
      <x:c r="F44" s="101" t="str">
        <x:v>Customer data assessment</x:v>
      </x:c>
      <x:c r="G44" s="101" t="str">
        <x:v>Critical</x:v>
      </x:c>
      <x:c r="H44" s="101" t="str">
        <x:v>Create a versioned assessment workflow/report for an unknown customer: source inventory, entity/equipment map, time model, identity/join strategy, parameter catalogue, KPI candidates, references, aggregation gaps, data quality, historical coverage, reconciliation/ML eligibility, OT trial requirements and missing information. The intake MUST also capture same-calendar-window manual vs machine history availability, transition/changeover definitions and stabilisation rules, sequence/campaign boundaries, setup/preparation evidence, and customer objective sets/trade-off preferences. Accepted results become normal definitions/mappings; the assessment is not a second authority.</x:v>
      </x:c>
      <x:c r="I44" s="101" t="str">
        <x:v>Run against one foreign/customer-shaped fixture and produce a complete report with explicit UNKNOWN/MISSING states, including regime-context readiness and multi-objective readiness. Same-window reconciliation evidence is separately reported. No product-code change is made for customer vocabulary. Re-run after one new source/field creates a new assessment version and diff.</x:v>
      </x:c>
      <x:c r="J44" s="107" t="n">
        <x:v>8</x:v>
      </x:c>
      <x:c r="K44" s="101" t="str">
        <x:v>Done</x:v>
      </x:c>
      <x:c r="L44" s="101" t="str">
        <x:v>Worker 2</x:v>
      </x:c>
      <x:c r="M44" s="101" t="str">
        <x:v>T-201; T-206</x:v>
      </x:c>
      <x:c r="N44" s="101" t="str">
        <x:v>T-227; T-247</x:v>
      </x:c>
      <x:c r="O44" s="101" t="str">
        <x:v>M2: ~1 month from owner planning checkpoint; exact date not committed</x:v>
      </x:c>
      <x:c r="P44" s="101" t="str">
        <x:v>Release 1 MUST</x:v>
      </x:c>
      <x:c r="Q44" s="101" t="str">
        <x:v>Backend / product workflow</x:v>
      </x:c>
      <x:c r="R44" s="195" t="n">
        <x:v>3.2</x:v>
      </x:c>
      <x:c r="S44" s="101" t="str">
        <x:v>M2-P2</x:v>
      </x:c>
      <x:c r="T44" s="101" t="str">
        <x:v>External gate: customer data structure received (expected 2-Sep-2026) + T-201/T-206 green.</x:v>
      </x:c>
      <x:c r="U44" s="101" t="str">
        <x:v>Onboarding assessment service/report; no customer-specific schema code.</x:v>
      </x:c>
      <x:c r="V44" s="101" t="str">
        <x:v>Mappings/definitions become canonical through existing authorities; report does not become a shadow registry.</x:v>
      </x:c>
      <x:c r="W44" s="101" t="str">
        <x:v>Day-1 Data Workbench — DB Link, Canvas, Jobs &amp; OPC</x:v>
      </x:c>
      <x:c r="X44" s="101" t="str">
        <x:v>M2 P2 — Day-1 Data Workbench — DB Link, Canvas, Jobs &amp; OPC. Release 1 is genuine early production / first-week customer work.</x:v>
      </x:c>
      <x:c r="Y44" s="196" t="str">
        <x:v>2748c7fba8a5c4763bc19112ce57e484cea5b9bb — subject not recovered</x:v>
      </x:c>
      <x:c r="Z44" s="197" t="n">
        <x:v>46265</x:v>
      </x:c>
      <x:c r="AA44" s="101" t="str">
        <x:v>L1.2</x:v>
      </x:c>
      <x:c r="AB44" s="101" t="str">
        <x:v>Dataset registration and source selection</x:v>
      </x:c>
      <x:c r="AC44" s="101" t="str">
        <x:v>L1.1; L7.8</x:v>
      </x:c>
      <x:c r="AD44" s="101" t="str">
        <x:v>Build</x:v>
      </x:c>
      <x:c r="AE44" s="101" t="str">
        <x:v>D1; D5</x:v>
      </x:c>
      <x:c r="AF44" s="101" t="str">
        <x:v>Core</x:v>
      </x:c>
      <x:c r="AG44" s="101" t="str">
        <x:v>R1</x:v>
      </x:c>
      <x:c r="AH44" s="101" t="str">
        <x:v>Advances</x:v>
      </x:c>
      <x:c r="AI44" s="101" t="str">
        <x:f t="shared" si="1"/>
        <x:v>2748c7fba8a5c4763bc19112ce57e484cea5b9bb — subject not recovered</x:v>
      </x:c>
      <x:c r="AJ44" s="101" t="str">
        <x:v>Inherited baseline estimate</x:v>
      </x:c>
      <x:c r="AK44" s="101" t="str">
        <x:v>v4.10.3</x:v>
      </x:c>
      <x:c r="AL44" s="101" t="str">
        <x:v>Chapters 3/4 v4.10.3 — MD + illustrated Word; UI Coverage / UI Controls in this workbook</x:v>
      </x:c>
      <x:c r="AM44" t="n">
        <x:f>IF(ISNUMBER(J44),1,0)</x:f>
        <x:v>1</x:v>
      </x:c>
      <x:c r="AN44" s="101"/>
      <x:c r="AO44" s="194" t="str">
        <x:v>Recorded closed — inherited evidence</x:v>
      </x:c>
      <x:c r="AP44" s="194" t="str">
        <x:v>Inherited v2.22.0 intended record; no new runtime certification in this repair.</x:v>
      </x:c>
      <x:c r="AQ44" s="194"/>
      <x:c r="AR44" s="194" t="str">
        <x:v>INHERITED ESTIMATE</x:v>
      </x:c>
    </x:row>
    <x:row r="45" ht="76" customHeight="1">
      <x:c r="A45" s="101" t="str">
        <x:v>T-224</x:v>
      </x:c>
      <x:c r="B45" s="101" t="str">
        <x:v>M2</x:v>
      </x:c>
      <x:c r="C45" s="101" t="str">
        <x:v>P2</x:v>
      </x:c>
      <x:c r="D45" s="101" t="str">
        <x:v>Production OPC UA edge runtime: endpoint security, certificates and session lifecycle</x:v>
      </x:c>
      <x:c r="E45" s="101" t="str">
        <x:v>Acquisition</x:v>
      </x:c>
      <x:c r="F45" s="101" t="str">
        <x:v>OPC UA edge</x:v>
      </x:c>
      <x:c r="G45" s="101" t="str">
        <x:v>Critical</x:v>
      </x:c>
      <x:c r="H45" s="101" t="str">
        <x:v>Implement real OPC UA client runtime inside the customer-side collector boundary: endpoint discovery/selection, security policy negotiation, application certificate/trust management, authenticated session lifecycle and read-only enforcement. Core never gains plant-network credentials/routes.</x:v>
      </x:c>
      <x:c r="I45" s="101" t="str">
        <x:v>Against a real SDK test server, establish trusted and rejected sessions, rotate trust, reconnect after server restart and prove no write/control verb/path exists. Capability metadata remains false until this task and downstream browse/subscription tasks pass.</x:v>
      </x:c>
      <x:c r="J45" s="107" t="n">
        <x:v>12</x:v>
      </x:c>
      <x:c r="K45" s="101" t="str">
        <x:v>Not Started</x:v>
      </x:c>
      <x:c r="L45" s="101" t="str">
        <x:v>Worker 1</x:v>
      </x:c>
      <x:c r="M45" s="101" t="str">
        <x:v>T-207</x:v>
      </x:c>
      <x:c r="N45" s="101" t="str">
        <x:v>T-153; T-225</x:v>
      </x:c>
      <x:c r="O45" s="101" t="str">
        <x:v>M2: ~1 month from owner planning checkpoint; exact date not committed</x:v>
      </x:c>
      <x:c r="P45" s="101" t="str">
        <x:v>Release 1 MUST</x:v>
      </x:c>
      <x:c r="Q45" s="101" t="str">
        <x:v>External/site + backend</x:v>
      </x:c>
      <x:c r="R45" s="195" t="n">
        <x:v>7.2</x:v>
      </x:c>
      <x:c r="S45" s="101" t="str">
        <x:v>M2-P2</x:v>
      </x:c>
      <x:c r="T45" s="101" t="str">
        <x:v>Release 1 MUST — start after T-207 connector-truth authority. Site/customer OT certification may require customer access, but the executable production OPC UA runtime itself cannot be deferred past M2.</x:v>
      </x:c>
      <x:c r="U45" s="101" t="str">
        <x:v>Customer-side edge agent/OPC adapter only.</x:v>
      </x:c>
      <x:c r="V45" s="101" t="str">
        <x:v>T-225 consumes session adapter; site certification remains T-153/T-227-like acceptance, not hidden in code.</x:v>
      </x:c>
      <x:c r="W45" s="101" t="str">
        <x:v>Day-1 Data Workbench — DB Link, Canvas, Jobs &amp; OPC</x:v>
      </x:c>
      <x:c r="X45" s="101" t="str">
        <x:v>CENTRAL 04-Sep-2026: remove the contradictory 'after 30-Sep demo' gate. M2 is genuine early production and its P2 outcome includes real read-only OPC UA runtime.</x:v>
      </x:c>
      <x:c r="Y45" s="196"/>
      <x:c r="Z45" s="197"/>
      <x:c r="AA45" s="101" t="str">
        <x:v>L1.8</x:v>
      </x:c>
      <x:c r="AB45" s="101" t="str">
        <x:v>OPC-UA / historian / edge acquisition</x:v>
      </x:c>
      <x:c r="AC45" s="101"/>
      <x:c r="AD45" s="101" t="str">
        <x:v>Harden</x:v>
      </x:c>
      <x:c r="AE45" s="101" t="str">
        <x:v>D3; D5</x:v>
      </x:c>
      <x:c r="AF45" s="101" t="str">
        <x:v>Advanced</x:v>
      </x:c>
      <x:c r="AG45" s="101" t="str">
        <x:v>R1</x:v>
      </x:c>
      <x:c r="AH45" s="101" t="str">
        <x:v>Advances</x:v>
      </x:c>
      <x:c r="AI45" s="101">
        <x:f t="shared" si="1"/>
      </x:c>
      <x:c r="AJ45" s="101" t="str">
        <x:v>Inherited baseline estimate</x:v>
      </x:c>
      <x:c r="AK45" s="101" t="str">
        <x:v>v4.10.3</x:v>
      </x:c>
      <x:c r="AL45" s="101" t="str">
        <x:v>Chapters 3/4 v4.10.3 — MD + illustrated Word; UI Coverage / UI Controls in this workbook
v2.23.0 — T-266 supplies OPC profile/session/trust target and refusal designs, with Worker 1 technical review. This is a contract handoff, not a full-design completion prerequisite for backend implementation.</x:v>
      </x:c>
      <x:c r="AM45" t="n">
        <x:f>IF(ISNUMBER(J45),1,0)</x:f>
        <x:v>1</x:v>
      </x:c>
      <x:c r="AN45" s="101"/>
      <x:c r="AO45" s="194" t="str">
        <x:v>Not started — no completion claimed</x:v>
      </x:c>
      <x:c r="AP45" s="194" t="str">
        <x:v>Inherited v2.22.0 intended record; no new runtime certification in this repair.</x:v>
      </x:c>
      <x:c r="AQ45" s="194"/>
      <x:c r="AR45" s="194" t="str">
        <x:v>INHERITED ESTIMATE</x:v>
      </x:c>
    </x:row>
    <x:row r="46" ht="76" customHeight="1">
      <x:c r="A46" s="101" t="str">
        <x:v>T-225</x:v>
      </x:c>
      <x:c r="B46" s="101" t="str">
        <x:v>M2</x:v>
      </x:c>
      <x:c r="C46" s="101" t="str">
        <x:v>P2</x:v>
      </x:c>
      <x:c r="D46" s="101" t="str">
        <x:v>Production OPC UA edge runtime: browse, tag registration, subscription and monitored items</x:v>
      </x:c>
      <x:c r="E46" s="101" t="str">
        <x:v>Acquisition</x:v>
      </x:c>
      <x:c r="F46" s="101" t="str">
        <x:v>OPC UA edge</x:v>
      </x:c>
      <x:c r="G46" s="101" t="str">
        <x:v>Critical</x:v>
      </x:c>
      <x:c r="H46" s="101" t="str">
        <x:v>Implement namespace browse, tag selection/registration, subscriptions/monitored items, sampling/publishing interval and deadband configuration behind generic collector contracts.</x:v>
      </x:c>
      <x:c r="I46" s="101" t="str">
        <x:v>Browse a test namespace, register N tags, subscribe, receive changed values and prove disconnect/reconnect resumes without fabricated deterministic samples. Read-only operations only. `supportsTagBrowse`/`supportsSubscription` become true only after these executed tests.</x:v>
      </x:c>
      <x:c r="J46" s="107" t="n">
        <x:v>12</x:v>
      </x:c>
      <x:c r="K46" s="101" t="str">
        <x:v>Not Started</x:v>
      </x:c>
      <x:c r="L46" s="101" t="str">
        <x:v>Worker 1</x:v>
      </x:c>
      <x:c r="M46" s="101" t="str">
        <x:v>T-224</x:v>
      </x:c>
      <x:c r="N46" s="101" t="str">
        <x:v>T-153; T-226</x:v>
      </x:c>
      <x:c r="O46" s="101" t="str">
        <x:v>M2: ~1 month from owner planning checkpoint; exact date not committed</x:v>
      </x:c>
      <x:c r="P46" s="101" t="str">
        <x:v>Release 1 MUST</x:v>
      </x:c>
      <x:c r="Q46" s="101" t="str">
        <x:v>External/site + backend</x:v>
      </x:c>
      <x:c r="R46" s="195" t="n">
        <x:v>7.2</x:v>
      </x:c>
      <x:c r="S46" s="101" t="str">
        <x:v>M2-P2</x:v>
      </x:c>
      <x:c r="T46" s="101" t="str">
        <x:v>T-224.</x:v>
      </x:c>
      <x:c r="U46" s="101" t="str">
        <x:v>Edge OPC adapter + tag registry integration.</x:v>
      </x:c>
      <x:c r="V46" s="101" t="str">
        <x:v>T-226 consumes typed acquired values; no core API direct OPC connection.</x:v>
      </x:c>
      <x:c r="W46" s="101" t="str">
        <x:v>Day-1 Data Workbench — DB Link, Canvas, Jobs &amp; OPC</x:v>
      </x:c>
      <x:c r="X46" s="101" t="str">
        <x:v>M2 P2 — Day-1 Data Workbench — DB Link, Canvas, Jobs &amp; OPC. Release 1 is genuine early production / first-week customer work.</x:v>
      </x:c>
      <x:c r="Y46" s="196"/>
      <x:c r="Z46" s="197"/>
      <x:c r="AA46" s="101" t="str">
        <x:v>L1.8</x:v>
      </x:c>
      <x:c r="AB46" s="101" t="str">
        <x:v>OPC-UA / historian / edge acquisition</x:v>
      </x:c>
      <x:c r="AC46" s="101"/>
      <x:c r="AD46" s="101" t="str">
        <x:v>Build</x:v>
      </x:c>
      <x:c r="AE46" s="101" t="str">
        <x:v>D3; D5</x:v>
      </x:c>
      <x:c r="AF46" s="101" t="str">
        <x:v>Advanced</x:v>
      </x:c>
      <x:c r="AG46" s="101" t="str">
        <x:v>R1</x:v>
      </x:c>
      <x:c r="AH46" s="101" t="str">
        <x:v>Advances</x:v>
      </x:c>
      <x:c r="AI46" s="101">
        <x:f t="shared" si="1"/>
      </x:c>
      <x:c r="AJ46" s="101" t="str">
        <x:v>Inherited baseline estimate</x:v>
      </x:c>
      <x:c r="AK46" s="101" t="str">
        <x:v>v4.10.3</x:v>
      </x:c>
      <x:c r="AL46" s="101" t="str">
        <x:v>Chapters 3/4 v4.10.3 — MD + illustrated Word; UI Coverage / UI Controls in this workbook
v2.23.0 — T-266 supplies browse tree, tag registration, bounded-read/subscription and keyboard/validation designs. Backend development follows frozen contracts in parallel; capability flags still require runtime proof.</x:v>
      </x:c>
      <x:c r="AM46" t="n">
        <x:f>IF(ISNUMBER(J46),1,0)</x:f>
        <x:v>1</x:v>
      </x:c>
      <x:c r="AN46" s="101"/>
      <x:c r="AO46" s="194" t="str">
        <x:v>Not started — no completion claimed</x:v>
      </x:c>
      <x:c r="AP46" s="194" t="str">
        <x:v>Inherited v2.22.0 intended record; no new runtime certification in this repair.</x:v>
      </x:c>
      <x:c r="AQ46" s="194"/>
      <x:c r="AR46" s="194" t="str">
        <x:v>INHERITED ESTIMATE</x:v>
      </x:c>
    </x:row>
    <x:row r="47" ht="76" customHeight="1">
      <x:c r="A47" s="101" t="str">
        <x:v>T-226</x:v>
      </x:c>
      <x:c r="B47" s="101" t="str">
        <x:v>M2</x:v>
      </x:c>
      <x:c r="C47" s="101" t="str">
        <x:v>P2</x:v>
      </x:c>
      <x:c r="D47" s="101" t="str">
        <x:v>Production OPC UA edge runtime: quality/timestamps, recovery and spool-to-canonical proof</x:v>
      </x:c>
      <x:c r="E47" s="101" t="str">
        <x:v>Acquisition</x:v>
      </x:c>
      <x:c r="F47" s="101" t="str">
        <x:v>OPC UA edge</x:v>
      </x:c>
      <x:c r="G47" s="101" t="str">
        <x:v>Critical</x:v>
      </x:c>
      <x:c r="H47" s="101" t="str">
        <x:v>Preserve OPC StatusCode/quality plus source/server timestamps, integrate reconnect/sequence-loss handling and existing store-and-forward spool, map acquired values into canonical observations under Source Time Authority.</x:v>
      </x:c>
      <x:c r="I47" s="101" t="str">
        <x:v>Good/bad/uncertain quality and source-vs-server timestamp cases land correctly; network interruption queues locally and resumes idempotently; duplicate replay does not duplicate canonical observations; customer-core direction remains one-way.</x:v>
      </x:c>
      <x:c r="J47" s="107" t="n">
        <x:v>12</x:v>
      </x:c>
      <x:c r="K47" s="101" t="str">
        <x:v>Not Started</x:v>
      </x:c>
      <x:c r="L47" s="101" t="str">
        <x:v>Worker 1</x:v>
      </x:c>
      <x:c r="M47" s="101" t="str">
        <x:v>T-225; T-233</x:v>
      </x:c>
      <x:c r="N47" s="101" t="str">
        <x:v>T-150; T-153</x:v>
      </x:c>
      <x:c r="O47" s="101" t="str">
        <x:v>M2: ~1 month from owner planning checkpoint; exact date not committed</x:v>
      </x:c>
      <x:c r="P47" s="101" t="str">
        <x:v>Release 1 MUST</x:v>
      </x:c>
      <x:c r="Q47" s="101" t="str">
        <x:v>External/site + backend</x:v>
      </x:c>
      <x:c r="R47" s="195" t="n">
        <x:v>7.2</x:v>
      </x:c>
      <x:c r="S47" s="101" t="str">
        <x:v>M2-P2</x:v>
      </x:c>
      <x:c r="T47" s="101" t="str">
        <x:v>T-225 + T-216 Source Time Authority.</x:v>
      </x:c>
      <x:c r="U47" s="101" t="str">
        <x:v>Edge spool/acquisition mapper + canonical ingest contract.</x:v>
      </x:c>
      <x:c r="V47" s="101" t="str">
        <x:v>T-153 real-source connector certification consumes this implementation; do not call implementation itself site-certified.</x:v>
      </x:c>
      <x:c r="W47" s="101" t="str">
        <x:v>Day-1 Data Workbench — DB Link, Canvas, Jobs &amp; OPC</x:v>
      </x:c>
      <x:c r="X47" s="101" t="str">
        <x:v>M2 P2 — Day-1 Data Workbench — DB Link, Canvas, Jobs &amp; OPC. Release 1 is genuine early production / first-week customer work.</x:v>
      </x:c>
      <x:c r="Y47" s="196"/>
      <x:c r="Z47" s="197"/>
      <x:c r="AA47" s="101" t="str">
        <x:v>L1.8</x:v>
      </x:c>
      <x:c r="AB47" s="101" t="str">
        <x:v>OPC-UA / historian / edge acquisition</x:v>
      </x:c>
      <x:c r="AC47" s="101"/>
      <x:c r="AD47" s="101" t="str">
        <x:v>Build</x:v>
      </x:c>
      <x:c r="AE47" s="101" t="str">
        <x:v>D3; D5</x:v>
      </x:c>
      <x:c r="AF47" s="101" t="str">
        <x:v>Advanced</x:v>
      </x:c>
      <x:c r="AG47" s="101" t="str">
        <x:v>R1</x:v>
      </x:c>
      <x:c r="AH47" s="101" t="str">
        <x:v>Advances</x:v>
      </x:c>
      <x:c r="AI47" s="101">
        <x:f t="shared" si="1"/>
      </x:c>
      <x:c r="AJ47" s="101" t="str">
        <x:v>Inherited baseline estimate</x:v>
      </x:c>
      <x:c r="AK47" s="101" t="str">
        <x:v>v4.10.3</x:v>
      </x:c>
      <x:c r="AL47" s="101" t="str">
        <x:v>Chapters 3/4 v4.10.3 — MD + illustrated Word; UI Coverage / UI Controls in this workbook
v2.23.0 — T-266 supplies quality/time/spool/reconnect/replay evidence presentation. The source-time and idempotency rules are unchanged; labelled design fixtures are not test-server proof.</x:v>
      </x:c>
      <x:c r="AM47" t="n">
        <x:f>IF(ISNUMBER(J47),1,0)</x:f>
        <x:v>1</x:v>
      </x:c>
      <x:c r="AN47" s="101"/>
      <x:c r="AO47" s="194" t="str">
        <x:v>Not started — no completion claimed</x:v>
      </x:c>
      <x:c r="AP47" s="194" t="str">
        <x:v>Inherited v2.22.0 intended record; no new runtime certification in this repair.</x:v>
      </x:c>
      <x:c r="AQ47" s="194"/>
      <x:c r="AR47" s="194" t="str">
        <x:v>INHERITED ESTIMATE</x:v>
      </x:c>
    </x:row>
    <x:row r="48" ht="76" hidden="1" customHeight="1">
      <x:c r="A48" s="98" t="str">
        <x:v>T-232</x:v>
      </x:c>
      <x:c r="B48" s="98" t="str">
        <x:v>M2</x:v>
      </x:c>
      <x:c r="C48" s="98" t="str">
        <x:v>P2</x:v>
      </x:c>
      <x:c r="D48" s="98" t="str">
        <x:v>Persist Performance Reference authority and projections</x:v>
      </x:c>
      <x:c r="E48" s="98" t="str">
        <x:v>Backend / Database</x:v>
      </x:c>
      <x:c r="F48" s="98" t="str">
        <x:v>Reference persistence</x:v>
      </x:c>
      <x:c r="G48" s="98" t="str">
        <x:v>Critical</x:v>
      </x:c>
      <x:c r="H48" s="98" t="str">
        <x:v>Persist the frozen T-214 Performance Reference contract, including declared standards/targets/envelopes, deterministic scope precedence, effective dating, directionality, provenance and projections from existing specifications/operating limits. No second reference authority.</x:v>
      </x:c>
      <x:c r="I48" s="98" t="str">
        <x:v>Migration/replay green; Global/Site/Equipment reference precedence and effective-date replay pass; equal-authority ambiguity remains RF01; existing specification/limit projections resolve through one read authority.</x:v>
      </x:c>
      <x:c r="J48" s="106" t="n">
        <x:v>6</x:v>
      </x:c>
      <x:c r="K48" s="98" t="str">
        <x:v>Not Started</x:v>
      </x:c>
      <x:c r="L48" s="98" t="str">
        <x:v>Worker 1</x:v>
      </x:c>
      <x:c r="M48" s="101" t="str">
        <x:v>T-090; T-231; T-214</x:v>
      </x:c>
      <x:c r="N48" s="101" t="str">
        <x:v>T-215</x:v>
      </x:c>
      <x:c r="O48" s="101" t="str">
        <x:v>M2: ~1 month from owner planning checkpoint; exact date not committed</x:v>
      </x:c>
      <x:c r="P48" s="101" t="str">
        <x:v>Release 1 MUST</x:v>
      </x:c>
      <x:c r="Q48" s="101" t="str">
        <x:v>DB/schema authority</x:v>
      </x:c>
      <x:c r="R48" s="195" t="n">
        <x:v>2.55</x:v>
      </x:c>
      <x:c r="S48" s="101" t="str">
        <x:v>M2-P2</x:v>
      </x:c>
      <x:c r="T48" s="101" t="str">
        <x:v>T-090 + T-231 + committed T-214 contract.</x:v>
      </x:c>
      <x:c r="U48" s="101" t="str">
        <x:v>performance reference tables/projections/API.</x:v>
      </x:c>
      <x:c r="V48" s="101" t="str">
        <x:v>T-215 consumes persistence; no local reference math.</x:v>
      </x:c>
      <x:c r="W48" s="101" t="str">
        <x:v>Day-1 Data Workbench — DB Link, Canvas, Jobs &amp; OPC</x:v>
      </x:c>
      <x:c r="X48" s="101" t="str">
        <x:v>M2 P2 — Day-1 Data Workbench — DB Link, Canvas, Jobs &amp; OPC. Release 1 is genuine early production / first-week customer work.</x:v>
      </x:c>
      <x:c r="Y48" s="196"/>
      <x:c r="Z48" s="197"/>
      <x:c r="AA48" s="101" t="str">
        <x:v>L9.1</x:v>
      </x:c>
      <x:c r="AB48" s="101" t="str">
        <x:v>Performance Reference</x:v>
      </x:c>
      <x:c r="AC48" s="101"/>
      <x:c r="AD48" s="101" t="str">
        <x:v>Build</x:v>
      </x:c>
      <x:c r="AE48" s="101" t="str">
        <x:v>D1; D3; D4; D5</x:v>
      </x:c>
      <x:c r="AF48" s="101" t="str">
        <x:v>Core</x:v>
      </x:c>
      <x:c r="AG48" s="101" t="str">
        <x:v>R1</x:v>
      </x:c>
      <x:c r="AH48" s="101" t="str">
        <x:v>Advances</x:v>
      </x:c>
      <x:c r="AI48" s="101">
        <x:f t="shared" si="1"/>
      </x:c>
      <x:c r="AJ48" s="101" t="str">
        <x:v>Inherited baseline estimate</x:v>
      </x:c>
      <x:c r="AK48" s="101" t="str">
        <x:v>v4.10.3</x:v>
      </x:c>
      <x:c r="AL48" s="101" t="str">
        <x:v>Chapters 3/4 v4.10.3 — MD + illustrated Word; UI Coverage / UI Controls in this workbook</x:v>
      </x:c>
      <x:c r="AM48" t="n">
        <x:f>IF(ISNUMBER(J48),1,0)</x:f>
        <x:v>1</x:v>
      </x:c>
      <x:c r="AN48" s="101"/>
      <x:c r="AO48" s="194" t="str">
        <x:v>Not started — no completion claimed</x:v>
      </x:c>
      <x:c r="AP48" s="194" t="str">
        <x:v>Inherited v2.22.0 intended record; no new runtime certification in this repair.</x:v>
      </x:c>
      <x:c r="AQ48" s="194"/>
      <x:c r="AR48" s="194" t="str">
        <x:v>INHERITED ESTIMATE</x:v>
      </x:c>
    </x:row>
    <x:row r="49" ht="76" hidden="1" customHeight="1">
      <x:c r="A49" s="98" t="str">
        <x:v>T-233</x:v>
      </x:c>
      <x:c r="B49" s="98" t="str">
        <x:v>M2</x:v>
      </x:c>
      <x:c r="C49" s="98" t="str">
        <x:v>P2</x:v>
      </x:c>
      <x:c r="D49" s="98" t="str">
        <x:v>Persist Source Time Authority and observation timestamp provenance</x:v>
      </x:c>
      <x:c r="E49" s="98" t="str">
        <x:v>Backend / Database</x:v>
      </x:c>
      <x:c r="F49" s="98" t="str">
        <x:v>Temporal authority persistence</x:v>
      </x:c>
      <x:c r="G49" s="98" t="str">
        <x:v>Critical</x:v>
      </x:c>
      <x:c r="H49" s="98" t="str">
        <x:v>Persist the frozen T-216 Source Time Authority contract per source/site and preserve source/server/ingest timestamp provenance on observations. Own migrations, tenant-safe keys and canonical read API; no settings UI and no alignment algorithm here.</x:v>
      </x:c>
      <x:c r="I49" s="98" t="str">
        <x:v>Two sources with different declared timestamp origins and known skew persist/replay correctly; source/server/ingest timestamps survive ingestion; tenant isolation passes; the API exposes exactly the T-216 contract.</x:v>
      </x:c>
      <x:c r="J49" s="106" t="n">
        <x:v>5</x:v>
      </x:c>
      <x:c r="K49" s="98" t="str">
        <x:v>Not Started</x:v>
      </x:c>
      <x:c r="L49" s="98" t="str">
        <x:v>Worker 1</x:v>
      </x:c>
      <x:c r="M49" s="101" t="str">
        <x:v>T-087; T-090; T-216</x:v>
      </x:c>
      <x:c r="N49" s="101" t="str">
        <x:v>T-221; T-226</x:v>
      </x:c>
      <x:c r="O49" s="101" t="str">
        <x:v>M2: ~1 month from owner planning checkpoint; exact date not committed</x:v>
      </x:c>
      <x:c r="P49" s="101" t="str">
        <x:v>Release 1 MUST</x:v>
      </x:c>
      <x:c r="Q49" s="101" t="str">
        <x:v>DB/schema authority</x:v>
      </x:c>
      <x:c r="R49" s="195" t="n">
        <x:v>2.125</x:v>
      </x:c>
      <x:c r="S49" s="101" t="str">
        <x:v>M2-P2</x:v>
      </x:c>
      <x:c r="T49" s="101" t="str">
        <x:v>T-087 + T-090 + committed T-216 contract.</x:v>
      </x:c>
      <x:c r="U49" s="101" t="str">
        <x:v>source_time_authorities/observation timestamp provenance/API.</x:v>
      </x:c>
      <x:c r="V49" s="101" t="str">
        <x:v>T-221/T-226 consume canonical persistence; T-217 kernel does not wait.</x:v>
      </x:c>
      <x:c r="W49" s="101" t="str">
        <x:v>Day-1 Data Workbench — DB Link, Canvas, Jobs &amp; OPC</x:v>
      </x:c>
      <x:c r="X49" s="101" t="str">
        <x:v>M2 P2 — Day-1 Data Workbench — DB Link, Canvas, Jobs &amp; OPC. Release 1 is genuine early production / first-week customer work.</x:v>
      </x:c>
      <x:c r="Y49" s="196"/>
      <x:c r="Z49" s="197"/>
      <x:c r="AA49" s="101" t="str">
        <x:v>L1.5</x:v>
      </x:c>
      <x:c r="AB49" s="101" t="str">
        <x:v>Acquisition provenance and source lineage</x:v>
      </x:c>
      <x:c r="AC49" s="101" t="str">
        <x:v>L5.5</x:v>
      </x:c>
      <x:c r="AD49" s="101" t="str">
        <x:v>Build</x:v>
      </x:c>
      <x:c r="AE49" s="101" t="str">
        <x:v>D1; D3; D4; D5</x:v>
      </x:c>
      <x:c r="AF49" s="101" t="str">
        <x:v>Core</x:v>
      </x:c>
      <x:c r="AG49" s="101" t="str">
        <x:v>R1</x:v>
      </x:c>
      <x:c r="AH49" s="101" t="str">
        <x:v>Advances</x:v>
      </x:c>
      <x:c r="AI49" s="101">
        <x:f t="shared" si="1"/>
      </x:c>
      <x:c r="AJ49" s="101" t="str">
        <x:v>Inherited baseline estimate</x:v>
      </x:c>
      <x:c r="AK49" s="101" t="str">
        <x:v>v4.10.3</x:v>
      </x:c>
      <x:c r="AL49" s="101" t="str">
        <x:v>Chapters 3/4 v4.10.3 — MD + illustrated Word; UI Coverage / UI Controls in this workbook</x:v>
      </x:c>
      <x:c r="AM49" t="n">
        <x:f>IF(ISNUMBER(J49),1,0)</x:f>
        <x:v>1</x:v>
      </x:c>
      <x:c r="AN49" s="101"/>
      <x:c r="AO49" s="194" t="str">
        <x:v>Not started — no completion claimed</x:v>
      </x:c>
      <x:c r="AP49" s="194" t="str">
        <x:v>Inherited v2.22.0 intended record; no new runtime certification in this repair.</x:v>
      </x:c>
      <x:c r="AQ49" s="194"/>
      <x:c r="AR49" s="194" t="str">
        <x:v>INHERITED ESTIMATE</x:v>
      </x:c>
    </x:row>
    <x:row r="50" ht="76" customHeight="1">
      <x:c r="A50" s="101" t="str">
        <x:v>T-235</x:v>
      </x:c>
      <x:c r="B50" s="101" t="str">
        <x:v>M2</x:v>
      </x:c>
      <x:c r="C50" s="101" t="str">
        <x:v>P2</x:v>
      </x:c>
      <x:c r="D50" s="101" t="str">
        <x:v>Persist transition/stabilisation authority and regime context</x:v>
      </x:c>
      <x:c r="E50" s="101" t="str">
        <x:v>Backend / Database</x:v>
      </x:c>
      <x:c r="F50" s="101" t="str">
        <x:v>Process regime persistence</x:v>
      </x:c>
      <x:c r="G50" s="101" t="str">
        <x:v>Critical</x:v>
      </x:c>
      <x:c r="H50" s="101" t="str">
        <x:v>Persist process_transition_definitions and process_transition_events plus effective-dated stabilisation policy, provenance and query API under the canonical definition/tenant authority. Do not model changeover as downtime by default; overlap is allowed and explicit.
v2.22.0 — Wire existing TransitionAwarePoolingGuard into production statistics/correlation using persisted regime authority. This is M2 correctness, not a claim that every customer necessarily has transitions.</x:v>
      </x:c>
      <x:c r="I50" s="101" t="str">
        <x:v>Fresh migration/replay green. A customer-authored transition definition and event round-trip with scope/from-to context/stabilisation rule; no shipped industry values. Querying an interval returns exact transition/stabilisation overlaps and evidence.
v2.22.0 — Declared transitions/stabilisation are excluded or stratified per policy; undefined required regime context refuses rather than pooling; declared no-transition case supported with evidence; known-answer production-path test and provenance.</x:v>
      </x:c>
      <x:c r="J50" s="107" t="n">
        <x:v>8</x:v>
      </x:c>
      <x:c r="K50" s="101" t="str">
        <x:v>Not Started</x:v>
      </x:c>
      <x:c r="L50" s="101" t="str">
        <x:v>Worker 1</x:v>
      </x:c>
      <x:c r="M50" s="101" t="str">
        <x:v>T-090; T-231; T-234</x:v>
      </x:c>
      <x:c r="N50" s="101" t="str">
        <x:v>T-164; T-212; T-237; T-247</x:v>
      </x:c>
      <x:c r="O50" s="101" t="str">
        <x:v>M2: ~1 month from owner planning checkpoint; exact date not committed</x:v>
      </x:c>
      <x:c r="P50" s="101" t="str">
        <x:v>Release 1 MUST</x:v>
      </x:c>
      <x:c r="Q50" s="101" t="str">
        <x:v>DB/schema authority</x:v>
      </x:c>
      <x:c r="R50" s="195" t="n">
        <x:v>3.4</x:v>
      </x:c>
      <x:c r="S50" s="101" t="str">
        <x:v>M2-P2</x:v>
      </x:c>
      <x:c r="T50" s="101" t="str">
        <x:v>T-090 + T-231 + committed T-234 contract.</x:v>
      </x:c>
      <x:c r="U50" s="101" t="str">
        <x:v>process transition tables/API/migrations.</x:v>
      </x:c>
      <x:c r="V50" s="101" t="str">
        <x:v>T-237/customer onboarding consume committed persistence; do not redesign contract.</x:v>
      </x:c>
      <x:c r="W50" s="101" t="str">
        <x:v>Day-1 Data Workbench — DB Link, Canvas, Jobs &amp; OPC</x:v>
      </x:c>
      <x:c r="X50" s="101" t="str">
        <x:v>M2 P2 — Day-1 Data Workbench — DB Link, Canvas, Jobs &amp; OPC. Release 1 is genuine early production / first-week customer work.</x:v>
      </x:c>
      <x:c r="Y50" s="196"/>
      <x:c r="Z50" s="197"/>
      <x:c r="AA50" s="101" t="str">
        <x:v>L5.4</x:v>
      </x:c>
      <x:c r="AB50" s="101" t="str">
        <x:v>Regime correctness</x:v>
      </x:c>
      <x:c r="AC50" s="101"/>
      <x:c r="AD50" s="101" t="str">
        <x:v>Build</x:v>
      </x:c>
      <x:c r="AE50" s="101" t="str">
        <x:v>D1; D3; D4; D5</x:v>
      </x:c>
      <x:c r="AF50" s="101" t="str">
        <x:v>Core</x:v>
      </x:c>
      <x:c r="AG50" s="101" t="str">
        <x:v>R1</x:v>
      </x:c>
      <x:c r="AH50" s="101" t="str">
        <x:v>Advances</x:v>
      </x:c>
      <x:c r="AI50" s="101">
        <x:f t="shared" si="1"/>
      </x:c>
      <x:c r="AJ50" s="101" t="str">
        <x:v>Inherited estimate; scope changed — re-estimation required</x:v>
      </x:c>
      <x:c r="AK50" s="101" t="str">
        <x:v>v4.10.3</x:v>
      </x:c>
      <x:c r="AL50" s="101" t="str">
        <x:v>Chapters 3/4 v4.10.3 — MD + illustrated Word; UI Coverage / UI Controls in this workbook</x:v>
      </x:c>
      <x:c r="AM50" t="n">
        <x:f>IF(ISNUMBER(J50),1,0)</x:f>
        <x:v>1</x:v>
      </x:c>
      <x:c r="AN50" s="101"/>
      <x:c r="AO50" s="194" t="str">
        <x:v>Not started — no completion claimed</x:v>
      </x:c>
      <x:c r="AP50" s="194" t="str">
        <x:v>Inherited v2.22.0 intended record; no new runtime certification in this repair.</x:v>
      </x:c>
      <x:c r="AQ50" s="194"/>
      <x:c r="AR50" s="194" t="str">
        <x:v>INHERITED ESTIMATE</x:v>
      </x:c>
    </x:row>
    <x:row r="51" ht="76" hidden="1" customHeight="1">
      <x:c r="A51" s="98" t="str">
        <x:v>T-241</x:v>
      </x:c>
      <x:c r="B51" s="98" t="str">
        <x:v>M2</x:v>
      </x:c>
      <x:c r="C51" s="98" t="str">
        <x:v>P2</x:v>
      </x:c>
      <x:c r="D51" s="98" t="str">
        <x:v>Canvas executable block contract, typed ports and graph validation</x:v>
      </x:c>
      <x:c r="E51" s="98" t="str">
        <x:v>Frontend</x:v>
      </x:c>
      <x:c r="F51" s="98" t="str">
        <x:v>No-code authoring</x:v>
      </x:c>
      <x:c r="G51" s="98" t="str">
        <x:v>Important</x:v>
      </x:c>
      <x:c r="H51" s="98" t="str">
        <x:v>Generalise the typed-port and graph semantics already proven in the M1 SharedAuthoringShell/VisualJoinCanvas slice into the production canvas contract. Reuse the existing shell and ports; do not create a second canvas. Define executable block kinds, typed input/output ports, required-port rules, graph validation and genericity constraints. No block or port may carry industry vocabulary.</x:v>
      </x:c>
      <x:c r="I51" s="98" t="str">
        <x:v>Architecture test proves one shared canvas contract. Typed-port known answers pass; an unconnected required port returns a typed refusal; incompatible ports refuse before execution; no industry noun/default grain appears in the generic block contract.</x:v>
      </x:c>
      <x:c r="J51" s="106" t="n">
        <x:v>10</x:v>
      </x:c>
      <x:c r="K51" s="98" t="str">
        <x:v>Done</x:v>
      </x:c>
      <x:c r="L51" s="98" t="str">
        <x:v>Worker 2</x:v>
      </x:c>
      <x:c r="M51" s="101" t="str">
        <x:v>T-032; T-201</x:v>
      </x:c>
      <x:c r="N51" s="101" t="str">
        <x:v>T-242; T-243; T-247; T-248; T-253; T-261</x:v>
      </x:c>
      <x:c r="O51" s="101" t="str">
        <x:v>M2: ~1 month from owner planning checkpoint; exact date not committed</x:v>
      </x:c>
      <x:c r="P51" s="101" t="str">
        <x:v>Release 1 MUST</x:v>
      </x:c>
      <x:c r="Q51" s="101" t="str">
        <x:v>Post-Sep product completion</x:v>
      </x:c>
      <x:c r="R51" s="195"/>
      <x:c r="S51" s="101" t="str">
        <x:v>M2-P2</x:v>
      </x:c>
      <x:c r="T51" s="101" t="str">
        <x:v>CLOSED — Release-1 Canvas prerequisite. Preserve evidence; do not reopen absent contradictory regression evidence.</x:v>
      </x:c>
      <x:c r="U51" s="101" t="str">
        <x:v>Frontend shared authoring shell, canvas graph/ports only.</x:v>
      </x:c>
      <x:c r="V51" s="101" t="str">
        <x:v>Reuse M1 SharedAuthoringShell and existing typed-port assets. No second canvas component.</x:v>
      </x:c>
      <x:c r="W51" s="101" t="str">
        <x:v>Day-1 Data Workbench — DB Link, Canvas, Jobs &amp; OPC</x:v>
      </x:c>
      <x:c r="X51" s="101" t="str">
        <x:v>M2 P2 — Day-1 Data Workbench — DB Link, Canvas, Jobs &amp; OPC. Release 1 is genuine early production / first-week customer work.</x:v>
      </x:c>
      <x:c r="Y51" s="196" t="str">
        <x:v>eb7fb2ab — subject not recovered</x:v>
      </x:c>
      <x:c r="Z51" s="197"/>
      <x:c r="AA51" s="101" t="str">
        <x:v>L3.6</x:v>
      </x:c>
      <x:c r="AB51" s="101" t="str">
        <x:v>Board semantics, typed ports and property inspection</x:v>
      </x:c>
      <x:c r="AC51" s="101"/>
      <x:c r="AD51" s="101" t="str">
        <x:v>Build</x:v>
      </x:c>
      <x:c r="AE51" s="101" t="str">
        <x:v>D1; D2; D4; D5</x:v>
      </x:c>
      <x:c r="AF51" s="101" t="str">
        <x:v>Core</x:v>
      </x:c>
      <x:c r="AG51" s="101" t="str">
        <x:v>R1</x:v>
      </x:c>
      <x:c r="AH51" s="101" t="str">
        <x:v>Advances</x:v>
      </x:c>
      <x:c r="AI51" s="101" t="str">
        <x:f t="shared" si="1"/>
        <x:v>eb7fb2ab — subject not recovered</x:v>
      </x:c>
      <x:c r="AJ51" s="101" t="str">
        <x:v>Inherited baseline estimate</x:v>
      </x:c>
      <x:c r="AK51" s="101" t="str">
        <x:v>v4.10.3</x:v>
      </x:c>
      <x:c r="AL51" s="101" t="str">
        <x:v>Chapters 3/4 v4.10.3 — MD + illustrated Word; UI Coverage / UI Controls in this workbook</x:v>
      </x:c>
      <x:c r="AM51" t="n">
        <x:f>IF(ISNUMBER(J51),1,0)</x:f>
        <x:v>1</x:v>
      </x:c>
      <x:c r="AN51" s="101"/>
      <x:c r="AO51" s="194" t="str">
        <x:v>Recorded closed — inherited evidence</x:v>
      </x:c>
      <x:c r="AP51" s="194" t="str">
        <x:v>Inherited v2.22.0 intended record; no new runtime certification in this repair.</x:v>
      </x:c>
      <x:c r="AQ51" s="194"/>
      <x:c r="AR51" s="194" t="str">
        <x:v>INHERITED ESTIMATE</x:v>
      </x:c>
    </x:row>
    <x:row r="52" ht="76" customHeight="1">
      <x:c r="A52" s="104" t="str">
        <x:v>T-242</x:v>
      </x:c>
      <x:c r="B52" s="104" t="str">
        <x:v>M2</x:v>
      </x:c>
      <x:c r="C52" s="104" t="str">
        <x:v>P2</x:v>
      </x:c>
      <x:c r="D52" s="104" t="str">
        <x:v>Canvas production block library: relational, arithmetic, logic, window and governed aggregate</x:v>
      </x:c>
      <x:c r="E52" s="104" t="str">
        <x:v>Frontend</x:v>
      </x:c>
      <x:c r="F52" s="104" t="str">
        <x:v>No-code authoring</x:v>
      </x:c>
      <x:c r="G52" s="104" t="str">
        <x:v>Important</x:v>
      </x:c>
      <x:c r="H52" s="104" t="str">
        <x:v>Complete the executable block library behind the existing catalogue: source/filter/join, arithmetic, comparison, boolean logic, branch/window and governed aggregate blocks. Aggregate blocks resolve the canonical aggregation semantics authority and never default to Average. Include production arithmetic/comparison/Boolean blocks, IF/ELSE, ForEach, RepeatN and WhileBounded. WhileBounded requires max_iterations, runtime budget and cancellation; unbounded loops cannot publish.</x:v>
      </x:c>
      <x:c r="I52" s="104" t="str">
        <x:v>Every executable block has deterministic known-answer and type-mismatch tests. Aggregate blocks consume the canonical aggregation contract and refuse AG01 when semantics are undeclared. Unsupported catalogue entries remain visibly unavailable rather than silently no-op. Known-answer graphs prove +,-,*,/, comparisons, AND/OR/NOT, IF/ELSE, ForEach, RepeatN and bounded While. A graph with no finite loop bound refuses validation.</x:v>
      </x:c>
      <x:c r="J52" s="108" t="n">
        <x:v>16</x:v>
      </x:c>
      <x:c r="K52" s="104" t="str">
        <x:v>Done</x:v>
      </x:c>
      <x:c r="L52" s="104" t="str">
        <x:v>Worker 2</x:v>
      </x:c>
      <x:c r="M52" s="101" t="str">
        <x:v>T-241; T-210</x:v>
      </x:c>
      <x:c r="N52" s="101" t="str">
        <x:v>T-243; T-247; T-261</x:v>
      </x:c>
      <x:c r="O52" s="101" t="str">
        <x:v>M2: ~1 month from owner planning checkpoint; exact date not committed</x:v>
      </x:c>
      <x:c r="P52" s="101" t="str">
        <x:v>Release 1 MUST</x:v>
      </x:c>
      <x:c r="Q52" s="101" t="str">
        <x:v>Post-Sep product completion</x:v>
      </x:c>
      <x:c r="R52" s="195"/>
      <x:c r="S52" s="101" t="str">
        <x:v>M2-P2</x:v>
      </x:c>
      <x:c r="T52" s="101" t="str">
        <x:v>Release 1 MUST — execute after T-241 and T-210; must close before T-243/T-247.</x:v>
      </x:c>
      <x:c r="U52" s="101" t="str">
        <x:v>Canvas block registry and executable block nodes.</x:v>
      </x:c>
      <x:c r="V52" s="101" t="str">
        <x:v>Do not duplicate analytics kernels; blocks call governed Layer-A/Layer-B contracts.</x:v>
      </x:c>
      <x:c r="W52" s="101" t="str">
        <x:v>Day-1 Data Workbench — DB Link, Canvas, Jobs &amp; OPC</x:v>
      </x:c>
      <x:c r="X52" s="101" t="str">
        <x:v>CENTRAL 04-Sep-2026: remove 'After 30-Sep MUST lane'. A Release-1-MUST task cannot be scheduled after its own release date.</x:v>
      </x:c>
      <x:c r="Y52" s="196" t="str">
        <x:v>b93c7a58; fc029aa44ac0079be05d623c73414b7fd9f05590; aa57a503411abeeff38ef346ba8801c7742c7926 — final: T-242 close governed aggregate and window block contracts</x:v>
      </x:c>
      <x:c r="Z52" s="197" t="n">
        <x:v>46273</x:v>
      </x:c>
      <x:c r="AA52" s="101" t="str">
        <x:v>L3.6</x:v>
      </x:c>
      <x:c r="AB52" s="101" t="str">
        <x:v>Board semantics, typed ports and property inspection</x:v>
      </x:c>
      <x:c r="AC52" s="101"/>
      <x:c r="AD52" s="101" t="str">
        <x:v>Build</x:v>
      </x:c>
      <x:c r="AE52" s="101" t="str">
        <x:v>D2; D5</x:v>
      </x:c>
      <x:c r="AF52" s="101" t="str">
        <x:v>Core</x:v>
      </x:c>
      <x:c r="AG52" s="101" t="str">
        <x:v>R1</x:v>
      </x:c>
      <x:c r="AH52" s="101" t="str">
        <x:v>Advances</x:v>
      </x:c>
      <x:c r="AI52" s="101" t="str">
        <x:f t="shared" si="1"/>
        <x:v>b93c7a58; fc029aa44ac0079be05d623c73414b7fd9f05590; aa57a503411abeeff38ef346ba8801c7742c7926 — final: T-242 close governed aggregate and window block contracts</x:v>
      </x:c>
      <x:c r="AJ52" s="101" t="str">
        <x:v>Inherited baseline estimate</x:v>
      </x:c>
      <x:c r="AK52" s="101" t="str">
        <x:v>v4.10.3</x:v>
      </x:c>
      <x:c r="AL52" s="101" t="str">
        <x:v>Chapters 3/4 v4.10.3 — MD + illustrated Word; UI Coverage / UI Controls in this workbook</x:v>
      </x:c>
      <x:c r="AM52" t="n">
        <x:f>IF(ISNUMBER(J52),1,0)</x:f>
        <x:v>1</x:v>
      </x:c>
      <x:c r="AN52" s="101"/>
      <x:c r="AO52" s="194" t="str">
        <x:v>Recorded closed — inherited evidence</x:v>
      </x:c>
      <x:c r="AP52" s="194" t="str">
        <x:v>Inherited v2.22.0 intended record; no new runtime certification in this repair.</x:v>
      </x:c>
      <x:c r="AQ52" s="194"/>
      <x:c r="AR52" s="194" t="str">
        <x:v>INHERITED ESTIMATE</x:v>
      </x:c>
    </x:row>
    <x:row r="53" ht="76" customHeight="1">
      <x:c r="A53" s="101" t="str">
        <x:v>T-243</x:v>
      </x:c>
      <x:c r="B53" s="101" t="str">
        <x:v>M2</x:v>
      </x:c>
      <x:c r="C53" s="101" t="str">
        <x:v>P2</x:v>
      </x:c>
      <x:c r="D53" s="101" t="str">
        <x:v>Canvas persistence, immutable versioning and reopen/edit round-trip</x:v>
      </x:c>
      <x:c r="E53" s="101" t="str">
        <x:v>Frontend</x:v>
      </x:c>
      <x:c r="F53" s="101" t="str">
        <x:v>No-code authoring</x:v>
      </x:c>
      <x:c r="G53" s="101" t="str">
        <x:v>Important</x:v>
      </x:c>
      <x:c r="H53" s="101" t="str">
        <x:v>Persist the shared canvas graph through the unified definition_store/definition_versions authority. Save block positions, typed connections, parameters and purpose; reopen and edit a published/draft version under the existing lifecycle. No canvas-specific shadow store.
v2.22.0 — Extend the existing saved-board lifecycle to transactional relationship publication. Publish via existing IRelationshipPublicationService; derive only customer-declared joins/grains/attribution, not every arbitrary join inferred as a business relation. No shadow store. Legacy VisualMapper must route through canonical lifecycle or be retired compatibility-safely.</x:v>
      </x:c>
      <x:c r="I53" s="101" t="str">
        <x:v>Create/save/reopen/edit round-trip preserves semantic graph content; version history is immutable; rollback selects an existing version; no second definition lifecycle/table is introduced. The governed output target/Analysis Subject identity introduced by T-253 is part of the semantic round-trip and cannot collapse to a hardcoded material target.
v2.22.0 — Publish a declared multi-member relationship and verify resolver consumption; republish supersedes not deletes; rollback/history remains explainable; simulated failure leaves neither a partially published definition nor a partially retired/emitted relationship set. Retain existing board/hash/Graph-SQL/reopen evidence; unproven new requirements do not erase previous implementation.</x:v>
      </x:c>
      <x:c r="J53" s="107" t="n">
        <x:v>12</x:v>
      </x:c>
      <x:c r="K53" s="101" t="str">
        <x:v>In Progress</x:v>
      </x:c>
      <x:c r="L53" s="101" t="str">
        <x:v>Worker 2</x:v>
      </x:c>
      <x:c r="M53" s="101" t="str">
        <x:v>T-241; T-242; T-089; T-090; T-253</x:v>
      </x:c>
      <x:c r="N53" s="101" t="str">
        <x:v>T-245; T-246; T-247; T-248; T-261; T-262</x:v>
      </x:c>
      <x:c r="O53" s="101" t="str">
        <x:v>M2: ~1 month from owner planning checkpoint; exact date not committed</x:v>
      </x:c>
      <x:c r="P53" s="101" t="str">
        <x:v>Release 1 MUST</x:v>
      </x:c>
      <x:c r="Q53" s="101" t="str">
        <x:v>Post-Sep product completion</x:v>
      </x:c>
      <x:c r="R53" s="195" t="n">
        <x:v>4.8</x:v>
      </x:c>
      <x:c r="S53" s="101" t="str">
        <x:v>M2-P2</x:v>
      </x:c>
      <x:c r="T53" s="101" t="str">
        <x:v>Consume accepted producer contracts; remaining dependencies: T-241; T-242; T-089; T-090; T-253. No private scheduler/definition authority. Source-present is not closure proof.</x:v>
      </x:c>
      <x:c r="U53" s="101" t="str">
        <x:v>Frontend canvas persistence + definition-store client contracts.</x:v>
      </x:c>
      <x:c r="V53" s="101" t="str">
        <x:v>No canvas-specific persistence schema.</x:v>
      </x:c>
      <x:c r="W53" s="101" t="str">
        <x:v>Day-1 Data Workbench — DB Link, Canvas, Jobs &amp; OPC</x:v>
      </x:c>
      <x:c r="X53" s="101" t="str">
        <x:v>v2.22.0 owner-approved scope and release disposition; original evidence remains in change log/archive.</x:v>
      </x:c>
      <x:c r="Y53" s="196"/>
      <x:c r="Z53" s="197"/>
      <x:c r="AA53" s="101" t="str">
        <x:v>L2.5</x:v>
      </x:c>
      <x:c r="AB53" s="101" t="str">
        <x:v>Unified definition store and immutable target/version governance</x:v>
      </x:c>
      <x:c r="AC53" s="101" t="str">
        <x:v>L3.5; L3.6; L2.2</x:v>
      </x:c>
      <x:c r="AD53" s="101" t="str">
        <x:v>Build</x:v>
      </x:c>
      <x:c r="AE53" s="101" t="str">
        <x:v>D3; D4; D5</x:v>
      </x:c>
      <x:c r="AF53" s="101" t="str">
        <x:v>Core</x:v>
      </x:c>
      <x:c r="AG53" s="101" t="str">
        <x:v>R1</x:v>
      </x:c>
      <x:c r="AH53" s="101" t="str">
        <x:v>Advances</x:v>
      </x:c>
      <x:c r="AI53" s="101">
        <x:f t="shared" si="1"/>
      </x:c>
      <x:c r="AJ53" s="101" t="str">
        <x:v>Inherited estimate; scope changed — re-estimation required</x:v>
      </x:c>
      <x:c r="AK53" s="101" t="str">
        <x:v>v4.10.3</x:v>
      </x:c>
      <x:c r="AL53" s="101" t="str">
        <x:v>Chapters 3/4 v4.10.3 — MD + illustrated Word; UI Coverage / UI Controls in this workbook
v2.23.0 — Use T-265 C1/S1 selected-block, inspector, typed-port, validation/publish/reopen and SQL-mode handoffs. Shared C1/S1 shell is valid; prove semantic mode behavior rather than arbitrary visual differences. No change to canonical definition/relationship authorities.</x:v>
      </x:c>
      <x:c r="AM53" t="n">
        <x:f>IF(ISNUMBER(J53),1,0)</x:f>
        <x:v>1</x:v>
      </x:c>
      <x:c r="AN53" s="101"/>
      <x:c r="AO53" s="194" t="str">
        <x:v>In progress — closure not recorded</x:v>
      </x:c>
      <x:c r="AP53" s="194" t="str">
        <x:v>Inherited v2.22.0 intended record; no new runtime certification in this repair.</x:v>
      </x:c>
      <x:c r="AQ53" s="194"/>
      <x:c r="AR53" s="194" t="str">
        <x:v>INHERITED ESTIMATE</x:v>
      </x:c>
    </x:row>
    <x:row r="54" ht="76" customHeight="1">
      <x:c r="A54" s="101" t="str">
        <x:v>T-244</x:v>
      </x:c>
      <x:c r="B54" s="101" t="str">
        <x:v>M2</x:v>
      </x:c>
      <x:c r="C54" s="101" t="str">
        <x:v>P2</x:v>
      </x:c>
      <x:c r="D54" s="101" t="str">
        <x:v>SQL-mode production convergence: compile, validate, bounded dry-run and definition persistence</x:v>
      </x:c>
      <x:c r="E54" s="101" t="str">
        <x:v>Frontend</x:v>
      </x:c>
      <x:c r="F54" s="101" t="str">
        <x:v>No-code authoring</x:v>
      </x:c>
      <x:c r="G54" s="101" t="str">
        <x:v>Important</x:v>
      </x:c>
      <x:c r="H54" s="101" t="str">
        <x:v>Converge the SQL mode already delivered in T-035/T-036 onto the canonical M2 definition store and production query budgets. Reuse SafeSqlValidator and the existing editor; do not rebuild them. Add compile/validate-before-run, bounded dry-run/result preview, row/scan/cost telemetry and canonical persisted definition/version identity.</x:v>
      </x:c>
      <x:c r="I54" s="101" t="str">
        <x:v>The existing SQL safety suite remains green. An unvalidated or unbounded statement never executes. Dry-run returns bounded rows plus telemetry. Save/reopen uses the unified definition store. No duplicate SQL editor or validator is introduced.</x:v>
      </x:c>
      <x:c r="J54" s="107" t="n">
        <x:v>14</x:v>
      </x:c>
      <x:c r="K54" s="101" t="str">
        <x:v>Done</x:v>
      </x:c>
      <x:c r="L54" s="101" t="str">
        <x:v>Worker 2</x:v>
      </x:c>
      <x:c r="M54" s="101" t="str">
        <x:v>T-035; T-036; T-089; T-090</x:v>
      </x:c>
      <x:c r="N54" s="101" t="str">
        <x:v>T-245; T-247; T-248; T-253</x:v>
      </x:c>
      <x:c r="O54" s="101" t="str">
        <x:v>M2: ~1 month from owner planning checkpoint; exact date not committed</x:v>
      </x:c>
      <x:c r="P54" s="101" t="str">
        <x:v>Release 1 MUST</x:v>
      </x:c>
      <x:c r="Q54" s="101" t="str">
        <x:v>Post-Sep product completion</x:v>
      </x:c>
      <x:c r="R54" s="195"/>
      <x:c r="S54" s="101" t="str">
        <x:v>M2-P2</x:v>
      </x:c>
      <x:c r="T54" s="101" t="str">
        <x:v>CLOSED — Release-1 Canvas prerequisite. Preserve evidence; do not reopen absent contradictory regression evidence.</x:v>
      </x:c>
      <x:c r="U54" s="101" t="str">
        <x:v>SharedAuthoringShell SQL mode + canonical definition API.</x:v>
      </x:c>
      <x:c r="V54" s="101" t="str">
        <x:v>Preserve SafeSqlValidator/editor behaviour and tests.</x:v>
      </x:c>
      <x:c r="W54" s="101" t="str">
        <x:v>Day-1 Data Workbench — DB Link, Canvas, Jobs &amp; OPC</x:v>
      </x:c>
      <x:c r="X54" s="101" t="str">
        <x:v>M2 P2 — Day-1 Data Workbench — DB Link, Canvas, Jobs &amp; OPC. Release 1 is genuine early production / first-week customer work.</x:v>
      </x:c>
      <x:c r="Y54" s="196" t="str">
        <x:v>4d32c6b10b4605aeb6e0705ad03537d563125652 — T-244 close canonical Canvas lifecycle and selection model</x:v>
      </x:c>
      <x:c r="Z54" s="197" t="n">
        <x:v>46269</x:v>
      </x:c>
      <x:c r="AA54" s="101" t="str">
        <x:v>L3.5</x:v>
      </x:c>
      <x:c r="AB54" s="101" t="str">
        <x:v>One authoring shell, five purposes, two modes</x:v>
      </x:c>
      <x:c r="AC54" s="101" t="str">
        <x:v>L3.7</x:v>
      </x:c>
      <x:c r="AD54" s="101" t="str">
        <x:v>Converge</x:v>
      </x:c>
      <x:c r="AE54" s="101" t="str">
        <x:v>D2; D4; D5</x:v>
      </x:c>
      <x:c r="AF54" s="101" t="str">
        <x:v>Core</x:v>
      </x:c>
      <x:c r="AG54" s="101" t="str">
        <x:v>R1</x:v>
      </x:c>
      <x:c r="AH54" s="101" t="str">
        <x:v>Advances</x:v>
      </x:c>
      <x:c r="AI54" s="101" t="str">
        <x:f t="shared" si="1"/>
        <x:v>4d32c6b10b4605aeb6e0705ad03537d563125652 — T-244 close canonical Canvas lifecycle and selection model</x:v>
      </x:c>
      <x:c r="AJ54" s="101" t="str">
        <x:v>Inherited baseline estimate</x:v>
      </x:c>
      <x:c r="AK54" s="101" t="str">
        <x:v>v4.10.3</x:v>
      </x:c>
      <x:c r="AL54" s="101" t="str">
        <x:v>Chapters 3/4 v4.10.3 — MD + illustrated Word; UI Coverage / UI Controls in this workbook</x:v>
      </x:c>
      <x:c r="AM54" t="n">
        <x:f>IF(ISNUMBER(J54),1,0)</x:f>
        <x:v>1</x:v>
      </x:c>
      <x:c r="AN54" s="101"/>
      <x:c r="AO54" s="194" t="str">
        <x:v>Recorded closed — inherited evidence</x:v>
      </x:c>
      <x:c r="AP54" s="194" t="str">
        <x:v>Inherited v2.22.0 intended record; no new runtime certification in this repair.</x:v>
      </x:c>
      <x:c r="AQ54" s="194"/>
      <x:c r="AR54" s="194" t="str">
        <x:v>INHERITED ESTIMATE</x:v>
      </x:c>
    </x:row>
    <x:row r="55" ht="76" hidden="1" customHeight="1">
      <x:c r="A55" s="98" t="str">
        <x:v>T-245</x:v>
      </x:c>
      <x:c r="B55" s="98" t="str">
        <x:v>M2</x:v>
      </x:c>
      <x:c r="C55" s="98" t="str">
        <x:v>P2</x:v>
      </x:c>
      <x:c r="D55" s="98" t="str">
        <x:v>Canvas-to-job compilation, binding, run monitor and per-block evidence</x:v>
      </x:c>
      <x:c r="E55" s="98" t="str">
        <x:v>Frontend</x:v>
      </x:c>
      <x:c r="F55" s="98" t="str">
        <x:v>No-code authoring</x:v>
      </x:c>
      <x:c r="G55" s="98" t="str">
        <x:v>Important</x:v>
      </x:c>
      <x:c r="H55" s="98" t="str">
        <x:v>Compile a validated canvas definition into the governed job/runtime contract, bind the declared target/version, launch it, monitor progress and correlate per-block diagnostics/evidence to the run id. Job target/version and dependency policy remain owned by the canonical job authority. Bind to the already accepted job runtime; do not wait for Release-2 advanced orchestration.</x:v>
      </x:c>
      <x:c r="I55" s="98" t="str">
        <x:v>A validated canvas runs through the normal job API; each block is traceable to run diagnostics/evidence; a block failure is isolated and typed; target/version follows T-106; no private canvas scheduler is created. Capability discovery refuses compilation when the target job family has no registered executor; there is no late RunNow surprise.</x:v>
      </x:c>
      <x:c r="J55" s="106" t="n">
        <x:v>12</x:v>
      </x:c>
      <x:c r="K55" s="98" t="str">
        <x:v>Not Started</x:v>
      </x:c>
      <x:c r="L55" s="98" t="str">
        <x:v>Worker 2</x:v>
      </x:c>
      <x:c r="M55" s="101" t="str">
        <x:v>T-243; T-244; T-106; T-261; T-262</x:v>
      </x:c>
      <x:c r="N55" s="101" t="str">
        <x:v>T-247; T-248</x:v>
      </x:c>
      <x:c r="O55" s="101" t="str">
        <x:v>M2: ~1 month from owner planning checkpoint; exact date not committed</x:v>
      </x:c>
      <x:c r="P55" s="101" t="str">
        <x:v>Release 1 MUST</x:v>
      </x:c>
      <x:c r="Q55" s="101" t="str">
        <x:v>Post-Sep product completion</x:v>
      </x:c>
      <x:c r="R55" s="195" t="n">
        <x:v>5.1</x:v>
      </x:c>
      <x:c r="S55" s="101" t="str">
        <x:v>M2-P2</x:v>
      </x:c>
      <x:c r="T55" s="101" t="str">
        <x:v>Consume accepted producer contracts; remaining dependencies: T-243; T-244; T-106; T-261. No private scheduler/definition authority. Source-present is not closure proof.
v2.22.1 — Completion prerequisites are the task IDs in column M; contract-only predecessors, if any, are exclusively in column AN. Do not use the rejected v2.22.0 positional columns.</x:v>
      </x:c>
      <x:c r="U55" s="101" t="str">
        <x:v>Canvas compiler/job binding + run monitor only.</x:v>
      </x:c>
      <x:c r="V55" s="101" t="str">
        <x:v>T-106 remains job policy authority.</x:v>
      </x:c>
      <x:c r="W55" s="101" t="str">
        <x:v>Day-1 Data Workbench — DB Link, Canvas, Jobs &amp; OPC</x:v>
      </x:c>
      <x:c r="X55" s="101" t="str">
        <x:v>v2.22.0 owner-approved scope and release disposition; original evidence remains in change log/archive.</x:v>
      </x:c>
      <x:c r="Y55" s="196"/>
      <x:c r="Z55" s="197"/>
      <x:c r="AA55" s="101" t="str">
        <x:v>L3.8</x:v>
      </x:c>
      <x:c r="AB55" s="101" t="str">
        <x:v>Canvas → compile → governed job → run → per-block evidence</x:v>
      </x:c>
      <x:c r="AC55" s="101" t="str">
        <x:v>L2.6</x:v>
      </x:c>
      <x:c r="AD55" s="101" t="str">
        <x:v>Build</x:v>
      </x:c>
      <x:c r="AE55" s="101" t="str">
        <x:v>D2; D3; D5</x:v>
      </x:c>
      <x:c r="AF55" s="101" t="str">
        <x:v>Core</x:v>
      </x:c>
      <x:c r="AG55" s="101" t="str">
        <x:v>R1</x:v>
      </x:c>
      <x:c r="AH55" s="101" t="str">
        <x:v>Advances</x:v>
      </x:c>
      <x:c r="AI55" s="101">
        <x:f t="shared" si="1"/>
      </x:c>
      <x:c r="AJ55" s="101" t="str">
        <x:v>Inherited baseline estimate</x:v>
      </x:c>
      <x:c r="AK55" s="101" t="str">
        <x:v>v4.10.3</x:v>
      </x:c>
      <x:c r="AL55" s="101" t="str">
        <x:v>Chapters 3/4 v4.10.3 — MD + illustrated Word; UI Coverage / UI Controls in this workbook
v2.23.0 — Use T-265 run/schedule/cancellation UI handoffs; cancellation acknowledgement is not a terminal Cancelled result until the executor/runtime records it. Render exact resolved version, failure counts and evidence, not a browser-derived success.</x:v>
      </x:c>
      <x:c r="AM55" t="n">
        <x:f>IF(ISNUMBER(J55),1,0)</x:f>
        <x:v>1</x:v>
      </x:c>
      <x:c r="AN55" s="101"/>
      <x:c r="AO55" s="194" t="str">
        <x:v>Not started — no completion claimed</x:v>
      </x:c>
      <x:c r="AP55" s="194" t="str">
        <x:v>Inherited v2.22.0 intended record; no new runtime certification in this repair.</x:v>
      </x:c>
      <x:c r="AQ55" s="194"/>
      <x:c r="AR55" s="194" t="str">
        <x:v>INHERITED ESTIMATE</x:v>
      </x:c>
    </x:row>
    <x:row r="56" ht="76" customHeight="1">
      <x:c r="A56" s="101" t="str">
        <x:v>T-247</x:v>
      </x:c>
      <x:c r="B56" s="101" t="str">
        <x:v>M2</x:v>
      </x:c>
      <x:c r="C56" s="101" t="str">
        <x:v>P2</x:v>
      </x:c>
      <x:c r="D56" s="101" t="str">
        <x:v>First-customer Day-1 Golden Journey and same-binary onboarding proof</x:v>
      </x:c>
      <x:c r="E56" s="101" t="str">
        <x:v>Data Integration</x:v>
      </x:c>
      <x:c r="F56" s="101" t="str">
        <x:v>Customer onboarding</x:v>
      </x:c>
      <x:c r="G56" s="101" t="str">
        <x:v>Critical</x:v>
      </x:c>
      <x:c r="H56" s="101" t="str">
        <x:v>Using the customer's own source shape/configuration, prove the same compiled product can create/test a DB Link, browse/preview, map/configure, prepare in Canvas, validate/dry-run, save/version, compile/bind to a Job, run/monitor/log, project canonical data and open a working BI result with zero customer-specific product code.</x:v>
      </x:c>
      <x:c r="I56" s="101" t="str">
        <x:v>One end-to-end evidence pack proves zero C# diff, zero TypeScript diff and zero product-SQL diff; configuration/metadata only. The customer-shaped journey completes through product surfaces and replays deterministically. The evidence pack also proves the customer-facing connector availability text comes from executable capability truth, the authored output target is customer-shaped/governed, and no unapproved material-specific/public-schema runtime dependency is required.
v2.23.0 — T-265/T-266 designs are accepted before the release walkthrough. Re-run the same-binary customer journey against real governed services after UI integration: source test/cursor/import, authored field map and relationship publish, exact version execution/cancel/failure, quarantine evidence and reprocess, selected/possible/excluded propagation, applicable table navigation/export and grounded Assistant. Screenshots must identify actual runtime versus prototype. Live acceptance cannot be satisfied by a Figma import, label-presence script or template count.</x:v>
      </x:c>
      <x:c r="J56" s="107" t="n">
        <x:v>12</x:v>
      </x:c>
      <x:c r="K56" s="101" t="str">
        <x:v>Not Started</x:v>
      </x:c>
      <x:c r="L56" s="101" t="str">
        <x:v>Worker 2</x:v>
      </x:c>
      <x:c r="M56" s="101" t="str">
        <x:v>T-092; T-207; T-212; T-213; T-241; T-242; T-243; T-244; T-245; T-253; T-254; T-256; T-258; T-104; T-108; T-211; T-235; T-262; T-125; T-265; T-266</x:v>
      </x:c>
      <x:c r="N56" s="101" t="str">
        <x:v>T-150</x:v>
      </x:c>
      <x:c r="O56" s="101" t="str">
        <x:v>M2: ~1 month from owner planning checkpoint; exact date not committed</x:v>
      </x:c>
      <x:c r="P56" s="101" t="str">
        <x:v>Release 1 MUST</x:v>
      </x:c>
      <x:c r="Q56" s="101" t="str">
        <x:v>Customer configuration / integration</x:v>
      </x:c>
      <x:c r="R56" s="195" t="n">
        <x:v>5.1</x:v>
      </x:c>
      <x:c r="S56" s="101" t="str">
        <x:v>M2-P2</x:v>
      </x:c>
      <x:c r="T56" s="101" t="str">
        <x:v>T-213 complete + T-092 green.
v2.22.1 — Completion prerequisites are the task IDs in column M; contract-only predecessors, if any, are exclusively in column AN. Do not use the rejected v2.22.0 positional columns.</x:v>
      </x:c>
      <x:c r="U56" s="101" t="str">
        <x:v>Configuration/mapping/registry definitions and customer-shaped demo profile; no product source files unless a generic defect is found.</x:v>
      </x:c>
      <x:c r="V56" s="101" t="str">
        <x:v>If onboarding requires C#/TypeScript/product-SQL changes, stop and raise a generic product gap; do not patch around it.</x:v>
      </x:c>
      <x:c r="W56" s="101" t="str">
        <x:v>Day-1 Data Workbench — DB Link, Canvas, Jobs &amp; OPC</x:v>
      </x:c>
      <x:c r="X56" s="101" t="str">
        <x:v>M2 P2 — Day-1 Data Workbench — DB Link, Canvas, Jobs &amp; OPC. Release 1 is genuine early production / first-week customer work.</x:v>
      </x:c>
      <x:c r="Y56" s="196"/>
      <x:c r="Z56" s="197"/>
      <x:c r="AA56" s="101" t="str">
        <x:v>L8.8</x:v>
      </x:c>
      <x:c r="AB56" s="101" t="str">
        <x:v>C1–C4 performance certification and golden-journey release gate</x:v>
      </x:c>
      <x:c r="AC56" s="101" t="str">
        <x:v>L1.1; L1.2; L2.3; L3.8</x:v>
      </x:c>
      <x:c r="AD56" s="101" t="str">
        <x:v>Build</x:v>
      </x:c>
      <x:c r="AE56" s="101" t="str">
        <x:v>D1; D5</x:v>
      </x:c>
      <x:c r="AF56" s="101" t="str">
        <x:v>Core</x:v>
      </x:c>
      <x:c r="AG56" s="101" t="str">
        <x:v>R1</x:v>
      </x:c>
      <x:c r="AH56" s="101" t="str">
        <x:v>Advances</x:v>
      </x:c>
      <x:c r="AI56" s="101">
        <x:f t="shared" si="1"/>
      </x:c>
      <x:c r="AJ56" s="101" t="str">
        <x:v>Inherited baseline estimate</x:v>
      </x:c>
      <x:c r="AK56" s="101" t="str">
        <x:v>v4.10.3</x:v>
      </x:c>
      <x:c r="AL56" s="101" t="str">
        <x:v>Chapters 3/4 v4.10.3 — MD + illustrated Word; UI Coverage / UI Controls in this workbook</x:v>
      </x:c>
      <x:c r="AM56" t="n">
        <x:f>IF(ISNUMBER(J56),1,0)</x:f>
        <x:v>1</x:v>
      </x:c>
      <x:c r="AN56" s="101"/>
      <x:c r="AO56" s="194" t="str">
        <x:v>Not started — no completion claimed</x:v>
      </x:c>
      <x:c r="AP56" s="194" t="str">
        <x:v>Inherited v2.22.0 intended record; no new runtime certification in this repair.</x:v>
      </x:c>
      <x:c r="AQ56" s="194"/>
      <x:c r="AR56" s="194" t="str">
        <x:v>INHERITED ESTIMATE</x:v>
      </x:c>
    </x:row>
    <x:row r="57" ht="76" hidden="1" customHeight="1">
      <x:c r="A57" s="101" t="str">
        <x:v>T-253</x:v>
      </x:c>
      <x:c r="B57" s="101" t="str">
        <x:v>M2</x:v>
      </x:c>
      <x:c r="C57" s="101" t="str">
        <x:v>P2</x:v>
      </x:c>
      <x:c r="D57" s="101" t="str">
        <x:v>Shared authoring governed output-target canonical-content contract</x:v>
      </x:c>
      <x:c r="E57" s="101" t="str">
        <x:v>Frontend</x:v>
      </x:c>
      <x:c r="F57" s="101" t="str">
        <x:v>No-code authoring</x:v>
      </x:c>
      <x:c r="G57" s="101" t="str">
        <x:v>Critical</x:v>
      </x:c>
      <x:c r="H57" s="101" t="str">
        <x:v>Correct the shared Canvas/SQL authoring output-target contract across both representations. The governed output identity is the CANONICAL ENTITY NAME from ICanonicalEntityCatalog (for example `QualityEvent`), never a physical relation name such as `canonical_material_units` and never an overloaded Analysis Subject key. Add a representation-independent root `outputTarget` to hashed Canvas canonical content for new Graph and SQL saves. For Graph, retain `graph.targetEntity` for T-242/backward compatibility but require it to equal the root outputTarget on new writes. For pre-T-253 Graph content lacking the root key, Read may derive outputTarget from the existing graph.targetEntity; for pre-T-253 SQL content lacking it, return null and do not fabricate a target. Re-saving an old definition after selecting/deriving the governed target creates a new immutable version because the canonical hash legitimately changes; previous versions remain untouched. Expose a minimal read-only enumeration from ICanonicalEntityCatalog through the existing AuthoringSupport endpoint group so the shell can populate a governed target picker without using MappingDefinitionService.AllowedTargetEntities. Server-side save validates the supplied outputTarget against the canonical catalog. Use StandardP2Select and conforming accessible caption/control semantics; SharedAuthoringShell currently has zero raw-control baseline. Do not change DB topology, mapping AllowedTargetEntities, Analysis Subject persistence, job runtime or unrelated charts.
v2.20.3 TARGET-ELIGIBILITY RULING — enumeration of every mapped canonical entity is NOT a valid picker authority. Introduce one explicit model/type-sourced capability predicate for entities that are legal canonical projection/authoring targets: the marker interface `ICanonicalProjectionTarget` on the canonical entity type. This is the exact v2.20.3 implementation ruling; do not substitute an EF annotation or schema heuristic. ICanonicalEntityCatalog enumerates only mapped, uniquely named entities carrying that capability when serving the output-target picker, and exposes an `IsProjectionTarget`/equivalent validation path. Do not infer eligibility from schema alone: current legitimate targets include configuration/reference entities such as ParameterDefinition and DefectCatalog that are not in ppiq_plant, while ppiq_plant also contains analytical/result entities that must not become import/authoring targets automatically. The capability is the authority; physical schema/logical family is a consistency check, not the eligibility rule.</x:v>
      </x:c>
      <x:c r="I57" s="101" t="str">
        <x:v>1) Current-source preflight first verifies T-244 (`4d32c6b10b4605aeb6e0705ad03537d563125652`) is an ancestor of current HEAD; if not, STOP and return to CENTRAL. 2) New Graph save: selected canonical entity appears as root outputTarget and graph.targetEntity, values match, save/reopen preserves it. 3) New SQL save: selected canonical entity is hashed root outputTarget and save/reopen preserves it. 4) Existing pre-T-253 Graph with no root outputTarget reopens by compatibility derivation from graph.targetEntity; when re-saved it creates a new immutable version and leaves old content/hash untouched. 5) Existing pre-T-253 SQL with no target reopens with null target and cannot fabricate one; user must select a governed target before a target-required save. 6) Invalid/non-catalog output target is refused server-side with a typed reason. 7) Picker values come from ICanonicalEntityCatalog enumeration/read endpoint; no AllowedTargetEntities dependency. 8) Path-scoped architecture guard scans production shared-authoring/API-adapter source (comments stripped, tests and the guard itself excluded) and refuses both `MaterialUnit` and `canonical_material_units` literals; no new global UA-08 term is added. 9) `tsc -b`, focused frontend authoring tests, focused backend Canvas/lifecycle tests and the architecture guard are GREEN. 10) Negative controls: mismatched graph.targetEntity/root outputTarget, invalid target, and reintroduced material literal each make the correct gate red.
Target-eligibility tests prove the picker/catalog does NOT enumerate every mapped CLR entity. Positive representatives include at least `QualityEvent`, `ParameterDefinition` and `DefectCatalog`; negative representatives include `ImportBatch`, `JobRunHistory`, `DashboardWidgetDefinition` and `SourceSystemDefinition`. A newly mapped entity without the explicit projection-target capability is unavailable/refused until intentionally classified. No standalone hardcoded string allowlist is introduced. The current 12-name MappingDefinitionService list remains untouched in T-253 and is later replaced by T-256 consuming this same predicate.</x:v>
      </x:c>
      <x:c r="J57" s="107" t="n">
        <x:v>12</x:v>
      </x:c>
      <x:c r="K57" s="101" t="str">
        <x:v>Done</x:v>
      </x:c>
      <x:c r="L57" s="101" t="str">
        <x:v>Worker 2</x:v>
      </x:c>
      <x:c r="M57" s="101" t="str">
        <x:v>T-094; T-209; T-241; T-244</x:v>
      </x:c>
      <x:c r="N57" s="101" t="str">
        <x:v>T-150; T-243; T-247; T-256; T-262</x:v>
      </x:c>
      <x:c r="O57" s="101" t="str">
        <x:v>M2: ~1 month from owner planning checkpoint; exact date not committed</x:v>
      </x:c>
      <x:c r="P57" s="101" t="str">
        <x:v>Release 1 MUST</x:v>
      </x:c>
      <x:c r="Q57" s="101" t="str">
        <x:v>Frontend/backend integration</x:v>
      </x:c>
      <x:c r="R57" s="195" t="n">
        <x:v>4.8</x:v>
      </x:c>
      <x:c r="S57" s="101" t="str">
        <x:v>M2-P2</x:v>
      </x:c>
      <x:c r="T57" s="101" t="str">
        <x:v>CURRENT / IN PROGRESS. Measured current main HEAD is `aa57a503` (T-242) and there is zero T-243 product-source work. T-243 is therefore reset to Not Started and will begin fresh after T-253. Before authoring, run `git merge-base --is-ancestor 4d32c6b10b4605aeb6e0705ad03537d563125652 HEAD`; continue only on exit 0. Unrelated Documentation/audit dirt may remain unstaged, but all T-253 owned product paths must be clean and the commit must stage only owned paths. Rename the untracked task-number preflight script to a semantic filename before any commit.</x:v>
      </x:c>
      <x:c r="U57" s="101" t="str">
        <x:v>Owned T-253 surfaces only: Frontend shared authoring shell + canvas API adapter + focused authoring tests; Backend CanvasDefinitionContent / Canvas lifecycle contracts+implementation/response path; ICanonicalEntityCatalog interface+implementation; the semantic `ICanonicalProjectionTarget` marker interface and the minimum existing canonical entity declarations needed to mark current legitimate targets; existing AuthoringSupport read endpoint group; focused backend/architecture tests. No DB topology/migrations, no MappingDefinitionService.AllowedTargetEntities edit, no Analysis Subject redesign, no Job runtime, no chart/page styling.</x:v>
      </x:c>
      <x:c r="V57" s="101" t="str">
        <x:v>Canonical outputTarget namespace is canonical entity name, but picker eligibility is a separate explicit model-sourced capability. Root outputTarget is hashed representation-independent authority; graph.targetEntity is compatibility data and must agree on new writes. Do not expose all mapped entities and do not use schema as the sole eligibility predicate. T-243 consumes this contract; T-256 later removes the old MappingDefinitionService string allowlist by consuming the same capability.</x:v>
      </x:c>
      <x:c r="W57" s="101" t="str">
        <x:v>Day-1 Data Workbench — DB Link, Canvas, Jobs &amp; OPC</x:v>
      </x:c>
      <x:c r="X57" s="101" t="str">
        <x:v>CENTRAL v2.20.3: canonical output identity = ICanonicalEntityCatalog CLR canonical name. Projection-target eligibility is separate and MUST use the `ICanonicalProjectionTarget` marker interface on mapped entity types; do not enumerate all mapped entities, do not use schema-only eligibility, and do not add a new string allowlist. New root outputTarget is hashed for Graph+SQL; legacy Graph derives from graph.targetEntity, legacy SQL missing target stays null; minimal catalog enumeration/read endpoint allowed; path-scoped comment-stripped guard only. T-243 remains Not Started.</x:v>
      </x:c>
      <x:c r="Y57" s="196"/>
      <x:c r="Z57" s="197"/>
      <x:c r="AA57" s="101" t="str">
        <x:v>L3.6</x:v>
      </x:c>
      <x:c r="AB57" s="101" t="str">
        <x:v>Board semantics, typed ports and property inspection</x:v>
      </x:c>
      <x:c r="AC57" s="101" t="str">
        <x:v>L2.3</x:v>
      </x:c>
      <x:c r="AD57" s="101" t="str">
        <x:v>Build</x:v>
      </x:c>
      <x:c r="AE57" s="101" t="str">
        <x:v>D1; D2; D5</x:v>
      </x:c>
      <x:c r="AF57" s="101" t="str">
        <x:v>Core</x:v>
      </x:c>
      <x:c r="AG57" s="101" t="str">
        <x:v>R1</x:v>
      </x:c>
      <x:c r="AH57" s="101" t="str">
        <x:v>Advances</x:v>
      </x:c>
      <x:c r="AI57" s="101">
        <x:f t="shared" si="1"/>
      </x:c>
      <x:c r="AJ57" s="101" t="str">
        <x:v>Inherited baseline estimate</x:v>
      </x:c>
      <x:c r="AK57" s="101" t="str">
        <x:v>v4.10.3</x:v>
      </x:c>
      <x:c r="AL57" s="101" t="str">
        <x:v>Chapters 3/4 v4.10.3 — MD + illustrated Word; UI Coverage / UI Controls in this workbook</x:v>
      </x:c>
      <x:c r="AM57" t="n">
        <x:f>IF(ISNUMBER(J57),1,0)</x:f>
        <x:v>1</x:v>
      </x:c>
      <x:c r="AN57" s="101"/>
      <x:c r="AO57" s="194" t="str">
        <x:v>Recorded closed — inherited evidence</x:v>
      </x:c>
      <x:c r="AP57" s="194" t="str">
        <x:v>Inherited v2.22.0 intended record; no new runtime certification in this repair.</x:v>
      </x:c>
      <x:c r="AQ57" s="194"/>
      <x:c r="AR57" s="194" t="str">
        <x:v>INHERITED ESTIMATE</x:v>
      </x:c>
    </x:row>
    <x:row r="58" ht="76" hidden="1" customHeight="1">
      <x:c r="A58" s="101" t="str">
        <x:v>T-254</x:v>
      </x:c>
      <x:c r="B58" s="101" t="str">
        <x:v>M2</x:v>
      </x:c>
      <x:c r="C58" s="101" t="str">
        <x:v>P2</x:v>
      </x:c>
      <x:c r="D58" s="101" t="str">
        <x:v>Customer-facing connector capability truth convergence</x:v>
      </x:c>
      <x:c r="E58" s="101" t="str">
        <x:v>Frontend</x:v>
      </x:c>
      <x:c r="F58" s="101" t="str">
        <x:v>DB Link / capability truth</x:v>
      </x:c>
      <x:c r="G58" s="101" t="str">
        <x:v>Critical</x:v>
      </x:c>
      <x:c r="H58" s="101" t="str">
        <x:v>Eliminate independent frontend/website capability claims for connectors and source systems. Availability, browse/read/subscription/import certification, Planned/Unavailable/Certified state and descriptive capability text are rendered from the backend connector truth snapshot or a generated artifact derived from it. Remove static 'live source' counts/claims that are not backed by current executed certification evidence.
v2.22.0 — Converge backend provider validation and customer-facing truth on one authority; no independent provider capability list. Unimplemented SAP/REST remain explicitly non-executable; OPC metadata must equal runtime facts. This is bounded newly reviewed scope, not blanket reopening of earlier closures.</x:v>
      </x:c>
      <x:c r="I58" s="101" t="str">
        <x:v>Change a connector capability/certification state in a backend fixture and prove the DB Configuration UI and generated website proof change without editing frontend/website source. Unsupported/planned connectors remain dimmed and attempts retain the typed refusal from T-207. Static gate finds no second provider-capability availability registry and no unqualified '6 live source systems' claim.
v2.22.0 — Profile create validation, /provider-types, UI, website and execution capability agree; architecture and behavioral test enumerate unsupported families; changing one authority is reflected by all consumers; preserve valid T-207/T-254 historical proof.</x:v>
      </x:c>
      <x:c r="J58" s="107" t="n">
        <x:v>6</x:v>
      </x:c>
      <x:c r="K58" s="101" t="str">
        <x:v>Not Started</x:v>
      </x:c>
      <x:c r="L58" s="101" t="str">
        <x:v>Worker 2</x:v>
      </x:c>
      <x:c r="M58" s="101" t="str">
        <x:v>T-207</x:v>
      </x:c>
      <x:c r="N58" s="101" t="str">
        <x:v>T-150; T-153; T-247</x:v>
      </x:c>
      <x:c r="O58" s="101" t="str">
        <x:v>M2: ~1 month from owner planning checkpoint; exact date not committed</x:v>
      </x:c>
      <x:c r="P58" s="101" t="str">
        <x:v>Release 1 MUST</x:v>
      </x:c>
      <x:c r="Q58" s="101" t="str">
        <x:v>Frontend/backend integration</x:v>
      </x:c>
      <x:c r="R58" s="195" t="n">
        <x:v>2.55</x:v>
      </x:c>
      <x:c r="S58" s="101" t="str">
        <x:v>M2-P2</x:v>
      </x:c>
      <x:c r="T58" s="101" t="str">
        <x:v>Start after T-253/T-243 checkpoint or while waiting for T-106, on disjoint DB-configuration/website truth files.</x:v>
      </x:c>
      <x:c r="U58" s="101" t="str">
        <x:v>Frontend DB configuration capability rendering + generated website proof adapter/content only. No connector protocol implementation.</x:v>
      </x:c>
      <x:c r="V58" s="101" t="str">
        <x:v>T-153 later changes certification state by executed real-source evidence; UI/website consume the same truth automatically.</x:v>
      </x:c>
      <x:c r="W58" s="101" t="str">
        <x:v>Day-1 Data Workbench — DB Link, Canvas, Jobs &amp; OPC</x:v>
      </x:c>
      <x:c r="X58" s="101" t="str">
        <x:v>Narrow truth-regression task; T-207 remains closed.</x:v>
      </x:c>
      <x:c r="Y58" s="196"/>
      <x:c r="Z58" s="197"/>
      <x:c r="AA58" s="101" t="str">
        <x:v>L1.4</x:v>
      </x:c>
      <x:c r="AB58" s="101" t="str">
        <x:v>Connector capability truth</x:v>
      </x:c>
      <x:c r="AC58" s="101" t="str">
        <x:v>L1.4</x:v>
      </x:c>
      <x:c r="AD58" s="101" t="str">
        <x:v>Converge</x:v>
      </x:c>
      <x:c r="AE58" s="101" t="str">
        <x:v>D1; D2; D3; D5</x:v>
      </x:c>
      <x:c r="AF58" s="101" t="str">
        <x:v>Core</x:v>
      </x:c>
      <x:c r="AG58" s="101" t="str">
        <x:v>R1</x:v>
      </x:c>
      <x:c r="AH58" s="101" t="str">
        <x:v>Advances</x:v>
      </x:c>
      <x:c r="AI58" s="101">
        <x:f t="shared" si="1"/>
      </x:c>
      <x:c r="AJ58" s="101" t="str">
        <x:v>Inherited estimate; scope changed — re-estimation required</x:v>
      </x:c>
      <x:c r="AK58" s="101" t="str">
        <x:v>v4.10.3</x:v>
      </x:c>
      <x:c r="AL58" s="101" t="str">
        <x:v>Chapters 3/4 v4.10.3 — MD + illustrated Word; UI Coverage / UI Controls in this workbook</x:v>
      </x:c>
      <x:c r="AM58" t="n">
        <x:f>IF(ISNUMBER(J58),1,0)</x:f>
        <x:v>1</x:v>
      </x:c>
      <x:c r="AN58" s="101"/>
      <x:c r="AO58" s="194" t="str">
        <x:v>Not started — no completion claimed</x:v>
      </x:c>
      <x:c r="AP58" s="194" t="str">
        <x:v>Inherited v2.22.0 intended record; no new runtime certification in this repair.</x:v>
      </x:c>
      <x:c r="AQ58" s="194"/>
      <x:c r="AR58" s="194" t="str">
        <x:v>INHERITED ESTIMATE</x:v>
      </x:c>
    </x:row>
    <x:row r="59" ht="76" hidden="1" customHeight="1">
      <x:c r="A59" s="101" t="str">
        <x:v>T-261</x:v>
      </x:c>
      <x:c r="B59" s="101" t="str">
        <x:v>M2</x:v>
      </x:c>
      <x:c r="C59" s="101" t="str">
        <x:v>P2</x:v>
      </x:c>
      <x:c r="D59" s="101" t="str">
        <x:v>Governed Transformation/Projection job executor and per-block runtime evidence seam</x:v>
      </x:c>
      <x:c r="E59" s="101" t="str">
        <x:v>Backend / Jobs</x:v>
      </x:c>
      <x:c r="F59" s="101" t="str">
        <x:v>Governed projection runtime</x:v>
      </x:c>
      <x:c r="G59" s="101" t="str">
        <x:v>Critical</x:v>
      </x:c>
      <x:c r="H59" s="101" t="str">
        <x:v>Commission the real governed executor for the existing CanonicalRefresh job family so a resolved DefinitionKind.Transformation target/version is actually executed through the governed Transformation/projection machinery. Preserve T-106 as the single job capability/target/version authority. The runtime must execute the exact resolved immutable Transformation version, never route to generic pending_import, and expose deterministic per-block progress/evidence using stable authored board.nodes[].id correlated to the genuine JobRunHistoryId. Reuse existing run-history/evidence/provenance authorities; do not create a second scheduler, run-history store, capability registry or block-identity model.</x:v>
      </x:c>
      <x:c r="I59" s="101" t="str">
        <x:v>Known-answer proof: a published Transformation resolves through T-106 and CanonicalRefresh executes that exact version through the real projection runtime; genuine JobRun exists only after admission; run evidence records exact definition/version; stable authored block IDs receive deterministic progress/evidence; measured row/result/runtime facts are tied to the real run and existing provenance; typed block failure is isolated; cancellation is honoured; unsupported job families still refuse JX01 pre-admission; pending_import is not used; no second execution/evidence authority exists.</x:v>
      </x:c>
      <x:c r="J59" s="107" t="n">
        <x:v>12</x:v>
      </x:c>
      <x:c r="K59" s="101" t="str">
        <x:v>In Progress</x:v>
      </x:c>
      <x:c r="L59" s="101" t="str">
        <x:v>Worker 2</x:v>
      </x:c>
      <x:c r="M59" s="101" t="str">
        <x:v>T-106; T-241; T-242; T-243; T-099; T-262</x:v>
      </x:c>
      <x:c r="N59" s="101" t="str">
        <x:v>T-104; T-245</x:v>
      </x:c>
      <x:c r="O59" s="101" t="str">
        <x:v>M2: ~1 month from owner planning checkpoint; exact date not committed</x:v>
      </x:c>
      <x:c r="P59" s="101" t="str">
        <x:v>Release 1 MUST</x:v>
      </x:c>
      <x:c r="Q59" s="101" t="str">
        <x:v>Backend/runtime execution</x:v>
      </x:c>
      <x:c r="R59" s="195" t="n">
        <x:v>5.1</x:v>
      </x:c>
      <x:c r="S59" s="101" t="str">
        <x:v>M2-P2</x:v>
      </x:c>
      <x:c r="T59" s="101" t="str">
        <x:v>Consume accepted producer contracts; remaining dependencies: T-106; T-241; T-242; T-243; T-099; T-262. No private scheduler/definition authority. Source-present is not closure proof.
v2.22.1 — Completion prerequisites are the task IDs in column M; contract-only predecessors, if any, are exclusively in column AN. Do not use the rejected v2.22.0 positional columns.</x:v>
      </x:c>
      <x:c r="U59" s="101" t="str">
        <x:v>Own the governed Transformation/Projection executor, job-runtime adapter/evidence seam and targeted tests. Do not redesign Canvas authoring, T-106 capability authority, scheduling, definition lifecycle or frontend UX.</x:v>
      </x:c>
      <x:c r="V59" s="101" t="str">
        <x:v>T-245 consumes the committed executor. Stable board.nodes[].id remains canonical block identity; T-106 remains the job capability/target/version authority.</x:v>
      </x:c>
      <x:c r="W59" s="101" t="str">
        <x:v>Day-1 Data Workbench — DB Link, Canvas, Jobs &amp; OPC</x:v>
      </x:c>
      <x:c r="X59" s="101" t="str">
        <x:v>v2.22.0 owner-approved scope and release disposition; original evidence remains in change log/archive.</x:v>
      </x:c>
      <x:c r="Y59" s="196"/>
      <x:c r="Z59" s="197"/>
      <x:c r="AA59" s="101" t="str">
        <x:v>L2.3</x:v>
      </x:c>
      <x:c r="AB59" s="101" t="str">
        <x:v>Canonical projection with validation, quarantine and reprocessing</x:v>
      </x:c>
      <x:c r="AC59" s="101" t="str">
        <x:v>L3.8; L2.6</x:v>
      </x:c>
      <x:c r="AD59" s="101" t="str">
        <x:v>Build</x:v>
      </x:c>
      <x:c r="AE59" s="101" t="str">
        <x:v>D3; D5</x:v>
      </x:c>
      <x:c r="AF59" s="101" t="str">
        <x:v>Core</x:v>
      </x:c>
      <x:c r="AG59" s="101" t="str">
        <x:v>R1</x:v>
      </x:c>
      <x:c r="AH59" s="101" t="str">
        <x:v>Advances</x:v>
      </x:c>
      <x:c r="AI59" s="101">
        <x:f t="shared" si="1"/>
      </x:c>
      <x:c r="AJ59" s="101" t="str">
        <x:v>Inherited baseline estimate</x:v>
      </x:c>
      <x:c r="AK59" s="101" t="str">
        <x:v>v4.10.3</x:v>
      </x:c>
      <x:c r="AL59" s="101" t="str">
        <x:v>Chapters 3/4 v4.10.3 — MD + illustrated Word; UI Coverage / UI Controls in this workbook</x:v>
      </x:c>
      <x:c r="AM59" t="n">
        <x:f>IF(ISNUMBER(J59),1,0)</x:f>
        <x:v>1</x:v>
      </x:c>
      <x:c r="AN59" s="101"/>
      <x:c r="AO59" s="194" t="str">
        <x:v>In progress — closure not recorded</x:v>
      </x:c>
      <x:c r="AP59" s="194" t="str">
        <x:v>Inherited v2.22.0 intended record; no new runtime certification in this repair.</x:v>
      </x:c>
      <x:c r="AQ59" s="194"/>
      <x:c r="AR59" s="194" t="str">
        <x:v>INHERITED ESTIMATE</x:v>
      </x:c>
    </x:row>
    <x:row r="60" ht="76" hidden="1" customHeight="1">
      <x:c r="A60" s="101" t="str">
        <x:v>T-262</x:v>
      </x:c>
      <x:c r="B60" s="101" t="str">
        <x:v>M2</x:v>
      </x:c>
      <x:c r="C60" s="101" t="str">
        <x:v>P2</x:v>
      </x:c>
      <x:c r="D60" s="101" t="str">
        <x:v>Governed projection declaration and canonical field-binding contract</x:v>
      </x:c>
      <x:c r="E60" s="101" t="str">
        <x:v>Product / Integration</x:v>
      </x:c>
      <x:c r="F60" s="101" t="str">
        <x:v>Governed projection declaration and canonical field-binding contract</x:v>
      </x:c>
      <x:c r="G60" s="101" t="str">
        <x:v>Critical</x:v>
      </x:c>
      <x:c r="H60" s="101" t="str">
        <x:v>Reconcile the source-present T-262 work as an official task: one immutable outputTarget/field-binding declaration with shared Graph/SQL semantics and one server type-compatibility authority. T-261 consumes it; do not reimplement current source.</x:v>
      </x:c>
      <x:c r="I60" s="101" t="str">
        <x:v>Required business fields bound once; system-owned fields not authorable; unknown/ambiguous sources refused; no inferred mapping by name/position/type; declaration changes hash; old versions reopen unchanged and refuse governed execution until explicitly upgraded; source tests plus needed integration closure.</x:v>
      </x:c>
      <x:c r="J60" s="198"/>
      <x:c r="K60" s="101" t="str">
        <x:v>In Progress</x:v>
      </x:c>
      <x:c r="L60" s="101" t="str">
        <x:v>Worker 2</x:v>
      </x:c>
      <x:c r="M60" s="101" t="str">
        <x:v>T-253; T-243</x:v>
      </x:c>
      <x:c r="N60" s="101" t="str">
        <x:v>T-245; T-247; T-261</x:v>
      </x:c>
      <x:c r="O60" s="101" t="str">
        <x:v>M2: ~1 month from owner planning checkpoint; exact date not committed</x:v>
      </x:c>
      <x:c r="P60" s="101" t="str">
        <x:v>Release 1 MUST</x:v>
      </x:c>
      <x:c r="Q60" s="101" t="str">
        <x:v>Governed product integration</x:v>
      </x:c>
      <x:c r="R60" s="195"/>
      <x:c r="S60" s="101" t="str">
        <x:v>M2-P2</x:v>
      </x:c>
      <x:c r="T60" s="101" t="str">
        <x:v>Consume accepted producer contracts; remaining dependencies: T-253; T-243. No private scheduler/definition authority. Source-present is not closure proof.
v2.22.1 — Completion prerequisites are the task IDs in column M; contract-only predecessors, if any, are exclusively in column AN. Do not use the rejected v2.22.0 positional columns.</x:v>
      </x:c>
      <x:c r="U60" s="101" t="str">
        <x:v>Semantic product filenames only. CENTRAL assigns shared file locks before overlapping worker writes.</x:v>
      </x:c>
      <x:c r="V60" s="101" t="str">
        <x:v>Reuse current canonical authorities; no shadow lifecycle/registry/scheduler.</x:v>
      </x:c>
      <x:c r="W60" s="101" t="str">
        <x:v>Day-1 Data Workbench — DB Link, Canvas, Jobs &amp; OPC</x:v>
      </x:c>
      <x:c r="X60" s="101" t="str">
        <x:v>v2.22.0 owner-approved scope and release disposition; original evidence remains in change log/archive.</x:v>
      </x:c>
      <x:c r="Y60" s="196"/>
      <x:c r="Z60" s="197"/>
      <x:c r="AA60" s="101" t="str">
        <x:v>L2.2</x:v>
      </x:c>
      <x:c r="AB60" s="101" t="str">
        <x:v>Transformation authoring and relationship publication</x:v>
      </x:c>
      <x:c r="AC60" s="101" t="str">
        <x:v>L2.3; L3.6</x:v>
      </x:c>
      <x:c r="AD60" s="101" t="str">
        <x:v>Build</x:v>
      </x:c>
      <x:c r="AE60" s="101" t="str">
        <x:v>D2; D3; D4; D5</x:v>
      </x:c>
      <x:c r="AF60" s="101" t="str">
        <x:v>Core</x:v>
      </x:c>
      <x:c r="AG60" s="101" t="str">
        <x:v>R1</x:v>
      </x:c>
      <x:c r="AH60" s="101" t="str">
        <x:v>Advances</x:v>
      </x:c>
      <x:c r="AI60" s="101" t="str">
        <x:f t="shared" si="1"/>
        <x:v>Source present / unclosed. Exact accepted closure commit and runtime acceptance are not supplied; existing implementation must not be recreated merely because closure is unverified.</x:v>
      </x:c>
      <x:c r="AJ60" s="199" t="str">
        <x:v>UNESTIMATED — new/recognized task; owner calibration pending.</x:v>
      </x:c>
      <x:c r="AK60" s="199" t="str">
        <x:v>v4.10.3</x:v>
      </x:c>
      <x:c r="AL60" s="199" t="str">
        <x:v>Chapters 3/4 v4.10.3 — MD + illustrated Word; UI Coverage / UI Controls in this workbook</x:v>
      </x:c>
      <x:c r="AM60" s="200" t="n">
        <x:f>IF(ISNUMBER(J60),1,0)</x:f>
        <x:v>0</x:v>
      </x:c>
      <x:c r="AN60" s="199"/>
      <x:c r="AO60" s="201" t="str">
        <x:v>SOURCE PRESENT / UNCLOSED — closure unverified</x:v>
      </x:c>
      <x:c r="AP60" s="201" t="str">
        <x:v>14-Sep source export and current review establish source presence. No accepted closure SHA/run supplied; not counted Done.</x:v>
      </x:c>
      <x:c r="AQ60" s="201"/>
      <x:c r="AR60" s="201" t="str">
        <x:v>UNESTIMATED</x:v>
      </x:c>
    </x:row>
    <x:row r="61" ht="76" hidden="1" customHeight="1">
      <x:c r="A61" s="101" t="str">
        <x:v>T-148</x:v>
      </x:c>
      <x:c r="B61" s="101" t="str">
        <x:v>M2</x:v>
      </x:c>
      <x:c r="C61" s="101" t="str">
        <x:v>P3</x:v>
      </x:c>
      <x:c r="D61" s="101" t="str">
        <x:v>Map the 108 page files onto the 40 target pages</x:v>
      </x:c>
      <x:c r="E61" s="101" t="str">
        <x:v>Frontend</x:v>
      </x:c>
      <x:c r="F61" s="101" t="str">
        <x:v>Namespace</x:v>
      </x:c>
      <x:c r="G61" s="101" t="str">
        <x:v>Very Important</x:v>
      </x:c>
      <x:c r="H61" s="101" t="str">
        <x:v>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x:v>
      </x:c>
      <x:c r="I61" s="101" t="str">
        <x:v>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
v2.22.1 —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
v2.23.0 — Consume per-surface approved route/control/state handoffs from T-265/T-266; do not wait for entire backend tasks merely to draft UI. Bind chapter control IDs to actual reachable controls and screen variants. Shared shell/component geometry is required consistency, not a defect. A control-label match alone is not a workflow test. Complete all current M2 route content and record explicitly deferred M3 behavior under its named implementation owner.</x:v>
      </x:c>
      <x:c r="J61" s="107" t="n">
        <x:v>8</x:v>
      </x:c>
      <x:c r="K61" s="101" t="str">
        <x:v>Not Started</x:v>
      </x:c>
      <x:c r="L61" s="101" t="str">
        <x:v>Worker 2</x:v>
      </x:c>
      <x:c r="M61" s="101"/>
      <x:c r="N61" s="101" t="str">
        <x:v>T-248</x:v>
      </x:c>
      <x:c r="O61" s="101" t="str">
        <x:v>M2: ~1 month from owner planning checkpoint; exact date not committed</x:v>
      </x:c>
      <x:c r="P61" s="101" t="str">
        <x:v>Release 1 MUST</x:v>
      </x:c>
      <x:c r="Q61" s="101" t="str">
        <x:v>Frontend/UI feature</x:v>
      </x:c>
      <x:c r="R61" s="195" t="n">
        <x:v>1.3333333333333333</x:v>
      </x:c>
      <x:c r="S61" s="101" t="str">
        <x:v>M2-P3</x:v>
      </x:c>
      <x:c r="T61" s="101" t="str">
        <x:v>R1 route inventory and six shell contracts frozen. Contract-ready handoffs from T-196/T-197/T-198/T-199/T-200 are recorded separately in column AN. Do not wait for the entire M3 implementation or ship a simulated M3 page.</x:v>
      </x:c>
      <x:c r="U61" s="101" t="str">
        <x:v>Own route inventory/redirect cleanup only; do not touch W3 intelligence surfaces.</x:v>
      </x:c>
      <x:c r="V61" s="101" t="str">
        <x:v>Commit before downstream consumer starts; consumer must use the contract, not redesign producer-owned semantics.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x:v>
      </x:c>
      <x:c r="W61" s="101" t="str">
        <x:v>Enterprise BI &amp; Customer Experience</x:v>
      </x:c>
      <x:c r="X61" s="101" t="str">
        <x:v>M2 P3 — Enterprise BI &amp; Customer Experience. Release 1 is genuine early production / first-week customer work.</x:v>
      </x:c>
      <x:c r="Y61" s="196"/>
      <x:c r="Z61" s="197"/>
      <x:c r="AA61" s="101" t="str">
        <x:v>L3.1</x:v>
      </x:c>
      <x:c r="AB61" s="101" t="str">
        <x:v>Analysis page anatomy, layout and visual standard</x:v>
      </x:c>
      <x:c r="AC61" s="101"/>
      <x:c r="AD61" s="101" t="str">
        <x:v>Build</x:v>
      </x:c>
      <x:c r="AE61" s="101" t="str">
        <x:v>D2; D5</x:v>
      </x:c>
      <x:c r="AF61" s="101" t="str">
        <x:v>Core</x:v>
      </x:c>
      <x:c r="AG61" s="101" t="str">
        <x:v>R1</x:v>
      </x:c>
      <x:c r="AH61" s="101" t="str">
        <x:v>Advances</x:v>
      </x:c>
      <x:c r="AI61" s="101">
        <x:f t="shared" si="1"/>
      </x:c>
      <x:c r="AJ61" s="101" t="str">
        <x:v>Inherited baseline estimate</x:v>
      </x:c>
      <x:c r="AK61" s="101" t="str">
        <x:v>v4.10.3</x:v>
      </x:c>
      <x:c r="AL61" s="101" t="str">
        <x:v>Chapters 3/4 v4.10.3 — MD + illustrated Word; UI Coverage / UI Controls in this workbook</x:v>
      </x:c>
      <x:c r="AM61" t="n">
        <x:f>IF(ISNUMBER(J61),1,0)</x:f>
        <x:v>1</x:v>
      </x:c>
      <x:c r="AN61" s="101" t="str">
        <x:v>T-196; T-197; T-198; T-199; T-200; T-265; T-266</x:v>
      </x:c>
      <x:c r="AO61" s="194" t="str">
        <x:v>Not started — no completion claimed</x:v>
      </x:c>
      <x:c r="AP61" s="194" t="str">
        <x:v>Inherited v2.22.0 intended record; no new runtime certification in this repair.</x:v>
      </x:c>
      <x:c r="AQ61" s="194"/>
      <x:c r="AR61" s="194" t="str">
        <x:v>INHERITED ESTIMATE</x:v>
      </x:c>
    </x:row>
    <x:row r="62" ht="76" hidden="1" customHeight="1">
      <x:c r="A62" s="101" t="str">
        <x:v>T-215</x:v>
      </x:c>
      <x:c r="B62" s="101" t="str">
        <x:v>M2</x:v>
      </x:c>
      <x:c r="C62" s="101" t="str">
        <x:v>P3</x:v>
      </x:c>
      <x:c r="D62" s="101" t="str">
        <x:v>Reference gap, attainment and envelope measures in registry/BI</x:v>
      </x:c>
      <x:c r="E62" s="101" t="str">
        <x:v>Frontend/Backend</x:v>
      </x:c>
      <x:c r="F62" s="101" t="str">
        <x:v>Reference analytics</x:v>
      </x:c>
      <x:c r="G62" s="101" t="str">
        <x:v>Very Important</x:v>
      </x:c>
      <x:c r="H62" s="101" t="str">
        <x:v>Expose governed derived measures: GapToReference, NormalizedDeviation, InEnvelope, DistanceToBoundary and Attainment where mathematically valid. Bind them as registry measures without creating a second reference authority.</x:v>
      </x:c>
      <x:c r="I62" s="101" t="str">
        <x:v>Top reference cases higher-is-better, lower-is-better and inside-range produce known answers and correct labels/provenance. An inapplicable attainment formula refuses rather than displaying a misleading percentage. Measures are usable in Page Builder without code per customer reference.</x:v>
      </x:c>
      <x:c r="J62" s="107" t="n">
        <x:v>10</x:v>
      </x:c>
      <x:c r="K62" s="101" t="str">
        <x:v>Not Started</x:v>
      </x:c>
      <x:c r="L62" s="101" t="str">
        <x:v>Worker 2</x:v>
      </x:c>
      <x:c r="M62" s="101" t="str">
        <x:v>T-092; T-214; T-232</x:v>
      </x:c>
      <x:c r="N62" s="101" t="str">
        <x:v>T-150; T-222</x:v>
      </x:c>
      <x:c r="O62" s="101" t="str">
        <x:v>M2: ~1 month from owner planning checkpoint; exact date not committed</x:v>
      </x:c>
      <x:c r="P62" s="101" t="str">
        <x:v>Release 1 MUST</x:v>
      </x:c>
      <x:c r="Q62" s="101" t="str">
        <x:v>Frontend/backend integration</x:v>
      </x:c>
      <x:c r="R62" s="195" t="n">
        <x:v>4</x:v>
      </x:c>
      <x:c r="S62" s="101" t="str">
        <x:v>M2-P3</x:v>
      </x:c>
      <x:c r="T62" s="101" t="str">
        <x:v>T-092 + T-214.</x:v>
      </x:c>
      <x:c r="U62" s="101" t="str">
        <x:v>Registry projection + query measures + widget labels.</x:v>
      </x:c>
      <x:c r="V62" s="101" t="str">
        <x:v>Consume reference ID/version and scoring semantics; no local UI formula.</x:v>
      </x:c>
      <x:c r="W62" s="101" t="str">
        <x:v>Enterprise BI &amp; Customer Experience</x:v>
      </x:c>
      <x:c r="X62" s="101" t="str">
        <x:v>M2 P3 — Enterprise BI &amp; Customer Experience. Release 1 is genuine early production / first-week customer work.</x:v>
      </x:c>
      <x:c r="Y62" s="196"/>
      <x:c r="Z62" s="197"/>
      <x:c r="AA62" s="101" t="str">
        <x:v>L9.1</x:v>
      </x:c>
      <x:c r="AB62" s="101" t="str">
        <x:v>Performance Reference</x:v>
      </x:c>
      <x:c r="AC62" s="101" t="str">
        <x:v>L3.4</x:v>
      </x:c>
      <x:c r="AD62" s="101" t="str">
        <x:v>Build</x:v>
      </x:c>
      <x:c r="AE62" s="101" t="str">
        <x:v>D2; D3; D5</x:v>
      </x:c>
      <x:c r="AF62" s="101" t="str">
        <x:v>Core</x:v>
      </x:c>
      <x:c r="AG62" s="101" t="str">
        <x:v>R1</x:v>
      </x:c>
      <x:c r="AH62" s="101" t="str">
        <x:v>Advances</x:v>
      </x:c>
      <x:c r="AI62" s="101">
        <x:f t="shared" si="1"/>
      </x:c>
      <x:c r="AJ62" s="101" t="str">
        <x:v>Inherited baseline estimate</x:v>
      </x:c>
      <x:c r="AK62" s="101" t="str">
        <x:v>v4.10.3</x:v>
      </x:c>
      <x:c r="AL62" s="101" t="str">
        <x:v>Chapters 3/4 v4.10.3 — MD + illustrated Word; UI Coverage / UI Controls in this workbook
v2.23.0 — T-265 provides the active M2 reference/measure direction and bound-result UI; T-267 expands the deferred authoring depth. Do not introduce a second Performance Reference authority.</x:v>
      </x:c>
      <x:c r="AM62" t="n">
        <x:f>IF(ISNUMBER(J62),1,0)</x:f>
        <x:v>1</x:v>
      </x:c>
      <x:c r="AN62" s="101"/>
      <x:c r="AO62" s="194" t="str">
        <x:v>Not started — no completion claimed</x:v>
      </x:c>
      <x:c r="AP62" s="194" t="str">
        <x:v>Inherited v2.22.0 intended record; no new runtime certification in this repair.</x:v>
      </x:c>
      <x:c r="AQ62" s="194"/>
      <x:c r="AR62" s="194" t="str">
        <x:v>INHERITED ESTIMATE</x:v>
      </x:c>
    </x:row>
    <x:row r="63" ht="76" hidden="1" customHeight="1">
      <x:c r="A63" s="101" t="str">
        <x:v>T-222</x:v>
      </x:c>
      <x:c r="B63" s="101" t="str">
        <x:v>M2</x:v>
      </x:c>
      <x:c r="C63" s="101" t="str">
        <x:v>P3</x:v>
      </x:c>
      <x:c r="D63" s="101" t="str">
        <x:v>D1/D4 reconciliation evidence surface and reference overlay</x:v>
      </x:c>
      <x:c r="E63" s="101" t="str">
        <x:v>Frontend</x:v>
      </x:c>
      <x:c r="F63" s="101" t="str">
        <x:v>Reconciliation UI</x:v>
      </x:c>
      <x:c r="G63" s="101" t="str">
        <x:v>Very Important</x:v>
      </x:c>
      <x:c r="H63" s="101" t="str">
        <x:v>Render reconciliation cases through existing Findings/Interactive Workspace paths with reference overlays, causal-confidence level and transition/stabilisation regime evidence from T-236. No oil-specific page. September surface consumes the governed kernel result seam; canonical reconciliation tables remain post-demo.</x:v>
      </x:c>
      <x:c r="I63" s="101" t="str">
        <x:v>Customer-shaped historical fixture shows one case end-to-end; all values/evidence open; TemporalUncertain and MissingEvidence have distinct wording; no person/lie wording; cross-filtering remains functional and route/session gates stay green.</x:v>
      </x:c>
      <x:c r="J63" s="107" t="n">
        <x:v>10</x:v>
      </x:c>
      <x:c r="K63" s="101" t="str">
        <x:v>Not Started</x:v>
      </x:c>
      <x:c r="L63" s="101" t="str">
        <x:v>Worker 2</x:v>
      </x:c>
      <x:c r="M63" s="101" t="str">
        <x:v>T-219; T-220; T-215; T-203; T-204</x:v>
      </x:c>
      <x:c r="N63" s="101" t="str">
        <x:v>T-150</x:v>
      </x:c>
      <x:c r="O63" s="101" t="str">
        <x:v>M2: ~1 month from owner planning checkpoint; exact date not committed</x:v>
      </x:c>
      <x:c r="P63" s="101" t="str">
        <x:v>Release 1 MUST</x:v>
      </x:c>
      <x:c r="Q63" s="101" t="str">
        <x:v>Frontend integration</x:v>
      </x:c>
      <x:c r="R63" s="195" t="n">
        <x:v>4.25</x:v>
      </x:c>
      <x:c r="S63" s="101" t="str">
        <x:v>M2-P3</x:v>
      </x:c>
      <x:c r="T63" s="101" t="str">
        <x:v>T-219/T-220 result contract + T-215 + T-203/T-204. Do not create a demo-only store.</x:v>
      </x:c>
      <x:c r="U63" s="101" t="str">
        <x:v>D1/D4 generic components only; no new oil route.</x:v>
      </x:c>
      <x:c r="V63" s="101" t="str">
        <x:v>Use existing governed evidence/result contract. T-221 later changes persistence behind the contract without UI redesign.</x:v>
      </x:c>
      <x:c r="W63" s="101" t="str">
        <x:v>Enterprise BI &amp; Customer Experience</x:v>
      </x:c>
      <x:c r="X63" s="101" t="str">
        <x:v>M2 P3 — Enterprise BI &amp; Customer Experience. Release 1 is genuine early production / first-week customer work.</x:v>
      </x:c>
      <x:c r="Y63" s="196"/>
      <x:c r="Z63" s="197"/>
      <x:c r="AA63" s="101" t="str">
        <x:v>L10.3</x:v>
      </x:c>
      <x:c r="AB63" s="101" t="str">
        <x:v>Operational evidence reconciliation</x:v>
      </x:c>
      <x:c r="AC63" s="101"/>
      <x:c r="AD63" s="101" t="str">
        <x:v>Build</x:v>
      </x:c>
      <x:c r="AE63" s="101" t="str">
        <x:v>D2; D5</x:v>
      </x:c>
      <x:c r="AF63" s="101" t="str">
        <x:v>Advanced</x:v>
      </x:c>
      <x:c r="AG63" s="101" t="str">
        <x:v>R1</x:v>
      </x:c>
      <x:c r="AH63" s="101" t="str">
        <x:v>Advances</x:v>
      </x:c>
      <x:c r="AI63" s="101">
        <x:f t="shared" si="1"/>
      </x:c>
      <x:c r="AJ63" s="101" t="str">
        <x:v>Inherited baseline estimate</x:v>
      </x:c>
      <x:c r="AK63" s="101" t="str">
        <x:v>v4.10.3</x:v>
      </x:c>
      <x:c r="AL63" s="101" t="str">
        <x:v>Chapters 3/4 v4.10.3 — MD + illustrated Word; UI Coverage / UI Controls in this workbook
v2.23.0 — T-265 provides the Release-1 reconciliation evidence/result/refusal surfaces. Use the canonical result envelope and citation references, not local display calculations.</x:v>
      </x:c>
      <x:c r="AM63" t="n">
        <x:f>IF(ISNUMBER(J63),1,0)</x:f>
        <x:v>1</x:v>
      </x:c>
      <x:c r="AN63" s="101"/>
      <x:c r="AO63" s="194" t="str">
        <x:v>Not started — no completion claimed</x:v>
      </x:c>
      <x:c r="AP63" s="194" t="str">
        <x:v>Inherited v2.22.0 intended record; no new runtime certification in this repair.</x:v>
      </x:c>
      <x:c r="AQ63" s="194"/>
      <x:c r="AR63" s="194" t="str">
        <x:v>INHERITED ESTIMATE</x:v>
      </x:c>
    </x:row>
    <x:row r="64" ht="76" hidden="1" customHeight="1">
      <x:c r="A64" s="101" t="str">
        <x:v>T-258</x:v>
      </x:c>
      <x:c r="B64" s="101" t="str">
        <x:v>M2</x:v>
      </x:c>
      <x:c r="C64" s="101" t="str">
        <x:v>P3</x:v>
      </x:c>
      <x:c r="D64" s="101" t="str">
        <x:v>Frontend material-surface genericity convergence and presentation compatibility</x:v>
      </x:c>
      <x:c r="E64" s="101" t="str">
        <x:v>Frontend</x:v>
      </x:c>
      <x:c r="F64" s="101" t="str">
        <x:v>HMI / genericity compatibility</x:v>
      </x:c>
      <x:c r="G64" s="101" t="str">
        <x:v>Critical</x:v>
      </x:c>
      <x:c r="H64" s="101" t="str">
        <x:v>Consume the T-256 backend compatibility/consumer handoff and remove material/heat/coil-specific frontend surfaces from the generic customer product path without breaking the retained presentation profile. Own frontend consumers including MaterialAnalytics pages/routes, material-specific DTO/type assumptions such as DashboardMaterialRow, navigation and UI labels that make a material plant universal. Replace them with Analysis Subject/registry-driven generic surfaces where they are valid product capability, or isolate them behind an explicit presentation compatibility profile when they exist only for the retained demonstration. Do not change backend/API semantics owned by T-256 and do not redesign Page Builder/Canvas.</x:v>
      </x:c>
      <x:c r="I64" s="101" t="str">
        <x:v>Start from the machine-readable T-256 frontend-consumer handoff and close every row. Generic build/navigation has zero required Material/Heat/Coil-specific page, route, DTO or label dependency for a foreign customer-shaped configuration. The retained ppiq_presentation/presentation profile still renders any explicitly retained presentation-only material surface through the bounded compatibility path. Static genericity test covers frontend MaterialAnalytics routes/pages/types and reports unknown=0. No backend file is modified by T-258. T-247 same-binary journey consumes the generic result.</x:v>
      </x:c>
      <x:c r="J64" s="107" t="n">
        <x:v>8</x:v>
      </x:c>
      <x:c r="K64" s="101" t="str">
        <x:v>Not Started</x:v>
      </x:c>
      <x:c r="L64" s="101" t="str">
        <x:v>Worker 2</x:v>
      </x:c>
      <x:c r="M64" s="101" t="str">
        <x:v>T-094; T-250; T-256</x:v>
      </x:c>
      <x:c r="N64" s="101" t="str">
        <x:v>T-150; T-247</x:v>
      </x:c>
      <x:c r="O64" s="101" t="str">
        <x:v>M2: ~1 month from owner planning checkpoint; exact date not committed</x:v>
      </x:c>
      <x:c r="P64" s="101" t="str">
        <x:v>Release 1 MUST</x:v>
      </x:c>
      <x:c r="Q64" s="101" t="str">
        <x:v>Frontend bounded correction</x:v>
      </x:c>
      <x:c r="R64" s="195" t="n">
        <x:v>3.4</x:v>
      </x:c>
      <x:c r="S64" s="101" t="str">
        <x:v>M2-P3</x:v>
      </x:c>
      <x:c r="T64" s="101" t="str">
        <x:v>WAIT for T-256 CLOSED and its frontend-consumer handoff manifest. Then perform bounded frontend-only convergence; do not re-investigate backend genericity.</x:v>
      </x:c>
      <x:c r="U64" s="101" t="str">
        <x:v>Frontend MaterialAnalytics/generic navigation/types/tests only. No Backend/API/DB mutation and no Canvas/Job implementation.</x:v>
      </x:c>
      <x:c r="V64" s="101" t="str">
        <x:v>T-256 defines backend semantic/compatibility truth; T-258 consumes it. T-247 validates the same-binary customer journey and does not redesign either side.</x:v>
      </x:c>
      <x:c r="W64" s="101" t="str">
        <x:v>Enterprise BI &amp; Customer Experience</x:v>
      </x:c>
      <x:c r="X64" s="101" t="str">
        <x:v>v2.20.1 ownership split: created to prevent Worker 1 T-256 from crossing into Worker-2 frontend ownership while still closing generic-binary material residue.</x:v>
      </x:c>
      <x:c r="Y64" s="196"/>
      <x:c r="Z64" s="197"/>
      <x:c r="AA64" s="101" t="str">
        <x:v>L5.1</x:v>
      </x:c>
      <x:c r="AB64" s="101" t="str">
        <x:v>Canonical entity catalogue</x:v>
      </x:c>
      <x:c r="AC64" s="101" t="str">
        <x:v>L3.4</x:v>
      </x:c>
      <x:c r="AD64" s="101" t="str">
        <x:v>Converge</x:v>
      </x:c>
      <x:c r="AE64" s="101" t="str">
        <x:v>D1; D2; D5</x:v>
      </x:c>
      <x:c r="AF64" s="101" t="str">
        <x:v>Core</x:v>
      </x:c>
      <x:c r="AG64" s="101" t="str">
        <x:v>R1</x:v>
      </x:c>
      <x:c r="AH64" s="101" t="str">
        <x:v>Advances</x:v>
      </x:c>
      <x:c r="AI64" s="101">
        <x:f t="shared" si="1"/>
      </x:c>
      <x:c r="AJ64" s="101" t="str">
        <x:v>Inherited baseline estimate</x:v>
      </x:c>
      <x:c r="AK64" s="101" t="str">
        <x:v>v4.10.3</x:v>
      </x:c>
      <x:c r="AL64" s="101" t="str">
        <x:v>Chapters 3/4 v4.10.3 — MD + illustrated Word; UI Coverage / UI Controls in this workbook</x:v>
      </x:c>
      <x:c r="AM64" t="n">
        <x:f>IF(ISNUMBER(J64),1,0)</x:f>
        <x:v>1</x:v>
      </x:c>
      <x:c r="AN64" s="101"/>
      <x:c r="AO64" s="194" t="str">
        <x:v>Not started — no completion claimed</x:v>
      </x:c>
      <x:c r="AP64" s="194" t="str">
        <x:v>Inherited v2.22.0 intended record; no new runtime certification in this repair.</x:v>
      </x:c>
      <x:c r="AQ64" s="194"/>
      <x:c r="AR64" s="194" t="str">
        <x:v>INHERITED ESTIMATE</x:v>
      </x:c>
    </x:row>
    <x:row r="65" ht="76" hidden="1" customHeight="1">
      <x:c r="A65" s="101" t="str">
        <x:v>T-137</x:v>
      </x:c>
      <x:c r="B65" s="101" t="str">
        <x:v>M2</x:v>
      </x:c>
      <x:c r="C65" s="101" t="str">
        <x:v>P4</x:v>
      </x:c>
      <x:c r="D65" s="101" t="str">
        <x:v>ModelServingRuntime and model-gateway adapter, isolated from the presentation dock</x:v>
      </x:c>
      <x:c r="E65" s="101" t="str">
        <x:v>AI+ML</x:v>
      </x:c>
      <x:c r="F65" s="101" t="str">
        <x:v>LLM runtime</x:v>
      </x:c>
      <x:c r="G65" s="101" t="str">
        <x:v>Very Important</x:v>
      </x:c>
      <x:c r="H65" s="101" t="str">
        <x:v>Replace the obsolete provider-specific POST assumption with a replaceable ModelServingRuntime plus model-gateway adapter. Support self-hosted/private/BYOM endpoints, minimum-scoped evidence payloads, provider/model release identity, timeout/cancellation and no-unapproved-fallback. IMPLEMENT NOW ONLY AS AN ISOLATED MODULE: do not register it into the current assistant DI or change the M1 dock/runtime. Canonical wiring happens in T-138.</x:v>
      </x:c>
      <x:c r="I65" s="101" t="str">
        <x:v>Standalone contract tests run against a deterministic fake runtime and an HTTP translating stub. They prove minimum-scoped payload, timeout/cancel, governed provider/model identity, and refusal on unapproved fallback. A repository dependency test proves no production assistant registration or M1 route/file changed in this task.</x:v>
      </x:c>
      <x:c r="J65" s="107" t="n">
        <x:v>10</x:v>
      </x:c>
      <x:c r="K65" s="101" t="str">
        <x:v>Done</x:v>
      </x:c>
      <x:c r="L65" s="101" t="str">
        <x:v>CLOSED</x:v>
      </x:c>
      <x:c r="M65" s="101"/>
      <x:c r="N65" s="101" t="str">
        <x:v>T-122; T-138; T-246</x:v>
      </x:c>
      <x:c r="O65" s="101" t="str">
        <x:v>M2: ~1 month from owner planning checkpoint; exact date not committed</x:v>
      </x:c>
      <x:c r="P65" s="101" t="str">
        <x:v>Release 1 MUST</x:v>
      </x:c>
      <x:c r="Q65" s="101" t="str">
        <x:v>Closed</x:v>
      </x:c>
      <x:c r="R65" s="195" t="n">
        <x:v>0</x:v>
      </x:c>
      <x:c r="S65" s="101" t="str">
        <x:v>M2-P4</x:v>
      </x:c>
      <x:c r="T65" s="101" t="str">
        <x:v>Closed — do not reopen without contradictory regression evidence.</x:v>
      </x:c>
      <x:c r="U65" s="101" t="str">
        <x:v>No active lock.</x:v>
      </x:c>
      <x:c r="V65" s="101" t="str">
        <x:v>None — preserve evidence.</x:v>
      </x:c>
      <x:c r="W65" s="101" t="str">
        <x:v>Industrial Intelligence — References, Reconciliation &amp; Assistant</x:v>
      </x:c>
      <x:c r="X65" s="101" t="str">
        <x:v>M2 P4 — Industrial Intelligence — Reference, Reconciliation &amp; Assistant. Release 1 is genuine early production / first-week customer work.</x:v>
      </x:c>
      <x:c r="Y65" s="196" t="str">
        <x:v>Not recovered from reviewed sessions</x:v>
      </x:c>
      <x:c r="Z65" s="197"/>
      <x:c r="AA65" s="101" t="str">
        <x:v>L4.8</x:v>
      </x:c>
      <x:c r="AB65" s="101" t="str">
        <x:v>Model registry, promotion, serving and fallback</x:v>
      </x:c>
      <x:c r="AC65" s="101"/>
      <x:c r="AD65" s="101" t="str">
        <x:v>Build</x:v>
      </x:c>
      <x:c r="AE65" s="101" t="str">
        <x:v>D3; D5</x:v>
      </x:c>
      <x:c r="AF65" s="101" t="str">
        <x:v>Core</x:v>
      </x:c>
      <x:c r="AG65" s="101" t="str">
        <x:v>R1</x:v>
      </x:c>
      <x:c r="AH65" s="101" t="str">
        <x:v>Advances</x:v>
      </x:c>
      <x:c r="AI65" s="101" t="str">
        <x:f t="shared" si="1"/>
        <x:v>Not recovered from reviewed sessions</x:v>
      </x:c>
      <x:c r="AJ65" s="101" t="str">
        <x:v>Inherited baseline estimate</x:v>
      </x:c>
      <x:c r="AK65" s="101" t="str">
        <x:v>v4.10.3</x:v>
      </x:c>
      <x:c r="AL65" s="101" t="str">
        <x:v>Chapters 3/4 v4.10.3 — MD + illustrated Word; UI Coverage / UI Controls in this workbook</x:v>
      </x:c>
      <x:c r="AM65" t="n">
        <x:f>IF(ISNUMBER(J65),1,0)</x:f>
        <x:v>1</x:v>
      </x:c>
      <x:c r="AN65" s="101"/>
      <x:c r="AO65" s="194" t="str">
        <x:v>Recorded closed — inherited evidence</x:v>
      </x:c>
      <x:c r="AP65" s="194" t="str">
        <x:v>Inherited v2.22.0 intended record; no new runtime certification in this repair.</x:v>
      </x:c>
      <x:c r="AQ65" s="194"/>
      <x:c r="AR65" s="194" t="str">
        <x:v>INHERITED ESTIMATE</x:v>
      </x:c>
    </x:row>
    <x:row r="66" ht="76" hidden="1" customHeight="1">
      <x:c r="A66" s="101" t="str">
        <x:v>T-168</x:v>
      </x:c>
      <x:c r="B66" s="101" t="str">
        <x:v>M2</x:v>
      </x:c>
      <x:c r="C66" s="101" t="str">
        <x:v>P4</x:v>
      </x:c>
      <x:c r="D66" s="101" t="str">
        <x:v>Versioned C#↔Python ML job protocol and isolated runtime harness</x:v>
      </x:c>
      <x:c r="E66" s="101" t="str">
        <x:v>AI+ML</x:v>
      </x:c>
      <x:c r="F66" s="101" t="str">
        <x:v>ML runtime</x:v>
      </x:c>
      <x:c r="G66" s="101" t="str">
        <x:v>Critical</x:v>
      </x:c>
      <x:c r="H66" s="101" t="str">
        <x:v>Build the schema-independent execution protocol between the .NET job runner and Python ML processes. A versioned job spec carries job/tenant/site identity, model family, semantic manifest handle when available, snapshot/artifact URI+hash, seed, code identity, resource/cancellation/checkpoint settings and output location. Python returns a versioned result manifest with terminal state, metrics, artifact hashes, warnings/refusal and checkpoint identity. This task is deliberately NOT registered into production DI, scheduler or presentation runtime.</x:v>
      </x:c>
      <x:c r="I66" s="101" t="str">
        <x:v>Run deterministic fake trainers through success, honest refusal, crash, timeout, cancellation and checkpoint/resume. C# must preserve stdout/stderr and exit identity without parsing free-form text as truth. Re-running the same seeded fixture yields the same result-manifest content hashes. A dependency test proves no current M1 runtime registration changed.</x:v>
      </x:c>
      <x:c r="J66" s="107" t="n">
        <x:v>12</x:v>
      </x:c>
      <x:c r="K66" s="101" t="str">
        <x:v>Done</x:v>
      </x:c>
      <x:c r="L66" s="101" t="str">
        <x:v>CLOSED</x:v>
      </x:c>
      <x:c r="M66" s="101"/>
      <x:c r="N66" s="101" t="str">
        <x:v>T-122; T-175; T-187</x:v>
      </x:c>
      <x:c r="O66" s="101" t="str">
        <x:v>M2: ~1 month from owner planning checkpoint; exact date not committed</x:v>
      </x:c>
      <x:c r="P66" s="101" t="str">
        <x:v>Release 1 MUST</x:v>
      </x:c>
      <x:c r="Q66" s="101" t="str">
        <x:v>Closed</x:v>
      </x:c>
      <x:c r="R66" s="195" t="n">
        <x:v>0</x:v>
      </x:c>
      <x:c r="S66" s="101" t="str">
        <x:v>M2-P4</x:v>
      </x:c>
      <x:c r="T66" s="101" t="str">
        <x:v>Closed — do not reopen without contradictory regression evidence.</x:v>
      </x:c>
      <x:c r="U66" s="101" t="str">
        <x:v>No active lock.</x:v>
      </x:c>
      <x:c r="V66" s="101" t="str">
        <x:v>None — preserve evidence.</x:v>
      </x:c>
      <x:c r="W66" s="101" t="str">
        <x:v>Industrial Intelligence — References, Reconciliation &amp; Assistant</x:v>
      </x:c>
      <x:c r="X66" s="101" t="str">
        <x:v>M2 P4 — Industrial Intelligence — Reference, Reconciliation &amp; Assistant. Release 1 is genuine early production / first-week customer work.</x:v>
      </x:c>
      <x:c r="Y66" s="196" t="str">
        <x:v>16ea041a; 94ab4e40; 723b9434; 6aef283f; ef588f0c — multi-commit runtime/protocol/CI closure</x:v>
      </x:c>
      <x:c r="Z66" s="197"/>
      <x:c r="AA66" s="101" t="str">
        <x:v>L4.4</x:v>
      </x:c>
      <x:c r="AB66" s="101" t="str">
        <x:v>Learned models MF-01 / MF-03 / MF-04</x:v>
      </x:c>
      <x:c r="AC66" s="101" t="str">
        <x:v>L8.4</x:v>
      </x:c>
      <x:c r="AD66" s="101" t="str">
        <x:v>Build</x:v>
      </x:c>
      <x:c r="AE66" s="101" t="str">
        <x:v>D3; D5</x:v>
      </x:c>
      <x:c r="AF66" s="101" t="str">
        <x:v>Core</x:v>
      </x:c>
      <x:c r="AG66" s="101" t="str">
        <x:v>R1</x:v>
      </x:c>
      <x:c r="AH66" s="101" t="str">
        <x:v>Advances</x:v>
      </x:c>
      <x:c r="AI66" s="101" t="str">
        <x:f t="shared" ref="AI66:AI97" si="2">IF(Y66="","",Y66)</x:f>
        <x:v>16ea041a; 94ab4e40; 723b9434; 6aef283f; ef588f0c — multi-commit runtime/protocol/CI closure</x:v>
      </x:c>
      <x:c r="AJ66" s="101" t="str">
        <x:v>Inherited baseline estimate</x:v>
      </x:c>
      <x:c r="AK66" s="101" t="str">
        <x:v>v4.10.3</x:v>
      </x:c>
      <x:c r="AL66" s="101" t="str">
        <x:v>Chapters 3/4 v4.10.3 — MD + illustrated Word; UI Coverage / UI Controls in this workbook</x:v>
      </x:c>
      <x:c r="AM66" t="n">
        <x:f>IF(ISNUMBER(J66),1,0)</x:f>
        <x:v>1</x:v>
      </x:c>
      <x:c r="AN66" s="101"/>
      <x:c r="AO66" s="194" t="str">
        <x:v>Recorded closed — inherited evidence</x:v>
      </x:c>
      <x:c r="AP66" s="194" t="str">
        <x:v>Inherited v2.22.0 intended record; no new runtime certification in this repair.</x:v>
      </x:c>
      <x:c r="AQ66" s="194"/>
      <x:c r="AR66" s="194" t="str">
        <x:v>INHERITED ESTIMATE</x:v>
      </x:c>
    </x:row>
    <x:row r="67" ht="76" hidden="1" customHeight="1">
      <x:c r="A67" s="101" t="str">
        <x:v>T-169</x:v>
      </x:c>
      <x:c r="B67" s="101" t="str">
        <x:v>M2</x:v>
      </x:c>
      <x:c r="C67" s="101" t="str">
        <x:v>P4</x:v>
      </x:c>
      <x:c r="D67" s="101" t="str">
        <x:v>Typed columnar training-artifact library and B-03 harness</x:v>
      </x:c>
      <x:c r="E67" s="101" t="str">
        <x:v>AI+ML</x:v>
      </x:c>
      <x:c r="F67" s="101" t="str">
        <x:v>Data artifacts</x:v>
      </x:c>
      <x:c r="G67" s="101" t="str">
        <x:v>Critical</x:v>
      </x:c>
      <x:c r="H67" s="101" t="str">
        <x:v>Implement a typed columnar artifact abstraction used by sealed feature snapshots. Parquet/Arrow/equivalent remain implementation candidates behind the contract. Own schema/type mapping, column projection, content hash, byte/row counts, deterministic read order, corruption detection and a benchmark hook for B-03. No database table is the training read path and this task does not create final persistence.</x:v>
      </x:c>
      <x:c r="I67" s="101" t="str">
        <x:v>Write and read the same representative fixture through each enabled candidate. Assert stable row/schema/content identity, projected-column reads, bounded memory and explicit refusal for unsupported/corrupt schemas. Produce B-03 benchmark output format without choosing a winner or guessing a production threshold.</x:v>
      </x:c>
      <x:c r="J67" s="107" t="n">
        <x:v>10</x:v>
      </x:c>
      <x:c r="K67" s="101" t="str">
        <x:v>Done</x:v>
      </x:c>
      <x:c r="L67" s="101" t="str">
        <x:v>CLOSED</x:v>
      </x:c>
      <x:c r="M67" s="101"/>
      <x:c r="N67" s="101" t="str">
        <x:v>T-175; T-184; T-187</x:v>
      </x:c>
      <x:c r="O67" s="101" t="str">
        <x:v>M2: ~1 month from owner planning checkpoint; exact date not committed</x:v>
      </x:c>
      <x:c r="P67" s="101" t="str">
        <x:v>Release 1 MUST</x:v>
      </x:c>
      <x:c r="Q67" s="101" t="str">
        <x:v>Closed</x:v>
      </x:c>
      <x:c r="R67" s="195" t="n">
        <x:v>0</x:v>
      </x:c>
      <x:c r="S67" s="101" t="str">
        <x:v>M2-P4</x:v>
      </x:c>
      <x:c r="T67" s="101" t="str">
        <x:v>Closed — do not reopen without contradictory regression evidence.</x:v>
      </x:c>
      <x:c r="U67" s="101" t="str">
        <x:v>No active lock.</x:v>
      </x:c>
      <x:c r="V67" s="101" t="str">
        <x:v>None — preserve evidence.</x:v>
      </x:c>
      <x:c r="W67" s="101" t="str">
        <x:v>Industrial Intelligence — References, Reconciliation &amp; Assistant</x:v>
      </x:c>
      <x:c r="X67" s="101" t="str">
        <x:v>M2 P4 — Industrial Intelligence — Reference, Reconciliation &amp; Assistant. Release 1 is genuine early production / first-week customer work.</x:v>
      </x:c>
      <x:c r="Y67" s="196" t="str">
        <x:v>a887c554 — T-169 Pack 1: typed columnar artifact contract, Parquet and Arrow IPC adapters, two hashes, B-03 hook</x:v>
      </x:c>
      <x:c r="Z67" s="197" t="n">
        <x:v>46247</x:v>
      </x:c>
      <x:c r="AA67" s="101" t="str">
        <x:v>L4.3</x:v>
      </x:c>
      <x:c r="AB67" s="101" t="str">
        <x:v>Feature engineering and incremental feature refresh</x:v>
      </x:c>
      <x:c r="AC67" s="101"/>
      <x:c r="AD67" s="101" t="str">
        <x:v>Build</x:v>
      </x:c>
      <x:c r="AE67" s="101" t="str">
        <x:v>D3; D5</x:v>
      </x:c>
      <x:c r="AF67" s="101" t="str">
        <x:v>Core</x:v>
      </x:c>
      <x:c r="AG67" s="101" t="str">
        <x:v>R1</x:v>
      </x:c>
      <x:c r="AH67" s="101" t="str">
        <x:v>Advances</x:v>
      </x:c>
      <x:c r="AI67" s="101" t="str">
        <x:f t="shared" si="2"/>
        <x:v>a887c554 — T-169 Pack 1: typed columnar artifact contract, Parquet and Arrow IPC adapters, two hashes, B-03 hook</x:v>
      </x:c>
      <x:c r="AJ67" s="101" t="str">
        <x:v>Inherited baseline estimate</x:v>
      </x:c>
      <x:c r="AK67" s="101" t="str">
        <x:v>v4.10.3</x:v>
      </x:c>
      <x:c r="AL67" s="101" t="str">
        <x:v>Chapters 3/4 v4.10.3 — MD + illustrated Word; UI Coverage / UI Controls in this workbook</x:v>
      </x:c>
      <x:c r="AM67" t="n">
        <x:f>IF(ISNUMBER(J67),1,0)</x:f>
        <x:v>1</x:v>
      </x:c>
      <x:c r="AN67" s="101"/>
      <x:c r="AO67" s="194" t="str">
        <x:v>Recorded closed — inherited evidence</x:v>
      </x:c>
      <x:c r="AP67" s="194" t="str">
        <x:v>Inherited v2.22.0 intended record; no new runtime certification in this repair.</x:v>
      </x:c>
      <x:c r="AQ67" s="194"/>
      <x:c r="AR67" s="194" t="str">
        <x:v>INHERITED ESTIMATE</x:v>
      </x:c>
    </x:row>
    <x:row r="68" ht="76" hidden="1" customHeight="1">
      <x:c r="A68" s="101" t="str">
        <x:v>T-170</x:v>
      </x:c>
      <x:c r="B68" s="101" t="str">
        <x:v>M2</x:v>
      </x:c>
      <x:c r="C68" s="101" t="str">
        <x:v>P4</x:v>
      </x:c>
      <x:c r="D68" s="101" t="str">
        <x:v>Chunked sequence-artifact library and bounded loader</x:v>
      </x:c>
      <x:c r="E68" s="101" t="str">
        <x:v>AI+ML</x:v>
      </x:c>
      <x:c r="F68" s="101" t="str">
        <x:v>Data artifacts</x:v>
      </x:c>
      <x:c r="G68" s="101" t="str">
        <x:v>Critical</x:v>
      </x:c>
      <x:c r="H68" s="101" t="str">
        <x:v>Implement the schema-independent sequence payload contract: immutable chunked typed numeric arrays, compression seam, chunk index, content hashes and bounded streaming/memory-mapped reads where supported. PostgreSQL array payloads are forbidden; final sequence_manifests persistence is T-185. Include the B-04 benchmark hook.</x:v>
      </x:c>
      <x:c r="I68" s="101" t="str">
        <x:v>Generate a large synthetic multi-channel sequence fixture, read it without whole-payload materialisation, verify chunk order/content hash and detect a corrupted/missing chunk. Compare at least two chunk/compression settings and emit B-04 measurements without hardcoding the selected values.</x:v>
      </x:c>
      <x:c r="J68" s="107" t="n">
        <x:v>10</x:v>
      </x:c>
      <x:c r="K68" s="101" t="str">
        <x:v>Done</x:v>
      </x:c>
      <x:c r="L68" s="101" t="str">
        <x:v>CLOSED</x:v>
      </x:c>
      <x:c r="M68" s="101"/>
      <x:c r="N68" s="101" t="str">
        <x:v>T-185; T-187</x:v>
      </x:c>
      <x:c r="O68" s="101" t="str">
        <x:v>M2: ~1 month from owner planning checkpoint; exact date not committed</x:v>
      </x:c>
      <x:c r="P68" s="101" t="str">
        <x:v>Release 1 MUST</x:v>
      </x:c>
      <x:c r="Q68" s="101" t="str">
        <x:v>Closed</x:v>
      </x:c>
      <x:c r="R68" s="195" t="n">
        <x:v>0</x:v>
      </x:c>
      <x:c r="S68" s="101" t="str">
        <x:v>M2-P4</x:v>
      </x:c>
      <x:c r="T68" s="101" t="str">
        <x:v>Closed — do not reopen without contradictory regression evidence.</x:v>
      </x:c>
      <x:c r="U68" s="101" t="str">
        <x:v>No active lock.</x:v>
      </x:c>
      <x:c r="V68" s="101" t="str">
        <x:v>None — preserve evidence.</x:v>
      </x:c>
      <x:c r="W68" s="101" t="str">
        <x:v>Industrial Intelligence — References, Reconciliation &amp; Assistant</x:v>
      </x:c>
      <x:c r="X68" s="101" t="str">
        <x:v>M2 P4 — Industrial Intelligence — Reference, Reconciliation &amp; Assistant. Release 1 is genuine early production / first-week customer work.</x:v>
      </x:c>
      <x:c r="Y68" s="196" t="str">
        <x:v>5a216483 — T-170 Chunked sequence-artifact library and bounded loader</x:v>
      </x:c>
      <x:c r="Z68" s="197" t="n">
        <x:v>46249</x:v>
      </x:c>
      <x:c r="AA68" s="101" t="str">
        <x:v>L4.3</x:v>
      </x:c>
      <x:c r="AB68" s="101" t="str">
        <x:v>Feature engineering and incremental feature refresh</x:v>
      </x:c>
      <x:c r="AC68" s="101"/>
      <x:c r="AD68" s="101" t="str">
        <x:v>Build</x:v>
      </x:c>
      <x:c r="AE68" s="101" t="str">
        <x:v>D3; D5</x:v>
      </x:c>
      <x:c r="AF68" s="101" t="str">
        <x:v>Core</x:v>
      </x:c>
      <x:c r="AG68" s="101" t="str">
        <x:v>R1</x:v>
      </x:c>
      <x:c r="AH68" s="101" t="str">
        <x:v>Advances</x:v>
      </x:c>
      <x:c r="AI68" s="101" t="str">
        <x:f t="shared" si="2"/>
        <x:v>5a216483 — T-170 Chunked sequence-artifact library and bounded loader</x:v>
      </x:c>
      <x:c r="AJ68" s="101" t="str">
        <x:v>Inherited baseline estimate</x:v>
      </x:c>
      <x:c r="AK68" s="101" t="str">
        <x:v>v4.10.3</x:v>
      </x:c>
      <x:c r="AL68" s="101" t="str">
        <x:v>Chapters 3/4 v4.10.3 — MD + illustrated Word; UI Coverage / UI Controls in this workbook</x:v>
      </x:c>
      <x:c r="AM68" t="n">
        <x:f>IF(ISNUMBER(J68),1,0)</x:f>
        <x:v>1</x:v>
      </x:c>
      <x:c r="AN68" s="101"/>
      <x:c r="AO68" s="194" t="str">
        <x:v>Recorded closed — inherited evidence</x:v>
      </x:c>
      <x:c r="AP68" s="194" t="str">
        <x:v>Inherited v2.22.0 intended record; no new runtime certification in this repair.</x:v>
      </x:c>
      <x:c r="AQ68" s="194"/>
      <x:c r="AR68" s="194" t="str">
        <x:v>INHERITED ESTIMATE</x:v>
      </x:c>
    </x:row>
    <x:row r="69" ht="76" hidden="1" customHeight="1">
      <x:c r="A69" s="101" t="str">
        <x:v>T-171</x:v>
      </x:c>
      <x:c r="B69" s="101" t="str">
        <x:v>M2</x:v>
      </x:c>
      <x:c r="C69" s="101" t="str">
        <x:v>P4</x:v>
      </x:c>
      <x:c r="D69" s="101" t="str">
        <x:v>Capability Profiler and eligibility/refusal kernel</x:v>
      </x:c>
      <x:c r="E69" s="101" t="str">
        <x:v>Engine</x:v>
      </x:c>
      <x:c r="F69" s="101" t="str">
        <x:v>Readiness</x:v>
      </x:c>
      <x:c r="G69" s="101" t="str">
        <x:v>Critical</x:v>
      </x:c>
      <x:c r="H69" s="101" t="str">
        <x:v>Implement a pure, industry-neutral Capability Profiler that converts declared semantic/data-product facts into measured capability states for statistics, similarity, novelty, supervised prediction, practice and remediation. Include collapsed-dimension handling, genealogy strength, outcome/label availability, population sufficiency and the canonical terminal/refusal taxonomy. No database access or presentation wiring.</x:v>
      </x:c>
      <x:c r="I69" s="101" t="str">
        <x:v>Table-driven fixtures cover a rich plant, a sparse plant, no-genealogy, single-level context, missing labels and unsupported method cases. The same input produces the same capability profile; a collapsed single-level dimension is removed rather than treated as an error; method absence is NOT_APPLICABLE rather than a false zero-variance claim.</x:v>
      </x:c>
      <x:c r="J69" s="107" t="n">
        <x:v>10</x:v>
      </x:c>
      <x:c r="K69" s="101" t="str">
        <x:v>Done</x:v>
      </x:c>
      <x:c r="L69" s="101" t="str">
        <x:v>CLOSED</x:v>
      </x:c>
      <x:c r="M69" s="101"/>
      <x:c r="N69" s="101" t="str">
        <x:v>T-131; T-186; T-187</x:v>
      </x:c>
      <x:c r="O69" s="101" t="str">
        <x:v>M2: ~1 month from owner planning checkpoint; exact date not committed</x:v>
      </x:c>
      <x:c r="P69" s="101" t="str">
        <x:v>Release 1 MUST</x:v>
      </x:c>
      <x:c r="Q69" s="101" t="str">
        <x:v>Closed</x:v>
      </x:c>
      <x:c r="R69" s="195" t="n">
        <x:v>0</x:v>
      </x:c>
      <x:c r="S69" s="101" t="str">
        <x:v>M2-P4</x:v>
      </x:c>
      <x:c r="T69" s="101" t="str">
        <x:v>Closed — do not reopen without contradictory regression evidence.</x:v>
      </x:c>
      <x:c r="U69" s="101" t="str">
        <x:v>No active lock.</x:v>
      </x:c>
      <x:c r="V69" s="101" t="str">
        <x:v>None — preserve evidence.</x:v>
      </x:c>
      <x:c r="W69" s="101" t="str">
        <x:v>Industrial Intelligence — References, Reconciliation &amp; Assistant</x:v>
      </x:c>
      <x:c r="X69" s="101" t="str">
        <x:v>M2 P4 — Industrial Intelligence — Reference, Reconciliation &amp; Assistant. Release 1 is genuine early production / first-week customer work.</x:v>
      </x:c>
      <x:c r="Y69" s="196" t="str">
        <x:v>95cc019c — Capability Profiler Pack 2</x:v>
      </x:c>
      <x:c r="Z69" s="197"/>
      <x:c r="AA69" s="101" t="str">
        <x:v>L4.1</x:v>
      </x:c>
      <x:c r="AB69" s="101" t="str">
        <x:v>Readiness gate and statistical discipline chain</x:v>
      </x:c>
      <x:c r="AC69" s="101"/>
      <x:c r="AD69" s="101" t="str">
        <x:v>Build</x:v>
      </x:c>
      <x:c r="AE69" s="101" t="str">
        <x:v>D3; D5</x:v>
      </x:c>
      <x:c r="AF69" s="101" t="str">
        <x:v>Core</x:v>
      </x:c>
      <x:c r="AG69" s="101" t="str">
        <x:v>R1</x:v>
      </x:c>
      <x:c r="AH69" s="101" t="str">
        <x:v>Advances</x:v>
      </x:c>
      <x:c r="AI69" s="101" t="str">
        <x:f t="shared" si="2"/>
        <x:v>95cc019c — Capability Profiler Pack 2</x:v>
      </x:c>
      <x:c r="AJ69" s="101" t="str">
        <x:v>Inherited baseline estimate</x:v>
      </x:c>
      <x:c r="AK69" s="101" t="str">
        <x:v>v4.10.3</x:v>
      </x:c>
      <x:c r="AL69" s="101" t="str">
        <x:v>Chapters 3/4 v4.10.3 — MD + illustrated Word; UI Coverage / UI Controls in this workbook</x:v>
      </x:c>
      <x:c r="AM69" t="n">
        <x:f>IF(ISNUMBER(J69),1,0)</x:f>
        <x:v>1</x:v>
      </x:c>
      <x:c r="AN69" s="101"/>
      <x:c r="AO69" s="194" t="str">
        <x:v>Recorded closed — inherited evidence</x:v>
      </x:c>
      <x:c r="AP69" s="194" t="str">
        <x:v>Inherited v2.22.0 intended record; no new runtime certification in this repair.</x:v>
      </x:c>
      <x:c r="AQ69" s="194"/>
      <x:c r="AR69" s="194" t="str">
        <x:v>INHERITED ESTIMATE</x:v>
      </x:c>
    </x:row>
    <x:row r="70" ht="76" hidden="1" customHeight="1">
      <x:c r="A70" s="101" t="str">
        <x:v>T-172</x:v>
      </x:c>
      <x:c r="B70" s="101" t="str">
        <x:v>M2</x:v>
      </x:c>
      <x:c r="C70" s="101" t="str">
        <x:v>P4</x:v>
      </x:c>
      <x:c r="D70" s="101" t="str">
        <x:v>MF-01 Process Encoder runtime behind a replaceable contract</x:v>
      </x:c>
      <x:c r="E70" s="101" t="str">
        <x:v>AI+ML</x:v>
      </x:c>
      <x:c r="F70" s="101" t="str">
        <x:v>MF-01 Encoder</x:v>
      </x:c>
      <x:c r="G70" s="101" t="str">
        <x:v>Very Important</x:v>
      </x:c>
      <x:c r="H70" s="101" t="str">
        <x:v>Implement ProcessEncoder as a replaceable runtime with a PyTorch candidate, channel_set_version, deterministic seed/environment manifest, train/encode/artifact contracts and serving-cost telemetry. The encoder is optional and no production promotion decision is made here. It consumes only sealed typed sequence/snapshot artifacts and never live feature_store.</x:v>
      </x:c>
      <x:c r="I70" s="101" t="str">
        <x:v>Train/encode a deterministic fixture twice and compare artifact/embedding reproducibility within declared tolerance. Change channel_set_version and prove the prior encoder is incompatible. Measure metric-lift input hooks, p95 cost and artifact size for B-05; no task declares the encoder deployable merely because it trains.</x:v>
      </x:c>
      <x:c r="J70" s="107" t="n">
        <x:v>12</x:v>
      </x:c>
      <x:c r="K70" s="101" t="str">
        <x:v>Done</x:v>
      </x:c>
      <x:c r="L70" s="101" t="str">
        <x:v>CLOSED</x:v>
      </x:c>
      <x:c r="M70" s="101"/>
      <x:c r="N70" s="101" t="str">
        <x:v>T-187</x:v>
      </x:c>
      <x:c r="O70" s="101" t="str">
        <x:v>M2: ~1 month from owner planning checkpoint; exact date not committed</x:v>
      </x:c>
      <x:c r="P70" s="101" t="str">
        <x:v>Release 1 MUST</x:v>
      </x:c>
      <x:c r="Q70" s="101" t="str">
        <x:v>Closed</x:v>
      </x:c>
      <x:c r="R70" s="195" t="n">
        <x:v>0</x:v>
      </x:c>
      <x:c r="S70" s="101" t="str">
        <x:v>M2-P4</x:v>
      </x:c>
      <x:c r="T70" s="101" t="str">
        <x:v>Closed — do not reopen without contradictory regression evidence.</x:v>
      </x:c>
      <x:c r="U70" s="101" t="str">
        <x:v>No active lock.</x:v>
      </x:c>
      <x:c r="V70" s="101" t="str">
        <x:v>None — preserve evidence.</x:v>
      </x:c>
      <x:c r="W70" s="101" t="str">
        <x:v>Industrial Intelligence — References, Reconciliation &amp; Assistant</x:v>
      </x:c>
      <x:c r="X70" s="101" t="str">
        <x:v>M2 P4 — Industrial Intelligence — Reference, Reconciliation &amp; Assistant. Release 1 is genuine early production / first-week customer work.</x:v>
      </x:c>
      <x:c r="Y70" s="196" t="str">
        <x:v>d4321856 — T-172 MF-01 Process Encoder runtime behind a replaceable contract</x:v>
      </x:c>
      <x:c r="Z70" s="197" t="n">
        <x:v>46249</x:v>
      </x:c>
      <x:c r="AA70" s="101" t="str">
        <x:v>L4.4</x:v>
      </x:c>
      <x:c r="AB70" s="101" t="str">
        <x:v>Learned models MF-01 / MF-03 / MF-04</x:v>
      </x:c>
      <x:c r="AC70" s="101"/>
      <x:c r="AD70" s="101" t="str">
        <x:v>Build</x:v>
      </x:c>
      <x:c r="AE70" s="101" t="str">
        <x:v>D1; D3; D5</x:v>
      </x:c>
      <x:c r="AF70" s="101" t="str">
        <x:v>Core</x:v>
      </x:c>
      <x:c r="AG70" s="101" t="str">
        <x:v>R1</x:v>
      </x:c>
      <x:c r="AH70" s="101" t="str">
        <x:v>Advances</x:v>
      </x:c>
      <x:c r="AI70" s="101" t="str">
        <x:f t="shared" si="2"/>
        <x:v>d4321856 — T-172 MF-01 Process Encoder runtime behind a replaceable contract</x:v>
      </x:c>
      <x:c r="AJ70" s="101" t="str">
        <x:v>Inherited baseline estimate</x:v>
      </x:c>
      <x:c r="AK70" s="101" t="str">
        <x:v>v4.10.3</x:v>
      </x:c>
      <x:c r="AL70" s="101" t="str">
        <x:v>Chapters 3/4 v4.10.3 — MD + illustrated Word; UI Coverage / UI Controls in this workbook</x:v>
      </x:c>
      <x:c r="AM70" t="n">
        <x:f>IF(ISNUMBER(J70),1,0)</x:f>
        <x:v>1</x:v>
      </x:c>
      <x:c r="AN70" s="101"/>
      <x:c r="AO70" s="194" t="str">
        <x:v>Recorded closed — inherited evidence</x:v>
      </x:c>
      <x:c r="AP70" s="194" t="str">
        <x:v>Inherited v2.22.0 intended record; no new runtime certification in this repair.</x:v>
      </x:c>
      <x:c r="AQ70" s="194"/>
      <x:c r="AR70" s="194" t="str">
        <x:v>INHERITED ESTIMATE</x:v>
      </x:c>
    </x:row>
    <x:row r="71" ht="76" hidden="1" customHeight="1">
      <x:c r="A71" s="101" t="str">
        <x:v>T-173</x:v>
      </x:c>
      <x:c r="B71" s="101" t="str">
        <x:v>M2</x:v>
      </x:c>
      <x:c r="C71" s="101" t="str">
        <x:v>P4</x:v>
      </x:c>
      <x:c r="D71" s="101" t="str">
        <x:v>MF-02 VectorSimilarityIndex with exact-Flat recall baseline</x:v>
      </x:c>
      <x:c r="E71" s="101" t="str">
        <x:v>AI+ML</x:v>
      </x:c>
      <x:c r="F71" s="101" t="str">
        <x:v>MF-02 Similarity</x:v>
      </x:c>
      <x:c r="G71" s="101" t="str">
        <x:v>Critical</x:v>
      </x:c>
      <x:c r="H71" s="101" t="str">
        <x:v>Implement the VectorSimilarityIndex product contract: build, seal, extend/new-generation, search and recall_probe. Exact Flat remains the permanent benchmark on a representative sample; ANN families such as HNSW/IVF/PQ/FAISS are candidates only. Index generations are immutable and identified by content/generation manifest.</x:v>
      </x:c>
      <x:c r="I71" s="101" t="str">
        <x:v>Build Exact Flat and at least one approximate candidate on synthetic vectors. Measure recall@k, p95 search, build time and memory; deliberately degrade the ANN and prove a build below recall_floor is not eligible to serve. Repeating a sealed generation yields stable identity and search evidence handles.</x:v>
      </x:c>
      <x:c r="J71" s="107" t="n">
        <x:v>12</x:v>
      </x:c>
      <x:c r="K71" s="101" t="str">
        <x:v>Done</x:v>
      </x:c>
      <x:c r="L71" s="101" t="str">
        <x:v>CLOSED</x:v>
      </x:c>
      <x:c r="M71" s="101"/>
      <x:c r="N71" s="101" t="str">
        <x:v>T-140; T-187</x:v>
      </x:c>
      <x:c r="O71" s="101" t="str">
        <x:v>M2: ~1 month from owner planning checkpoint; exact date not committed</x:v>
      </x:c>
      <x:c r="P71" s="101" t="str">
        <x:v>Release 1 MUST</x:v>
      </x:c>
      <x:c r="Q71" s="101" t="str">
        <x:v>Closed</x:v>
      </x:c>
      <x:c r="R71" s="195" t="n">
        <x:v>0</x:v>
      </x:c>
      <x:c r="S71" s="101" t="str">
        <x:v>M2-P4</x:v>
      </x:c>
      <x:c r="T71" s="101" t="str">
        <x:v>Closed — do not reopen without contradictory regression evidence.</x:v>
      </x:c>
      <x:c r="U71" s="101" t="str">
        <x:v>No active lock.</x:v>
      </x:c>
      <x:c r="V71" s="101" t="str">
        <x:v>None — preserve evidence.</x:v>
      </x:c>
      <x:c r="W71" s="101" t="str">
        <x:v>Industrial Intelligence — References, Reconciliation &amp; Assistant</x:v>
      </x:c>
      <x:c r="X71" s="101" t="str">
        <x:v>M2 P4 — Industrial Intelligence — Reference, Reconciliation &amp; Assistant. Release 1 is genuine early production / first-week customer work.</x:v>
      </x:c>
      <x:c r="Y71" s="196" t="str">
        <x:v>00a14286 — T-173 MF-02 VectorSimilarityIndex with exact-Flat recall baseline</x:v>
      </x:c>
      <x:c r="Z71" s="197" t="n">
        <x:v>46249</x:v>
      </x:c>
      <x:c r="AA71" s="101" t="str">
        <x:v>L4.5</x:v>
      </x:c>
      <x:c r="AB71" s="101" t="str">
        <x:v>Retrieval and similarity index MF-02</x:v>
      </x:c>
      <x:c r="AC71" s="101"/>
      <x:c r="AD71" s="101" t="str">
        <x:v>Build</x:v>
      </x:c>
      <x:c r="AE71" s="101" t="str">
        <x:v>D3; D5</x:v>
      </x:c>
      <x:c r="AF71" s="101" t="str">
        <x:v>Core</x:v>
      </x:c>
      <x:c r="AG71" s="101" t="str">
        <x:v>R1</x:v>
      </x:c>
      <x:c r="AH71" s="101" t="str">
        <x:v>Advances</x:v>
      </x:c>
      <x:c r="AI71" s="101" t="str">
        <x:f t="shared" si="2"/>
        <x:v>00a14286 — T-173 MF-02 VectorSimilarityIndex with exact-Flat recall baseline</x:v>
      </x:c>
      <x:c r="AJ71" s="101" t="str">
        <x:v>Inherited baseline estimate</x:v>
      </x:c>
      <x:c r="AK71" s="101" t="str">
        <x:v>v4.10.3</x:v>
      </x:c>
      <x:c r="AL71" s="101" t="str">
        <x:v>Chapters 3/4 v4.10.3 — MD + illustrated Word; UI Coverage / UI Controls in this workbook</x:v>
      </x:c>
      <x:c r="AM71" t="n">
        <x:f>IF(ISNUMBER(J71),1,0)</x:f>
        <x:v>1</x:v>
      </x:c>
      <x:c r="AN71" s="101"/>
      <x:c r="AO71" s="194" t="str">
        <x:v>Recorded closed — inherited evidence</x:v>
      </x:c>
      <x:c r="AP71" s="194" t="str">
        <x:v>Inherited v2.22.0 intended record; no new runtime certification in this repair.</x:v>
      </x:c>
      <x:c r="AQ71" s="194"/>
      <x:c r="AR71" s="194" t="str">
        <x:v>INHERITED ESTIMATE</x:v>
      </x:c>
    </x:row>
    <x:row r="72" ht="76" hidden="1" customHeight="1">
      <x:c r="A72" s="101" t="str">
        <x:v>T-174</x:v>
      </x:c>
      <x:c r="B72" s="101" t="str">
        <x:v>M2</x:v>
      </x:c>
      <x:c r="C72" s="101" t="str">
        <x:v>P4</x:v>
      </x:c>
      <x:c r="D72" s="101" t="str">
        <x:v>MF-03 novelty-model runtime and honest refusal semantics</x:v>
      </x:c>
      <x:c r="E72" s="101" t="str">
        <x:v>AI+ML</x:v>
      </x:c>
      <x:c r="F72" s="101" t="str">
        <x:v>MF-03 Novelty</x:v>
      </x:c>
      <x:c r="G72" s="101" t="str">
        <x:v>Very Important</x:v>
      </x:c>
      <x:c r="H72" s="101" t="str">
        <x:v>Implement the novelty/anomaly family behind a replaceable contract with a simple baseline first and an isolation/density candidate only where eligible. Persistable outputs must separate score, threshold/calibration identity, population context and refusal state. No source-schema or industry vocabulary is allowed.</x:v>
      </x:c>
      <x:c r="I72" s="101" t="str">
        <x:v>Known synthetic normal/outlier populations produce expected ranking; a too-small or degenerate population returns the correct refusal instead of a fabricated score. Run deterministic seed/environment checks and export artifact/metrics in the common T-168 result-manifest shape.</x:v>
      </x:c>
      <x:c r="J72" s="107" t="n">
        <x:v>10</x:v>
      </x:c>
      <x:c r="K72" s="101" t="str">
        <x:v>Done</x:v>
      </x:c>
      <x:c r="L72" s="101" t="str">
        <x:v>CLOSED</x:v>
      </x:c>
      <x:c r="M72" s="101"/>
      <x:c r="N72" s="101" t="str">
        <x:v>T-187</x:v>
      </x:c>
      <x:c r="O72" s="101" t="str">
        <x:v>M2: ~1 month from owner planning checkpoint; exact date not committed</x:v>
      </x:c>
      <x:c r="P72" s="101" t="str">
        <x:v>Release 1 MUST</x:v>
      </x:c>
      <x:c r="Q72" s="101" t="str">
        <x:v>Closed</x:v>
      </x:c>
      <x:c r="R72" s="195" t="n">
        <x:v>0</x:v>
      </x:c>
      <x:c r="S72" s="101" t="str">
        <x:v>M2-P4</x:v>
      </x:c>
      <x:c r="T72" s="101" t="str">
        <x:v>Closed — do not reopen without contradictory regression evidence.</x:v>
      </x:c>
      <x:c r="U72" s="101" t="str">
        <x:v>No active lock.</x:v>
      </x:c>
      <x:c r="V72" s="101" t="str">
        <x:v>None — preserve evidence.</x:v>
      </x:c>
      <x:c r="W72" s="101" t="str">
        <x:v>Industrial Intelligence — References, Reconciliation &amp; Assistant</x:v>
      </x:c>
      <x:c r="X72" s="101" t="str">
        <x:v>M2 P4 — Industrial Intelligence — Reference, Reconciliation &amp; Assistant. Release 1 is genuine early production / first-week customer work.</x:v>
      </x:c>
      <x:c r="Y72" s="196" t="str">
        <x:v>db033796 — T-174 MF-03 novelty runtime and honest refusal semantics</x:v>
      </x:c>
      <x:c r="Z72" s="197" t="n">
        <x:v>46249</x:v>
      </x:c>
      <x:c r="AA72" s="101" t="str">
        <x:v>L4.4</x:v>
      </x:c>
      <x:c r="AB72" s="101" t="str">
        <x:v>Learned models MF-01 / MF-03 / MF-04</x:v>
      </x:c>
      <x:c r="AC72" s="101"/>
      <x:c r="AD72" s="101" t="str">
        <x:v>Build</x:v>
      </x:c>
      <x:c r="AE72" s="101" t="str">
        <x:v>D1; D3; D5</x:v>
      </x:c>
      <x:c r="AF72" s="101" t="str">
        <x:v>Core</x:v>
      </x:c>
      <x:c r="AG72" s="101" t="str">
        <x:v>R1</x:v>
      </x:c>
      <x:c r="AH72" s="101" t="str">
        <x:v>Advances</x:v>
      </x:c>
      <x:c r="AI72" s="101" t="str">
        <x:f t="shared" si="2"/>
        <x:v>db033796 — T-174 MF-03 novelty runtime and honest refusal semantics</x:v>
      </x:c>
      <x:c r="AJ72" s="101" t="str">
        <x:v>Inherited baseline estimate</x:v>
      </x:c>
      <x:c r="AK72" s="101" t="str">
        <x:v>v4.10.3</x:v>
      </x:c>
      <x:c r="AL72" s="101" t="str">
        <x:v>Chapters 3/4 v4.10.3 — MD + illustrated Word; UI Coverage / UI Controls in this workbook</x:v>
      </x:c>
      <x:c r="AM72" t="n">
        <x:f>IF(ISNUMBER(J72),1,0)</x:f>
        <x:v>1</x:v>
      </x:c>
      <x:c r="AN72" s="101"/>
      <x:c r="AO72" s="194" t="str">
        <x:v>Recorded closed — inherited evidence</x:v>
      </x:c>
      <x:c r="AP72" s="194" t="str">
        <x:v>Inherited v2.22.0 intended record; no new runtime certification in this repair.</x:v>
      </x:c>
      <x:c r="AQ72" s="194"/>
      <x:c r="AR72" s="194" t="str">
        <x:v>INHERITED ESTIMATE</x:v>
      </x:c>
    </x:row>
    <x:row r="73" ht="76" hidden="1" customHeight="1">
      <x:c r="A73" s="101" t="str">
        <x:v>T-175</x:v>
      </x:c>
      <x:c r="B73" s="101" t="str">
        <x:v>M2</x:v>
      </x:c>
      <x:c r="C73" s="101" t="str">
        <x:v>P4</x:v>
      </x:c>
      <x:c r="D73" s="101" t="str">
        <x:v>MF-04 supervised-outcome training runtime and mandatory simple baseline</x:v>
      </x:c>
      <x:c r="E73" s="101" t="str">
        <x:v>AI+ML</x:v>
      </x:c>
      <x:c r="F73" s="101" t="str">
        <x:v>MF-04 Supervised</x:v>
      </x:c>
      <x:c r="G73" s="101" t="str">
        <x:v>Critical</x:v>
      </x:c>
      <x:c r="H73" s="101" t="str">
        <x:v>Implement SupervisedOutcomeModel behind the common runtime: train a mandatory simple baseline first, then a LightGBM tabular candidate for supported binary/multiclass/ordinal/continuous outcomes. Enforce prediction_cutoff/feature availability before training and emit reproducible artifact, holdout and performance metadata. Do not wire registry activation in this task. v2.10.1 SAFE-NOW OUTCOME RULE. During SAFE-NOW work, outcome definitions, prediction points and detection cutoffs are fixture-declared typed contracts only. Do not bind this task to ppiq_app tables, current ml_outcome_definitions rows, presentation outcomes or any physical production schema. Production supervised training consumes the canonical published SM-06 OutcomeDefinition only after its Release 1 binding is certified.</x:v>
      </x:c>
      <x:c r="I73" s="101" t="str">
        <x:v>Known-answer fixtures cover at least binary and multiclass/ordinal outcomes. Inject a post-cutoff feature and prove training is blocked. The candidate and baseline train on the same sealed snapshot and report comparable metrics plus environment/artifact hashes; no candidate is called champion here. Leakage tests derive cutoff/detection semantics from the typed fixture OutcomeDefinition contract rather than hardcoded product/plant constants. No SAFE-NOW model code contains a production outcome code, canonical grain literal or production detection anchor. The runtime executes completely against sealed in-memory/file fixtures.</x:v>
      </x:c>
      <x:c r="J73" s="107" t="n">
        <x:v>12</x:v>
      </x:c>
      <x:c r="K73" s="101" t="str">
        <x:v>Done</x:v>
      </x:c>
      <x:c r="L73" s="101" t="str">
        <x:v>CLOSED</x:v>
      </x:c>
      <x:c r="M73" s="101" t="str">
        <x:v>T-168; T-169</x:v>
      </x:c>
      <x:c r="N73" s="101" t="str">
        <x:v>T-187</x:v>
      </x:c>
      <x:c r="O73" s="101" t="str">
        <x:v>M2: ~1 month from owner planning checkpoint; exact date not committed</x:v>
      </x:c>
      <x:c r="P73" s="101" t="str">
        <x:v>Release 1 MUST</x:v>
      </x:c>
      <x:c r="Q73" s="101" t="str">
        <x:v>Closed</x:v>
      </x:c>
      <x:c r="R73" s="195" t="n">
        <x:v>0</x:v>
      </x:c>
      <x:c r="S73" s="101" t="str">
        <x:v>M2-P4</x:v>
      </x:c>
      <x:c r="T73" s="101" t="str">
        <x:v>Closed — do not reopen without contradictory regression evidence.</x:v>
      </x:c>
      <x:c r="U73" s="101" t="str">
        <x:v>No active lock.</x:v>
      </x:c>
      <x:c r="V73" s="101" t="str">
        <x:v>None — preserve evidence.</x:v>
      </x:c>
      <x:c r="W73" s="101" t="str">
        <x:v>Industrial Intelligence — References, Reconciliation &amp; Assistant</x:v>
      </x:c>
      <x:c r="X73" s="101" t="str">
        <x:v>M2 P4 — Industrial Intelligence — Reference, Reconciliation &amp; Assistant. Release 1 is genuine early production / first-week customer work.</x:v>
      </x:c>
      <x:c r="Y73" s="196" t="str">
        <x:v>2413c6e1 — T-175 MF-04 supervised training runtime and mandatory simple baseline</x:v>
      </x:c>
      <x:c r="Z73" s="197" t="n">
        <x:v>46249</x:v>
      </x:c>
      <x:c r="AA73" s="101" t="str">
        <x:v>L4.4</x:v>
      </x:c>
      <x:c r="AB73" s="101" t="str">
        <x:v>Learned models MF-01 / MF-03 / MF-04</x:v>
      </x:c>
      <x:c r="AC73" s="101"/>
      <x:c r="AD73" s="101" t="str">
        <x:v>Build</x:v>
      </x:c>
      <x:c r="AE73" s="101" t="str">
        <x:v>D3; D5</x:v>
      </x:c>
      <x:c r="AF73" s="101" t="str">
        <x:v>Core</x:v>
      </x:c>
      <x:c r="AG73" s="101" t="str">
        <x:v>R1</x:v>
      </x:c>
      <x:c r="AH73" s="101" t="str">
        <x:v>Advances</x:v>
      </x:c>
      <x:c r="AI73" s="101" t="str">
        <x:f t="shared" si="2"/>
        <x:v>2413c6e1 — T-175 MF-04 supervised training runtime and mandatory simple baseline</x:v>
      </x:c>
      <x:c r="AJ73" s="101" t="str">
        <x:v>Inherited baseline estimate</x:v>
      </x:c>
      <x:c r="AK73" s="101" t="str">
        <x:v>v4.10.3</x:v>
      </x:c>
      <x:c r="AL73" s="101" t="str">
        <x:v>Chapters 3/4 v4.10.3 — MD + illustrated Word; UI Coverage / UI Controls in this workbook</x:v>
      </x:c>
      <x:c r="AM73" t="n">
        <x:f>IF(ISNUMBER(J73),1,0)</x:f>
        <x:v>1</x:v>
      </x:c>
      <x:c r="AN73" s="101"/>
      <x:c r="AO73" s="194" t="str">
        <x:v>Recorded closed — inherited evidence</x:v>
      </x:c>
      <x:c r="AP73" s="194" t="str">
        <x:v>Inherited v2.22.0 intended record; no new runtime certification in this repair.</x:v>
      </x:c>
      <x:c r="AQ73" s="194"/>
      <x:c r="AR73" s="194" t="str">
        <x:v>INHERITED ESTIMATE</x:v>
      </x:c>
    </x:row>
    <x:row r="74" ht="76" hidden="1" customHeight="1">
      <x:c r="A74" s="101" t="str">
        <x:v>T-176</x:v>
      </x:c>
      <x:c r="B74" s="101" t="str">
        <x:v>M2</x:v>
      </x:c>
      <x:c r="C74" s="101" t="str">
        <x:v>P4</x:v>
      </x:c>
      <x:c r="D74" s="101" t="str">
        <x:v>Calibration, explanation stability and three-dimensional promotion kernel</x:v>
      </x:c>
      <x:c r="E74" s="101" t="str">
        <x:v>AI+ML</x:v>
      </x:c>
      <x:c r="F74" s="101" t="str">
        <x:v>Model governance</x:v>
      </x:c>
      <x:c r="G74" s="101" t="str">
        <x:v>Critical</x:v>
      </x:c>
      <x:c r="H74" s="101" t="str">
        <x:v>Implement the pure evaluation/promotion decision used by learned models. QUALITY covers discrimination/error, calibration, out-of-time, subgroup/regime stability, missingness robustness and explanation stability. SERVING covers p50/p95/p99, throughput, artifact size, RAM/VRAM and warm-up. TRAINING covers duration, peak memory and snapshot throughput. Include the encoder promotion inequality and TreeSHAP as an initial explanation candidate, not a product contract.</x:v>
      </x:c>
      <x:c r="I74" s="101" t="str">
        <x:v>A better-discriminating but worse-calibrated challenger is rejected. A model with unstable explanations is rejected. A simpler baseline that falls within the declared lift threshold defeats a costly encoder. Every promotion decision is reproducible from a frozen metrics document and names the failed dimension.</x:v>
      </x:c>
      <x:c r="J74" s="107" t="n">
        <x:v>12</x:v>
      </x:c>
      <x:c r="K74" s="101" t="str">
        <x:v>Done</x:v>
      </x:c>
      <x:c r="L74" s="101" t="str">
        <x:v>CLOSED</x:v>
      </x:c>
      <x:c r="M74" s="101"/>
      <x:c r="N74" s="101" t="str">
        <x:v>T-140; T-187; T-191</x:v>
      </x:c>
      <x:c r="O74" s="101" t="str">
        <x:v>M2: ~1 month from owner planning checkpoint; exact date not committed</x:v>
      </x:c>
      <x:c r="P74" s="101" t="str">
        <x:v>Release 1 MUST</x:v>
      </x:c>
      <x:c r="Q74" s="101" t="str">
        <x:v>Closed</x:v>
      </x:c>
      <x:c r="R74" s="195" t="n">
        <x:v>0</x:v>
      </x:c>
      <x:c r="S74" s="101" t="str">
        <x:v>M2-P4</x:v>
      </x:c>
      <x:c r="T74" s="101" t="str">
        <x:v>Closed — do not reopen without contradictory regression evidence.</x:v>
      </x:c>
      <x:c r="U74" s="101" t="str">
        <x:v>No active lock.</x:v>
      </x:c>
      <x:c r="V74" s="101" t="str">
        <x:v>None — preserve evidence.</x:v>
      </x:c>
      <x:c r="W74" s="101" t="str">
        <x:v>Industrial Intelligence — References, Reconciliation &amp; Assistant</x:v>
      </x:c>
      <x:c r="X74" s="101" t="str">
        <x:v>M2 P4 — Industrial Intelligence — Reference, Reconciliation &amp; Assistant. Release 1 is genuine early production / first-week customer work.</x:v>
      </x:c>
      <x:c r="Y74" s="196" t="str">
        <x:v>08b54b61; 0a61ccfb — Calibration/explanation stability/promotion kernel + real TreeSHAP Pack 2</x:v>
      </x:c>
      <x:c r="Z74" s="197" t="n">
        <x:v>46249</x:v>
      </x:c>
      <x:c r="AA74" s="101" t="str">
        <x:v>L4.8</x:v>
      </x:c>
      <x:c r="AB74" s="101" t="str">
        <x:v>Model registry, promotion, serving and fallback</x:v>
      </x:c>
      <x:c r="AC74" s="101"/>
      <x:c r="AD74" s="101" t="str">
        <x:v>Build</x:v>
      </x:c>
      <x:c r="AE74" s="101" t="str">
        <x:v>D3; D5</x:v>
      </x:c>
      <x:c r="AF74" s="101" t="str">
        <x:v>Core</x:v>
      </x:c>
      <x:c r="AG74" s="101" t="str">
        <x:v>R1</x:v>
      </x:c>
      <x:c r="AH74" s="101" t="str">
        <x:v>Advances</x:v>
      </x:c>
      <x:c r="AI74" s="101" t="str">
        <x:f t="shared" si="2"/>
        <x:v>08b54b61; 0a61ccfb — Calibration/explanation stability/promotion kernel + real TreeSHAP Pack 2</x:v>
      </x:c>
      <x:c r="AJ74" s="101" t="str">
        <x:v>Inherited baseline estimate</x:v>
      </x:c>
      <x:c r="AK74" s="101" t="str">
        <x:v>v4.10.3</x:v>
      </x:c>
      <x:c r="AL74" s="101" t="str">
        <x:v>Chapters 3/4 v4.10.3 — MD + illustrated Word; UI Coverage / UI Controls in this workbook</x:v>
      </x:c>
      <x:c r="AM74" t="n">
        <x:f>IF(ISNUMBER(J74),1,0)</x:f>
        <x:v>1</x:v>
      </x:c>
      <x:c r="AN74" s="101"/>
      <x:c r="AO74" s="194" t="str">
        <x:v>Recorded closed — inherited evidence</x:v>
      </x:c>
      <x:c r="AP74" s="194" t="str">
        <x:v>Inherited v2.22.0 intended record; no new runtime certification in this repair.</x:v>
      </x:c>
      <x:c r="AQ74" s="194"/>
      <x:c r="AR74" s="194" t="str">
        <x:v>INHERITED ESTIMATE</x:v>
      </x:c>
    </x:row>
    <x:row r="75" ht="76" hidden="1" customHeight="1">
      <x:c r="A75" s="101" t="str">
        <x:v>T-177</x:v>
      </x:c>
      <x:c r="B75" s="101" t="str">
        <x:v>M2</x:v>
      </x:c>
      <x:c r="C75" s="101" t="str">
        <x:v>P4</x:v>
      </x:c>
      <x:c r="D75" s="101" t="str">
        <x:v>Production statistical-method kernel, including Numeric×Categorical</x:v>
      </x:c>
      <x:c r="E75" s="101" t="str">
        <x:v>Engine</x:v>
      </x:c>
      <x:c r="F75" s="101" t="str">
        <x:v>Statistics</x:v>
      </x:c>
      <x:c r="G75" s="101" t="str">
        <x:v>Critical</x:v>
      </x:c>
      <x:c r="H75" s="101" t="str">
        <x:v>Build the schema-independent statistical kernel that T-146 will later wire into production. Preserve the proven Numeric×Numeric, Binary×Numeric and Categorical×Categorical paths and implement Numeric×Categorical with assumption-aware one-way ANOVA and Kruskal-Wallis fallback. Produce aligned population/group counts, effect size, p-value, q/FDR and explicit exclusion taxonomy. v2.10.1 TRACEABILITY TIGHTENING. Before replacing, retiring or reimplementing any existing statistical path, inspect the current reachable statistical implementations and their behavioural tests/source trace and record the proven behaviour that must be preserved. Known-answer fixtures may be authored first because they are mathematics-only and database-independent; fixture construction does not authorise replacement of an existing path before that source/test trace is available.</x:v>
      </x:c>
      <x:c r="I75" s="101" t="str">
        <x:v>Known-answer fixtures select the expected method and effect-size family. Assumption violation switches ANOVA to Kruskal-Wallis. Constant input, unsupported pairing and insufficient groups/sample are three distinct terminal reasons. The kernel has no DI registration, DB write or M1 presentation dependency. Existing proven Numeric×Numeric, Binary×Numeric and Categorical×Categorical behaviours are regression-compared against the new kernel after the current implementation/test trace is inspected. Known-answer fixtures independently certify the mathematics. T-177 may begin with fixture construction before source trace is available, but may not close, retire or replace an existing reachable statistical path until the source/test trace has been inspected and parity is evidenced.</x:v>
      </x:c>
      <x:c r="J75" s="107" t="n">
        <x:v>10</x:v>
      </x:c>
      <x:c r="K75" s="101" t="str">
        <x:v>Done</x:v>
      </x:c>
      <x:c r="L75" s="101" t="str">
        <x:v>CLOSED</x:v>
      </x:c>
      <x:c r="M75" s="101"/>
      <x:c r="N75" s="101" t="str">
        <x:v>T-146; T-147</x:v>
      </x:c>
      <x:c r="O75" s="101" t="str">
        <x:v>M2: ~1 month from owner planning checkpoint; exact date not committed</x:v>
      </x:c>
      <x:c r="P75" s="101" t="str">
        <x:v>Release 1 MUST</x:v>
      </x:c>
      <x:c r="Q75" s="101" t="str">
        <x:v>Closed</x:v>
      </x:c>
      <x:c r="R75" s="195" t="n">
        <x:v>0</x:v>
      </x:c>
      <x:c r="S75" s="101" t="str">
        <x:v>M2-P4</x:v>
      </x:c>
      <x:c r="T75" s="101" t="str">
        <x:v>Closed — do not reopen without contradictory regression evidence.</x:v>
      </x:c>
      <x:c r="U75" s="101" t="str">
        <x:v>No active lock.</x:v>
      </x:c>
      <x:c r="V75" s="101" t="str">
        <x:v>None — preserve evidence.</x:v>
      </x:c>
      <x:c r="W75" s="101" t="str">
        <x:v>Industrial Intelligence — References, Reconciliation &amp; Assistant</x:v>
      </x:c>
      <x:c r="X75" s="101" t="str">
        <x:v>M2 P4 — Industrial Intelligence — Reference, Reconciliation &amp; Assistant. Release 1 is genuine early production / first-week customer work.</x:v>
      </x:c>
      <x:c r="Y75" s="196" t="str">
        <x:v>502f8ca3; 502e0da9; bb4c5686 — T-177 multi-commit statistical-kernel closure</x:v>
      </x:c>
      <x:c r="Z75" s="197"/>
      <x:c r="AA75" s="101" t="str">
        <x:v>L4.2</x:v>
      </x:c>
      <x:c r="AB75" s="101" t="str">
        <x:v>Statistical engines MF-05 / MF-06</x:v>
      </x:c>
      <x:c r="AC75" s="101"/>
      <x:c r="AD75" s="101" t="str">
        <x:v>Build</x:v>
      </x:c>
      <x:c r="AE75" s="101" t="str">
        <x:v>D3; D5</x:v>
      </x:c>
      <x:c r="AF75" s="101" t="str">
        <x:v>Core</x:v>
      </x:c>
      <x:c r="AG75" s="101" t="str">
        <x:v>R1</x:v>
      </x:c>
      <x:c r="AH75" s="101" t="str">
        <x:v>Advances</x:v>
      </x:c>
      <x:c r="AI75" s="101" t="str">
        <x:f t="shared" si="2"/>
        <x:v>502f8ca3; 502e0da9; bb4c5686 — T-177 multi-commit statistical-kernel closure</x:v>
      </x:c>
      <x:c r="AJ75" s="101" t="str">
        <x:v>Inherited baseline estimate</x:v>
      </x:c>
      <x:c r="AK75" s="101" t="str">
        <x:v>v4.10.3</x:v>
      </x:c>
      <x:c r="AL75" s="101" t="str">
        <x:v>Chapters 3/4 v4.10.3 — MD + illustrated Word; UI Coverage / UI Controls in this workbook</x:v>
      </x:c>
      <x:c r="AM75" t="n">
        <x:f>IF(ISNUMBER(J75),1,0)</x:f>
        <x:v>1</x:v>
      </x:c>
      <x:c r="AN75" s="101"/>
      <x:c r="AO75" s="194" t="str">
        <x:v>Recorded closed — inherited evidence</x:v>
      </x:c>
      <x:c r="AP75" s="194" t="str">
        <x:v>Inherited v2.22.0 intended record; no new runtime certification in this repair.</x:v>
      </x:c>
      <x:c r="AQ75" s="194"/>
      <x:c r="AR75" s="194" t="str">
        <x:v>INHERITED ESTIMATE</x:v>
      </x:c>
    </x:row>
    <x:row r="76" ht="76" hidden="1" customHeight="1">
      <x:c r="A76" s="98" t="str">
        <x:v>T-178</x:v>
      </x:c>
      <x:c r="B76" s="98" t="str">
        <x:v>M2</x:v>
      </x:c>
      <x:c r="C76" s="98" t="str">
        <x:v>P4</x:v>
      </x:c>
      <x:c r="D76" s="98" t="str">
        <x:v>Pure remediation eligibility and can_accept decision kernel</x:v>
      </x:c>
      <x:c r="E76" s="98" t="str">
        <x:v>AI+ML</x:v>
      </x:c>
      <x:c r="F76" s="98" t="str">
        <x:v>Remediation</x:v>
      </x:c>
      <x:c r="G76" s="98" t="str">
        <x:v>Critical</x:v>
      </x:c>
      <x:c r="H76" s="98" t="str">
        <x:v>Implement the nine-check remediation eligibility logic and the complete seven-condition can_accept authority as a pure, table-driven domain service. Return actionable, evidence_only, exploratory or suppressed plus named failed checks. No persistence, UI wiring or plant-control client in this task.</x:v>
      </x:c>
      <x:c r="I76" s="98" t="str">
        <x:v>One deterministic case fails each check by name; combinations produce the correct final class. can_accept cannot be reconstructed from fewer fields. A safety-check failure always produces suppressed. Static/dependency tests prove the kernel has no customer-source write/control dependency.</x:v>
      </x:c>
      <x:c r="J76" s="106" t="n">
        <x:v>8</x:v>
      </x:c>
      <x:c r="K76" s="98" t="str">
        <x:v>Done</x:v>
      </x:c>
      <x:c r="L76" s="98" t="str">
        <x:v>CLOSED</x:v>
      </x:c>
      <x:c r="M76" s="101"/>
      <x:c r="N76" s="101" t="str">
        <x:v>T-143</x:v>
      </x:c>
      <x:c r="O76" s="101" t="str">
        <x:v>M2: ~1 month from owner planning checkpoint; exact date not committed</x:v>
      </x:c>
      <x:c r="P76" s="101" t="str">
        <x:v>Release 1 MUST</x:v>
      </x:c>
      <x:c r="Q76" s="101" t="str">
        <x:v>Closed</x:v>
      </x:c>
      <x:c r="R76" s="195" t="n">
        <x:v>0</x:v>
      </x:c>
      <x:c r="S76" s="101" t="str">
        <x:v>M2-P4</x:v>
      </x:c>
      <x:c r="T76" s="101" t="str">
        <x:v>Closed — do not reopen without contradictory regression evidence.</x:v>
      </x:c>
      <x:c r="U76" s="101" t="str">
        <x:v>No active lock.</x:v>
      </x:c>
      <x:c r="V76" s="101" t="str">
        <x:v>None — preserve evidence.</x:v>
      </x:c>
      <x:c r="W76" s="101" t="str">
        <x:v>Industrial Intelligence — References, Reconciliation &amp; Assistant</x:v>
      </x:c>
      <x:c r="X76" s="101" t="str">
        <x:v>M2 P4 — Industrial Intelligence — Reference, Reconciliation &amp; Assistant. Release 1 is genuine early production / first-week customer work.</x:v>
      </x:c>
      <x:c r="Y76" s="196" t="str">
        <x:v>b8792516; b5dbf232 — remediation eligibility/can_accept kernel + corrective canonical precedence</x:v>
      </x:c>
      <x:c r="Z76" s="197" t="n">
        <x:v>46250</x:v>
      </x:c>
      <x:c r="AA76" s="101" t="str">
        <x:v>L4.7</x:v>
      </x:c>
      <x:c r="AB76" s="101" t="str">
        <x:v>Prediction, drivers, explainability and remediation candidates</x:v>
      </x:c>
      <x:c r="AC76" s="101"/>
      <x:c r="AD76" s="101" t="str">
        <x:v>Build</x:v>
      </x:c>
      <x:c r="AE76" s="101" t="str">
        <x:v>D3; D5</x:v>
      </x:c>
      <x:c r="AF76" s="101" t="str">
        <x:v>Core</x:v>
      </x:c>
      <x:c r="AG76" s="101" t="str">
        <x:v>R1</x:v>
      </x:c>
      <x:c r="AH76" s="101" t="str">
        <x:v>Advances</x:v>
      </x:c>
      <x:c r="AI76" s="101" t="str">
        <x:f t="shared" si="2"/>
        <x:v>b8792516; b5dbf232 — remediation eligibility/can_accept kernel + corrective canonical precedence</x:v>
      </x:c>
      <x:c r="AJ76" s="101" t="str">
        <x:v>Inherited baseline estimate</x:v>
      </x:c>
      <x:c r="AK76" s="101" t="str">
        <x:v>v4.10.3</x:v>
      </x:c>
      <x:c r="AL76" s="101" t="str">
        <x:v>Chapters 3/4 v4.10.3 — MD + illustrated Word; UI Coverage / UI Controls in this workbook</x:v>
      </x:c>
      <x:c r="AM76" t="n">
        <x:f>IF(ISNUMBER(J76),1,0)</x:f>
        <x:v>1</x:v>
      </x:c>
      <x:c r="AN76" s="101"/>
      <x:c r="AO76" s="194" t="str">
        <x:v>Recorded closed — inherited evidence</x:v>
      </x:c>
      <x:c r="AP76" s="194" t="str">
        <x:v>Inherited v2.22.0 intended record; no new runtime certification in this repair.</x:v>
      </x:c>
      <x:c r="AQ76" s="194"/>
      <x:c r="AR76" s="194" t="str">
        <x:v>INHERITED ESTIMATE</x:v>
      </x:c>
    </x:row>
    <x:row r="77" ht="76" hidden="1" customHeight="1">
      <x:c r="A77" s="98" t="str">
        <x:v>T-179</x:v>
      </x:c>
      <x:c r="B77" s="98" t="str">
        <x:v>M2</x:v>
      </x:c>
      <x:c r="C77" s="98" t="str">
        <x:v>P4</x:v>
      </x:c>
      <x:c r="D77" s="98" t="str">
        <x:v>Deterministic Assistant tool planner</x:v>
      </x:c>
      <x:c r="E77" s="98" t="str">
        <x:v>AI+ML</x:v>
      </x:c>
      <x:c r="F77" s="98" t="str">
        <x:v>LLM orchestration</x:v>
      </x:c>
      <x:c r="G77" s="98" t="str">
        <x:v>Critical</x:v>
      </x:c>
      <x:c r="H77" s="98" t="str">
        <x:v>Implement the deterministic planner between resolved intent/entity context and declared Layer A/Layer B tools. The LLM never chooses tools. The planner is tenant/permission aware, asks on ambiguity, prioritises structured tools for facts and emits an auditable plan object. Build in a new isolated namespace with no current dock wiring.</x:v>
      </x:c>
      <x:c r="I77" s="98" t="str">
        <x:v>A fixed probe set covers paraphrases, ambiguous entities, permission differences and unsupported intents. Equivalent intents select the same tool set; ambiguity asks rather than guesses; a forbidden tool is never planned. No LLM call occurs during planning.</x:v>
      </x:c>
      <x:c r="J77" s="106" t="n">
        <x:v>10</x:v>
      </x:c>
      <x:c r="K77" s="98" t="str">
        <x:v>Done</x:v>
      </x:c>
      <x:c r="L77" s="98" t="str">
        <x:v>CLOSED</x:v>
      </x:c>
      <x:c r="M77" s="101"/>
      <x:c r="N77" s="101" t="str">
        <x:v>T-138; T-223; T-228</x:v>
      </x:c>
      <x:c r="O77" s="101" t="str">
        <x:v>M2: ~1 month from owner planning checkpoint; exact date not committed</x:v>
      </x:c>
      <x:c r="P77" s="101" t="str">
        <x:v>Release 1 MUST</x:v>
      </x:c>
      <x:c r="Q77" s="101" t="str">
        <x:v>Closed</x:v>
      </x:c>
      <x:c r="R77" s="195" t="n">
        <x:v>0</x:v>
      </x:c>
      <x:c r="S77" s="101" t="str">
        <x:v>M2-P4</x:v>
      </x:c>
      <x:c r="T77" s="101" t="str">
        <x:v>Closed — do not reopen without contradictory regression evidence.</x:v>
      </x:c>
      <x:c r="U77" s="101" t="str">
        <x:v>No active lock.</x:v>
      </x:c>
      <x:c r="V77" s="101" t="str">
        <x:v>None — preserve evidence.</x:v>
      </x:c>
      <x:c r="W77" s="101" t="str">
        <x:v>Industrial Intelligence — References, Reconciliation &amp; Assistant</x:v>
      </x:c>
      <x:c r="X77" s="101" t="str">
        <x:v>M2 P4 — Industrial Intelligence — Reference, Reconciliation &amp; Assistant. Release 1 is genuine early production / first-week customer work.</x:v>
      </x:c>
      <x:c r="Y77" s="196" t="str">
        <x:v>d2bf1834 — T-179: deterministic Assistant tool planner</x:v>
      </x:c>
      <x:c r="Z77" s="197" t="n">
        <x:v>46250</x:v>
      </x:c>
      <x:c r="AA77" s="101" t="str">
        <x:v>L6.2</x:v>
      </x:c>
      <x:c r="AB77" s="101" t="str">
        <x:v>Governed Assistant runtime</x:v>
      </x:c>
      <x:c r="AC77" s="101"/>
      <x:c r="AD77" s="101" t="str">
        <x:v>Build</x:v>
      </x:c>
      <x:c r="AE77" s="101" t="str">
        <x:v>D3; D5</x:v>
      </x:c>
      <x:c r="AF77" s="101" t="str">
        <x:v>Core</x:v>
      </x:c>
      <x:c r="AG77" s="101" t="str">
        <x:v>R1</x:v>
      </x:c>
      <x:c r="AH77" s="101" t="str">
        <x:v>Advances</x:v>
      </x:c>
      <x:c r="AI77" s="101" t="str">
        <x:f t="shared" si="2"/>
        <x:v>d2bf1834 — T-179: deterministic Assistant tool planner</x:v>
      </x:c>
      <x:c r="AJ77" s="101" t="str">
        <x:v>Inherited baseline estimate</x:v>
      </x:c>
      <x:c r="AK77" s="101" t="str">
        <x:v>v4.10.3</x:v>
      </x:c>
      <x:c r="AL77" s="101" t="str">
        <x:v>Chapters 3/4 v4.10.3 — MD + illustrated Word; UI Coverage / UI Controls in this workbook</x:v>
      </x:c>
      <x:c r="AM77" t="n">
        <x:f>IF(ISNUMBER(J77),1,0)</x:f>
        <x:v>1</x:v>
      </x:c>
      <x:c r="AN77" s="101"/>
      <x:c r="AO77" s="194" t="str">
        <x:v>Recorded closed — inherited evidence</x:v>
      </x:c>
      <x:c r="AP77" s="194" t="str">
        <x:v>Inherited v2.22.0 intended record; no new runtime certification in this repair.</x:v>
      </x:c>
      <x:c r="AQ77" s="194"/>
      <x:c r="AR77" s="194" t="str">
        <x:v>INHERITED ESTIMATE</x:v>
      </x:c>
    </x:row>
    <x:row r="78" ht="76" hidden="1" customHeight="1">
      <x:c r="A78" s="98" t="str">
        <x:v>T-180</x:v>
      </x:c>
      <x:c r="B78" s="98" t="str">
        <x:v>M2</x:v>
      </x:c>
      <x:c r="C78" s="98" t="str">
        <x:v>P4</x:v>
      </x:c>
      <x:c r="D78" s="98" t="str">
        <x:v>Permission-first hybrid retrieval and evidence packer</x:v>
      </x:c>
      <x:c r="E78" s="98" t="str">
        <x:v>AI+ML</x:v>
      </x:c>
      <x:c r="F78" s="98" t="str">
        <x:v>LLM grounding</x:v>
      </x:c>
      <x:c r="G78" s="98" t="str">
        <x:v>Critical</x:v>
      </x:c>
      <x:c r="H78" s="98" t="str">
        <x:v>Implement hybrid lexical+semantic retrieval/fusion with permission filtering BEFORE ranking, deduplication, tool-result priority, evidence-handle retention and a hard token budget with reserved answer allowance. Truncation is recorded/disclosed. Re-ranking stays behind an optional benchmarked seam for B-08. Isolated module only; no current presentation corpus cutover.</x:v>
      </x:c>
      <x:c r="I78" s="98" t="str">
        <x:v>A forbidden high-scoring chunk cannot displace an allowed chunk. Duplicate evidence is collapsed without losing handles. A token-overflow fixture records truncation and still preserves higher-priority structured evidence. Run with and without the reranker seam and emit B-07/B-08 measurements.</x:v>
      </x:c>
      <x:c r="J78" s="106" t="n">
        <x:v>12</x:v>
      </x:c>
      <x:c r="K78" s="98" t="str">
        <x:v>Done</x:v>
      </x:c>
      <x:c r="L78" s="98" t="str">
        <x:v>CLOSED</x:v>
      </x:c>
      <x:c r="M78" s="101"/>
      <x:c r="N78" s="101" t="str">
        <x:v>T-138; T-223; T-228</x:v>
      </x:c>
      <x:c r="O78" s="101" t="str">
        <x:v>M2: ~1 month from owner planning checkpoint; exact date not committed</x:v>
      </x:c>
      <x:c r="P78" s="101" t="str">
        <x:v>Release 1 MUST</x:v>
      </x:c>
      <x:c r="Q78" s="101" t="str">
        <x:v>Closed</x:v>
      </x:c>
      <x:c r="R78" s="195" t="n">
        <x:v>0</x:v>
      </x:c>
      <x:c r="S78" s="101" t="str">
        <x:v>M2-P4</x:v>
      </x:c>
      <x:c r="T78" s="101" t="str">
        <x:v>Closed — do not reopen without contradictory regression evidence.</x:v>
      </x:c>
      <x:c r="U78" s="101" t="str">
        <x:v>No active lock.</x:v>
      </x:c>
      <x:c r="V78" s="101" t="str">
        <x:v>None — preserve evidence.</x:v>
      </x:c>
      <x:c r="W78" s="101" t="str">
        <x:v>Industrial Intelligence — References, Reconciliation &amp; Assistant</x:v>
      </x:c>
      <x:c r="X78" s="101" t="str">
        <x:v>M2 P4 — Industrial Intelligence — Reference, Reconciliation &amp; Assistant. Release 1 is genuine early production / first-week customer work.</x:v>
      </x:c>
      <x:c r="Y78" s="196" t="str">
        <x:v>87428c512c6d6d1ca2bf70a6a8b04aadc7a4cc3b — T-180: permission-first hybrid retrieval and deterministic evidence packer</x:v>
      </x:c>
      <x:c r="Z78" s="197" t="n">
        <x:v>46250</x:v>
      </x:c>
      <x:c r="AA78" s="101" t="str">
        <x:v>L6.2</x:v>
      </x:c>
      <x:c r="AB78" s="101" t="str">
        <x:v>Governed Assistant runtime</x:v>
      </x:c>
      <x:c r="AC78" s="101" t="str">
        <x:v>L4.5</x:v>
      </x:c>
      <x:c r="AD78" s="101" t="str">
        <x:v>Build</x:v>
      </x:c>
      <x:c r="AE78" s="101" t="str">
        <x:v>D3; D5</x:v>
      </x:c>
      <x:c r="AF78" s="101" t="str">
        <x:v>Core</x:v>
      </x:c>
      <x:c r="AG78" s="101" t="str">
        <x:v>R1</x:v>
      </x:c>
      <x:c r="AH78" s="101" t="str">
        <x:v>Advances</x:v>
      </x:c>
      <x:c r="AI78" s="101" t="str">
        <x:f t="shared" si="2"/>
        <x:v>87428c512c6d6d1ca2bf70a6a8b04aadc7a4cc3b — T-180: permission-first hybrid retrieval and deterministic evidence packer</x:v>
      </x:c>
      <x:c r="AJ78" s="101" t="str">
        <x:v>Inherited baseline estimate</x:v>
      </x:c>
      <x:c r="AK78" s="101" t="str">
        <x:v>v4.10.3</x:v>
      </x:c>
      <x:c r="AL78" s="101" t="str">
        <x:v>Chapters 3/4 v4.10.3 — MD + illustrated Word; UI Coverage / UI Controls in this workbook</x:v>
      </x:c>
      <x:c r="AM78" t="n">
        <x:f>IF(ISNUMBER(J78),1,0)</x:f>
        <x:v>1</x:v>
      </x:c>
      <x:c r="AN78" s="101"/>
      <x:c r="AO78" s="194" t="str">
        <x:v>Recorded closed — inherited evidence</x:v>
      </x:c>
      <x:c r="AP78" s="194" t="str">
        <x:v>Inherited v2.22.0 intended record; no new runtime certification in this repair.</x:v>
      </x:c>
      <x:c r="AQ78" s="194"/>
      <x:c r="AR78" s="194" t="str">
        <x:v>INHERITED ESTIMATE</x:v>
      </x:c>
    </x:row>
    <x:row r="79" ht="76" hidden="1" customHeight="1">
      <x:c r="A79" s="98" t="str">
        <x:v>T-181</x:v>
      </x:c>
      <x:c r="B79" s="98" t="str">
        <x:v>M2</x:v>
      </x:c>
      <x:c r="C79" s="98" t="str">
        <x:v>P4</x:v>
      </x:c>
      <x:c r="D79" s="98" t="str">
        <x:v>Deterministic answer verifier and Q-01..Q-11 evaluation harness</x:v>
      </x:c>
      <x:c r="E79" s="98" t="str">
        <x:v>AI+ML</x:v>
      </x:c>
      <x:c r="F79" s="98" t="str">
        <x:v>LLM verification</x:v>
      </x:c>
      <x:c r="G79" s="98" t="str">
        <x:v>Critical</x:v>
      </x:c>
      <x:c r="H79" s="98" t="str">
        <x:v>Implement the post-LLM deterministic verifier plus a fixed Assistant quality harness. Verify numeric claims against supplied evidence handles, forbid claim-class upgrade, preserve engine refusal, distinguish transport failure from abstention and reject unsupported claims without another LLM call. Encode Q-01..Q-11 measurements including tool selection, groundedness, citation correctness, refusal and causal-overreach.</x:v>
      </x:c>
      <x:c r="I79" s="98" t="str">
        <x:v>Probe answers deliberately contain an uncited number, upgraded causal wording, erased refusal, fabricated handle and transport failure; each is blocked or classified correctly. A valid cited answer passes. Q-01..Q-11 results are machine-readable and reproducible on the fixed probe set.</x:v>
      </x:c>
      <x:c r="J79" s="106" t="n">
        <x:v>12</x:v>
      </x:c>
      <x:c r="K79" s="98" t="str">
        <x:v>Done</x:v>
      </x:c>
      <x:c r="L79" s="98" t="str">
        <x:v>CLOSED</x:v>
      </x:c>
      <x:c r="M79" s="101"/>
      <x:c r="N79" s="101" t="str">
        <x:v>T-138; T-223; T-228</x:v>
      </x:c>
      <x:c r="O79" s="101" t="str">
        <x:v>M2: ~1 month from owner planning checkpoint; exact date not committed</x:v>
      </x:c>
      <x:c r="P79" s="101" t="str">
        <x:v>Release 1 MUST</x:v>
      </x:c>
      <x:c r="Q79" s="101" t="str">
        <x:v>Closed</x:v>
      </x:c>
      <x:c r="R79" s="195" t="n">
        <x:v>0</x:v>
      </x:c>
      <x:c r="S79" s="101" t="str">
        <x:v>M2-P4</x:v>
      </x:c>
      <x:c r="T79" s="101" t="str">
        <x:v>Closed — do not reopen without contradictory regression evidence.</x:v>
      </x:c>
      <x:c r="U79" s="101" t="str">
        <x:v>No active lock.</x:v>
      </x:c>
      <x:c r="V79" s="101" t="str">
        <x:v>None — preserve evidence.</x:v>
      </x:c>
      <x:c r="W79" s="101" t="str">
        <x:v>Industrial Intelligence — References, Reconciliation &amp; Assistant</x:v>
      </x:c>
      <x:c r="X79" s="101" t="str">
        <x:v>M2 P4 — Industrial Intelligence — Reference, Reconciliation &amp; Assistant. Release 1 is genuine early production / first-week customer work.</x:v>
      </x:c>
      <x:c r="Y79" s="196" t="str">
        <x:v>eaa82b8b45fb1fdb4b406abfbe2809c5f6fc9cd5 — T-181: deterministic answer verifier and Q-01..Q-11 evaluation harness</x:v>
      </x:c>
      <x:c r="Z79" s="197" t="n">
        <x:v>46250</x:v>
      </x:c>
      <x:c r="AA79" s="101" t="str">
        <x:v>L6.2</x:v>
      </x:c>
      <x:c r="AB79" s="101" t="str">
        <x:v>Governed Assistant runtime</x:v>
      </x:c>
      <x:c r="AC79" s="101" t="str">
        <x:v>L5.8</x:v>
      </x:c>
      <x:c r="AD79" s="101" t="str">
        <x:v>Build</x:v>
      </x:c>
      <x:c r="AE79" s="101" t="str">
        <x:v>D3; D5</x:v>
      </x:c>
      <x:c r="AF79" s="101" t="str">
        <x:v>Core</x:v>
      </x:c>
      <x:c r="AG79" s="101" t="str">
        <x:v>R1</x:v>
      </x:c>
      <x:c r="AH79" s="101" t="str">
        <x:v>Advances</x:v>
      </x:c>
      <x:c r="AI79" s="101" t="str">
        <x:f t="shared" si="2"/>
        <x:v>eaa82b8b45fb1fdb4b406abfbe2809c5f6fc9cd5 — T-181: deterministic answer verifier and Q-01..Q-11 evaluation harness</x:v>
      </x:c>
      <x:c r="AJ79" s="101" t="str">
        <x:v>Inherited baseline estimate</x:v>
      </x:c>
      <x:c r="AK79" s="101" t="str">
        <x:v>v4.10.3</x:v>
      </x:c>
      <x:c r="AL79" s="101" t="str">
        <x:v>Chapters 3/4 v4.10.3 — MD + illustrated Word; UI Coverage / UI Controls in this workbook</x:v>
      </x:c>
      <x:c r="AM79" t="n">
        <x:f>IF(ISNUMBER(J79),1,0)</x:f>
        <x:v>1</x:v>
      </x:c>
      <x:c r="AN79" s="101"/>
      <x:c r="AO79" s="194" t="str">
        <x:v>Recorded closed — inherited evidence</x:v>
      </x:c>
      <x:c r="AP79" s="194" t="str">
        <x:v>Inherited v2.22.0 intended record; no new runtime certification in this repair.</x:v>
      </x:c>
      <x:c r="AQ79" s="194"/>
      <x:c r="AR79" s="194" t="str">
        <x:v>INHERITED ESTIMATE</x:v>
      </x:c>
    </x:row>
    <x:row r="80" ht="76" hidden="1" customHeight="1">
      <x:c r="A80" s="101" t="str">
        <x:v>T-182</x:v>
      </x:c>
      <x:c r="B80" s="101" t="str">
        <x:v>M2</x:v>
      </x:c>
      <x:c r="C80" s="101" t="str">
        <x:v>P4</x:v>
      </x:c>
      <x:c r="D80" s="101" t="str">
        <x:v>Benchmark harness and result manifest for B-01..B-09</x:v>
      </x:c>
      <x:c r="E80" s="101" t="str">
        <x:v>Testing</x:v>
      </x:c>
      <x:c r="F80" s="101" t="str">
        <x:v>AI/ML benchmarks</x:v>
      </x:c>
      <x:c r="G80" s="101" t="str">
        <x:v>Very Important</x:v>
      </x:c>
      <x:c r="H80" s="101" t="str">
        <x:v>Create the common benchmark runner/result schema for B-01 through B-09. Record hardware/runtime identity, commit, dataset/snapshot hash, parameters, warm-up, repetitions and p50/p95/p99/throughput/memory metrics as applicable. This task creates measurement machinery only; it must not guess production values.</x:v>
      </x:c>
      <x:c r="I80" s="101" t="str">
        <x:v>Run at least one synthetic smoke benchmark for each B-ID and produce a complete machine-readable result manifest. The harness refuses to publish a 'selected' value without the benchmark inputs/results that justify it. Re-running the same fixture preserves experiment identity and traceability.</x:v>
      </x:c>
      <x:c r="J80" s="107" t="n">
        <x:v>10</x:v>
      </x:c>
      <x:c r="K80" s="101" t="str">
        <x:v>Done</x:v>
      </x:c>
      <x:c r="L80" s="101" t="str">
        <x:v>CLOSED</x:v>
      </x:c>
      <x:c r="M80" s="101"/>
      <x:c r="N80" s="101"/>
      <x:c r="O80" s="101" t="str">
        <x:v>M2: ~1 month from owner planning checkpoint; exact date not committed</x:v>
      </x:c>
      <x:c r="P80" s="101" t="str">
        <x:v>Release 1 MUST</x:v>
      </x:c>
      <x:c r="Q80" s="101" t="str">
        <x:v>Closed</x:v>
      </x:c>
      <x:c r="R80" s="195" t="n">
        <x:v>0</x:v>
      </x:c>
      <x:c r="S80" s="101" t="str">
        <x:v>M2-P4</x:v>
      </x:c>
      <x:c r="T80" s="101" t="str">
        <x:v>Closed — do not reopen without contradictory regression evidence.</x:v>
      </x:c>
      <x:c r="U80" s="101" t="str">
        <x:v>No active lock.</x:v>
      </x:c>
      <x:c r="V80" s="101" t="str">
        <x:v>None — preserve evidence.</x:v>
      </x:c>
      <x:c r="W80" s="101" t="str">
        <x:v>Industrial Intelligence — References, Reconciliation &amp; Assistant</x:v>
      </x:c>
      <x:c r="X80" s="101" t="str">
        <x:v>M2 P4 — Industrial Intelligence — Reference, Reconciliation &amp; Assistant. Release 1 is genuine early production / first-week customer work.</x:v>
      </x:c>
      <x:c r="Y80" s="196" t="str">
        <x:v>Not recovered from reviewed sessions</x:v>
      </x:c>
      <x:c r="Z80" s="197"/>
      <x:c r="AA80" s="101" t="str">
        <x:v>L8.5</x:v>
      </x:c>
      <x:c r="AB80" s="101" t="str">
        <x:v>Sizing model and calibrated performance constants</x:v>
      </x:c>
      <x:c r="AC80" s="101" t="str">
        <x:v>L4.5; L4.8</x:v>
      </x:c>
      <x:c r="AD80" s="101" t="str">
        <x:v>Validate</x:v>
      </x:c>
      <x:c r="AE80" s="101" t="str">
        <x:v>D3; D5</x:v>
      </x:c>
      <x:c r="AF80" s="101" t="str">
        <x:v>Core</x:v>
      </x:c>
      <x:c r="AG80" s="101" t="str">
        <x:v>R1</x:v>
      </x:c>
      <x:c r="AH80" s="101" t="str">
        <x:v>Advances</x:v>
      </x:c>
      <x:c r="AI80" s="101" t="str">
        <x:f t="shared" si="2"/>
        <x:v>Not recovered from reviewed sessions</x:v>
      </x:c>
      <x:c r="AJ80" s="101" t="str">
        <x:v>Inherited baseline estimate</x:v>
      </x:c>
      <x:c r="AK80" s="101" t="str">
        <x:v>v4.10.3</x:v>
      </x:c>
      <x:c r="AL80" s="101" t="str">
        <x:v>Chapters 3/4 v4.10.3 — MD + illustrated Word; UI Coverage / UI Controls in this workbook</x:v>
      </x:c>
      <x:c r="AM80" t="n">
        <x:f>IF(ISNUMBER(J80),1,0)</x:f>
        <x:v>1</x:v>
      </x:c>
      <x:c r="AN80" s="101"/>
      <x:c r="AO80" s="194" t="str">
        <x:v>Recorded closed — inherited evidence</x:v>
      </x:c>
      <x:c r="AP80" s="194" t="str">
        <x:v>Inherited v2.22.0 intended record; no new runtime certification in this repair.</x:v>
      </x:c>
      <x:c r="AQ80" s="194"/>
      <x:c r="AR80" s="194" t="str">
        <x:v>INHERITED ESTIMATE</x:v>
      </x:c>
    </x:row>
    <x:row r="81" ht="76" hidden="1" customHeight="1">
      <x:c r="A81" s="101" t="str">
        <x:v>T-211</x:v>
      </x:c>
      <x:c r="B81" s="101" t="str">
        <x:v>M2</x:v>
      </x:c>
      <x:c r="C81" s="101" t="str">
        <x:v>P4</x:v>
      </x:c>
      <x:c r="D81" s="101" t="str">
        <x:v>Aggregation semantics execution kernel with continuous known answers</x:v>
      </x:c>
      <x:c r="E81" s="101" t="str">
        <x:v>Analytics Engine</x:v>
      </x:c>
      <x:c r="F81" s="101" t="str">
        <x:v>Aggregation kernel</x:v>
      </x:c>
      <x:c r="G81" s="101" t="str">
        <x:v>Critical</x:v>
      </x:c>
      <x:c r="H81" s="101" t="str">
        <x:v>Implement schema-independent aggregation kernels for SampleMean, TimeWeightedMean, Integral, Delta, StateDuration, Count, Min, Max and Last with quality/gap/reset rules and typed refusal. Use controlled fixtures, including irregular sampling, states and counters.</x:v>
      </x:c>
      <x:c r="I81" s="101" t="str">
        <x:v>Known answers match analytical construction; deliberately irregular data proves SampleMean and TimeWeightedMean differ where expected; state duration and counter reset cases pass; undeclared/invalid semantics refuse AG01/AG02. Zero industry vocabulary and no DB access.</x:v>
      </x:c>
      <x:c r="J81" s="107" t="n">
        <x:v>10</x:v>
      </x:c>
      <x:c r="K81" s="101" t="str">
        <x:v>Not Started</x:v>
      </x:c>
      <x:c r="L81" s="101" t="str">
        <x:v>Worker 3</x:v>
      </x:c>
      <x:c r="M81" s="101" t="str">
        <x:v>T-208; T-210</x:v>
      </x:c>
      <x:c r="N81" s="101" t="str">
        <x:v>T-212; T-247</x:v>
      </x:c>
      <x:c r="O81" s="101" t="str">
        <x:v>M2: ~1 month from owner planning checkpoint; exact date not committed</x:v>
      </x:c>
      <x:c r="P81" s="101" t="str">
        <x:v>Release 1 MUST</x:v>
      </x:c>
      <x:c r="Q81" s="101" t="str">
        <x:v>Kernel isolated</x:v>
      </x:c>
      <x:c r="R81" s="195" t="n">
        <x:v>2.5</x:v>
      </x:c>
      <x:c r="S81" s="101" t="str">
        <x:v>M2-P4</x:v>
      </x:c>
      <x:c r="T81" s="101" t="str">
        <x:v>T-208 fixture + T-210 frozen contract. No production DI/persistence until consumer hand-off.</x:v>
      </x:c>
      <x:c r="U81" s="101" t="str">
        <x:v>New analytics kernel/tests only.</x:v>
      </x:c>
      <x:c r="V81" s="101" t="str">
        <x:v>T-212 consumes this kernel unchanged; W3 does not edit dashboard query files.</x:v>
      </x:c>
      <x:c r="W81" s="101" t="str">
        <x:v>Industrial Intelligence — References, Reconciliation &amp; Assistant</x:v>
      </x:c>
      <x:c r="X81" s="101" t="str">
        <x:v>M2 P4 — Industrial Intelligence — Reference, Reconciliation &amp; Assistant. Release 1 is genuine early production / first-week customer work.</x:v>
      </x:c>
      <x:c r="Y81" s="196"/>
      <x:c r="Z81" s="197"/>
      <x:c r="AA81" s="101" t="str">
        <x:v>L4.2</x:v>
      </x:c>
      <x:c r="AB81" s="101" t="str">
        <x:v>Statistical engines MF-05 / MF-06</x:v>
      </x:c>
      <x:c r="AC81" s="101" t="str">
        <x:v>L5.3</x:v>
      </x:c>
      <x:c r="AD81" s="101" t="str">
        <x:v>Build</x:v>
      </x:c>
      <x:c r="AE81" s="101" t="str">
        <x:v>D1; D3; D5</x:v>
      </x:c>
      <x:c r="AF81" s="101" t="str">
        <x:v>Core</x:v>
      </x:c>
      <x:c r="AG81" s="101" t="str">
        <x:v>R1</x:v>
      </x:c>
      <x:c r="AH81" s="101" t="str">
        <x:v>Advances</x:v>
      </x:c>
      <x:c r="AI81" s="101">
        <x:f t="shared" si="2"/>
      </x:c>
      <x:c r="AJ81" s="101" t="str">
        <x:v>Inherited baseline estimate</x:v>
      </x:c>
      <x:c r="AK81" s="101" t="str">
        <x:v>v4.10.3</x:v>
      </x:c>
      <x:c r="AL81" s="101" t="str">
        <x:v>Chapters 3/4 v4.10.3 — MD + illustrated Word; UI Coverage / UI Controls in this workbook</x:v>
      </x:c>
      <x:c r="AM81" t="n">
        <x:f>IF(ISNUMBER(J81),1,0)</x:f>
        <x:v>1</x:v>
      </x:c>
      <x:c r="AN81" s="101"/>
      <x:c r="AO81" s="194" t="str">
        <x:v>Not started — no completion claimed</x:v>
      </x:c>
      <x:c r="AP81" s="194" t="str">
        <x:v>Inherited v2.22.0 intended record; no new runtime certification in this repair.</x:v>
      </x:c>
      <x:c r="AQ81" s="194"/>
      <x:c r="AR81" s="194" t="str">
        <x:v>INHERITED ESTIMATE</x:v>
      </x:c>
    </x:row>
    <x:row r="82" ht="76" hidden="1" customHeight="1">
      <x:c r="A82" s="98" t="str">
        <x:v>T-214</x:v>
      </x:c>
      <x:c r="B82" s="98" t="str">
        <x:v>M2</x:v>
      </x:c>
      <x:c r="C82" s="98" t="str">
        <x:v>P4</x:v>
      </x:c>
      <x:c r="D82" s="98" t="str">
        <x:v>Performance Reference contract, precedence and scoring-semantics kernel</x:v>
      </x:c>
      <x:c r="E82" s="98" t="str">
        <x:v>Architecture / Analytics Engine</x:v>
      </x:c>
      <x:c r="F82" s="98" t="str">
        <x:v>Reference contract</x:v>
      </x:c>
      <x:c r="G82" s="98" t="str">
        <x:v>Critical</x:v>
      </x:c>
      <x:c r="H82" s="98" t="str">
        <x:v>Freeze declared Performance Reference kinds, scope precedence, directionality/scoring semantics, effective dating, ambiguity refusal RF01 and deterministic resolution as a schema-independent contract/kernel. No production persistence in this task.</x:v>
      </x:c>
      <x:c r="I82" s="98" t="str">
        <x:v>Known-answer contract tests cover HigherIsBetter, LowerIsBetter, InsideRange, ClosestToTarget, effective-date resolution and equal-authority ambiguity -&gt; RF01. Runs without production DB access.</x:v>
      </x:c>
      <x:c r="J82" s="106" t="n">
        <x:v>6</x:v>
      </x:c>
      <x:c r="K82" s="98" t="str">
        <x:v>Not Started</x:v>
      </x:c>
      <x:c r="L82" s="98" t="str">
        <x:v>Worker 3</x:v>
      </x:c>
      <x:c r="M82" s="101" t="str">
        <x:v>T-209</x:v>
      </x:c>
      <x:c r="N82" s="101" t="str">
        <x:v>T-215; T-223; T-232; T-238; T-239; T-264</x:v>
      </x:c>
      <x:c r="O82" s="101" t="str">
        <x:v>M2: ~1 month from owner planning checkpoint; exact date not committed</x:v>
      </x:c>
      <x:c r="P82" s="101" t="str">
        <x:v>Release 1 MUST</x:v>
      </x:c>
      <x:c r="Q82" s="101" t="str">
        <x:v>Kernel/contract</x:v>
      </x:c>
      <x:c r="R82" s="195" t="n">
        <x:v>1.5</x:v>
      </x:c>
      <x:c r="S82" s="101" t="str">
        <x:v>M2-P4</x:v>
      </x:c>
      <x:c r="T82" s="101" t="str">
        <x:v>T-209 frozen generic subject contract.</x:v>
      </x:c>
      <x:c r="U82" s="101" t="str">
        <x:v>Reference contract/resolver tests only.</x:v>
      </x:c>
      <x:c r="V82" s="101" t="str">
        <x:v>T-232 persists reference authority; consumers do not redefine scoring semantics.</x:v>
      </x:c>
      <x:c r="W82" s="101" t="str">
        <x:v>Industrial Intelligence — References, Reconciliation &amp; Assistant</x:v>
      </x:c>
      <x:c r="X82" s="101" t="str">
        <x:v>M2 P4 — Industrial Intelligence — Reference, Reconciliation &amp; Assistant. Release 1 is genuine early production / first-week customer work.</x:v>
      </x:c>
      <x:c r="Y82" s="196"/>
      <x:c r="Z82" s="197"/>
      <x:c r="AA82" s="101" t="str">
        <x:v>L9.1</x:v>
      </x:c>
      <x:c r="AB82" s="101" t="str">
        <x:v>Performance Reference</x:v>
      </x:c>
      <x:c r="AC82" s="101"/>
      <x:c r="AD82" s="101" t="str">
        <x:v>Build</x:v>
      </x:c>
      <x:c r="AE82" s="101" t="str">
        <x:v>D1; D3; D5</x:v>
      </x:c>
      <x:c r="AF82" s="101" t="str">
        <x:v>Core</x:v>
      </x:c>
      <x:c r="AG82" s="101" t="str">
        <x:v>R1</x:v>
      </x:c>
      <x:c r="AH82" s="101" t="str">
        <x:v>Advances</x:v>
      </x:c>
      <x:c r="AI82" s="101">
        <x:f t="shared" si="2"/>
      </x:c>
      <x:c r="AJ82" s="101" t="str">
        <x:v>Inherited baseline estimate</x:v>
      </x:c>
      <x:c r="AK82" s="101" t="str">
        <x:v>v4.10.3</x:v>
      </x:c>
      <x:c r="AL82" s="101" t="str">
        <x:v>Chapters 3/4 v4.10.3 — MD + illustrated Word; UI Coverage / UI Controls in this workbook</x:v>
      </x:c>
      <x:c r="AM82" t="n">
        <x:f>IF(ISNUMBER(J82),1,0)</x:f>
        <x:v>1</x:v>
      </x:c>
      <x:c r="AN82" s="101"/>
      <x:c r="AO82" s="194" t="str">
        <x:v>Not started — no completion claimed</x:v>
      </x:c>
      <x:c r="AP82" s="194" t="str">
        <x:v>Inherited v2.22.0 intended record; no new runtime certification in this repair.</x:v>
      </x:c>
      <x:c r="AQ82" s="194"/>
      <x:c r="AR82" s="194" t="str">
        <x:v>INHERITED ESTIMATE</x:v>
      </x:c>
    </x:row>
    <x:row r="83" ht="76" hidden="1" customHeight="1">
      <x:c r="A83" s="98" t="str">
        <x:v>T-217</x:v>
      </x:c>
      <x:c r="B83" s="98" t="str">
        <x:v>M2</x:v>
      </x:c>
      <x:c r="C83" s="98" t="str">
        <x:v>P4</x:v>
      </x:c>
      <x:c r="D83" s="98" t="str">
        <x:v>Temporal evidence alignment kernel</x:v>
      </x:c>
      <x:c r="E83" s="98" t="str">
        <x:v>Analytics Engine</x:v>
      </x:c>
      <x:c r="F83" s="98" t="str">
        <x:v>Temporal alignment</x:v>
      </x:c>
      <x:c r="G83" s="98" t="str">
        <x:v>Critical</x:v>
      </x:c>
      <x:c r="H83" s="98" t="str">
        <x:v>Build an isolated kernel for source clock adjustment, interval overlap, tolerance windows, incomplete interval handling and TemporalUncertain refusal. It consumes Source Time Authority, not raw timezone assumptions.</x:v>
      </x:c>
      <x:c r="I83" s="98" t="str">
        <x:v>Known-answer skew/overlap fixtures pass; DST/local-vs-UTC case is aligned only with declared authority; skew beyond tolerance returns TM01/TemporalUncertain rather than conflict. Deterministic repeatability and no DB access.</x:v>
      </x:c>
      <x:c r="J83" s="106" t="n">
        <x:v>10</x:v>
      </x:c>
      <x:c r="K83" s="98" t="str">
        <x:v>Done</x:v>
      </x:c>
      <x:c r="L83" s="98" t="str">
        <x:v>Worker 3</x:v>
      </x:c>
      <x:c r="M83" s="101" t="str">
        <x:v>T-208; T-216</x:v>
      </x:c>
      <x:c r="N83" s="101" t="str">
        <x:v>T-219; T-236</x:v>
      </x:c>
      <x:c r="O83" s="101" t="str">
        <x:v>M2: ~1 month from owner planning checkpoint; exact date not committed</x:v>
      </x:c>
      <x:c r="P83" s="101" t="str">
        <x:v>Release 1 MUST</x:v>
      </x:c>
      <x:c r="Q83" s="101" t="str">
        <x:v>Kernel isolated</x:v>
      </x:c>
      <x:c r="R83" s="195" t="n">
        <x:v>2.5</x:v>
      </x:c>
      <x:c r="S83" s="101" t="str">
        <x:v>M2-P4</x:v>
      </x:c>
      <x:c r="T83" s="101" t="str">
        <x:v>T-208 fixture + T-216 frozen contract.</x:v>
      </x:c>
      <x:c r="U83" s="101" t="str">
        <x:v>New temporal kernel/tests only.</x:v>
      </x:c>
      <x:c r="V83" s="101" t="str">
        <x:v>T-219 consumes alignment output; does not reimplement clock logic.</x:v>
      </x:c>
      <x:c r="W83" s="101" t="str">
        <x:v>Industrial Intelligence — References, Reconciliation &amp; Assistant</x:v>
      </x:c>
      <x:c r="X83" s="101" t="str">
        <x:v>M2 P4 — Industrial Intelligence — Reference, Reconciliation &amp; Assistant. Release 1 is genuine early production / first-week customer work.</x:v>
      </x:c>
      <x:c r="Y83" s="196" t="str">
        <x:v>Not recovered from reviewed sessions</x:v>
      </x:c>
      <x:c r="Z83" s="197"/>
      <x:c r="AA83" s="101" t="str">
        <x:v>L5.5</x:v>
      </x:c>
      <x:c r="AB83" s="101" t="str">
        <x:v>Provenance, evidence chain, claim guard and refusal integrity</x:v>
      </x:c>
      <x:c r="AC83" s="101"/>
      <x:c r="AD83" s="101" t="str">
        <x:v>Build</x:v>
      </x:c>
      <x:c r="AE83" s="101" t="str">
        <x:v>D3; D5</x:v>
      </x:c>
      <x:c r="AF83" s="101" t="str">
        <x:v>Core</x:v>
      </x:c>
      <x:c r="AG83" s="101" t="str">
        <x:v>R1</x:v>
      </x:c>
      <x:c r="AH83" s="101" t="str">
        <x:v>Advances</x:v>
      </x:c>
      <x:c r="AI83" s="101" t="str">
        <x:f t="shared" si="2"/>
        <x:v>Not recovered from reviewed sessions</x:v>
      </x:c>
      <x:c r="AJ83" s="101" t="str">
        <x:v>Inherited baseline estimate</x:v>
      </x:c>
      <x:c r="AK83" s="101" t="str">
        <x:v>v4.10.3</x:v>
      </x:c>
      <x:c r="AL83" s="101" t="str">
        <x:v>Chapters 3/4 v4.10.3 — MD + illustrated Word; UI Coverage / UI Controls in this workbook</x:v>
      </x:c>
      <x:c r="AM83" t="n">
        <x:f>IF(ISNUMBER(J83),1,0)</x:f>
        <x:v>1</x:v>
      </x:c>
      <x:c r="AN83" s="101"/>
      <x:c r="AO83" s="194" t="str">
        <x:v>Recorded closed — inherited evidence</x:v>
      </x:c>
      <x:c r="AP83" s="194" t="str">
        <x:v>Inherited v2.22.0 intended record; no new runtime certification in this repair.</x:v>
      </x:c>
      <x:c r="AQ83" s="194"/>
      <x:c r="AR83" s="194" t="str">
        <x:v>INHERITED ESTIMATE</x:v>
      </x:c>
    </x:row>
    <x:row r="84" ht="76" hidden="1" customHeight="1">
      <x:c r="A84" s="101" t="str">
        <x:v>T-218</x:v>
      </x:c>
      <x:c r="B84" s="101" t="str">
        <x:v>M2</x:v>
      </x:c>
      <x:c r="C84" s="101" t="str">
        <x:v>P4</x:v>
      </x:c>
      <x:c r="D84" s="101" t="str">
        <x:v>Fact Evidence Authority resolution kernel</x:v>
      </x:c>
      <x:c r="E84" s="101" t="str">
        <x:v>Analytics Engine</x:v>
      </x:c>
      <x:c r="F84" s="101" t="str">
        <x:v>Evidence authority</x:v>
      </x:c>
      <x:c r="G84" s="101" t="str">
        <x:v>Critical</x:v>
      </x:c>
      <x:c r="H84" s="101" t="str">
        <x:v>Define/implement fact-specific evidence authority resolution: for each semantic fact, resolve Primary/Supporting/Corroborating sources, quality floor and effective date. No global source ranking and no PLC-is-truth shortcut.</x:v>
      </x:c>
      <x:c r="I84" s="101" t="str">
        <x:v>Known-answer cases distinguish valve command vs valve feedback, motor electrical state vs production-order fact, and manual declared reason. Same source may be primary for one fact and irrelevant for another. Ambiguous/missing primary authority returns typed evidence-unavailable state.</x:v>
      </x:c>
      <x:c r="J84" s="107" t="n">
        <x:v>8</x:v>
      </x:c>
      <x:c r="K84" s="101" t="str">
        <x:v>Done</x:v>
      </x:c>
      <x:c r="L84" s="101" t="str">
        <x:v>Worker 3</x:v>
      </x:c>
      <x:c r="M84" s="101" t="str">
        <x:v>T-208</x:v>
      </x:c>
      <x:c r="N84" s="101" t="str">
        <x:v>T-219</x:v>
      </x:c>
      <x:c r="O84" s="101" t="str">
        <x:v>M2: ~1 month from owner planning checkpoint; exact date not committed</x:v>
      </x:c>
      <x:c r="P84" s="101" t="str">
        <x:v>Release 1 MUST</x:v>
      </x:c>
      <x:c r="Q84" s="101" t="str">
        <x:v>Kernel isolated</x:v>
      </x:c>
      <x:c r="R84" s="195" t="n">
        <x:v>2</x:v>
      </x:c>
      <x:c r="S84" s="101" t="str">
        <x:v>M2-P4</x:v>
      </x:c>
      <x:c r="T84" s="101" t="str">
        <x:v>T-090 semantic definitions + T-208 fixture. Persistence waits for T-112/T-114; pure kernel may start earlier.</x:v>
      </x:c>
      <x:c r="U84" s="101" t="str">
        <x:v>New evidence-authority contracts/kernel/tests.</x:v>
      </x:c>
      <x:c r="V84" s="101" t="str">
        <x:v>T-219 consumes authority result; no source priority duplicated elsewhere.</x:v>
      </x:c>
      <x:c r="W84" s="101" t="str">
        <x:v>Industrial Intelligence — References, Reconciliation &amp; Assistant</x:v>
      </x:c>
      <x:c r="X84" s="101" t="str">
        <x:v>M2 P4 — Industrial Intelligence — Reference, Reconciliation &amp; Assistant. Release 1 is genuine early production / first-week customer work.</x:v>
      </x:c>
      <x:c r="Y84" s="196" t="str">
        <x:v>Not recovered from reviewed sessions</x:v>
      </x:c>
      <x:c r="Z84" s="197"/>
      <x:c r="AA84" s="101" t="str">
        <x:v>L5.5</x:v>
      </x:c>
      <x:c r="AB84" s="101" t="str">
        <x:v>Provenance, evidence chain, claim guard and refusal integrity</x:v>
      </x:c>
      <x:c r="AC84" s="101"/>
      <x:c r="AD84" s="101" t="str">
        <x:v>Build</x:v>
      </x:c>
      <x:c r="AE84" s="101" t="str">
        <x:v>D1; D3; D5</x:v>
      </x:c>
      <x:c r="AF84" s="101" t="str">
        <x:v>Core</x:v>
      </x:c>
      <x:c r="AG84" s="101" t="str">
        <x:v>R1</x:v>
      </x:c>
      <x:c r="AH84" s="101" t="str">
        <x:v>Advances</x:v>
      </x:c>
      <x:c r="AI84" s="101" t="str">
        <x:f t="shared" si="2"/>
        <x:v>Not recovered from reviewed sessions</x:v>
      </x:c>
      <x:c r="AJ84" s="101" t="str">
        <x:v>Inherited baseline estimate</x:v>
      </x:c>
      <x:c r="AK84" s="101" t="str">
        <x:v>v4.10.3</x:v>
      </x:c>
      <x:c r="AL84" s="101" t="str">
        <x:v>Chapters 3/4 v4.10.3 — MD + illustrated Word; UI Coverage / UI Controls in this workbook</x:v>
      </x:c>
      <x:c r="AM84" t="n">
        <x:f>IF(ISNUMBER(J84),1,0)</x:f>
        <x:v>1</x:v>
      </x:c>
      <x:c r="AN84" s="101"/>
      <x:c r="AO84" s="194" t="str">
        <x:v>Recorded closed — inherited evidence</x:v>
      </x:c>
      <x:c r="AP84" s="194" t="str">
        <x:v>Inherited v2.22.0 intended record; no new runtime certification in this repair.</x:v>
      </x:c>
      <x:c r="AQ84" s="194"/>
      <x:c r="AR84" s="194" t="str">
        <x:v>INHERITED ESTIMATE</x:v>
      </x:c>
    </x:row>
    <x:row r="85" ht="76" hidden="1" customHeight="1">
      <x:c r="A85" s="101" t="str">
        <x:v>T-219</x:v>
      </x:c>
      <x:c r="B85" s="101" t="str">
        <x:v>M2</x:v>
      </x:c>
      <x:c r="C85" s="101" t="str">
        <x:v>P4</x:v>
      </x:c>
      <x:c r="D85" s="101" t="str">
        <x:v>Operational Evidence Reconciliation kernel and seven-state taxonomy</x:v>
      </x:c>
      <x:c r="E85" s="101" t="str">
        <x:v>Analytics Engine</x:v>
      </x:c>
      <x:c r="F85" s="101" t="str">
        <x:v>Reconciliation</x:v>
      </x:c>
      <x:c r="G85" s="101" t="str">
        <x:v>Critical</x:v>
      </x:c>
      <x:c r="H85" s="101" t="str">
        <x:v>Reconcile independently sourced assertions over the same aligned interval using temporal result, evidence quality and fact authority. Output Aligned, PartiallyAligned, MissingEvidence, TemporalUncertain, ConflictingEvidence, LikelyMisclassified or Unresolved with discrepancy evidence. For September, the kernel also emits the standard governed Finding/analysis-result projection with evidence handles so existing generic surfaces can consume it without a new persistence schema.</x:v>
      </x:c>
      <x:c r="I85" s="101" t="str">
        <x:v>Historical manual/business/machine fixture for the same calendar window produces predeclared states; missing machine/business evidence refuses classification; temporal-uncertain case never becomes conflict. No operator/person identity or intent field exists. The standard governed result projection is deterministic and carries the reconciliation state, evidence handles and causal-confidence input required by T-222/T-223.</x:v>
      </x:c>
      <x:c r="J85" s="107" t="n">
        <x:v>12</x:v>
      </x:c>
      <x:c r="K85" s="101" t="str">
        <x:v>Done</x:v>
      </x:c>
      <x:c r="L85" s="101" t="str">
        <x:v>Worker 3</x:v>
      </x:c>
      <x:c r="M85" s="101" t="str">
        <x:v>T-217; T-218; T-236</x:v>
      </x:c>
      <x:c r="N85" s="101" t="str">
        <x:v>T-220; T-221; T-222; T-223</x:v>
      </x:c>
      <x:c r="O85" s="101" t="str">
        <x:v>M2: ~1 month from owner planning checkpoint; exact date not committed</x:v>
      </x:c>
      <x:c r="P85" s="101" t="str">
        <x:v>Release 1 MUST</x:v>
      </x:c>
      <x:c r="Q85" s="101" t="str">
        <x:v>Kernel isolated</x:v>
      </x:c>
      <x:c r="R85" s="195" t="n">
        <x:v>3.2</x:v>
      </x:c>
      <x:c r="S85" s="101" t="str">
        <x:v>M2-P4</x:v>
      </x:c>
      <x:c r="T85" s="101" t="str">
        <x:v>T-217 + T-218 + T-236.</x:v>
      </x:c>
      <x:c r="U85" s="101" t="str">
        <x:v>New reconciliation kernel/tests only.</x:v>
      </x:c>
      <x:c r="V85" s="101" t="str">
        <x:v>T-220 adds claim confidence; T-221 persists output after canonical/security hand-off.</x:v>
      </x:c>
      <x:c r="W85" s="101" t="str">
        <x:v>Industrial Intelligence — References, Reconciliation &amp; Assistant</x:v>
      </x:c>
      <x:c r="X85" s="101" t="str">
        <x:v>M2 P4 — Industrial Intelligence — Reference, Reconciliation &amp; Assistant. Release 1 is genuine early production / first-week customer work.</x:v>
      </x:c>
      <x:c r="Y85" s="196" t="str">
        <x:v>Not recovered from reviewed sessions</x:v>
      </x:c>
      <x:c r="Z85" s="197"/>
      <x:c r="AA85" s="101" t="str">
        <x:v>L10.3</x:v>
      </x:c>
      <x:c r="AB85" s="101" t="str">
        <x:v>Operational evidence reconciliation</x:v>
      </x:c>
      <x:c r="AC85" s="101"/>
      <x:c r="AD85" s="101" t="str">
        <x:v>Build</x:v>
      </x:c>
      <x:c r="AE85" s="101" t="str">
        <x:v>D3; D5</x:v>
      </x:c>
      <x:c r="AF85" s="101" t="str">
        <x:v>Advanced</x:v>
      </x:c>
      <x:c r="AG85" s="101" t="str">
        <x:v>R1</x:v>
      </x:c>
      <x:c r="AH85" s="101" t="str">
        <x:v>Advances</x:v>
      </x:c>
      <x:c r="AI85" s="101" t="str">
        <x:f t="shared" si="2"/>
        <x:v>Not recovered from reviewed sessions</x:v>
      </x:c>
      <x:c r="AJ85" s="101" t="str">
        <x:v>Inherited baseline estimate</x:v>
      </x:c>
      <x:c r="AK85" s="101" t="str">
        <x:v>v4.10.3</x:v>
      </x:c>
      <x:c r="AL85" s="101" t="str">
        <x:v>Chapters 3/4 v4.10.3 — MD + illustrated Word; UI Coverage / UI Controls in this workbook</x:v>
      </x:c>
      <x:c r="AM85" t="n">
        <x:f>IF(ISNUMBER(J85),1,0)</x:f>
        <x:v>1</x:v>
      </x:c>
      <x:c r="AN85" s="101"/>
      <x:c r="AO85" s="194" t="str">
        <x:v>Recorded closed — inherited evidence</x:v>
      </x:c>
      <x:c r="AP85" s="194" t="str">
        <x:v>Inherited v2.22.0 intended record; no new runtime certification in this repair.</x:v>
      </x:c>
      <x:c r="AQ85" s="194"/>
      <x:c r="AR85" s="194" t="str">
        <x:v>INHERITED ESTIMATE</x:v>
      </x:c>
    </x:row>
    <x:row r="86" ht="76" hidden="1" customHeight="1">
      <x:c r="A86" s="101" t="str">
        <x:v>T-220</x:v>
      </x:c>
      <x:c r="B86" s="101" t="str">
        <x:v>M2</x:v>
      </x:c>
      <x:c r="C86" s="101" t="str">
        <x:v>P4</x:v>
      </x:c>
      <x:c r="D86" s="101" t="str">
        <x:v>Causal Confidence Ladder and root-cause hypothesis evaluator</x:v>
      </x:c>
      <x:c r="E86" s="101" t="str">
        <x:v>Analytics Engine</x:v>
      </x:c>
      <x:c r="F86" s="101" t="str">
        <x:v>Claim governance</x:v>
      </x:c>
      <x:c r="G86" s="101" t="str">
        <x:v>Critical</x:v>
      </x:c>
      <x:c r="H86" s="101" t="str">
        <x:v>Implement L0 Observed Fact, L1 Discrepancy, L2 Statistical Association, L3 Temporally Supported Hypothesis, L4 Mechanistically Supported Hypothesis, L5 Confirmed Cause. L5 requires governed external/human confirmation; language cannot upgrade level.</x:v>
      </x:c>
      <x:c r="I86" s="101" t="str">
        <x:v>Known cases land at each level for the exact evidence reasons. Removing confirmation downgrades L5. A test fails any phrase/API mapping that calls L2-L4 'confirmed root cause'. Output carries what evidence is missing for the next level.</x:v>
      </x:c>
      <x:c r="J86" s="107" t="n">
        <x:v>8</x:v>
      </x:c>
      <x:c r="K86" s="101" t="str">
        <x:v>Done</x:v>
      </x:c>
      <x:c r="L86" s="101" t="str">
        <x:v>Worker 3</x:v>
      </x:c>
      <x:c r="M86" s="101" t="str">
        <x:v>T-219</x:v>
      </x:c>
      <x:c r="N86" s="101" t="str">
        <x:v>T-221; T-222; T-223</x:v>
      </x:c>
      <x:c r="O86" s="101" t="str">
        <x:v>M2: ~1 month from owner planning checkpoint; exact date not committed</x:v>
      </x:c>
      <x:c r="P86" s="101" t="str">
        <x:v>Release 1 MUST</x:v>
      </x:c>
      <x:c r="Q86" s="101" t="str">
        <x:v>Kernel isolated</x:v>
      </x:c>
      <x:c r="R86" s="195" t="n">
        <x:v>2</x:v>
      </x:c>
      <x:c r="S86" s="101" t="str">
        <x:v>M2-P4</x:v>
      </x:c>
      <x:c r="T86" s="101" t="str">
        <x:v>T-219 + existing claim-class rules.</x:v>
      </x:c>
      <x:c r="U86" s="101" t="str">
        <x:v>Claim-confidence kernel/tests only.</x:v>
      </x:c>
      <x:c r="V86" s="101" t="str">
        <x:v>T-221/T-223 consume stored level; UI/LLM never re-derive it.</x:v>
      </x:c>
      <x:c r="W86" s="101" t="str">
        <x:v>Industrial Intelligence — References, Reconciliation &amp; Assistant</x:v>
      </x:c>
      <x:c r="X86" s="101" t="str">
        <x:v>M2 P4 — Industrial Intelligence — Reference, Reconciliation &amp; Assistant. Release 1 is genuine early production / first-week customer work.</x:v>
      </x:c>
      <x:c r="Y86" s="196" t="str">
        <x:v>Not recovered from reviewed sessions</x:v>
      </x:c>
      <x:c r="Z86" s="197"/>
      <x:c r="AA86" s="101" t="str">
        <x:v>L5.8</x:v>
      </x:c>
      <x:c r="AB86" s="101" t="str">
        <x:v>Truth contracts and claim boundaries</x:v>
      </x:c>
      <x:c r="AC86" s="101"/>
      <x:c r="AD86" s="101" t="str">
        <x:v>Build</x:v>
      </x:c>
      <x:c r="AE86" s="101" t="str">
        <x:v>D3; D5</x:v>
      </x:c>
      <x:c r="AF86" s="101" t="str">
        <x:v>Core</x:v>
      </x:c>
      <x:c r="AG86" s="101" t="str">
        <x:v>R1</x:v>
      </x:c>
      <x:c r="AH86" s="101" t="str">
        <x:v>Advances</x:v>
      </x:c>
      <x:c r="AI86" s="101" t="str">
        <x:f t="shared" si="2"/>
        <x:v>Not recovered from reviewed sessions</x:v>
      </x:c>
      <x:c r="AJ86" s="101" t="str">
        <x:v>Inherited baseline estimate</x:v>
      </x:c>
      <x:c r="AK86" s="101" t="str">
        <x:v>v4.10.3</x:v>
      </x:c>
      <x:c r="AL86" s="101" t="str">
        <x:v>Chapters 3/4 v4.10.3 — MD + illustrated Word; UI Coverage / UI Controls in this workbook</x:v>
      </x:c>
      <x:c r="AM86" t="n">
        <x:f>IF(ISNUMBER(J86),1,0)</x:f>
        <x:v>1</x:v>
      </x:c>
      <x:c r="AN86" s="101"/>
      <x:c r="AO86" s="194" t="str">
        <x:v>Recorded closed — inherited evidence</x:v>
      </x:c>
      <x:c r="AP86" s="194" t="str">
        <x:v>Inherited v2.22.0 intended record; no new runtime certification in this repair.</x:v>
      </x:c>
      <x:c r="AQ86" s="194"/>
      <x:c r="AR86" s="194" t="str">
        <x:v>INHERITED ESTIMATE</x:v>
      </x:c>
    </x:row>
    <x:row r="87" ht="76" hidden="1" customHeight="1">
      <x:c r="A87" s="101" t="str">
        <x:v>T-221</x:v>
      </x:c>
      <x:c r="B87" s="101" t="str">
        <x:v>M2</x:v>
      </x:c>
      <x:c r="C87" s="101" t="str">
        <x:v>P4</x:v>
      </x:c>
      <x:c r="D87" s="101" t="str">
        <x:v>Canonical reconciliation persistence, evidence handles and bindable source</x:v>
      </x:c>
      <x:c r="E87" s="101" t="str">
        <x:v>Backend</x:v>
      </x:c>
      <x:c r="F87" s="101" t="str">
        <x:v>Reconciliation persistence</x:v>
      </x:c>
      <x:c r="G87" s="101" t="str">
        <x:v>Critical</x:v>
      </x:c>
      <x:c r="H87" s="101" t="str">
        <x:v>Persist reconciliation_cases/reconciliation_evidence under tenant/RLS authority, semantic manifest and evidence handles; register reconciliation as a bindable intelligence source so D1/D4/Assistant use the same evidence path.</x:v>
      </x:c>
      <x:c r="I87" s="101" t="str">
        <x:v>Insert/replay a case with two evidence sources, time state and L0-L5 level; tenant isolation/RLS passes; evidence handles resolve; registry binding returns typed columns; history is immutable when a later case/version is computed.</x:v>
      </x:c>
      <x:c r="J87" s="107" t="n">
        <x:v>12</x:v>
      </x:c>
      <x:c r="K87" s="101" t="str">
        <x:v>Not Started</x:v>
      </x:c>
      <x:c r="L87" s="101" t="str">
        <x:v>Worker 3</x:v>
      </x:c>
      <x:c r="M87" s="101" t="str">
        <x:v>T-112; T-114; T-090; T-095; T-096; T-219; T-220; T-233</x:v>
      </x:c>
      <x:c r="N87" s="101"/>
      <x:c r="O87" s="101" t="str">
        <x:v>M2: ~1 month from owner planning checkpoint; exact date not committed</x:v>
      </x:c>
      <x:c r="P87" s="101" t="str">
        <x:v>Release 1 MUST</x:v>
      </x:c>
      <x:c r="Q87" s="101" t="str">
        <x:v>DB/integration</x:v>
      </x:c>
      <x:c r="R87" s="195" t="n">
        <x:v>5.4</x:v>
      </x:c>
      <x:c r="S87" s="101" t="str">
        <x:v>M2-P4</x:v>
      </x:c>
      <x:c r="T87" s="101" t="str">
        <x:v>T-112 + T-114 + T-090 + T-095/T-096 + T-219 + T-220. If security hand-off is not green, remain on pure-kernel evidence and do not create insecure tables.</x:v>
      </x:c>
      <x:c r="U87" s="101" t="str">
        <x:v>Reconciliation persistence/registry/evidence only.</x:v>
      </x:c>
      <x:c r="V87" s="101" t="str">
        <x:v>Post-demo canonical convergence. T-222/T-223 must not wait for this table and must not invent a temporary persistence schema.</x:v>
      </x:c>
      <x:c r="W87" s="101" t="str">
        <x:v>Industrial Intelligence — References, Reconciliation &amp; Assistant</x:v>
      </x:c>
      <x:c r="X87" s="101" t="str">
        <x:v>M2 P4 — Industrial Intelligence — Reference, Reconciliation &amp; Assistant. Release 1 is genuine early production / first-week customer work.</x:v>
      </x:c>
      <x:c r="Y87" s="196"/>
      <x:c r="Z87" s="197"/>
      <x:c r="AA87" s="101" t="str">
        <x:v>L10.3</x:v>
      </x:c>
      <x:c r="AB87" s="101" t="str">
        <x:v>Operational evidence reconciliation</x:v>
      </x:c>
      <x:c r="AC87" s="101" t="str">
        <x:v>L5.5</x:v>
      </x:c>
      <x:c r="AD87" s="101" t="str">
        <x:v>Build</x:v>
      </x:c>
      <x:c r="AE87" s="101" t="str">
        <x:v>D3; D4; D5</x:v>
      </x:c>
      <x:c r="AF87" s="101" t="str">
        <x:v>Advanced</x:v>
      </x:c>
      <x:c r="AG87" s="101" t="str">
        <x:v>R1</x:v>
      </x:c>
      <x:c r="AH87" s="101" t="str">
        <x:v>Advances</x:v>
      </x:c>
      <x:c r="AI87" s="101">
        <x:f t="shared" si="2"/>
      </x:c>
      <x:c r="AJ87" s="101" t="str">
        <x:v>Inherited baseline estimate</x:v>
      </x:c>
      <x:c r="AK87" s="101" t="str">
        <x:v>v4.10.3</x:v>
      </x:c>
      <x:c r="AL87" s="101" t="str">
        <x:v>Chapters 3/4 v4.10.3 — MD + illustrated Word; UI Coverage / UI Controls in this workbook</x:v>
      </x:c>
      <x:c r="AM87" t="n">
        <x:f>IF(ISNUMBER(J87),1,0)</x:f>
        <x:v>1</x:v>
      </x:c>
      <x:c r="AN87" s="101"/>
      <x:c r="AO87" s="194" t="str">
        <x:v>Not started — no completion claimed</x:v>
      </x:c>
      <x:c r="AP87" s="194" t="str">
        <x:v>Inherited v2.22.0 intended record; no new runtime certification in this repair.</x:v>
      </x:c>
      <x:c r="AQ87" s="194"/>
      <x:c r="AR87" s="194" t="str">
        <x:v>INHERITED ESTIMATE</x:v>
      </x:c>
    </x:row>
    <x:row r="88" ht="76" hidden="1" customHeight="1">
      <x:c r="A88" s="101" t="str">
        <x:v>T-223</x:v>
      </x:c>
      <x:c r="B88" s="101" t="str">
        <x:v>M2</x:v>
      </x:c>
      <x:c r="C88" s="101" t="str">
        <x:v>P4</x:v>
      </x:c>
      <x:c r="D88" s="101" t="str">
        <x:v>Grounded Assistant tool for reconciliation and Performance Reference explanation</x:v>
      </x:c>
      <x:c r="E88" s="101" t="str">
        <x:v>Assistant</x:v>
      </x:c>
      <x:c r="F88" s="101" t="str">
        <x:v>Industrial investigation</x:v>
      </x:c>
      <x:c r="G88" s="101" t="str">
        <x:v>Very Important</x:v>
      </x:c>
      <x:c r="H88" s="101" t="str">
        <x:v>Add deterministic Assistant tool/result contracts that retrieve reconciliation, Performance Reference and transition/stabilisation evidence, state the strongest supported hypothesis and its causal-confidence level, and explain what evidence is missing. Consume CompareOperationalPeriods from T-237 when available, without making T-237 a blocker for the core reconciliation answer.
v2.20.0 ASSISTANT CONVERGENCE — retire/replace any legacy tool that derives a material-specific KPI directly from public.canonical_material_units. KPI/measure tools resolve governed registry measures, Analysis Subject and evidence handles. Page context binds to canonical Page Definition identity when available, and snapshot/tool evidence carries the active governed filter context rather than an unconditional empty object.</x:v>
      </x:c>
      <x:c r="I88" s="101" t="str">
        <x:v>Golden questions include 'why was equipment unavailable?', 'what conflicts with the recorded reason?', 'how far are we from the declared reference?'. Numeric claims resolve to evidence; missing evidence refuses; causal overreach and 'operator lied' language fail deterministic verification. Ask the same KPI/explanation question against two customer-shaped subjects with no product-code edit; both resolve through governed measure/subject authority. Static/runtime checks show no material-specific table in Assistant tool contracts. A nested/detail route resolves the correct Page Definition identity, and an active filter is present in the resulting evidence context.</x:v>
      </x:c>
      <x:c r="J88" s="107" t="n">
        <x:v>10</x:v>
      </x:c>
      <x:c r="K88" s="101" t="str">
        <x:v>Not Started</x:v>
      </x:c>
      <x:c r="L88" s="101" t="str">
        <x:v>Worker 3</x:v>
      </x:c>
      <x:c r="M88" s="101" t="str">
        <x:v>T-179; T-180; T-181; T-214; T-219; T-220</x:v>
      </x:c>
      <x:c r="N88" s="101" t="str">
        <x:v>T-150</x:v>
      </x:c>
      <x:c r="O88" s="101" t="str">
        <x:v>M2: ~1 month from owner planning checkpoint; exact date not committed</x:v>
      </x:c>
      <x:c r="P88" s="101" t="str">
        <x:v>Release 1 MUST</x:v>
      </x:c>
      <x:c r="Q88" s="101" t="str">
        <x:v>Assistant integration</x:v>
      </x:c>
      <x:c r="R88" s="195" t="n">
        <x:v>4.25</x:v>
      </x:c>
      <x:c r="S88" s="101" t="str">
        <x:v>M2-P4</x:v>
      </x:c>
      <x:c r="T88" s="101" t="str">
        <x:v>T-179/T-180/T-181 CLOSED + T-214 + T-219/T-220. No canonical persistence dependency for September explanation.</x:v>
      </x:c>
      <x:c r="U88" s="101" t="str">
        <x:v>Assistant tool/evidence pack/verifier only; current dock UI remains Worker-2 owned.</x:v>
      </x:c>
      <x:c r="V88" s="101" t="str">
        <x:v>T-221 later swaps persistence behind the same evidence contract; Assistant tool does not redesign.</x:v>
      </x:c>
      <x:c r="W88" s="101" t="str">
        <x:v>Industrial Intelligence — References, Reconciliation &amp; Assistant</x:v>
      </x:c>
      <x:c r="X88" s="101" t="str">
        <x:v>M2 P4 — Industrial Intelligence — Reference, Reconciliation &amp; Assistant. Release 1 is genuine early production / first-week customer work.</x:v>
      </x:c>
      <x:c r="Y88" s="196"/>
      <x:c r="Z88" s="197"/>
      <x:c r="AA88" s="101" t="str">
        <x:v>L6.2</x:v>
      </x:c>
      <x:c r="AB88" s="101" t="str">
        <x:v>Governed Assistant runtime</x:v>
      </x:c>
      <x:c r="AC88" s="101" t="str">
        <x:v>L10.3; L9.1</x:v>
      </x:c>
      <x:c r="AD88" s="101" t="str">
        <x:v>Build</x:v>
      </x:c>
      <x:c r="AE88" s="101" t="str">
        <x:v>D3; D5</x:v>
      </x:c>
      <x:c r="AF88" s="101" t="str">
        <x:v>Core</x:v>
      </x:c>
      <x:c r="AG88" s="101" t="str">
        <x:v>R1</x:v>
      </x:c>
      <x:c r="AH88" s="101" t="str">
        <x:v>Advances</x:v>
      </x:c>
      <x:c r="AI88" s="101">
        <x:f t="shared" si="2"/>
      </x:c>
      <x:c r="AJ88" s="101" t="str">
        <x:v>Inherited baseline estimate</x:v>
      </x:c>
      <x:c r="AK88" s="101" t="str">
        <x:v>v4.10.3</x:v>
      </x:c>
      <x:c r="AL88" s="101" t="str">
        <x:v>Chapters 3/4 v4.10.3 — MD + illustrated Word; UI Coverage / UI Controls in this workbook</x:v>
      </x:c>
      <x:c r="AM88" t="n">
        <x:f>IF(ISNUMBER(J88),1,0)</x:f>
        <x:v>1</x:v>
      </x:c>
      <x:c r="AN88" s="101"/>
      <x:c r="AO88" s="194" t="str">
        <x:v>Not started — no completion claimed</x:v>
      </x:c>
      <x:c r="AP88" s="194" t="str">
        <x:v>Inherited v2.22.0 intended record; no new runtime certification in this repair.</x:v>
      </x:c>
      <x:c r="AQ88" s="194"/>
      <x:c r="AR88" s="194" t="str">
        <x:v>INHERITED ESTIMATE</x:v>
      </x:c>
    </x:row>
    <x:row r="89" ht="76" hidden="1" customHeight="1">
      <x:c r="A89" s="101" t="str">
        <x:v>T-234</x:v>
      </x:c>
      <x:c r="B89" s="101" t="str">
        <x:v>M2</x:v>
      </x:c>
      <x:c r="C89" s="101" t="str">
        <x:v>P4</x:v>
      </x:c>
      <x:c r="D89" s="101" t="str">
        <x:v>Operational Transition and Stabilisation contract/kernel</x:v>
      </x:c>
      <x:c r="E89" s="101" t="str">
        <x:v>Analytics Core</x:v>
      </x:c>
      <x:c r="F89" s="101" t="str">
        <x:v>Process regime semantics</x:v>
      </x:c>
      <x:c r="G89" s="101" t="str">
        <x:v>Critical</x:v>
      </x:c>
      <x:c r="H89" s="101" t="str">
        <x:v>Define the generic transition/stabilisation contract used by all industries: customer-declared transition kind/scope, from/to context, stabilisation basis (Time/SubjectCount/Condition/None), regime classification Stable/Transition/Stabilising/Mixed/Unknown and RG01 refusal. No industry vocabulary and no production DB migration.</x:v>
      </x:c>
      <x:c r="I89" s="101" t="str">
        <x:v>Known-answer fixture contains a transition, a declared stabilisation window and stable operation. The kernel classifies all five regime states, boundary cases and RG01 deterministically. Removing or moving the declared stabilisation boundary changes only the expected governed classification, never hidden heuristics.</x:v>
      </x:c>
      <x:c r="J89" s="107" t="n">
        <x:v>8</x:v>
      </x:c>
      <x:c r="K89" s="101" t="str">
        <x:v>Done</x:v>
      </x:c>
      <x:c r="L89" s="101" t="str">
        <x:v>Worker 3</x:v>
      </x:c>
      <x:c r="M89" s="101" t="str">
        <x:v>T-208; T-209</x:v>
      </x:c>
      <x:c r="N89" s="101" t="str">
        <x:v>T-212; T-235; T-236</x:v>
      </x:c>
      <x:c r="O89" s="101" t="str">
        <x:v>M2: ~1 month from owner planning checkpoint; exact date not committed</x:v>
      </x:c>
      <x:c r="P89" s="101" t="str">
        <x:v>Release 1 MUST</x:v>
      </x:c>
      <x:c r="Q89" s="101" t="str">
        <x:v>Kernel/contract</x:v>
      </x:c>
      <x:c r="R89" s="195" t="n">
        <x:v>2</x:v>
      </x:c>
      <x:c r="S89" s="101" t="str">
        <x:v>M2-P4</x:v>
      </x:c>
      <x:c r="T89" s="101" t="str">
        <x:v>T-208 + T-209; may run in parallel with W1 canonical chain.</x:v>
      </x:c>
      <x:c r="U89" s="101" t="str">
        <x:v>New generic transition/stabilisation contract/tests only.</x:v>
      </x:c>
      <x:c r="V89" s="101" t="str">
        <x:v>T-235 persists unchanged contract; T-236 consumes it without redefining semantics.</x:v>
      </x:c>
      <x:c r="W89" s="101" t="str">
        <x:v>Industrial Intelligence — References, Reconciliation &amp; Assistant</x:v>
      </x:c>
      <x:c r="X89" s="101" t="str">
        <x:v>M2 P4 — Industrial Intelligence — Reference, Reconciliation &amp; Assistant. Release 1 is genuine early production / first-week customer work.</x:v>
      </x:c>
      <x:c r="Y89" s="196" t="str">
        <x:v>Not recovered from reviewed sessions</x:v>
      </x:c>
      <x:c r="Z89" s="197"/>
      <x:c r="AA89" s="101" t="str">
        <x:v>L5.4</x:v>
      </x:c>
      <x:c r="AB89" s="101" t="str">
        <x:v>Regime correctness</x:v>
      </x:c>
      <x:c r="AC89" s="101"/>
      <x:c r="AD89" s="101" t="str">
        <x:v>Build</x:v>
      </x:c>
      <x:c r="AE89" s="101" t="str">
        <x:v>D1; D5</x:v>
      </x:c>
      <x:c r="AF89" s="101" t="str">
        <x:v>Core</x:v>
      </x:c>
      <x:c r="AG89" s="101" t="str">
        <x:v>R1</x:v>
      </x:c>
      <x:c r="AH89" s="101" t="str">
        <x:v>Advances</x:v>
      </x:c>
      <x:c r="AI89" s="101" t="str">
        <x:f t="shared" si="2"/>
        <x:v>Not recovered from reviewed sessions</x:v>
      </x:c>
      <x:c r="AJ89" s="101" t="str">
        <x:v>Inherited baseline estimate</x:v>
      </x:c>
      <x:c r="AK89" s="101" t="str">
        <x:v>v4.10.3</x:v>
      </x:c>
      <x:c r="AL89" s="101" t="str">
        <x:v>Chapters 3/4 v4.10.3 — MD + illustrated Word; UI Coverage / UI Controls in this workbook</x:v>
      </x:c>
      <x:c r="AM89" t="n">
        <x:f>IF(ISNUMBER(J89),1,0)</x:f>
        <x:v>1</x:v>
      </x:c>
      <x:c r="AN89" s="101"/>
      <x:c r="AO89" s="194" t="str">
        <x:v>Recorded closed — inherited evidence</x:v>
      </x:c>
      <x:c r="AP89" s="194" t="str">
        <x:v>Inherited v2.22.0 intended record; no new runtime certification in this repair.</x:v>
      </x:c>
      <x:c r="AQ89" s="194"/>
      <x:c r="AR89" s="194" t="str">
        <x:v>INHERITED ESTIMATE</x:v>
      </x:c>
    </x:row>
    <x:row r="90" ht="76" hidden="1" customHeight="1">
      <x:c r="A90" s="101" t="str">
        <x:v>T-236</x:v>
      </x:c>
      <x:c r="B90" s="101" t="str">
        <x:v>M2</x:v>
      </x:c>
      <x:c r="C90" s="101" t="str">
        <x:v>P4</x:v>
      </x:c>
      <x:c r="D90" s="101" t="str">
        <x:v>Transition-aware aggregation, statistics and reconciliation guard</x:v>
      </x:c>
      <x:c r="E90" s="101" t="str">
        <x:v>Analytics Engine</x:v>
      </x:c>
      <x:c r="F90" s="101" t="str">
        <x:v>Regime correctness</x:v>
      </x:c>
      <x:c r="G90" s="101" t="str">
        <x:v>Critical</x:v>
      </x:c>
      <x:c r="H90" s="101" t="str">
        <x:v>Implement the schema-independent regime segmentation/eligibility guard consumed by interval aggregation, statistics, practice and reconciliation. Given governed interval segments + T-234 transition context, steady-state analysis partitions/excludes Transition/Stabilising; Mixed without authored policy refuses RG01; every guarded result carries regime state and overlap evidence. Production widget integration is T-212; this kernel does not wait for canonical persistence.</x:v>
      </x:c>
      <x:c r="I90" s="101" t="str">
        <x:v>Controlled fixture proves naive pooled analysis sees the planted ramp-up effect while governed steady-state analysis does not misattribute it. TimeWeightedMean clips at regime boundaries where required. Reconciliation sees transition context as evidence, never as automatic cause.</x:v>
      </x:c>
      <x:c r="J90" s="107" t="n">
        <x:v>10</x:v>
      </x:c>
      <x:c r="K90" s="101" t="str">
        <x:v>Done</x:v>
      </x:c>
      <x:c r="L90" s="101" t="str">
        <x:v>Worker 3</x:v>
      </x:c>
      <x:c r="M90" s="101" t="str">
        <x:v>T-217; T-234</x:v>
      </x:c>
      <x:c r="N90" s="101" t="str">
        <x:v>T-212; T-219</x:v>
      </x:c>
      <x:c r="O90" s="101" t="str">
        <x:v>M2: ~1 month from owner planning checkpoint; exact date not committed</x:v>
      </x:c>
      <x:c r="P90" s="101" t="str">
        <x:v>Release 1 MUST</x:v>
      </x:c>
      <x:c r="Q90" s="101" t="str">
        <x:v>Kernel/integration</x:v>
      </x:c>
      <x:c r="R90" s="195" t="n">
        <x:v>2.666666666666667</x:v>
      </x:c>
      <x:c r="S90" s="101" t="str">
        <x:v>M2-P4</x:v>
      </x:c>
      <x:c r="T90" s="101" t="str">
        <x:v>T-217 + T-234; may run while W1 canonical chain proceeds.</x:v>
      </x:c>
      <x:c r="U90" s="101" t="str">
        <x:v>Analytics/reconciliation kernels only.</x:v>
      </x:c>
      <x:c r="V90" s="101" t="str">
        <x:v>T-219 consumes the guard; consumers must not bypass RG01.</x:v>
      </x:c>
      <x:c r="W90" s="101" t="str">
        <x:v>Industrial Intelligence — References, Reconciliation &amp; Assistant</x:v>
      </x:c>
      <x:c r="X90" s="101" t="str">
        <x:v>M2 P4 — Industrial Intelligence — Reference, Reconciliation &amp; Assistant. Release 1 is genuine early production / first-week customer work.</x:v>
      </x:c>
      <x:c r="Y90" s="196" t="str">
        <x:v>Not recovered from reviewed sessions</x:v>
      </x:c>
      <x:c r="Z90" s="197"/>
      <x:c r="AA90" s="101" t="str">
        <x:v>L5.4</x:v>
      </x:c>
      <x:c r="AB90" s="101" t="str">
        <x:v>Regime correctness</x:v>
      </x:c>
      <x:c r="AC90" s="101" t="str">
        <x:v>L4.2; L10.3</x:v>
      </x:c>
      <x:c r="AD90" s="101" t="str">
        <x:v>Build</x:v>
      </x:c>
      <x:c r="AE90" s="101" t="str">
        <x:v>D3; D5</x:v>
      </x:c>
      <x:c r="AF90" s="101" t="str">
        <x:v>Core</x:v>
      </x:c>
      <x:c r="AG90" s="101" t="str">
        <x:v>R1</x:v>
      </x:c>
      <x:c r="AH90" s="101" t="str">
        <x:v>Advances</x:v>
      </x:c>
      <x:c r="AI90" s="101" t="str">
        <x:f t="shared" si="2"/>
        <x:v>Not recovered from reviewed sessions</x:v>
      </x:c>
      <x:c r="AJ90" s="101" t="str">
        <x:v>Inherited baseline estimate</x:v>
      </x:c>
      <x:c r="AK90" s="101" t="str">
        <x:v>v4.10.3</x:v>
      </x:c>
      <x:c r="AL90" s="101" t="str">
        <x:v>Chapters 3/4 v4.10.3 — MD + illustrated Word; UI Coverage / UI Controls in this workbook</x:v>
      </x:c>
      <x:c r="AM90" t="n">
        <x:f>IF(ISNUMBER(J90),1,0)</x:f>
        <x:v>1</x:v>
      </x:c>
      <x:c r="AN90" s="101"/>
      <x:c r="AO90" s="194" t="str">
        <x:v>Recorded closed — inherited evidence</x:v>
      </x:c>
      <x:c r="AP90" s="194" t="str">
        <x:v>Inherited v2.22.0 intended record; no new runtime certification in this repair.</x:v>
      </x:c>
      <x:c r="AQ90" s="194"/>
      <x:c r="AR90" s="194" t="str">
        <x:v>INHERITED ESTIMATE</x:v>
      </x:c>
    </x:row>
    <x:row r="91" ht="76" hidden="1" customHeight="1">
      <x:c r="A91" s="101" t="str">
        <x:v>T-237</x:v>
      </x:c>
      <x:c r="B91" s="101" t="str">
        <x:v>M2</x:v>
      </x:c>
      <x:c r="C91" s="101" t="str">
        <x:v>P4</x:v>
      </x:c>
      <x:c r="D91" s="101" t="str">
        <x:v>Operational Period Driver Decomposition exact API and evidence tool</x:v>
      </x:c>
      <x:c r="E91" s="101" t="str">
        <x:v>Backend / BI</x:v>
      </x:c>
      <x:c r="F91" s="101" t="str">
        <x:v>Exact period comparison</x:v>
      </x:c>
      <x:c r="G91" s="101" t="str">
        <x:v>Very Important</x:v>
      </x:c>
      <x:c r="H91" s="101" t="str">
        <x:v>Implement Layer-A CompareOperationalPeriods over two governed periods/scopes. Return exact A/B/delta metrics plus transition count/duration, stabilisation exposure, stable-run/sequence length, stopped and production-impact minutes, yield/scrap, energy and any further registry-backed exact measures with evidence handles. No causal claim and no assumption-based money.</x:v>
      </x:c>
      <x:c r="I91" s="101" t="str">
        <x:v>Known-answer periods reproduce exact deltas from source rows. Every numeric field has evidence; missing metrics are explicit unavailable/refused. The same query works for discrete and continuous fixtures. The Assistant tool adapter consumes this result without recalculating values.</x:v>
      </x:c>
      <x:c r="J91" s="107" t="n">
        <x:v>10</x:v>
      </x:c>
      <x:c r="K91" s="101" t="str">
        <x:v>Not Started</x:v>
      </x:c>
      <x:c r="L91" s="101" t="str">
        <x:v>Worker 2</x:v>
      </x:c>
      <x:c r="M91" s="101" t="str">
        <x:v>T-092; T-235</x:v>
      </x:c>
      <x:c r="N91" s="101" t="str">
        <x:v>T-164</x:v>
      </x:c>
      <x:c r="O91" s="101" t="str">
        <x:v>M2: ~1 month from owner planning checkpoint; exact date not committed</x:v>
      </x:c>
      <x:c r="P91" s="101" t="str">
        <x:v>Release 1 MUST</x:v>
      </x:c>
      <x:c r="Q91" s="101" t="str">
        <x:v>Backend/API integration</x:v>
      </x:c>
      <x:c r="R91" s="195" t="n">
        <x:v>4.25</x:v>
      </x:c>
      <x:c r="S91" s="101" t="str">
        <x:v>M2-P4</x:v>
      </x:c>
      <x:c r="T91" s="101" t="str">
        <x:v>T-092 + T-235; can run in parallel with T-222 on separate files.</x:v>
      </x:c>
      <x:c r="U91" s="101" t="str">
        <x:v>Layer-A period comparison API/evidence only.</x:v>
      </x:c>
      <x:c r="V91" s="101" t="str">
        <x:v>T-138/T-164 may consume the stable contract; neither may duplicate calculations.</x:v>
      </x:c>
      <x:c r="W91" s="101" t="str">
        <x:v>Industrial Intelligence — References, Reconciliation &amp; Assistant</x:v>
      </x:c>
      <x:c r="X91" s="101" t="str">
        <x:v>M2 P4 — Industrial Intelligence — Reference, Reconciliation &amp; Assistant. Release 1 is genuine early production / first-week customer work.</x:v>
      </x:c>
      <x:c r="Y91" s="196"/>
      <x:c r="Z91" s="197"/>
      <x:c r="AA91" s="101" t="str">
        <x:v>L10.2</x:v>
      </x:c>
      <x:c r="AB91" s="101" t="str">
        <x:v>Period driver decomposition</x:v>
      </x:c>
      <x:c r="AC91" s="101"/>
      <x:c r="AD91" s="101" t="str">
        <x:v>Build</x:v>
      </x:c>
      <x:c r="AE91" s="101" t="str">
        <x:v>D3; D5</x:v>
      </x:c>
      <x:c r="AF91" s="101" t="str">
        <x:v>Core</x:v>
      </x:c>
      <x:c r="AG91" s="101" t="str">
        <x:v>R1</x:v>
      </x:c>
      <x:c r="AH91" s="101" t="str">
        <x:v>Advances</x:v>
      </x:c>
      <x:c r="AI91" s="101">
        <x:f t="shared" si="2"/>
      </x:c>
      <x:c r="AJ91" s="101" t="str">
        <x:v>Inherited baseline estimate</x:v>
      </x:c>
      <x:c r="AK91" s="101" t="str">
        <x:v>v4.10.3</x:v>
      </x:c>
      <x:c r="AL91" s="101" t="str">
        <x:v>Chapters 3/4 v4.10.3 — MD + illustrated Word; UI Coverage / UI Controls in this workbook</x:v>
      </x:c>
      <x:c r="AM91" t="n">
        <x:f>IF(ISNUMBER(J91),1,0)</x:f>
        <x:v>1</x:v>
      </x:c>
      <x:c r="AN91" s="101"/>
      <x:c r="AO91" s="194" t="str">
        <x:v>Not started — no completion claimed</x:v>
      </x:c>
      <x:c r="AP91" s="194" t="str">
        <x:v>Inherited v2.22.0 intended record; no new runtime certification in this repair.</x:v>
      </x:c>
      <x:c r="AQ91" s="194"/>
      <x:c r="AR91" s="194" t="str">
        <x:v>INHERITED ESTIMATE</x:v>
      </x:c>
    </x:row>
    <x:row r="92" ht="76" hidden="1" customHeight="1">
      <x:c r="A92" s="101" t="str">
        <x:v>T-112</x:v>
      </x:c>
      <x:c r="B92" s="101" t="str">
        <x:v>M2</x:v>
      </x:c>
      <x:c r="C92" s="101" t="str">
        <x:v>P5</x:v>
      </x:c>
      <x:c r="D92" s="101" t="str">
        <x:v>Force RLS on every tenant-owned table with an architecture test</x:v>
      </x:c>
      <x:c r="E92" s="101" t="str">
        <x:v>Database</x:v>
      </x:c>
      <x:c r="F92" s="101" t="str">
        <x:v>Security</x:v>
      </x:c>
      <x:c r="G92" s="101" t="str">
        <x:v>Critical</x:v>
      </x:c>
      <x:c r="H92" s="101" t="str">
        <x:v>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
v2.20.0 EVIDENCE CORRECTION — T-251's generated catalogue defines the tenant-owned table set; T-252 supplies the disposable certification database. Retire any vacuous tenant-isolation 'proof' that does not execute database behavior.</x:v>
      </x:c>
      <x:c r="I92" s="101" t="str">
        <x:v>A query listing tenant-owned tables without a policy returns zero rows. Add a new tenant table in a branch and confirm the architecture test goes red before it is merged. Execute a two-tenant behavioral proof from the database layer alone: tenant A can read/write its allowed row, cannot read/write tenant B, and an unscoped session is refused according to policy. The existing Assert.True(true)-style proof is removed or excluded from release evidence. The test must fail under a deliberate RLS-policy removal negative control.</x:v>
      </x:c>
      <x:c r="J92" s="107" t="n">
        <x:v>12</x:v>
      </x:c>
      <x:c r="K92" s="101" t="str">
        <x:v>Not Started</x:v>
      </x:c>
      <x:c r="L92" s="101" t="str">
        <x:v>Worker 1</x:v>
      </x:c>
      <x:c r="M92" s="101" t="str">
        <x:v>T-087; T-088; T-251; T-252</x:v>
      </x:c>
      <x:c r="N92" s="101" t="str">
        <x:v>T-122; T-128; T-129; T-130; T-135; T-183; T-184; T-185; T-187; T-195; T-198; T-221; T-230</x:v>
      </x:c>
      <x:c r="O92" s="101" t="str">
        <x:v>M2: ~1 month from owner planning checkpoint; exact date not committed</x:v>
      </x:c>
      <x:c r="P92" s="101" t="str">
        <x:v>Release 1 MUST</x:v>
      </x:c>
      <x:c r="Q92" s="101" t="str">
        <x:v>DB/schema/migration</x:v>
      </x:c>
      <x:c r="R92" s="195" t="n">
        <x:v>2.325</x:v>
      </x:c>
      <x:c r="S92" s="101" t="str">
        <x:v>M2-P5</x:v>
      </x:c>
      <x:c r="T92" s="101" t="str">
        <x:v>WAIT for Presentation RC freeze/tag + clean index/worktree. Then: T-087/T-088 canonical migration authority available; establish FORCE RLS guar...</x:v>
      </x:c>
      <x:c r="U92" s="101" t="str">
        <x:v>Own canonical DB/backend/security/API/infra. No W2-owned UI/admin task files and no W3 ML/Assistant runtime.</x:v>
      </x:c>
      <x:c r="V92" s="101" t="str">
        <x:v>Critical hand-off: after T-089..T-105 + T-112/T-114 are committed, W3 may open T-183/T-195/T-128 lane.</x:v>
      </x:c>
      <x:c r="W92" s="101" t="str">
        <x:v>Release Hardening &amp; Week-1 Production Acceptance</x:v>
      </x:c>
      <x:c r="X92" s="101" t="str">
        <x:v>M2 P5 — Release Hardening &amp; Week-1 Production Acceptance. Release 1 is genuine early production / first-week customer work.</x:v>
      </x:c>
      <x:c r="Y92" s="196"/>
      <x:c r="Z92" s="197"/>
      <x:c r="AA92" s="101" t="str">
        <x:v>L7.2</x:v>
      </x:c>
      <x:c r="AB92" s="101" t="str">
        <x:v>Tenant isolation</x:v>
      </x:c>
      <x:c r="AC92" s="101"/>
      <x:c r="AD92" s="101" t="str">
        <x:v>Harden</x:v>
      </x:c>
      <x:c r="AE92" s="101" t="str">
        <x:v>D4; D5</x:v>
      </x:c>
      <x:c r="AF92" s="101" t="str">
        <x:v>Core</x:v>
      </x:c>
      <x:c r="AG92" s="101" t="str">
        <x:v>R1</x:v>
      </x:c>
      <x:c r="AH92" s="101" t="str">
        <x:v>Advances</x:v>
      </x:c>
      <x:c r="AI92" s="101">
        <x:f t="shared" si="2"/>
      </x:c>
      <x:c r="AJ92" s="101" t="str">
        <x:v>Inherited baseline estimate</x:v>
      </x:c>
      <x:c r="AK92" s="101" t="str">
        <x:v>v4.10.3</x:v>
      </x:c>
      <x:c r="AL92" s="101" t="str">
        <x:v>Chapters 3/4 v4.10.3 — MD + illustrated Word; UI Coverage / UI Controls in this workbook</x:v>
      </x:c>
      <x:c r="AM92" t="n">
        <x:f>IF(ISNUMBER(J92),1,0)</x:f>
        <x:v>1</x:v>
      </x:c>
      <x:c r="AN92" s="101"/>
      <x:c r="AO92" s="194" t="str">
        <x:v>Not started — no completion claimed</x:v>
      </x:c>
      <x:c r="AP92" s="194" t="str">
        <x:v>Inherited v2.22.0 intended record; no new runtime certification in this repair.</x:v>
      </x:c>
      <x:c r="AQ92" s="194"/>
      <x:c r="AR92" s="194" t="str">
        <x:v>INHERITED ESTIMATE</x:v>
      </x:c>
    </x:row>
    <x:row r="93" ht="76" hidden="1" customHeight="1">
      <x:c r="A93" s="101" t="str">
        <x:v>T-113</x:v>
      </x:c>
      <x:c r="B93" s="101" t="str">
        <x:v>M2</x:v>
      </x:c>
      <x:c r="C93" s="101" t="str">
        <x:v>P5</x:v>
      </x:c>
      <x:c r="D93" s="101" t="str">
        <x:v>Secret and configuration hygiene</x:v>
      </x:c>
      <x:c r="E93" s="101" t="str">
        <x:v>Backend</x:v>
      </x:c>
      <x:c r="F93" s="101" t="str">
        <x:v>Security</x:v>
      </x:c>
      <x:c r="G93" s="101" t="str">
        <x:v>Very Important</x:v>
      </x:c>
      <x:c r="H93" s="101" t="str">
        <x:v>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
v2.20.0 REVIEW ADDENDUM — remove the dead PPIQ_RUN_E2E runtime-env knob now that canonical Jenkins E2E is unconditionally blocking. Production administration must require MFA by default (or require an explicit, auditable production exception); Release-1 evidence must include one MFA-enabled admin path.
v2.22.0 — Enforce release-profile secret/configuration and unsafe legacy route boundary. Secrets only through references; reject/migrate secret-bearing options, protect logs/backups; release profile disables bootstrap defaults, seeds/dev minting and hand-entered-outcome runtime exposure.</x:v>
      </x:c>
      <x:c r="I93" s="101" t="str">
        <x:v>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 Confirm no executable production/runtime script supplies the retired server IP as a fallback. Confirm PPIQ_RUN_E2E is absent from runtime profile generation. A Production profile with privileged-admin MFA disabled fails the configuration gate unless an explicit governed exception fixture is supplied. Run one privileged-admin E2E path with MFA enabled.
v2.22.0 — Harmless sentinel round trip on create/update/get/list and logs; test setup failures fail tests; no secrets in profile row/response/log; no demo seed on production path; release-profile negative probes for dev/legacy routes; secret-scan evidence without printing secrets.</x:v>
      </x:c>
      <x:c r="J93" s="107" t="n">
        <x:v>8</x:v>
      </x:c>
      <x:c r="K93" s="101" t="str">
        <x:v>Not Started</x:v>
      </x:c>
      <x:c r="L93" s="101" t="str">
        <x:v>Worker 1</x:v>
      </x:c>
      <x:c r="M93" s="101"/>
      <x:c r="N93" s="101" t="str">
        <x:v>T-122; T-200</x:v>
      </x:c>
      <x:c r="O93" s="101" t="str">
        <x:v>M2: ~1 month from owner planning checkpoint; exact date not committed</x:v>
      </x:c>
      <x:c r="P93" s="101" t="str">
        <x:v>Release 1 MUST</x:v>
      </x:c>
      <x:c r="Q93" s="101" t="str">
        <x:v>Backend/domain contract</x:v>
      </x:c>
      <x:c r="R93" s="195" t="n">
        <x:v>1.2000000000000002</x:v>
      </x:c>
      <x:c r="S93" s="101" t="str">
        <x:v>M2-P5</x:v>
      </x:c>
      <x:c r="T93" s="101" t="str">
        <x:v>WAIT for Presentation RC freeze/tag + clean index/worktree. Then: Release 1 dependency order</x:v>
      </x:c>
      <x:c r="U93" s="101" t="str">
        <x:v>Own canonical DB/backend/security/API/infra. No W2-owned UI/admin task files and no W3 ML/Assistant runtime.</x:v>
      </x:c>
      <x:c r="V93" s="101" t="str">
        <x:v>Commit before downstream consumer starts; consumer must use the contract, not redesign producer-owned semantics.</x:v>
      </x:c>
      <x:c r="W93" s="101" t="str">
        <x:v>Release Hardening &amp; Week-1 Production Acceptance</x:v>
      </x:c>
      <x:c r="X93" s="101" t="str">
        <x:v>M2 P5 — Release Hardening &amp; Week-1 Production Acceptance. Release 1 is genuine early production / first-week customer work.</x:v>
      </x:c>
      <x:c r="Y93" s="196"/>
      <x:c r="Z93" s="197"/>
      <x:c r="AA93" s="101" t="str">
        <x:v>L7.5</x:v>
      </x:c>
      <x:c r="AB93" s="101" t="str">
        <x:v>Secret and credential management</x:v>
      </x:c>
      <x:c r="AC93" s="101"/>
      <x:c r="AD93" s="101" t="str">
        <x:v>Harden</x:v>
      </x:c>
      <x:c r="AE93" s="101" t="str">
        <x:v>D3; D5</x:v>
      </x:c>
      <x:c r="AF93" s="101" t="str">
        <x:v>Core</x:v>
      </x:c>
      <x:c r="AG93" s="101" t="str">
        <x:v>R1</x:v>
      </x:c>
      <x:c r="AH93" s="101" t="str">
        <x:v>Advances</x:v>
      </x:c>
      <x:c r="AI93" s="101">
        <x:f t="shared" si="2"/>
      </x:c>
      <x:c r="AJ93" s="101" t="str">
        <x:v>Inherited estimate; scope changed — re-estimation required</x:v>
      </x:c>
      <x:c r="AK93" s="101" t="str">
        <x:v>v4.10.3</x:v>
      </x:c>
      <x:c r="AL93" s="101" t="str">
        <x:v>Chapters 3/4 v4.10.3 — MD + illustrated Word; UI Coverage / UI Controls in this workbook</x:v>
      </x:c>
      <x:c r="AM93" t="n">
        <x:f>IF(ISNUMBER(J93),1,0)</x:f>
        <x:v>1</x:v>
      </x:c>
      <x:c r="AN93" s="101"/>
      <x:c r="AO93" s="194" t="str">
        <x:v>Not started — no completion claimed</x:v>
      </x:c>
      <x:c r="AP93" s="194" t="str">
        <x:v>Inherited v2.22.0 intended record; no new runtime certification in this repair.</x:v>
      </x:c>
      <x:c r="AQ93" s="194"/>
      <x:c r="AR93" s="194" t="str">
        <x:v>INHERITED ESTIMATE</x:v>
      </x:c>
    </x:row>
    <x:row r="94" ht="76" hidden="1" customHeight="1">
      <x:c r="A94" s="101" t="str">
        <x:v>T-114</x:v>
      </x:c>
      <x:c r="B94" s="101" t="str">
        <x:v>M2</x:v>
      </x:c>
      <x:c r="C94" s="101" t="str">
        <x:v>P5</x:v>
      </x:c>
      <x:c r="D94" s="101" t="str">
        <x:v>Tenant keys, tenant-aware uniqueness and canonical namespace on new APIs</x:v>
      </x:c>
      <x:c r="E94" s="101" t="str">
        <x:v>Backend</x:v>
      </x:c>
      <x:c r="F94" s="101" t="str">
        <x:v>Security</x:v>
      </x:c>
      <x:c r="G94" s="101" t="str">
        <x:v>Very Important</x:v>
      </x:c>
      <x:c r="H94" s="101" t="str">
        <x:v>Apply tenant keys and tenant-aware uniqueness to every table introduced in M1 and Release 1, and put every new endpoint on the canonical namespace from the outset so the migration does not have to catch up with new work.</x:v>
      </x:c>
      <x:c r="I94" s="101" t="str">
        <x:v>Insert the same natural key for two tenants and confirm both persist. A test asserting every endpoint added after this date matches the canonical domain pattern.</x:v>
      </x:c>
      <x:c r="J94" s="107" t="n">
        <x:v>6</x:v>
      </x:c>
      <x:c r="K94" s="101" t="str">
        <x:v>Not Started</x:v>
      </x:c>
      <x:c r="L94" s="101" t="str">
        <x:v>Worker 1</x:v>
      </x:c>
      <x:c r="M94" s="101" t="str">
        <x:v>T-087; T-089; T-090; T-095; T-099</x:v>
      </x:c>
      <x:c r="N94" s="101" t="str">
        <x:v>T-122; T-128; T-129; T-130; T-135; T-183; T-184; T-185; T-187; T-195; T-198; T-221; T-230</x:v>
      </x:c>
      <x:c r="O94" s="101" t="str">
        <x:v>M2: ~1 month from owner planning checkpoint; exact date not committed</x:v>
      </x:c>
      <x:c r="P94" s="101" t="str">
        <x:v>Release 1 MUST</x:v>
      </x:c>
      <x:c r="Q94" s="101" t="str">
        <x:v>Backend/domain contract</x:v>
      </x:c>
      <x:c r="R94" s="195" t="n">
        <x:v>0.8999999999999999</x:v>
      </x:c>
      <x:c r="S94" s="101" t="str">
        <x:v>M2-P5</x:v>
      </x:c>
      <x:c r="T94" s="101" t="str">
        <x:v>WAIT for Presentation RC freeze/tag + clean index/worktree. Then: T-087 + T-089/T-090 + T-095/T-099 canonical Release 1 tables available; establish t...</x:v>
      </x:c>
      <x:c r="U94" s="101" t="str">
        <x:v>Own canonical DB/backend/security/API/infra. No W2-owned UI/admin task files and no W3 ML/Assistant runtime.</x:v>
      </x:c>
      <x:c r="V94" s="101" t="str">
        <x:v>Critical hand-off: after T-089..T-105 + T-112/T-114 are committed, W3 may open T-183/T-195/T-128 lane.</x:v>
      </x:c>
      <x:c r="W94" s="101" t="str">
        <x:v>Release Hardening &amp; Week-1 Production Acceptance</x:v>
      </x:c>
      <x:c r="X94" s="101" t="str">
        <x:v>M2 P5 — Release Hardening &amp; Week-1 Production Acceptance. Release 1 is genuine early production / first-week customer work.</x:v>
      </x:c>
      <x:c r="Y94" s="196"/>
      <x:c r="Z94" s="197"/>
      <x:c r="AA94" s="101" t="str">
        <x:v>L7.2</x:v>
      </x:c>
      <x:c r="AB94" s="101" t="str">
        <x:v>Tenant isolation</x:v>
      </x:c>
      <x:c r="AC94" s="101"/>
      <x:c r="AD94" s="101" t="str">
        <x:v>Harden</x:v>
      </x:c>
      <x:c r="AE94" s="101" t="str">
        <x:v>D3; D5</x:v>
      </x:c>
      <x:c r="AF94" s="101" t="str">
        <x:v>Core</x:v>
      </x:c>
      <x:c r="AG94" s="101" t="str">
        <x:v>R1</x:v>
      </x:c>
      <x:c r="AH94" s="101" t="str">
        <x:v>Advances</x:v>
      </x:c>
      <x:c r="AI94" s="101">
        <x:f t="shared" si="2"/>
      </x:c>
      <x:c r="AJ94" s="101" t="str">
        <x:v>Inherited baseline estimate</x:v>
      </x:c>
      <x:c r="AK94" s="101" t="str">
        <x:v>v4.10.3</x:v>
      </x:c>
      <x:c r="AL94" s="101" t="str">
        <x:v>Chapters 3/4 v4.10.3 — MD + illustrated Word; UI Coverage / UI Controls in this workbook</x:v>
      </x:c>
      <x:c r="AM94" t="n">
        <x:f>IF(ISNUMBER(J94),1,0)</x:f>
        <x:v>1</x:v>
      </x:c>
      <x:c r="AN94" s="101"/>
      <x:c r="AO94" s="194" t="str">
        <x:v>Not started — no completion claimed</x:v>
      </x:c>
      <x:c r="AP94" s="194" t="str">
        <x:v>Inherited v2.22.0 intended record; no new runtime certification in this repair.</x:v>
      </x:c>
      <x:c r="AQ94" s="194"/>
      <x:c r="AR94" s="194" t="str">
        <x:v>INHERITED ESTIMATE</x:v>
      </x:c>
    </x:row>
    <x:row r="95" ht="76" hidden="1" customHeight="1">
      <x:c r="A95" s="101" t="str">
        <x:v>T-115</x:v>
      </x:c>
      <x:c r="B95" s="101" t="str">
        <x:v>M2</x:v>
      </x:c>
      <x:c r="C95" s="101" t="str">
        <x:v>P5</x:v>
      </x:c>
      <x:c r="D95" s="101" t="str">
        <x:v>Fresh-install Rule 2 acceptance test, ephemeral</x:v>
      </x:c>
      <x:c r="E95" s="101" t="str">
        <x:v>Database</x:v>
      </x:c>
      <x:c r="F95" s="101" t="str">
        <x:v>Schema</x:v>
      </x:c>
      <x:c r="G95" s="101" t="str">
        <x:v>Very Important</x:v>
      </x:c>
      <x:c r="H95" s="101" t="str">
        <x:v>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
v2.22.1 — Own the bounded backend acceptance-hygiene follow-up reported in the 04-Sep audit: first inspect the current T-210 fixture and the named migration byte-order marks, then fix only reproduced issues. Reuse T-252 disposable-DB policy and T-259 evidence envelope; do not reopen their proven closures. The inherited DefinitionKind mismatch reported with T-099 is a separate test-authority convergence obligation, not a T-099 regression.</x:v>
      </x:c>
      <x:c r="I95" s="101" t="str">
        <x:v>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
v2.22.1 — Verify actual current file bytes before calling the historical five-BOM finding still present; keep before/after hashes when a byte repair is required. A local intentionally absent external probe may skip only with the approved named reason; Release-1 certification provisions its own disposable database and a missing fixture is RED, never a passing skip. Reconcile the inherited DefinitionKind assertion with the current canonical kind authority and assert all required members rather than merely deleting or weakening the test. Keep T-099 closed; full-release GREEN remains forbidden while its independently tracked known-red or canonical replay limitations remain unresolved.</x:v>
      </x:c>
      <x:c r="J95" s="107" t="n">
        <x:v>4</x:v>
      </x:c>
      <x:c r="K95" s="101" t="str">
        <x:v>Not Started</x:v>
      </x:c>
      <x:c r="L95" s="101" t="str">
        <x:v>Worker 1</x:v>
      </x:c>
      <x:c r="M95" s="101"/>
      <x:c r="N95" s="101" t="str">
        <x:v>T-150</x:v>
      </x:c>
      <x:c r="O95" s="101" t="str">
        <x:v>M2: ~1 month from owner planning checkpoint; exact date not committed</x:v>
      </x:c>
      <x:c r="P95" s="101" t="str">
        <x:v>Release 1 MUST</x:v>
      </x:c>
      <x:c r="Q95" s="101" t="str">
        <x:v>DB/schema/migration</x:v>
      </x:c>
      <x:c r="R95" s="195" t="n">
        <x:v>0.775</x:v>
      </x:c>
      <x:c r="S95" s="101" t="str">
        <x:v>M2-P5</x:v>
      </x:c>
      <x:c r="T95" s="101" t="str">
        <x:v>WAIT for Presentation RC freeze/tag + clean index/worktree. Then: Release 1 dependency order</x:v>
      </x:c>
      <x:c r="U95" s="101" t="str">
        <x:v>Own canonical DB/backend/security/API/infra. No W2-owned UI/admin task files and no W3 ML/Assistant runtime.</x:v>
      </x:c>
      <x:c r="V95" s="101" t="str">
        <x:v>Commit before downstream consumer starts; consumer must use the contract, not redesign producer-owned semantics.</x:v>
      </x:c>
      <x:c r="W95" s="101" t="str">
        <x:v>Release Hardening &amp; Week-1 Production Acceptance</x:v>
      </x:c>
      <x:c r="X95" s="101" t="str">
        <x:v>M2 P5 — Release Hardening &amp; Week-1 Production Acceptance. Release 1 is genuine early production / first-week customer work.</x:v>
      </x:c>
      <x:c r="Y95" s="196"/>
      <x:c r="Z95" s="197"/>
      <x:c r="AA95" s="101" t="str">
        <x:v>L8.1</x:v>
      </x:c>
      <x:c r="AB95" s="101" t="str">
        <x:v>Fresh install and upgrade authority</x:v>
      </x:c>
      <x:c r="AC95" s="101" t="str">
        <x:v>L8.2</x:v>
      </x:c>
      <x:c r="AD95" s="101" t="str">
        <x:v>Validate</x:v>
      </x:c>
      <x:c r="AE95" s="101" t="str">
        <x:v>D4; D5</x:v>
      </x:c>
      <x:c r="AF95" s="101" t="str">
        <x:v>Core</x:v>
      </x:c>
      <x:c r="AG95" s="101" t="str">
        <x:v>R1</x:v>
      </x:c>
      <x:c r="AH95" s="101" t="str">
        <x:v>Advances</x:v>
      </x:c>
      <x:c r="AI95" s="101">
        <x:f t="shared" si="2"/>
      </x:c>
      <x:c r="AJ95" s="101" t="str">
        <x:v>Inherited baseline estimate v2.22.1 acceptance/ownership clarification; owner to review planning impact.</x:v>
      </x:c>
      <x:c r="AK95" s="101" t="str">
        <x:v>v4.10.3</x:v>
      </x:c>
      <x:c r="AL95" s="101" t="str">
        <x:v>Chapters 3/4 v4.10.3 — MD + illustrated Word; UI Coverage / UI Controls in this workbook</x:v>
      </x:c>
      <x:c r="AM95" t="n">
        <x:f>IF(ISNUMBER(J95),1,0)</x:f>
        <x:v>1</x:v>
      </x:c>
      <x:c r="AN95" s="101"/>
      <x:c r="AO95" s="194" t="str">
        <x:v>Not started — no completion claimed</x:v>
      </x:c>
      <x:c r="AP95" s="194" t="str">
        <x:v>Inherited v2.22.0 intended record; no new runtime certification in this repair.</x:v>
      </x:c>
      <x:c r="AQ95" s="194"/>
      <x:c r="AR95" s="194" t="str">
        <x:v>INHERITED ESTIMATE</x:v>
      </x:c>
    </x:row>
    <x:row r="96" ht="76" hidden="1" customHeight="1">
      <x:c r="A96" s="101" t="str">
        <x:v>T-119</x:v>
      </x:c>
      <x:c r="B96" s="101" t="str">
        <x:v>M2</x:v>
      </x:c>
      <x:c r="C96" s="101" t="str">
        <x:v>P5</x:v>
      </x:c>
      <x:c r="D96" s="101" t="str">
        <x:v>Eight-role catalogue convergence, one-to-one wire mapping and three enforcement layers</x:v>
      </x:c>
      <x:c r="E96" s="101" t="str">
        <x:v>Backend</x:v>
      </x:c>
      <x:c r="F96" s="101" t="str">
        <x:v>Users and roles</x:v>
      </x:c>
      <x:c r="G96" s="101" t="str">
        <x:v>Critical</x:v>
      </x:c>
      <x:c r="H96" s="101" t="str">
        <x:v>FormalPlantRole already contains the enterprise catalogue. Converge the shipped contract rather than rebuilding the model: one canonical external identity per formal role, fail-closed parsing of unknown values, generated/typed frontend role vocabulary, and enforcement at API, query/data and UI layers. Preserve the three-role minimum as the smallest legal customer configuration. Extend FormalRoleAccessMatrix rather than creating a second role list. Unknown roles must never silently downgrade to Viewer.</x:v>
      </x:c>
      <x:c r="I96" s="101" t="str">
        <x:v>A matrix test asserts every formal role against every capability at API, query/data and UI layers. Every enum member has one stable wire identity; round-trip role→wire→role is lossless. Unknown role text is refused, not mapped to Viewer. The frontend compiles against a closed/generated role union rather than '| string'. Confirm a viewer cannot author SQL at any licence tier, and CEO/Executive distinctions remain explicit where the catalogue defines them.</x:v>
      </x:c>
      <x:c r="J96" s="107" t="n">
        <x:v>12</x:v>
      </x:c>
      <x:c r="K96" s="101" t="str">
        <x:v>Not Started</x:v>
      </x:c>
      <x:c r="L96" s="101" t="str">
        <x:v>Worker 1</x:v>
      </x:c>
      <x:c r="M96" s="101"/>
      <x:c r="N96" s="101" t="str">
        <x:v>T-121; T-197; T-198; T-200</x:v>
      </x:c>
      <x:c r="O96" s="101" t="str">
        <x:v>M2: ~1 month from owner planning checkpoint; exact date not committed</x:v>
      </x:c>
      <x:c r="P96" s="101" t="str">
        <x:v>Release 1 MUST</x:v>
      </x:c>
      <x:c r="Q96" s="101" t="str">
        <x:v>Backend/domain contract</x:v>
      </x:c>
      <x:c r="R96" s="195" t="n">
        <x:v>1.7999999999999998</x:v>
      </x:c>
      <x:c r="S96" s="101" t="str">
        <x:v>M2-P5</x:v>
      </x:c>
      <x:c r="T96" s="101" t="str">
        <x:v>WAIT for Presentation RC freeze/tag + clean index/worktree. Then: Release 1 dependency order</x:v>
      </x:c>
      <x:c r="U96" s="101" t="str">
        <x:v>Own canonical DB/backend/security/API/infra. No W2-owned UI/admin task files and no W3 ML/Assistant runtime.</x:v>
      </x:c>
      <x:c r="V96" s="101" t="str">
        <x:v>Commit before downstream consumer starts; consumer must use the contract, not redesign producer-owned semantics.</x:v>
      </x:c>
      <x:c r="W96" s="101" t="str">
        <x:v>Release Hardening &amp; Week-1 Production Acceptance</x:v>
      </x:c>
      <x:c r="X96" s="101" t="str">
        <x:v>M2 P5 — Release Hardening &amp; Week-1 Production Acceptance. Release 1 is genuine early production / first-week customer work.</x:v>
      </x:c>
      <x:c r="Y96" s="196"/>
      <x:c r="Z96" s="197"/>
      <x:c r="AA96" s="101" t="str">
        <x:v>L7.1</x:v>
      </x:c>
      <x:c r="AB96" s="101" t="str">
        <x:v>Users, roles, permissions, MFA and enterprise identity</x:v>
      </x:c>
      <x:c r="AC96" s="101"/>
      <x:c r="AD96" s="101" t="str">
        <x:v>Converge</x:v>
      </x:c>
      <x:c r="AE96" s="101" t="str">
        <x:v>D3; D4; D5</x:v>
      </x:c>
      <x:c r="AF96" s="101" t="str">
        <x:v>Core</x:v>
      </x:c>
      <x:c r="AG96" s="101" t="str">
        <x:v>R1</x:v>
      </x:c>
      <x:c r="AH96" s="101" t="str">
        <x:v>Advances</x:v>
      </x:c>
      <x:c r="AI96" s="101">
        <x:f t="shared" si="2"/>
      </x:c>
      <x:c r="AJ96" s="101" t="str">
        <x:v>Inherited baseline estimate</x:v>
      </x:c>
      <x:c r="AK96" s="101" t="str">
        <x:v>v4.10.3</x:v>
      </x:c>
      <x:c r="AL96" s="101" t="str">
        <x:v>Chapters 3/4 v4.10.3 — MD + illustrated Word; UI Coverage / UI Controls in this workbook</x:v>
      </x:c>
      <x:c r="AM96" t="n">
        <x:f>IF(ISNUMBER(J96),1,0)</x:f>
        <x:v>1</x:v>
      </x:c>
      <x:c r="AN96" s="101"/>
      <x:c r="AO96" s="194" t="str">
        <x:v>Not started — no completion claimed</x:v>
      </x:c>
      <x:c r="AP96" s="194" t="str">
        <x:v>Inherited v2.22.0 intended record; no new runtime certification in this repair.</x:v>
      </x:c>
      <x:c r="AQ96" s="194"/>
      <x:c r="AR96" s="194" t="str">
        <x:v>INHERITED ESTIMATE</x:v>
      </x:c>
    </x:row>
    <x:row r="97" ht="76" hidden="1" customHeight="1">
      <x:c r="A97" s="101" t="str">
        <x:v>T-120</x:v>
      </x:c>
      <x:c r="B97" s="101" t="str">
        <x:v>M2</x:v>
      </x:c>
      <x:c r="C97" s="101" t="str">
        <x:v>P5</x:v>
      </x:c>
      <x:c r="D97" s="101" t="str">
        <x:v>Users and Roles administration surface</x:v>
      </x:c>
      <x:c r="E97" s="101" t="str">
        <x:v>Frontend</x:v>
      </x:c>
      <x:c r="F97" s="101" t="str">
        <x:v>Users and roles</x:v>
      </x:c>
      <x:c r="G97" s="101" t="str">
        <x:v>Very Important</x:v>
      </x:c>
      <x:c r="H97" s="101" t="str">
        <x:v>Build the F1 Users and Roles page from Chapter 3 4.4 with the ten-field page contract. The code itself records that Users and Roles and System Health are missing from the UI.</x:v>
      </x:c>
      <x:c r="I97" s="101" t="str">
        <x:v>Create, edit, disable and re-enable a user, and change a role assignment, entirely through the interface. Confirm the audit layer records each change.</x:v>
      </x:c>
      <x:c r="J97" s="107" t="n">
        <x:v>12</x:v>
      </x:c>
      <x:c r="K97" s="101" t="str">
        <x:v>Not Started</x:v>
      </x:c>
      <x:c r="L97" s="101" t="str">
        <x:v>Worker 2</x:v>
      </x:c>
      <x:c r="M97" s="101"/>
      <x:c r="N97" s="101"/>
      <x:c r="O97" s="101" t="str">
        <x:v>M2: ~1 month from owner planning checkpoint; exact date not committed</x:v>
      </x:c>
      <x:c r="P97" s="101" t="str">
        <x:v>Release 1 MUST</x:v>
      </x:c>
      <x:c r="Q97" s="101" t="str">
        <x:v>Frontend/UI feature</x:v>
      </x:c>
      <x:c r="R97" s="195" t="n">
        <x:v>2</x:v>
      </x:c>
      <x:c r="S97" s="101" t="str">
        <x:v>M2-P5</x:v>
      </x:c>
      <x:c r="T97" s="101" t="str">
        <x:v>WAIT for Presentation RC freeze/tag + clean index/worktree. Then: Release 1 dependency order</x:v>
      </x:c>
      <x:c r="U97" s="101" t="str">
        <x:v>Own named UI/admin task end-to-end only after producer APIs/security are committed.</x:v>
      </x:c>
      <x:c r="V97" s="101" t="str">
        <x:v>Commit before downstream consumer starts; consumer must use the contract, not redesign producer-owned semantics.</x:v>
      </x:c>
      <x:c r="W97" s="101" t="str">
        <x:v>Release Hardening &amp; Week-1 Production Acceptance</x:v>
      </x:c>
      <x:c r="X97" s="101" t="str">
        <x:v>M2 P5 — Release Hardening &amp; Week-1 Production Acceptance. Release 1 is genuine early production / first-week customer work.</x:v>
      </x:c>
      <x:c r="Y97" s="196"/>
      <x:c r="Z97" s="197"/>
      <x:c r="AA97" s="101" t="str">
        <x:v>L7.1</x:v>
      </x:c>
      <x:c r="AB97" s="101" t="str">
        <x:v>Users, roles, permissions, MFA and enterprise identity</x:v>
      </x:c>
      <x:c r="AC97" s="101"/>
      <x:c r="AD97" s="101" t="str">
        <x:v>Build</x:v>
      </x:c>
      <x:c r="AE97" s="101" t="str">
        <x:v>D2; D5</x:v>
      </x:c>
      <x:c r="AF97" s="101" t="str">
        <x:v>Core</x:v>
      </x:c>
      <x:c r="AG97" s="101" t="str">
        <x:v>R1</x:v>
      </x:c>
      <x:c r="AH97" s="101" t="str">
        <x:v>Advances</x:v>
      </x:c>
      <x:c r="AI97" s="101">
        <x:f t="shared" si="2"/>
      </x:c>
      <x:c r="AJ97" s="101" t="str">
        <x:v>Inherited baseline estimate</x:v>
      </x:c>
      <x:c r="AK97" s="101" t="str">
        <x:v>v4.10.3</x:v>
      </x:c>
      <x:c r="AL97" s="101" t="str">
        <x:v>Chapters 3/4 v4.10.3 — MD + illustrated Word; UI Coverage / UI Controls in this workbook
v2.23.0 — T-265 covers only the existing M2 user/role safety slice; T-267 covers deferred administration depth. Render permissions/refusals from the current canonical role contract.</x:v>
      </x:c>
      <x:c r="AM97" t="n">
        <x:f>IF(ISNUMBER(J97),1,0)</x:f>
        <x:v>1</x:v>
      </x:c>
      <x:c r="AN97" s="101"/>
      <x:c r="AO97" s="194" t="str">
        <x:v>Not started — no completion claimed</x:v>
      </x:c>
      <x:c r="AP97" s="194" t="str">
        <x:v>Inherited v2.22.0 intended record; no new runtime certification in this repair.</x:v>
      </x:c>
      <x:c r="AQ97" s="194"/>
      <x:c r="AR97" s="194" t="str">
        <x:v>INHERITED ESTIMATE</x:v>
      </x:c>
    </x:row>
    <x:row r="98" ht="76" hidden="1" customHeight="1">
      <x:c r="A98" s="101" t="str">
        <x:v>T-121</x:v>
      </x:c>
      <x:c r="B98" s="101" t="str">
        <x:v>M2</x:v>
      </x:c>
      <x:c r="C98" s="101" t="str">
        <x:v>P5</x:v>
      </x:c>
      <x:c r="D98" s="101" t="str">
        <x:v>Licence and entitlement enforcement</x:v>
      </x:c>
      <x:c r="E98" s="101" t="str">
        <x:v>Backend</x:v>
      </x:c>
      <x:c r="F98" s="101" t="str">
        <x:v>Licence</x:v>
      </x:c>
      <x:c r="G98" s="101" t="str">
        <x:v>Critical</x:v>
      </x:c>
      <x:c r="H98" s="101" t="str">
        <x:v>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
v2.10.2 PAGE-COVERAGE EXPANSION — this owner also delivers the required F3 Authoring Quota and Limits route /admin/quota. F2 shows licence/entitlement and total meters; F3 allocates authoring quotas by role/user with current consumption, Amber at &gt;=80%, create disabled at 100%, and no lost draft.
v2.20.0 TRUST-ROOT RULING — production licence issuance/signing authority is vendor-side. Customer databases contain verification/public-key material and licence artifacts, not a production private signing key capable of minting a valid licence. Any development-only local signing key is explicitly non-production and either truly encrypted at rest or stored under a truthful non-encrypted name; an `_encrypted` column may not contain raw PEM.
v2.22.0 — Preserve vendor-only signing and existing F2/F3 quota ownership. Remove shadow ILicenseService registrations; dev signing storage/naming truthful and non-production.</x:v>
      </x:c>
      <x:c r="I98" s="101" t="str">
        <x:v>Exceed a meter and confirm the import queues and the job waits for a slot rather than failing. Confirm the customer can see their own approach to each meter in the interface, since a limit the customer cannot see is a trap.
In addition to licence-meter tests, open /admin/quota, change one role quota and one user override, approach 80% and 100%, and prove warning/disable semantics plus audit. Non-admin roles are denied by the final page contract. Issue a production-shaped licence outside the customer database, verify it on the customer installation, tamper and prove refusal. Prove the customer database alone cannot mint a valid production licence. Inspect signing-key persistence and prove no raw private PEM is stored in a field/schema claiming encryption.
v2.22.0 — Exactly one effective registration; valid/tampered/expired licenses; no production signing secret; dev mint endpoint denied/unmapped in release profile; keep quota 80%/100%, role/user override and no lost draft acceptance.</x:v>
      </x:c>
      <x:c r="J98" s="107" t="n">
        <x:v>16</x:v>
      </x:c>
      <x:c r="K98" s="101" t="str">
        <x:v>Not Started</x:v>
      </x:c>
      <x:c r="L98" s="101" t="str">
        <x:v>Worker 1</x:v>
      </x:c>
      <x:c r="M98" s="101" t="str">
        <x:v>T-119</x:v>
      </x:c>
      <x:c r="N98" s="101" t="str">
        <x:v>T-127</x:v>
      </x:c>
      <x:c r="O98" s="101" t="str">
        <x:v>M2: ~1 month from owner planning checkpoint; exact date not committed</x:v>
      </x:c>
      <x:c r="P98" s="101" t="str">
        <x:v>Release 1 MUST</x:v>
      </x:c>
      <x:c r="Q98" s="101" t="str">
        <x:v>Backend/domain contract</x:v>
      </x:c>
      <x:c r="R98" s="195" t="n">
        <x:v>1.7999999999999998</x:v>
      </x:c>
      <x:c r="S98" s="101" t="str">
        <x:v>M2-P5</x:v>
      </x:c>
      <x:c r="T98" s="101" t="str">
        <x:v>WAIT for Presentation RC freeze/tag + clean index/worktree. Then: T-119 role catalogue/enforcement + licence authority.</x:v>
      </x:c>
      <x:c r="U98" s="101" t="str">
        <x:v>Own canonical DB/backend/security/API/infra. No W2-owned UI/admin task files and no W3 ML/Assistant runtime.</x:v>
      </x:c>
      <x:c r="V98" s="101" t="str">
        <x:v>Commit before downstream consumer starts; consumer must use the contract, not redesign producer-owned semantics.</x:v>
      </x:c>
      <x:c r="W98" s="101" t="str">
        <x:v>Release Hardening &amp; Week-1 Production Acceptance</x:v>
      </x:c>
      <x:c r="X98" s="101" t="str">
        <x:v>M2 P5 — Release Hardening &amp; Week-1 Production Acceptance. Release 1 is genuine early production / first-week customer work.</x:v>
      </x:c>
      <x:c r="Y98" s="196"/>
      <x:c r="Z98" s="197"/>
      <x:c r="AA98" s="101" t="str">
        <x:v>L7.3</x:v>
      </x:c>
      <x:c r="AB98" s="101" t="str">
        <x:v>Licence and feature entitlement</x:v>
      </x:c>
      <x:c r="AC98" s="101" t="str">
        <x:v>L7.4</x:v>
      </x:c>
      <x:c r="AD98" s="101" t="str">
        <x:v>Build</x:v>
      </x:c>
      <x:c r="AE98" s="101" t="str">
        <x:v>D3; D5</x:v>
      </x:c>
      <x:c r="AF98" s="101" t="str">
        <x:v>Core</x:v>
      </x:c>
      <x:c r="AG98" s="101" t="str">
        <x:v>R1</x:v>
      </x:c>
      <x:c r="AH98" s="101" t="str">
        <x:v>Advances</x:v>
      </x:c>
      <x:c r="AI98" s="101" t="str">
        <x:f t="shared" ref="AI98:AI129" si="3">IF(Y98="","",Y98)</x:f>
      </x:c>
      <x:c r="AJ98" s="101" t="str">
        <x:v>Inherited estimate; scope changed — re-estimation required</x:v>
      </x:c>
      <x:c r="AK98" s="101" t="str">
        <x:v>v4.10.3</x:v>
      </x:c>
      <x:c r="AL98" s="101" t="str">
        <x:v>Chapters 3/4 v4.10.3 — MD + illustrated Word; UI Coverage / UI Controls in this workbook
v2.23.0 — Use T-265 for existing M2 licence/quota states and T-267 for full administration depth. Entitlement, role and runtime capability are different inputs; no drawing enables a capability.</x:v>
      </x:c>
      <x:c r="AM98" t="n">
        <x:f>IF(ISNUMBER(J98),1,0)</x:f>
        <x:v>1</x:v>
      </x:c>
      <x:c r="AN98" s="101"/>
      <x:c r="AO98" s="194" t="str">
        <x:v>Not started — no completion claimed</x:v>
      </x:c>
      <x:c r="AP98" s="194" t="str">
        <x:v>Inherited v2.22.0 intended record; no new runtime certification in this repair.</x:v>
      </x:c>
      <x:c r="AQ98" s="194"/>
      <x:c r="AR98" s="194" t="str">
        <x:v>INHERITED ESTIMATE</x:v>
      </x:c>
    </x:row>
    <x:row r="99" ht="76" hidden="1" customHeight="1">
      <x:c r="A99" s="101" t="str">
        <x:v>T-123</x:v>
      </x:c>
      <x:c r="B99" s="101" t="str">
        <x:v>M2</x:v>
      </x:c>
      <x:c r="C99" s="101" t="str">
        <x:v>P5</x:v>
      </x:c>
      <x:c r="D99" s="101" t="str">
        <x:v>Install package, migration runner, upgrade and rollback</x:v>
      </x:c>
      <x:c r="E99" s="101" t="str">
        <x:v>Infrastructure</x:v>
      </x:c>
      <x:c r="F99" s="101" t="str">
        <x:v>Deployment</x:v>
      </x:c>
      <x:c r="G99" s="101" t="str">
        <x:v>Critical</x:v>
      </x:c>
      <x:c r="H99" s="101" t="str">
        <x:v>Build the fresh installation and upgrade paths from Chapter 6 6.1.4, including what an upgrade may never do, and a rollback path. Migration runs as a deployment step rather than as a manual action. Explicitly own in-place upgrade of a long-lived installation: canonical migration ledger/watermark continuity, upgrade from an older valid schema without rebuild, rollback boundary, and reconciliation of a development DB whose migration ledger is missing/stale. Do not conflate populated plant data with migration-ledger correctness.
v2.20.0 DEPLOYMENT HARDENING — Release-1 production containers run with explicit non-root runtime users, and customer/public hostnames/IPs come from selected configuration profiles; executable install/smoke scripts have no legacy-server IP fallback. Do not wait for M3 isolated-ML container work to establish these minimum production properties.
v2.22.0 — Keep deterministic install/upgrade/rollback. Production schema migration and demo/presentation seed authorities are separated; operational profile values are external to product source.</x:v>
      </x:c>
      <x:c r="I99" s="101" t="str">
        <x:v>Install on a clean machine, upgrade from the previous version, then roll back. All three complete without manual database intervention. Run the fourteen post-deployment acceptance checks from 6.1.4.6. Clone an older populated installation, upgrade it in place through the canonical runner, prove schema_migrations/EF history records the executed path, preserve customer rows, and prove rollback/failed-upgrade recovery without substituting a fresh empty database. Inspect every Release-1 runtime image and prove its effective UID is non-root. Provision two different host/domain profiles without editing repository files and complete install/upgrade/smoke on both. A missing required production host value fails configuration rather than falling back to the historical server.
v2.22.0 — Fresh production install has no demo/customer facts, no automatic presentation seed, external host/secret config, and restart/upgrade/rollback proof. Non-root process/container checks apply to the deployment profile actually shipped.</x:v>
      </x:c>
      <x:c r="J99" s="107" t="n">
        <x:v>14</x:v>
      </x:c>
      <x:c r="K99" s="101" t="str">
        <x:v>Not Started</x:v>
      </x:c>
      <x:c r="L99" s="101" t="str">
        <x:v>Worker 1</x:v>
      </x:c>
      <x:c r="M99" s="101"/>
      <x:c r="N99" s="101" t="str">
        <x:v>T-122; T-150</x:v>
      </x:c>
      <x:c r="O99" s="101" t="str">
        <x:v>M2: ~1 month from owner planning checkpoint; exact date not committed</x:v>
      </x:c>
      <x:c r="P99" s="101" t="str">
        <x:v>Release 1 MUST</x:v>
      </x:c>
      <x:c r="Q99" s="101" t="str">
        <x:v>Infrastructure/deployment</x:v>
      </x:c>
      <x:c r="R99" s="195" t="n">
        <x:v>3.2</x:v>
      </x:c>
      <x:c r="S99" s="101" t="str">
        <x:v>M2-P5</x:v>
      </x:c>
      <x:c r="T99" s="101" t="str">
        <x:v>WAIT for Presentation RC freeze/tag + clean index/worktree. Then: Release 1 dependency order</x:v>
      </x:c>
      <x:c r="U99" s="101" t="str">
        <x:v>Own canonical DB/backend/security/API/infra. No W2-owned UI/admin task files and no W3 ML/Assistant runtime.</x:v>
      </x:c>
      <x:c r="V99" s="101" t="str">
        <x:v>Commit before downstream consumer starts; consumer must use the contract, not redesign producer-owned semantics.</x:v>
      </x:c>
      <x:c r="W99" s="101" t="str">
        <x:v>Release Hardening &amp; Week-1 Production Acceptance</x:v>
      </x:c>
      <x:c r="X99" s="101" t="str">
        <x:v>M2 P5 — Release Hardening &amp; Week-1 Production Acceptance. Release 1 is genuine early production / first-week customer work.</x:v>
      </x:c>
      <x:c r="Y99" s="196"/>
      <x:c r="Z99" s="197"/>
      <x:c r="AA99" s="101" t="str">
        <x:v>L8.1</x:v>
      </x:c>
      <x:c r="AB99" s="101" t="str">
        <x:v>Fresh install and upgrade authority</x:v>
      </x:c>
      <x:c r="AC99" s="101" t="str">
        <x:v>L8.3</x:v>
      </x:c>
      <x:c r="AD99" s="101" t="str">
        <x:v>Converge</x:v>
      </x:c>
      <x:c r="AE99" s="101" t="str">
        <x:v>D4; D5</x:v>
      </x:c>
      <x:c r="AF99" s="101" t="str">
        <x:v>Core</x:v>
      </x:c>
      <x:c r="AG99" s="101" t="str">
        <x:v>R1</x:v>
      </x:c>
      <x:c r="AH99" s="101" t="str">
        <x:v>Advances</x:v>
      </x:c>
      <x:c r="AI99" s="101">
        <x:f t="shared" si="3"/>
      </x:c>
      <x:c r="AJ99" s="101" t="str">
        <x:v>Inherited estimate; scope changed — re-estimation required</x:v>
      </x:c>
      <x:c r="AK99" s="101" t="str">
        <x:v>v4.10.3</x:v>
      </x:c>
      <x:c r="AL99" s="101" t="str">
        <x:v>Chapters 3/4 v4.10.3 — MD + illustrated Word; UI Coverage / UI Controls in this workbook</x:v>
      </x:c>
      <x:c r="AM99" t="n">
        <x:f>IF(ISNUMBER(J99),1,0)</x:f>
        <x:v>1</x:v>
      </x:c>
      <x:c r="AN99" s="101"/>
      <x:c r="AO99" s="194" t="str">
        <x:v>Not started — no completion claimed</x:v>
      </x:c>
      <x:c r="AP99" s="194" t="str">
        <x:v>Inherited v2.22.0 intended record; no new runtime certification in this repair.</x:v>
      </x:c>
      <x:c r="AQ99" s="194"/>
      <x:c r="AR99" s="194" t="str">
        <x:v>INHERITED ESTIMATE</x:v>
      </x:c>
    </x:row>
    <x:row r="100" ht="76" hidden="1" customHeight="1">
      <x:c r="A100" s="101" t="str">
        <x:v>T-124</x:v>
      </x:c>
      <x:c r="B100" s="101" t="str">
        <x:v>M2</x:v>
      </x:c>
      <x:c r="C100" s="101" t="str">
        <x:v>P5</x:v>
      </x:c>
      <x:c r="D100" s="101" t="str">
        <x:v>Backup with a tested restore acceptance procedure</x:v>
      </x:c>
      <x:c r="E100" s="101" t="str">
        <x:v>Infrastructure</x:v>
      </x:c>
      <x:c r="F100" s="101" t="str">
        <x:v>Backup</x:v>
      </x:c>
      <x:c r="G100" s="101" t="str">
        <x:v>Critical</x:v>
      </x:c>
      <x:c r="H100" s="101" t="str">
        <x:v>Chapter 6 6.1.11 requires not just backup but a tested restore acceptance procedure with a consistency rule. Implement schedule, retention, encryption and the restore rehearsal.</x:v>
      </x:c>
      <x:c r="I100" s="101" t="str">
        <x:v>Perform a real restore into a clean environment and run the acceptance procedure against it. A backup that has never been restored does not count as a backup.</x:v>
      </x:c>
      <x:c r="J100" s="107" t="n">
        <x:v>12</x:v>
      </x:c>
      <x:c r="K100" s="101" t="str">
        <x:v>Not Started</x:v>
      </x:c>
      <x:c r="L100" s="101" t="str">
        <x:v>Worker 1</x:v>
      </x:c>
      <x:c r="M100" s="101"/>
      <x:c r="N100" s="101" t="str">
        <x:v>T-150; T-199</x:v>
      </x:c>
      <x:c r="O100" s="101" t="str">
        <x:v>M2: ~1 month from owner planning checkpoint; exact date not committed</x:v>
      </x:c>
      <x:c r="P100" s="101" t="str">
        <x:v>Release 1 MUST</x:v>
      </x:c>
      <x:c r="Q100" s="101" t="str">
        <x:v>Infrastructure/deployment</x:v>
      </x:c>
      <x:c r="R100" s="195" t="n">
        <x:v>3.2</x:v>
      </x:c>
      <x:c r="S100" s="101" t="str">
        <x:v>M2-P5</x:v>
      </x:c>
      <x:c r="T100" s="101" t="str">
        <x:v>WAIT for Presentation RC freeze/tag + clean index/worktree. Then: Release 1 dependency order</x:v>
      </x:c>
      <x:c r="U100" s="101" t="str">
        <x:v>Own canonical DB/backend/security/API/infra. No W2-owned UI/admin task files and no W3 ML/Assistant runtime.</x:v>
      </x:c>
      <x:c r="V100" s="101" t="str">
        <x:v>Commit before downstream consumer starts; consumer must use the contract, not redesign producer-owned semantics.</x:v>
      </x:c>
      <x:c r="W100" s="101" t="str">
        <x:v>Release Hardening &amp; Week-1 Production Acceptance</x:v>
      </x:c>
      <x:c r="X100" s="101" t="str">
        <x:v>M2 P5 — Release Hardening &amp; Week-1 Production Acceptance. Release 1 is genuine early production / first-week customer work.</x:v>
      </x:c>
      <x:c r="Y100" s="196"/>
      <x:c r="Z100" s="197"/>
      <x:c r="AA100" s="101" t="str">
        <x:v>L8.7</x:v>
      </x:c>
      <x:c r="AB100" s="101" t="str">
        <x:v>Backup, restore, PITR, DR and HA</x:v>
      </x:c>
      <x:c r="AC100" s="101"/>
      <x:c r="AD100" s="101" t="str">
        <x:v>Build</x:v>
      </x:c>
      <x:c r="AE100" s="101" t="str">
        <x:v>D4; D5</x:v>
      </x:c>
      <x:c r="AF100" s="101" t="str">
        <x:v>Core</x:v>
      </x:c>
      <x:c r="AG100" s="101" t="str">
        <x:v>R1</x:v>
      </x:c>
      <x:c r="AH100" s="101" t="str">
        <x:v>Advances</x:v>
      </x:c>
      <x:c r="AI100" s="101">
        <x:f t="shared" si="3"/>
      </x:c>
      <x:c r="AJ100" s="101" t="str">
        <x:v>Inherited baseline estimate</x:v>
      </x:c>
      <x:c r="AK100" s="101" t="str">
        <x:v>v4.10.3</x:v>
      </x:c>
      <x:c r="AL100" s="101" t="str">
        <x:v>Chapters 3/4 v4.10.3 — MD + illustrated Word; UI Coverage / UI Controls in this workbook</x:v>
      </x:c>
      <x:c r="AM100" t="n">
        <x:f>IF(ISNUMBER(J100),1,0)</x:f>
        <x:v>1</x:v>
      </x:c>
      <x:c r="AN100" s="101"/>
      <x:c r="AO100" s="194" t="str">
        <x:v>Not started — no completion claimed</x:v>
      </x:c>
      <x:c r="AP100" s="194" t="str">
        <x:v>Inherited v2.22.0 intended record; no new runtime certification in this repair.</x:v>
      </x:c>
      <x:c r="AQ100" s="194"/>
      <x:c r="AR100" s="194" t="str">
        <x:v>INHERITED ESTIMATE</x:v>
      </x:c>
    </x:row>
    <x:row r="101" ht="76" hidden="1" customHeight="1">
      <x:c r="A101" s="101" t="str">
        <x:v>T-125</x:v>
      </x:c>
      <x:c r="B101" s="101" t="str">
        <x:v>M2</x:v>
      </x:c>
      <x:c r="C101" s="101" t="str">
        <x:v>P5</x:v>
      </x:c>
      <x:c r="D101" s="101" t="str">
        <x:v>Minimum monitoring, health and alerting</x:v>
      </x:c>
      <x:c r="E101" s="101" t="str">
        <x:v>Infrastructure</x:v>
      </x:c>
      <x:c r="F101" s="101" t="str">
        <x:v>Monitoring</x:v>
      </x:c>
      <x:c r="G101" s="101" t="str">
        <x:v>Very Important</x:v>
      </x:c>
      <x:c r="H101" s="101" t="str">
        <x:v>Implement the minimum from Chapter 6 6.1.12 required to operate a soft test: per-component metrics, alert severity and escalation, and the operational dashboard. Full observability and SLOs are M3.
v2.20.0 OPERABILITY FLOOR — establish one named health-check/operational status authority for API, database and job execution rather than proliferating ad-hoc health routes. Every executable job family emits a non-null run/correlation identity. Minimum Release-1 metrics include running/queued count, oldest queue age, wait time, runtime, failure/refusal count and configured worker-pool utilisation. Full SLO/OpenTelemetry-scale observability remains T-163.</x:v>
      </x:c>
      <x:c r="I101" s="101" t="str">
        <x:v>Trigger each alert condition deliberately and confirm it fires with the correct severity and reaches the configured channel. Execute jobs through at least two families and prove every log/diagnostic row carries the same non-null run identity end-to-end. Induce queue saturation and show queued count/oldest age/wait time and pool utilisation change predictably. A component failure changes the canonical health state and alert; duplicate feature-specific /health routes are not required as separate authorities.
v2.22.1 — The existing operational API/log projection exposes durable batch outcome, error/code, progress/counts and last committed cursor for B4, with run/batch correlation and tenant scoping. T-101 owns the consuming UI. No view computes a replacement status from message text. Final T-247/T-150 evidence joins UI observation to these source facts.</x:v>
      </x:c>
      <x:c r="J101" s="107" t="n">
        <x:v>14</x:v>
      </x:c>
      <x:c r="K101" s="101" t="str">
        <x:v>Not Started</x:v>
      </x:c>
      <x:c r="L101" s="101" t="str">
        <x:v>Worker 1</x:v>
      </x:c>
      <x:c r="M101" s="101" t="str">
        <x:v>T-106; T-107</x:v>
      </x:c>
      <x:c r="N101" s="101" t="str">
        <x:v>T-150; T-247</x:v>
      </x:c>
      <x:c r="O101" s="101" t="str">
        <x:v>M2: ~1 month from owner planning checkpoint; exact date not committed</x:v>
      </x:c>
      <x:c r="P101" s="101" t="str">
        <x:v>Release 1 MUST</x:v>
      </x:c>
      <x:c r="Q101" s="101" t="str">
        <x:v>Infrastructure/deployment</x:v>
      </x:c>
      <x:c r="R101" s="195" t="n">
        <x:v>3.2</x:v>
      </x:c>
      <x:c r="S101" s="101" t="str">
        <x:v>M2-P5</x:v>
      </x:c>
      <x:c r="T101" s="101" t="str">
        <x:v>WAIT for Presentation RC freeze/tag + clean index/worktree. Then: Release 1 dependency order</x:v>
      </x:c>
      <x:c r="U101" s="101" t="str">
        <x:v>Own canonical DB/backend/security/API/infra. No W2-owned UI/admin task files and no W3 ML/Assistant runtime.</x:v>
      </x:c>
      <x:c r="V101" s="101" t="str">
        <x:v>Commit before downstream consumer starts; consumer must use the contract, not redesign producer-owned semantics.</x:v>
      </x:c>
      <x:c r="W101" s="101" t="str">
        <x:v>Release Hardening &amp; Week-1 Production Acceptance</x:v>
      </x:c>
      <x:c r="X101" s="101" t="str">
        <x:v>M2 P5 — Release Hardening &amp; Week-1 Production Acceptance. Release 1 is genuine early production / first-week customer work.</x:v>
      </x:c>
      <x:c r="Y101" s="196"/>
      <x:c r="Z101" s="197"/>
      <x:c r="AA101" s="101" t="str">
        <x:v>L8.6</x:v>
      </x:c>
      <x:c r="AB101" s="101" t="str">
        <x:v>Monitoring, observability, health and readiness</x:v>
      </x:c>
      <x:c r="AC101" s="101" t="str">
        <x:v>L1.7</x:v>
      </x:c>
      <x:c r="AD101" s="101" t="str">
        <x:v>Build</x:v>
      </x:c>
      <x:c r="AE101" s="101" t="str">
        <x:v>D5</x:v>
      </x:c>
      <x:c r="AF101" s="101" t="str">
        <x:v>Core</x:v>
      </x:c>
      <x:c r="AG101" s="101" t="str">
        <x:v>R1</x:v>
      </x:c>
      <x:c r="AH101" s="101" t="str">
        <x:v>Advances</x:v>
      </x:c>
      <x:c r="AI101" s="101">
        <x:f t="shared" si="3"/>
      </x:c>
      <x:c r="AJ101" s="101" t="str">
        <x:v>Inherited baseline estimate v2.22.1 acceptance/ownership clarification; owner to review planning impact.</x:v>
      </x:c>
      <x:c r="AK101" s="101" t="str">
        <x:v>v4.10.3</x:v>
      </x:c>
      <x:c r="AL101" s="101" t="str">
        <x:v>Chapters 3/4 v4.10.3 — MD + illustrated Word; UI Coverage / UI Controls in this workbook
v2.23.0 — T-265 receives the frozen B4/B5 operational payload. Preserve T-101 UI versus T-125 API/metrics ownership already assigned in v2.22.1; prototype figures never replace persisted evidence.</x:v>
      </x:c>
      <x:c r="AM101" t="n">
        <x:f>IF(ISNUMBER(J101),1,0)</x:f>
        <x:v>1</x:v>
      </x:c>
      <x:c r="AN101" s="101"/>
      <x:c r="AO101" s="194" t="str">
        <x:v>Not started — no completion claimed</x:v>
      </x:c>
      <x:c r="AP101" s="194" t="str">
        <x:v>Inherited v2.22.0 intended record; no new runtime certification in this repair.</x:v>
      </x:c>
      <x:c r="AQ101" s="194"/>
      <x:c r="AR101" s="194" t="str">
        <x:v>INHERITED ESTIMATE</x:v>
      </x:c>
    </x:row>
    <x:row r="102" ht="76" hidden="1" customHeight="1">
      <x:c r="A102" s="101" t="str">
        <x:v>T-126</x:v>
      </x:c>
      <x:c r="B102" s="101" t="str">
        <x:v>M2</x:v>
      </x:c>
      <x:c r="C102" s="101" t="str">
        <x:v>P5</x:v>
      </x:c>
      <x:c r="D102" s="101" t="str">
        <x:v>Support runbook and UAT dataset and configuration import</x:v>
      </x:c>
      <x:c r="E102" s="101" t="str">
        <x:v>Documentation</x:v>
      </x:c>
      <x:c r="F102" s="101" t="str">
        <x:v>Handover</x:v>
      </x:c>
      <x:c r="G102" s="101" t="str">
        <x:v>Very Important</x:v>
      </x:c>
      <x:c r="H102" s="101" t="str">
        <x:v>Write the runbook the customer's own operator will follow, and build the path to import the customer's UAT dataset and configuration. Include the operator, data engineer and administrator sections.</x:v>
      </x:c>
      <x:c r="I102" s="101" t="str">
        <x:v>A person who has not worked on the project commissions a site and completes one import following only the runbook. Every step they had to ask about is a defect in the runbook.</x:v>
      </x:c>
      <x:c r="J102" s="107" t="n">
        <x:v>12</x:v>
      </x:c>
      <x:c r="K102" s="101" t="str">
        <x:v>Not Started</x:v>
      </x:c>
      <x:c r="L102" s="101" t="str">
        <x:v>Worker 1</x:v>
      </x:c>
      <x:c r="M102" s="101"/>
      <x:c r="N102" s="101" t="str">
        <x:v>T-150</x:v>
      </x:c>
      <x:c r="O102" s="101" t="str">
        <x:v>M2: ~1 month from owner planning checkpoint; exact date not committed</x:v>
      </x:c>
      <x:c r="P102" s="101" t="str">
        <x:v>Release 1 MUST</x:v>
      </x:c>
      <x:c r="Q102" s="101" t="str">
        <x:v>AI documentation/static analysis</x:v>
      </x:c>
      <x:c r="R102" s="195" t="n">
        <x:v>0.9</x:v>
      </x:c>
      <x:c r="S102" s="101" t="str">
        <x:v>M2-P5</x:v>
      </x:c>
      <x:c r="T102" s="101" t="str">
        <x:v>WAIT for Presentation RC freeze/tag + clean index/worktree. Then: Release 1 dependency order</x:v>
      </x:c>
      <x:c r="U102" s="101" t="str">
        <x:v>Own canonical DB/backend/security/API/infra. No W2-owned UI/admin task files and no W3 ML/Assistant runtime.</x:v>
      </x:c>
      <x:c r="V102" s="101" t="str">
        <x:v>Commit before downstream consumer starts; consumer must use the contract, not redesign producer-owned semantics.</x:v>
      </x:c>
      <x:c r="W102" s="101" t="str">
        <x:v>Release Hardening &amp; Week-1 Production Acceptance</x:v>
      </x:c>
      <x:c r="X102" s="101" t="str">
        <x:v>M2 P5 — Release Hardening &amp; Week-1 Production Acceptance. Release 1 is genuine early production / first-week customer work.</x:v>
      </x:c>
      <x:c r="Y102" s="196"/>
      <x:c r="Z102" s="197"/>
      <x:c r="AA102" s="101" t="str">
        <x:v>L7.8</x:v>
      </x:c>
      <x:c r="AB102" s="101" t="str">
        <x:v>Sales Administration and sales-to-engineering handover</x:v>
      </x:c>
      <x:c r="AC102" s="101" t="str">
        <x:v>L8.8</x:v>
      </x:c>
      <x:c r="AD102" s="101" t="str">
        <x:v>Build</x:v>
      </x:c>
      <x:c r="AE102" s="101" t="str">
        <x:v>D5</x:v>
      </x:c>
      <x:c r="AF102" s="101" t="str">
        <x:v>Core</x:v>
      </x:c>
      <x:c r="AG102" s="101" t="str">
        <x:v>R1</x:v>
      </x:c>
      <x:c r="AH102" s="101" t="str">
        <x:v>Advances</x:v>
      </x:c>
      <x:c r="AI102" s="101">
        <x:f t="shared" si="3"/>
      </x:c>
      <x:c r="AJ102" s="101" t="str">
        <x:v>Inherited baseline estimate</x:v>
      </x:c>
      <x:c r="AK102" s="101" t="str">
        <x:v>v4.10.3</x:v>
      </x:c>
      <x:c r="AL102" s="101" t="str">
        <x:v>Chapters 3/4 v4.10.3 — MD + illustrated Word; UI Coverage / UI Controls in this workbook</x:v>
      </x:c>
      <x:c r="AM102" t="n">
        <x:f>IF(ISNUMBER(J102),1,0)</x:f>
        <x:v>1</x:v>
      </x:c>
      <x:c r="AN102" s="101"/>
      <x:c r="AO102" s="194" t="str">
        <x:v>Not started — no completion claimed</x:v>
      </x:c>
      <x:c r="AP102" s="194" t="str">
        <x:v>Inherited v2.22.0 intended record; no new runtime certification in this repair.</x:v>
      </x:c>
      <x:c r="AQ102" s="194"/>
      <x:c r="AR102" s="194" t="str">
        <x:v>INHERITED ESTIMATE</x:v>
      </x:c>
    </x:row>
    <x:row r="103" ht="76" hidden="1" customHeight="1">
      <x:c r="A103" s="101" t="str">
        <x:v>T-150</x:v>
      </x:c>
      <x:c r="B103" s="101" t="str">
        <x:v>M2</x:v>
      </x:c>
      <x:c r="C103" s="101" t="str">
        <x:v>P5</x:v>
      </x:c>
      <x:c r="D103" s="101" t="str">
        <x:v>Release 1 final production gate: Day-1 workbench, BI, OPC, intelligence and hardening</x:v>
      </x:c>
      <x:c r="E103" s="101" t="str">
        <x:v>Testing</x:v>
      </x:c>
      <x:c r="F103" s="101" t="str">
        <x:v>CI/CD</x:v>
      </x:c>
      <x:c r="G103" s="101" t="str">
        <x:v>Critical</x:v>
      </x:c>
      <x:c r="H103" s="101" t="str">
        <x:v>Final Release-1 production gate. It does not rely on a hand-maintained dependency closure as the completeness definition. At execution time enumerate every Backlog row with Milestone Id=M2 and Release Criticality='Release 1 MUST'; require each to have current closure evidence and its owning acceptance green/replayable. Then execute Day-1 workbench, enterprise BI, production OPC, industrial intelligence, security/admin/install/recovery and clean frontend/CI truth gates. The Depends-On column remains sequencing hints, not the authoritative Release-1 completeness set.</x:v>
      </x:c>
      <x:c r="I103" s="101" t="str">
        <x:v>Gate fails if ANY M2 Release-1-MUST task is not closed with evidence, even when it is absent from the direct dependency list. Prove the enumerated task count equals the workbook's current Release-1-MUST count. Execute real frontend/backend gates: enumeration-only --list commands cannot satisfy execution acceptance; no catchError/forced-success path may turn a failing required suite green. Day-1 Golden Journey, fresh-install/upgrade, RLS/roles/licence, OPC runtime, BI interaction, evidence/Assistant, backup/recovery and database zero-unknown catalogue checks must all be green before Release 1 is certified. The single machine-readable current-HEAD artifact records executed test counts and skipped counts; Release-1 required suites have zero unapproved skips. Any script named or consumed as a gate/validator executes its tests rather than merely enumerating them. If an audit package is attached to release evidence, it is generated in external-safe masked mode.</x:v>
      </x:c>
      <x:c r="J103" s="107" t="n">
        <x:v>12</x:v>
      </x:c>
      <x:c r="K103" s="101" t="str">
        <x:v>Not Started</x:v>
      </x:c>
      <x:c r="L103" s="101" t="str">
        <x:v>Worker 1</x:v>
      </x:c>
      <x:c r="M103" s="101" t="str">
        <x:v>T-115; T-123; T-124; T-125; T-126; T-205; T-207; T-212; T-215; T-222; T-223; T-226; T-227; T-247; T-250; T-251; T-252; T-253; T-254; T-255; T-256; T-257; T-258; T-259</x:v>
      </x:c>
      <x:c r="N103" s="101"/>
      <x:c r="O103" s="101" t="str">
        <x:v>M2: ~1 month from owner planning checkpoint; exact date not committed</x:v>
      </x:c>
      <x:c r="P103" s="101" t="str">
        <x:v>Release 1 MUST</x:v>
      </x:c>
      <x:c r="Q103" s="101" t="str">
        <x:v>Integration/E2E/certification</x:v>
      </x:c>
      <x:c r="R103" s="195" t="n">
        <x:v>4.08</x:v>
      </x:c>
      <x:c r="S103" s="101" t="str">
        <x:v>M2-P5</x:v>
      </x:c>
      <x:c r="T103" s="101" t="str">
        <x:v>T-192 + T-148 exact route/shell inventory + T-194 API-alias retirement + all ...</x:v>
      </x:c>
      <x:c r="U103" s="101" t="str">
        <x:v>T-150 only after W2/W3 component freeze; route failures back to owning agent.</x:v>
      </x:c>
      <x:c r="V103" s="101" t="str">
        <x:v>Final Release 1 gate. Fixes go back to the exclusive owning task/agent; T-150 owner does not edit other agents' feature files.</x:v>
      </x:c>
      <x:c r="W103" s="101" t="str">
        <x:v>Release Hardening &amp; Week-1 Production Acceptance</x:v>
      </x:c>
      <x:c r="X103" s="101" t="str">
        <x:v>CENTRAL 04-Sep-2026: T-150 release completeness is generated from Release Criticality, not inferred from transitive Depends-On. A green T-150 with any Release-1-MUST row unproven is mechanically impossible.</x:v>
      </x:c>
      <x:c r="Y103" s="196"/>
      <x:c r="Z103" s="197"/>
      <x:c r="AA103" s="101" t="str">
        <x:v>L8.8</x:v>
      </x:c>
      <x:c r="AB103" s="101" t="str">
        <x:v>C1–C4 performance certification and golden-journey release gate</x:v>
      </x:c>
      <x:c r="AC103" s="101"/>
      <x:c r="AD103" s="101" t="str">
        <x:v>Certify</x:v>
      </x:c>
      <x:c r="AE103" s="101" t="str">
        <x:v>D5</x:v>
      </x:c>
      <x:c r="AF103" s="101" t="str">
        <x:v>Core</x:v>
      </x:c>
      <x:c r="AG103" s="101" t="str">
        <x:v>R1</x:v>
      </x:c>
      <x:c r="AH103" s="101" t="str">
        <x:v>Advances</x:v>
      </x:c>
      <x:c r="AI103" s="101">
        <x:f t="shared" si="3"/>
      </x:c>
      <x:c r="AJ103" s="101" t="str">
        <x:v>Inherited baseline estimate</x:v>
      </x:c>
      <x:c r="AK103" s="101" t="str">
        <x:v>v4.10.3</x:v>
      </x:c>
      <x:c r="AL103" s="101" t="str">
        <x:v>Chapters 3/4 v4.10.3 — MD + illustrated Word; UI Coverage / UI Controls in this workbook</x:v>
      </x:c>
      <x:c r="AM103" t="n">
        <x:f>IF(ISNUMBER(J103),1,0)</x:f>
        <x:v>1</x:v>
      </x:c>
      <x:c r="AN103" s="101"/>
      <x:c r="AO103" s="194" t="str">
        <x:v>Not started — no completion claimed</x:v>
      </x:c>
      <x:c r="AP103" s="194" t="str">
        <x:v>Inherited v2.22.0 intended record; no new runtime certification in this repair.</x:v>
      </x:c>
      <x:c r="AQ103" s="194"/>
      <x:c r="AR103" s="194" t="str">
        <x:v>INHERITED ESTIMATE</x:v>
      </x:c>
    </x:row>
    <x:row r="104" ht="76" hidden="1" customHeight="1">
      <x:c r="A104" s="101" t="str">
        <x:v>T-227</x:v>
      </x:c>
      <x:c r="B104" s="101" t="str">
        <x:v>M2</x:v>
      </x:c>
      <x:c r="C104" s="101" t="str">
        <x:v>P5</x:v>
      </x:c>
      <x:c r="D104" s="101" t="str">
        <x:v>Release 1 production acceptance scorecard and evidence policy</x:v>
      </x:c>
      <x:c r="E104" s="101" t="str">
        <x:v>Documentation</x:v>
      </x:c>
      <x:c r="F104" s="101" t="str">
        <x:v>Pilot governance</x:v>
      </x:c>
      <x:c r="G104" s="101" t="str">
        <x:v>Very Important</x:v>
      </x:c>
      <x:c r="H104" s="101" t="str">
        <x:v>Define the Release-1 production acceptance scorecard before final certification: Day-1 workbench completion, source truth, Canvas/Job usability, BI reliability, OPC read-only proof, evidence/Assistant correctness, minimum security, recovery and support criteria. Consume the frozen T-259 Release Evidence Envelope v1 contract. T-227 owns acceptance criteria, evidence ownership, measurement definitions, approved/not-applicable skip policy and release pass/fail policy; it does NOT own or redefine the common envelope schema.</x:v>
      </x:c>
      <x:c r="I104" s="101" t="str">
        <x:v>The scorecard is versioned before final certification and every criterion has an evidence owner, measurement and pass/fail rule. Validate that T-252-shaped DB evidence and T-257-shaped frontend evidence conform directly to T-259 envelope v1 without field translation. The scorecard may impose stricter policy on producer fields, but it must not rename common fields, change contract_version or alter T-259 count invariants.</x:v>
      </x:c>
      <x:c r="J104" s="107" t="n">
        <x:v>6</x:v>
      </x:c>
      <x:c r="K104" s="101" t="str">
        <x:v>Not Started</x:v>
      </x:c>
      <x:c r="L104" s="101" t="str">
        <x:v>Worker 1</x:v>
      </x:c>
      <x:c r="M104" s="101" t="str">
        <x:v>T-213; T-259</x:v>
      </x:c>
      <x:c r="N104" s="101" t="str">
        <x:v>T-150</x:v>
      </x:c>
      <x:c r="O104" s="101" t="str">
        <x:v>M2: ~1 month from owner planning checkpoint; exact date not committed</x:v>
      </x:c>
      <x:c r="P104" s="101" t="str">
        <x:v>Release 1 MUST</x:v>
      </x:c>
      <x:c r="Q104" s="101" t="str">
        <x:v>Documentation / governance</x:v>
      </x:c>
      <x:c r="R104" s="195" t="n">
        <x:v>2.25</x:v>
      </x:c>
      <x:c r="S104" s="101" t="str">
        <x:v>M2-P5</x:v>
      </x:c>
      <x:c r="T104" s="101" t="str">
        <x:v>Prepare before installation; can start after customer data assessment T-213.</x:v>
      </x:c>
      <x:c r="U104" s="101" t="str">
        <x:v>Pilot documentation/evidence scorecard only.</x:v>
      </x:c>
      <x:c r="V104" s="101" t="str">
        <x:v>Site/engineering teams later fill measured values; criteria are not rewritten after results are known without an audited amendment.</x:v>
      </x:c>
      <x:c r="W104" s="101" t="str">
        <x:v>Release Hardening &amp; Week-1 Production Acceptance</x:v>
      </x:c>
      <x:c r="X104" s="101" t="str">
        <x:v>M2 P5 — Release Hardening &amp; Week-1 Production Acceptance. Release 1 is genuine early production / first-week customer work.</x:v>
      </x:c>
      <x:c r="Y104" s="196"/>
      <x:c r="Z104" s="197"/>
      <x:c r="AA104" s="101" t="str">
        <x:v>L8.8</x:v>
      </x:c>
      <x:c r="AB104" s="101" t="str">
        <x:v>C1–C4 performance certification and golden-journey release gate</x:v>
      </x:c>
      <x:c r="AC104" s="101"/>
      <x:c r="AD104" s="101" t="str">
        <x:v>Validate</x:v>
      </x:c>
      <x:c r="AE104" s="101" t="str">
        <x:v>D5</x:v>
      </x:c>
      <x:c r="AF104" s="101" t="str">
        <x:v>Core</x:v>
      </x:c>
      <x:c r="AG104" s="101" t="str">
        <x:v>R1</x:v>
      </x:c>
      <x:c r="AH104" s="101" t="str">
        <x:v>Advances</x:v>
      </x:c>
      <x:c r="AI104" s="101">
        <x:f t="shared" si="3"/>
      </x:c>
      <x:c r="AJ104" s="101" t="str">
        <x:v>Inherited baseline estimate</x:v>
      </x:c>
      <x:c r="AK104" s="101" t="str">
        <x:v>v4.10.3</x:v>
      </x:c>
      <x:c r="AL104" s="101" t="str">
        <x:v>Chapters 3/4 v4.10.3 — MD + illustrated Word; UI Coverage / UI Controls in this workbook</x:v>
      </x:c>
      <x:c r="AM104" t="n">
        <x:f>IF(ISNUMBER(J104),1,0)</x:f>
        <x:v>1</x:v>
      </x:c>
      <x:c r="AN104" s="101"/>
      <x:c r="AO104" s="194" t="str">
        <x:v>Not started — no completion claimed</x:v>
      </x:c>
      <x:c r="AP104" s="194" t="str">
        <x:v>Inherited v2.22.0 intended record; no new runtime certification in this repair.</x:v>
      </x:c>
      <x:c r="AQ104" s="194"/>
      <x:c r="AR104" s="194" t="str">
        <x:v>INHERITED ESTIMATE</x:v>
      </x:c>
    </x:row>
    <x:row r="105" ht="76" hidden="1" customHeight="1">
      <x:c r="A105" s="101" t="str">
        <x:v>T-255</x:v>
      </x:c>
      <x:c r="B105" s="101" t="str">
        <x:v>M2</x:v>
      </x:c>
      <x:c r="C105" s="101" t="str">
        <x:v>P5</x:v>
      </x:c>
      <x:c r="D105" s="101" t="str">
        <x:v>Repository authority and audit-truth hygiene ratchet</x:v>
      </x:c>
      <x:c r="E105" s="101" t="str">
        <x:v>Tooling</x:v>
      </x:c>
      <x:c r="F105" s="101" t="str">
        <x:v>Repository governance / audit truth</x:v>
      </x:c>
      <x:c r="G105" s="101" t="str">
        <x:v>Important</x:v>
      </x:c>
      <x:c r="H105" s="101" t="str">
        <x:v>Establish a forward-clean source authority without mass-renaming historical implementation. Create a root allowlist; remove tracked transient pack payload/run-state files; normalise accidental blank-line-inflated source files; retain one current audit-generator authority and archive older generations; classify runtime/current vs test/tool/backup/generated scanner hits so executive severity is not self-referential. Add a forward filename gate that rejects new task-ID-named implementation/test/tool files while grandfathering the measured legacy set for opportunistic semantic rename.</x:v>
      </x:c>
      <x:c r="I105" s="101" t="str">
        <x:v>Root allowlist returns zero unexpected tracked artifacts. No tracked *_state.json or stale pack payload remains. No ordinary source file exceeds 60% blank lines unless explicitly fixture/generated-allowlisted. Audit rerun does not count its own regex definitions, backup Jenkinsfiles or generated Playwright assets as current runtime CRIT. Negative control adding a new task-ID implementation filename makes the hygiene gate red.</x:v>
      </x:c>
      <x:c r="J105" s="107" t="n">
        <x:v>8</x:v>
      </x:c>
      <x:c r="K105" s="101" t="str">
        <x:v>Not Started</x:v>
      </x:c>
      <x:c r="L105" s="101" t="str">
        <x:v>Worker 3</x:v>
      </x:c>
      <x:c r="M105" s="101" t="str">
        <x:v>T-205; T-250</x:v>
      </x:c>
      <x:c r="N105" s="101" t="str">
        <x:v>T-150</x:v>
      </x:c>
      <x:c r="O105" s="101" t="str">
        <x:v>M2: ~1 month from owner planning checkpoint; exact date not committed</x:v>
      </x:c>
      <x:c r="P105" s="101" t="str">
        <x:v>Release 1 MUST</x:v>
      </x:c>
      <x:c r="Q105" s="101" t="str">
        <x:v>Architecture/test</x:v>
      </x:c>
      <x:c r="R105" s="195" t="n">
        <x:v>1.2</x:v>
      </x:c>
      <x:c r="S105" s="101" t="str">
        <x:v>M2-P5</x:v>
      </x:c>
      <x:c r="T105" s="101" t="str">
        <x:v>Run after T-106 or on a disjoint tooling-only lane; no runtime feature mutation.</x:v>
      </x:c>
      <x:c r="U105" s="101" t="str">
        <x:v>Root/tooling/audit generator/architecture hygiene tests only. Do not rename or edit Worker-1/2 runtime feature files.</x:v>
      </x:c>
      <x:c r="V105" s="101" t="str">
        <x:v>Legacy task-ID filenames are grandfathered, not mass-renamed. Future tasks consume the forward gate.</x:v>
      </x:c>
      <x:c r="W105" s="101" t="str">
        <x:v>Release Hardening &amp; Week-1 Production Acceptance</x:v>
      </x:c>
      <x:c r="X105" s="101" t="str">
        <x:v>Created from merged v1/v2 Developer-persona review; source authority, not cosmetic cleanup.</x:v>
      </x:c>
      <x:c r="Y105" s="196"/>
      <x:c r="Z105" s="197"/>
      <x:c r="AA105" s="101" t="str">
        <x:v>NO-CAP — Execution Tooling</x:v>
      </x:c>
      <x:c r="AB105" s="101" t="str">
        <x:v>Execution tooling / implementation instrument — no product capability</x:v>
      </x:c>
      <x:c r="AC105" s="101"/>
      <x:c r="AD105" s="101" t="str">
        <x:v>Build</x:v>
      </x:c>
      <x:c r="AE105" s="101" t="str">
        <x:v>D1; D5</x:v>
      </x:c>
      <x:c r="AF105" s="101" t="str">
        <x:v>No Capability</x:v>
      </x:c>
      <x:c r="AG105" s="101" t="str">
        <x:v>R1</x:v>
      </x:c>
      <x:c r="AH105" s="101" t="str">
        <x:v>No maturity change</x:v>
      </x:c>
      <x:c r="AI105" s="101">
        <x:f t="shared" si="3"/>
      </x:c>
      <x:c r="AJ105" s="101" t="str">
        <x:v>Inherited baseline estimate</x:v>
      </x:c>
      <x:c r="AK105" s="101" t="str">
        <x:v>v4.10.3</x:v>
      </x:c>
      <x:c r="AL105" s="101" t="str">
        <x:v>Chapters 3/4 v4.10.3 — MD + illustrated Word; UI Coverage / UI Controls in this workbook</x:v>
      </x:c>
      <x:c r="AM105" t="n">
        <x:f>IF(ISNUMBER(J105),1,0)</x:f>
        <x:v>1</x:v>
      </x:c>
      <x:c r="AN105" s="101"/>
      <x:c r="AO105" s="194" t="str">
        <x:v>Not started — no completion claimed</x:v>
      </x:c>
      <x:c r="AP105" s="194" t="str">
        <x:v>Inherited v2.22.0 intended record; no new runtime certification in this repair.</x:v>
      </x:c>
      <x:c r="AQ105" s="194"/>
      <x:c r="AR105" s="194" t="str">
        <x:v>INHERITED ESTIMATE</x:v>
      </x:c>
    </x:row>
    <x:row r="106" ht="76" hidden="1" customHeight="1">
      <x:c r="A106" s="101" t="str">
        <x:v>T-257</x:v>
      </x:c>
      <x:c r="B106" s="101" t="str">
        <x:v>M2</x:v>
      </x:c>
      <x:c r="C106" s="101" t="str">
        <x:v>P5</x:v>
      </x:c>
      <x:c r="D106" s="101" t="str">
        <x:v>Frontend execution-truth and release-profile skip-zero gate</x:v>
      </x:c>
      <x:c r="E106" s="101" t="str">
        <x:v>Frontend</x:v>
      </x:c>
      <x:c r="F106" s="101" t="str">
        <x:v>Test / release truth</x:v>
      </x:c>
      <x:c r="G106" s="101" t="str">
        <x:v>Critical</x:v>
      </x:c>
      <x:c r="H106" s="101" t="str">
        <x:v>Close the remaining frontend test-truth gap without reopening T-205/T-250. Any script named/used as a gate or validator executes the relevant tests; enumeration-only `--list` commands are named inventory tools and cannot satisfy acceptance. The Release-1 profile records executed/skipped counts and permits zero unapproved runtime-conditional skips. Generated Playwright report assets are not tracked as source/audit inputs.</x:v>
      </x:c>
      <x:c r="I106" s="101" t="str">
        <x:v>Induce a failing frontend/visual/accessibility/E2E test and prove every configured release gate returns non-zero. Static gate finds no `--list` in scripts classified as gate/validate/acceptance. Release profile produces machine-readable executed and skipped counts with zero unapproved skips; deliberately missing seed/env causes a red prerequisite, not a green skipped spec. Generated report directories are ignored/excluded and do not contribute audit TODO/CRIT signals.
Emit frontend/unit/E2E execution and skip counts using the canonical T-259 Release Evidence Envelope v1 fields. T-257 owns frontend skip policy and producer implementation only; it does not redefine the shared envelope.
Producer contract is T-259 Release Evidence Envelope v1. T-257 may add frontend/E2E-specific extension fields but may not rename/redefine common fields.</x:v>
      </x:c>
      <x:c r="J106" s="107" t="n">
        <x:v>6</x:v>
      </x:c>
      <x:c r="K106" s="101" t="str">
        <x:v>Not Started</x:v>
      </x:c>
      <x:c r="L106" s="101" t="str">
        <x:v>Worker 2</x:v>
      </x:c>
      <x:c r="M106" s="101" t="str">
        <x:v>T-205; T-250; T-259</x:v>
      </x:c>
      <x:c r="N106" s="101" t="str">
        <x:v>T-150; T-248</x:v>
      </x:c>
      <x:c r="O106" s="101" t="str">
        <x:v>M2: ~1 month from owner planning checkpoint; exact date not committed</x:v>
      </x:c>
      <x:c r="P106" s="101" t="str">
        <x:v>Release 1 MUST</x:v>
      </x:c>
      <x:c r="Q106" s="101" t="str">
        <x:v>Frontend test infrastructure</x:v>
      </x:c>
      <x:c r="R106" s="195" t="n">
        <x:v>2.55</x:v>
      </x:c>
      <x:c r="S106" s="101" t="str">
        <x:v>M2-P5</x:v>
      </x:c>
      <x:c r="T106" s="101" t="str">
        <x:v>Run on frontend test/config/report files only after current authoring lane reaches a clean handoff; no product feature scope.</x:v>
      </x:c>
      <x:c r="U106" s="101" t="str">
        <x:v>Frontend package/test configs/gate scripts/generated-report hygiene only.</x:v>
      </x:c>
      <x:c r="V106" s="101" t="str">
        <x:v>T-150 consumes this machine-readable release truth; T-248 later extends enterprise visual parity, not test-runner semantics.</x:v>
      </x:c>
      <x:c r="W106" s="101" t="str">
        <x:v>Release Hardening &amp; Week-1 Production Acceptance</x:v>
      </x:c>
      <x:c r="X106" s="101" t="str">
        <x:v>Created because the 08-Sep audit still has real --list enumeration signals outside the canonical blocking Jenkins stages.</x:v>
      </x:c>
      <x:c r="Y106" s="196"/>
      <x:c r="Z106" s="197"/>
      <x:c r="AA106" s="101" t="str">
        <x:v>L8.8</x:v>
      </x:c>
      <x:c r="AB106" s="101" t="str">
        <x:v>C1–C4 performance certification and golden-journey release gate</x:v>
      </x:c>
      <x:c r="AC106" s="101" t="str">
        <x:v>L8.2</x:v>
      </x:c>
      <x:c r="AD106" s="101" t="str">
        <x:v>Validate</x:v>
      </x:c>
      <x:c r="AE106" s="101" t="str">
        <x:v>D2; D3; D5</x:v>
      </x:c>
      <x:c r="AF106" s="101" t="str">
        <x:v>Core</x:v>
      </x:c>
      <x:c r="AG106" s="101" t="str">
        <x:v>R1</x:v>
      </x:c>
      <x:c r="AH106" s="101" t="str">
        <x:v>Advances</x:v>
      </x:c>
      <x:c r="AI106" s="101">
        <x:f t="shared" si="3"/>
      </x:c>
      <x:c r="AJ106" s="101" t="str">
        <x:v>Inherited baseline estimate</x:v>
      </x:c>
      <x:c r="AK106" s="101" t="str">
        <x:v>v4.10.3</x:v>
      </x:c>
      <x:c r="AL106" s="101" t="str">
        <x:v>Chapters 3/4 v4.10.3 — MD + illustrated Word; UI Coverage / UI Controls in this workbook</x:v>
      </x:c>
      <x:c r="AM106" t="n">
        <x:f>IF(ISNUMBER(J106),1,0)</x:f>
        <x:v>1</x:v>
      </x:c>
      <x:c r="AN106" s="101"/>
      <x:c r="AO106" s="194" t="str">
        <x:v>Not started — no completion claimed</x:v>
      </x:c>
      <x:c r="AP106" s="194" t="str">
        <x:v>Inherited v2.22.0 intended record; no new runtime certification in this repair.</x:v>
      </x:c>
      <x:c r="AQ106" s="194"/>
      <x:c r="AR106" s="194" t="str">
        <x:v>INHERITED ESTIMATE</x:v>
      </x:c>
    </x:row>
    <x:row r="107" ht="76" hidden="1" customHeight="1">
      <x:c r="A107" s="101" t="str">
        <x:v>T-110</x:v>
      </x:c>
      <x:c r="B107" s="101" t="str">
        <x:v>M3</x:v>
      </x:c>
      <x:c r="C107" s="101" t="str">
        <x:v>P1</x:v>
      </x:c>
      <x:c r="D107" s="101" t="str">
        <x:v>Bounded delta execution: chunks, resume, deterministic merge and scan budgets</x:v>
      </x:c>
      <x:c r="E107" s="101" t="str">
        <x:v>Backend</x:v>
      </x:c>
      <x:c r="F107" s="101" t="str">
        <x:v>Delta propagation</x:v>
      </x:c>
      <x:c r="G107" s="101" t="str">
        <x:v>Critical</x:v>
      </x:c>
      <x:c r="H107" s="101" t="str">
        <x:v>Implement Chapter 4 5.3.9.6a: bounded chunks with receipts, checkpoint and resume after interruption, and a deterministic merge so a resumed run produces the same result as an uninterrupted one.
v2.22.0 — Absorb T-111 runtime scan-budget enforcement: bounded row/byte chunks, receipts, checkpoint/resume, deterministic merge, explicit scan mode, cumulative scan budget and abort/finding. T-155 owns calibrated constants/Scan Amplification bands; T-159 owns C1-C4 certification. M2 T-108/T-109 must still deliver safe bounded delta execution and replay; moving advanced chunk machinery does not waive Day-1 source limits or safe cancellation.</x:v>
      </x:c>
      <x:c r="I107" s="101" t="str">
        <x:v>Kill a running job at 60 percent, restart it, and confirm the final result is byte-identical to an uninterrupted run over the same input.
v2.22.0 — Record a baseline, then deliberately remove a delta scope and confirm the gate goes red. Restore and confirm green. Prove chunk parallelism 1 vs 8 business output parity; abort above cumulative scan budget; uncommitted chunk rolls back; resumes exactly from committed receipts; preserved input/version pins.</x:v>
      </x:c>
      <x:c r="J107" s="107" t="n">
        <x:v>24</x:v>
      </x:c>
      <x:c r="K107" s="101" t="str">
        <x:v>Not Started</x:v>
      </x:c>
      <x:c r="L107" s="101" t="str">
        <x:v>Worker 1</x:v>
      </x:c>
      <x:c r="M107" s="101" t="str">
        <x:v>T-108; T-109</x:v>
      </x:c>
      <x:c r="N107" s="101" t="str">
        <x:v>T-249</x:v>
      </x:c>
      <x:c r="O107" s="101" t="str">
        <x:v>M3: 45 days after M2 completion</x:v>
      </x:c>
      <x:c r="P107" s="101" t="str">
        <x:v>Release 2 MUST</x:v>
      </x:c>
      <x:c r="Q107" s="101" t="str">
        <x:v>Backend/domain contract</x:v>
      </x:c>
      <x:c r="R107" s="195" t="n">
        <x:v>1.7999999999999998</x:v>
      </x:c>
      <x:c r="S107" s="101" t="str">
        <x:v>M3-P1</x:v>
      </x:c>
      <x:c r="T107" s="101" t="str">
        <x:v>Consume accepted producer contracts; remaining dependencies: T-108; T-109. No private scheduler/definition authority. Source-present is not closure proof.</x:v>
      </x:c>
      <x:c r="U107" s="101" t="str">
        <x:v>Own canonical DB/backend/security/API/infra. No W2-owned UI/admin task files and no W3 ML/Assistant runtime.</x:v>
      </x:c>
      <x:c r="V107" s="101" t="str">
        <x:v>Commit before downstream consumer starts; consumer must use the contract, not redesign producer-owned semantics.</x:v>
      </x:c>
      <x:c r="W107" s="101" t="str">
        <x:v>Scale &amp; OT Resilience</x:v>
      </x:c>
      <x:c r="X107" s="101" t="str">
        <x:v>v2.22.0 owner-approved scope and release disposition; original evidence remains in change log/archive.</x:v>
      </x:c>
      <x:c r="Y107" s="196"/>
      <x:c r="Z107" s="197"/>
      <x:c r="AA107" s="101" t="str">
        <x:v>L2.8</x:v>
      </x:c>
      <x:c r="AB107" s="101" t="str">
        <x:v>Delta propagation law</x:v>
      </x:c>
      <x:c r="AC107" s="101" t="str">
        <x:v>L8.4</x:v>
      </x:c>
      <x:c r="AD107" s="101" t="str">
        <x:v>Build</x:v>
      </x:c>
      <x:c r="AE107" s="101" t="str">
        <x:v>D3; D5</x:v>
      </x:c>
      <x:c r="AF107" s="101" t="str">
        <x:v>Core</x:v>
      </x:c>
      <x:c r="AG107" s="101" t="str">
        <x:v>R2</x:v>
      </x:c>
      <x:c r="AH107" s="101" t="str">
        <x:v>Advances</x:v>
      </x:c>
      <x:c r="AI107" s="101">
        <x:f t="shared" si="3"/>
      </x:c>
      <x:c r="AJ107" s="101" t="str">
        <x:v>Inherited estimate; scope changed — re-estimation required</x:v>
      </x:c>
      <x:c r="AK107" s="101" t="str">
        <x:v>v4.10.3</x:v>
      </x:c>
      <x:c r="AL107" s="101" t="str">
        <x:v>Chapters 3/4 v4.10.3 — MD + illustrated Word; UI Coverage / UI Controls in this workbook</x:v>
      </x:c>
      <x:c r="AM107" t="n">
        <x:f>IF(ISNUMBER(J107),1,0)</x:f>
        <x:v>1</x:v>
      </x:c>
      <x:c r="AN107" s="101"/>
      <x:c r="AO107" s="194" t="str">
        <x:v>Not started — no completion claimed</x:v>
      </x:c>
      <x:c r="AP107" s="194" t="str">
        <x:v>Inherited v2.22.0 intended record; no new runtime certification in this repair.</x:v>
      </x:c>
      <x:c r="AQ107" s="194"/>
      <x:c r="AR107" s="194" t="str">
        <x:v>INHERITED ESTIMATE</x:v>
      </x:c>
    </x:row>
    <x:row r="108" ht="76" hidden="1" customHeight="1">
      <x:c r="A108" s="101" t="str">
        <x:v>T-122</x:v>
      </x:c>
      <x:c r="B108" s="101" t="str">
        <x:v>M3</x:v>
      </x:c>
      <x:c r="C108" s="101" t="str">
        <x:v>P1</x:v>
      </x:c>
      <x:c r="D108" s="101" t="str">
        <x:v>Container architecture and configuration profiles, including isolated ML runtimes</x:v>
      </x:c>
      <x:c r="E108" s="101" t="str">
        <x:v>Infrastructure</x:v>
      </x:c>
      <x:c r="F108" s="101" t="str">
        <x:v>Deployment</x:v>
      </x:c>
      <x:c r="G108" s="101" t="str">
        <x:v>Critical</x:v>
      </x:c>
      <x:c r="H108" s="101" t="str">
        <x:v>Implement the Chapter 6 container/profile architecture and include the frozen AI runtime split: ppiq-worker for ordinary batch work including ml.batch_scoring, ppiq-ml-train for ml.training, and ppiq-ml-online for hard-reserved online scoring only. Keep assistant serving behind ModelServingRuntime/model gateway. No training module may be imported by the online container. Preserve the same signed application artifact and profile-driven deployment.
v2.20.0 CONTAINER BASELINE — all production runtime images, including isolated ML images, inherit/retain explicit non-root runtime users and profile-only secret/config injection. No training/online image bakes customer credentials or signing material.</x:v>
      </x:c>
      <x:c r="I108" s="101" t="str">
        <x:v>Bring up each profile from a clean machine. Prove ppiq-ml-online admits online scoring only, has a warm-model readiness check, and fails a dependency test if a trainer module is imported. Prove training/batch saturation cannot consume the online reservation. All existing non-ML containers remain healthy. Inspect effective UID/GID for every production image and prove non-root. Scan built images for known runtime secret markers and fail on a match.</x:v>
      </x:c>
      <x:c r="J108" s="107" t="n">
        <x:v>12</x:v>
      </x:c>
      <x:c r="K108" s="101" t="str">
        <x:v>Not Started</x:v>
      </x:c>
      <x:c r="L108" s="101" t="str">
        <x:v>Worker 1</x:v>
      </x:c>
      <x:c r="M108" s="101" t="str">
        <x:v>T-106; T-107; T-112; T-113; T-114; T-117; T-137; T-168; T-123</x:v>
      </x:c>
      <x:c r="N108" s="101" t="str">
        <x:v>T-141; T-185; T-192</x:v>
      </x:c>
      <x:c r="O108" s="101" t="str">
        <x:v>M3: 45 days after M2 completion</x:v>
      </x:c>
      <x:c r="P108" s="101" t="str">
        <x:v>Release 2 MUST</x:v>
      </x:c>
      <x:c r="Q108" s="101" t="str">
        <x:v>Infrastructure/deployment</x:v>
      </x:c>
      <x:c r="R108" s="195" t="n">
        <x:v>3.2</x:v>
      </x:c>
      <x:c r="S108" s="101" t="str">
        <x:v>M3-P1</x:v>
      </x:c>
      <x:c r="T108" s="101" t="str">
        <x:v>WAIT for Presentation RC freeze/tag + clean index/worktree. Then: T-106 + T-107 + T-112 + T-113 + T-114 + T-117; T-137/T-168 runtime contracts ...</x:v>
      </x:c>
      <x:c r="U108" s="101" t="str">
        <x:v>Own canonical DB/backend/security/API/infra. No W2-owned UI/admin task files and no W3 ML/Assistant runtime.</x:v>
      </x:c>
      <x:c r="V108" s="101" t="str">
        <x:v>Commit before downstream consumer starts; consumer must use the contract, not redesign producer-owned semantics.</x:v>
      </x:c>
      <x:c r="W108" s="101" t="str">
        <x:v>Scale &amp; OT Resilience</x:v>
      </x:c>
      <x:c r="X108" s="101" t="str">
        <x:v>M3 P1 — Scale &amp; OT Resilience. Release 2 is heavy production / scale / deeper enterprise use.</x:v>
      </x:c>
      <x:c r="Y108" s="196"/>
      <x:c r="Z108" s="197"/>
      <x:c r="AA108" s="101" t="str">
        <x:v>L8.3</x:v>
      </x:c>
      <x:c r="AB108" s="101" t="str">
        <x:v>Deployment topologies</x:v>
      </x:c>
      <x:c r="AC108" s="101"/>
      <x:c r="AD108" s="101" t="str">
        <x:v>Build</x:v>
      </x:c>
      <x:c r="AE108" s="101" t="str">
        <x:v>D3; D5</x:v>
      </x:c>
      <x:c r="AF108" s="101" t="str">
        <x:v>Core</x:v>
      </x:c>
      <x:c r="AG108" s="101" t="str">
        <x:v>R2</x:v>
      </x:c>
      <x:c r="AH108" s="101" t="str">
        <x:v>Advances</x:v>
      </x:c>
      <x:c r="AI108" s="101">
        <x:f t="shared" si="3"/>
      </x:c>
      <x:c r="AJ108" s="101" t="str">
        <x:v>Inherited baseline estimate</x:v>
      </x:c>
      <x:c r="AK108" s="101" t="str">
        <x:v>v4.10.3</x:v>
      </x:c>
      <x:c r="AL108" s="101" t="str">
        <x:v>Chapters 3/4 v4.10.3 — MD + illustrated Word; UI Coverage / UI Controls in this workbook</x:v>
      </x:c>
      <x:c r="AM108" t="n">
        <x:f>IF(ISNUMBER(J108),1,0)</x:f>
        <x:v>1</x:v>
      </x:c>
      <x:c r="AN108" s="101"/>
      <x:c r="AO108" s="194" t="str">
        <x:v>Not started — no completion claimed</x:v>
      </x:c>
      <x:c r="AP108" s="194" t="str">
        <x:v>Inherited v2.22.0 intended record; no new runtime certification in this repair.</x:v>
      </x:c>
      <x:c r="AQ108" s="194"/>
      <x:c r="AR108" s="194" t="str">
        <x:v>INHERITED ESTIMATE</x:v>
      </x:c>
    </x:row>
    <x:row r="109" ht="76" hidden="1" customHeight="1">
      <x:c r="A109" s="101" t="str">
        <x:v>T-151</x:v>
      </x:c>
      <x:c r="B109" s="101" t="str">
        <x:v>M3</x:v>
      </x:c>
      <x:c r="C109" s="101" t="str">
        <x:v>P1</x:v>
      </x:c>
      <x:c r="D109" s="101" t="str">
        <x:v>Site defect burn-down</x:v>
      </x:c>
      <x:c r="E109" s="101" t="str">
        <x:v>Backend</x:v>
      </x:c>
      <x:c r="F109" s="101" t="str">
        <x:v>Site findings</x:v>
      </x:c>
      <x:c r="G109" s="101" t="str">
        <x:v>Critical</x:v>
      </x:c>
      <x:c r="H109" s="101" t="str">
        <x:v>Fix what soft testing finds, without changing the frozen visible contract unless a formal product decision is approved and recorded.</x:v>
      </x:c>
      <x:c r="I109" s="101" t="str">
        <x:v>Each defect has a reproduction, a fix and a regression test. Any visible-contract change carries a written approval.</x:v>
      </x:c>
      <x:c r="J109" s="107" t="n">
        <x:v>12</x:v>
      </x:c>
      <x:c r="K109" s="101" t="str">
        <x:v>Not Started</x:v>
      </x:c>
      <x:c r="L109" s="101" t="str">
        <x:v>Worker 1</x:v>
      </x:c>
      <x:c r="M109" s="101"/>
      <x:c r="N109" s="101"/>
      <x:c r="O109" s="101" t="str">
        <x:v>M3: 45 days after M2 completion</x:v>
      </x:c>
      <x:c r="P109" s="101" t="str">
        <x:v>Release 2 MUST</x:v>
      </x:c>
      <x:c r="Q109" s="101" t="str">
        <x:v>External/site certification</x:v>
      </x:c>
      <x:c r="R109" s="195" t="n">
        <x:v>7.2</x:v>
      </x:c>
      <x:c r="S109" s="101" t="str">
        <x:v>M3-P1</x:v>
      </x:c>
      <x:c r="T109" s="101" t="str">
        <x:v>WAIT for deployed Release 1 + real customer/site evidence. M3 sequence</x:v>
      </x:c>
      <x:c r="U109" s="101" t="str">
        <x:v>Own site/platform/backend/infra. No AI/ML calibration or customer UX docs.</x:v>
      </x:c>
      <x:c r="V109" s="101" t="str">
        <x:v>Commit before downstream consumer starts; consumer must use the contract, not redesign producer-owned semantics.</x:v>
      </x:c>
      <x:c r="W109" s="101" t="str">
        <x:v>Scale &amp; OT Resilience</x:v>
      </x:c>
      <x:c r="X109" s="101" t="str">
        <x:v>M3 P1 — Scale &amp; OT Resilience. Release 2 is heavy production / scale / deeper enterprise use.</x:v>
      </x:c>
      <x:c r="Y109" s="196"/>
      <x:c r="Z109" s="197"/>
      <x:c r="AA109" s="101" t="str">
        <x:v>L8.8</x:v>
      </x:c>
      <x:c r="AB109" s="101" t="str">
        <x:v>C1–C4 performance certification and golden-journey release gate</x:v>
      </x:c>
      <x:c r="AC109" s="101"/>
      <x:c r="AD109" s="101" t="str">
        <x:v>Build</x:v>
      </x:c>
      <x:c r="AE109" s="101" t="str">
        <x:v>D3; D5</x:v>
      </x:c>
      <x:c r="AF109" s="101" t="str">
        <x:v>Core</x:v>
      </x:c>
      <x:c r="AG109" s="101" t="str">
        <x:v>R2</x:v>
      </x:c>
      <x:c r="AH109" s="101" t="str">
        <x:v>Advances</x:v>
      </x:c>
      <x:c r="AI109" s="101">
        <x:f t="shared" si="3"/>
      </x:c>
      <x:c r="AJ109" s="101" t="str">
        <x:v>Inherited baseline estimate</x:v>
      </x:c>
      <x:c r="AK109" s="101" t="str">
        <x:v>v4.10.3</x:v>
      </x:c>
      <x:c r="AL109" s="101" t="str">
        <x:v>Chapters 3/4 v4.10.3 — MD + illustrated Word; UI Coverage / UI Controls in this workbook</x:v>
      </x:c>
      <x:c r="AM109" t="n">
        <x:f>IF(ISNUMBER(J109),1,0)</x:f>
        <x:v>1</x:v>
      </x:c>
      <x:c r="AN109" s="101"/>
      <x:c r="AO109" s="194" t="str">
        <x:v>Not started — no completion claimed</x:v>
      </x:c>
      <x:c r="AP109" s="194" t="str">
        <x:v>Inherited v2.22.0 intended record; no new runtime certification in this repair.</x:v>
      </x:c>
      <x:c r="AQ109" s="194"/>
      <x:c r="AR109" s="194" t="str">
        <x:v>INHERITED ESTIMATE</x:v>
      </x:c>
    </x:row>
    <x:row r="110" ht="76" hidden="1" customHeight="1">
      <x:c r="A110" s="101" t="str">
        <x:v>T-152</x:v>
      </x:c>
      <x:c r="B110" s="101" t="str">
        <x:v>M3</x:v>
      </x:c>
      <x:c r="C110" s="101" t="str">
        <x:v>P1</x:v>
      </x:c>
      <x:c r="D110" s="101" t="str">
        <x:v>Customer data edge cases</x:v>
      </x:c>
      <x:c r="E110" s="101" t="str">
        <x:v>Database</x:v>
      </x:c>
      <x:c r="F110" s="101" t="str">
        <x:v>Site findings</x:v>
      </x:c>
      <x:c r="G110" s="101" t="str">
        <x:v>Critical</x:v>
      </x:c>
      <x:c r="H110" s="101" t="str">
        <x:v>New source patterns, dirty data, unusual keys, timestamps, nulls, late arrivals and customer-specific mapping requirements, handled through the three doors.</x:v>
      </x:c>
      <x:c r="I110" s="101" t="str">
        <x:v>Each case handled through import, registry or authoring. Any case requiring a code branch is escalated as a design gap.</x:v>
      </x:c>
      <x:c r="J110" s="107" t="n">
        <x:v>12</x:v>
      </x:c>
      <x:c r="K110" s="101" t="str">
        <x:v>Not Started</x:v>
      </x:c>
      <x:c r="L110" s="101" t="str">
        <x:v>Worker 1</x:v>
      </x:c>
      <x:c r="M110" s="101"/>
      <x:c r="N110" s="101"/>
      <x:c r="O110" s="101" t="str">
        <x:v>M3: 45 days after M2 completion</x:v>
      </x:c>
      <x:c r="P110" s="101" t="str">
        <x:v>Release 2 MUST</x:v>
      </x:c>
      <x:c r="Q110" s="101" t="str">
        <x:v>External/site certification</x:v>
      </x:c>
      <x:c r="R110" s="195" t="n">
        <x:v>7.2</x:v>
      </x:c>
      <x:c r="S110" s="101" t="str">
        <x:v>M3-P1</x:v>
      </x:c>
      <x:c r="T110" s="101" t="str">
        <x:v>WAIT for deployed Release 1 + real customer/site evidence. M3 sequence</x:v>
      </x:c>
      <x:c r="U110" s="101" t="str">
        <x:v>Own site/platform/backend/infra. No AI/ML calibration or customer UX docs.</x:v>
      </x:c>
      <x:c r="V110" s="101" t="str">
        <x:v>Commit before downstream consumer starts; consumer must use the contract, not redesign producer-owned semantics.</x:v>
      </x:c>
      <x:c r="W110" s="101" t="str">
        <x:v>Scale &amp; OT Resilience</x:v>
      </x:c>
      <x:c r="X110" s="101" t="str">
        <x:v>M3 P1 — Scale &amp; OT Resilience. Release 2 is heavy production / scale / deeper enterprise use.</x:v>
      </x:c>
      <x:c r="Y110" s="196"/>
      <x:c r="Z110" s="197"/>
      <x:c r="AA110" s="101" t="str">
        <x:v>L2.3</x:v>
      </x:c>
      <x:c r="AB110" s="101" t="str">
        <x:v>Canonical projection with validation, quarantine and reprocessing</x:v>
      </x:c>
      <x:c r="AC110" s="101" t="str">
        <x:v>L8.8</x:v>
      </x:c>
      <x:c r="AD110" s="101" t="str">
        <x:v>Build</x:v>
      </x:c>
      <x:c r="AE110" s="101" t="str">
        <x:v>D4; D5</x:v>
      </x:c>
      <x:c r="AF110" s="101" t="str">
        <x:v>Core</x:v>
      </x:c>
      <x:c r="AG110" s="101" t="str">
        <x:v>R2</x:v>
      </x:c>
      <x:c r="AH110" s="101" t="str">
        <x:v>Advances</x:v>
      </x:c>
      <x:c r="AI110" s="101">
        <x:f t="shared" si="3"/>
      </x:c>
      <x:c r="AJ110" s="101" t="str">
        <x:v>Inherited baseline estimate</x:v>
      </x:c>
      <x:c r="AK110" s="101" t="str">
        <x:v>v4.10.3</x:v>
      </x:c>
      <x:c r="AL110" s="101" t="str">
        <x:v>Chapters 3/4 v4.10.3 — MD + illustrated Word; UI Coverage / UI Controls in this workbook</x:v>
      </x:c>
      <x:c r="AM110" t="n">
        <x:f>IF(ISNUMBER(J110),1,0)</x:f>
        <x:v>1</x:v>
      </x:c>
      <x:c r="AN110" s="101"/>
      <x:c r="AO110" s="194" t="str">
        <x:v>Not started — no completion claimed</x:v>
      </x:c>
      <x:c r="AP110" s="194" t="str">
        <x:v>Inherited v2.22.0 intended record; no new runtime certification in this repair.</x:v>
      </x:c>
      <x:c r="AQ110" s="194"/>
      <x:c r="AR110" s="194" t="str">
        <x:v>INHERITED ESTIMATE</x:v>
      </x:c>
    </x:row>
    <x:row r="111" ht="76" hidden="1" customHeight="1">
      <x:c r="A111" s="101" t="str">
        <x:v>T-153</x:v>
      </x:c>
      <x:c r="B111" s="101" t="str">
        <x:v>M3</x:v>
      </x:c>
      <x:c r="C111" s="101" t="str">
        <x:v>P1</x:v>
      </x:c>
      <x:c r="D111" s="101" t="str">
        <x:v>Connector certification against real sources</x:v>
      </x:c>
      <x:c r="E111" s="101" t="str">
        <x:v>Backend</x:v>
      </x:c>
      <x:c r="F111" s="101" t="str">
        <x:v>Connectors</x:v>
      </x:c>
      <x:c r="G111" s="101" t="str">
        <x:v>Critical</x:v>
      </x:c>
      <x:c r="H111" s="101" t="str">
        <x:v>Enable and certify the customer's actual connectors. A catalogue row is not a connector; an unbuilt one stays dimmed and badged as planned.</x:v>
      </x:c>
      <x:c r="I111" s="101" t="str">
        <x:v>Each certified connector completes a read-only import against the real source with the load budget enforced. The customer-facing capability state changes to Certified only from the executed certification result; no frontend or website code edit is required.</x:v>
      </x:c>
      <x:c r="J111" s="107" t="n">
        <x:v>12</x:v>
      </x:c>
      <x:c r="K111" s="101" t="str">
        <x:v>Not Started</x:v>
      </x:c>
      <x:c r="L111" s="101" t="str">
        <x:v>Worker 1</x:v>
      </x:c>
      <x:c r="M111" s="101" t="str">
        <x:v>T-224; T-225; T-226; T-254</x:v>
      </x:c>
      <x:c r="N111" s="101" t="str">
        <x:v>T-249</x:v>
      </x:c>
      <x:c r="O111" s="101" t="str">
        <x:v>M3: 45 days after M2 completion</x:v>
      </x:c>
      <x:c r="P111" s="101" t="str">
        <x:v>Release 2 MUST</x:v>
      </x:c>
      <x:c r="Q111" s="101" t="str">
        <x:v>External/site certification</x:v>
      </x:c>
      <x:c r="R111" s="195" t="n">
        <x:v>7.2</x:v>
      </x:c>
      <x:c r="S111" s="101" t="str">
        <x:v>M3-P1</x:v>
      </x:c>
      <x:c r="T111" s="101" t="str">
        <x:v>WAIT for deployed Release 1 + real customer/site evidence. M3 sequence</x:v>
      </x:c>
      <x:c r="U111" s="101" t="str">
        <x:v>Own site/platform/backend/infra. No AI/ML calibration or customer UX docs.</x:v>
      </x:c>
      <x:c r="V111" s="101" t="str">
        <x:v>Commit before downstream consumer starts; consumer must use the contract, not redesign producer-owned semantics.</x:v>
      </x:c>
      <x:c r="W111" s="101" t="str">
        <x:v>Scale &amp; OT Resilience</x:v>
      </x:c>
      <x:c r="X111" s="101" t="str">
        <x:v>M3 P1 — Scale &amp; OT Resilience. Release 2 is heavy production / scale / deeper enterprise use.</x:v>
      </x:c>
      <x:c r="Y111" s="196"/>
      <x:c r="Z111" s="197"/>
      <x:c r="AA111" s="101" t="str">
        <x:v>L1.1</x:v>
      </x:c>
      <x:c r="AB111" s="101" t="str">
        <x:v>Read-only connection and source access</x:v>
      </x:c>
      <x:c r="AC111" s="101" t="str">
        <x:v>L1.4</x:v>
      </x:c>
      <x:c r="AD111" s="101" t="str">
        <x:v>Validate</x:v>
      </x:c>
      <x:c r="AE111" s="101" t="str">
        <x:v>D3; D5</x:v>
      </x:c>
      <x:c r="AF111" s="101" t="str">
        <x:v>Core</x:v>
      </x:c>
      <x:c r="AG111" s="101" t="str">
        <x:v>R2</x:v>
      </x:c>
      <x:c r="AH111" s="101" t="str">
        <x:v>Advances</x:v>
      </x:c>
      <x:c r="AI111" s="101">
        <x:f t="shared" si="3"/>
      </x:c>
      <x:c r="AJ111" s="101" t="str">
        <x:v>Inherited baseline estimate</x:v>
      </x:c>
      <x:c r="AK111" s="101" t="str">
        <x:v>v4.10.3</x:v>
      </x:c>
      <x:c r="AL111" s="101" t="str">
        <x:v>Chapters 3/4 v4.10.3 — MD + illustrated Word; UI Coverage / UI Controls in this workbook</x:v>
      </x:c>
      <x:c r="AM111" t="n">
        <x:f>IF(ISNUMBER(J111),1,0)</x:f>
        <x:v>1</x:v>
      </x:c>
      <x:c r="AN111" s="101"/>
      <x:c r="AO111" s="194" t="str">
        <x:v>Not started — no completion claimed</x:v>
      </x:c>
      <x:c r="AP111" s="194" t="str">
        <x:v>Inherited v2.22.0 intended record; no new runtime certification in this repair.</x:v>
      </x:c>
      <x:c r="AQ111" s="194"/>
      <x:c r="AR111" s="194" t="str">
        <x:v>INHERITED ESTIMATE</x:v>
      </x:c>
    </x:row>
    <x:row r="112" ht="76" hidden="1" customHeight="1">
      <x:c r="A112" s="101" t="str">
        <x:v>T-154</x:v>
      </x:c>
      <x:c r="B112" s="101" t="str">
        <x:v>M3</x:v>
      </x:c>
      <x:c r="C112" s="101" t="str">
        <x:v>P1</x:v>
      </x:c>
      <x:c r="D112" s="101" t="str">
        <x:v>Query plans, indexes and partition boundaries</x:v>
      </x:c>
      <x:c r="E112" s="101" t="str">
        <x:v>Database</x:v>
      </x:c>
      <x:c r="F112" s="101" t="str">
        <x:v>Performance</x:v>
      </x:c>
      <x:c r="G112" s="101" t="str">
        <x:v>Very Important</x:v>
      </x:c>
      <x:c r="H112" s="101" t="str">
        <x:v>Tune against real measurements from the customer's volumes, not against assumptions.</x:v>
      </x:c>
      <x:c r="I112" s="101" t="str">
        <x:v>Before and after query plans recorded for the ten slowest queries, with the improvement measured.</x:v>
      </x:c>
      <x:c r="J112" s="107" t="n">
        <x:v>12</x:v>
      </x:c>
      <x:c r="K112" s="101" t="str">
        <x:v>Not Started</x:v>
      </x:c>
      <x:c r="L112" s="101" t="str">
        <x:v>Worker 1</x:v>
      </x:c>
      <x:c r="M112" s="101"/>
      <x:c r="N112" s="101"/>
      <x:c r="O112" s="101" t="str">
        <x:v>M3: 45 days after M2 completion</x:v>
      </x:c>
      <x:c r="P112" s="101" t="str">
        <x:v>Release 2 MUST</x:v>
      </x:c>
      <x:c r="Q112" s="101" t="str">
        <x:v>External/site certification</x:v>
      </x:c>
      <x:c r="R112" s="195" t="n">
        <x:v>7.2</x:v>
      </x:c>
      <x:c r="S112" s="101" t="str">
        <x:v>M3-P1</x:v>
      </x:c>
      <x:c r="T112" s="101" t="str">
        <x:v>WAIT for deployed Release 1 + real customer/site evidence. M3 sequence</x:v>
      </x:c>
      <x:c r="U112" s="101" t="str">
        <x:v>Own site/platform/backend/infra. No AI/ML calibration or customer UX docs.</x:v>
      </x:c>
      <x:c r="V112" s="101" t="str">
        <x:v>Commit before downstream consumer starts; consumer must use the contract, not redesign producer-owned semantics.</x:v>
      </x:c>
      <x:c r="W112" s="101" t="str">
        <x:v>Scale &amp; OT Resilience</x:v>
      </x:c>
      <x:c r="X112" s="101" t="str">
        <x:v>M3 P1 — Scale &amp; OT Resilience. Release 2 is heavy production / scale / deeper enterprise use.</x:v>
      </x:c>
      <x:c r="Y112" s="196"/>
      <x:c r="Z112" s="197"/>
      <x:c r="AA112" s="101" t="str">
        <x:v>L8.5</x:v>
      </x:c>
      <x:c r="AB112" s="101" t="str">
        <x:v>Sizing model and calibrated performance constants</x:v>
      </x:c>
      <x:c r="AC112" s="101"/>
      <x:c r="AD112" s="101" t="str">
        <x:v>Build</x:v>
      </x:c>
      <x:c r="AE112" s="101" t="str">
        <x:v>D4; D5</x:v>
      </x:c>
      <x:c r="AF112" s="101" t="str">
        <x:v>Core</x:v>
      </x:c>
      <x:c r="AG112" s="101" t="str">
        <x:v>R2</x:v>
      </x:c>
      <x:c r="AH112" s="101" t="str">
        <x:v>Advances</x:v>
      </x:c>
      <x:c r="AI112" s="101">
        <x:f t="shared" si="3"/>
      </x:c>
      <x:c r="AJ112" s="101" t="str">
        <x:v>Inherited baseline estimate</x:v>
      </x:c>
      <x:c r="AK112" s="101" t="str">
        <x:v>v4.10.3</x:v>
      </x:c>
      <x:c r="AL112" s="101" t="str">
        <x:v>Chapters 3/4 v4.10.3 — MD + illustrated Word; UI Coverage / UI Controls in this workbook</x:v>
      </x:c>
      <x:c r="AM112" t="n">
        <x:f>IF(ISNUMBER(J112),1,0)</x:f>
        <x:v>1</x:v>
      </x:c>
      <x:c r="AN112" s="101"/>
      <x:c r="AO112" s="194" t="str">
        <x:v>Not started — no completion claimed</x:v>
      </x:c>
      <x:c r="AP112" s="194" t="str">
        <x:v>Inherited v2.22.0 intended record; no new runtime certification in this repair.</x:v>
      </x:c>
      <x:c r="AQ112" s="194"/>
      <x:c r="AR112" s="194" t="str">
        <x:v>INHERITED ESTIMATE</x:v>
      </x:c>
    </x:row>
    <x:row r="113" ht="76" hidden="1" customHeight="1">
      <x:c r="A113" s="101" t="str">
        <x:v>T-155</x:v>
      </x:c>
      <x:c r="B113" s="101" t="str">
        <x:v>M3</x:v>
      </x:c>
      <x:c r="C113" s="101" t="str">
        <x:v>P1</x:v>
      </x:c>
      <x:c r="D113" s="101" t="str">
        <x:v>B-01/B-02 capacity tuning, scan amplification and model-serving memory</x:v>
      </x:c>
      <x:c r="E113" s="101" t="str">
        <x:v>Infrastructure</x:v>
      </x:c>
      <x:c r="F113" s="101" t="str">
        <x:v>Performance</x:v>
      </x:c>
      <x:c r="G113" s="101" t="str">
        <x:v>Very Important</x:v>
      </x:c>
      <x:c r="H113" s="101" t="str">
        <x:v>On site hardware, jointly execute resource measurements for lane max_concurrency/resource_capacity/compute_weight and the hard online reservation, plus scan-amplification and warm-model/assistant memory. This task supplies measured capacity values; it does not redesign the architecture.
v2.22.0 — Absorb T-111 measured Scan Amplification baseline/calibrated bands. T-110 owns runtime enforcement.</x:v>
      </x:c>
      <x:c r="I113" s="101" t="str">
        <x:v>Record hardware, commit and load profile. Saturate training/batch and prove online p95 remains inside the actionable budget. Publish measured lane values and before/after Scan Amplification with no starvation.
v2.22.0 — Measure under declared profiles and record formula, numerator/denominator and scope; known missing delta predicate triggers breach, not a tuned threshold.</x:v>
      </x:c>
      <x:c r="J113" s="107" t="n">
        <x:v>12</x:v>
      </x:c>
      <x:c r="K113" s="101" t="str">
        <x:v>Not Started</x:v>
      </x:c>
      <x:c r="L113" s="101" t="str">
        <x:v>Worker 3</x:v>
      </x:c>
      <x:c r="M113" s="101"/>
      <x:c r="N113" s="101"/>
      <x:c r="O113" s="101" t="str">
        <x:v>M3: 45 days after M2 completion</x:v>
      </x:c>
      <x:c r="P113" s="101" t="str">
        <x:v>Release 2 MUST</x:v>
      </x:c>
      <x:c r="Q113" s="101" t="str">
        <x:v>Real-data AI/ML/site measurement</x:v>
      </x:c>
      <x:c r="R113" s="195" t="n">
        <x:v>4.32</x:v>
      </x:c>
      <x:c r="S113" s="101" t="str">
        <x:v>M3-P1</x:v>
      </x:c>
      <x:c r="T113" s="101" t="str">
        <x:v>WAIT for deployed Release 1 + real customer/site evidence. Release 2 accepted + site hardware</x:v>
      </x:c>
      <x:c r="U113" s="101" t="str">
        <x:v>Own AI/ML calibration/capacity evidence only.</x:v>
      </x:c>
      <x:c r="V113" s="101" t="str">
        <x:v>Commit before downstream consumer starts; consumer must use the contract, not redesign producer-owned semantics.</x:v>
      </x:c>
      <x:c r="W113" s="101" t="str">
        <x:v>Scale &amp; OT Resilience</x:v>
      </x:c>
      <x:c r="X113" s="101" t="str">
        <x:v>M3 P1 — Scale &amp; OT Resilience. Release 2 is heavy production / scale / deeper enterprise use.</x:v>
      </x:c>
      <x:c r="Y113" s="196"/>
      <x:c r="Z113" s="197"/>
      <x:c r="AA113" s="101" t="str">
        <x:v>L8.5</x:v>
      </x:c>
      <x:c r="AB113" s="101" t="str">
        <x:v>Sizing model and calibrated performance constants</x:v>
      </x:c>
      <x:c r="AC113" s="101" t="str">
        <x:v>L8.4</x:v>
      </x:c>
      <x:c r="AD113" s="101" t="str">
        <x:v>Build</x:v>
      </x:c>
      <x:c r="AE113" s="101" t="str">
        <x:v>D5</x:v>
      </x:c>
      <x:c r="AF113" s="101" t="str">
        <x:v>Core</x:v>
      </x:c>
      <x:c r="AG113" s="101" t="str">
        <x:v>R2</x:v>
      </x:c>
      <x:c r="AH113" s="101" t="str">
        <x:v>Advances</x:v>
      </x:c>
      <x:c r="AI113" s="101">
        <x:f t="shared" si="3"/>
      </x:c>
      <x:c r="AJ113" s="101" t="str">
        <x:v>Inherited estimate; scope changed — re-estimation required</x:v>
      </x:c>
      <x:c r="AK113" s="101" t="str">
        <x:v>v4.10.3</x:v>
      </x:c>
      <x:c r="AL113" s="101" t="str">
        <x:v>Chapters 3/4 v4.10.3 — MD + illustrated Word; UI Coverage / UI Controls in this workbook</x:v>
      </x:c>
      <x:c r="AM113" t="n">
        <x:f>IF(ISNUMBER(J113),1,0)</x:f>
        <x:v>1</x:v>
      </x:c>
      <x:c r="AN113" s="101"/>
      <x:c r="AO113" s="194" t="str">
        <x:v>Not started — no completion claimed</x:v>
      </x:c>
      <x:c r="AP113" s="194" t="str">
        <x:v>Inherited v2.22.0 intended record; no new runtime certification in this repair.</x:v>
      </x:c>
      <x:c r="AQ113" s="194"/>
      <x:c r="AR113" s="194" t="str">
        <x:v>INHERITED ESTIMATE</x:v>
      </x:c>
    </x:row>
    <x:row r="114" ht="76" hidden="1" customHeight="1">
      <x:c r="A114" s="101" t="str">
        <x:v>T-159</x:v>
      </x:c>
      <x:c r="B114" s="101" t="str">
        <x:v>M3</x:v>
      </x:c>
      <x:c r="C114" s="101" t="str">
        <x:v>P1</x:v>
      </x:c>
      <x:c r="D114" s="101" t="str">
        <x:v>C1 to C4 capacity certification</x:v>
      </x:c>
      <x:c r="E114" s="101" t="str">
        <x:v>Infrastructure</x:v>
      </x:c>
      <x:c r="F114" s="101" t="str">
        <x:v>Certification</x:v>
      </x:c>
      <x:c r="G114" s="101" t="str">
        <x:v>Critical</x:v>
      </x:c>
      <x:c r="H114" s="101" t="str">
        <x:v>Run the four Chapter 6 capacity profiles and site certification, consuming the measured benchmark outputs from B-01..B-09 where they affect sizing. Replace only CALIBRATION_REQUIRED/REFERENCE_ASSUMPTION constants with measured values and freeze Chapter 6 when all certification gates pass.
v2.22.0 — Absorb T-111 capacity/regression certification; verify T-110 runtime scan guard using C1-C4 proofs.</x:v>
      </x:c>
      <x:c r="I114" s="101" t="str">
        <x:v>Every worked sizing example recomputes from measured constants; C1-C4 profiles pass their promised envelope. The certification bundle records hardware, commit, dataset, benchmark outputs and sign-off.
v2.22.0 — Known negative control exceeds scan band/aborts; restored predicate passes; results, workload, topology and sampled period pinned.</x:v>
      </x:c>
      <x:c r="J114" s="107" t="n">
        <x:v>12</x:v>
      </x:c>
      <x:c r="K114" s="101" t="str">
        <x:v>Not Started</x:v>
      </x:c>
      <x:c r="L114" s="101" t="str">
        <x:v>Worker 3</x:v>
      </x:c>
      <x:c r="M114" s="101"/>
      <x:c r="N114" s="101" t="str">
        <x:v>T-249</x:v>
      </x:c>
      <x:c r="O114" s="101" t="str">
        <x:v>M3: 45 days after M2 completion</x:v>
      </x:c>
      <x:c r="P114" s="101" t="str">
        <x:v>Release 2 MUST</x:v>
      </x:c>
      <x:c r="Q114" s="101" t="str">
        <x:v>Real-data AI/ML/site measurement</x:v>
      </x:c>
      <x:c r="R114" s="195" t="n">
        <x:v>4.32</x:v>
      </x:c>
      <x:c r="S114" s="101" t="str">
        <x:v>M3-P1</x:v>
      </x:c>
      <x:c r="T114" s="101" t="str">
        <x:v>WAIT for deployed Release 1 + real customer/site evidence. Release 2 accepted + site hardware</x:v>
      </x:c>
      <x:c r="U114" s="101" t="str">
        <x:v>Own AI/ML calibration/capacity evidence only.</x:v>
      </x:c>
      <x:c r="V114" s="101" t="str">
        <x:v>Commit before downstream consumer starts; consumer must use the contract, not redesign producer-owned semantics.</x:v>
      </x:c>
      <x:c r="W114" s="101" t="str">
        <x:v>Scale &amp; OT Resilience</x:v>
      </x:c>
      <x:c r="X114" s="101" t="str">
        <x:v>M3 P1 — Scale &amp; OT Resilience. Release 2 is heavy production / scale / deeper enterprise use.</x:v>
      </x:c>
      <x:c r="Y114" s="196"/>
      <x:c r="Z114" s="197"/>
      <x:c r="AA114" s="101" t="str">
        <x:v>L8.8</x:v>
      </x:c>
      <x:c r="AB114" s="101" t="str">
        <x:v>C1–C4 performance certification and golden-journey release gate</x:v>
      </x:c>
      <x:c r="AC114" s="101" t="str">
        <x:v>L8.5</x:v>
      </x:c>
      <x:c r="AD114" s="101" t="str">
        <x:v>Certify</x:v>
      </x:c>
      <x:c r="AE114" s="101" t="str">
        <x:v>D5</x:v>
      </x:c>
      <x:c r="AF114" s="101" t="str">
        <x:v>Core</x:v>
      </x:c>
      <x:c r="AG114" s="101" t="str">
        <x:v>R2</x:v>
      </x:c>
      <x:c r="AH114" s="101" t="str">
        <x:v>Advances</x:v>
      </x:c>
      <x:c r="AI114" s="101">
        <x:f t="shared" si="3"/>
      </x:c>
      <x:c r="AJ114" s="101" t="str">
        <x:v>Inherited estimate; scope changed — re-estimation required</x:v>
      </x:c>
      <x:c r="AK114" s="101" t="str">
        <x:v>v4.10.3</x:v>
      </x:c>
      <x:c r="AL114" s="101" t="str">
        <x:v>Chapters 3/4 v4.10.3 — MD + illustrated Word; UI Coverage / UI Controls in this workbook</x:v>
      </x:c>
      <x:c r="AM114" t="n">
        <x:f>IF(ISNUMBER(J114),1,0)</x:f>
        <x:v>1</x:v>
      </x:c>
      <x:c r="AN114" s="101"/>
      <x:c r="AO114" s="194" t="str">
        <x:v>Not started — no completion claimed</x:v>
      </x:c>
      <x:c r="AP114" s="194" t="str">
        <x:v>Inherited v2.22.0 intended record; no new runtime certification in this repair.</x:v>
      </x:c>
      <x:c r="AQ114" s="194"/>
      <x:c r="AR114" s="194" t="str">
        <x:v>INHERITED ESTIMATE</x:v>
      </x:c>
    </x:row>
    <x:row r="115" ht="76" hidden="1" customHeight="1">
      <x:c r="A115" s="101" t="str">
        <x:v>T-160</x:v>
      </x:c>
      <x:c r="B115" s="101" t="str">
        <x:v>M3</x:v>
      </x:c>
      <x:c r="C115" s="101" t="str">
        <x:v>P1</x:v>
      </x:c>
      <x:c r="D115" s="101" t="str">
        <x:v>HA, DR and restore rehearsal</x:v>
      </x:c>
      <x:c r="E115" s="101" t="str">
        <x:v>Infrastructure</x:v>
      </x:c>
      <x:c r="F115" s="101" t="str">
        <x:v>Resilience</x:v>
      </x:c>
      <x:c r="G115" s="101" t="str">
        <x:v>Critical</x:v>
      </x:c>
      <x:c r="H115" s="101" t="str">
        <x:v>Production topology, RPO and RTO objectives, and a real disaster-recovery rehearsal.</x:v>
      </x:c>
      <x:c r="I115" s="101" t="str">
        <x:v>A full recovery rehearsal completes within the stated RPO and RTO, witnessed and recorded.</x:v>
      </x:c>
      <x:c r="J115" s="107" t="n">
        <x:v>12</x:v>
      </x:c>
      <x:c r="K115" s="101" t="str">
        <x:v>Not Started</x:v>
      </x:c>
      <x:c r="L115" s="101" t="str">
        <x:v>Worker 1</x:v>
      </x:c>
      <x:c r="M115" s="101"/>
      <x:c r="N115" s="101" t="str">
        <x:v>T-249</x:v>
      </x:c>
      <x:c r="O115" s="101" t="str">
        <x:v>M3: 45 days after M2 completion</x:v>
      </x:c>
      <x:c r="P115" s="101" t="str">
        <x:v>Release 2 MUST</x:v>
      </x:c>
      <x:c r="Q115" s="101" t="str">
        <x:v>External/site certification</x:v>
      </x:c>
      <x:c r="R115" s="195" t="n">
        <x:v>7.2</x:v>
      </x:c>
      <x:c r="S115" s="101" t="str">
        <x:v>M3-P1</x:v>
      </x:c>
      <x:c r="T115" s="101" t="str">
        <x:v>WAIT for deployed Release 1 + real customer/site evidence. M3 sequence</x:v>
      </x:c>
      <x:c r="U115" s="101" t="str">
        <x:v>Own site/platform/backend/infra. No AI/ML calibration or customer UX docs.</x:v>
      </x:c>
      <x:c r="V115" s="101" t="str">
        <x:v>Commit before downstream consumer starts; consumer must use the contract, not redesign producer-owned semantics.</x:v>
      </x:c>
      <x:c r="W115" s="101" t="str">
        <x:v>Scale &amp; OT Resilience</x:v>
      </x:c>
      <x:c r="X115" s="101" t="str">
        <x:v>M3 P1 — Scale &amp; OT Resilience. Release 2 is heavy production / scale / deeper enterprise use.</x:v>
      </x:c>
      <x:c r="Y115" s="196"/>
      <x:c r="Z115" s="197"/>
      <x:c r="AA115" s="101" t="str">
        <x:v>L8.7</x:v>
      </x:c>
      <x:c r="AB115" s="101" t="str">
        <x:v>Backup, restore, PITR, DR and HA</x:v>
      </x:c>
      <x:c r="AC115" s="101"/>
      <x:c r="AD115" s="101" t="str">
        <x:v>Build</x:v>
      </x:c>
      <x:c r="AE115" s="101" t="str">
        <x:v>D4; D5</x:v>
      </x:c>
      <x:c r="AF115" s="101" t="str">
        <x:v>Core</x:v>
      </x:c>
      <x:c r="AG115" s="101" t="str">
        <x:v>R2</x:v>
      </x:c>
      <x:c r="AH115" s="101" t="str">
        <x:v>Advances</x:v>
      </x:c>
      <x:c r="AI115" s="101">
        <x:f t="shared" si="3"/>
      </x:c>
      <x:c r="AJ115" s="101" t="str">
        <x:v>Inherited baseline estimate</x:v>
      </x:c>
      <x:c r="AK115" s="101" t="str">
        <x:v>v4.10.3</x:v>
      </x:c>
      <x:c r="AL115" s="101" t="str">
        <x:v>Chapters 3/4 v4.10.3 — MD + illustrated Word; UI Coverage / UI Controls in this workbook</x:v>
      </x:c>
      <x:c r="AM115" t="n">
        <x:f>IF(ISNUMBER(J115),1,0)</x:f>
        <x:v>1</x:v>
      </x:c>
      <x:c r="AN115" s="101"/>
      <x:c r="AO115" s="194" t="str">
        <x:v>Not started — no completion claimed</x:v>
      </x:c>
      <x:c r="AP115" s="194" t="str">
        <x:v>Inherited v2.22.0 intended record; no new runtime certification in this repair.</x:v>
      </x:c>
      <x:c r="AQ115" s="194"/>
      <x:c r="AR115" s="194" t="str">
        <x:v>INHERITED ESTIMATE</x:v>
      </x:c>
    </x:row>
    <x:row r="116" ht="76" hidden="1" customHeight="1">
      <x:c r="A116" s="101" t="str">
        <x:v>T-163</x:v>
      </x:c>
      <x:c r="B116" s="101" t="str">
        <x:v>M3</x:v>
      </x:c>
      <x:c r="C116" s="101" t="str">
        <x:v>P1</x:v>
      </x:c>
      <x:c r="D116" s="101" t="str">
        <x:v>Monitoring, SLOs and support escalation</x:v>
      </x:c>
      <x:c r="E116" s="101" t="str">
        <x:v>Infrastructure</x:v>
      </x:c>
      <x:c r="F116" s="101" t="str">
        <x:v>Monitoring</x:v>
      </x:c>
      <x:c r="G116" s="101" t="str">
        <x:v>Very Important</x:v>
      </x:c>
      <x:c r="H116" s="101" t="str">
        <x:v>Operational dashboards, alerts, queue and latency and backup and certificate health, and the escalation path.</x:v>
      </x:c>
      <x:c r="I116" s="101" t="str">
        <x:v>Each SLO has a measured baseline and an alert that fires before it is breached.</x:v>
      </x:c>
      <x:c r="J116" s="107" t="n">
        <x:v>12</x:v>
      </x:c>
      <x:c r="K116" s="101" t="str">
        <x:v>Not Started</x:v>
      </x:c>
      <x:c r="L116" s="101" t="str">
        <x:v>Worker 1</x:v>
      </x:c>
      <x:c r="M116" s="101"/>
      <x:c r="N116" s="101" t="str">
        <x:v>T-249</x:v>
      </x:c>
      <x:c r="O116" s="101" t="str">
        <x:v>M3: 45 days after M2 completion</x:v>
      </x:c>
      <x:c r="P116" s="101" t="str">
        <x:v>Release 2 MUST</x:v>
      </x:c>
      <x:c r="Q116" s="101" t="str">
        <x:v>External/site certification</x:v>
      </x:c>
      <x:c r="R116" s="195" t="n">
        <x:v>7.2</x:v>
      </x:c>
      <x:c r="S116" s="101" t="str">
        <x:v>M3-P1</x:v>
      </x:c>
      <x:c r="T116" s="101" t="str">
        <x:v>WAIT for deployed Release 1 + real customer/site evidence. M3 sequence</x:v>
      </x:c>
      <x:c r="U116" s="101" t="str">
        <x:v>Own site/platform/backend/infra. No AI/ML calibration or customer UX docs.</x:v>
      </x:c>
      <x:c r="V116" s="101" t="str">
        <x:v>Commit before downstream consumer starts; consumer must use the contract, not redesign producer-owned semantics.</x:v>
      </x:c>
      <x:c r="W116" s="101" t="str">
        <x:v>Scale &amp; OT Resilience</x:v>
      </x:c>
      <x:c r="X116" s="101" t="str">
        <x:v>M3 P1 — Scale &amp; OT Resilience. Release 2 is heavy production / scale / deeper enterprise use.</x:v>
      </x:c>
      <x:c r="Y116" s="196"/>
      <x:c r="Z116" s="197"/>
      <x:c r="AA116" s="101" t="str">
        <x:v>L8.6</x:v>
      </x:c>
      <x:c r="AB116" s="101" t="str">
        <x:v>Monitoring, observability, health and readiness</x:v>
      </x:c>
      <x:c r="AC116" s="101"/>
      <x:c r="AD116" s="101" t="str">
        <x:v>Build</x:v>
      </x:c>
      <x:c r="AE116" s="101" t="str">
        <x:v>D5</x:v>
      </x:c>
      <x:c r="AF116" s="101" t="str">
        <x:v>Core</x:v>
      </x:c>
      <x:c r="AG116" s="101" t="str">
        <x:v>R2</x:v>
      </x:c>
      <x:c r="AH116" s="101" t="str">
        <x:v>Advances</x:v>
      </x:c>
      <x:c r="AI116" s="101">
        <x:f t="shared" si="3"/>
      </x:c>
      <x:c r="AJ116" s="101" t="str">
        <x:v>Inherited baseline estimate</x:v>
      </x:c>
      <x:c r="AK116" s="101" t="str">
        <x:v>v4.10.3</x:v>
      </x:c>
      <x:c r="AL116" s="101" t="str">
        <x:v>Chapters 3/4 v4.10.3 — MD + illustrated Word; UI Coverage / UI Controls in this workbook</x:v>
      </x:c>
      <x:c r="AM116" t="n">
        <x:f>IF(ISNUMBER(J116),1,0)</x:f>
        <x:v>1</x:v>
      </x:c>
      <x:c r="AN116" s="101"/>
      <x:c r="AO116" s="194" t="str">
        <x:v>Not started — no completion claimed</x:v>
      </x:c>
      <x:c r="AP116" s="194" t="str">
        <x:v>Inherited v2.22.0 intended record; no new runtime certification in this repair.</x:v>
      </x:c>
      <x:c r="AQ116" s="194"/>
      <x:c r="AR116" s="194" t="str">
        <x:v>INHERITED ESTIMATE</x:v>
      </x:c>
    </x:row>
    <x:row r="117" ht="76" hidden="1" customHeight="1">
      <x:c r="A117" s="101" t="str">
        <x:v>T-116</x:v>
      </x:c>
      <x:c r="B117" s="101" t="str">
        <x:v>M3</x:v>
      </x:c>
      <x:c r="C117" s="101" t="str">
        <x:v>P2</x:v>
      </x:c>
      <x:c r="D117" s="101" t="str">
        <x:v>API namespace migration, part 1: map the 92 prefixes onto the 27 domains and stand up dual-serve</x:v>
      </x:c>
      <x:c r="E117" s="101" t="str">
        <x:v>Backend</x:v>
      </x:c>
      <x:c r="F117" s="101" t="str">
        <x:v>Namespace</x:v>
      </x:c>
      <x:c r="G117" s="101" t="str">
        <x:v>Very Important</x:v>
      </x:c>
      <x:c r="H117" s="101" t="str">
        <x:v>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
v2.20.0 ORDERING — perform namespace renaming after T-256 has decided which material/legacy runtime surfaces remain legitimate compatibility surfaces. Do not preserve a semantically invalid endpoint merely to give it a cleaner URL.
v2.22.0 — Maintain bounded-compatibility consumer register. Move live canon/public consumers to governed authorities before retiring compatibility objects; no delete-probes-first hotfix.</x:v>
      </x:c>
      <x:c r="I117" s="101" t="str">
        <x:v>Every one of the 544 routes appears exactly once in the mapping table. Both the old and the new path return identical responses for a sample of twenty routes.
v2.22.0 — Inventory each consumer/object, positive and negative parity tests, old history remains readable, retirement only after no active dependency remains; upgrade/fresh install agree.</x:v>
      </x:c>
      <x:c r="J117" s="107" t="n">
        <x:v>8</x:v>
      </x:c>
      <x:c r="K117" s="101" t="str">
        <x:v>Not Started</x:v>
      </x:c>
      <x:c r="L117" s="101" t="str">
        <x:v>Worker 1</x:v>
      </x:c>
      <x:c r="M117" s="101" t="str">
        <x:v>T-256</x:v>
      </x:c>
      <x:c r="N117" s="101"/>
      <x:c r="O117" s="101" t="str">
        <x:v>M3: 45 days after M2 completion</x:v>
      </x:c>
      <x:c r="P117" s="101" t="str">
        <x:v>Release 2 MUST</x:v>
      </x:c>
      <x:c r="Q117" s="101" t="str">
        <x:v>Backend/domain contract</x:v>
      </x:c>
      <x:c r="R117" s="195" t="n">
        <x:v>1.2000000000000002</x:v>
      </x:c>
      <x:c r="S117" s="101" t="str">
        <x:v>M3-P2</x:v>
      </x:c>
      <x:c r="T117" s="101" t="str">
        <x:v>WAIT for Presentation RC freeze/tag + clean index/worktree. Then: Release 1 dependency order</x:v>
      </x:c>
      <x:c r="U117" s="101" t="str">
        <x:v>Own canonical DB/backend/security/API/infra. No W2-owned UI/admin task files and no W3 ML/Assistant runtime.</x:v>
      </x:c>
      <x:c r="V117" s="101" t="str">
        <x:v>Commit before downstream consumer starts; consumer must use the contract, not redesign producer-owned semantics.</x:v>
      </x:c>
      <x:c r="W117" s="101" t="str">
        <x:v>Multi-user Enterprise Operations</x:v>
      </x:c>
      <x:c r="X117" s="101" t="str">
        <x:v>M3 P2 — Multi-user Enterprise Operations. Release 2 is heavy production / scale / deeper enterprise use.</x:v>
      </x:c>
      <x:c r="Y117" s="196"/>
      <x:c r="Z117" s="197"/>
      <x:c r="AA117" s="101" t="str">
        <x:v>L8.8</x:v>
      </x:c>
      <x:c r="AB117" s="101" t="str">
        <x:v>C1–C4 performance certification and golden-journey release gate</x:v>
      </x:c>
      <x:c r="AC117" s="101"/>
      <x:c r="AD117" s="101" t="str">
        <x:v>Converge</x:v>
      </x:c>
      <x:c r="AE117" s="101" t="str">
        <x:v>D3; D4; D5</x:v>
      </x:c>
      <x:c r="AF117" s="101" t="str">
        <x:v>Core</x:v>
      </x:c>
      <x:c r="AG117" s="101" t="str">
        <x:v>R2</x:v>
      </x:c>
      <x:c r="AH117" s="101" t="str">
        <x:v>Advances</x:v>
      </x:c>
      <x:c r="AI117" s="101">
        <x:f t="shared" si="3"/>
      </x:c>
      <x:c r="AJ117" s="101" t="str">
        <x:v>Inherited estimate; scope changed — re-estimation required</x:v>
      </x:c>
      <x:c r="AK117" s="101" t="str">
        <x:v>v4.10.3</x:v>
      </x:c>
      <x:c r="AL117" s="101" t="str">
        <x:v>Chapters 3/4 v4.10.3 — MD + illustrated Word; UI Coverage / UI Controls in this workbook</x:v>
      </x:c>
      <x:c r="AM117" t="n">
        <x:f>IF(ISNUMBER(J117),1,0)</x:f>
        <x:v>1</x:v>
      </x:c>
      <x:c r="AN117" s="101"/>
      <x:c r="AO117" s="194" t="str">
        <x:v>Not started — no completion claimed</x:v>
      </x:c>
      <x:c r="AP117" s="194" t="str">
        <x:v>Inherited v2.22.0 intended record; no new runtime certification in this repair.</x:v>
      </x:c>
      <x:c r="AQ117" s="194"/>
      <x:c r="AR117" s="194" t="str">
        <x:v>INHERITED ESTIMATE</x:v>
      </x:c>
    </x:row>
    <x:row r="118" ht="76" hidden="1" customHeight="1">
      <x:c r="A118" s="101" t="str">
        <x:v>T-117</x:v>
      </x:c>
      <x:c r="B118" s="101" t="str">
        <x:v>M3</x:v>
      </x:c>
      <x:c r="C118" s="101" t="str">
        <x:v>P2</x:v>
      </x:c>
      <x:c r="D118" s="101" t="str">
        <x:v>API namespace migration, part 2: migrate the clients and add the token gate</x:v>
      </x:c>
      <x:c r="E118" s="101" t="str">
        <x:v>Backend</x:v>
      </x:c>
      <x:c r="F118" s="101" t="str">
        <x:v>Namespace</x:v>
      </x:c>
      <x:c r="G118" s="101" t="str">
        <x:v>Very Important</x:v>
      </x:c>
      <x:c r="H118" s="101" t="str">
        <x:v>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
v2.20.0 CLIENT-CONTRACT CONVERGENCE — retire the dynamic `productApi as legacyApi` dispatch slices while migrating paths. Migrated client modules use typed exported methods/contracts; do not retain `any` escape hatches as the permanent compatibility seam.</x:v>
      </x:c>
      <x:c r="I118" s="101" t="str">
        <x:v>A test asserting no registered route matches /phase\d+|\/v\d+\/|p\d\d/. Open the browser network tab during the golden journey and confirm no request URL carries a phase or version token. Static gate: zero `productApi as legacyApi` in migrated API slices and no new `any`-typed escape for canonical clients. A deliberately removed client method fails TypeScript compilation rather than failing only at runtime.</x:v>
      </x:c>
      <x:c r="J118" s="107" t="n">
        <x:v>6</x:v>
      </x:c>
      <x:c r="K118" s="101" t="str">
        <x:v>Not Started</x:v>
      </x:c>
      <x:c r="L118" s="101" t="str">
        <x:v>Worker 1</x:v>
      </x:c>
      <x:c r="M118" s="101"/>
      <x:c r="N118" s="101" t="str">
        <x:v>T-122; T-194</x:v>
      </x:c>
      <x:c r="O118" s="101" t="str">
        <x:v>M3: 45 days after M2 completion</x:v>
      </x:c>
      <x:c r="P118" s="101" t="str">
        <x:v>Release 2 MUST</x:v>
      </x:c>
      <x:c r="Q118" s="101" t="str">
        <x:v>Backend/domain contract</x:v>
      </x:c>
      <x:c r="R118" s="195" t="n">
        <x:v>0.8999999999999999</x:v>
      </x:c>
      <x:c r="S118" s="101" t="str">
        <x:v>M3-P2</x:v>
      </x:c>
      <x:c r="T118" s="101" t="str">
        <x:v>WAIT for Presentation RC freeze/tag + clean index/worktree. Then: Release 1 dependency order</x:v>
      </x:c>
      <x:c r="U118" s="101" t="str">
        <x:v>Own canonical DB/backend/security/API/infra. No W2-owned UI/admin task files and no W3 ML/Assistant runtime.</x:v>
      </x:c>
      <x:c r="V118" s="101" t="str">
        <x:v>Commit before downstream consumer starts; consumer must use the contract, not redesign producer-owned semantics.</x:v>
      </x:c>
      <x:c r="W118" s="101" t="str">
        <x:v>Multi-user Enterprise Operations</x:v>
      </x:c>
      <x:c r="X118" s="101" t="str">
        <x:v>M3 P2 — Multi-user Enterprise Operations. Release 2 is heavy production / scale / deeper enterprise use.</x:v>
      </x:c>
      <x:c r="Y118" s="196"/>
      <x:c r="Z118" s="197"/>
      <x:c r="AA118" s="101" t="str">
        <x:v>L8.8</x:v>
      </x:c>
      <x:c r="AB118" s="101" t="str">
        <x:v>C1–C4 performance certification and golden-journey release gate</x:v>
      </x:c>
      <x:c r="AC118" s="101"/>
      <x:c r="AD118" s="101" t="str">
        <x:v>Converge</x:v>
      </x:c>
      <x:c r="AE118" s="101" t="str">
        <x:v>D3; D4; D5</x:v>
      </x:c>
      <x:c r="AF118" s="101" t="str">
        <x:v>Core</x:v>
      </x:c>
      <x:c r="AG118" s="101" t="str">
        <x:v>R2</x:v>
      </x:c>
      <x:c r="AH118" s="101" t="str">
        <x:v>Advances</x:v>
      </x:c>
      <x:c r="AI118" s="101">
        <x:f t="shared" si="3"/>
      </x:c>
      <x:c r="AJ118" s="101" t="str">
        <x:v>Inherited baseline estimate</x:v>
      </x:c>
      <x:c r="AK118" s="101" t="str">
        <x:v>v4.10.3</x:v>
      </x:c>
      <x:c r="AL118" s="101" t="str">
        <x:v>Chapters 3/4 v4.10.3 — MD + illustrated Word; UI Coverage / UI Controls in this workbook</x:v>
      </x:c>
      <x:c r="AM118" t="n">
        <x:f>IF(ISNUMBER(J118),1,0)</x:f>
        <x:v>1</x:v>
      </x:c>
      <x:c r="AN118" s="101"/>
      <x:c r="AO118" s="194" t="str">
        <x:v>Not started — no completion claimed</x:v>
      </x:c>
      <x:c r="AP118" s="194" t="str">
        <x:v>Inherited v2.22.0 intended record; no new runtime certification in this repair.</x:v>
      </x:c>
      <x:c r="AQ118" s="194"/>
      <x:c r="AR118" s="194" t="str">
        <x:v>INHERITED ESTIMATE</x:v>
      </x:c>
    </x:row>
    <x:row r="119" ht="76" hidden="1" customHeight="1">
      <x:c r="A119" s="101" t="str">
        <x:v>T-127</x:v>
      </x:c>
      <x:c r="B119" s="101" t="str">
        <x:v>M3</x:v>
      </x:c>
      <x:c r="C119" s="101" t="str">
        <x:v>P2</x:v>
      </x:c>
      <x:c r="D119" s="101" t="str">
        <x:v>Canonical journey regression and the Continuity comparison</x:v>
      </x:c>
      <x:c r="E119" s="101" t="str">
        <x:v>Testing</x:v>
      </x:c>
      <x:c r="F119" s="101" t="str">
        <x:v>Continuity</x:v>
      </x:c>
      <x:c r="G119" s="101" t="str">
        <x:v>Critical</x:v>
      </x:c>
      <x:c r="H119" s="101" t="str">
        <x:v>Run J1 to J15 against a normal ppiq_app database with no presentation shortcut and no demonstration-only code path. Then run the Customer Contract Continuity comparison against the snapshots captured at the end of M1.</x:v>
      </x:c>
      <x:c r="I119" s="101" t="str">
        <x:v>The journey passes on the canonical database. The continuity comparison shows no change to navigation, control placement, authoring flow, terminology or refusal semantics. Any difference is a defect in M2, not an improvement.</x:v>
      </x:c>
      <x:c r="J119" s="107" t="n">
        <x:v>12</x:v>
      </x:c>
      <x:c r="K119" s="101" t="str">
        <x:v>Not Started</x:v>
      </x:c>
      <x:c r="L119" s="101" t="str">
        <x:v>Worker 2</x:v>
      </x:c>
      <x:c r="M119" s="101" t="str">
        <x:v>T-196; T-197; T-198; T-199; T-200; T-121</x:v>
      </x:c>
      <x:c r="N119" s="101" t="str">
        <x:v>T-194</x:v>
      </x:c>
      <x:c r="O119" s="101" t="str">
        <x:v>M3: 45 days after M2 completion</x:v>
      </x:c>
      <x:c r="P119" s="101" t="str">
        <x:v>Release 2 MUST</x:v>
      </x:c>
      <x:c r="Q119" s="101" t="str">
        <x:v>Integration/E2E/certification</x:v>
      </x:c>
      <x:c r="R119" s="195" t="n">
        <x:v>4.08</x:v>
      </x:c>
      <x:c r="S119" s="101" t="str">
        <x:v>M3-P2</x:v>
      </x:c>
      <x:c r="T119" s="101" t="str">
        <x:v>WAIT for Presentation RC freeze/tag + clean index/worktree. Then: All Release 1 canonical-core/user-visible owners complete, including T-196/T-197/T-...</x:v>
      </x:c>
      <x:c r="U119" s="101" t="str">
        <x:v>Own named UI/admin task end-to-end only after producer APIs/security are committed.</x:v>
      </x:c>
      <x:c r="V119" s="101" t="str">
        <x:v>Continuity green → W1 executes T-194; Release 1 release gate may close.</x:v>
      </x:c>
      <x:c r="W119" s="101" t="str">
        <x:v>Multi-user Enterprise Operations</x:v>
      </x:c>
      <x:c r="X119" s="101" t="str">
        <x:v>M3 P2 — Multi-user Enterprise Operations. Release 2 is heavy production / scale / deeper enterprise use.</x:v>
      </x:c>
      <x:c r="Y119" s="196"/>
      <x:c r="Z119" s="197"/>
      <x:c r="AA119" s="101" t="str">
        <x:v>L8.8</x:v>
      </x:c>
      <x:c r="AB119" s="101" t="str">
        <x:v>C1–C4 performance certification and golden-journey release gate</x:v>
      </x:c>
      <x:c r="AC119" s="101"/>
      <x:c r="AD119" s="101" t="str">
        <x:v>Build</x:v>
      </x:c>
      <x:c r="AE119" s="101" t="str">
        <x:v>D1; D5</x:v>
      </x:c>
      <x:c r="AF119" s="101" t="str">
        <x:v>Core</x:v>
      </x:c>
      <x:c r="AG119" s="101" t="str">
        <x:v>R2</x:v>
      </x:c>
      <x:c r="AH119" s="101" t="str">
        <x:v>Advances</x:v>
      </x:c>
      <x:c r="AI119" s="101">
        <x:f t="shared" si="3"/>
      </x:c>
      <x:c r="AJ119" s="101" t="str">
        <x:v>Inherited baseline estimate</x:v>
      </x:c>
      <x:c r="AK119" s="101" t="str">
        <x:v>v4.10.3</x:v>
      </x:c>
      <x:c r="AL119" s="101" t="str">
        <x:v>Chapters 3/4 v4.10.3 — MD + illustrated Word; UI Coverage / UI Controls in this workbook</x:v>
      </x:c>
      <x:c r="AM119" t="n">
        <x:f>IF(ISNUMBER(J119),1,0)</x:f>
        <x:v>1</x:v>
      </x:c>
      <x:c r="AN119" s="101"/>
      <x:c r="AO119" s="194" t="str">
        <x:v>Not started — no completion claimed</x:v>
      </x:c>
      <x:c r="AP119" s="194" t="str">
        <x:v>Inherited v2.22.0 intended record; no new runtime certification in this repair.</x:v>
      </x:c>
      <x:c r="AQ119" s="194"/>
      <x:c r="AR119" s="194" t="str">
        <x:v>INHERITED ESTIMATE</x:v>
      </x:c>
    </x:row>
    <x:row r="120" ht="76" hidden="1" customHeight="1">
      <x:c r="A120" s="101" t="str">
        <x:v>T-149</x:v>
      </x:c>
      <x:c r="B120" s="101" t="str">
        <x:v>M3</x:v>
      </x:c>
      <x:c r="C120" s="101" t="str">
        <x:v>P2</x:v>
      </x:c>
      <x:c r="D120" s="101" t="str">
        <x:v>Delete the legacy redirects and re-verify continuity</x:v>
      </x:c>
      <x:c r="E120" s="101" t="str">
        <x:v>Frontend</x:v>
      </x:c>
      <x:c r="F120" s="101" t="str">
        <x:v>Namespace</x:v>
      </x:c>
      <x:c r="G120" s="101" t="str">
        <x:v>Very Important</x:v>
      </x:c>
      <x:c r="H120" s="101" t="str">
        <x:v>Remove the roughly 20 legacy Navigate redirects and the live phase-token routes (/phase8/*, /phase9/*, /phase15/*) that App.tsx still declares among its 69 route paths, then re-run the Customer Contract Continuity comparison.</x:v>
      </x:c>
      <x:c r="I120" s="101" t="str">
        <x:v>No route path matches /phase\d+/. The continuity comparison against the M1 snapshots still shows no change to any presented page.</x:v>
      </x:c>
      <x:c r="J120" s="107" t="n">
        <x:v>6</x:v>
      </x:c>
      <x:c r="K120" s="101" t="str">
        <x:v>Not Started</x:v>
      </x:c>
      <x:c r="L120" s="101" t="str">
        <x:v>Worker 2</x:v>
      </x:c>
      <x:c r="M120" s="101"/>
      <x:c r="N120" s="101"/>
      <x:c r="O120" s="101" t="str">
        <x:v>M3: 45 days after M2 completion</x:v>
      </x:c>
      <x:c r="P120" s="101" t="str">
        <x:v>Release 2 MUST</x:v>
      </x:c>
      <x:c r="Q120" s="101" t="str">
        <x:v>Frontend/UI feature</x:v>
      </x:c>
      <x:c r="R120" s="195" t="n">
        <x:v>1</x:v>
      </x:c>
      <x:c r="S120" s="101" t="str">
        <x:v>M3-P2</x:v>
      </x:c>
      <x:c r="T120" s="101" t="str">
        <x:v>M1 continuity frozen</x:v>
      </x:c>
      <x:c r="U120" s="101" t="str">
        <x:v>Own route inventory/redirect cleanup only; do not touch W3 intelligence surfaces.</x:v>
      </x:c>
      <x:c r="V120" s="101" t="str">
        <x:v>Commit before downstream consumer starts; consumer must use the contract, not redesign producer-owned semantics.</x:v>
      </x:c>
      <x:c r="W120" s="101" t="str">
        <x:v>Multi-user Enterprise Operations</x:v>
      </x:c>
      <x:c r="X120" s="101" t="str">
        <x:v>M3 P2 — Multi-user Enterprise Operations. Release 2 is heavy production / scale / deeper enterprise use.</x:v>
      </x:c>
      <x:c r="Y120" s="196"/>
      <x:c r="Z120" s="197"/>
      <x:c r="AA120" s="101" t="str">
        <x:v>L8.8</x:v>
      </x:c>
      <x:c r="AB120" s="101" t="str">
        <x:v>C1–C4 performance certification and golden-journey release gate</x:v>
      </x:c>
      <x:c r="AC120" s="101"/>
      <x:c r="AD120" s="101" t="str">
        <x:v>Converge</x:v>
      </x:c>
      <x:c r="AE120" s="101" t="str">
        <x:v>D2; D5</x:v>
      </x:c>
      <x:c r="AF120" s="101" t="str">
        <x:v>Core</x:v>
      </x:c>
      <x:c r="AG120" s="101" t="str">
        <x:v>R2</x:v>
      </x:c>
      <x:c r="AH120" s="101" t="str">
        <x:v>Advances</x:v>
      </x:c>
      <x:c r="AI120" s="101">
        <x:f t="shared" si="3"/>
      </x:c>
      <x:c r="AJ120" s="101" t="str">
        <x:v>Inherited baseline estimate</x:v>
      </x:c>
      <x:c r="AK120" s="101" t="str">
        <x:v>v4.10.3</x:v>
      </x:c>
      <x:c r="AL120" s="101" t="str">
        <x:v>Chapters 3/4 v4.10.3 — MD + illustrated Word; UI Coverage / UI Controls in this workbook</x:v>
      </x:c>
      <x:c r="AM120" t="n">
        <x:f>IF(ISNUMBER(J120),1,0)</x:f>
        <x:v>1</x:v>
      </x:c>
      <x:c r="AN120" s="101"/>
      <x:c r="AO120" s="194" t="str">
        <x:v>Not started — no completion claimed</x:v>
      </x:c>
      <x:c r="AP120" s="194" t="str">
        <x:v>Inherited v2.22.0 intended record; no new runtime certification in this repair.</x:v>
      </x:c>
      <x:c r="AQ120" s="194"/>
      <x:c r="AR120" s="194" t="str">
        <x:v>INHERITED ESTIMATE</x:v>
      </x:c>
    </x:row>
    <x:row r="121" ht="76" hidden="1" customHeight="1">
      <x:c r="A121" s="101" t="str">
        <x:v>T-161</x:v>
      </x:c>
      <x:c r="B121" s="101" t="str">
        <x:v>M3</x:v>
      </x:c>
      <x:c r="C121" s="101" t="str">
        <x:v>P2</x:v>
      </x:c>
      <x:c r="D121" s="101" t="str">
        <x:v>SSO and identity integration</x:v>
      </x:c>
      <x:c r="E121" s="101" t="str">
        <x:v>Backend</x:v>
      </x:c>
      <x:c r="F121" s="101" t="str">
        <x:v>Security</x:v>
      </x:c>
      <x:c r="G121" s="101" t="str">
        <x:v>Very Important</x:v>
      </x:c>
      <x:c r="H121" s="101" t="str">
        <x:v>Integrate the customer identity provider with the final role catalogue, account lifecycle and emergency access.</x:v>
      </x:c>
      <x:c r="I121" s="101" t="str">
        <x:v>Account provisioning, de-provisioning and emergency access all tested against the customer directory.</x:v>
      </x:c>
      <x:c r="J121" s="107" t="n">
        <x:v>12</x:v>
      </x:c>
      <x:c r="K121" s="101" t="str">
        <x:v>Not Started</x:v>
      </x:c>
      <x:c r="L121" s="101" t="str">
        <x:v>Worker 1</x:v>
      </x:c>
      <x:c r="M121" s="101"/>
      <x:c r="N121" s="101" t="str">
        <x:v>T-249</x:v>
      </x:c>
      <x:c r="O121" s="101" t="str">
        <x:v>M3: 45 days after M2 completion</x:v>
      </x:c>
      <x:c r="P121" s="101" t="str">
        <x:v>Release 2 MUST</x:v>
      </x:c>
      <x:c r="Q121" s="101" t="str">
        <x:v>External/site certification</x:v>
      </x:c>
      <x:c r="R121" s="195" t="n">
        <x:v>7.2</x:v>
      </x:c>
      <x:c r="S121" s="101" t="str">
        <x:v>M3-P2</x:v>
      </x:c>
      <x:c r="T121" s="101" t="str">
        <x:v>WAIT for deployed Release 1 + real customer/site evidence. M3 sequence</x:v>
      </x:c>
      <x:c r="U121" s="101" t="str">
        <x:v>Own site/platform/backend/infra. No AI/ML calibration or customer UX docs.</x:v>
      </x:c>
      <x:c r="V121" s="101" t="str">
        <x:v>Commit before downstream consumer starts; consumer must use the contract, not redesign producer-owned semantics.</x:v>
      </x:c>
      <x:c r="W121" s="101" t="str">
        <x:v>Multi-user Enterprise Operations</x:v>
      </x:c>
      <x:c r="X121" s="101" t="str">
        <x:v>M3 P2 — Multi-user Enterprise Operations. Release 2 is heavy production / scale / deeper enterprise use.</x:v>
      </x:c>
      <x:c r="Y121" s="196"/>
      <x:c r="Z121" s="197"/>
      <x:c r="AA121" s="101" t="str">
        <x:v>L7.1</x:v>
      </x:c>
      <x:c r="AB121" s="101" t="str">
        <x:v>Users, roles, permissions, MFA and enterprise identity</x:v>
      </x:c>
      <x:c r="AC121" s="101"/>
      <x:c r="AD121" s="101" t="str">
        <x:v>Harden</x:v>
      </x:c>
      <x:c r="AE121" s="101" t="str">
        <x:v>D3; D5</x:v>
      </x:c>
      <x:c r="AF121" s="101" t="str">
        <x:v>Core</x:v>
      </x:c>
      <x:c r="AG121" s="101" t="str">
        <x:v>R2</x:v>
      </x:c>
      <x:c r="AH121" s="101" t="str">
        <x:v>Advances</x:v>
      </x:c>
      <x:c r="AI121" s="101">
        <x:f t="shared" si="3"/>
      </x:c>
      <x:c r="AJ121" s="101" t="str">
        <x:v>Inherited baseline estimate</x:v>
      </x:c>
      <x:c r="AK121" s="101" t="str">
        <x:v>v4.10.3</x:v>
      </x:c>
      <x:c r="AL121" s="101" t="str">
        <x:v>Chapters 3/4 v4.10.3 — MD + illustrated Word; UI Coverage / UI Controls in this workbook</x:v>
      </x:c>
      <x:c r="AM121" t="n">
        <x:f>IF(ISNUMBER(J121),1,0)</x:f>
        <x:v>1</x:v>
      </x:c>
      <x:c r="AN121" s="101"/>
      <x:c r="AO121" s="194" t="str">
        <x:v>Not started — no completion claimed</x:v>
      </x:c>
      <x:c r="AP121" s="194" t="str">
        <x:v>Inherited v2.22.0 intended record; no new runtime certification in this repair.</x:v>
      </x:c>
      <x:c r="AQ121" s="194"/>
      <x:c r="AR121" s="194" t="str">
        <x:v>INHERITED ESTIMATE</x:v>
      </x:c>
    </x:row>
    <x:row r="122" ht="76" hidden="1" customHeight="1">
      <x:c r="A122" s="101" t="str">
        <x:v>T-162</x:v>
      </x:c>
      <x:c r="B122" s="101" t="str">
        <x:v>M3</x:v>
      </x:c>
      <x:c r="C122" s="101" t="str">
        <x:v>P2</x:v>
      </x:c>
      <x:c r="D122" s="101" t="str">
        <x:v>Site security hardening and sign-off</x:v>
      </x:c>
      <x:c r="E122" s="101" t="str">
        <x:v>Infrastructure</x:v>
      </x:c>
      <x:c r="F122" s="101" t="str">
        <x:v>Security</x:v>
      </x:c>
      <x:c r="G122" s="101" t="str">
        <x:v>Critical</x:v>
      </x:c>
      <x:c r="H122" s="101" t="str">
        <x:v>Network rules, secrets, certificate rotation, RLS and tenant proof, audit review.</x:v>
      </x:c>
      <x:c r="I122" s="101" t="str">
        <x:v>A tenant-isolation proof from the database alone, plus a signed security review.</x:v>
      </x:c>
      <x:c r="J122" s="107" t="n">
        <x:v>12</x:v>
      </x:c>
      <x:c r="K122" s="101" t="str">
        <x:v>Not Started</x:v>
      </x:c>
      <x:c r="L122" s="101" t="str">
        <x:v>Worker 1</x:v>
      </x:c>
      <x:c r="M122" s="101"/>
      <x:c r="N122" s="101" t="str">
        <x:v>T-249</x:v>
      </x:c>
      <x:c r="O122" s="101" t="str">
        <x:v>M3: 45 days after M2 completion</x:v>
      </x:c>
      <x:c r="P122" s="101" t="str">
        <x:v>Release 2 MUST</x:v>
      </x:c>
      <x:c r="Q122" s="101" t="str">
        <x:v>External/site certification</x:v>
      </x:c>
      <x:c r="R122" s="195" t="n">
        <x:v>7.2</x:v>
      </x:c>
      <x:c r="S122" s="101" t="str">
        <x:v>M3-P2</x:v>
      </x:c>
      <x:c r="T122" s="101" t="str">
        <x:v>WAIT for deployed Release 1 + real customer/site evidence. M3 sequence</x:v>
      </x:c>
      <x:c r="U122" s="101" t="str">
        <x:v>Own site/platform/backend/infra. No AI/ML calibration or customer UX docs.</x:v>
      </x:c>
      <x:c r="V122" s="101" t="str">
        <x:v>Commit before downstream consumer starts; consumer must use the contract, not redesign producer-owned semantics.</x:v>
      </x:c>
      <x:c r="W122" s="101" t="str">
        <x:v>Multi-user Enterprise Operations</x:v>
      </x:c>
      <x:c r="X122" s="101" t="str">
        <x:v>M3 P2 — Multi-user Enterprise Operations. Release 2 is heavy production / scale / deeper enterprise use.</x:v>
      </x:c>
      <x:c r="Y122" s="196"/>
      <x:c r="Z122" s="197"/>
      <x:c r="AA122" s="101" t="str">
        <x:v>L7.2</x:v>
      </x:c>
      <x:c r="AB122" s="101" t="str">
        <x:v>Tenant isolation</x:v>
      </x:c>
      <x:c r="AC122" s="101" t="str">
        <x:v>L7.5</x:v>
      </x:c>
      <x:c r="AD122" s="101" t="str">
        <x:v>Harden</x:v>
      </x:c>
      <x:c r="AE122" s="101" t="str">
        <x:v>D5</x:v>
      </x:c>
      <x:c r="AF122" s="101" t="str">
        <x:v>Core</x:v>
      </x:c>
      <x:c r="AG122" s="101" t="str">
        <x:v>R2</x:v>
      </x:c>
      <x:c r="AH122" s="101" t="str">
        <x:v>Advances</x:v>
      </x:c>
      <x:c r="AI122" s="101">
        <x:f t="shared" si="3"/>
      </x:c>
      <x:c r="AJ122" s="101" t="str">
        <x:v>Inherited baseline estimate</x:v>
      </x:c>
      <x:c r="AK122" s="101" t="str">
        <x:v>v4.10.3</x:v>
      </x:c>
      <x:c r="AL122" s="101" t="str">
        <x:v>Chapters 3/4 v4.10.3 — MD + illustrated Word; UI Coverage / UI Controls in this workbook</x:v>
      </x:c>
      <x:c r="AM122" t="n">
        <x:f>IF(ISNUMBER(J122),1,0)</x:f>
        <x:v>1</x:v>
      </x:c>
      <x:c r="AN122" s="101"/>
      <x:c r="AO122" s="194" t="str">
        <x:v>Not started — no completion claimed</x:v>
      </x:c>
      <x:c r="AP122" s="194" t="str">
        <x:v>Inherited v2.22.0 intended record; no new runtime certification in this repair.</x:v>
      </x:c>
      <x:c r="AQ122" s="194"/>
      <x:c r="AR122" s="194" t="str">
        <x:v>INHERITED ESTIMATE</x:v>
      </x:c>
    </x:row>
    <x:row r="123" ht="76" hidden="1" customHeight="1">
      <x:c r="A123" s="101" t="str">
        <x:v>T-194</x:v>
      </x:c>
      <x:c r="B123" s="101" t="str">
        <x:v>M3</x:v>
      </x:c>
      <x:c r="C123" s="101" t="str">
        <x:v>P2</x:v>
      </x:c>
      <x:c r="D123" s="101" t="str">
        <x:v>Retire legacy API dual-serve aliases after canonical-client continuity proof</x:v>
      </x:c>
      <x:c r="E123" s="101" t="str">
        <x:v>Backend</x:v>
      </x:c>
      <x:c r="F123" s="101" t="str">
        <x:v>API namespace</x:v>
      </x:c>
      <x:c r="G123" s="101" t="str">
        <x:v>Very Important</x:v>
      </x:c>
      <x:c r="H123" s="101" t="str">
        <x:v>T-117 deliberately introduces a dual-serve transition while clients migrate. Close that transition explicitly after T-127 proves the canonical journey and continuity. Remove every legacy phase/version/task-token API alias, preserve only canonical /api/{domain} routes, and keep a machine-readable mapping artifact so support can interpret old logs without keeping old endpoints alive.</x:v>
      </x:c>
      <x:c r="I123" s="101" t="str">
        <x:v>After T-127 is green, enumerate the route table and prove zero legacy alias remains. A representative old path returns the governed retired-route response or 404 according to the API policy, while the canonical path remains green. Re-run the route-token gate and a bounded canonical-journey regression. No frontend client calls an old alias.</x:v>
      </x:c>
      <x:c r="J123" s="107" t="n">
        <x:v>6</x:v>
      </x:c>
      <x:c r="K123" s="101" t="str">
        <x:v>Not Started</x:v>
      </x:c>
      <x:c r="L123" s="101" t="str">
        <x:v>Worker 1</x:v>
      </x:c>
      <x:c r="M123" s="101" t="str">
        <x:v>T-117; T-127</x:v>
      </x:c>
      <x:c r="N123" s="101"/>
      <x:c r="O123" s="101" t="str">
        <x:v>M3: 45 days after M2 completion</x:v>
      </x:c>
      <x:c r="P123" s="101" t="str">
        <x:v>Release 2 MUST</x:v>
      </x:c>
      <x:c r="Q123" s="101" t="str">
        <x:v>Backend/domain contract</x:v>
      </x:c>
      <x:c r="R123" s="195" t="n">
        <x:v>0.8999999999999999</x:v>
      </x:c>
      <x:c r="S123" s="101" t="str">
        <x:v>M3-P2</x:v>
      </x:c>
      <x:c r="T123" s="101" t="str">
        <x:v>WAIT for Presentation RC freeze/tag + clean index/worktree. Then: T-117 + T-127</x:v>
      </x:c>
      <x:c r="U123" s="101" t="str">
        <x:v>Own canonical DB/backend/security/API/infra. No W2-owned UI/admin task files and no W3 ML/Assistant runtime.</x:v>
      </x:c>
      <x:c r="V123" s="101" t="str">
        <x:v>Commit before downstream consumer starts; consumer must use the contract, not redesign producer-owned semantics.</x:v>
      </x:c>
      <x:c r="W123" s="101" t="str">
        <x:v>Multi-user Enterprise Operations</x:v>
      </x:c>
      <x:c r="X123" s="101" t="str">
        <x:v>M3 P2 — Multi-user Enterprise Operations. Release 2 is heavy production / scale / deeper enterprise use.</x:v>
      </x:c>
      <x:c r="Y123" s="196"/>
      <x:c r="Z123" s="197"/>
      <x:c r="AA123" s="101" t="str">
        <x:v>L8.8</x:v>
      </x:c>
      <x:c r="AB123" s="101" t="str">
        <x:v>C1–C4 performance certification and golden-journey release gate</x:v>
      </x:c>
      <x:c r="AC123" s="101"/>
      <x:c r="AD123" s="101" t="str">
        <x:v>Converge</x:v>
      </x:c>
      <x:c r="AE123" s="101" t="str">
        <x:v>D3; D5</x:v>
      </x:c>
      <x:c r="AF123" s="101" t="str">
        <x:v>Core</x:v>
      </x:c>
      <x:c r="AG123" s="101" t="str">
        <x:v>R2</x:v>
      </x:c>
      <x:c r="AH123" s="101" t="str">
        <x:v>Advances</x:v>
      </x:c>
      <x:c r="AI123" s="101">
        <x:f t="shared" si="3"/>
      </x:c>
      <x:c r="AJ123" s="101" t="str">
        <x:v>Inherited baseline estimate</x:v>
      </x:c>
      <x:c r="AK123" s="101" t="str">
        <x:v>v4.10.3</x:v>
      </x:c>
      <x:c r="AL123" s="101" t="str">
        <x:v>Chapters 3/4 v4.10.3 — MD + illustrated Word; UI Coverage / UI Controls in this workbook</x:v>
      </x:c>
      <x:c r="AM123" t="n">
        <x:f>IF(ISNUMBER(J123),1,0)</x:f>
        <x:v>1</x:v>
      </x:c>
      <x:c r="AN123" s="101"/>
      <x:c r="AO123" s="194" t="str">
        <x:v>Not started — no completion claimed</x:v>
      </x:c>
      <x:c r="AP123" s="194" t="str">
        <x:v>Inherited v2.22.0 intended record; no new runtime certification in this repair.</x:v>
      </x:c>
      <x:c r="AQ123" s="194"/>
      <x:c r="AR123" s="194" t="str">
        <x:v>INHERITED ESTIMATE</x:v>
      </x:c>
    </x:row>
    <x:row r="124" ht="76" hidden="1" customHeight="1">
      <x:c r="A124" s="101" t="str">
        <x:v>T-196</x:v>
      </x:c>
      <x:c r="B124" s="101" t="str">
        <x:v>M3</x:v>
      </x:c>
      <x:c r="C124" s="101" t="str">
        <x:v>P2</x:v>
      </x:c>
      <x:c r="D124" s="101" t="str">
        <x:v>C4 Plant Model Explorer canonical route and structural evidence surface</x:v>
      </x:c>
      <x:c r="E124" s="101" t="str">
        <x:v>Frontend</x:v>
      </x:c>
      <x:c r="F124" s="101" t="str">
        <x:v>Plant model</x:v>
      </x:c>
      <x:c r="G124" s="101" t="str">
        <x:v>Very Important</x:v>
      </x:c>
      <x:c r="H124" s="101" t="str">
        <x:v>Implement the missing Chapter 3 C4 /plant-model surface on the canonical plant authority. Show site/area/equipment hierarchy, search, unmapped-only state, selected-node details and the routes/operations that reference it. Unmapped equipment is explicit Amber evidence rather than silently dropped. The page is generic and uses imported plant vocabulary only.</x:v>
      </x:c>
      <x:c r="I124" s="101" t="str">
        <x:v>Route /plant-model exists exactly once. Load a canonical reference plant and prove hierarchy/details match GET /api/plant/layout and /api/plant/equipment/{id}. Introduce one unmapped equipment reference and prove it is visible with its source object. Empty install renders the designed no-projection state. Keyboard tree traversal and RTL contract pass.</x:v>
      </x:c>
      <x:c r="J124" s="107" t="n">
        <x:v>8</x:v>
      </x:c>
      <x:c r="K124" s="101" t="str">
        <x:v>Not Started</x:v>
      </x:c>
      <x:c r="L124" s="101" t="str">
        <x:v>Worker 2</x:v>
      </x:c>
      <x:c r="M124" s="101" t="str">
        <x:v>T-087; T-094; T-095</x:v>
      </x:c>
      <x:c r="N124" s="101" t="str">
        <x:v>T-127</x:v>
      </x:c>
      <x:c r="O124" s="101" t="str">
        <x:v>M3: 45 days after M2 completion</x:v>
      </x:c>
      <x:c r="P124" s="101" t="str">
        <x:v>Release 2 MUST</x:v>
      </x:c>
      <x:c r="Q124" s="101" t="str">
        <x:v>Frontend/UI feature</x:v>
      </x:c>
      <x:c r="R124" s="195" t="n">
        <x:v>1.3333333333333333</x:v>
      </x:c>
      <x:c r="S124" s="101" t="str">
        <x:v>M3-P2</x:v>
      </x:c>
      <x:c r="T124" s="101" t="str">
        <x:v>WAIT for Presentation RC freeze/tag + clean index/worktree. Then: T-087 + T-094 + T-095</x:v>
      </x:c>
      <x:c r="U124" s="101" t="str">
        <x:v>Own named UI/admin task end-to-end only after producer APIs/security are committed.</x:v>
      </x:c>
      <x:c r="V124" s="101" t="str">
        <x:v>Commit before downstream consumer starts; consumer must use the contract, not redesign producer-owned semantics.</x:v>
      </x:c>
      <x:c r="W124" s="101" t="str">
        <x:v>Multi-user Enterprise Operations</x:v>
      </x:c>
      <x:c r="X124" s="101" t="str">
        <x:v>M3 P2 — Multi-user Enterprise Operations. Release 2 is heavy production / scale / deeper enterprise use.</x:v>
      </x:c>
      <x:c r="Y124" s="196"/>
      <x:c r="Z124" s="197"/>
      <x:c r="AA124" s="101" t="str">
        <x:v>L5.2</x:v>
      </x:c>
      <x:c r="AB124" s="101" t="str">
        <x:v>Permanent relationship model</x:v>
      </x:c>
      <x:c r="AC124" s="101"/>
      <x:c r="AD124" s="101" t="str">
        <x:v>Build</x:v>
      </x:c>
      <x:c r="AE124" s="101" t="str">
        <x:v>D2; D5</x:v>
      </x:c>
      <x:c r="AF124" s="101" t="str">
        <x:v>Core</x:v>
      </x:c>
      <x:c r="AG124" s="101" t="str">
        <x:v>R2</x:v>
      </x:c>
      <x:c r="AH124" s="101" t="str">
        <x:v>Advances</x:v>
      </x:c>
      <x:c r="AI124" s="101">
        <x:f t="shared" si="3"/>
      </x:c>
      <x:c r="AJ124" s="101" t="str">
        <x:v>Inherited baseline estimate</x:v>
      </x:c>
      <x:c r="AK124" s="101" t="str">
        <x:v>v4.10.3</x:v>
      </x:c>
      <x:c r="AL124" s="101" t="str">
        <x:v>Chapters 3/4 v4.10.3 — MD + illustrated Word; UI Coverage / UI Controls in this workbook</x:v>
      </x:c>
      <x:c r="AM124" t="n">
        <x:f>IF(ISNUMBER(J124),1,0)</x:f>
        <x:v>1</x:v>
      </x:c>
      <x:c r="AN124" s="101"/>
      <x:c r="AO124" s="194" t="str">
        <x:v>Not started — no completion claimed</x:v>
      </x:c>
      <x:c r="AP124" s="194" t="str">
        <x:v>Inherited v2.22.0 intended record; no new runtime certification in this repair.</x:v>
      </x:c>
      <x:c r="AQ124" s="194"/>
      <x:c r="AR124" s="194" t="str">
        <x:v>INHERITED ESTIMATE</x:v>
      </x:c>
    </x:row>
    <x:row r="125" ht="76" hidden="1" customHeight="1">
      <x:c r="A125" s="101" t="str">
        <x:v>T-197</x:v>
      </x:c>
      <x:c r="B125" s="101" t="str">
        <x:v>M3</x:v>
      </x:c>
      <x:c r="C125" s="101" t="str">
        <x:v>P2</x:v>
      </x:c>
      <x:c r="D125" s="101" t="str">
        <x:v>E6 Alert Routing and Escalation with delivery, retry and dead-letter evidence</x:v>
      </x:c>
      <x:c r="E125" s="101" t="str">
        <x:v>Backend + Frontend</x:v>
      </x:c>
      <x:c r="F125" s="101" t="str">
        <x:v>Alert routing</x:v>
      </x:c>
      <x:c r="G125" s="101" t="str">
        <x:v>Very Important</x:v>
      </x:c>
      <x:c r="H125" s="101" t="str">
        <x:v>Implement Chapter 3 E6 /alert-routing: routing rules over log/plant-data channels, severity, recipients, delivery channels, escalation delay, working hours/quiet periods, deduplication, grouping key, rate limit, suppression, test delivery, retry and dead-letter visibility. Entries are held during quiet periods, never silently lost.</x:v>
      </x:c>
      <x:c r="I125" s="101" t="str">
        <x:v>Create and test a routing rule, force one delivery failure through its retry ceiling and prove it appears in dead letters with reason. Prove a rule with no recipient and an escalation with no escalation recipient are refused. Quiet-period traffic is held and later delivered. Role enforcement and audit evidence pass.</x:v>
      </x:c>
      <x:c r="J125" s="107" t="n">
        <x:v>10</x:v>
      </x:c>
      <x:c r="K125" s="101" t="str">
        <x:v>Not Started</x:v>
      </x:c>
      <x:c r="L125" s="101" t="str">
        <x:v>Worker 2</x:v>
      </x:c>
      <x:c r="M125" s="101" t="str">
        <x:v>T-119; T-198</x:v>
      </x:c>
      <x:c r="N125" s="101" t="str">
        <x:v>T-127</x:v>
      </x:c>
      <x:c r="O125" s="101" t="str">
        <x:v>M3: 45 days after M2 completion</x:v>
      </x:c>
      <x:c r="P125" s="101" t="str">
        <x:v>Release 2 MUST</x:v>
      </x:c>
      <x:c r="Q125" s="101" t="str">
        <x:v>Full-stack governed feature</x:v>
      </x:c>
      <x:c r="R125" s="195" t="n">
        <x:v>2.285714285714286</x:v>
      </x:c>
      <x:c r="S125" s="101" t="str">
        <x:v>M3-P2</x:v>
      </x:c>
      <x:c r="T125" s="101" t="str">
        <x:v>WAIT for Presentation RC freeze/tag + clean index/worktree. Then: T-119 + T-198</x:v>
      </x:c>
      <x:c r="U125" s="101" t="str">
        <x:v>Own named UI/admin task end-to-end only after producer APIs/security are committed.</x:v>
      </x:c>
      <x:c r="V125" s="101" t="str">
        <x:v>Commit before downstream consumer starts; consumer must use the contract, not redesign producer-owned semantics.</x:v>
      </x:c>
      <x:c r="W125" s="101" t="str">
        <x:v>Multi-user Enterprise Operations</x:v>
      </x:c>
      <x:c r="X125" s="101" t="str">
        <x:v>M3 P2 — Multi-user Enterprise Operations. Release 2 is heavy production / scale / deeper enterprise use.</x:v>
      </x:c>
      <x:c r="Y125" s="196"/>
      <x:c r="Z125" s="197"/>
      <x:c r="AA125" s="101" t="str">
        <x:v>L6.4</x:v>
      </x:c>
      <x:c r="AB125" s="101" t="str">
        <x:v>Alert routing and escalation</x:v>
      </x:c>
      <x:c r="AC125" s="101"/>
      <x:c r="AD125" s="101" t="str">
        <x:v>Build</x:v>
      </x:c>
      <x:c r="AE125" s="101" t="str">
        <x:v>D2; D3; D5</x:v>
      </x:c>
      <x:c r="AF125" s="101" t="str">
        <x:v>Core</x:v>
      </x:c>
      <x:c r="AG125" s="101" t="str">
        <x:v>R2</x:v>
      </x:c>
      <x:c r="AH125" s="101" t="str">
        <x:v>Advances</x:v>
      </x:c>
      <x:c r="AI125" s="101">
        <x:f t="shared" si="3"/>
      </x:c>
      <x:c r="AJ125" s="101" t="str">
        <x:v>Inherited baseline estimate</x:v>
      </x:c>
      <x:c r="AK125" s="101" t="str">
        <x:v>v4.10.3</x:v>
      </x:c>
      <x:c r="AL125" s="101" t="str">
        <x:v>Chapters 3/4 v4.10.3 — MD + illustrated Word; UI Coverage / UI Controls in this workbook</x:v>
      </x:c>
      <x:c r="AM125" t="n">
        <x:f>IF(ISNUMBER(J125),1,0)</x:f>
        <x:v>1</x:v>
      </x:c>
      <x:c r="AN125" s="101"/>
      <x:c r="AO125" s="194" t="str">
        <x:v>Not started — no completion claimed</x:v>
      </x:c>
      <x:c r="AP125" s="194" t="str">
        <x:v>Inherited v2.22.0 intended record; no new runtime certification in this repair.</x:v>
      </x:c>
      <x:c r="AQ125" s="194"/>
      <x:c r="AR125" s="194" t="str">
        <x:v>INHERITED ESTIMATE</x:v>
      </x:c>
    </x:row>
    <x:row r="126" ht="76" hidden="1" customHeight="1">
      <x:c r="A126" s="101" t="str">
        <x:v>T-198</x:v>
      </x:c>
      <x:c r="B126" s="101" t="str">
        <x:v>M3</x:v>
      </x:c>
      <x:c r="C126" s="101" t="str">
        <x:v>P2</x:v>
      </x:c>
      <x:c r="D126" s="101" t="str">
        <x:v>F5 Logging and Audit plus F6 Log Channel Configuration</x:v>
      </x:c>
      <x:c r="E126" s="101" t="str">
        <x:v>Backend + Frontend</x:v>
      </x:c>
      <x:c r="F126" s="101" t="str">
        <x:v>Logging administration</x:v>
      </x:c>
      <x:c r="G126" s="101" t="str">
        <x:v>Critical</x:v>
      </x:c>
      <x:c r="H126" s="101" t="str">
        <x:v>Implement the Chapter 3 canonical logging administration contract: /admin/logs with role-scoped System/Job/Data/Audit/Assistant/Plant Data families, filtering, live tail/replay, run correlation and export; plus /admin/log-channels for channel identity, severity mapping, routing/export target and reading roles. Built-in/audit channels are locked as specified; retention is read-only here and owned by F9.</x:v>
      </x:c>
      <x:c r="I126" s="101" t="str">
        <x:v>Every permitted family is queryable and a forbidden family is absent for the role. Drop and resume the live stream and prove replay. Correlate one run across families. Audit has no edit/delete control. Create a custom channel, prove built-ins remain locked, and refuse an attempt to create/retarget the audit family. Canonical log tables and audit trail are used.</x:v>
      </x:c>
      <x:c r="J126" s="107" t="n">
        <x:v>12</x:v>
      </x:c>
      <x:c r="K126" s="101" t="str">
        <x:v>Not Started</x:v>
      </x:c>
      <x:c r="L126" s="101" t="str">
        <x:v>Worker 2</x:v>
      </x:c>
      <x:c r="M126" s="101" t="str">
        <x:v>T-112; T-114; T-119</x:v>
      </x:c>
      <x:c r="N126" s="101" t="str">
        <x:v>T-127; T-197; T-199</x:v>
      </x:c>
      <x:c r="O126" s="101" t="str">
        <x:v>M3: 45 days after M2 completion</x:v>
      </x:c>
      <x:c r="P126" s="101" t="str">
        <x:v>Release 2 MUST</x:v>
      </x:c>
      <x:c r="Q126" s="101" t="str">
        <x:v>Full-stack governed feature</x:v>
      </x:c>
      <x:c r="R126" s="195" t="n">
        <x:v>2.742857142857143</x:v>
      </x:c>
      <x:c r="S126" s="101" t="str">
        <x:v>M3-P2</x:v>
      </x:c>
      <x:c r="T126" s="101" t="str">
        <x:v>WAIT for Presentation RC freeze/tag + clean index/worktree. Then: T-112 + T-114 + T-119</x:v>
      </x:c>
      <x:c r="U126" s="101" t="str">
        <x:v>Own named UI/admin task end-to-end only after producer APIs/security are committed.</x:v>
      </x:c>
      <x:c r="V126" s="101" t="str">
        <x:v>Commit before downstream consumer starts; consumer must use the contract, not redesign producer-owned semantics.</x:v>
      </x:c>
      <x:c r="W126" s="101" t="str">
        <x:v>Multi-user Enterprise Operations</x:v>
      </x:c>
      <x:c r="X126" s="101" t="str">
        <x:v>M3 P2 — Multi-user Enterprise Operations. Release 2 is heavy production / scale / deeper enterprise use.</x:v>
      </x:c>
      <x:c r="Y126" s="196"/>
      <x:c r="Z126" s="197"/>
      <x:c r="AA126" s="101" t="str">
        <x:v>L6.6</x:v>
      </x:c>
      <x:c r="AB126" s="101" t="str">
        <x:v>Plant data log, audit, log channels, retention and archival</x:v>
      </x:c>
      <x:c r="AC126" s="101"/>
      <x:c r="AD126" s="101" t="str">
        <x:v>Build</x:v>
      </x:c>
      <x:c r="AE126" s="101" t="str">
        <x:v>D2; D3; D5</x:v>
      </x:c>
      <x:c r="AF126" s="101" t="str">
        <x:v>Core</x:v>
      </x:c>
      <x:c r="AG126" s="101" t="str">
        <x:v>R2</x:v>
      </x:c>
      <x:c r="AH126" s="101" t="str">
        <x:v>Advances</x:v>
      </x:c>
      <x:c r="AI126" s="101">
        <x:f t="shared" si="3"/>
      </x:c>
      <x:c r="AJ126" s="101" t="str">
        <x:v>Inherited baseline estimate</x:v>
      </x:c>
      <x:c r="AK126" s="101" t="str">
        <x:v>v4.10.3</x:v>
      </x:c>
      <x:c r="AL126" s="101" t="str">
        <x:v>Chapters 3/4 v4.10.3 — MD + illustrated Word; UI Coverage / UI Controls in this workbook</x:v>
      </x:c>
      <x:c r="AM126" t="n">
        <x:f>IF(ISNUMBER(J126),1,0)</x:f>
        <x:v>1</x:v>
      </x:c>
      <x:c r="AN126" s="101"/>
      <x:c r="AO126" s="194" t="str">
        <x:v>Not started — no completion claimed</x:v>
      </x:c>
      <x:c r="AP126" s="194" t="str">
        <x:v>Inherited v2.22.0 intended record; no new runtime certification in this repair.</x:v>
      </x:c>
      <x:c r="AQ126" s="194"/>
      <x:c r="AR126" s="194" t="str">
        <x:v>INHERITED ESTIMATE</x:v>
      </x:c>
    </x:row>
    <x:row r="127" ht="76" hidden="1" customHeight="1">
      <x:c r="A127" s="101" t="str">
        <x:v>T-199</x:v>
      </x:c>
      <x:c r="B127" s="101" t="str">
        <x:v>M3</x:v>
      </x:c>
      <x:c r="C127" s="101" t="str">
        <x:v>P2</x:v>
      </x:c>
      <x:c r="D127" s="101" t="str">
        <x:v>F9 Log Retention and Archival with dry-run, legal hold and no-delete-on-archive-failure</x:v>
      </x:c>
      <x:c r="E127" s="101" t="str">
        <x:v>Backend + Frontend</x:v>
      </x:c>
      <x:c r="F127" s="101" t="str">
        <x:v>Log retention</x:v>
      </x:c>
      <x:c r="G127" s="101" t="str">
        <x:v>Critical</x:v>
      </x:c>
      <x:c r="H127" s="101" t="str">
        <x:v>Implement Chapter 3 F9 /admin/log-retention as the sole destructive log-history policy surface. Persist per-channel retention policy, archive-before-delete, destination, cleanup schedule/batch size, governed audit minimum and legal hold. Require pre-save dry-run impact. Cleanup history records cutoff, examined/archived/deleted rows, reclaimed storage, duration and failure reason.</x:v>
      </x:c>
      <x:c r="I127" s="101" t="str">
        <x:v>Attempt audit retention below the governed minimum and refuse it. Save without preview and refuse it. Put a channel on legal hold and prove cleanup is blocked. Make the archive destination fail and prove zero rows are deleted. Complete one successful preview+cleanup and reconcile counts/history. Only Administrator can access the page.</x:v>
      </x:c>
      <x:c r="J127" s="107" t="n">
        <x:v>12</x:v>
      </x:c>
      <x:c r="K127" s="101" t="str">
        <x:v>Not Started</x:v>
      </x:c>
      <x:c r="L127" s="101" t="str">
        <x:v>Worker 2</x:v>
      </x:c>
      <x:c r="M127" s="101" t="str">
        <x:v>T-124; T-198</x:v>
      </x:c>
      <x:c r="N127" s="101" t="str">
        <x:v>T-127</x:v>
      </x:c>
      <x:c r="O127" s="101" t="str">
        <x:v>M3: 45 days after M2 completion</x:v>
      </x:c>
      <x:c r="P127" s="101" t="str">
        <x:v>Release 2 MUST</x:v>
      </x:c>
      <x:c r="Q127" s="101" t="str">
        <x:v>Full-stack governed feature</x:v>
      </x:c>
      <x:c r="R127" s="195" t="n">
        <x:v>2.742857142857143</x:v>
      </x:c>
      <x:c r="S127" s="101" t="str">
        <x:v>M3-P2</x:v>
      </x:c>
      <x:c r="T127" s="101" t="str">
        <x:v>WAIT for Presentation RC freeze/tag + clean index/worktree. Then: T-124 + T-198</x:v>
      </x:c>
      <x:c r="U127" s="101" t="str">
        <x:v>Own named UI/admin task end-to-end only after producer APIs/security are committed.</x:v>
      </x:c>
      <x:c r="V127" s="101" t="str">
        <x:v>Commit before downstream consumer starts; consumer must use the contract, not redesign producer-owned semantics.</x:v>
      </x:c>
      <x:c r="W127" s="101" t="str">
        <x:v>Multi-user Enterprise Operations</x:v>
      </x:c>
      <x:c r="X127" s="101" t="str">
        <x:v>M3 P2 — Multi-user Enterprise Operations. Release 2 is heavy production / scale / deeper enterprise use.</x:v>
      </x:c>
      <x:c r="Y127" s="196"/>
      <x:c r="Z127" s="197"/>
      <x:c r="AA127" s="101" t="str">
        <x:v>L6.6</x:v>
      </x:c>
      <x:c r="AB127" s="101" t="str">
        <x:v>Plant data log, audit, log channels, retention and archival</x:v>
      </x:c>
      <x:c r="AC127" s="101"/>
      <x:c r="AD127" s="101" t="str">
        <x:v>Build</x:v>
      </x:c>
      <x:c r="AE127" s="101" t="str">
        <x:v>D2; D3; D5</x:v>
      </x:c>
      <x:c r="AF127" s="101" t="str">
        <x:v>Core</x:v>
      </x:c>
      <x:c r="AG127" s="101" t="str">
        <x:v>R2</x:v>
      </x:c>
      <x:c r="AH127" s="101" t="str">
        <x:v>Advances</x:v>
      </x:c>
      <x:c r="AI127" s="101">
        <x:f t="shared" si="3"/>
      </x:c>
      <x:c r="AJ127" s="101" t="str">
        <x:v>Inherited baseline estimate</x:v>
      </x:c>
      <x:c r="AK127" s="101" t="str">
        <x:v>v4.10.3</x:v>
      </x:c>
      <x:c r="AL127" s="101" t="str">
        <x:v>Chapters 3/4 v4.10.3 — MD + illustrated Word; UI Coverage / UI Controls in this workbook</x:v>
      </x:c>
      <x:c r="AM127" t="n">
        <x:f>IF(ISNUMBER(J127),1,0)</x:f>
        <x:v>1</x:v>
      </x:c>
      <x:c r="AN127" s="101"/>
      <x:c r="AO127" s="194" t="str">
        <x:v>Not started — no completion claimed</x:v>
      </x:c>
      <x:c r="AP127" s="194" t="str">
        <x:v>Inherited v2.22.0 intended record; no new runtime certification in this repair.</x:v>
      </x:c>
      <x:c r="AQ127" s="194"/>
      <x:c r="AR127" s="194" t="str">
        <x:v>INHERITED ESTIMATE</x:v>
      </x:c>
    </x:row>
    <x:row r="128" ht="76" hidden="1" customHeight="1">
      <x:c r="A128" s="101" t="str">
        <x:v>T-200</x:v>
      </x:c>
      <x:c r="B128" s="101" t="str">
        <x:v>M3</x:v>
      </x:c>
      <x:c r="C128" s="101" t="str">
        <x:v>P2</x:v>
      </x:c>
      <x:c r="D128" s="101" t="str">
        <x:v>F7 System Settings and F8 Translation/Language canonical administration</x:v>
      </x:c>
      <x:c r="E128" s="101" t="str">
        <x:v>Backend + Frontend</x:v>
      </x:c>
      <x:c r="F128" s="101" t="str">
        <x:v>System administration</x:v>
      </x:c>
      <x:c r="G128" s="101" t="str">
        <x:v>Very Important</x:v>
      </x:c>
      <x:c r="H128" s="101" t="str">
        <x:v>Implement Chapter 3 F7 /admin/settings and F8 /admin/translation. System settings own site identity, units/formats, plant time zone, documented retention defaults and per-tenant no-egress data boundary. Translation owns language packs, review/mirror-verification state, context-aware labels, import/export and fallback language. Presentation-era hardcoded translation tables become compatibility data only.</x:v>
      </x:c>
      <x:c r="I128" s="101" t="str">
        <x:v>Change plant time zone through a confirmed action and prove the resulting setting is audited and used by a shift-aware display; toggle no-egress and prove affected capabilities report the new boundary. Add/edit a translation, mark review/mirror state, export and reimport a pack, and verify RTL rendering for Arabic. No machine-locale fallback silently changes formats.</x:v>
      </x:c>
      <x:c r="J128" s="107" t="n">
        <x:v>10</x:v>
      </x:c>
      <x:c r="K128" s="101" t="str">
        <x:v>Not Started</x:v>
      </x:c>
      <x:c r="L128" s="101" t="str">
        <x:v>Worker 2</x:v>
      </x:c>
      <x:c r="M128" s="101" t="str">
        <x:v>T-113; T-119; T-216</x:v>
      </x:c>
      <x:c r="N128" s="101" t="str">
        <x:v>T-127</x:v>
      </x:c>
      <x:c r="O128" s="101" t="str">
        <x:v>M3: 45 days after M2 completion</x:v>
      </x:c>
      <x:c r="P128" s="101" t="str">
        <x:v>Release 2 MUST</x:v>
      </x:c>
      <x:c r="Q128" s="101" t="str">
        <x:v>Full-stack governed feature</x:v>
      </x:c>
      <x:c r="R128" s="195" t="n">
        <x:v>2.285714285714286</x:v>
      </x:c>
      <x:c r="S128" s="101" t="str">
        <x:v>M3-P2</x:v>
      </x:c>
      <x:c r="T128" s="101" t="str">
        <x:v>WAIT for Presentation RC freeze/tag + clean index/worktree. Then: T-113 + T-119</x:v>
      </x:c>
      <x:c r="U128" s="101" t="str">
        <x:v>Own named UI/admin task end-to-end only after producer APIs/security are committed.</x:v>
      </x:c>
      <x:c r="V128" s="101" t="str">
        <x:v>Commit before downstream consumer starts; consumer must use the contract, not redesign producer-owned semantics.</x:v>
      </x:c>
      <x:c r="W128" s="101" t="str">
        <x:v>Multi-user Enterprise Operations</x:v>
      </x:c>
      <x:c r="X128" s="101" t="str">
        <x:v>M3 P2 — Multi-user Enterprise Operations. Release 2 is heavy production / scale / deeper enterprise use.</x:v>
      </x:c>
      <x:c r="Y128" s="196"/>
      <x:c r="Z128" s="197"/>
      <x:c r="AA128" s="101" t="str">
        <x:v>L6.8</x:v>
      </x:c>
      <x:c r="AB128" s="101" t="str">
        <x:v>Settings, time zone, units, localisation and translation</x:v>
      </x:c>
      <x:c r="AC128" s="101"/>
      <x:c r="AD128" s="101" t="str">
        <x:v>Build</x:v>
      </x:c>
      <x:c r="AE128" s="101" t="str">
        <x:v>D2; D3; D5</x:v>
      </x:c>
      <x:c r="AF128" s="101" t="str">
        <x:v>Core</x:v>
      </x:c>
      <x:c r="AG128" s="101" t="str">
        <x:v>R2</x:v>
      </x:c>
      <x:c r="AH128" s="101" t="str">
        <x:v>Advances</x:v>
      </x:c>
      <x:c r="AI128" s="101">
        <x:f t="shared" si="3"/>
      </x:c>
      <x:c r="AJ128" s="101" t="str">
        <x:v>Inherited baseline estimate</x:v>
      </x:c>
      <x:c r="AK128" s="101" t="str">
        <x:v>v4.10.3</x:v>
      </x:c>
      <x:c r="AL128" s="101" t="str">
        <x:v>Chapters 3/4 v4.10.3 — MD + illustrated Word; UI Coverage / UI Controls in this workbook</x:v>
      </x:c>
      <x:c r="AM128" t="n">
        <x:f>IF(ISNUMBER(J128),1,0)</x:f>
        <x:v>1</x:v>
      </x:c>
      <x:c r="AN128" s="101"/>
      <x:c r="AO128" s="194" t="str">
        <x:v>Not started — no completion claimed</x:v>
      </x:c>
      <x:c r="AP128" s="194" t="str">
        <x:v>Inherited v2.22.0 intended record; no new runtime certification in this repair.</x:v>
      </x:c>
      <x:c r="AQ128" s="194"/>
      <x:c r="AR128" s="194" t="str">
        <x:v>INHERITED ESTIMATE</x:v>
      </x:c>
    </x:row>
    <x:row r="129" ht="76" hidden="1" customHeight="1">
      <x:c r="A129" s="101" t="str">
        <x:v>T-156</x:v>
      </x:c>
      <x:c r="B129" s="101" t="str">
        <x:v>M3</x:v>
      </x:c>
      <x:c r="C129" s="101" t="str">
        <x:v>P3</x:v>
      </x:c>
      <x:c r="D129" s="101" t="str">
        <x:v>Customer definitions built through the product</x:v>
      </x:c>
      <x:c r="E129" s="101" t="str">
        <x:v>Frontend</x:v>
      </x:c>
      <x:c r="F129" s="101" t="str">
        <x:v>Authoring</x:v>
      </x:c>
      <x:c r="G129" s="101" t="str">
        <x:v>Very Important</x:v>
      </x:c>
      <x:c r="H129" s="101" t="str">
        <x:v>Build and validate the customer's real pages, relationships, measures, analyses, models and log rules using the product's own authoring surfaces.</x:v>
      </x:c>
      <x:c r="I129" s="101" t="str">
        <x:v>Every customer artifact exists as a definition in the store, created through the interface, with no manual database insert.</x:v>
      </x:c>
      <x:c r="J129" s="107" t="n">
        <x:v>12</x:v>
      </x:c>
      <x:c r="K129" s="101" t="str">
        <x:v>Not Started</x:v>
      </x:c>
      <x:c r="L129" s="101" t="str">
        <x:v>Worker 2</x:v>
      </x:c>
      <x:c r="M129" s="101"/>
      <x:c r="N129" s="101"/>
      <x:c r="O129" s="101" t="str">
        <x:v>M3: 45 days after M2 completion</x:v>
      </x:c>
      <x:c r="P129" s="101" t="str">
        <x:v>Release 2 MUST</x:v>
      </x:c>
      <x:c r="Q129" s="101" t="str">
        <x:v>External/site certification</x:v>
      </x:c>
      <x:c r="R129" s="195" t="n">
        <x:v>7.2</x:v>
      </x:c>
      <x:c r="S129" s="101" t="str">
        <x:v>M3-P3</x:v>
      </x:c>
      <x:c r="T129" s="101" t="str">
        <x:v>WAIT for deployed Release 1 + real customer/site evidence. M3 sequence</x:v>
      </x:c>
      <x:c r="U129" s="101" t="str">
        <x:v>Own customer-facing UX/docs/website only.</x:v>
      </x:c>
      <x:c r="V129" s="101" t="str">
        <x:v>Commit before downstream consumer starts; consumer must use the contract, not redesign producer-owned semantics.</x:v>
      </x:c>
      <x:c r="W129" s="101" t="str">
        <x:v>Advanced BI, Authoring &amp; Insight Boards</x:v>
      </x:c>
      <x:c r="X129" s="101" t="str">
        <x:v>M3 P3 — Advanced BI, Authoring &amp; Insight Boards. Release 2 is heavy production / scale / deeper enterprise use.</x:v>
      </x:c>
      <x:c r="Y129" s="196"/>
      <x:c r="Z129" s="197"/>
      <x:c r="AA129" s="101" t="str">
        <x:v>L3.5</x:v>
      </x:c>
      <x:c r="AB129" s="101" t="str">
        <x:v>One authoring shell, five purposes, two modes</x:v>
      </x:c>
      <x:c r="AC129" s="101" t="str">
        <x:v>L2.2</x:v>
      </x:c>
      <x:c r="AD129" s="101" t="str">
        <x:v>Build</x:v>
      </x:c>
      <x:c r="AE129" s="101" t="str">
        <x:v>D2; D5</x:v>
      </x:c>
      <x:c r="AF129" s="101" t="str">
        <x:v>Core</x:v>
      </x:c>
      <x:c r="AG129" s="101" t="str">
        <x:v>R2</x:v>
      </x:c>
      <x:c r="AH129" s="101" t="str">
        <x:v>Advances</x:v>
      </x:c>
      <x:c r="AI129" s="101">
        <x:f t="shared" si="3"/>
      </x:c>
      <x:c r="AJ129" s="101" t="str">
        <x:v>Inherited baseline estimate</x:v>
      </x:c>
      <x:c r="AK129" s="101" t="str">
        <x:v>v4.10.3</x:v>
      </x:c>
      <x:c r="AL129" s="101" t="str">
        <x:v>Chapters 3/4 v4.10.3 — MD + illustrated Word; UI Coverage / UI Controls in this workbook</x:v>
      </x:c>
      <x:c r="AM129" t="n">
        <x:f>IF(ISNUMBER(J129),1,0)</x:f>
        <x:v>1</x:v>
      </x:c>
      <x:c r="AN129" s="101"/>
      <x:c r="AO129" s="194" t="str">
        <x:v>Not started — no completion claimed</x:v>
      </x:c>
      <x:c r="AP129" s="194" t="str">
        <x:v>Inherited v2.22.0 intended record; no new runtime certification in this repair.</x:v>
      </x:c>
      <x:c r="AQ129" s="194"/>
      <x:c r="AR129" s="194" t="str">
        <x:v>INHERITED ESTIMATE</x:v>
      </x:c>
    </x:row>
    <x:row r="130" ht="76" hidden="1" customHeight="1">
      <x:c r="A130" s="101" t="str">
        <x:v>T-166</x:v>
      </x:c>
      <x:c r="B130" s="101" t="str">
        <x:v>M3</x:v>
      </x:c>
      <x:c r="C130" s="101" t="str">
        <x:v>P3</x:v>
      </x:c>
      <x:c r="D130" s="101" t="str">
        <x:v>Five-product website production completion</x:v>
      </x:c>
      <x:c r="E130" s="101" t="str">
        <x:v>Website</x:v>
      </x:c>
      <x:c r="F130" s="101" t="str">
        <x:v>Public site</x:v>
      </x:c>
      <x:c r="G130" s="101" t="str">
        <x:v>Important</x:v>
      </x:c>
      <x:c r="H130" s="101" t="str">
        <x:v>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 AUDIT HARDENING IN v2.9.2. Production completion also certifies one coherent visual identity across all five product pages and shared public-site sections. Typography, UI primitives, graphical language, motion, responsive hierarchy and accessibility must come from the same design system used by the strongest PPIQ sections. Remove mojibake, visible HTML entities and locally invented low-quality box/flowchart styling; motion must reinforce meaning and degrade cleanly under reduced-motion preferences.</x:v>
      </x:c>
      <x:c r="I130" s="101" t="str">
        <x:v>Each of the five products has a complete page under the Golden Rule product-page contract. Every claim passes the Chapter 6 6.2.10 honesty rule and the certification is recorded. Lead flow tested end to end on each page. Run a five-product visual-system audit at desktop, tablet and mobile. Zero mojibake/visible entities, text overflow, disconnected graphical connectors or page-local font/control systems. Automated visual/a11y checks are green, reduced-motion is honoured, and a reviewer comparison against the strongest PPIQ reference section records no page as visually less sophisticated.</x:v>
      </x:c>
      <x:c r="J130" s="107" t="n">
        <x:v>12</x:v>
      </x:c>
      <x:c r="K130" s="101" t="str">
        <x:v>Not Started</x:v>
      </x:c>
      <x:c r="L130" s="101" t="str">
        <x:v>Worker 2</x:v>
      </x:c>
      <x:c r="M130" s="101"/>
      <x:c r="N130" s="101"/>
      <x:c r="O130" s="101" t="str">
        <x:v>M3: 45 days after M2 completion</x:v>
      </x:c>
      <x:c r="P130" s="101" t="str">
        <x:v>Release 2 MUST</x:v>
      </x:c>
      <x:c r="Q130" s="101" t="str">
        <x:v>External/site certification</x:v>
      </x:c>
      <x:c r="R130" s="195" t="n">
        <x:v>7.2</x:v>
      </x:c>
      <x:c r="S130" s="101" t="str">
        <x:v>M3-P3</x:v>
      </x:c>
      <x:c r="T130" s="101" t="str">
        <x:v>WAIT for deployed Release 1 + real customer/site evidence. M3 sequence</x:v>
      </x:c>
      <x:c r="U130" s="101" t="str">
        <x:v>Own customer-facing UX/docs/website only.</x:v>
      </x:c>
      <x:c r="V130" s="101" t="str">
        <x:v>Commit before downstream consumer starts; consumer must use the contract, not redesign producer-owned semantics.</x:v>
      </x:c>
      <x:c r="W130" s="101" t="str">
        <x:v>Advanced BI, Authoring &amp; Insight Boards</x:v>
      </x:c>
      <x:c r="X130" s="101" t="str">
        <x:v>M3 P3 — Advanced BI, Authoring &amp; Insight Boards. Release 2 is heavy production / scale / deeper enterprise use.</x:v>
      </x:c>
      <x:c r="Y130" s="196"/>
      <x:c r="Z130" s="197"/>
      <x:c r="AA130" s="101" t="str">
        <x:v>BOUNDARY — SOU Website</x:v>
      </x:c>
      <x:c r="AB130" s="101" t="str">
        <x:v>SOU public website / portfolio boundary — not a PPIQ product capability</x:v>
      </x:c>
      <x:c r="AC130" s="101"/>
      <x:c r="AD130" s="101" t="str">
        <x:v>Build</x:v>
      </x:c>
      <x:c r="AE130" s="101" t="str">
        <x:v>D5</x:v>
      </x:c>
      <x:c r="AF130" s="101" t="str">
        <x:v>Boundary</x:v>
      </x:c>
      <x:c r="AG130" s="101" t="str">
        <x:v>R2</x:v>
      </x:c>
      <x:c r="AH130" s="101" t="str">
        <x:v>No maturity change</x:v>
      </x:c>
      <x:c r="AI130" s="101" t="str">
        <x:f t="shared" ref="AI130:AI161" si="4">IF(Y130="","",Y130)</x:f>
      </x:c>
      <x:c r="AJ130" s="101" t="str">
        <x:v>Inherited baseline estimate</x:v>
      </x:c>
      <x:c r="AK130" s="101" t="str">
        <x:v>v4.10.3</x:v>
      </x:c>
      <x:c r="AL130" s="101" t="str">
        <x:v>Chapters 3/4 v4.10.3 — MD + illustrated Word; UI Coverage / UI Controls in this workbook</x:v>
      </x:c>
      <x:c r="AM130" t="n">
        <x:f>IF(ISNUMBER(J130),1,0)</x:f>
        <x:v>1</x:v>
      </x:c>
      <x:c r="AN130" s="101"/>
      <x:c r="AO130" s="194" t="str">
        <x:v>Not started — no completion claimed</x:v>
      </x:c>
      <x:c r="AP130" s="194" t="str">
        <x:v>Inherited v2.22.0 intended record; no new runtime certification in this repair.</x:v>
      </x:c>
      <x:c r="AQ130" s="194"/>
      <x:c r="AR130" s="194" t="str">
        <x:v>INHERITED ESTIMATE</x:v>
      </x:c>
    </x:row>
    <x:row r="131" ht="76" hidden="1" customHeight="1">
      <x:c r="A131" s="101" t="str">
        <x:v>T-228</x:v>
      </x:c>
      <x:c r="B131" s="101" t="str">
        <x:v>M3</x:v>
      </x:c>
      <x:c r="C131" s="101" t="str">
        <x:v>P3</x:v>
      </x:c>
      <x:c r="D131" s="101" t="str">
        <x:v>Versioned InsightBoardPlan contract and deterministic validator</x:v>
      </x:c>
      <x:c r="E131" s="101" t="str">
        <x:v>Assistant</x:v>
      </x:c>
      <x:c r="F131" s="101" t="str">
        <x:v>Insight composition</x:v>
      </x:c>
      <x:c r="G131" s="101" t="str">
        <x:v>Very Important</x:v>
      </x:c>
      <x:c r="H131" s="101" t="str">
        <x:v>Define a versioned, reproducible InsightBoardPlan containing question, context snapshot, filters, evidence requirements, widget specs, planner version, definition versions and data-as-of. Deterministically validate registry, relationships, permissions, chart grammar and query safety. LLM cannot emit executable SQL/React authority.</x:v>
      </x:c>
      <x:c r="I131" s="101" t="str">
        <x:v>Known valid plans validate; fabricated dimension, unsafe expression, unavailable relationship and permission violation refuse with typed reasons. Identical historical plan snapshot replays; asking later may produce a new version without mutating history.</x:v>
      </x:c>
      <x:c r="J131" s="107" t="n">
        <x:v>10</x:v>
      </x:c>
      <x:c r="K131" s="101" t="str">
        <x:v>Not Started</x:v>
      </x:c>
      <x:c r="L131" s="101" t="str">
        <x:v>Worker 3</x:v>
      </x:c>
      <x:c r="M131" s="101" t="str">
        <x:v>T-090; T-092; T-134; T-179; T-180; T-181</x:v>
      </x:c>
      <x:c r="N131" s="101" t="str">
        <x:v>T-229; T-248</x:v>
      </x:c>
      <x:c r="O131" s="101" t="str">
        <x:v>M3: 45 days after M2 completion</x:v>
      </x:c>
      <x:c r="P131" s="101" t="str">
        <x:v>Release 2 MUST</x:v>
      </x:c>
      <x:c r="Q131" s="101" t="str">
        <x:v>Kernel/contract</x:v>
      </x:c>
      <x:c r="R131" s="195" t="n">
        <x:v>3.2</x:v>
      </x:c>
      <x:c r="S131" s="101" t="str">
        <x:v>M3-P3</x:v>
      </x:c>
      <x:c r="T131" s="101" t="str">
        <x:v>After September customer RC; T-090/T-092 + T-134 + T-179..181.</x:v>
      </x:c>
      <x:c r="U131" s="101" t="str">
        <x:v>New Assistant plan contract/tests only.</x:v>
      </x:c>
      <x:c r="V131" s="101" t="str">
        <x:v>T-229 consumes validator; no direct UI generation.</x:v>
      </x:c>
      <x:c r="W131" s="101" t="str">
        <x:v>Advanced BI, Authoring &amp; Insight Boards</x:v>
      </x:c>
      <x:c r="X131" s="101" t="str">
        <x:v>M3 P3 — Advanced BI, Authoring &amp; Insight Boards. Release 2 is heavy production / scale / deeper enterprise use.</x:v>
      </x:c>
      <x:c r="Y131" s="196"/>
      <x:c r="Z131" s="197"/>
      <x:c r="AA131" s="101" t="str">
        <x:v>L10.5</x:v>
      </x:c>
      <x:c r="AB131" s="101" t="str">
        <x:v>Insight Board Composer</x:v>
      </x:c>
      <x:c r="AC131" s="101"/>
      <x:c r="AD131" s="101" t="str">
        <x:v>Build</x:v>
      </x:c>
      <x:c r="AE131" s="101" t="str">
        <x:v>D1; D5</x:v>
      </x:c>
      <x:c r="AF131" s="101" t="str">
        <x:v>Advanced</x:v>
      </x:c>
      <x:c r="AG131" s="101" t="str">
        <x:v>R2</x:v>
      </x:c>
      <x:c r="AH131" s="101" t="str">
        <x:v>Advances</x:v>
      </x:c>
      <x:c r="AI131" s="101">
        <x:f t="shared" si="4"/>
      </x:c>
      <x:c r="AJ131" s="101" t="str">
        <x:v>Inherited baseline estimate</x:v>
      </x:c>
      <x:c r="AK131" s="101" t="str">
        <x:v>v4.10.3</x:v>
      </x:c>
      <x:c r="AL131" s="101" t="str">
        <x:v>Chapters 3/4 v4.10.3 — MD + illustrated Word; UI Coverage / UI Controls in this workbook</x:v>
      </x:c>
      <x:c r="AM131" t="n">
        <x:f>IF(ISNUMBER(J131),1,0)</x:f>
        <x:v>1</x:v>
      </x:c>
      <x:c r="AN131" s="101"/>
      <x:c r="AO131" s="194" t="str">
        <x:v>Not started — no completion claimed</x:v>
      </x:c>
      <x:c r="AP131" s="194" t="str">
        <x:v>Inherited v2.22.0 intended record; no new runtime certification in this repair.</x:v>
      </x:c>
      <x:c r="AQ131" s="194"/>
      <x:c r="AR131" s="194" t="str">
        <x:v>INHERITED ESTIMATE</x:v>
      </x:c>
    </x:row>
    <x:row r="132" ht="76" hidden="1" customHeight="1">
      <x:c r="A132" s="101" t="str">
        <x:v>T-229</x:v>
      </x:c>
      <x:c r="B132" s="101" t="str">
        <x:v>M3</x:v>
      </x:c>
      <x:c r="C132" s="101" t="str">
        <x:v>P3</x:v>
      </x:c>
      <x:c r="D132" s="101" t="str">
        <x:v>Governed Assistant plan-to-widget Investigation Board composition</x:v>
      </x:c>
      <x:c r="E132" s="101" t="str">
        <x:v>Assistant/Frontend</x:v>
      </x:c>
      <x:c r="F132" s="101" t="str">
        <x:v>Insight composition</x:v>
      </x:c>
      <x:c r="G132" s="101" t="str">
        <x:v>Very Important</x:v>
      </x:c>
      <x:c r="H132" s="101" t="str">
        <x:v>Execute validated InsightBoardPlan through existing Page Builder/widget/query contracts to create an ephemeral Investigation Board of KPIs/charts/tables/evidence without React/customer code generation.</x:v>
      </x:c>
      <x:c r="I132" s="101" t="str">
        <x:v>Question -&gt; validated plan -&gt; real widget queries -&gt; evidence-backed board. Every value resolves evidence, invalid chart grammar refuses, and ordinary authored pages remain unchanged. Board runs on both discrete and continuous fixtures.</x:v>
      </x:c>
      <x:c r="J132" s="107" t="n">
        <x:v>12</x:v>
      </x:c>
      <x:c r="K132" s="101" t="str">
        <x:v>Not Started</x:v>
      </x:c>
      <x:c r="L132" s="101" t="str">
        <x:v>Worker 3</x:v>
      </x:c>
      <x:c r="M132" s="101" t="str">
        <x:v>T-228; T-134</x:v>
      </x:c>
      <x:c r="N132" s="101" t="str">
        <x:v>T-230</x:v>
      </x:c>
      <x:c r="O132" s="101" t="str">
        <x:v>M3: 45 days after M2 completion</x:v>
      </x:c>
      <x:c r="P132" s="101" t="str">
        <x:v>Release 2 MUST</x:v>
      </x:c>
      <x:c r="Q132" s="101" t="str">
        <x:v>Cross-layer integration</x:v>
      </x:c>
      <x:c r="R132" s="195" t="n">
        <x:v>6.171428571428571</x:v>
      </x:c>
      <x:c r="S132" s="101" t="str">
        <x:v>M3-P3</x:v>
      </x:c>
      <x:c r="T132" s="101" t="str">
        <x:v>T-228 + T-134 + stable Page Builder contract; coordinate UI consumption with Worker 2.</x:v>
      </x:c>
      <x:c r="U132" s="101" t="str">
        <x:v>Assistant composition service; UI host changes require explicit W2 hand-off.</x:v>
      </x:c>
      <x:c r="V132" s="101" t="str">
        <x:v>T-230 adds persistence; no separate rendering engine.</x:v>
      </x:c>
      <x:c r="W132" s="101" t="str">
        <x:v>Advanced BI, Authoring &amp; Insight Boards</x:v>
      </x:c>
      <x:c r="X132" s="101" t="str">
        <x:v>M3 P3 — Advanced BI, Authoring &amp; Insight Boards. Release 2 is heavy production / scale / deeper enterprise use.</x:v>
      </x:c>
      <x:c r="Y132" s="196"/>
      <x:c r="Z132" s="197"/>
      <x:c r="AA132" s="101" t="str">
        <x:v>L10.5</x:v>
      </x:c>
      <x:c r="AB132" s="101" t="str">
        <x:v>Insight Board Composer</x:v>
      </x:c>
      <x:c r="AC132" s="101"/>
      <x:c r="AD132" s="101" t="str">
        <x:v>Build</x:v>
      </x:c>
      <x:c r="AE132" s="101" t="str">
        <x:v>D2; D3; D5</x:v>
      </x:c>
      <x:c r="AF132" s="101" t="str">
        <x:v>Advanced</x:v>
      </x:c>
      <x:c r="AG132" s="101" t="str">
        <x:v>R2</x:v>
      </x:c>
      <x:c r="AH132" s="101" t="str">
        <x:v>Advances</x:v>
      </x:c>
      <x:c r="AI132" s="101">
        <x:f t="shared" si="4"/>
      </x:c>
      <x:c r="AJ132" s="101" t="str">
        <x:v>Inherited baseline estimate</x:v>
      </x:c>
      <x:c r="AK132" s="101" t="str">
        <x:v>v4.10.3</x:v>
      </x:c>
      <x:c r="AL132" s="101" t="str">
        <x:v>Chapters 3/4 v4.10.3 — MD + illustrated Word; UI Coverage / UI Controls in this workbook</x:v>
      </x:c>
      <x:c r="AM132" t="n">
        <x:f>IF(ISNUMBER(J132),1,0)</x:f>
        <x:v>1</x:v>
      </x:c>
      <x:c r="AN132" s="101"/>
      <x:c r="AO132" s="194" t="str">
        <x:v>Not started — no completion claimed</x:v>
      </x:c>
      <x:c r="AP132" s="194" t="str">
        <x:v>Inherited v2.22.0 intended record; no new runtime certification in this repair.</x:v>
      </x:c>
      <x:c r="AQ132" s="194"/>
      <x:c r="AR132" s="194" t="str">
        <x:v>INHERITED ESTIMATE</x:v>
      </x:c>
    </x:row>
    <x:row r="133" ht="76" hidden="1" customHeight="1">
      <x:c r="A133" s="101" t="str">
        <x:v>T-230</x:v>
      </x:c>
      <x:c r="B133" s="101" t="str">
        <x:v>M3</x:v>
      </x:c>
      <x:c r="C133" s="101" t="str">
        <x:v>P3</x:v>
      </x:c>
      <x:c r="D133" s="101" t="str">
        <x:v>Persisted Investigation Board version, replay and Save-as-Page handoff</x:v>
      </x:c>
      <x:c r="E133" s="101" t="str">
        <x:v>Assistant</x:v>
      </x:c>
      <x:c r="F133" s="101" t="str">
        <x:v>Insight governance</x:v>
      </x:c>
      <x:c r="G133" s="101" t="str">
        <x:v>Important</x:v>
      </x:c>
      <x:c r="H133" s="101" t="str">
        <x:v>Persist Investigation Board plan/result versions with question, context, filters, data-as-of, tool executions, definition versions, evidence handles and result snapshot. Add explicit Save-as-Page conversion into canonical definitions without mutating historical investigation evidence.</x:v>
      </x:c>
      <x:c r="I133" s="101" t="str">
        <x:v>Historical board replays exactly as known at its data-as-of/version. Re-asking today creates a new version. Save-as-Page creates a normal Page Builder definition whose future refresh is independent while the original investigation remains immutable.</x:v>
      </x:c>
      <x:c r="J133" s="107" t="n">
        <x:v>12</x:v>
      </x:c>
      <x:c r="K133" s="101" t="str">
        <x:v>Not Started</x:v>
      </x:c>
      <x:c r="L133" s="101" t="str">
        <x:v>Worker 3</x:v>
      </x:c>
      <x:c r="M133" s="101" t="str">
        <x:v>T-229; T-112; T-114</x:v>
      </x:c>
      <x:c r="N133" s="101" t="str">
        <x:v>T-249</x:v>
      </x:c>
      <x:c r="O133" s="101" t="str">
        <x:v>M3: 45 days after M2 completion</x:v>
      </x:c>
      <x:c r="P133" s="101" t="str">
        <x:v>Release 2 MUST</x:v>
      </x:c>
      <x:c r="Q133" s="101" t="str">
        <x:v>Persistence/integration</x:v>
      </x:c>
      <x:c r="R133" s="195" t="n">
        <x:v>5.1</x:v>
      </x:c>
      <x:c r="S133" s="101" t="str">
        <x:v>M3-P3</x:v>
      </x:c>
      <x:c r="T133" s="101" t="str">
        <x:v>T-229 + canonical definition/evidence persistence + T-112/T-114.</x:v>
      </x:c>
      <x:c r="U133" s="101" t="str">
        <x:v>Investigation board persistence and conversion contract.</x:v>
      </x:c>
      <x:c r="V133" s="101" t="str">
        <x:v>Page Builder owns resulting page definitions; Assistant owns historical investigation artifact only.</x:v>
      </x:c>
      <x:c r="W133" s="101" t="str">
        <x:v>Advanced BI, Authoring &amp; Insight Boards</x:v>
      </x:c>
      <x:c r="X133" s="101" t="str">
        <x:v>M3 P3 — Advanced BI, Authoring &amp; Insight Boards. Release 2 is heavy production / scale / deeper enterprise use.</x:v>
      </x:c>
      <x:c r="Y133" s="196"/>
      <x:c r="Z133" s="197"/>
      <x:c r="AA133" s="101" t="str">
        <x:v>L10.5</x:v>
      </x:c>
      <x:c r="AB133" s="101" t="str">
        <x:v>Insight Board Composer</x:v>
      </x:c>
      <x:c r="AC133" s="101"/>
      <x:c r="AD133" s="101" t="str">
        <x:v>Build</x:v>
      </x:c>
      <x:c r="AE133" s="101" t="str">
        <x:v>D2; D5</x:v>
      </x:c>
      <x:c r="AF133" s="101" t="str">
        <x:v>Advanced</x:v>
      </x:c>
      <x:c r="AG133" s="101" t="str">
        <x:v>R2</x:v>
      </x:c>
      <x:c r="AH133" s="101" t="str">
        <x:v>Advances</x:v>
      </x:c>
      <x:c r="AI133" s="101">
        <x:f t="shared" si="4"/>
      </x:c>
      <x:c r="AJ133" s="101" t="str">
        <x:v>Inherited baseline estimate</x:v>
      </x:c>
      <x:c r="AK133" s="101" t="str">
        <x:v>v4.10.3</x:v>
      </x:c>
      <x:c r="AL133" s="101" t="str">
        <x:v>Chapters 3/4 v4.10.3 — MD + illustrated Word; UI Coverage / UI Controls in this workbook</x:v>
      </x:c>
      <x:c r="AM133" t="n">
        <x:f>IF(ISNUMBER(J133),1,0)</x:f>
        <x:v>1</x:v>
      </x:c>
      <x:c r="AN133" s="101"/>
      <x:c r="AO133" s="194" t="str">
        <x:v>Not started — no completion claimed</x:v>
      </x:c>
      <x:c r="AP133" s="194" t="str">
        <x:v>Inherited v2.22.0 intended record; no new runtime certification in this repair.</x:v>
      </x:c>
      <x:c r="AQ133" s="194"/>
      <x:c r="AR133" s="194" t="str">
        <x:v>INHERITED ESTIMATE</x:v>
      </x:c>
    </x:row>
    <x:row r="134" ht="76" hidden="1" customHeight="1">
      <x:c r="A134" s="101" t="str">
        <x:v>T-248</x:v>
      </x:c>
      <x:c r="B134" s="101" t="str">
        <x:v>M3</x:v>
      </x:c>
      <x:c r="C134" s="101" t="str">
        <x:v>P3</x:v>
      </x:c>
      <x:c r="D134" s="101" t="str">
        <x:v>Advanced enterprise BI and authoring parity closure against the 75-item outcome matrix</x:v>
      </x:c>
      <x:c r="E134" s="101" t="str">
        <x:v>Frontend</x:v>
      </x:c>
      <x:c r="F134" s="101" t="str">
        <x:v>Enterprise BI / Authoring</x:v>
      </x:c>
      <x:c r="G134" s="101" t="str">
        <x:v>Very Important</x:v>
      </x:c>
      <x:c r="H134" s="101" t="str">
        <x:v>Close the Release-2 remainder of the founder-approved F01-F15, S01-S30 and E01-E30 outcome matrix using native PPIQ semantics. Explicitly include Scoped Measure Context, Named Comparison State, pending lasso/range confirm-cancel, story/live-source return, complete current-state export matrix, advanced exploration, mini-overview navigation where applicable, and reusable versioned subflows as the PPIQ equivalent of script Include/Must_Include.
v2.20.0 ENTERPRISE-BI PARITY EXPANSION — the 75-item matrix explicitly includes context-sensitive property inspection, named selections/bookmarks, pivot/crosstab or governed PPIQ-equivalent, conditional formatting, export/print fidelity, design-token/theme governance, accessibility/keyboard authoring, and removal of localStorage as a fallback for server-owned page/widget layout state.
v2.20.0 AUTHORING-SEMANTICS CONVERGENCE — close the historical T-242/Layer-B placement contradiction without reopening T-242. For newly authored definitions, arithmetic/comparison/logic are expression configuration inside the block they configure, while FOR/WHILE-style control flow is Job orchestration. Existing persisted T-242 definitions remain reopenable through an explicit compatibility translation/representation; do not strand customer-authored history.
v2.22.0 — Add G3 global search/command palette and G6 activity tray, preserving role/tenant scope, keyboard/focus, cross-page progress and reconnection. Use UI/Figma companion frames as visual implementation reference, not new behavior authority.</x:v>
      </x:c>
      <x:c r="I134" s="101" t="str">
        <x:v>A 75-row acceptance matrix has no Unowned or Missing row. Every row is Implemented or PPIQ-Equivalent, has an automated/visual acceptance or an explicit non-applicability proof, and no proprietary Qlik syntax is required. Comparative acceptance against the defined PPIQ outcomes demonstrates no missing enterprise authoring row for inspector/style, bookmark/selection, pivot/crosstab, formatting, export and accessibility. Server-owned layouts survive a clean browser profile with localStorage cleared. Raw component colour literals are within an explicit design-token allowlist.
A new definition authors arithmetic/logic through expression configuration and schedules repetition/control flow through the Job authority. A persisted legacy T-242 board definition reopens with semantic equivalence and an explicit compatibility marker; save-as-new converges to the current representation without losing history.
v2.22.0 — Search scopes results/actions correctly; keyboard select/escape; tray shows run identity/state/progress with polling fallback and no fake percent; empty/failed/denied variants; existing 75-item authoring/BI acceptance retained.
v2.23.0 — Use the accepted T-267 semantic/interaction matrix and per-scene handoffs for the existing 75-item parity contract. Do not reimplement or defer the M2 associative engine/selection behavior already accepted under T-204. A visual omission creates a design obligation, not a reopened product task without regression.</x:v>
      </x:c>
      <x:c r="J134" s="107" t="n">
        <x:v>30</x:v>
      </x:c>
      <x:c r="K134" s="101" t="str">
        <x:v>Not Started</x:v>
      </x:c>
      <x:c r="L134" s="101" t="str">
        <x:v>Worker 2</x:v>
      </x:c>
      <x:c r="M134" s="101" t="str">
        <x:v>T-148; T-202; T-203; T-204; T-205; T-228; T-241; T-243; T-244; T-245; T-257; T-267</x:v>
      </x:c>
      <x:c r="N134" s="101" t="str">
        <x:v>T-249; T-263</x:v>
      </x:c>
      <x:c r="O134" s="101" t="str">
        <x:v>M3: 45 days after M2 completion</x:v>
      </x:c>
      <x:c r="P134" s="101" t="str">
        <x:v>Release 2 MUST</x:v>
      </x:c>
      <x:c r="Q134" s="101" t="str">
        <x:v>Bounded product convergence</x:v>
      </x:c>
      <x:c r="R134" s="195" t="n">
        <x:v>11.2</x:v>
      </x:c>
      <x:c r="S134" s="101" t="str">
        <x:v>M3-P3</x:v>
      </x:c>
      <x:c r="T134" s="101" t="str">
        <x:v>After M2 Release 1 and InsightBoard authoring base</x:v>
      </x:c>
      <x:c r="U134" s="101" t="str">
        <x:v>Frontend BI / authoring only</x:v>
      </x:c>
      <x:c r="V134" s="101" t="str">
        <x:v>Reuse the existing BI engine, Page Builder, Canvas, export and selection contracts; do not build a second dashboard engine.</x:v>
      </x:c>
      <x:c r="W134" s="101" t="str">
        <x:v>Advanced BI, Authoring &amp; Insight Boards</x:v>
      </x:c>
      <x:c r="X134" s="101" t="str">
        <x:v>M3 P3 — advanced enterprise parity. M2 ships the Day-1 enterprise core; M3 closes the advanced authoring matrix.</x:v>
      </x:c>
      <x:c r="Y134" s="196"/>
      <x:c r="Z134" s="197"/>
      <x:c r="AA134" s="101" t="str">
        <x:v>L3.7</x:v>
      </x:c>
      <x:c r="AB134" s="101" t="str">
        <x:v>Authoring professionalism</x:v>
      </x:c>
      <x:c r="AC134" s="101" t="str">
        <x:v>L3.1; L3.3; L3.4; L3.5; L3.6; L3.9; L6.7</x:v>
      </x:c>
      <x:c r="AD134" s="101" t="str">
        <x:v>Build</x:v>
      </x:c>
      <x:c r="AE134" s="101" t="str">
        <x:v>D2; D5</x:v>
      </x:c>
      <x:c r="AF134" s="101" t="str">
        <x:v>Core</x:v>
      </x:c>
      <x:c r="AG134" s="101" t="str">
        <x:v>R2</x:v>
      </x:c>
      <x:c r="AH134" s="101" t="str">
        <x:v>Advances</x:v>
      </x:c>
      <x:c r="AI134" s="101">
        <x:f t="shared" si="4"/>
      </x:c>
      <x:c r="AJ134" s="101" t="str">
        <x:v>Inherited estimate; scope changed — re-estimation required</x:v>
      </x:c>
      <x:c r="AK134" s="101" t="str">
        <x:v>v4.10.3</x:v>
      </x:c>
      <x:c r="AL134" s="101" t="str">
        <x:v>Chapters 3/4 v4.10.3 — MD + illustrated Word; UI Coverage / UI Controls in this workbook</x:v>
      </x:c>
      <x:c r="AM134" t="n">
        <x:f>IF(ISNUMBER(J134),1,0)</x:f>
        <x:v>1</x:v>
      </x:c>
      <x:c r="AN134" s="101"/>
      <x:c r="AO134" s="194" t="str">
        <x:v>Not started — no completion claimed</x:v>
      </x:c>
      <x:c r="AP134" s="194" t="str">
        <x:v>Inherited v2.22.0 intended record; no new runtime certification in this repair.</x:v>
      </x:c>
      <x:c r="AQ134" s="194"/>
      <x:c r="AR134" s="194" t="str">
        <x:v>INHERITED ESTIMATE</x:v>
      </x:c>
    </x:row>
    <x:row r="135" ht="76" hidden="1" customHeight="1">
      <x:c r="A135" s="101" t="str">
        <x:v>T-263</x:v>
      </x:c>
      <x:c r="B135" s="101" t="str">
        <x:v>M3</x:v>
      </x:c>
      <x:c r="C135" s="101" t="str">
        <x:v>P3</x:v>
      </x:c>
      <x:c r="D135" s="101" t="str">
        <x:v>Governed reports, export and scheduled delivery</x:v>
      </x:c>
      <x:c r="E135" s="101" t="str">
        <x:v>Product / Integration</x:v>
      </x:c>
      <x:c r="F135" s="101" t="str">
        <x:v>Governed reports, export and scheduled delivery</x:v>
      </x:c>
      <x:c r="G135" s="101" t="str">
        <x:v>Very Important</x:v>
      </x:c>
      <x:c r="H135" s="101" t="str">
        <x:v>Deliver E5 report definitions, sections, period, recipients, scheduled generation and output/delivery history using definition_store, the shared Job scheduler and permission/evidence boundaries.</x:v>
      </x:c>
      <x:c r="I135" s="101" t="str">
        <x:v>Create/reopen versioned report; generate by manual/scheduled run; empty-section refusal; tenant/role-scoped download; light report rendering; delivery retry/audit; same source evidence and filters survive export; no private report scheduler.</x:v>
      </x:c>
      <x:c r="J135" s="198"/>
      <x:c r="K135" s="101" t="str">
        <x:v>Not Started</x:v>
      </x:c>
      <x:c r="L135" s="101" t="str">
        <x:v>Worker 2</x:v>
      </x:c>
      <x:c r="M135" s="101" t="str">
        <x:v>T-106; T-248</x:v>
      </x:c>
      <x:c r="N135" s="101" t="str">
        <x:v>T-249</x:v>
      </x:c>
      <x:c r="O135" s="101" t="str">
        <x:v>M3: 45 days after M2 completion</x:v>
      </x:c>
      <x:c r="P135" s="101" t="str">
        <x:v>Release 2 MUST</x:v>
      </x:c>
      <x:c r="Q135" s="101" t="str">
        <x:v>Governed product integration</x:v>
      </x:c>
      <x:c r="R135" s="195"/>
      <x:c r="S135" s="101" t="str">
        <x:v>M3-P3</x:v>
      </x:c>
      <x:c r="T135" s="101" t="str">
        <x:v>Consume accepted producer contracts; remaining dependencies: T-106; T-248. No private scheduler/definition authority. Source-present is not closure proof.</x:v>
      </x:c>
      <x:c r="U135" s="101" t="str">
        <x:v>Semantic product filenames only. CENTRAL assigns shared file locks before overlapping worker writes.</x:v>
      </x:c>
      <x:c r="V135" s="101" t="str">
        <x:v>Reuse current canonical authorities; no shadow lifecycle/registry/scheduler.</x:v>
      </x:c>
      <x:c r="W135" s="101" t="str">
        <x:v>Advanced BI, Authoring &amp; Insight Boards</x:v>
      </x:c>
      <x:c r="X135" s="101" t="str">
        <x:v>v2.22.0 owner-approved scope and release disposition; original evidence remains in change log/archive.</x:v>
      </x:c>
      <x:c r="Y135" s="196"/>
      <x:c r="Z135" s="197"/>
      <x:c r="AA135" s="101" t="str">
        <x:v>L6.5</x:v>
      </x:c>
      <x:c r="AB135" s="101" t="str">
        <x:v>Reports, export and scheduled delivery</x:v>
      </x:c>
      <x:c r="AC135" s="101" t="str">
        <x:v>L2.6; L6.4</x:v>
      </x:c>
      <x:c r="AD135" s="101" t="str">
        <x:v>Build</x:v>
      </x:c>
      <x:c r="AE135" s="101" t="str">
        <x:v>D2; D3; D4; D5</x:v>
      </x:c>
      <x:c r="AF135" s="101" t="str">
        <x:v>Core</x:v>
      </x:c>
      <x:c r="AG135" s="101" t="str">
        <x:v>R2</x:v>
      </x:c>
      <x:c r="AH135" s="101" t="str">
        <x:v>Advances</x:v>
      </x:c>
      <x:c r="AI135" s="101" t="str">
        <x:f t="shared" si="4"/>
        <x:v>Estimate pending owner calibration; no completion or runtime proof inferred from this row.</x:v>
      </x:c>
      <x:c r="AJ135" s="199" t="str">
        <x:v>UNESTIMATED — new/recognized task; owner calibration pending.</x:v>
      </x:c>
      <x:c r="AK135" s="199" t="str">
        <x:v>v4.10.3</x:v>
      </x:c>
      <x:c r="AL135" s="199" t="str">
        <x:v>Chapters 3/4 v4.10.3 — MD + illustrated Word; UI Coverage / UI Controls in this workbook
v2.23.0 — T-267 supplies E5 report-definition/generation/history/delivery interaction design. Generation remains a governed job; preserve period/filter/permission context and the existing source-evidence boundary.</x:v>
      </x:c>
      <x:c r="AM135" s="200" t="n">
        <x:f>IF(ISNUMBER(J135),1,0)</x:f>
        <x:v>0</x:v>
      </x:c>
      <x:c r="AN135" s="199"/>
      <x:c r="AO135" s="201" t="str">
        <x:v>Not started — no completion claimed</x:v>
      </x:c>
      <x:c r="AP135" s="201" t="str">
        <x:v>Inherited v2.22.0 intended record; no new runtime certification in this repair.</x:v>
      </x:c>
      <x:c r="AQ135" s="201"/>
      <x:c r="AR135" s="201" t="str">
        <x:v>UNESTIMATED</x:v>
      </x:c>
    </x:row>
    <x:row r="136" ht="76" hidden="1" customHeight="1">
      <x:c r="A136" s="101" t="str">
        <x:v>T-128</x:v>
      </x:c>
      <x:c r="B136" s="101" t="str">
        <x:v>M3</x:v>
      </x:c>
      <x:c r="C136" s="101" t="str">
        <x:v>P4</x:v>
      </x:c>
      <x:c r="D136" s="101" t="str">
        <x:v>Feature store, outcome store and immutable snapshot metadata</x:v>
      </x:c>
      <x:c r="E136" s="101" t="str">
        <x:v>AI+ML</x:v>
      </x:c>
      <x:c r="F136" s="101" t="str">
        <x:v>Intelligence store</x:v>
      </x:c>
      <x:c r="G136" s="101" t="str">
        <x:v>Critical</x:v>
      </x:c>
      <x:c r="H136" s="101" t="str">
        <x:v>Implement canonical feature/outcome stores and immutable snapshot metadata using generic analysis_subject_id + grain_code identity, never a universal material_unit_id. Persist semantic-manifest lineage, feature-set/outcome definitions and dirty/incremental state. Training still consumes sealed typed snapshot artifacts, not live JSONB.</x:v>
      </x:c>
      <x:c r="I136" s="101" t="str">
        <x:v>Persist features/outcomes for at least one discrete subject and one equipment/process-window subject using the same schema/runtime. No material-unit FK is mandatory for non-material subjects. Snapshot/hash/reproducibility and tenant/RLS gates pass.</x:v>
      </x:c>
      <x:c r="J136" s="107" t="n">
        <x:v>10</x:v>
      </x:c>
      <x:c r="K136" s="101" t="str">
        <x:v>Not Started</x:v>
      </x:c>
      <x:c r="L136" s="101" t="str">
        <x:v>Worker 3</x:v>
      </x:c>
      <x:c r="M136" s="101" t="str">
        <x:v>T-087; T-088; T-089; T-090; T-091; T-092; T-093; T-094; T-095; T-096; T-097; T-098; T-099; T-100; T-101; T-102; T-103; T-104; T-112; T-114; T-231; T-210</x:v>
      </x:c>
      <x:c r="N136" s="101" t="str">
        <x:v>T-129; T-130; T-131; T-135; T-146; T-147; T-184; T-186</x:v>
      </x:c>
      <x:c r="O136" s="101" t="str">
        <x:v>M3: 45 days after M2 completion</x:v>
      </x:c>
      <x:c r="P136" s="101" t="str">
        <x:v>Release 2 MUST</x:v>
      </x:c>
      <x:c r="Q136" s="101" t="str">
        <x:v>AI/ML production integration</x:v>
      </x:c>
      <x:c r="R136" s="195" t="n">
        <x:v>1.5</x:v>
      </x:c>
      <x:c r="S136" s="101" t="str">
        <x:v>M3-P4</x:v>
      </x:c>
      <x:c r="T136" s="101" t="str">
        <x:v>T-087..T-105 + T-112 + T-114 security/tenant hand-off. Outcome semantics from...</x:v>
      </x:c>
      <x:c r="U136" s="101" t="str">
        <x:v>Own intelligence/ML/Assistant and named intelligence surfaces. W1/W2 forbidden after hand-off.</x:v>
      </x:c>
      <x:c r="V136" s="101" t="str">
        <x:v>Commit before downstream consumer starts; consumer must use the contract, not redesign producer-owned semantics.</x:v>
      </x:c>
      <x:c r="W136" s="101" t="str">
        <x:v>Advanced ML, Optimisation &amp; Value</x:v>
      </x:c>
      <x:c r="X136" s="101" t="str">
        <x:v>M3 P4 — Advanced ML, Optimisation &amp; Value. Release 2 is heavy production / scale / deeper enterprise use.</x:v>
      </x:c>
      <x:c r="Y136" s="196"/>
      <x:c r="Z136" s="197"/>
      <x:c r="AA136" s="101" t="str">
        <x:v>L4.3</x:v>
      </x:c>
      <x:c r="AB136" s="101" t="str">
        <x:v>Feature engineering and incremental feature refresh</x:v>
      </x:c>
      <x:c r="AC136" s="101" t="str">
        <x:v>L9.5</x:v>
      </x:c>
      <x:c r="AD136" s="101" t="str">
        <x:v>Build</x:v>
      </x:c>
      <x:c r="AE136" s="101" t="str">
        <x:v>D3; D4; D5</x:v>
      </x:c>
      <x:c r="AF136" s="101" t="str">
        <x:v>Core</x:v>
      </x:c>
      <x:c r="AG136" s="101" t="str">
        <x:v>R2</x:v>
      </x:c>
      <x:c r="AH136" s="101" t="str">
        <x:v>Advances</x:v>
      </x:c>
      <x:c r="AI136" s="101">
        <x:f t="shared" si="4"/>
      </x:c>
      <x:c r="AJ136" s="101" t="str">
        <x:v>Inherited baseline estimate</x:v>
      </x:c>
      <x:c r="AK136" s="101" t="str">
        <x:v>v4.10.3</x:v>
      </x:c>
      <x:c r="AL136" s="101" t="str">
        <x:v>Chapters 3/4 v4.10.3 — MD + illustrated Word; UI Coverage / UI Controls in this workbook</x:v>
      </x:c>
      <x:c r="AM136" t="n">
        <x:f>IF(ISNUMBER(J136),1,0)</x:f>
        <x:v>1</x:v>
      </x:c>
      <x:c r="AN136" s="101"/>
      <x:c r="AO136" s="194" t="str">
        <x:v>Not started — no completion claimed</x:v>
      </x:c>
      <x:c r="AP136" s="194" t="str">
        <x:v>Inherited v2.22.0 intended record; no new runtime certification in this repair.</x:v>
      </x:c>
      <x:c r="AQ136" s="194"/>
      <x:c r="AR136" s="194" t="str">
        <x:v>INHERITED ESTIMATE</x:v>
      </x:c>
    </x:row>
    <x:row r="137" ht="76" hidden="1" customHeight="1">
      <x:c r="A137" s="101" t="str">
        <x:v>T-129</x:v>
      </x:c>
      <x:c r="B137" s="101" t="str">
        <x:v>M3</x:v>
      </x:c>
      <x:c r="C137" s="101" t="str">
        <x:v>P4</x:v>
      </x:c>
      <x:c r="D137" s="101" t="str">
        <x:v>Compute runs, findings and common evidence persistence</x:v>
      </x:c>
      <x:c r="E137" s="101" t="str">
        <x:v>AI+ML</x:v>
      </x:c>
      <x:c r="F137" s="101" t="str">
        <x:v>Intelligence store</x:v>
      </x:c>
      <x:c r="G137" s="101" t="str">
        <x:v>Critical</x:v>
      </x:c>
      <x:c r="H137" s="101" t="str">
        <x:v>Unify compute run records, terminal refusal states, gate state/evidence, correlation/findings persistence and evidence handles on the common intelligence substrate. Every new governed run carries semantic_manifest_id once T-183 is present. A refusal is a persisted result state, never an exception-shaped blank screen.</x:v>
      </x:c>
      <x:c r="I137" s="101" t="str">
        <x:v>For FINDING and each refusal class, resolve the row to run, manifest, gate evidence and source evidence. Break an evidence handle and prove the result is rejected. Break manifest coverage and prove G-55 refuses the new governed run.</x:v>
      </x:c>
      <x:c r="J137" s="107" t="n">
        <x:v>12</x:v>
      </x:c>
      <x:c r="K137" s="101" t="str">
        <x:v>Not Started</x:v>
      </x:c>
      <x:c r="L137" s="101" t="str">
        <x:v>Worker 3</x:v>
      </x:c>
      <x:c r="M137" s="101" t="str">
        <x:v>T-128; T-183; T-112; T-114</x:v>
      </x:c>
      <x:c r="N137" s="101" t="str">
        <x:v>T-134; T-135; T-146; T-147; T-186; T-188</x:v>
      </x:c>
      <x:c r="O137" s="101" t="str">
        <x:v>M3: 45 days after M2 completion</x:v>
      </x:c>
      <x:c r="P137" s="101" t="str">
        <x:v>Release 2 MUST</x:v>
      </x:c>
      <x:c r="Q137" s="101" t="str">
        <x:v>AI/ML production integration</x:v>
      </x:c>
      <x:c r="R137" s="195" t="n">
        <x:v>1.7999999999999998</x:v>
      </x:c>
      <x:c r="S137" s="101" t="str">
        <x:v>M3-P4</x:v>
      </x:c>
      <x:c r="T137" s="101" t="str">
        <x:v>T-128 + T-183 + T-112 + T-114.</x:v>
      </x:c>
      <x:c r="U137" s="101" t="str">
        <x:v>Own intelligence/ML/Assistant and named intelligence surfaces. W1/W2 forbidden after hand-off.</x:v>
      </x:c>
      <x:c r="V137" s="101" t="str">
        <x:v>Commit before downstream consumer starts; consumer must use the contract, not redesign producer-owned semantics.</x:v>
      </x:c>
      <x:c r="W137" s="101" t="str">
        <x:v>Advanced ML, Optimisation &amp; Value</x:v>
      </x:c>
      <x:c r="X137" s="101" t="str">
        <x:v>M3 P4 — Advanced ML, Optimisation &amp; Value. Release 2 is heavy production / scale / deeper enterprise use.</x:v>
      </x:c>
      <x:c r="Y137" s="196"/>
      <x:c r="Z137" s="197"/>
      <x:c r="AA137" s="101" t="str">
        <x:v>L5.5</x:v>
      </x:c>
      <x:c r="AB137" s="101" t="str">
        <x:v>Provenance, evidence chain, claim guard and refusal integrity</x:v>
      </x:c>
      <x:c r="AC137" s="101" t="str">
        <x:v>L4.2; L4.4</x:v>
      </x:c>
      <x:c r="AD137" s="101" t="str">
        <x:v>Build</x:v>
      </x:c>
      <x:c r="AE137" s="101" t="str">
        <x:v>D3; D4; D5</x:v>
      </x:c>
      <x:c r="AF137" s="101" t="str">
        <x:v>Core</x:v>
      </x:c>
      <x:c r="AG137" s="101" t="str">
        <x:v>R2</x:v>
      </x:c>
      <x:c r="AH137" s="101" t="str">
        <x:v>Advances</x:v>
      </x:c>
      <x:c r="AI137" s="101">
        <x:f t="shared" si="4"/>
      </x:c>
      <x:c r="AJ137" s="101" t="str">
        <x:v>Inherited baseline estimate</x:v>
      </x:c>
      <x:c r="AK137" s="101" t="str">
        <x:v>v4.10.3</x:v>
      </x:c>
      <x:c r="AL137" s="101" t="str">
        <x:v>Chapters 3/4 v4.10.3 — MD + illustrated Word; UI Coverage / UI Controls in this workbook</x:v>
      </x:c>
      <x:c r="AM137" t="n">
        <x:f>IF(ISNUMBER(J137),1,0)</x:f>
        <x:v>1</x:v>
      </x:c>
      <x:c r="AN137" s="101"/>
      <x:c r="AO137" s="194" t="str">
        <x:v>Not started — no completion claimed</x:v>
      </x:c>
      <x:c r="AP137" s="194" t="str">
        <x:v>Inherited v2.22.0 intended record; no new runtime certification in this repair.</x:v>
      </x:c>
      <x:c r="AQ137" s="194"/>
      <x:c r="AR137" s="194" t="str">
        <x:v>INHERITED ESTIMATE</x:v>
      </x:c>
    </x:row>
    <x:row r="138" ht="76" hidden="1" customHeight="1">
      <x:c r="A138" s="101" t="str">
        <x:v>T-130</x:v>
      </x:c>
      <x:c r="B138" s="101" t="str">
        <x:v>M3</x:v>
      </x:c>
      <x:c r="C138" s="101" t="str">
        <x:v>P4</x:v>
      </x:c>
      <x:c r="D138" s="101" t="str">
        <x:v>Model registry, serving identity, activation and fallback</x:v>
      </x:c>
      <x:c r="E138" s="101" t="str">
        <x:v>AI+ML</x:v>
      </x:c>
      <x:c r="F138" s="101" t="str">
        <x:v>Model lifecycle</x:v>
      </x:c>
      <x:c r="G138" s="101" t="str">
        <x:v>Critical</x:v>
      </x:c>
      <x:c r="H138" s="101" t="str">
        <x:v>Implement ppiq_plant.model_registry per serving identity (tenant_id, model_code, outcome_code, grain_code) plus model_version. status and serving_role are independent; at most one active and one approved fallback exist per serving identity, and one version can never be both. There is no ModelBundle. Store artifact identity, semantic_manifest_id, acceptance floors, quality/serving/training metrics and drift observations. Promotion policy itself is implemented by T-176 and wired by T-187.</x:v>
      </x:c>
      <x:c r="I138" s="101" t="str">
        <x:v>Create two serving identities with identical model_code but different outcome/grain and prove independent activation. Attempt duplicate active/fallback rows and primary=fallback and prove the database refuses them. Activate, retire and fall back atomically with every transition audited and manifest-resolvable.</x:v>
      </x:c>
      <x:c r="J138" s="107" t="n">
        <x:v>12</x:v>
      </x:c>
      <x:c r="K138" s="101" t="str">
        <x:v>Not Started</x:v>
      </x:c>
      <x:c r="L138" s="101" t="str">
        <x:v>Worker 3</x:v>
      </x:c>
      <x:c r="M138" s="101" t="str">
        <x:v>T-128; T-183; T-112; T-114</x:v>
      </x:c>
      <x:c r="N138" s="101" t="str">
        <x:v>T-134; T-135; T-139; T-188; T-191; T-193; T-246</x:v>
      </x:c>
      <x:c r="O138" s="101" t="str">
        <x:v>M3: 45 days after M2 completion</x:v>
      </x:c>
      <x:c r="P138" s="101" t="str">
        <x:v>Release 2 MUST</x:v>
      </x:c>
      <x:c r="Q138" s="101" t="str">
        <x:v>AI/ML production integration</x:v>
      </x:c>
      <x:c r="R138" s="195" t="n">
        <x:v>1.7999999999999998</x:v>
      </x:c>
      <x:c r="S138" s="101" t="str">
        <x:v>M3-P4</x:v>
      </x:c>
      <x:c r="T138" s="101" t="str">
        <x:v>T-128 + T-183 + T-112 + T-114.</x:v>
      </x:c>
      <x:c r="U138" s="101" t="str">
        <x:v>Own intelligence/ML/Assistant and named intelligence surfaces. W1/W2 forbidden after hand-off.</x:v>
      </x:c>
      <x:c r="V138" s="101" t="str">
        <x:v>Commit before downstream consumer starts; consumer must use the contract, not redesign producer-owned semantics.</x:v>
      </x:c>
      <x:c r="W138" s="101" t="str">
        <x:v>Advanced ML, Optimisation &amp; Value</x:v>
      </x:c>
      <x:c r="X138" s="101" t="str">
        <x:v>M3 P4 — Advanced ML, Optimisation &amp; Value. Release 2 is heavy production / scale / deeper enterprise use.</x:v>
      </x:c>
      <x:c r="Y138" s="196"/>
      <x:c r="Z138" s="197"/>
      <x:c r="AA138" s="101" t="str">
        <x:v>L4.8</x:v>
      </x:c>
      <x:c r="AB138" s="101" t="str">
        <x:v>Model registry, promotion, serving and fallback</x:v>
      </x:c>
      <x:c r="AC138" s="101"/>
      <x:c r="AD138" s="101" t="str">
        <x:v>Build</x:v>
      </x:c>
      <x:c r="AE138" s="101" t="str">
        <x:v>D3; D5</x:v>
      </x:c>
      <x:c r="AF138" s="101" t="str">
        <x:v>Core</x:v>
      </x:c>
      <x:c r="AG138" s="101" t="str">
        <x:v>R2</x:v>
      </x:c>
      <x:c r="AH138" s="101" t="str">
        <x:v>Advances</x:v>
      </x:c>
      <x:c r="AI138" s="101">
        <x:f t="shared" si="4"/>
      </x:c>
      <x:c r="AJ138" s="101" t="str">
        <x:v>Inherited baseline estimate</x:v>
      </x:c>
      <x:c r="AK138" s="101" t="str">
        <x:v>v4.10.3</x:v>
      </x:c>
      <x:c r="AL138" s="101" t="str">
        <x:v>Chapters 3/4 v4.10.3 — MD + illustrated Word; UI Coverage / UI Controls in this workbook</x:v>
      </x:c>
      <x:c r="AM138" t="n">
        <x:f>IF(ISNUMBER(J138),1,0)</x:f>
        <x:v>1</x:v>
      </x:c>
      <x:c r="AN138" s="101"/>
      <x:c r="AO138" s="194" t="str">
        <x:v>Not started — no completion claimed</x:v>
      </x:c>
      <x:c r="AP138" s="194" t="str">
        <x:v>Inherited v2.22.0 intended record; no new runtime certification in this repair.</x:v>
      </x:c>
      <x:c r="AQ138" s="194"/>
      <x:c r="AR138" s="194" t="str">
        <x:v>INHERITED ESTIMATE</x:v>
      </x:c>
    </x:row>
    <x:row r="139" ht="76" hidden="1" customHeight="1">
      <x:c r="A139" s="101" t="str">
        <x:v>T-131</x:v>
      </x:c>
      <x:c r="B139" s="101" t="str">
        <x:v>M3</x:v>
      </x:c>
      <x:c r="C139" s="101" t="str">
        <x:v>P4</x:v>
      </x:c>
      <x:c r="D139" s="101" t="str">
        <x:v>Practice signature, windowing, context and cohorts</x:v>
      </x:c>
      <x:c r="E139" s="101" t="str">
        <x:v>AI+ML</x:v>
      </x:c>
      <x:c r="F139" s="101" t="str">
        <x:v>Practice learning</x:v>
      </x:c>
      <x:c r="G139" s="101" t="str">
        <x:v>Critical</x:v>
      </x:c>
      <x:c r="H139" s="101" t="str">
        <x:v>Implement the production practice-learning core: canonical signature construction, parameter windowing, declared context and comparison cohort. The engine consumes governed data-product contracts only and contains no source table/industry vocabulary. Persistence and the D10 surface remain T-133.</x:v>
      </x:c>
      <x:c r="I139" s="101" t="str">
        <x:v>Against the certified M2 reference dataset, recover the planted good-practice band and refuse/avoid the null control. Run a genericity test showing the kernel receives only semantic codes/data-product fields, never source identifiers.</x:v>
      </x:c>
      <x:c r="J139" s="107" t="n">
        <x:v>12</x:v>
      </x:c>
      <x:c r="K139" s="101" t="str">
        <x:v>Not Started</x:v>
      </x:c>
      <x:c r="L139" s="101" t="str">
        <x:v>Worker 3</x:v>
      </x:c>
      <x:c r="M139" s="101" t="str">
        <x:v>T-086; T-128; T-171</x:v>
      </x:c>
      <x:c r="N139" s="101" t="str">
        <x:v>T-132; T-133; T-136; T-142; T-240</x:v>
      </x:c>
      <x:c r="O139" s="101" t="str">
        <x:v>M3: 45 days after M2 completion</x:v>
      </x:c>
      <x:c r="P139" s="101" t="str">
        <x:v>Release 2 MUST</x:v>
      </x:c>
      <x:c r="Q139" s="101" t="str">
        <x:v>AI/ML production integration</x:v>
      </x:c>
      <x:c r="R139" s="195" t="n">
        <x:v>1.7999999999999998</x:v>
      </x:c>
      <x:c r="S139" s="101" t="str">
        <x:v>M3-P4</x:v>
      </x:c>
      <x:c r="T139" s="101" t="str">
        <x:v>T-086 + T-128 + T-171</x:v>
      </x:c>
      <x:c r="U139" s="101" t="str">
        <x:v>Own intelligence/ML/Assistant and named intelligence surfaces. W1/W2 forbidden after hand-off.</x:v>
      </x:c>
      <x:c r="V139" s="101" t="str">
        <x:v>Commit before downstream consumer starts; consumer must use the contract, not redesign producer-owned semantics.</x:v>
      </x:c>
      <x:c r="W139" s="101" t="str">
        <x:v>Advanced ML, Optimisation &amp; Value</x:v>
      </x:c>
      <x:c r="X139" s="101" t="str">
        <x:v>M3 P4 — Advanced ML, Optimisation &amp; Value. Release 2 is heavy production / scale / deeper enterprise use.</x:v>
      </x:c>
      <x:c r="Y139" s="196"/>
      <x:c r="Z139" s="197"/>
      <x:c r="AA139" s="101" t="str">
        <x:v>L4.6</x:v>
      </x:c>
      <x:c r="AB139" s="101" t="str">
        <x:v>Practice learning MF-07</x:v>
      </x:c>
      <x:c r="AC139" s="101"/>
      <x:c r="AD139" s="101" t="str">
        <x:v>Build</x:v>
      </x:c>
      <x:c r="AE139" s="101" t="str">
        <x:v>D3; D5</x:v>
      </x:c>
      <x:c r="AF139" s="101" t="str">
        <x:v>Core</x:v>
      </x:c>
      <x:c r="AG139" s="101" t="str">
        <x:v>R2</x:v>
      </x:c>
      <x:c r="AH139" s="101" t="str">
        <x:v>Advances</x:v>
      </x:c>
      <x:c r="AI139" s="101">
        <x:f t="shared" si="4"/>
      </x:c>
      <x:c r="AJ139" s="101" t="str">
        <x:v>Inherited baseline estimate</x:v>
      </x:c>
      <x:c r="AK139" s="101" t="str">
        <x:v>v4.10.3</x:v>
      </x:c>
      <x:c r="AL139" s="101" t="str">
        <x:v>Chapters 3/4 v4.10.3 — MD + illustrated Word; UI Coverage / UI Controls in this workbook</x:v>
      </x:c>
      <x:c r="AM139" t="n">
        <x:f>IF(ISNUMBER(J139),1,0)</x:f>
        <x:v>1</x:v>
      </x:c>
      <x:c r="AN139" s="101"/>
      <x:c r="AO139" s="194" t="str">
        <x:v>Not started — no completion claimed</x:v>
      </x:c>
      <x:c r="AP139" s="194" t="str">
        <x:v>Inherited v2.22.0 intended record; no new runtime certification in this repair.</x:v>
      </x:c>
      <x:c r="AQ139" s="194"/>
      <x:c r="AR139" s="194" t="str">
        <x:v>INHERITED ESTIMATE</x:v>
      </x:c>
    </x:row>
    <x:row r="140" ht="76" hidden="1" customHeight="1">
      <x:c r="A140" s="101" t="str">
        <x:v>T-132</x:v>
      </x:c>
      <x:c r="B140" s="101" t="str">
        <x:v>M3</x:v>
      </x:c>
      <x:c r="C140" s="101" t="str">
        <x:v>P4</x:v>
      </x:c>
      <x:c r="D140" s="101" t="str">
        <x:v>Support, confidence, back-off ladder and tolerance sensitivity</x:v>
      </x:c>
      <x:c r="E140" s="101" t="str">
        <x:v>AI+ML</x:v>
      </x:c>
      <x:c r="F140" s="101" t="str">
        <x:v>Practice learning</x:v>
      </x:c>
      <x:c r="G140" s="101" t="str">
        <x:v>Critical</x:v>
      </x:c>
      <x:c r="H140" s="101" t="str">
        <x:v>Add support/confidence ranking, sparse-cohort back-off, resampling stability and tolerance sensitivity to practice learning. A result that changes materially under reasonable tolerance changes is explicitly marked sensitive rather than promoted as stable.</x:v>
      </x:c>
      <x:c r="I140" s="101" t="str">
        <x:v>A stable practice survives resampling and is ranked with support. A sparse cohort walks the declared back-off ladder. Widen tolerance and prove a flipping practice is marked sensitive with the tested settings persisted.</x:v>
      </x:c>
      <x:c r="J140" s="107" t="n">
        <x:v>12</x:v>
      </x:c>
      <x:c r="K140" s="101" t="str">
        <x:v>Not Started</x:v>
      </x:c>
      <x:c r="L140" s="101" t="str">
        <x:v>Worker 3</x:v>
      </x:c>
      <x:c r="M140" s="101" t="str">
        <x:v>T-131</x:v>
      </x:c>
      <x:c r="N140" s="101" t="str">
        <x:v>T-133; T-136; T-142; T-240</x:v>
      </x:c>
      <x:c r="O140" s="101" t="str">
        <x:v>M3: 45 days after M2 completion</x:v>
      </x:c>
      <x:c r="P140" s="101" t="str">
        <x:v>Release 2 MUST</x:v>
      </x:c>
      <x:c r="Q140" s="101" t="str">
        <x:v>AI/ML production integration</x:v>
      </x:c>
      <x:c r="R140" s="195" t="n">
        <x:v>1.7999999999999998</x:v>
      </x:c>
      <x:c r="S140" s="101" t="str">
        <x:v>M3-P4</x:v>
      </x:c>
      <x:c r="T140" s="101" t="str">
        <x:v>T-131</x:v>
      </x:c>
      <x:c r="U140" s="101" t="str">
        <x:v>Own intelligence/ML/Assistant and named intelligence surfaces. W1/W2 forbidden after hand-off.</x:v>
      </x:c>
      <x:c r="V140" s="101" t="str">
        <x:v>Commit before downstream consumer starts; consumer must use the contract, not redesign producer-owned semantics.</x:v>
      </x:c>
      <x:c r="W140" s="101" t="str">
        <x:v>Advanced ML, Optimisation &amp; Value</x:v>
      </x:c>
      <x:c r="X140" s="101" t="str">
        <x:v>M3 P4 — Advanced ML, Optimisation &amp; Value. Release 2 is heavy production / scale / deeper enterprise use.</x:v>
      </x:c>
      <x:c r="Y140" s="196"/>
      <x:c r="Z140" s="197"/>
      <x:c r="AA140" s="101" t="str">
        <x:v>L4.6</x:v>
      </x:c>
      <x:c r="AB140" s="101" t="str">
        <x:v>Practice learning MF-07</x:v>
      </x:c>
      <x:c r="AC140" s="101"/>
      <x:c r="AD140" s="101" t="str">
        <x:v>Build</x:v>
      </x:c>
      <x:c r="AE140" s="101" t="str">
        <x:v>D3; D5</x:v>
      </x:c>
      <x:c r="AF140" s="101" t="str">
        <x:v>Core</x:v>
      </x:c>
      <x:c r="AG140" s="101" t="str">
        <x:v>R2</x:v>
      </x:c>
      <x:c r="AH140" s="101" t="str">
        <x:v>Advances</x:v>
      </x:c>
      <x:c r="AI140" s="101">
        <x:f t="shared" si="4"/>
      </x:c>
      <x:c r="AJ140" s="101" t="str">
        <x:v>Inherited baseline estimate</x:v>
      </x:c>
      <x:c r="AK140" s="101" t="str">
        <x:v>v4.10.3</x:v>
      </x:c>
      <x:c r="AL140" s="101" t="str">
        <x:v>Chapters 3/4 v4.10.3 — MD + illustrated Word; UI Coverage / UI Controls in this workbook</x:v>
      </x:c>
      <x:c r="AM140" t="n">
        <x:f>IF(ISNUMBER(J140),1,0)</x:f>
        <x:v>1</x:v>
      </x:c>
      <x:c r="AN140" s="101"/>
      <x:c r="AO140" s="194" t="str">
        <x:v>Not started — no completion claimed</x:v>
      </x:c>
      <x:c r="AP140" s="194" t="str">
        <x:v>Inherited v2.22.0 intended record; no new runtime certification in this repair.</x:v>
      </x:c>
      <x:c r="AQ140" s="194"/>
      <x:c r="AR140" s="194" t="str">
        <x:v>INHERITED ESTIMATE</x:v>
      </x:c>
    </x:row>
    <x:row r="141" ht="76" hidden="1" customHeight="1">
      <x:c r="A141" s="101" t="str">
        <x:v>T-133</x:v>
      </x:c>
      <x:c r="B141" s="101" t="str">
        <x:v>M3</x:v>
      </x:c>
      <x:c r="C141" s="101" t="str">
        <x:v>P4</x:v>
      </x:c>
      <x:c r="D141" s="101" t="str">
        <x:v>Practice persistence, drift and canonical D10 Practice Insights</x:v>
      </x:c>
      <x:c r="E141" s="101" t="str">
        <x:v>AI+ML</x:v>
      </x:c>
      <x:c r="F141" s="101" t="str">
        <x:v>Practice learning</x:v>
      </x:c>
      <x:c r="G141" s="101" t="str">
        <x:v>Very Important</x:v>
      </x:c>
      <x:c r="H141" s="101" t="str">
        <x:v>Persist practice_statistics/signatures with semantic_manifest_id and evidence, implement practice drift against the plant's own demonstrated best, and replace the M1 presentation adapter behind D10 with canonical sources without changing the frozen D10 visible contract.</x:v>
      </x:c>
      <x:c r="I141" s="101" t="str">
        <x:v>Move operating data away from the learned band and prove drift is detected, persisted and surfaced with evidence. Run the M1 continuity snapshot for D10 and prove no route, control, wording or state-semantics regression.</x:v>
      </x:c>
      <x:c r="J141" s="107" t="n">
        <x:v>12</x:v>
      </x:c>
      <x:c r="K141" s="101" t="str">
        <x:v>Not Started</x:v>
      </x:c>
      <x:c r="L141" s="101" t="str">
        <x:v>Worker 3</x:v>
      </x:c>
      <x:c r="M141" s="101" t="str">
        <x:v>T-131; T-132; T-183</x:v>
      </x:c>
      <x:c r="N141" s="101" t="str">
        <x:v>T-134; T-136; T-240</x:v>
      </x:c>
      <x:c r="O141" s="101" t="str">
        <x:v>M3: 45 days after M2 completion</x:v>
      </x:c>
      <x:c r="P141" s="101" t="str">
        <x:v>Release 2 MUST</x:v>
      </x:c>
      <x:c r="Q141" s="101" t="str">
        <x:v>AI/ML production integration</x:v>
      </x:c>
      <x:c r="R141" s="195" t="n">
        <x:v>1.7999999999999998</x:v>
      </x:c>
      <x:c r="S141" s="101" t="str">
        <x:v>M3-P4</x:v>
      </x:c>
      <x:c r="T141" s="101" t="str">
        <x:v>T-131 + T-132 + T-183</x:v>
      </x:c>
      <x:c r="U141" s="101" t="str">
        <x:v>Own intelligence/ML/Assistant and named intelligence surfaces. W1/W2 forbidden after hand-off.</x:v>
      </x:c>
      <x:c r="V141" s="101" t="str">
        <x:v>Commit before downstream consumer starts; consumer must use the contract, not redesign producer-owned semantics.</x:v>
      </x:c>
      <x:c r="W141" s="101" t="str">
        <x:v>Advanced ML, Optimisation &amp; Value</x:v>
      </x:c>
      <x:c r="X141" s="101" t="str">
        <x:v>M3 P4 — Advanced ML, Optimisation &amp; Value. Release 2 is heavy production / scale / deeper enterprise use.</x:v>
      </x:c>
      <x:c r="Y141" s="196"/>
      <x:c r="Z141" s="197"/>
      <x:c r="AA141" s="101" t="str">
        <x:v>L4.6</x:v>
      </x:c>
      <x:c r="AB141" s="101" t="str">
        <x:v>Practice learning MF-07</x:v>
      </x:c>
      <x:c r="AC141" s="101"/>
      <x:c r="AD141" s="101" t="str">
        <x:v>Build</x:v>
      </x:c>
      <x:c r="AE141" s="101" t="str">
        <x:v>D3; D4; D5</x:v>
      </x:c>
      <x:c r="AF141" s="101" t="str">
        <x:v>Core</x:v>
      </x:c>
      <x:c r="AG141" s="101" t="str">
        <x:v>R2</x:v>
      </x:c>
      <x:c r="AH141" s="101" t="str">
        <x:v>Advances</x:v>
      </x:c>
      <x:c r="AI141" s="101">
        <x:f t="shared" si="4"/>
      </x:c>
      <x:c r="AJ141" s="101" t="str">
        <x:v>Inherited baseline estimate</x:v>
      </x:c>
      <x:c r="AK141" s="101" t="str">
        <x:v>v4.10.3</x:v>
      </x:c>
      <x:c r="AL141" s="101" t="str">
        <x:v>Chapters 3/4 v4.10.3 — MD + illustrated Word; UI Coverage / UI Controls in this workbook</x:v>
      </x:c>
      <x:c r="AM141" t="n">
        <x:f>IF(ISNUMBER(J141),1,0)</x:f>
        <x:v>1</x:v>
      </x:c>
      <x:c r="AN141" s="101"/>
      <x:c r="AO141" s="194" t="str">
        <x:v>Not started — no completion claimed</x:v>
      </x:c>
      <x:c r="AP141" s="194" t="str">
        <x:v>Inherited v2.22.0 intended record; no new runtime certification in this repair.</x:v>
      </x:c>
      <x:c r="AQ141" s="194"/>
      <x:c r="AR141" s="194" t="str">
        <x:v>INHERITED ESTIMATE</x:v>
      </x:c>
    </x:row>
    <x:row r="142" ht="76" hidden="1" customHeight="1">
      <x:c r="A142" s="101" t="str">
        <x:v>T-134</x:v>
      </x:c>
      <x:c r="B142" s="101" t="str">
        <x:v>M3</x:v>
      </x:c>
      <x:c r="C142" s="101" t="str">
        <x:v>P4</x:v>
      </x:c>
      <x:c r="D142" s="101" t="str">
        <x:v>Bindable intelligence registry and evidence handles</x:v>
      </x:c>
      <x:c r="E142" s="101" t="str">
        <x:v>AI+ML</x:v>
      </x:c>
      <x:c r="F142" s="101" t="str">
        <x:v>Intelligence store</x:v>
      </x:c>
      <x:c r="G142" s="101" t="str">
        <x:v>Critical</x:v>
      </x:c>
      <x:c r="H142" s="101" t="str">
        <x:v>Make intelligence a first-class bindable source through registry_intelligence_sources. Fact-shaped measures may project through WidgetFact; native-grain rich sources retain declared columns. Predictions, findings, practice, readiness and model-state sources appear in the normal authoring shell with resolvable evidence.
v2.10.2 PHASE CORRECTION — this task builds the generic bindable-intelligence registry/evidence mechanism and registers only canonical sources that actually exist at this point. Do not promise prediction bindings before T-139 creates canonical predictions; T-139/T-189 register those sources later through the same mechanism.</x:v>
      </x:c>
      <x:c r="I142" s="101" t="str">
        <x:v>Bind one fact-shaped and one native-rich intelligence source through the standard authoring shell, filter/drill both and open evidence. Break an evidence handle and prove the widget refuses rather than rendering an uncited number. No ML-specific widget branch exists.</x:v>
      </x:c>
      <x:c r="J142" s="107" t="n">
        <x:v>12</x:v>
      </x:c>
      <x:c r="K142" s="101" t="str">
        <x:v>Not Started</x:v>
      </x:c>
      <x:c r="L142" s="101" t="str">
        <x:v>Worker 3</x:v>
      </x:c>
      <x:c r="M142" s="101" t="str">
        <x:v>T-090; T-095; T-096; T-129; T-130; T-133; T-186; T-139</x:v>
      </x:c>
      <x:c r="N142" s="101" t="str">
        <x:v>T-138; T-228; T-229</x:v>
      </x:c>
      <x:c r="O142" s="101" t="str">
        <x:v>M3: 45 days after M2 completion</x:v>
      </x:c>
      <x:c r="P142" s="101" t="str">
        <x:v>Release 2 MUST</x:v>
      </x:c>
      <x:c r="Q142" s="101" t="str">
        <x:v>AI/ML production integration</x:v>
      </x:c>
      <x:c r="R142" s="195" t="n">
        <x:v>1.7999999999999998</x:v>
      </x:c>
      <x:c r="S142" s="101" t="str">
        <x:v>M3-P4</x:v>
      </x:c>
      <x:c r="T142" s="101" t="str">
        <x:v>T-090 definition authority + T-095/T-096 relationship resolver + available ca...</x:v>
      </x:c>
      <x:c r="U142" s="101" t="str">
        <x:v>Own intelligence/ML/Assistant and named intelligence surfaces. W1/W2 forbidden after hand-off.</x:v>
      </x:c>
      <x:c r="V142" s="101" t="str">
        <x:v>Commit before downstream consumer starts; consumer must use the contract, not redesign producer-owned semantics.</x:v>
      </x:c>
      <x:c r="W142" s="101" t="str">
        <x:v>Advanced ML, Optimisation &amp; Value</x:v>
      </x:c>
      <x:c r="X142" s="101" t="str">
        <x:v>M3 P4 — Advanced ML, Optimisation &amp; Value. Release 2 is heavy production / scale / deeper enterprise use.</x:v>
      </x:c>
      <x:c r="Y142" s="196"/>
      <x:c r="Z142" s="197"/>
      <x:c r="AA142" s="101" t="str">
        <x:v>L5.5</x:v>
      </x:c>
      <x:c r="AB142" s="101" t="str">
        <x:v>Provenance, evidence chain, claim guard and refusal integrity</x:v>
      </x:c>
      <x:c r="AC142" s="101" t="str">
        <x:v>L3.4</x:v>
      </x:c>
      <x:c r="AD142" s="101" t="str">
        <x:v>Build</x:v>
      </x:c>
      <x:c r="AE142" s="101" t="str">
        <x:v>D3; D5</x:v>
      </x:c>
      <x:c r="AF142" s="101" t="str">
        <x:v>Core</x:v>
      </x:c>
      <x:c r="AG142" s="101" t="str">
        <x:v>R2</x:v>
      </x:c>
      <x:c r="AH142" s="101" t="str">
        <x:v>Advances</x:v>
      </x:c>
      <x:c r="AI142" s="101">
        <x:f t="shared" si="4"/>
      </x:c>
      <x:c r="AJ142" s="101" t="str">
        <x:v>Inherited baseline estimate</x:v>
      </x:c>
      <x:c r="AK142" s="101" t="str">
        <x:v>v4.10.3</x:v>
      </x:c>
      <x:c r="AL142" s="101" t="str">
        <x:v>Chapters 3/4 v4.10.3 — MD + illustrated Word; UI Coverage / UI Controls in this workbook</x:v>
      </x:c>
      <x:c r="AM142" t="n">
        <x:f>IF(ISNUMBER(J142),1,0)</x:f>
        <x:v>1</x:v>
      </x:c>
      <x:c r="AN142" s="101"/>
      <x:c r="AO142" s="194" t="str">
        <x:v>Not started — no completion claimed</x:v>
      </x:c>
      <x:c r="AP142" s="194" t="str">
        <x:v>Inherited v2.22.0 intended record; no new runtime certification in this repair.</x:v>
      </x:c>
      <x:c r="AQ142" s="194"/>
      <x:c r="AR142" s="194" t="str">
        <x:v>INHERITED ESTIMATE</x:v>
      </x:c>
    </x:row>
    <x:row r="143" ht="76" hidden="1" customHeight="1">
      <x:c r="A143" s="101" t="str">
        <x:v>T-135</x:v>
      </x:c>
      <x:c r="B143" s="101" t="str">
        <x:v>M3</x:v>
      </x:c>
      <x:c r="C143" s="101" t="str">
        <x:v>P4</x:v>
      </x:c>
      <x:c r="D143" s="101" t="str">
        <x:v>Tenant-aware uniqueness across the intelligence tables</x:v>
      </x:c>
      <x:c r="E143" s="101" t="str">
        <x:v>Database</x:v>
      </x:c>
      <x:c r="F143" s="101" t="str">
        <x:v>Intelligence store</x:v>
      </x:c>
      <x:c r="G143" s="101" t="str">
        <x:v>Very Important</x:v>
      </x:c>
      <x:c r="H143" s="101" t="str">
        <x:v>Apply tenant ownership, tenant-first uniqueness and RLS to every new intelligence table in the frozen design, including model, prediction, practice, index-generation, capability/readiness and run/evidence tables. Semantic manifests use manifest_id PK plus UNIQUE(tenant_id, manifest_hash).
v2.10.2 SECURITY-RATChET RULING — T-135 is not the first time RLS is applied. T-112/T-114 establish the mandatory pattern before Release 2 persistence. T-135 audits current intelligence tables and adds/extends the architecture ratchet so every future tenant-owned intelligence table fails CI if tenant_id, tenant-first uniqueness or FORCE RLS is missing.</x:v>
      </x:c>
      <x:c r="I143" s="101" t="str">
        <x:v>Insert identical natural keys for two tenants and prove both persist. Prove cross-tenant reads fail from the database alone. The architecture test fails when any new tenant-owned intelligence table lacks forced RLS or tenant-first uniqueness.</x:v>
      </x:c>
      <x:c r="J143" s="107" t="n">
        <x:v>10</x:v>
      </x:c>
      <x:c r="K143" s="101" t="str">
        <x:v>Not Started</x:v>
      </x:c>
      <x:c r="L143" s="101" t="str">
        <x:v>Worker 3</x:v>
      </x:c>
      <x:c r="M143" s="101" t="str">
        <x:v>T-112; T-114; T-128; T-129; T-130; T-183</x:v>
      </x:c>
      <x:c r="N143" s="101" t="str">
        <x:v>T-184; T-185; T-186; T-187</x:v>
      </x:c>
      <x:c r="O143" s="101" t="str">
        <x:v>M3: 45 days after M2 completion</x:v>
      </x:c>
      <x:c r="P143" s="101" t="str">
        <x:v>Release 2 MUST</x:v>
      </x:c>
      <x:c r="Q143" s="101" t="str">
        <x:v>DB/schema/migration</x:v>
      </x:c>
      <x:c r="R143" s="195" t="n">
        <x:v>1.9375</x:v>
      </x:c>
      <x:c r="S143" s="101" t="str">
        <x:v>M3-P4</x:v>
      </x:c>
      <x:c r="T143" s="101" t="str">
        <x:v>T-112 + T-114 + current Release 2 persistence tables (including T-128/T-129/T-130/T...</x:v>
      </x:c>
      <x:c r="U143" s="101" t="str">
        <x:v>Own intelligence/ML/Assistant and named intelligence surfaces. W1/W2 forbidden after hand-off.</x:v>
      </x:c>
      <x:c r="V143" s="101" t="str">
        <x:v>Commit before downstream consumer starts; consumer must use the contract, not redesign producer-owned semantics.</x:v>
      </x:c>
      <x:c r="W143" s="101" t="str">
        <x:v>Advanced ML, Optimisation &amp; Value</x:v>
      </x:c>
      <x:c r="X143" s="101" t="str">
        <x:v>M3 P4 — Advanced ML, Optimisation &amp; Value. Release 2 is heavy production / scale / deeper enterprise use.</x:v>
      </x:c>
      <x:c r="Y143" s="196"/>
      <x:c r="Z143" s="197"/>
      <x:c r="AA143" s="101" t="str">
        <x:v>L7.2</x:v>
      </x:c>
      <x:c r="AB143" s="101" t="str">
        <x:v>Tenant isolation</x:v>
      </x:c>
      <x:c r="AC143" s="101"/>
      <x:c r="AD143" s="101" t="str">
        <x:v>Build</x:v>
      </x:c>
      <x:c r="AE143" s="101" t="str">
        <x:v>D4; D5</x:v>
      </x:c>
      <x:c r="AF143" s="101" t="str">
        <x:v>Core</x:v>
      </x:c>
      <x:c r="AG143" s="101" t="str">
        <x:v>R2</x:v>
      </x:c>
      <x:c r="AH143" s="101" t="str">
        <x:v>Advances</x:v>
      </x:c>
      <x:c r="AI143" s="101">
        <x:f t="shared" si="4"/>
      </x:c>
      <x:c r="AJ143" s="101" t="str">
        <x:v>Inherited baseline estimate</x:v>
      </x:c>
      <x:c r="AK143" s="101" t="str">
        <x:v>v4.10.3</x:v>
      </x:c>
      <x:c r="AL143" s="101" t="str">
        <x:v>Chapters 3/4 v4.10.3 — MD + illustrated Word; UI Coverage / UI Controls in this workbook</x:v>
      </x:c>
      <x:c r="AM143" t="n">
        <x:f>IF(ISNUMBER(J143),1,0)</x:f>
        <x:v>1</x:v>
      </x:c>
      <x:c r="AN143" s="101"/>
      <x:c r="AO143" s="194" t="str">
        <x:v>Not started — no completion claimed</x:v>
      </x:c>
      <x:c r="AP143" s="194" t="str">
        <x:v>Inherited v2.22.0 intended record; no new runtime certification in this repair.</x:v>
      </x:c>
      <x:c r="AQ143" s="194"/>
      <x:c r="AR143" s="194" t="str">
        <x:v>INHERITED ESTIMATE</x:v>
      </x:c>
    </x:row>
    <x:row r="144" ht="76" hidden="1" customHeight="1">
      <x:c r="A144" s="101" t="str">
        <x:v>T-136</x:v>
      </x:c>
      <x:c r="B144" s="101" t="str">
        <x:v>M3</x:v>
      </x:c>
      <x:c r="C144" s="101" t="str">
        <x:v>P4</x:v>
      </x:c>
      <x:c r="D144" s="101" t="str">
        <x:v>Incremental practice recomputation</x:v>
      </x:c>
      <x:c r="E144" s="101" t="str">
        <x:v>AI+ML</x:v>
      </x:c>
      <x:c r="F144" s="101" t="str">
        <x:v>Practice learning</x:v>
      </x:c>
      <x:c r="G144" s="101" t="str">
        <x:v>Important</x:v>
      </x:c>
      <x:c r="H144" s="101" t="str">
        <x:v>Make practice recomputation incremental using Release 1 stage watermarks and changed-population contracts. Recompute only affected cohorts/signatures and preserve prior immutable evidence for unaffected historical results.</x:v>
      </x:c>
      <x:c r="I144" s="101" t="str">
        <x:v>Add one day of data and prove recomputation scans a bounded delta, Scan Amplification stays inside the declared baseline, and unaffected practice rows/evidence hashes do not change.</x:v>
      </x:c>
      <x:c r="J144" s="107" t="n">
        <x:v>10</x:v>
      </x:c>
      <x:c r="K144" s="101" t="str">
        <x:v>Not Started</x:v>
      </x:c>
      <x:c r="L144" s="101" t="str">
        <x:v>Worker 3</x:v>
      </x:c>
      <x:c r="M144" s="101" t="str">
        <x:v>T-131; T-132; T-133; T-109</x:v>
      </x:c>
      <x:c r="N144" s="101"/>
      <x:c r="O144" s="101" t="str">
        <x:v>M3: 45 days after M2 completion</x:v>
      </x:c>
      <x:c r="P144" s="101" t="str">
        <x:v>Release 2 MUST</x:v>
      </x:c>
      <x:c r="Q144" s="101" t="str">
        <x:v>AI/ML production integration</x:v>
      </x:c>
      <x:c r="R144" s="195" t="n">
        <x:v>1.5</x:v>
      </x:c>
      <x:c r="S144" s="101" t="str">
        <x:v>M3-P4</x:v>
      </x:c>
      <x:c r="T144" s="101" t="str">
        <x:v>T-109 + T-131..T-133</x:v>
      </x:c>
      <x:c r="U144" s="101" t="str">
        <x:v>Own intelligence/ML/Assistant and named intelligence surfaces. W1/W2 forbidden after hand-off.</x:v>
      </x:c>
      <x:c r="V144" s="101" t="str">
        <x:v>Commit before downstream consumer starts; consumer must use the contract, not redesign producer-owned semantics.</x:v>
      </x:c>
      <x:c r="W144" s="101" t="str">
        <x:v>Advanced ML, Optimisation &amp; Value</x:v>
      </x:c>
      <x:c r="X144" s="101" t="str">
        <x:v>M3 P4 — Advanced ML, Optimisation &amp; Value. Release 2 is heavy production / scale / deeper enterprise use.</x:v>
      </x:c>
      <x:c r="Y144" s="196"/>
      <x:c r="Z144" s="197"/>
      <x:c r="AA144" s="101" t="str">
        <x:v>L4.6</x:v>
      </x:c>
      <x:c r="AB144" s="101" t="str">
        <x:v>Practice learning MF-07</x:v>
      </x:c>
      <x:c r="AC144" s="101"/>
      <x:c r="AD144" s="101" t="str">
        <x:v>Build</x:v>
      </x:c>
      <x:c r="AE144" s="101" t="str">
        <x:v>D3; D5</x:v>
      </x:c>
      <x:c r="AF144" s="101" t="str">
        <x:v>Core</x:v>
      </x:c>
      <x:c r="AG144" s="101" t="str">
        <x:v>R2</x:v>
      </x:c>
      <x:c r="AH144" s="101" t="str">
        <x:v>Advances</x:v>
      </x:c>
      <x:c r="AI144" s="101">
        <x:f t="shared" si="4"/>
      </x:c>
      <x:c r="AJ144" s="101" t="str">
        <x:v>Inherited baseline estimate</x:v>
      </x:c>
      <x:c r="AK144" s="101" t="str">
        <x:v>v4.10.3</x:v>
      </x:c>
      <x:c r="AL144" s="101" t="str">
        <x:v>Chapters 3/4 v4.10.3 — MD + illustrated Word; UI Coverage / UI Controls in this workbook</x:v>
      </x:c>
      <x:c r="AM144" t="n">
        <x:f>IF(ISNUMBER(J144),1,0)</x:f>
        <x:v>1</x:v>
      </x:c>
      <x:c r="AN144" s="101"/>
      <x:c r="AO144" s="194" t="str">
        <x:v>Not started — no completion claimed</x:v>
      </x:c>
      <x:c r="AP144" s="194" t="str">
        <x:v>Inherited v2.22.0 intended record; no new runtime certification in this repair.</x:v>
      </x:c>
      <x:c r="AQ144" s="194"/>
      <x:c r="AR144" s="194" t="str">
        <x:v>INHERITED ESTIMATE</x:v>
      </x:c>
    </x:row>
    <x:row r="145" ht="76" hidden="1" customHeight="1">
      <x:c r="A145" s="101" t="str">
        <x:v>T-138</x:v>
      </x:c>
      <x:c r="B145" s="101" t="str">
        <x:v>M3</x:v>
      </x:c>
      <x:c r="C145" s="101" t="str">
        <x:v>P4</x:v>
      </x:c>
      <x:c r="D145" s="101" t="str">
        <x:v>Canonical Assistant runtime cutover: planner, retrieval, evidence packing, serving and verifier</x:v>
      </x:c>
      <x:c r="E145" s="101" t="str">
        <x:v>AI+ML</x:v>
      </x:c>
      <x:c r="F145" s="101" t="str">
        <x:v>Chatbot</x:v>
      </x:c>
      <x:c r="G145" s="101" t="str">
        <x:v>Critical</x:v>
      </x:c>
      <x:c r="H145" s="101" t="str">
        <x:v>After M1 continuity is frozen and canonical intelligence is available, replace M1 retrieval/prepared-state internals behind the unchanged dock. Wire T-179 planner, T-180 retrieval/evidence packer, T-137 ModelServingRuntime and T-181 verifier. Structured Layer A/B tools take precedence. Expose stable CompareOperationalPeriods (T-237) and GetCompositePractices (T-240) when those producer contracts are complete; their absence must degrade honestly rather than block the core Assistant cutover.
v2.20.0 PROVIDER-TRUTH RULING — provider names are capabilities, not aliases. Advertise Azure OpenAI, AWS Bedrock or any BYOM provider only when a concrete adapter/conformance path implements that provider's authentication, endpoint and response contract. OpenAI-compatible HTTP may serve only providers actually conforming to that contract.</x:v>
      </x:c>
      <x:c r="I145" s="101" t="str">
        <x:v>Re-run the certified M1 question pack and continuity snapshot. Every numeric claim resolves to a supplied handle, permission filtering occurs before ranking, truncation is disclosed, an engine refusal stays a refusal, and a fabricated/unsupported claim is blocked before display. No prepared presentation corpus is required. Provider-conformance tests prove every advertised provider has a concrete adapter path. A provider label mapped only to the generic OpenAI-compatible client without declared conformance is unavailable rather than advertised.</x:v>
      </x:c>
      <x:c r="J145" s="107" t="n">
        <x:v>12</x:v>
      </x:c>
      <x:c r="K145" s="101" t="str">
        <x:v>Not Started</x:v>
      </x:c>
      <x:c r="L145" s="101" t="str">
        <x:v>Worker 3</x:v>
      </x:c>
      <x:c r="M145" s="101" t="str">
        <x:v>T-179; T-180; T-181; T-137; T-134; T-188</x:v>
      </x:c>
      <x:c r="N145" s="101"/>
      <x:c r="O145" s="101" t="str">
        <x:v>M3: 45 days after M2 completion</x:v>
      </x:c>
      <x:c r="P145" s="101" t="str">
        <x:v>Release 2 MUST</x:v>
      </x:c>
      <x:c r="Q145" s="101" t="str">
        <x:v>AI/ML production integration</x:v>
      </x:c>
      <x:c r="R145" s="195" t="n">
        <x:v>1.7999999999999998</x:v>
      </x:c>
      <x:c r="S145" s="101" t="str">
        <x:v>M3-P4</x:v>
      </x:c>
      <x:c r="T145" s="101" t="str">
        <x:v>T-137 + T-179..T-181 + T-134 + T-188</x:v>
      </x:c>
      <x:c r="U145" s="101" t="str">
        <x:v>Own intelligence/ML/Assistant and named intelligence surfaces. W1/W2 forbidden after hand-off.</x:v>
      </x:c>
      <x:c r="V145" s="101" t="str">
        <x:v>Commit before downstream consumer starts; consumer must use the contract, not redesign producer-owned semantics.</x:v>
      </x:c>
      <x:c r="W145" s="101" t="str">
        <x:v>Advanced ML, Optimisation &amp; Value</x:v>
      </x:c>
      <x:c r="X145" s="101" t="str">
        <x:v>M3 P4 — Advanced ML, Optimisation &amp; Value. Release 2 is heavy production / scale / deeper enterprise use.</x:v>
      </x:c>
      <x:c r="Y145" s="196"/>
      <x:c r="Z145" s="197"/>
      <x:c r="AA145" s="101" t="str">
        <x:v>L6.2</x:v>
      </x:c>
      <x:c r="AB145" s="101" t="str">
        <x:v>Governed Assistant runtime</x:v>
      </x:c>
      <x:c r="AC145" s="101"/>
      <x:c r="AD145" s="101" t="str">
        <x:v>Converge</x:v>
      </x:c>
      <x:c r="AE145" s="101" t="str">
        <x:v>D3; D5</x:v>
      </x:c>
      <x:c r="AF145" s="101" t="str">
        <x:v>Core</x:v>
      </x:c>
      <x:c r="AG145" s="101" t="str">
        <x:v>R2</x:v>
      </x:c>
      <x:c r="AH145" s="101" t="str">
        <x:v>Advances</x:v>
      </x:c>
      <x:c r="AI145" s="101">
        <x:f t="shared" si="4"/>
      </x:c>
      <x:c r="AJ145" s="101" t="str">
        <x:v>Inherited baseline estimate</x:v>
      </x:c>
      <x:c r="AK145" s="101" t="str">
        <x:v>v4.10.3</x:v>
      </x:c>
      <x:c r="AL145" s="101" t="str">
        <x:v>Chapters 3/4 v4.10.3 — MD + illustrated Word; UI Coverage / UI Controls in this workbook</x:v>
      </x:c>
      <x:c r="AM145" t="n">
        <x:f>IF(ISNUMBER(J145),1,0)</x:f>
        <x:v>1</x:v>
      </x:c>
      <x:c r="AN145" s="101"/>
      <x:c r="AO145" s="194" t="str">
        <x:v>Not started — no completion claimed</x:v>
      </x:c>
      <x:c r="AP145" s="194" t="str">
        <x:v>Inherited v2.22.0 intended record; no new runtime certification in this repair.</x:v>
      </x:c>
      <x:c r="AQ145" s="194"/>
      <x:c r="AR145" s="194" t="str">
        <x:v>INHERITED ESTIMATE</x:v>
      </x:c>
    </x:row>
    <x:row r="146" ht="76" hidden="1" customHeight="1">
      <x:c r="A146" s="101" t="str">
        <x:v>T-139</x:v>
      </x:c>
      <x:c r="B146" s="101" t="str">
        <x:v>M3</x:v>
      </x:c>
      <x:c r="C146" s="101" t="str">
        <x:v>P4</x:v>
      </x:c>
      <x:c r="D146" s="101" t="str">
        <x:v>prediction_runs, predictions and prediction_current</x:v>
      </x:c>
      <x:c r="E146" s="101" t="str">
        <x:v>AI+ML</x:v>
      </x:c>
      <x:c r="F146" s="101" t="str">
        <x:v>Prediction</x:v>
      </x:c>
      <x:c r="G146" s="101" t="str">
        <x:v>Critical</x:v>
      </x:c>
      <x:c r="H146" s="101" t="str">
        <x:v>Persist prediction_runs, predictions and prediction_current per serving identity and generic analysis_subject_id + grain_code. A prediction may target a material unit, equipment state, campaign, batch or process window according to the published grain definition; no universal CoilId/material-unit assumption.</x:v>
      </x:c>
      <x:c r="I146" s="101" t="str">
        <x:v>Same prediction contract stores and retrieves at least one discrete subject and one non-material equipment/process-window subject, preserving evidence, horizon, uncertainty and tenant isolation.</x:v>
      </x:c>
      <x:c r="J146" s="107" t="n">
        <x:v>12</x:v>
      </x:c>
      <x:c r="K146" s="101" t="str">
        <x:v>Not Started</x:v>
      </x:c>
      <x:c r="L146" s="101" t="str">
        <x:v>Worker 3</x:v>
      </x:c>
      <x:c r="M146" s="101" t="str">
        <x:v>T-130; T-187; T-231</x:v>
      </x:c>
      <x:c r="N146" s="101" t="str">
        <x:v>T-134; T-140; T-141; T-142; T-189; T-193</x:v>
      </x:c>
      <x:c r="O146" s="101" t="str">
        <x:v>M3: 45 days after M2 completion</x:v>
      </x:c>
      <x:c r="P146" s="101" t="str">
        <x:v>Release 2 MUST</x:v>
      </x:c>
      <x:c r="Q146" s="101" t="str">
        <x:v>AI/ML production integration</x:v>
      </x:c>
      <x:c r="R146" s="195" t="n">
        <x:v>1.7999999999999998</x:v>
      </x:c>
      <x:c r="S146" s="101" t="str">
        <x:v>M3-P4</x:v>
      </x:c>
      <x:c r="T146" s="101" t="str">
        <x:v>T-130 + T-187</x:v>
      </x:c>
      <x:c r="U146" s="101" t="str">
        <x:v>Own intelligence/ML/Assistant and named intelligence surfaces. W1/W2 forbidden after hand-off.</x:v>
      </x:c>
      <x:c r="V146" s="101" t="str">
        <x:v>Commit before downstream consumer starts; consumer must use the contract, not redesign producer-owned semantics.</x:v>
      </x:c>
      <x:c r="W146" s="101" t="str">
        <x:v>Advanced ML, Optimisation &amp; Value</x:v>
      </x:c>
      <x:c r="X146" s="101" t="str">
        <x:v>M3 P4 — Advanced ML, Optimisation &amp; Value. Release 2 is heavy production / scale / deeper enterprise use.</x:v>
      </x:c>
      <x:c r="Y146" s="196"/>
      <x:c r="Z146" s="197"/>
      <x:c r="AA146" s="101" t="str">
        <x:v>L4.7</x:v>
      </x:c>
      <x:c r="AB146" s="101" t="str">
        <x:v>Prediction, drivers, explainability and remediation candidates</x:v>
      </x:c>
      <x:c r="AC146" s="101"/>
      <x:c r="AD146" s="101" t="str">
        <x:v>Build</x:v>
      </x:c>
      <x:c r="AE146" s="101" t="str">
        <x:v>D3; D5</x:v>
      </x:c>
      <x:c r="AF146" s="101" t="str">
        <x:v>Core</x:v>
      </x:c>
      <x:c r="AG146" s="101" t="str">
        <x:v>R2</x:v>
      </x:c>
      <x:c r="AH146" s="101" t="str">
        <x:v>Advances</x:v>
      </x:c>
      <x:c r="AI146" s="101">
        <x:f t="shared" si="4"/>
      </x:c>
      <x:c r="AJ146" s="101" t="str">
        <x:v>Inherited baseline estimate</x:v>
      </x:c>
      <x:c r="AK146" s="101" t="str">
        <x:v>v4.10.3</x:v>
      </x:c>
      <x:c r="AL146" s="101" t="str">
        <x:v>Chapters 3/4 v4.10.3 — MD + illustrated Word; UI Coverage / UI Controls in this workbook</x:v>
      </x:c>
      <x:c r="AM146" t="n">
        <x:f>IF(ISNUMBER(J146),1,0)</x:f>
        <x:v>1</x:v>
      </x:c>
      <x:c r="AN146" s="101"/>
      <x:c r="AO146" s="194" t="str">
        <x:v>Not started — no completion claimed</x:v>
      </x:c>
      <x:c r="AP146" s="194" t="str">
        <x:v>Inherited v2.22.0 intended record; no new runtime certification in this repair.</x:v>
      </x:c>
      <x:c r="AQ146" s="194"/>
      <x:c r="AR146" s="194" t="str">
        <x:v>INHERITED ESTIMATE</x:v>
      </x:c>
    </x:row>
    <x:row r="147" ht="76" hidden="1" customHeight="1">
      <x:c r="A147" s="101" t="str">
        <x:v>T-140</x:v>
      </x:c>
      <x:c r="B147" s="101" t="str">
        <x:v>M3</x:v>
      </x:c>
      <x:c r="C147" s="101" t="str">
        <x:v>P4</x:v>
      </x:c>
      <x:c r="D147" s="101" t="str">
        <x:v>Prediction drivers and comparables, persisted</x:v>
      </x:c>
      <x:c r="E147" s="101" t="str">
        <x:v>AI+ML</x:v>
      </x:c>
      <x:c r="F147" s="101" t="str">
        <x:v>Prediction</x:v>
      </x:c>
      <x:c r="G147" s="101" t="str">
        <x:v>Critical</x:v>
      </x:c>
      <x:c r="H147" s="101" t="str">
        <x:v>Persist prediction drivers, explanation metadata and comparable historical cases as evidence-grade rows. Drivers come from the governed explanation artifact and comparables from the served similarity generation; the UI never computes or narrates them from scratch.</x:v>
      </x:c>
      <x:c r="I147" s="101" t="str">
        <x:v>Open a prediction and resolve every driver/comparable to persisted model/index/evidence identity. Delete/deny the rows and prove the consuming surface refuses rather than inventing an explanation.</x:v>
      </x:c>
      <x:c r="J147" s="107" t="n">
        <x:v>12</x:v>
      </x:c>
      <x:c r="K147" s="101" t="str">
        <x:v>Not Started</x:v>
      </x:c>
      <x:c r="L147" s="101" t="str">
        <x:v>Worker 3</x:v>
      </x:c>
      <x:c r="M147" s="101" t="str">
        <x:v>T-139; T-173; T-176</x:v>
      </x:c>
      <x:c r="N147" s="101" t="str">
        <x:v>T-142; T-189</x:v>
      </x:c>
      <x:c r="O147" s="101" t="str">
        <x:v>M3: 45 days after M2 completion</x:v>
      </x:c>
      <x:c r="P147" s="101" t="str">
        <x:v>Release 2 MUST</x:v>
      </x:c>
      <x:c r="Q147" s="101" t="str">
        <x:v>AI/ML production integration</x:v>
      </x:c>
      <x:c r="R147" s="195" t="n">
        <x:v>1.7999999999999998</x:v>
      </x:c>
      <x:c r="S147" s="101" t="str">
        <x:v>M3-P4</x:v>
      </x:c>
      <x:c r="T147" s="101" t="str">
        <x:v>T-139 + T-173/T-176</x:v>
      </x:c>
      <x:c r="U147" s="101" t="str">
        <x:v>Own intelligence/ML/Assistant and named intelligence surfaces. W1/W2 forbidden after hand-off.</x:v>
      </x:c>
      <x:c r="V147" s="101" t="str">
        <x:v>Commit before downstream consumer starts; consumer must use the contract, not redesign producer-owned semantics.</x:v>
      </x:c>
      <x:c r="W147" s="101" t="str">
        <x:v>Advanced ML, Optimisation &amp; Value</x:v>
      </x:c>
      <x:c r="X147" s="101" t="str">
        <x:v>M3 P4 — Advanced ML, Optimisation &amp; Value. Release 2 is heavy production / scale / deeper enterprise use.</x:v>
      </x:c>
      <x:c r="Y147" s="196"/>
      <x:c r="Z147" s="197"/>
      <x:c r="AA147" s="101" t="str">
        <x:v>L4.7</x:v>
      </x:c>
      <x:c r="AB147" s="101" t="str">
        <x:v>Prediction, drivers, explainability and remediation candidates</x:v>
      </x:c>
      <x:c r="AC147" s="101"/>
      <x:c r="AD147" s="101" t="str">
        <x:v>Build</x:v>
      </x:c>
      <x:c r="AE147" s="101" t="str">
        <x:v>D3; D5</x:v>
      </x:c>
      <x:c r="AF147" s="101" t="str">
        <x:v>Core</x:v>
      </x:c>
      <x:c r="AG147" s="101" t="str">
        <x:v>R2</x:v>
      </x:c>
      <x:c r="AH147" s="101" t="str">
        <x:v>Advances</x:v>
      </x:c>
      <x:c r="AI147" s="101">
        <x:f t="shared" si="4"/>
      </x:c>
      <x:c r="AJ147" s="101" t="str">
        <x:v>Inherited baseline estimate</x:v>
      </x:c>
      <x:c r="AK147" s="101" t="str">
        <x:v>v4.10.3</x:v>
      </x:c>
      <x:c r="AL147" s="101" t="str">
        <x:v>Chapters 3/4 v4.10.3 — MD + illustrated Word; UI Coverage / UI Controls in this workbook</x:v>
      </x:c>
      <x:c r="AM147" t="n">
        <x:f>IF(ISNUMBER(J147),1,0)</x:f>
        <x:v>1</x:v>
      </x:c>
      <x:c r="AN147" s="101"/>
      <x:c r="AO147" s="194" t="str">
        <x:v>Not started — no completion claimed</x:v>
      </x:c>
      <x:c r="AP147" s="194" t="str">
        <x:v>Inherited v2.22.0 intended record; no new runtime certification in this repair.</x:v>
      </x:c>
      <x:c r="AQ147" s="194"/>
      <x:c r="AR147" s="194" t="str">
        <x:v>INHERITED ESTIMATE</x:v>
      </x:c>
    </x:row>
    <x:row r="148" ht="76" hidden="1" customHeight="1">
      <x:c r="A148" s="101" t="str">
        <x:v>T-141</x:v>
      </x:c>
      <x:c r="B148" s="101" t="str">
        <x:v>M3</x:v>
      </x:c>
      <x:c r="C148" s="101" t="str">
        <x:v>P4</x:v>
      </x:c>
      <x:c r="D148" s="101" t="str">
        <x:v>Actionable deadline and latency health</x:v>
      </x:c>
      <x:c r="E148" s="101" t="str">
        <x:v>AI+ML</x:v>
      </x:c>
      <x:c r="F148" s="101" t="str">
        <x:v>Prediction</x:v>
      </x:c>
      <x:c r="G148" s="101" t="str">
        <x:v>Very Important</x:v>
      </x:c>
      <x:c r="H148" s="101" t="str">
        <x:v>Implement actionable_deadline_utc, delivery_latency_seconds, scoring_mode and met_actionable_deadline. Tie online scoring to the hard-reserved ml.online_scoring lane. A late prediction is historical evidence, never actionable.</x:v>
      </x:c>
      <x:c r="I148" s="101" t="str">
        <x:v>Saturate training and batch, submit online scoring and measure that the reserved lane still serves. Force a prediction past its actionable deadline and prove it is persisted as late and excluded from actionable presentation.</x:v>
      </x:c>
      <x:c r="J148" s="107" t="n">
        <x:v>12</x:v>
      </x:c>
      <x:c r="K148" s="101" t="str">
        <x:v>Not Started</x:v>
      </x:c>
      <x:c r="L148" s="101" t="str">
        <x:v>Worker 3</x:v>
      </x:c>
      <x:c r="M148" s="101" t="str">
        <x:v>T-107; T-122; T-139; T-187</x:v>
      </x:c>
      <x:c r="N148" s="101" t="str">
        <x:v>T-189</x:v>
      </x:c>
      <x:c r="O148" s="101" t="str">
        <x:v>M3: 45 days after M2 completion</x:v>
      </x:c>
      <x:c r="P148" s="101" t="str">
        <x:v>Release 2 MUST</x:v>
      </x:c>
      <x:c r="Q148" s="101" t="str">
        <x:v>AI/ML production integration</x:v>
      </x:c>
      <x:c r="R148" s="195" t="n">
        <x:v>1.7999999999999998</x:v>
      </x:c>
      <x:c r="S148" s="101" t="str">
        <x:v>M3-P4</x:v>
      </x:c>
      <x:c r="T148" s="101" t="str">
        <x:v>T-107 + T-122 + T-139 + T-187</x:v>
      </x:c>
      <x:c r="U148" s="101" t="str">
        <x:v>Own intelligence/ML/Assistant and named intelligence surfaces. W1/W2 forbidden after hand-off.</x:v>
      </x:c>
      <x:c r="V148" s="101" t="str">
        <x:v>Commit before downstream consumer starts; consumer must use the contract, not redesign producer-owned semantics.</x:v>
      </x:c>
      <x:c r="W148" s="101" t="str">
        <x:v>Advanced ML, Optimisation &amp; Value</x:v>
      </x:c>
      <x:c r="X148" s="101" t="str">
        <x:v>M3 P4 — Advanced ML, Optimisation &amp; Value. Release 2 is heavy production / scale / deeper enterprise use.</x:v>
      </x:c>
      <x:c r="Y148" s="196"/>
      <x:c r="Z148" s="197"/>
      <x:c r="AA148" s="101" t="str">
        <x:v>L4.7</x:v>
      </x:c>
      <x:c r="AB148" s="101" t="str">
        <x:v>Prediction, drivers, explainability and remediation candidates</x:v>
      </x:c>
      <x:c r="AC148" s="101" t="str">
        <x:v>L8.6</x:v>
      </x:c>
      <x:c r="AD148" s="101" t="str">
        <x:v>Build</x:v>
      </x:c>
      <x:c r="AE148" s="101" t="str">
        <x:v>D3; D5</x:v>
      </x:c>
      <x:c r="AF148" s="101" t="str">
        <x:v>Core</x:v>
      </x:c>
      <x:c r="AG148" s="101" t="str">
        <x:v>R2</x:v>
      </x:c>
      <x:c r="AH148" s="101" t="str">
        <x:v>Advances</x:v>
      </x:c>
      <x:c r="AI148" s="101">
        <x:f t="shared" si="4"/>
      </x:c>
      <x:c r="AJ148" s="101" t="str">
        <x:v>Inherited baseline estimate</x:v>
      </x:c>
      <x:c r="AK148" s="101" t="str">
        <x:v>v4.10.3</x:v>
      </x:c>
      <x:c r="AL148" s="101" t="str">
        <x:v>Chapters 3/4 v4.10.3 — MD + illustrated Word; UI Coverage / UI Controls in this workbook</x:v>
      </x:c>
      <x:c r="AM148" t="n">
        <x:f>IF(ISNUMBER(J148),1,0)</x:f>
        <x:v>1</x:v>
      </x:c>
      <x:c r="AN148" s="101"/>
      <x:c r="AO148" s="194" t="str">
        <x:v>Not started — no completion claimed</x:v>
      </x:c>
      <x:c r="AP148" s="194" t="str">
        <x:v>Inherited v2.22.0 intended record; no new runtime certification in this repair.</x:v>
      </x:c>
      <x:c r="AQ148" s="194"/>
      <x:c r="AR148" s="194" t="str">
        <x:v>INHERITED ESTIMATE</x:v>
      </x:c>
    </x:row>
    <x:row r="149" ht="76" hidden="1" customHeight="1">
      <x:c r="A149" s="101" t="str">
        <x:v>T-142</x:v>
      </x:c>
      <x:c r="B149" s="101" t="str">
        <x:v>M3</x:v>
      </x:c>
      <x:c r="C149" s="101" t="str">
        <x:v>P4</x:v>
      </x:c>
      <x:c r="D149" s="101" t="str">
        <x:v>Remediation candidate generation from the customer's own history</x:v>
      </x:c>
      <x:c r="E149" s="101" t="str">
        <x:v>AI+ML</x:v>
      </x:c>
      <x:c r="F149" s="101" t="str">
        <x:v>Remediation</x:v>
      </x:c>
      <x:c r="G149" s="101" t="str">
        <x:v>Critical</x:v>
      </x:c>
      <x:c r="H149" s="101" t="str">
        <x:v>Generate remediation candidates from the customer's own governed history by finding comparable early conditions with better later outcomes and the later-stage practices that differed. Persist support, effect range, limitations, evidence and the semantic/model/index identities used. No candidate is a control instruction.</x:v>
      </x:c>
      <x:c r="I149" s="101" t="str">
        <x:v>On the certified M2 reference dataset, every emitted candidate meets the declared support threshold, has a bounded effect range and resolvable comparable evidence. Insufficient-support candidates do not emit. No source-system write API is reachable.</x:v>
      </x:c>
      <x:c r="J149" s="107" t="n">
        <x:v>8</x:v>
      </x:c>
      <x:c r="K149" s="101" t="str">
        <x:v>Not Started</x:v>
      </x:c>
      <x:c r="L149" s="101" t="str">
        <x:v>Worker 3</x:v>
      </x:c>
      <x:c r="M149" s="101" t="str">
        <x:v>T-131; T-132; T-139; T-140</x:v>
      </x:c>
      <x:c r="N149" s="101" t="str">
        <x:v>T-143; T-189; T-190</x:v>
      </x:c>
      <x:c r="O149" s="101" t="str">
        <x:v>M3: 45 days after M2 completion</x:v>
      </x:c>
      <x:c r="P149" s="101" t="str">
        <x:v>Release 2 MUST</x:v>
      </x:c>
      <x:c r="Q149" s="101" t="str">
        <x:v>AI/ML production integration</x:v>
      </x:c>
      <x:c r="R149" s="195" t="n">
        <x:v>1.2000000000000002</x:v>
      </x:c>
      <x:c r="S149" s="101" t="str">
        <x:v>M3-P4</x:v>
      </x:c>
      <x:c r="T149" s="101" t="str">
        <x:v>T-131/T-132 + T-139/T-140</x:v>
      </x:c>
      <x:c r="U149" s="101" t="str">
        <x:v>Own intelligence/ML/Assistant and named intelligence surfaces. W1/W2 forbidden after hand-off.</x:v>
      </x:c>
      <x:c r="V149" s="101" t="str">
        <x:v>Commit before downstream consumer starts; consumer must use the contract, not redesign producer-owned semantics.</x:v>
      </x:c>
      <x:c r="W149" s="101" t="str">
        <x:v>Advanced ML, Optimisation &amp; Value</x:v>
      </x:c>
      <x:c r="X149" s="101" t="str">
        <x:v>M3 P4 — Advanced ML, Optimisation &amp; Value. Release 2 is heavy production / scale / deeper enterprise use.</x:v>
      </x:c>
      <x:c r="Y149" s="196"/>
      <x:c r="Z149" s="197"/>
      <x:c r="AA149" s="101" t="str">
        <x:v>L4.7</x:v>
      </x:c>
      <x:c r="AB149" s="101" t="str">
        <x:v>Prediction, drivers, explainability and remediation candidates</x:v>
      </x:c>
      <x:c r="AC149" s="101"/>
      <x:c r="AD149" s="101" t="str">
        <x:v>Build</x:v>
      </x:c>
      <x:c r="AE149" s="101" t="str">
        <x:v>D3; D5</x:v>
      </x:c>
      <x:c r="AF149" s="101" t="str">
        <x:v>Core</x:v>
      </x:c>
      <x:c r="AG149" s="101" t="str">
        <x:v>R2</x:v>
      </x:c>
      <x:c r="AH149" s="101" t="str">
        <x:v>Advances</x:v>
      </x:c>
      <x:c r="AI149" s="101">
        <x:f t="shared" si="4"/>
      </x:c>
      <x:c r="AJ149" s="101" t="str">
        <x:v>Inherited baseline estimate</x:v>
      </x:c>
      <x:c r="AK149" s="101" t="str">
        <x:v>v4.10.3</x:v>
      </x:c>
      <x:c r="AL149" s="101" t="str">
        <x:v>Chapters 3/4 v4.10.3 — MD + illustrated Word; UI Coverage / UI Controls in this workbook</x:v>
      </x:c>
      <x:c r="AM149" t="n">
        <x:f>IF(ISNUMBER(J149),1,0)</x:f>
        <x:v>1</x:v>
      </x:c>
      <x:c r="AN149" s="101"/>
      <x:c r="AO149" s="194" t="str">
        <x:v>Not started — no completion claimed</x:v>
      </x:c>
      <x:c r="AP149" s="194" t="str">
        <x:v>Inherited v2.22.0 intended record; no new runtime certification in this repair.</x:v>
      </x:c>
      <x:c r="AQ149" s="194"/>
      <x:c r="AR149" s="194" t="str">
        <x:v>INHERITED ESTIMATE</x:v>
      </x:c>
    </x:row>
    <x:row r="150" ht="76" hidden="1" customHeight="1">
      <x:c r="A150" s="101" t="str">
        <x:v>T-143</x:v>
      </x:c>
      <x:c r="B150" s="101" t="str">
        <x:v>M3</x:v>
      </x:c>
      <x:c r="C150" s="101" t="str">
        <x:v>P4</x:v>
      </x:c>
      <x:c r="D150" s="101" t="str">
        <x:v>Integrate the nine-check remediation gate, can_accept and suppression</x:v>
      </x:c>
      <x:c r="E150" s="101" t="str">
        <x:v>AI+ML</x:v>
      </x:c>
      <x:c r="F150" s="101" t="str">
        <x:v>Remediation</x:v>
      </x:c>
      <x:c r="G150" s="101" t="str">
        <x:v>Critical</x:v>
      </x:c>
      <x:c r="H150" s="101" t="str">
        <x:v>Wire the pure decision kernel from T-178 into prediction/remediation persistence and API contracts. Eligibility is per prediction. can_accept is the complete server authority and the client never re-derives it. Outcomes are actionable, evidence_only, exploratory or suppressed; suppressed rows are audited and never shown.</x:v>
      </x:c>
      <x:c r="I150" s="101" t="str">
        <x:v>Run one persisted/API case per nine-check failure and per can_accept condition. Prove the same template can be suppressed for one prediction and actionable for another. Search every consuming API/UI payload and prove a suppressed candidate is absent.</x:v>
      </x:c>
      <x:c r="J150" s="107" t="n">
        <x:v>8</x:v>
      </x:c>
      <x:c r="K150" s="101" t="str">
        <x:v>Not Started</x:v>
      </x:c>
      <x:c r="L150" s="101" t="str">
        <x:v>Worker 3</x:v>
      </x:c>
      <x:c r="M150" s="101" t="str">
        <x:v>T-178; T-142</x:v>
      </x:c>
      <x:c r="N150" s="101" t="str">
        <x:v>T-144; T-189; T-190</x:v>
      </x:c>
      <x:c r="O150" s="101" t="str">
        <x:v>M3: 45 days after M2 completion</x:v>
      </x:c>
      <x:c r="P150" s="101" t="str">
        <x:v>Release 2 MUST</x:v>
      </x:c>
      <x:c r="Q150" s="101" t="str">
        <x:v>AI/ML production integration</x:v>
      </x:c>
      <x:c r="R150" s="195" t="n">
        <x:v>1.2000000000000002</x:v>
      </x:c>
      <x:c r="S150" s="101" t="str">
        <x:v>M3-P4</x:v>
      </x:c>
      <x:c r="T150" s="101" t="str">
        <x:v>T-178 + T-142</x:v>
      </x:c>
      <x:c r="U150" s="101" t="str">
        <x:v>Own intelligence/ML/Assistant and named intelligence surfaces. W1/W2 forbidden after hand-off.</x:v>
      </x:c>
      <x:c r="V150" s="101" t="str">
        <x:v>Commit before downstream consumer starts; consumer must use the contract, not redesign producer-owned semantics.</x:v>
      </x:c>
      <x:c r="W150" s="101" t="str">
        <x:v>Advanced ML, Optimisation &amp; Value</x:v>
      </x:c>
      <x:c r="X150" s="101" t="str">
        <x:v>M3 P4 — Advanced ML, Optimisation &amp; Value. Release 2 is heavy production / scale / deeper enterprise use.</x:v>
      </x:c>
      <x:c r="Y150" s="196"/>
      <x:c r="Z150" s="197"/>
      <x:c r="AA150" s="101" t="str">
        <x:v>L4.7</x:v>
      </x:c>
      <x:c r="AB150" s="101" t="str">
        <x:v>Prediction, drivers, explainability and remediation candidates</x:v>
      </x:c>
      <x:c r="AC150" s="101"/>
      <x:c r="AD150" s="101" t="str">
        <x:v>Validate</x:v>
      </x:c>
      <x:c r="AE150" s="101" t="str">
        <x:v>D3; D5</x:v>
      </x:c>
      <x:c r="AF150" s="101" t="str">
        <x:v>Core</x:v>
      </x:c>
      <x:c r="AG150" s="101" t="str">
        <x:v>R2</x:v>
      </x:c>
      <x:c r="AH150" s="101" t="str">
        <x:v>Advances</x:v>
      </x:c>
      <x:c r="AI150" s="101">
        <x:f t="shared" si="4"/>
      </x:c>
      <x:c r="AJ150" s="101" t="str">
        <x:v>Inherited baseline estimate</x:v>
      </x:c>
      <x:c r="AK150" s="101" t="str">
        <x:v>v4.10.3</x:v>
      </x:c>
      <x:c r="AL150" s="101" t="str">
        <x:v>Chapters 3/4 v4.10.3 — MD + illustrated Word; UI Coverage / UI Controls in this workbook</x:v>
      </x:c>
      <x:c r="AM150" t="n">
        <x:f>IF(ISNUMBER(J150),1,0)</x:f>
        <x:v>1</x:v>
      </x:c>
      <x:c r="AN150" s="101"/>
      <x:c r="AO150" s="194" t="str">
        <x:v>Not started — no completion claimed</x:v>
      </x:c>
      <x:c r="AP150" s="194" t="str">
        <x:v>Inherited v2.22.0 intended record; no new runtime certification in this repair.</x:v>
      </x:c>
      <x:c r="AQ150" s="194"/>
      <x:c r="AR150" s="194" t="str">
        <x:v>INHERITED ESTIMATE</x:v>
      </x:c>
    </x:row>
    <x:row r="151" ht="76" hidden="1" customHeight="1">
      <x:c r="A151" s="101" t="str">
        <x:v>T-144</x:v>
      </x:c>
      <x:c r="B151" s="101" t="str">
        <x:v>M3</x:v>
      </x:c>
      <x:c r="C151" s="101" t="str">
        <x:v>P4</x:v>
      </x:c>
      <x:c r="D151" s="101" t="str">
        <x:v>Accept, Reject and Defer with action recording</x:v>
      </x:c>
      <x:c r="E151" s="101" t="str">
        <x:v>AI+ML</x:v>
      </x:c>
      <x:c r="F151" s="101" t="str">
        <x:v>Feedback loop</x:v>
      </x:c>
      <x:c r="G151" s="101" t="str">
        <x:v>Critical</x:v>
      </x:c>
      <x:c r="H151" s="101" t="str">
        <x:v>Implement Accept, Reject and Defer behind the server-authoritative can_accept boundary, with actor, timestamp and reason. Each decision creates the governed action/decision state only when allowed. PPIQ records human action and never issues a plant control command.</x:v>
      </x:c>
      <x:c r="I151" s="101" t="str">
        <x:v>Exercise all three decisions with can_accept true and false. Allowed actions persist actor/reason/state; disallowed actions fail server-side even if a client is modified. A dependency/network test proves no customer-source write/control client is reachable.</x:v>
      </x:c>
      <x:c r="J151" s="107" t="n">
        <x:v>8</x:v>
      </x:c>
      <x:c r="K151" s="101" t="str">
        <x:v>Not Started</x:v>
      </x:c>
      <x:c r="L151" s="101" t="str">
        <x:v>Worker 3</x:v>
      </x:c>
      <x:c r="M151" s="101" t="str">
        <x:v>T-143</x:v>
      </x:c>
      <x:c r="N151" s="101" t="str">
        <x:v>T-145; T-190</x:v>
      </x:c>
      <x:c r="O151" s="101" t="str">
        <x:v>M3: 45 days after M2 completion</x:v>
      </x:c>
      <x:c r="P151" s="101" t="str">
        <x:v>Release 2 MUST</x:v>
      </x:c>
      <x:c r="Q151" s="101" t="str">
        <x:v>AI/ML production integration</x:v>
      </x:c>
      <x:c r="R151" s="195" t="n">
        <x:v>1.2000000000000002</x:v>
      </x:c>
      <x:c r="S151" s="101" t="str">
        <x:v>M3-P4</x:v>
      </x:c>
      <x:c r="T151" s="101" t="str">
        <x:v>T-143</x:v>
      </x:c>
      <x:c r="U151" s="101" t="str">
        <x:v>Own intelligence/ML/Assistant and named intelligence surfaces. W1/W2 forbidden after hand-off.</x:v>
      </x:c>
      <x:c r="V151" s="101" t="str">
        <x:v>Commit before downstream consumer starts; consumer must use the contract, not redesign producer-owned semantics.</x:v>
      </x:c>
      <x:c r="W151" s="101" t="str">
        <x:v>Advanced ML, Optimisation &amp; Value</x:v>
      </x:c>
      <x:c r="X151" s="101" t="str">
        <x:v>M3 P4 — Advanced ML, Optimisation &amp; Value. Release 2 is heavy production / scale / deeper enterprise use.</x:v>
      </x:c>
      <x:c r="Y151" s="196"/>
      <x:c r="Z151" s="197"/>
      <x:c r="AA151" s="101" t="str">
        <x:v>L9.3</x:v>
      </x:c>
      <x:c r="AB151" s="101" t="str">
        <x:v>Decision capture</x:v>
      </x:c>
      <x:c r="AC151" s="101" t="str">
        <x:v>L9.4</x:v>
      </x:c>
      <x:c r="AD151" s="101" t="str">
        <x:v>Build</x:v>
      </x:c>
      <x:c r="AE151" s="101" t="str">
        <x:v>D3; D5</x:v>
      </x:c>
      <x:c r="AF151" s="101" t="str">
        <x:v>Core</x:v>
      </x:c>
      <x:c r="AG151" s="101" t="str">
        <x:v>R2</x:v>
      </x:c>
      <x:c r="AH151" s="101" t="str">
        <x:v>Advances</x:v>
      </x:c>
      <x:c r="AI151" s="101">
        <x:f t="shared" si="4"/>
      </x:c>
      <x:c r="AJ151" s="101" t="str">
        <x:v>Inherited baseline estimate</x:v>
      </x:c>
      <x:c r="AK151" s="101" t="str">
        <x:v>v4.10.3</x:v>
      </x:c>
      <x:c r="AL151" s="101" t="str">
        <x:v>Chapters 3/4 v4.10.3 — MD + illustrated Word; UI Coverage / UI Controls in this workbook</x:v>
      </x:c>
      <x:c r="AM151" t="n">
        <x:f>IF(ISNUMBER(J151),1,0)</x:f>
        <x:v>1</x:v>
      </x:c>
      <x:c r="AN151" s="101"/>
      <x:c r="AO151" s="194" t="str">
        <x:v>Not started — no completion claimed</x:v>
      </x:c>
      <x:c r="AP151" s="194" t="str">
        <x:v>Inherited v2.22.0 intended record; no new runtime certification in this repair.</x:v>
      </x:c>
      <x:c r="AQ151" s="194"/>
      <x:c r="AR151" s="194" t="str">
        <x:v>INHERITED ESTIMATE</x:v>
      </x:c>
    </x:row>
    <x:row r="152" ht="76" hidden="1" customHeight="1">
      <x:c r="A152" s="101" t="str">
        <x:v>T-145</x:v>
      </x:c>
      <x:c r="B152" s="101" t="str">
        <x:v>M3</x:v>
      </x:c>
      <x:c r="C152" s="101" t="str">
        <x:v>P4</x:v>
      </x:c>
      <x:c r="D152" s="101" t="str">
        <x:v>Outcome capture, evaluation and escalation</x:v>
      </x:c>
      <x:c r="E152" s="101" t="str">
        <x:v>AI+ML</x:v>
      </x:c>
      <x:c r="F152" s="101" t="str">
        <x:v>Feedback loop</x:v>
      </x:c>
      <x:c r="G152" s="101" t="str">
        <x:v>Critical</x:v>
      </x:c>
      <x:c r="H152" s="101" t="str">
        <x:v>Capture observed outcomes, prediction/remediation evaluation and escalation records. Intervened instances are reported separately from ordinary prediction-accuracy metrics. Escalation is a record, never an automatic decision.
v2.22.0 — Own canonical outcome, effectiveness and feedback quality/poisoning boundary. Retire the parallel hand-entered Phase-8 outcome authority with T-190; do not delete historical evidence unsafely.</x:v>
      </x:c>
      <x:c r="I152" s="101" t="str">
        <x:v>Accept a candidate, let the outcome arrive and prove evaluation closes the loop with intervention state preserved. Confirm intervened instances are excluded from ordinary accuracy calculation and an escalation creates no action automatically.
v2.22.0 — Canonical-only outcome (DC03), complete action record before eligible feedback, actor concentration DC07 evidence, eligible-only supervisor proposals, feedback IDs retained and no auto-retraining. M2 unsafe route denial belongs to T-113.</x:v>
      </x:c>
      <x:c r="J152" s="107" t="n">
        <x:v>8</x:v>
      </x:c>
      <x:c r="K152" s="101" t="str">
        <x:v>Not Started</x:v>
      </x:c>
      <x:c r="L152" s="101" t="str">
        <x:v>Worker 3</x:v>
      </x:c>
      <x:c r="M152" s="101" t="str">
        <x:v>T-144</x:v>
      </x:c>
      <x:c r="N152" s="101" t="str">
        <x:v>T-190; T-193</x:v>
      </x:c>
      <x:c r="O152" s="101" t="str">
        <x:v>M3: 45 days after M2 completion</x:v>
      </x:c>
      <x:c r="P152" s="101" t="str">
        <x:v>Release 2 MUST</x:v>
      </x:c>
      <x:c r="Q152" s="101" t="str">
        <x:v>AI/ML production integration</x:v>
      </x:c>
      <x:c r="R152" s="195" t="n">
        <x:v>1.2000000000000002</x:v>
      </x:c>
      <x:c r="S152" s="101" t="str">
        <x:v>M3-P4</x:v>
      </x:c>
      <x:c r="T152" s="101" t="str">
        <x:v>T-144</x:v>
      </x:c>
      <x:c r="U152" s="101" t="str">
        <x:v>Own intelligence/ML/Assistant and named intelligence surfaces. W1/W2 forbidden after hand-off.</x:v>
      </x:c>
      <x:c r="V152" s="101" t="str">
        <x:v>Commit before downstream consumer starts; consumer must use the contract, not redesign producer-owned semantics.</x:v>
      </x:c>
      <x:c r="W152" s="101" t="str">
        <x:v>Advanced ML, Optimisation &amp; Value</x:v>
      </x:c>
      <x:c r="X152" s="101" t="str">
        <x:v>M3 P4 — Advanced ML, Optimisation &amp; Value. Release 2 is heavy production / scale / deeper enterprise use.</x:v>
      </x:c>
      <x:c r="Y152" s="196"/>
      <x:c r="Z152" s="197"/>
      <x:c r="AA152" s="101" t="str">
        <x:v>L9.5</x:v>
      </x:c>
      <x:c r="AB152" s="101" t="str">
        <x:v>Canonical outcome capture</x:v>
      </x:c>
      <x:c r="AC152" s="101" t="str">
        <x:v>L9.6; L6.4; L9.8</x:v>
      </x:c>
      <x:c r="AD152" s="101" t="str">
        <x:v>Build</x:v>
      </x:c>
      <x:c r="AE152" s="101" t="str">
        <x:v>D3; D5</x:v>
      </x:c>
      <x:c r="AF152" s="101" t="str">
        <x:v>Core</x:v>
      </x:c>
      <x:c r="AG152" s="101" t="str">
        <x:v>R2</x:v>
      </x:c>
      <x:c r="AH152" s="101" t="str">
        <x:v>Advances</x:v>
      </x:c>
      <x:c r="AI152" s="101">
        <x:f t="shared" si="4"/>
      </x:c>
      <x:c r="AJ152" s="101" t="str">
        <x:v>Inherited estimate; scope changed — re-estimation required</x:v>
      </x:c>
      <x:c r="AK152" s="101" t="str">
        <x:v>v4.10.3</x:v>
      </x:c>
      <x:c r="AL152" s="101" t="str">
        <x:v>Chapters 3/4 v4.10.3 — MD + illustrated Word; UI Coverage / UI Controls in this workbook</x:v>
      </x:c>
      <x:c r="AM152" t="n">
        <x:f>IF(ISNUMBER(J152),1,0)</x:f>
        <x:v>1</x:v>
      </x:c>
      <x:c r="AN152" s="101"/>
      <x:c r="AO152" s="194" t="str">
        <x:v>Not started — no completion claimed</x:v>
      </x:c>
      <x:c r="AP152" s="194" t="str">
        <x:v>Inherited v2.22.0 intended record; no new runtime certification in this repair.</x:v>
      </x:c>
      <x:c r="AQ152" s="194"/>
      <x:c r="AR152" s="194" t="str">
        <x:v>INHERITED ESTIMATE</x:v>
      </x:c>
    </x:row>
    <x:row r="153" ht="76" hidden="1" customHeight="1">
      <x:c r="A153" s="101" t="str">
        <x:v>T-146</x:v>
      </x:c>
      <x:c r="B153" s="101" t="str">
        <x:v>M3</x:v>
      </x:c>
      <x:c r="C153" s="101" t="str">
        <x:v>P4</x:v>
      </x:c>
      <x:c r="D153" s="101" t="str">
        <x:v>Converge the production statistical engine onto the certified method kernel</x:v>
      </x:c>
      <x:c r="E153" s="101" t="str">
        <x:v>Engine</x:v>
      </x:c>
      <x:c r="F153" s="101" t="str">
        <x:v>Consolidation</x:v>
      </x:c>
      <x:c r="G153" s="101" t="str">
        <x:v>Very Important</x:v>
      </x:c>
      <x:c r="H153" s="101" t="str">
        <x:v>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
v2.22.0 — Converge production statistical methods and discipline onto the accepted authorities; absorb/retire duplicate StatisticalDiscipline code only after all consumer and test obligations move. No performance/style-only rewrite.</x:v>
      </x:c>
      <x:c r="I153" s="101" t="str">
        <x:v>Only one production correlation engine is reachable. Known-answer fixtures cover Numeric×Numeric, Binary×Numeric, Categorical×Categorical and Numeric×Categorical. Numeric×Categorical selects ANOVA when assumptions hold and Kruskal-Wallis otherwise. Constant, unsupported and insufficient-sample cases retain distinct reasons. Re-run the M1 analysis continuity checks and prove no visible regression.
v2.22.0 — One production discipline path; known-answer regression and required FDR/effect/stratification/refusal outputs survive. Reuse accepted kernel evidence; absence of callers alone is not justification to erase future integration work.</x:v>
      </x:c>
      <x:c r="J153" s="107" t="n">
        <x:v>10</x:v>
      </x:c>
      <x:c r="K153" s="101" t="str">
        <x:v>Not Started</x:v>
      </x:c>
      <x:c r="L153" s="101" t="str">
        <x:v>Worker 3</x:v>
      </x:c>
      <x:c r="M153" s="101" t="str">
        <x:v>T-147; T-177; T-128; T-129</x:v>
      </x:c>
      <x:c r="N153" s="101"/>
      <x:c r="O153" s="101" t="str">
        <x:v>M3: 45 days after M2 completion</x:v>
      </x:c>
      <x:c r="P153" s="101" t="str">
        <x:v>Release 2 MUST</x:v>
      </x:c>
      <x:c r="Q153" s="101" t="str">
        <x:v>AI/ML production integration</x:v>
      </x:c>
      <x:c r="R153" s="195" t="n">
        <x:v>1.5</x:v>
      </x:c>
      <x:c r="S153" s="101" t="str">
        <x:v>M3-P4</x:v>
      </x:c>
      <x:c r="T153" s="101" t="str">
        <x:v>T-147 COMPLETE + T-177 + T-128/T-129; M1 presentation continuity frozen.</x:v>
      </x:c>
      <x:c r="U153" s="101" t="str">
        <x:v>Own intelligence/ML/Assistant and named intelligence surfaces. W1/W2 forbidden after hand-off.</x:v>
      </x:c>
      <x:c r="V153" s="101" t="str">
        <x:v>Commit before downstream consumer starts; consumer must use the contract, not redesign producer-owned semantics.</x:v>
      </x:c>
      <x:c r="W153" s="101" t="str">
        <x:v>Advanced ML, Optimisation &amp; Value</x:v>
      </x:c>
      <x:c r="X153" s="101" t="str">
        <x:v>M3 P4 — Advanced ML, Optimisation &amp; Value. Release 2 is heavy production / scale / deeper enterprise use.</x:v>
      </x:c>
      <x:c r="Y153" s="196"/>
      <x:c r="Z153" s="197"/>
      <x:c r="AA153" s="101" t="str">
        <x:v>L4.2</x:v>
      </x:c>
      <x:c r="AB153" s="101" t="str">
        <x:v>Statistical engines MF-05 / MF-06</x:v>
      </x:c>
      <x:c r="AC153" s="101"/>
      <x:c r="AD153" s="101" t="str">
        <x:v>Build</x:v>
      </x:c>
      <x:c r="AE153" s="101" t="str">
        <x:v>D3; D5</x:v>
      </x:c>
      <x:c r="AF153" s="101" t="str">
        <x:v>Core</x:v>
      </x:c>
      <x:c r="AG153" s="101" t="str">
        <x:v>R2</x:v>
      </x:c>
      <x:c r="AH153" s="101" t="str">
        <x:v>Advances</x:v>
      </x:c>
      <x:c r="AI153" s="101">
        <x:f t="shared" si="4"/>
      </x:c>
      <x:c r="AJ153" s="101" t="str">
        <x:v>Inherited estimate; scope changed — re-estimation required</x:v>
      </x:c>
      <x:c r="AK153" s="101" t="str">
        <x:v>v4.10.3</x:v>
      </x:c>
      <x:c r="AL153" s="101" t="str">
        <x:v>Chapters 3/4 v4.10.3 — MD + illustrated Word; UI Coverage / UI Controls in this workbook</x:v>
      </x:c>
      <x:c r="AM153" t="n">
        <x:f>IF(ISNUMBER(J153),1,0)</x:f>
        <x:v>1</x:v>
      </x:c>
      <x:c r="AN153" s="101"/>
      <x:c r="AO153" s="194" t="str">
        <x:v>Not started — no completion claimed</x:v>
      </x:c>
      <x:c r="AP153" s="194" t="str">
        <x:v>Inherited v2.22.0 intended record; no new runtime certification in this repair.</x:v>
      </x:c>
      <x:c r="AQ153" s="194"/>
      <x:c r="AR153" s="194" t="str">
        <x:v>INHERITED ESTIMATE</x:v>
      </x:c>
    </x:row>
    <x:row r="154" ht="76" hidden="1" customHeight="1">
      <x:c r="A154" s="101" t="str">
        <x:v>T-147</x:v>
      </x:c>
      <x:c r="B154" s="101" t="str">
        <x:v>M3</x:v>
      </x:c>
      <x:c r="C154" s="101" t="str">
        <x:v>P4</x:v>
      </x:c>
      <x:c r="D154" s="101" t="str">
        <x:v>Fix the outcome namespace, grain assignment and ordinal loader</x:v>
      </x:c>
      <x:c r="E154" s="101" t="str">
        <x:v>Engine</x:v>
      </x:c>
      <x:c r="F154" s="101" t="str">
        <x:v>Consolidation</x:v>
      </x:c>
      <x:c r="G154" s="101" t="str">
        <x:v>Critical</x:v>
      </x:c>
      <x:c r="H154" s="101" t="str">
        <x:v>Converge outcome namespace, grain ownership and ordinal/categorical loading on the canonical outcome store. Refresh must never silently reassign grain, and ordinal/categorical labels/classes are preserved as real outcomes rather than coerced to fake numeric targets. v2.10.1 SM-06 CONSUMPTION. Converge Engine-side outcome consumption on the canonical published SM-06 OutcomeDefinition and canonical outcome store. Consume — never redefine — outcome_type, class taxonomy, ordinal rank map, outcome-specific grain, detection_position_code, detection_timestamp_field, direction, unit and censoring policy. The two detection fields are the leakage anchors consumed by G-06. Refresh may not silently reassign grain, classes or outcome semantics, and categorical/ordinal outcomes remain real classes rather than fake numeric targets.</x:v>
      </x:c>
      <x:c r="I154" s="101" t="str">
        <x:v>One namespace across registry, store and engines. Grain survives refresh. Load ordinal/multiclass outcomes and prove class labels/counts seen by T-177/T-146 exactly match the store without manual repair. For a published SM-06 definition, prove the Engine receives exactly the canonical grain, classes/ranks, direction/unit/censoring semantics and detection_position_code/detection_timestamp_field. Inject a feature that becomes available only after the declared detection anchor and prove G-06 blocks it fail-closed. Publish a new outcome-definition version and prove an older run/snapshot continues to resolve the old semantics rather than being silently reinterpreted.</x:v>
      </x:c>
      <x:c r="J154" s="107" t="n">
        <x:v>12</x:v>
      </x:c>
      <x:c r="K154" s="101" t="str">
        <x:v>Not Started</x:v>
      </x:c>
      <x:c r="L154" s="101" t="str">
        <x:v>Worker 3</x:v>
      </x:c>
      <x:c r="M154" s="101" t="str">
        <x:v>T-090; T-128; T-129; T-177</x:v>
      </x:c>
      <x:c r="N154" s="101" t="str">
        <x:v>T-146</x:v>
      </x:c>
      <x:c r="O154" s="101" t="str">
        <x:v>M3: 45 days after M2 completion</x:v>
      </x:c>
      <x:c r="P154" s="101" t="str">
        <x:v>Release 2 MUST</x:v>
      </x:c>
      <x:c r="Q154" s="101" t="str">
        <x:v>AI/ML production integration</x:v>
      </x:c>
      <x:c r="R154" s="195" t="n">
        <x:v>1.7999999999999998</x:v>
      </x:c>
      <x:c r="S154" s="101" t="str">
        <x:v>M3-P4</x:v>
      </x:c>
      <x:c r="T154" s="101" t="str">
        <x:v>T-090 canonical SM-06 binding + T-128/T-129 + T-177; complete BEFORE T-146 fi...</x:v>
      </x:c>
      <x:c r="U154" s="101" t="str">
        <x:v>Own intelligence/ML/Assistant and named intelligence surfaces. W1/W2 forbidden after hand-off.</x:v>
      </x:c>
      <x:c r="V154" s="101" t="str">
        <x:v>Commit before downstream consumer starts; consumer must use the contract, not redesign producer-owned semantics.</x:v>
      </x:c>
      <x:c r="W154" s="101" t="str">
        <x:v>Advanced ML, Optimisation &amp; Value</x:v>
      </x:c>
      <x:c r="X154" s="101" t="str">
        <x:v>M3 P4 — Advanced ML, Optimisation &amp; Value. Release 2 is heavy production / scale / deeper enterprise use.</x:v>
      </x:c>
      <x:c r="Y154" s="196"/>
      <x:c r="Z154" s="197"/>
      <x:c r="AA154" s="101" t="str">
        <x:v>L5.3</x:v>
      </x:c>
      <x:c r="AB154" s="101" t="str">
        <x:v>Analysis Subject, grain and signal aggregation authority</x:v>
      </x:c>
      <x:c r="AC154" s="101" t="str">
        <x:v>L4.2</x:v>
      </x:c>
      <x:c r="AD154" s="101" t="str">
        <x:v>Correct</x:v>
      </x:c>
      <x:c r="AE154" s="101" t="str">
        <x:v>D1; D3; D5</x:v>
      </x:c>
      <x:c r="AF154" s="101" t="str">
        <x:v>Core</x:v>
      </x:c>
      <x:c r="AG154" s="101" t="str">
        <x:v>R2</x:v>
      </x:c>
      <x:c r="AH154" s="101" t="str">
        <x:v>Advances</x:v>
      </x:c>
      <x:c r="AI154" s="101">
        <x:f t="shared" si="4"/>
      </x:c>
      <x:c r="AJ154" s="101" t="str">
        <x:v>Inherited baseline estimate</x:v>
      </x:c>
      <x:c r="AK154" s="101" t="str">
        <x:v>v4.10.3</x:v>
      </x:c>
      <x:c r="AL154" s="101" t="str">
        <x:v>Chapters 3/4 v4.10.3 — MD + illustrated Word; UI Coverage / UI Controls in this workbook</x:v>
      </x:c>
      <x:c r="AM154" t="n">
        <x:f>IF(ISNUMBER(J154),1,0)</x:f>
        <x:v>1</x:v>
      </x:c>
      <x:c r="AN154" s="101"/>
      <x:c r="AO154" s="194" t="str">
        <x:v>Not started — no completion claimed</x:v>
      </x:c>
      <x:c r="AP154" s="194" t="str">
        <x:v>Inherited v2.22.0 intended record; no new runtime certification in this repair.</x:v>
      </x:c>
      <x:c r="AQ154" s="194"/>
      <x:c r="AR154" s="194" t="str">
        <x:v>INHERITED ESTIMATE</x:v>
      </x:c>
    </x:row>
    <x:row r="155" ht="76" hidden="1" customHeight="1">
      <x:c r="A155" s="101" t="str">
        <x:v>T-157</x:v>
      </x:c>
      <x:c r="B155" s="101" t="str">
        <x:v>M3</x:v>
      </x:c>
      <x:c r="C155" s="101" t="str">
        <x:v>P4</x:v>
      </x:c>
      <x:c r="D155" s="101" t="str">
        <x:v>Practice, prediction and model calibration on real data</x:v>
      </x:c>
      <x:c r="E155" s="101" t="str">
        <x:v>AI+ML</x:v>
      </x:c>
      <x:c r="F155" s="101" t="str">
        <x:v>Calibration</x:v>
      </x:c>
      <x:c r="G155" s="101" t="str">
        <x:v>Very Important</x:v>
      </x:c>
      <x:c r="H155" s="101" t="str">
        <x:v>With a longer real-data window, execute governed retraining/calibration, OOT/subgroup/missingness/explanation-stability checks, drift review and the site portions of B-05/B-06. Tune only benchmark-open parameters; no gate threshold is weakened to make a model pass.</x:v>
      </x:c>
      <x:c r="I155" s="101" t="str">
        <x:v>Each served model has a governed retraining/evaluation record, calibration evidence, drift decision and reproducible manifest. Any encoder/ANN choice is supported by the recorded benchmark against its simpler/exact baseline.</x:v>
      </x:c>
      <x:c r="J155" s="107" t="n">
        <x:v>12</x:v>
      </x:c>
      <x:c r="K155" s="101" t="str">
        <x:v>Not Started</x:v>
      </x:c>
      <x:c r="L155" s="101" t="str">
        <x:v>Worker 3</x:v>
      </x:c>
      <x:c r="M155" s="101"/>
      <x:c r="N155" s="101"/>
      <x:c r="O155" s="101" t="str">
        <x:v>M3: 45 days after M2 completion</x:v>
      </x:c>
      <x:c r="P155" s="101" t="str">
        <x:v>Release 2 MUST</x:v>
      </x:c>
      <x:c r="Q155" s="101" t="str">
        <x:v>Real-data AI/ML/site measurement</x:v>
      </x:c>
      <x:c r="R155" s="195" t="n">
        <x:v>4.32</x:v>
      </x:c>
      <x:c r="S155" s="101" t="str">
        <x:v>M3-P4</x:v>
      </x:c>
      <x:c r="T155" s="101" t="str">
        <x:v>WAIT for deployed Release 1 + real customer/site evidence. Release 2 accepted + customer data window</x:v>
      </x:c>
      <x:c r="U155" s="101" t="str">
        <x:v>Own AI/ML calibration/capacity evidence only.</x:v>
      </x:c>
      <x:c r="V155" s="101" t="str">
        <x:v>Commit before downstream consumer starts; consumer must use the contract, not redesign producer-owned semantics.</x:v>
      </x:c>
      <x:c r="W155" s="101" t="str">
        <x:v>Advanced ML, Optimisation &amp; Value</x:v>
      </x:c>
      <x:c r="X155" s="101" t="str">
        <x:v>M3 P4 — Advanced ML, Optimisation &amp; Value. Release 2 is heavy production / scale / deeper enterprise use.</x:v>
      </x:c>
      <x:c r="Y155" s="196"/>
      <x:c r="Z155" s="197"/>
      <x:c r="AA155" s="101" t="str">
        <x:v>L4.8</x:v>
      </x:c>
      <x:c r="AB155" s="101" t="str">
        <x:v>Model registry, promotion, serving and fallback</x:v>
      </x:c>
      <x:c r="AC155" s="101" t="str">
        <x:v>L4.4; L4.7</x:v>
      </x:c>
      <x:c r="AD155" s="101" t="str">
        <x:v>Build</x:v>
      </x:c>
      <x:c r="AE155" s="101" t="str">
        <x:v>D3; D5</x:v>
      </x:c>
      <x:c r="AF155" s="101" t="str">
        <x:v>Core</x:v>
      </x:c>
      <x:c r="AG155" s="101" t="str">
        <x:v>R2</x:v>
      </x:c>
      <x:c r="AH155" s="101" t="str">
        <x:v>Advances</x:v>
      </x:c>
      <x:c r="AI155" s="101">
        <x:f t="shared" si="4"/>
      </x:c>
      <x:c r="AJ155" s="101" t="str">
        <x:v>Inherited baseline estimate</x:v>
      </x:c>
      <x:c r="AK155" s="101" t="str">
        <x:v>v4.10.3</x:v>
      </x:c>
      <x:c r="AL155" s="101" t="str">
        <x:v>Chapters 3/4 v4.10.3 — MD + illustrated Word; UI Coverage / UI Controls in this workbook</x:v>
      </x:c>
      <x:c r="AM155" t="n">
        <x:f>IF(ISNUMBER(J155),1,0)</x:f>
        <x:v>1</x:v>
      </x:c>
      <x:c r="AN155" s="101"/>
      <x:c r="AO155" s="194" t="str">
        <x:v>Not started — no completion claimed</x:v>
      </x:c>
      <x:c r="AP155" s="194" t="str">
        <x:v>Inherited v2.22.0 intended record; no new runtime certification in this repair.</x:v>
      </x:c>
      <x:c r="AQ155" s="194"/>
      <x:c r="AR155" s="194" t="str">
        <x:v>INHERITED ESTIMATE</x:v>
      </x:c>
    </x:row>
    <x:row r="156" ht="76" hidden="1" customHeight="1">
      <x:c r="A156" s="101" t="str">
        <x:v>T-158</x:v>
      </x:c>
      <x:c r="B156" s="101" t="str">
        <x:v>M3</x:v>
      </x:c>
      <x:c r="C156" s="101" t="str">
        <x:v>P4</x:v>
      </x:c>
      <x:c r="D156" s="101" t="str">
        <x:v>Remediation validation against real process constraints</x:v>
      </x:c>
      <x:c r="E156" s="101" t="str">
        <x:v>AI+ML</x:v>
      </x:c>
      <x:c r="F156" s="101" t="str">
        <x:v>Remediation</x:v>
      </x:c>
      <x:c r="G156" s="101" t="str">
        <x:v>Very Important</x:v>
      </x:c>
      <x:c r="H156" s="101" t="str">
        <x:v>Validate remediation actionability, support thresholds, controllability and process-stage timing against the customer's real constraints. The human approval/read-only boundary remains absolute.</x:v>
      </x:c>
      <x:c r="I156" s="101" t="str">
        <x:v>Validate all nine checks against real constraints and replay at least one allowed and one refused case. No path permits automatic plant control and all refusal evidence is retained.</x:v>
      </x:c>
      <x:c r="J156" s="107" t="n">
        <x:v>12</x:v>
      </x:c>
      <x:c r="K156" s="101" t="str">
        <x:v>Not Started</x:v>
      </x:c>
      <x:c r="L156" s="101" t="str">
        <x:v>Worker 3</x:v>
      </x:c>
      <x:c r="M156" s="101"/>
      <x:c r="N156" s="101"/>
      <x:c r="O156" s="101" t="str">
        <x:v>M3: 45 days after M2 completion</x:v>
      </x:c>
      <x:c r="P156" s="101" t="str">
        <x:v>Release 2 MUST</x:v>
      </x:c>
      <x:c r="Q156" s="101" t="str">
        <x:v>Real-data AI/ML/site measurement</x:v>
      </x:c>
      <x:c r="R156" s="195" t="n">
        <x:v>4.32</x:v>
      </x:c>
      <x:c r="S156" s="101" t="str">
        <x:v>M3-P4</x:v>
      </x:c>
      <x:c r="T156" s="101" t="str">
        <x:v>WAIT for deployed Release 1 + real customer/site evidence. Release 2 accepted + customer data window</x:v>
      </x:c>
      <x:c r="U156" s="101" t="str">
        <x:v>Own AI/ML calibration/capacity evidence only.</x:v>
      </x:c>
      <x:c r="V156" s="101" t="str">
        <x:v>Commit before downstream consumer starts; consumer must use the contract, not redesign producer-owned semantics.</x:v>
      </x:c>
      <x:c r="W156" s="101" t="str">
        <x:v>Advanced ML, Optimisation &amp; Value</x:v>
      </x:c>
      <x:c r="X156" s="101" t="str">
        <x:v>M3 P4 — Advanced ML, Optimisation &amp; Value. Release 2 is heavy production / scale / deeper enterprise use.</x:v>
      </x:c>
      <x:c r="Y156" s="196"/>
      <x:c r="Z156" s="197"/>
      <x:c r="AA156" s="101" t="str">
        <x:v>L4.7</x:v>
      </x:c>
      <x:c r="AB156" s="101" t="str">
        <x:v>Prediction, drivers, explainability and remediation candidates</x:v>
      </x:c>
      <x:c r="AC156" s="101"/>
      <x:c r="AD156" s="101" t="str">
        <x:v>Build</x:v>
      </x:c>
      <x:c r="AE156" s="101" t="str">
        <x:v>D3; D5</x:v>
      </x:c>
      <x:c r="AF156" s="101" t="str">
        <x:v>Core</x:v>
      </x:c>
      <x:c r="AG156" s="101" t="str">
        <x:v>R2</x:v>
      </x:c>
      <x:c r="AH156" s="101" t="str">
        <x:v>Advances</x:v>
      </x:c>
      <x:c r="AI156" s="101">
        <x:f t="shared" si="4"/>
      </x:c>
      <x:c r="AJ156" s="101" t="str">
        <x:v>Inherited baseline estimate</x:v>
      </x:c>
      <x:c r="AK156" s="101" t="str">
        <x:v>v4.10.3</x:v>
      </x:c>
      <x:c r="AL156" s="101" t="str">
        <x:v>Chapters 3/4 v4.10.3 — MD + illustrated Word; UI Coverage / UI Controls in this workbook</x:v>
      </x:c>
      <x:c r="AM156" t="n">
        <x:f>IF(ISNUMBER(J156),1,0)</x:f>
        <x:v>1</x:v>
      </x:c>
      <x:c r="AN156" s="101"/>
      <x:c r="AO156" s="194" t="str">
        <x:v>Not started — no completion claimed</x:v>
      </x:c>
      <x:c r="AP156" s="194" t="str">
        <x:v>Inherited v2.22.0 intended record; no new runtime certification in this repair.</x:v>
      </x:c>
      <x:c r="AQ156" s="194"/>
      <x:c r="AR156" s="194" t="str">
        <x:v>INHERITED ESTIMATE</x:v>
      </x:c>
    </x:row>
    <x:row r="157" ht="76" hidden="1" customHeight="1">
      <x:c r="A157" s="101" t="str">
        <x:v>T-164</x:v>
      </x:c>
      <x:c r="B157" s="101" t="str">
        <x:v>M3</x:v>
      </x:c>
      <x:c r="C157" s="101" t="str">
        <x:v>P4</x:v>
      </x:c>
      <x:c r="D157" s="101" t="str">
        <x:v>The Value Engine</x:v>
      </x:c>
      <x:c r="E157" s="101" t="str">
        <x:v>Backend</x:v>
      </x:c>
      <x:c r="F157" s="101" t="str">
        <x:v>Value</x:v>
      </x:c>
      <x:c r="G157" s="101" t="str">
        <x:v>Critical</x:v>
      </x:c>
      <x:c r="H157" s="101" t="str">
        <x:v>Build value_impacts, cost_assumptions, the value realisation ledger and D7 Value Dashboard, honouring the two-downtime-quantity rule. Consume exact operational-period driver quantities from T-237 and transition/stabilisation evidence from T-235/T-236 so setup/changeover/ramp-up loss can be priced without inventing quantities. This is the only authority that converts assumption-based operational impact into bounded money.</x:v>
      </x:c>
      <x:c r="I157" s="101" t="str">
        <x:v>A euro figure is only ever shown as a bounded range with its assumptions visible and its evidence resolvable. No number without evidence.</x:v>
      </x:c>
      <x:c r="J157" s="107" t="n">
        <x:v>12</x:v>
      </x:c>
      <x:c r="K157" s="101" t="str">
        <x:v>Not Started</x:v>
      </x:c>
      <x:c r="L157" s="101" t="str">
        <x:v>Worker 1</x:v>
      </x:c>
      <x:c r="M157" s="101" t="str">
        <x:v>T-237; T-235</x:v>
      </x:c>
      <x:c r="N157" s="101" t="str">
        <x:v>T-249</x:v>
      </x:c>
      <x:c r="O157" s="101" t="str">
        <x:v>M3: 45 days after M2 completion</x:v>
      </x:c>
      <x:c r="P157" s="101" t="str">
        <x:v>Release 2 MUST</x:v>
      </x:c>
      <x:c r="Q157" s="101" t="str">
        <x:v>External/site certification</x:v>
      </x:c>
      <x:c r="R157" s="195" t="n">
        <x:v>7.2</x:v>
      </x:c>
      <x:c r="S157" s="101" t="str">
        <x:v>M3-P4</x:v>
      </x:c>
      <x:c r="T157" s="101" t="str">
        <x:v>WAIT for deployed Release 1 + real customer/site evidence. M3 sequence</x:v>
      </x:c>
      <x:c r="U157" s="101" t="str">
        <x:v>Own site/platform/backend/infra. No AI/ML calibration or customer UX docs.</x:v>
      </x:c>
      <x:c r="V157" s="101" t="str">
        <x:v>Commit before downstream consumer starts; consumer must use the contract, not redesign producer-owned semantics.</x:v>
      </x:c>
      <x:c r="W157" s="101" t="str">
        <x:v>Advanced ML, Optimisation &amp; Value</x:v>
      </x:c>
      <x:c r="X157" s="101" t="str">
        <x:v>M3 P4 — Advanced ML, Optimisation &amp; Value. Release 2 is heavy production / scale / deeper enterprise use.</x:v>
      </x:c>
      <x:c r="Y157" s="196"/>
      <x:c r="Z157" s="197"/>
      <x:c r="AA157" s="101" t="str">
        <x:v>L9.7</x:v>
      </x:c>
      <x:c r="AB157" s="101" t="str">
        <x:v>Value engine</x:v>
      </x:c>
      <x:c r="AC157" s="101"/>
      <x:c r="AD157" s="101" t="str">
        <x:v>Build</x:v>
      </x:c>
      <x:c r="AE157" s="101" t="str">
        <x:v>D3; D5</x:v>
      </x:c>
      <x:c r="AF157" s="101" t="str">
        <x:v>Core</x:v>
      </x:c>
      <x:c r="AG157" s="101" t="str">
        <x:v>R2</x:v>
      </x:c>
      <x:c r="AH157" s="101" t="str">
        <x:v>Advances</x:v>
      </x:c>
      <x:c r="AI157" s="101">
        <x:f t="shared" si="4"/>
      </x:c>
      <x:c r="AJ157" s="101" t="str">
        <x:v>Inherited baseline estimate</x:v>
      </x:c>
      <x:c r="AK157" s="101" t="str">
        <x:v>v4.10.3</x:v>
      </x:c>
      <x:c r="AL157" s="101" t="str">
        <x:v>Chapters 3/4 v4.10.3 — MD + illustrated Word; UI Coverage / UI Controls in this workbook</x:v>
      </x:c>
      <x:c r="AM157" t="n">
        <x:f>IF(ISNUMBER(J157),1,0)</x:f>
        <x:v>1</x:v>
      </x:c>
      <x:c r="AN157" s="101"/>
      <x:c r="AO157" s="194" t="str">
        <x:v>Not started — no completion claimed</x:v>
      </x:c>
      <x:c r="AP157" s="194" t="str">
        <x:v>Inherited v2.22.0 intended record; no new runtime certification in this repair.</x:v>
      </x:c>
      <x:c r="AQ157" s="194"/>
      <x:c r="AR157" s="194" t="str">
        <x:v>INHERITED ESTIMATE</x:v>
      </x:c>
    </x:row>
    <x:row r="158" ht="76" hidden="1" customHeight="1">
      <x:c r="A158" s="101" t="str">
        <x:v>T-165</x:v>
      </x:c>
      <x:c r="B158" s="101" t="str">
        <x:v>M3</x:v>
      </x:c>
      <x:c r="C158" s="101" t="str">
        <x:v>P4</x:v>
      </x:c>
      <x:c r="D158" s="101" t="str">
        <x:v>Commercial capacity finalisation and the sales calculator</x:v>
      </x:c>
      <x:c r="E158" s="101" t="str">
        <x:v>Backend</x:v>
      </x:c>
      <x:c r="F158" s="101" t="str">
        <x:v>Commercial</x:v>
      </x:c>
      <x:c r="G158" s="101" t="str">
        <x:v>Very Important</x:v>
      </x:c>
      <x:c r="H158" s="101" t="str">
        <x:v>Validate the real user, page, job, DB-link and data bands against measured infrastructure, and build the Sales Administration and capacity calculator from Chapter 6 6.3.8.
v2.22.0 — Explicitly deliver infrastructure-cost formula Ch6 6.3.5 and licence-price function 6.3.6 with their separate assumptions and units; avoid conflating entitlement with commercial price.</x:v>
      </x:c>
      <x:c r="I158" s="101" t="str">
        <x:v>A quote produced by the calculator matches the measured server class for the same inputs.
v2.22.0 — Known-answer cost and price inputs/outputs; unit/currency/time basis; invalid/missing assumptions refuse; customer figures not fabricated.</x:v>
      </x:c>
      <x:c r="J158" s="107" t="n">
        <x:v>12</x:v>
      </x:c>
      <x:c r="K158" s="101" t="str">
        <x:v>Not Started</x:v>
      </x:c>
      <x:c r="L158" s="101" t="str">
        <x:v>Worker 1</x:v>
      </x:c>
      <x:c r="M158" s="101"/>
      <x:c r="N158" s="101"/>
      <x:c r="O158" s="101" t="str">
        <x:v>M3: 45 days after M2 completion</x:v>
      </x:c>
      <x:c r="P158" s="101" t="str">
        <x:v>Release 2 MUST</x:v>
      </x:c>
      <x:c r="Q158" s="101" t="str">
        <x:v>External/site certification</x:v>
      </x:c>
      <x:c r="R158" s="195" t="n">
        <x:v>7.2</x:v>
      </x:c>
      <x:c r="S158" s="101" t="str">
        <x:v>M3-P4</x:v>
      </x:c>
      <x:c r="T158" s="101" t="str">
        <x:v>WAIT for deployed Release 1 + real customer/site evidence. M3 sequence</x:v>
      </x:c>
      <x:c r="U158" s="101" t="str">
        <x:v>Own site/platform/backend/infra. No AI/ML calibration or customer UX docs.</x:v>
      </x:c>
      <x:c r="V158" s="101" t="str">
        <x:v>Commit before downstream consumer starts; consumer must use the contract, not redesign producer-owned semantics.</x:v>
      </x:c>
      <x:c r="W158" s="101" t="str">
        <x:v>Advanced ML, Optimisation &amp; Value</x:v>
      </x:c>
      <x:c r="X158" s="101" t="str">
        <x:v>M3 P4 — Advanced ML, Optimisation &amp; Value. Release 2 is heavy production / scale / deeper enterprise use.</x:v>
      </x:c>
      <x:c r="Y158" s="196"/>
      <x:c r="Z158" s="197"/>
      <x:c r="AA158" s="101" t="str">
        <x:v>L7.6</x:v>
      </x:c>
      <x:c r="AB158" s="101" t="str">
        <x:v>Commercial capacity model and licence-price function</x:v>
      </x:c>
      <x:c r="AC158" s="101" t="str">
        <x:v>L7.7</x:v>
      </x:c>
      <x:c r="AD158" s="101" t="str">
        <x:v>Build</x:v>
      </x:c>
      <x:c r="AE158" s="101" t="str">
        <x:v>D3; D5</x:v>
      </x:c>
      <x:c r="AF158" s="101" t="str">
        <x:v>Core</x:v>
      </x:c>
      <x:c r="AG158" s="101" t="str">
        <x:v>R2</x:v>
      </x:c>
      <x:c r="AH158" s="101" t="str">
        <x:v>Advances</x:v>
      </x:c>
      <x:c r="AI158" s="101">
        <x:f t="shared" si="4"/>
      </x:c>
      <x:c r="AJ158" s="101" t="str">
        <x:v>Inherited estimate; scope changed — re-estimation required</x:v>
      </x:c>
      <x:c r="AK158" s="101" t="str">
        <x:v>v4.10.3</x:v>
      </x:c>
      <x:c r="AL158" s="101" t="str">
        <x:v>Chapters 3/4 v4.10.3 — MD + illustrated Word; UI Coverage / UI Controls in this workbook</x:v>
      </x:c>
      <x:c r="AM158" t="n">
        <x:f>IF(ISNUMBER(J158),1,0)</x:f>
        <x:v>1</x:v>
      </x:c>
      <x:c r="AN158" s="101"/>
      <x:c r="AO158" s="194" t="str">
        <x:v>Not started — no completion claimed</x:v>
      </x:c>
      <x:c r="AP158" s="194" t="str">
        <x:v>Inherited v2.22.0 intended record; no new runtime certification in this repair.</x:v>
      </x:c>
      <x:c r="AQ158" s="194"/>
      <x:c r="AR158" s="194" t="str">
        <x:v>INHERITED ESTIMATE</x:v>
      </x:c>
    </x:row>
    <x:row r="159" ht="76" hidden="1" customHeight="1">
      <x:c r="A159" s="101" t="str">
        <x:v>T-183</x:v>
      </x:c>
      <x:c r="B159" s="101" t="str">
        <x:v>M3</x:v>
      </x:c>
      <x:c r="C159" s="101" t="str">
        <x:v>P4</x:v>
      </x:c>
      <x:c r="D159" s="101" t="str">
        <x:v>Semantic Contract Manifest persistence, resolver and G-55 coverage</x:v>
      </x:c>
      <x:c r="E159" s="101" t="str">
        <x:v>Backend</x:v>
      </x:c>
      <x:c r="F159" s="101" t="str">
        <x:v>Semantic reproducibility</x:v>
      </x:c>
      <x:c r="G159" s="101" t="str">
        <x:v>Critical</x:v>
      </x:c>
      <x:c r="H159" s="101" t="str">
        <x:v>After Release 1-P1/P2 establish final definition/relationship authority, implement ppiq_meta.semantic_manifests as immutable tenant-owned reproducibility pins: manifest_id UUID PK, tenant_id, manifest_hash, referenced definition versions, relationship publication, registry/configuration hashes and UNIQUE(tenant_id, manifest_hash). Build ManifestResolver and semantic_manifest_id references on governed run/artifact/evidence tables. Legacy rows may be null; every new governed AI/ML execution must resolve a manifest.</x:v>
      </x:c>
      <x:c r="I159" s="101" t="str">
        <x:v>Create identical content in two tenants and prove separate rows; identical content twice in one tenant reuses the same manifest. Attempt mutation and refuse it. Start a new governed AI/ML run without a resolvable manifest and prove G-55 refuses before output persistence. A changed answer can be traced to a manifest diff.</x:v>
      </x:c>
      <x:c r="J159" s="107" t="n">
        <x:v>12</x:v>
      </x:c>
      <x:c r="K159" s="101" t="str">
        <x:v>Not Started</x:v>
      </x:c>
      <x:c r="L159" s="101" t="str">
        <x:v>Worker 3</x:v>
      </x:c>
      <x:c r="M159" s="101" t="str">
        <x:v>T-089; T-090; T-091; T-092; T-093; T-094; T-095; T-096; T-097; T-098; T-099; T-100; T-101; T-102; T-103; T-104; T-112; T-114</x:v>
      </x:c>
      <x:c r="N159" s="101" t="str">
        <x:v>T-129; T-130; T-133; T-135; T-184; T-185; T-186; T-187; T-192</x:v>
      </x:c>
      <x:c r="O159" s="101" t="str">
        <x:v>M3: 45 days after M2 completion</x:v>
      </x:c>
      <x:c r="P159" s="101" t="str">
        <x:v>Release 2 MUST</x:v>
      </x:c>
      <x:c r="Q159" s="101" t="str">
        <x:v>Backend/domain contract</x:v>
      </x:c>
      <x:c r="R159" s="195" t="n">
        <x:v>1.7999999999999998</x:v>
      </x:c>
      <x:c r="S159" s="101" t="str">
        <x:v>M3-P4</x:v>
      </x:c>
      <x:c r="T159" s="101" t="str">
        <x:v>T-089..T-105 canonical definition/relationship authority + T-112 + T-114 secu...</x:v>
      </x:c>
      <x:c r="U159" s="101" t="str">
        <x:v>Own intelligence/ML/Assistant and named intelligence surfaces. W1/W2 forbidden after hand-off.</x:v>
      </x:c>
      <x:c r="V159" s="101" t="str">
        <x:v>Commit before downstream consumer starts; consumer must use the contract, not redesign producer-owned semantics.</x:v>
      </x:c>
      <x:c r="W159" s="101" t="str">
        <x:v>Advanced ML, Optimisation &amp; Value</x:v>
      </x:c>
      <x:c r="X159" s="101" t="str">
        <x:v>M3 P4 — Advanced ML, Optimisation &amp; Value. Release 2 is heavy production / scale / deeper enterprise use.</x:v>
      </x:c>
      <x:c r="Y159" s="196"/>
      <x:c r="Z159" s="197"/>
      <x:c r="AA159" s="101" t="str">
        <x:v>L5.8</x:v>
      </x:c>
      <x:c r="AB159" s="101" t="str">
        <x:v>Truth contracts and claim boundaries</x:v>
      </x:c>
      <x:c r="AC159" s="101" t="str">
        <x:v>L5.5</x:v>
      </x:c>
      <x:c r="AD159" s="101" t="str">
        <x:v>Build</x:v>
      </x:c>
      <x:c r="AE159" s="101" t="str">
        <x:v>D1; D3; D4; D5</x:v>
      </x:c>
      <x:c r="AF159" s="101" t="str">
        <x:v>Core</x:v>
      </x:c>
      <x:c r="AG159" s="101" t="str">
        <x:v>R2</x:v>
      </x:c>
      <x:c r="AH159" s="101" t="str">
        <x:v>Advances</x:v>
      </x:c>
      <x:c r="AI159" s="101">
        <x:f t="shared" si="4"/>
      </x:c>
      <x:c r="AJ159" s="101" t="str">
        <x:v>Inherited baseline estimate</x:v>
      </x:c>
      <x:c r="AK159" s="101" t="str">
        <x:v>v4.10.3</x:v>
      </x:c>
      <x:c r="AL159" s="101" t="str">
        <x:v>Chapters 3/4 v4.10.3 — MD + illustrated Word; UI Coverage / UI Controls in this workbook</x:v>
      </x:c>
      <x:c r="AM159" t="n">
        <x:f>IF(ISNUMBER(J159),1,0)</x:f>
        <x:v>1</x:v>
      </x:c>
      <x:c r="AN159" s="101"/>
      <x:c r="AO159" s="194" t="str">
        <x:v>Not started — no completion claimed</x:v>
      </x:c>
      <x:c r="AP159" s="194" t="str">
        <x:v>Inherited v2.22.0 intended record; no new runtime certification in this repair.</x:v>
      </x:c>
      <x:c r="AQ159" s="194"/>
      <x:c r="AR159" s="194" t="str">
        <x:v>INHERITED ESTIMATE</x:v>
      </x:c>
    </x:row>
    <x:row r="160" ht="76" hidden="1" customHeight="1">
      <x:c r="A160" s="101" t="str">
        <x:v>T-184</x:v>
      </x:c>
      <x:c r="B160" s="101" t="str">
        <x:v>M3</x:v>
      </x:c>
      <x:c r="C160" s="101" t="str">
        <x:v>P4</x:v>
      </x:c>
      <x:c r="D160" s="101" t="str">
        <x:v>Snapshot Materialiser: seal feature state into typed artifacts and enforce G-48</x:v>
      </x:c>
      <x:c r="E160" s="101" t="str">
        <x:v>AI+ML</x:v>
      </x:c>
      <x:c r="F160" s="101" t="str">
        <x:v>Training data path</x:v>
      </x:c>
      <x:c r="G160" s="101" t="str">
        <x:v>Critical</x:v>
      </x:c>
      <x:c r="H160" s="101" t="str">
        <x:v>Wire T-169 into production as the Snapshot Materialiser. It is the sole component permitted to read feature_store for sealing; training/encoding consume only the immutable typed artifact. Persist hash/format/size/row-count/semantic_manifest_id and optional declared audit sample. No full duplicate JSONB training population.
v2.10.2 BENCHMARK-STATE RULING — persist the artifact format actually used for each snapshot, but do not call one format the universal/site-selected winner merely because T-169/T-182 synthetic smoke runs. Selection remains measurement/site evidence; the materialiser must support explicit configured candidate identity.</x:v>
      </x:c>
      <x:c r="I160" s="101" t="str">
        <x:v>Seal a snapshot, mutate live feature_store, then train/read through the artifact and reproduce the original input. Architecture gate G-48 fails if any trainer/encoder queries feature_store directly. Corrupt the artifact and prove hash verification refuses it before training.</x:v>
      </x:c>
      <x:c r="J160" s="107" t="n">
        <x:v>12</x:v>
      </x:c>
      <x:c r="K160" s="101" t="str">
        <x:v>Not Started</x:v>
      </x:c>
      <x:c r="L160" s="101" t="str">
        <x:v>Worker 3</x:v>
      </x:c>
      <x:c r="M160" s="101" t="str">
        <x:v>T-128; T-169; T-183; T-112; T-114; T-135</x:v>
      </x:c>
      <x:c r="N160" s="101" t="str">
        <x:v>T-187; T-192</x:v>
      </x:c>
      <x:c r="O160" s="101" t="str">
        <x:v>M3: 45 days after M2 completion</x:v>
      </x:c>
      <x:c r="P160" s="101" t="str">
        <x:v>Release 2 MUST</x:v>
      </x:c>
      <x:c r="Q160" s="101" t="str">
        <x:v>AI/ML production integration</x:v>
      </x:c>
      <x:c r="R160" s="195" t="n">
        <x:v>1.7999999999999998</x:v>
      </x:c>
      <x:c r="S160" s="101" t="str">
        <x:v>M3-P4</x:v>
      </x:c>
      <x:c r="T160" s="101" t="str">
        <x:v>T-128 + T-169 + T-183 + T-112/T-114/T-135 security ratchet.</x:v>
      </x:c>
      <x:c r="U160" s="101" t="str">
        <x:v>Own intelligence/ML/Assistant and named intelligence surfaces. W1/W2 forbidden after hand-off.</x:v>
      </x:c>
      <x:c r="V160" s="101" t="str">
        <x:v>Commit before downstream consumer starts; consumer must use the contract, not redesign producer-owned semantics.</x:v>
      </x:c>
      <x:c r="W160" s="101" t="str">
        <x:v>Advanced ML, Optimisation &amp; Value</x:v>
      </x:c>
      <x:c r="X160" s="101" t="str">
        <x:v>M3 P4 — Advanced ML, Optimisation &amp; Value. Release 2 is heavy production / scale / deeper enterprise use.</x:v>
      </x:c>
      <x:c r="Y160" s="196"/>
      <x:c r="Z160" s="197"/>
      <x:c r="AA160" s="101" t="str">
        <x:v>L4.3</x:v>
      </x:c>
      <x:c r="AB160" s="101" t="str">
        <x:v>Feature engineering and incremental feature refresh</x:v>
      </x:c>
      <x:c r="AC160" s="101"/>
      <x:c r="AD160" s="101" t="str">
        <x:v>Build</x:v>
      </x:c>
      <x:c r="AE160" s="101" t="str">
        <x:v>D3; D5</x:v>
      </x:c>
      <x:c r="AF160" s="101" t="str">
        <x:v>Core</x:v>
      </x:c>
      <x:c r="AG160" s="101" t="str">
        <x:v>R2</x:v>
      </x:c>
      <x:c r="AH160" s="101" t="str">
        <x:v>Advances</x:v>
      </x:c>
      <x:c r="AI160" s="101">
        <x:f t="shared" si="4"/>
      </x:c>
      <x:c r="AJ160" s="101" t="str">
        <x:v>Inherited baseline estimate</x:v>
      </x:c>
      <x:c r="AK160" s="101" t="str">
        <x:v>v4.10.3</x:v>
      </x:c>
      <x:c r="AL160" s="101" t="str">
        <x:v>Chapters 3/4 v4.10.3 — MD + illustrated Word; UI Coverage / UI Controls in this workbook</x:v>
      </x:c>
      <x:c r="AM160" t="n">
        <x:f>IF(ISNUMBER(J160),1,0)</x:f>
        <x:v>1</x:v>
      </x:c>
      <x:c r="AN160" s="101"/>
      <x:c r="AO160" s="194" t="str">
        <x:v>Not started — no completion claimed</x:v>
      </x:c>
      <x:c r="AP160" s="194" t="str">
        <x:v>Inherited v2.22.0 intended record; no new runtime certification in this repair.</x:v>
      </x:c>
      <x:c r="AQ160" s="194"/>
      <x:c r="AR160" s="194" t="str">
        <x:v>INHERITED ESTIMATE</x:v>
      </x:c>
    </x:row>
    <x:row r="161" ht="76" hidden="1" customHeight="1">
      <x:c r="A161" s="101" t="str">
        <x:v>T-185</x:v>
      </x:c>
      <x:c r="B161" s="101" t="str">
        <x:v>M3</x:v>
      </x:c>
      <x:c r="C161" s="101" t="str">
        <x:v>P4</x:v>
      </x:c>
      <x:c r="D161" s="101" t="str">
        <x:v>sequence_manifests persistence and object-storage sequence path</x:v>
      </x:c>
      <x:c r="E161" s="101" t="str">
        <x:v>AI+ML</x:v>
      </x:c>
      <x:c r="F161" s="101" t="str">
        <x:v>Training data path</x:v>
      </x:c>
      <x:c r="G161" s="101" t="str">
        <x:v>Critical</x:v>
      </x:c>
      <x:c r="H161" s="101" t="str">
        <x:v>Wire T-170 into production: ppiq_plant.sequence_manifests stores subject/channel/time/count/hash/storage/chunk metadata while object storage holds immutable numeric payload chunks. Integrate retention/backup identity and bounded loader access. PostgreSQL stores no numeric sequence arrays.
v2.10.2 BENCHMARK-STATE RULING — chunk/compression policy remains configured/recorded until representative/site B-04 evidence freezes it. Persist exact codec/chunk identity per manifest; do not hide the choice behind an unmeasured global default.</x:v>
      </x:c>
      <x:c r="I161" s="101" t="str">
        <x:v>Persist and reload a large multi-chunk sequence with manifest/content verification and bounded memory. Search the canonical schema and prove no numeric sequence payload array column exists. Restore the artifact/DB pair and reproduce the sequence; a missing chunk produces a typed refusal.</x:v>
      </x:c>
      <x:c r="J161" s="107" t="n">
        <x:v>12</x:v>
      </x:c>
      <x:c r="K161" s="101" t="str">
        <x:v>Not Started</x:v>
      </x:c>
      <x:c r="L161" s="101" t="str">
        <x:v>Worker 3</x:v>
      </x:c>
      <x:c r="M161" s="101" t="str">
        <x:v>T-170; T-183; T-122; T-112; T-114; T-135</x:v>
      </x:c>
      <x:c r="N161" s="101" t="str">
        <x:v>T-187; T-192</x:v>
      </x:c>
      <x:c r="O161" s="101" t="str">
        <x:v>M3: 45 days after M2 completion</x:v>
      </x:c>
      <x:c r="P161" s="101" t="str">
        <x:v>Release 2 MUST</x:v>
      </x:c>
      <x:c r="Q161" s="101" t="str">
        <x:v>AI/ML production integration</x:v>
      </x:c>
      <x:c r="R161" s="195" t="n">
        <x:v>1.7999999999999998</x:v>
      </x:c>
      <x:c r="S161" s="101" t="str">
        <x:v>M3-P4</x:v>
      </x:c>
      <x:c r="T161" s="101" t="str">
        <x:v>T-170 + T-183 + T-122 final object-storage/container path + T-112/T-114/T-135...</x:v>
      </x:c>
      <x:c r="U161" s="101" t="str">
        <x:v>Own intelligence/ML/Assistant and named intelligence surfaces. W1/W2 forbidden after hand-off.</x:v>
      </x:c>
      <x:c r="V161" s="101" t="str">
        <x:v>Commit before downstream consumer starts; consumer must use the contract, not redesign producer-owned semantics.</x:v>
      </x:c>
      <x:c r="W161" s="101" t="str">
        <x:v>Advanced ML, Optimisation &amp; Value</x:v>
      </x:c>
      <x:c r="X161" s="101" t="str">
        <x:v>M3 P4 — Advanced ML, Optimisation &amp; Value. Release 2 is heavy production / scale / deeper enterprise use.</x:v>
      </x:c>
      <x:c r="Y161" s="196"/>
      <x:c r="Z161" s="197"/>
      <x:c r="AA161" s="101" t="str">
        <x:v>L4.3</x:v>
      </x:c>
      <x:c r="AB161" s="101" t="str">
        <x:v>Feature engineering and incremental feature refresh</x:v>
      </x:c>
      <x:c r="AC161" s="101"/>
      <x:c r="AD161" s="101" t="str">
        <x:v>Build</x:v>
      </x:c>
      <x:c r="AE161" s="101" t="str">
        <x:v>D3; D4; D5</x:v>
      </x:c>
      <x:c r="AF161" s="101" t="str">
        <x:v>Core</x:v>
      </x:c>
      <x:c r="AG161" s="101" t="str">
        <x:v>R2</x:v>
      </x:c>
      <x:c r="AH161" s="101" t="str">
        <x:v>Advances</x:v>
      </x:c>
      <x:c r="AI161" s="101">
        <x:f t="shared" si="4"/>
      </x:c>
      <x:c r="AJ161" s="101" t="str">
        <x:v>Inherited baseline estimate</x:v>
      </x:c>
      <x:c r="AK161" s="101" t="str">
        <x:v>v4.10.3</x:v>
      </x:c>
      <x:c r="AL161" s="101" t="str">
        <x:v>Chapters 3/4 v4.10.3 — MD + illustrated Word; UI Coverage / UI Controls in this workbook</x:v>
      </x:c>
      <x:c r="AM161" t="n">
        <x:f>IF(ISNUMBER(J161),1,0)</x:f>
        <x:v>1</x:v>
      </x:c>
      <x:c r="AN161" s="101"/>
      <x:c r="AO161" s="194" t="str">
        <x:v>Not started — no completion claimed</x:v>
      </x:c>
      <x:c r="AP161" s="194" t="str">
        <x:v>Inherited v2.22.0 intended record; no new runtime certification in this repair.</x:v>
      </x:c>
      <x:c r="AQ161" s="194"/>
      <x:c r="AR161" s="194" t="str">
        <x:v>INHERITED ESTIMATE</x:v>
      </x:c>
    </x:row>
    <x:row r="162" ht="76" hidden="1" customHeight="1">
      <x:c r="A162" s="101" t="str">
        <x:v>T-186</x:v>
      </x:c>
      <x:c r="B162" s="101" t="str">
        <x:v>M3</x:v>
      </x:c>
      <x:c r="C162" s="101" t="str">
        <x:v>P4</x:v>
      </x:c>
      <x:c r="D162" s="101" t="str">
        <x:v>Persist capability profiles, prediction points and the model-count governor</x:v>
      </x:c>
      <x:c r="E162" s="101" t="str">
        <x:v>Engine</x:v>
      </x:c>
      <x:c r="F162" s="101" t="str">
        <x:v>Readiness</x:v>
      </x:c>
      <x:c r="G162" s="101" t="str">
        <x:v>Critical</x:v>
      </x:c>
      <x:c r="H162" s="101" t="str">
        <x:v>Persist the T-171 capability profile per outcome/grain/manifest and implement governed prediction-point candidates plus the model-count governor. Only capabilities supported by measured data become eligible; collapsed dimensions and refusal reasons remain visible. Prediction points are activated under policy rather than multiplying models blindly.
v2.22.0 — Persist and integrate CapabilityProfiler while preserving one readiness decision authority; coordinate T-146 consumers so a second production readiness result cannot disagree.</x:v>
      </x:c>
      <x:c r="I162" s="101" t="str">
        <x:v>On one rich and one sparse reference population, persist different capability states with their measured basis. Generate prediction-point candidates and prove the governor caps/chooses them deterministically. An unsupported model family remains MODEL_NOT_READY/NOT_APPLICABLE rather than creating a placeholder model.
v2.22.0 — Same population/definition/manifest yields same gate decision at all consumers; values/thresholds/refusal evidence visible; missing data fail-closed.</x:v>
      </x:c>
      <x:c r="J162" s="107" t="n">
        <x:v>12</x:v>
      </x:c>
      <x:c r="K162" s="101" t="str">
        <x:v>Not Started</x:v>
      </x:c>
      <x:c r="L162" s="101" t="str">
        <x:v>Worker 3</x:v>
      </x:c>
      <x:c r="M162" s="101" t="str">
        <x:v>T-171; T-183; T-128; T-129; T-195; T-135</x:v>
      </x:c>
      <x:c r="N162" s="101" t="str">
        <x:v>T-134; T-187; T-188; T-192</x:v>
      </x:c>
      <x:c r="O162" s="101" t="str">
        <x:v>M3: 45 days after M2 completion</x:v>
      </x:c>
      <x:c r="P162" s="101" t="str">
        <x:v>Release 2 MUST</x:v>
      </x:c>
      <x:c r="Q162" s="101" t="str">
        <x:v>AI/ML production integration</x:v>
      </x:c>
      <x:c r="R162" s="195" t="n">
        <x:v>1.7999999999999998</x:v>
      </x:c>
      <x:c r="S162" s="101" t="str">
        <x:v>M3-P4</x:v>
      </x:c>
      <x:c r="T162" s="101" t="str">
        <x:v>T-171 + T-183 + T-128/T-129 + T-195 canonical readiness thresholds + T-135 se...</x:v>
      </x:c>
      <x:c r="U162" s="101" t="str">
        <x:v>Own intelligence/ML/Assistant and named intelligence surfaces. W1/W2 forbidden after hand-off.</x:v>
      </x:c>
      <x:c r="V162" s="101" t="str">
        <x:v>Commit before downstream consumer starts; consumer must use the contract, not redesign producer-owned semantics.</x:v>
      </x:c>
      <x:c r="W162" s="101" t="str">
        <x:v>Advanced ML, Optimisation &amp; Value</x:v>
      </x:c>
      <x:c r="X162" s="101" t="str">
        <x:v>M3 P4 — Advanced ML, Optimisation &amp; Value. Release 2 is heavy production / scale / deeper enterprise use.</x:v>
      </x:c>
      <x:c r="Y162" s="196"/>
      <x:c r="Z162" s="197"/>
      <x:c r="AA162" s="101" t="str">
        <x:v>L4.1</x:v>
      </x:c>
      <x:c r="AB162" s="101" t="str">
        <x:v>Readiness gate and statistical discipline chain</x:v>
      </x:c>
      <x:c r="AC162" s="101" t="str">
        <x:v>L4.8</x:v>
      </x:c>
      <x:c r="AD162" s="101" t="str">
        <x:v>Build</x:v>
      </x:c>
      <x:c r="AE162" s="101" t="str">
        <x:v>D3; D4; D5</x:v>
      </x:c>
      <x:c r="AF162" s="101" t="str">
        <x:v>Core</x:v>
      </x:c>
      <x:c r="AG162" s="101" t="str">
        <x:v>R2</x:v>
      </x:c>
      <x:c r="AH162" s="101" t="str">
        <x:v>Advances</x:v>
      </x:c>
      <x:c r="AI162" s="101" t="str">
        <x:f t="shared" ref="AI162:AI176" si="5">IF(Y162="","",Y162)</x:f>
      </x:c>
      <x:c r="AJ162" s="101" t="str">
        <x:v>Inherited estimate; scope changed — re-estimation required</x:v>
      </x:c>
      <x:c r="AK162" s="101" t="str">
        <x:v>v4.10.3</x:v>
      </x:c>
      <x:c r="AL162" s="101" t="str">
        <x:v>Chapters 3/4 v4.10.3 — MD + illustrated Word; UI Coverage / UI Controls in this workbook</x:v>
      </x:c>
      <x:c r="AM162" t="n">
        <x:f>IF(ISNUMBER(J162),1,0)</x:f>
        <x:v>1</x:v>
      </x:c>
      <x:c r="AN162" s="101"/>
      <x:c r="AO162" s="194" t="str">
        <x:v>Not started — no completion claimed</x:v>
      </x:c>
      <x:c r="AP162" s="194" t="str">
        <x:v>Inherited v2.22.0 intended record; no new runtime certification in this repair.</x:v>
      </x:c>
      <x:c r="AQ162" s="194"/>
      <x:c r="AR162" s="194" t="str">
        <x:v>INHERITED ESTIMATE</x:v>
      </x:c>
    </x:row>
    <x:row r="163" ht="76" hidden="1" customHeight="1">
      <x:c r="A163" s="101" t="str">
        <x:v>T-187</x:v>
      </x:c>
      <x:c r="B163" s="101" t="str">
        <x:v>M3</x:v>
      </x:c>
      <x:c r="C163" s="101" t="str">
        <x:v>P4</x:v>
      </x:c>
      <x:c r="D163" s="101" t="str">
        <x:v>Production training/index integration: snapshots → ML lanes → registry activation</x:v>
      </x:c>
      <x:c r="E163" s="101" t="str">
        <x:v>AI+ML</x:v>
      </x:c>
      <x:c r="F163" s="101" t="str">
        <x:v>ML integration</x:v>
      </x:c>
      <x:c r="G163" s="101" t="str">
        <x:v>Critical</x:v>
      </x:c>
      <x:c r="H163" s="101" t="str">
        <x:v>Integrate T-168 runtime, T-172/T-174/T-175 learned families, T-173 index builder, T-176 promotion, T-183 manifests and T-184/T-185 artifacts with the Release 1 scheduler lanes. Training/index jobs consume sealed artifacts, checkpoint where declared, write governed result manifests and register candidates; only gate-approved versions activate. No daytime request enters training.
v2.10.2 BENCHMARK-STATE RULING — integration may activate a candidate only against the declared frozen acceptance metrics for the environment. It must record candidate/runtime/index/artifact identities and may not convert synthetic benchmark smoke into a universal production selection. Site B-05/B-06 choices are frozen by T-157; final B-01..B-09 sizing/selection evidence is consumed by T-159.</x:v>
      </x:c>
      <x:c r="I163" s="101" t="str">
        <x:v>Run a full candidate job from sealed snapshot through training/evaluation/registry. Prove direct feature_store access is absent, a failed gate cannot activate, a passed candidate activates atomically per serving identity, and online serving remains available while training/batch are saturated. MF-02 recall floor blocks an inadequate index.</x:v>
      </x:c>
      <x:c r="J163" s="107" t="n">
        <x:v>12</x:v>
      </x:c>
      <x:c r="K163" s="101" t="str">
        <x:v>Not Started</x:v>
      </x:c>
      <x:c r="L163" s="101" t="str">
        <x:v>Worker 3</x:v>
      </x:c>
      <x:c r="M163" s="101" t="str">
        <x:v>T-168; T-169; T-170; T-171; T-172; T-173; T-174; T-175; T-176; T-183; T-184; T-185; T-186; T-107; T-109; T-112; T-114; T-135; T-195</x:v>
      </x:c>
      <x:c r="N163" s="101" t="str">
        <x:v>T-139; T-141; T-191; T-192; T-193; T-246</x:v>
      </x:c>
      <x:c r="O163" s="101" t="str">
        <x:v>M3: 45 days after M2 completion</x:v>
      </x:c>
      <x:c r="P163" s="101" t="str">
        <x:v>Release 2 MUST</x:v>
      </x:c>
      <x:c r="Q163" s="101" t="str">
        <x:v>AI/ML production integration</x:v>
      </x:c>
      <x:c r="R163" s="195" t="n">
        <x:v>1.7999999999999998</x:v>
      </x:c>
      <x:c r="S163" s="101" t="str">
        <x:v>M3-P4</x:v>
      </x:c>
      <x:c r="T163" s="101" t="str">
        <x:v>T-107 + T-109 + T-168..T-176 + T-183..T-186 + T-112/T-114/T-135 + T-195.</x:v>
      </x:c>
      <x:c r="U163" s="101" t="str">
        <x:v>Own intelligence/ML/Assistant and named intelligence surfaces. W1/W2 forbidden after hand-off.</x:v>
      </x:c>
      <x:c r="V163" s="101" t="str">
        <x:v>Commit before downstream consumer starts; consumer must use the contract, not redesign producer-owned semantics.</x:v>
      </x:c>
      <x:c r="W163" s="101" t="str">
        <x:v>Advanced ML, Optimisation &amp; Value</x:v>
      </x:c>
      <x:c r="X163" s="101" t="str">
        <x:v>M3 P4 — Advanced ML, Optimisation &amp; Value. Release 2 is heavy production / scale / deeper enterprise use.</x:v>
      </x:c>
      <x:c r="Y163" s="196"/>
      <x:c r="Z163" s="197"/>
      <x:c r="AA163" s="101" t="str">
        <x:v>L4.4</x:v>
      </x:c>
      <x:c r="AB163" s="101" t="str">
        <x:v>Learned models MF-01 / MF-03 / MF-04</x:v>
      </x:c>
      <x:c r="AC163" s="101" t="str">
        <x:v>L4.5; L4.8</x:v>
      </x:c>
      <x:c r="AD163" s="101" t="str">
        <x:v>Build</x:v>
      </x:c>
      <x:c r="AE163" s="101" t="str">
        <x:v>D3; D5</x:v>
      </x:c>
      <x:c r="AF163" s="101" t="str">
        <x:v>Core</x:v>
      </x:c>
      <x:c r="AG163" s="101" t="str">
        <x:v>R2</x:v>
      </x:c>
      <x:c r="AH163" s="101" t="str">
        <x:v>Advances</x:v>
      </x:c>
      <x:c r="AI163" s="101">
        <x:f t="shared" si="5"/>
      </x:c>
      <x:c r="AJ163" s="101" t="str">
        <x:v>Inherited baseline estimate</x:v>
      </x:c>
      <x:c r="AK163" s="101" t="str">
        <x:v>v4.10.3</x:v>
      </x:c>
      <x:c r="AL163" s="101" t="str">
        <x:v>Chapters 3/4 v4.10.3 — MD + illustrated Word; UI Coverage / UI Controls in this workbook</x:v>
      </x:c>
      <x:c r="AM163" t="n">
        <x:f>IF(ISNUMBER(J163),1,0)</x:f>
        <x:v>1</x:v>
      </x:c>
      <x:c r="AN163" s="101"/>
      <x:c r="AO163" s="194" t="str">
        <x:v>Not started — no completion claimed</x:v>
      </x:c>
      <x:c r="AP163" s="194" t="str">
        <x:v>Inherited v2.22.0 intended record; no new runtime certification in this repair.</x:v>
      </x:c>
      <x:c r="AQ163" s="194"/>
      <x:c r="AR163" s="194" t="str">
        <x:v>INHERITED ESTIMATE</x:v>
      </x:c>
    </x:row>
    <x:row r="164" ht="76" hidden="1" customHeight="1">
      <x:c r="A164" s="101" t="str">
        <x:v>T-188</x:v>
      </x:c>
      <x:c r="B164" s="101" t="str">
        <x:v>M3</x:v>
      </x:c>
      <x:c r="C164" s="101" t="str">
        <x:v>P4</x:v>
      </x:c>
      <x:c r="D164" s="101" t="str">
        <x:v>Canonical D4 Findings and D8 ML Readiness/Models cutover</x:v>
      </x:c>
      <x:c r="E164" s="101" t="str">
        <x:v>Frontend</x:v>
      </x:c>
      <x:c r="F164" s="101" t="str">
        <x:v>Intelligence surfaces</x:v>
      </x:c>
      <x:c r="G164" s="101" t="str">
        <x:v>Critical</x:v>
      </x:c>
      <x:c r="H164" s="101" t="str">
        <x:v>Replace the M1 presentation adapters behind D4 Findings and D8 ML Readiness/Models with canonical run/finding/capability/model-registry sources. Preserve the frozen route, layout, labels, controls and refusal semantics; only the hidden data authority changes. Expose method/population/q-value/effect evidence and real readiness/model lifecycle state.</x:v>
      </x:c>
      <x:c r="I164" s="101" t="str">
        <x:v>Run the M1 continuity snapshots for both pages and record no visible-contract regression. Kill a canonical source and prove the page shows the same bounded failure/refusal state rather than presentation fallback data. Every displayed model/finding resolves to manifest/run/evidence.</x:v>
      </x:c>
      <x:c r="J164" s="107" t="n">
        <x:v>10</x:v>
      </x:c>
      <x:c r="K164" s="101" t="str">
        <x:v>Not Started</x:v>
      </x:c>
      <x:c r="L164" s="101" t="str">
        <x:v>Worker 3</x:v>
      </x:c>
      <x:c r="M164" s="101" t="str">
        <x:v>T-129; T-130; T-186; T-195</x:v>
      </x:c>
      <x:c r="N164" s="101" t="str">
        <x:v>T-138; T-192</x:v>
      </x:c>
      <x:c r="O164" s="101" t="str">
        <x:v>M3: 45 days after M2 completion</x:v>
      </x:c>
      <x:c r="P164" s="101" t="str">
        <x:v>Release 2 MUST</x:v>
      </x:c>
      <x:c r="Q164" s="101" t="str">
        <x:v>Frontend/UI feature</x:v>
      </x:c>
      <x:c r="R164" s="195" t="n">
        <x:v>1.6666666666666667</x:v>
      </x:c>
      <x:c r="S164" s="101" t="str">
        <x:v>M3-P4</x:v>
      </x:c>
      <x:c r="T164" s="101" t="str">
        <x:v>T-129 + T-130 + T-186 + T-195 + M1 continuity snapshots.</x:v>
      </x:c>
      <x:c r="U164" s="101" t="str">
        <x:v>Own intelligence/ML/Assistant and named intelligence surfaces. W1/W2 forbidden after hand-off.</x:v>
      </x:c>
      <x:c r="V164" s="101" t="str">
        <x:v>Commit before downstream consumer starts; consumer must use the contract, not redesign producer-owned semantics.</x:v>
      </x:c>
      <x:c r="W164" s="101" t="str">
        <x:v>Advanced ML, Optimisation &amp; Value</x:v>
      </x:c>
      <x:c r="X164" s="101" t="str">
        <x:v>M3 P4 — Advanced ML, Optimisation &amp; Value. Release 2 is heavy production / scale / deeper enterprise use.</x:v>
      </x:c>
      <x:c r="Y164" s="196"/>
      <x:c r="Z164" s="197"/>
      <x:c r="AA164" s="101" t="str">
        <x:v>L3.4</x:v>
      </x:c>
      <x:c r="AB164" s="101" t="str">
        <x:v>Widget catalogue and intelligence visualisation</x:v>
      </x:c>
      <x:c r="AC164" s="101" t="str">
        <x:v>L4.1; L4.2</x:v>
      </x:c>
      <x:c r="AD164" s="101" t="str">
        <x:v>Converge</x:v>
      </x:c>
      <x:c r="AE164" s="101" t="str">
        <x:v>D2; D5</x:v>
      </x:c>
      <x:c r="AF164" s="101" t="str">
        <x:v>Core</x:v>
      </x:c>
      <x:c r="AG164" s="101" t="str">
        <x:v>R2</x:v>
      </x:c>
      <x:c r="AH164" s="101" t="str">
        <x:v>Advances</x:v>
      </x:c>
      <x:c r="AI164" s="101">
        <x:f t="shared" si="5"/>
      </x:c>
      <x:c r="AJ164" s="101" t="str">
        <x:v>Inherited baseline estimate</x:v>
      </x:c>
      <x:c r="AK164" s="101" t="str">
        <x:v>v4.10.3</x:v>
      </x:c>
      <x:c r="AL164" s="101" t="str">
        <x:v>Chapters 3/4 v4.10.3 — MD + illustrated Word; UI Coverage / UI Controls in this workbook</x:v>
      </x:c>
      <x:c r="AM164" t="n">
        <x:f>IF(ISNUMBER(J164),1,0)</x:f>
        <x:v>1</x:v>
      </x:c>
      <x:c r="AN164" s="101"/>
      <x:c r="AO164" s="194" t="str">
        <x:v>Not started — no completion claimed</x:v>
      </x:c>
      <x:c r="AP164" s="194" t="str">
        <x:v>Inherited v2.22.0 intended record; no new runtime certification in this repair.</x:v>
      </x:c>
      <x:c r="AQ164" s="194"/>
      <x:c r="AR164" s="194" t="str">
        <x:v>INHERITED ESTIMATE</x:v>
      </x:c>
    </x:row>
    <x:row r="165" ht="76" hidden="1" customHeight="1">
      <x:c r="A165" s="101" t="str">
        <x:v>T-189</x:v>
      </x:c>
      <x:c r="B165" s="101" t="str">
        <x:v>M3</x:v>
      </x:c>
      <x:c r="C165" s="101" t="str">
        <x:v>P4</x:v>
      </x:c>
      <x:c r="D165" s="101" t="str">
        <x:v>Canonical D5 Risk and D9 Early Warning cutover</x:v>
      </x:c>
      <x:c r="E165" s="101" t="str">
        <x:v>Frontend</x:v>
      </x:c>
      <x:c r="F165" s="101" t="str">
        <x:v>Prediction surfaces</x:v>
      </x:c>
      <x:c r="G165" s="101" t="str">
        <x:v>Critical</x:v>
      </x:c>
      <x:c r="H165" s="101" t="str">
        <x:v>Bind D5 Risk and D9 Early Warning to prediction_current/prediction evidence. D5 remains aggregate current risk; D9 remains the per-unit actionable queue with deadline, drivers, fallback state, comparables and can_accept/remediation status. Preserve the M1 visual contract and remove presentation-only backing data.</x:v>
      </x:c>
      <x:c r="I165" s="101" t="str">
        <x:v>Continuity snapshots remain stable. Force a late prediction, fallback use, missing driver evidence and suppressed remediation; each renders the designed canonical state. No row appears actionable after its deadline and no client re-derives can_accept.</x:v>
      </x:c>
      <x:c r="J165" s="107" t="n">
        <x:v>12</x:v>
      </x:c>
      <x:c r="K165" s="101" t="str">
        <x:v>Not Started</x:v>
      </x:c>
      <x:c r="L165" s="101" t="str">
        <x:v>Worker 3</x:v>
      </x:c>
      <x:c r="M165" s="101" t="str">
        <x:v>T-139; T-140; T-141; T-142; T-143</x:v>
      </x:c>
      <x:c r="N165" s="101" t="str">
        <x:v>T-192</x:v>
      </x:c>
      <x:c r="O165" s="101" t="str">
        <x:v>M3: 45 days after M2 completion</x:v>
      </x:c>
      <x:c r="P165" s="101" t="str">
        <x:v>Release 2 MUST</x:v>
      </x:c>
      <x:c r="Q165" s="101" t="str">
        <x:v>Frontend/UI feature</x:v>
      </x:c>
      <x:c r="R165" s="195" t="n">
        <x:v>2</x:v>
      </x:c>
      <x:c r="S165" s="101" t="str">
        <x:v>M3-P4</x:v>
      </x:c>
      <x:c r="T165" s="101" t="str">
        <x:v>T-139..T-143 + M1 continuity snapshots</x:v>
      </x:c>
      <x:c r="U165" s="101" t="str">
        <x:v>Own intelligence/ML/Assistant and named intelligence surfaces. W1/W2 forbidden after hand-off.</x:v>
      </x:c>
      <x:c r="V165" s="101" t="str">
        <x:v>Commit before downstream consumer starts; consumer must use the contract, not redesign producer-owned semantics.</x:v>
      </x:c>
      <x:c r="W165" s="101" t="str">
        <x:v>Advanced ML, Optimisation &amp; Value</x:v>
      </x:c>
      <x:c r="X165" s="101" t="str">
        <x:v>M3 P4 — Advanced ML, Optimisation &amp; Value. Release 2 is heavy production / scale / deeper enterprise use.</x:v>
      </x:c>
      <x:c r="Y165" s="196"/>
      <x:c r="Z165" s="197"/>
      <x:c r="AA165" s="101" t="str">
        <x:v>L4.7</x:v>
      </x:c>
      <x:c r="AB165" s="101" t="str">
        <x:v>Prediction, drivers, explainability and remediation candidates</x:v>
      </x:c>
      <x:c r="AC165" s="101" t="str">
        <x:v>L3.4</x:v>
      </x:c>
      <x:c r="AD165" s="101" t="str">
        <x:v>Converge</x:v>
      </x:c>
      <x:c r="AE165" s="101" t="str">
        <x:v>D2; D5</x:v>
      </x:c>
      <x:c r="AF165" s="101" t="str">
        <x:v>Core</x:v>
      </x:c>
      <x:c r="AG165" s="101" t="str">
        <x:v>R2</x:v>
      </x:c>
      <x:c r="AH165" s="101" t="str">
        <x:v>Advances</x:v>
      </x:c>
      <x:c r="AI165" s="101">
        <x:f t="shared" si="5"/>
      </x:c>
      <x:c r="AJ165" s="101" t="str">
        <x:v>Inherited baseline estimate</x:v>
      </x:c>
      <x:c r="AK165" s="101" t="str">
        <x:v>v4.10.3</x:v>
      </x:c>
      <x:c r="AL165" s="101" t="str">
        <x:v>Chapters 3/4 v4.10.3 — MD + illustrated Word; UI Coverage / UI Controls in this workbook</x:v>
      </x:c>
      <x:c r="AM165" t="n">
        <x:f>IF(ISNUMBER(J165),1,0)</x:f>
        <x:v>1</x:v>
      </x:c>
      <x:c r="AN165" s="101"/>
      <x:c r="AO165" s="194" t="str">
        <x:v>Not started — no completion claimed</x:v>
      </x:c>
      <x:c r="AP165" s="194" t="str">
        <x:v>Inherited v2.22.0 intended record; no new runtime certification in this repair.</x:v>
      </x:c>
      <x:c r="AQ165" s="194"/>
      <x:c r="AR165" s="194" t="str">
        <x:v>INHERITED ESTIMATE</x:v>
      </x:c>
    </x:row>
    <x:row r="166" ht="76" hidden="1" customHeight="1">
      <x:c r="A166" s="98" t="str">
        <x:v>T-190</x:v>
      </x:c>
      <x:c r="B166" s="98" t="str">
        <x:v>M3</x:v>
      </x:c>
      <x:c r="C166" s="98" t="str">
        <x:v>P4</x:v>
      </x:c>
      <x:c r="D166" s="98" t="str">
        <x:v>Canonical D6 Suggestions and decision-action cutover</x:v>
      </x:c>
      <x:c r="E166" s="98" t="str">
        <x:v>Frontend</x:v>
      </x:c>
      <x:c r="F166" s="98" t="str">
        <x:v>Remediation surfaces</x:v>
      </x:c>
      <x:c r="G166" s="98" t="str">
        <x:v>Critical</x:v>
      </x:c>
      <x:c r="H166" s="98" t="str">
        <x:v>Bind D6 Suggestions to canonical remediation candidates/eligibility/decision records. Suppressed candidates never render. Accept/Reject/Defer controls obey server can_accept and preserve the human/read-only boundary. Preserve the M1 visual contract while deleting presentation-only decision data paths.
v2.22.0 — Retire Phase8SuggestionOutcomeLoopEndpoints as an alternate decision/outcome authority during canonical cutover; preserve relevant historical records and route compatibility only where semantically lawful.</x:v>
      </x:c>
      <x:c r="I166" s="98" t="str">
        <x:v>Run continuity snapshots. Attempt client-side manipulation to enable a forbidden decision and prove the server refuses it. Exercise actionable/evidence_only/exploratory/suppressed cases and confirm only allowed states appear with evidence and actor/reason history.
v2.22.0 — No new hand-entered actual outcomes; canonical feedback loop with actor/time/provenance; disabled legacy routes cannot mutate production state.</x:v>
      </x:c>
      <x:c r="J166" s="106" t="n">
        <x:v>12</x:v>
      </x:c>
      <x:c r="K166" s="98" t="str">
        <x:v>Not Started</x:v>
      </x:c>
      <x:c r="L166" s="98" t="str">
        <x:v>Worker 3</x:v>
      </x:c>
      <x:c r="M166" s="101" t="str">
        <x:v>T-142; T-143; T-144; T-145</x:v>
      </x:c>
      <x:c r="N166" s="101" t="str">
        <x:v>T-192</x:v>
      </x:c>
      <x:c r="O166" s="101" t="str">
        <x:v>M3: 45 days after M2 completion</x:v>
      </x:c>
      <x:c r="P166" s="101" t="str">
        <x:v>Release 2 MUST</x:v>
      </x:c>
      <x:c r="Q166" s="101" t="str">
        <x:v>Frontend/UI feature</x:v>
      </x:c>
      <x:c r="R166" s="195" t="n">
        <x:v>2</x:v>
      </x:c>
      <x:c r="S166" s="101" t="str">
        <x:v>M3-P4</x:v>
      </x:c>
      <x:c r="T166" s="101" t="str">
        <x:v>T-142..T-145 + M1 continuity snapshots</x:v>
      </x:c>
      <x:c r="U166" s="101" t="str">
        <x:v>Own intelligence/ML/Assistant and named intelligence surfaces. W1/W2 forbidden after hand-off.</x:v>
      </x:c>
      <x:c r="V166" s="101" t="str">
        <x:v>Commit before downstream consumer starts; consumer must use the contract, not redesign producer-owned semantics.</x:v>
      </x:c>
      <x:c r="W166" s="101" t="str">
        <x:v>Advanced ML, Optimisation &amp; Value</x:v>
      </x:c>
      <x:c r="X166" s="101" t="str">
        <x:v>M3 P4 — Advanced ML, Optimisation &amp; Value. Release 2 is heavy production / scale / deeper enterprise use.</x:v>
      </x:c>
      <x:c r="Y166" s="196"/>
      <x:c r="Z166" s="197"/>
      <x:c r="AA166" s="101" t="str">
        <x:v>L9.2</x:v>
      </x:c>
      <x:c r="AB166" s="101" t="str">
        <x:v>Suggestion generation from findings</x:v>
      </x:c>
      <x:c r="AC166" s="101" t="str">
        <x:v>L9.3; L9.4</x:v>
      </x:c>
      <x:c r="AD166" s="101" t="str">
        <x:v>Converge</x:v>
      </x:c>
      <x:c r="AE166" s="101" t="str">
        <x:v>D2; D5</x:v>
      </x:c>
      <x:c r="AF166" s="101" t="str">
        <x:v>Core</x:v>
      </x:c>
      <x:c r="AG166" s="101" t="str">
        <x:v>R2</x:v>
      </x:c>
      <x:c r="AH166" s="101" t="str">
        <x:v>Advances</x:v>
      </x:c>
      <x:c r="AI166" s="101">
        <x:f t="shared" si="5"/>
      </x:c>
      <x:c r="AJ166" s="101" t="str">
        <x:v>Inherited estimate; scope changed — re-estimation required</x:v>
      </x:c>
      <x:c r="AK166" s="101" t="str">
        <x:v>v4.10.3</x:v>
      </x:c>
      <x:c r="AL166" s="101" t="str">
        <x:v>Chapters 3/4 v4.10.3 — MD + illustrated Word; UI Coverage / UI Controls in this workbook</x:v>
      </x:c>
      <x:c r="AM166" t="n">
        <x:f>IF(ISNUMBER(J166),1,0)</x:f>
        <x:v>1</x:v>
      </x:c>
      <x:c r="AN166" s="101"/>
      <x:c r="AO166" s="194" t="str">
        <x:v>Not started — no completion claimed</x:v>
      </x:c>
      <x:c r="AP166" s="194" t="str">
        <x:v>Inherited v2.22.0 intended record; no new runtime certification in this repair.</x:v>
      </x:c>
      <x:c r="AQ166" s="194"/>
      <x:c r="AR166" s="194" t="str">
        <x:v>INHERITED ESTIMATE</x:v>
      </x:c>
    </x:row>
    <x:row r="167" ht="76" customHeight="1">
      <x:c r="A167" s="101" t="str">
        <x:v>T-191</x:v>
      </x:c>
      <x:c r="B167" s="101" t="str">
        <x:v>M3</x:v>
      </x:c>
      <x:c r="C167" s="101" t="str">
        <x:v>P4</x:v>
      </x:c>
      <x:c r="D167" s="101" t="str">
        <x:v>D11 Scenario Simulation: governed read-only modelled comparison</x:v>
      </x:c>
      <x:c r="E167" s="101" t="str">
        <x:v>AI+ML</x:v>
      </x:c>
      <x:c r="F167" s="101" t="str">
        <x:v>Scenario simulation</x:v>
      </x:c>
      <x:c r="G167" s="101" t="str">
        <x:v>Very Important</x:v>
      </x:c>
      <x:c r="H167" s="101" t="str">
        <x:v>Implement the already-designed D11 scenario path as decision support, not plant control: choose declared variables within valid ranges, hold the rest fixed, run against a named active model version/semantic manifest, compare with baseline and persist scenario_runs with uncertainty/disclaimer/evidence. It never writes to a customer system and never masquerades as an observed prediction.</x:v>
      </x:c>
      <x:c r="I167" s="101" t="str">
        <x:v>Run a bounded scenario and resolve baseline/model/manifest/evidence. An out-of-range or non-controllable variable is refused. The result is labelled simulation, includes uncertainty, and no source-system write/control endpoint is reachable from the path.</x:v>
      </x:c>
      <x:c r="J167" s="107" t="n">
        <x:v>12</x:v>
      </x:c>
      <x:c r="K167" s="101" t="str">
        <x:v>Not Started</x:v>
      </x:c>
      <x:c r="L167" s="101" t="str">
        <x:v>Worker 3</x:v>
      </x:c>
      <x:c r="M167" s="101" t="str">
        <x:v>T-130; T-176; T-187</x:v>
      </x:c>
      <x:c r="N167" s="101" t="str">
        <x:v>T-192</x:v>
      </x:c>
      <x:c r="O167" s="101" t="str">
        <x:v>M3: 45 days after M2 completion</x:v>
      </x:c>
      <x:c r="P167" s="101" t="str">
        <x:v>Release 2 MUST</x:v>
      </x:c>
      <x:c r="Q167" s="101" t="str">
        <x:v>AI/ML production integration</x:v>
      </x:c>
      <x:c r="R167" s="195" t="n">
        <x:v>1.7999999999999998</x:v>
      </x:c>
      <x:c r="S167" s="101" t="str">
        <x:v>M3-P4</x:v>
      </x:c>
      <x:c r="T167" s="101" t="str">
        <x:v>T-130 + T-176 + T-187</x:v>
      </x:c>
      <x:c r="U167" s="101" t="str">
        <x:v>Own intelligence/ML/Assistant and named intelligence surfaces. W1/W2 forbidden after hand-off.</x:v>
      </x:c>
      <x:c r="V167" s="101" t="str">
        <x:v>Commit before downstream consumer starts; consumer must use the contract, not redesign producer-owned semantics.</x:v>
      </x:c>
      <x:c r="W167" s="101" t="str">
        <x:v>Advanced ML, Optimisation &amp; Value</x:v>
      </x:c>
      <x:c r="X167" s="101" t="str">
        <x:v>M3 P4 — Advanced ML, Optimisation &amp; Value. Release 2 is heavy production / scale / deeper enterprise use.</x:v>
      </x:c>
      <x:c r="Y167" s="196"/>
      <x:c r="Z167" s="197"/>
      <x:c r="AA167" s="101" t="str">
        <x:v>L10.4</x:v>
      </x:c>
      <x:c r="AB167" s="101" t="str">
        <x:v>Scenario simulation</x:v>
      </x:c>
      <x:c r="AC167" s="101"/>
      <x:c r="AD167" s="101" t="str">
        <x:v>Build</x:v>
      </x:c>
      <x:c r="AE167" s="101" t="str">
        <x:v>D3; D5</x:v>
      </x:c>
      <x:c r="AF167" s="101" t="str">
        <x:v>Advanced</x:v>
      </x:c>
      <x:c r="AG167" s="101" t="str">
        <x:v>R2</x:v>
      </x:c>
      <x:c r="AH167" s="101" t="str">
        <x:v>Advances</x:v>
      </x:c>
      <x:c r="AI167" s="101">
        <x:f t="shared" si="5"/>
      </x:c>
      <x:c r="AJ167" s="101" t="str">
        <x:v>Inherited baseline estimate</x:v>
      </x:c>
      <x:c r="AK167" s="101" t="str">
        <x:v>v4.10.3</x:v>
      </x:c>
      <x:c r="AL167" s="101" t="str">
        <x:v>Chapters 3/4 v4.10.3 — MD + illustrated Word; UI Coverage / UI Controls in this workbook</x:v>
      </x:c>
      <x:c r="AM167" t="n">
        <x:f>IF(ISNUMBER(J167),1,0)</x:f>
        <x:v>1</x:v>
      </x:c>
      <x:c r="AN167" s="101"/>
      <x:c r="AO167" s="194" t="str">
        <x:v>Not started — no completion claimed</x:v>
      </x:c>
      <x:c r="AP167" s="194" t="str">
        <x:v>Inherited v2.22.0 intended record; no new runtime certification in this repair.</x:v>
      </x:c>
      <x:c r="AQ167" s="194"/>
      <x:c r="AR167" s="194" t="str">
        <x:v>INHERITED ESTIMATE</x:v>
      </x:c>
    </x:row>
    <x:row r="168" ht="76" customHeight="1">
      <x:c r="A168" s="98" t="str">
        <x:v>T-192</x:v>
      </x:c>
      <x:c r="B168" s="98" t="str">
        <x:v>M3</x:v>
      </x:c>
      <x:c r="C168" s="98" t="str">
        <x:v>P4</x:v>
      </x:c>
      <x:c r="D168" s="98" t="str">
        <x:v>Target-architecture gate pack G-48..G-55</x:v>
      </x:c>
      <x:c r="E168" s="98" t="str">
        <x:v>Testing</x:v>
      </x:c>
      <x:c r="F168" s="98" t="str">
        <x:v>Architecture gates</x:v>
      </x:c>
      <x:c r="G168" s="98" t="str">
        <x:v>Critical</x:v>
      </x:c>
      <x:c r="H168" s="98" t="str">
        <x:v>Implement the eight target-architecture gates as executable tests: G-48 materialiser-only feature_store read; G-49 ML lane isolation; G-50 admission satisfiable; G-51 ANN recall floor; G-52 evidence-budget/truncation integrity; G-53 deterministic answer verification; G-54 governed-model-only learned multimodal output; G-55 semantic-manifest coverage. Keep them standalone and fail-closed; T-150 owns final pipeline wiring.</x:v>
      </x:c>
      <x:c r="I168" s="98" t="str">
        <x:v>Falsify every gate once. Each deliberate violation fails for the named reason and passes only after the defect is removed. A missing test input/dependency is a failure, not a skip/pass. Produce one machine-readable gate report consumable by T-150.</x:v>
      </x:c>
      <x:c r="J168" s="106" t="n">
        <x:v>10</x:v>
      </x:c>
      <x:c r="K168" s="98" t="str">
        <x:v>Not Started</x:v>
      </x:c>
      <x:c r="L168" s="98" t="str">
        <x:v>Worker 3</x:v>
      </x:c>
      <x:c r="M168" s="101" t="str">
        <x:v>T-183; T-184; T-185; T-186; T-187; T-188; T-189; T-190; T-191; T-107; T-122</x:v>
      </x:c>
      <x:c r="N168" s="101"/>
      <x:c r="O168" s="101" t="str">
        <x:v>M3: 45 days after M2 completion</x:v>
      </x:c>
      <x:c r="P168" s="101" t="str">
        <x:v>Release 2 MUST</x:v>
      </x:c>
      <x:c r="Q168" s="101" t="str">
        <x:v>Integration/E2E/certification</x:v>
      </x:c>
      <x:c r="R168" s="195" t="n">
        <x:v>1.7</x:v>
      </x:c>
      <x:c r="S168" s="101" t="str">
        <x:v>M3-P4</x:v>
      </x:c>
      <x:c r="T168" s="101" t="str">
        <x:v>T-183..T-191 + T-107/T-122 as applicable</x:v>
      </x:c>
      <x:c r="U168" s="101" t="str">
        <x:v>Own intelligence/ML/Assistant and named intelligence surfaces. W1/W2 forbidden after hand-off.</x:v>
      </x:c>
      <x:c r="V168" s="101" t="str">
        <x:v>Commit before downstream consumer starts; consumer must use the contract, not redesign producer-owned semantics.</x:v>
      </x:c>
      <x:c r="W168" s="101" t="str">
        <x:v>Advanced ML, Optimisation &amp; Value</x:v>
      </x:c>
      <x:c r="X168" s="101" t="str">
        <x:v>M3 P4 — Advanced ML, Optimisation &amp; Value. Release 2 is heavy production / scale / deeper enterprise use.</x:v>
      </x:c>
      <x:c r="Y168" s="196"/>
      <x:c r="Z168" s="197"/>
      <x:c r="AA168" s="101" t="str">
        <x:v>L8.8</x:v>
      </x:c>
      <x:c r="AB168" s="101" t="str">
        <x:v>C1–C4 performance certification and golden-journey release gate</x:v>
      </x:c>
      <x:c r="AC168" s="101" t="str">
        <x:v>L4.3; L4.8; L5.8</x:v>
      </x:c>
      <x:c r="AD168" s="101" t="str">
        <x:v>Validate</x:v>
      </x:c>
      <x:c r="AE168" s="101" t="str">
        <x:v>D5</x:v>
      </x:c>
      <x:c r="AF168" s="101" t="str">
        <x:v>Core</x:v>
      </x:c>
      <x:c r="AG168" s="101" t="str">
        <x:v>R2</x:v>
      </x:c>
      <x:c r="AH168" s="101" t="str">
        <x:v>Advances</x:v>
      </x:c>
      <x:c r="AI168" s="101">
        <x:f t="shared" si="5"/>
      </x:c>
      <x:c r="AJ168" s="101" t="str">
        <x:v>Inherited baseline estimate</x:v>
      </x:c>
      <x:c r="AK168" s="101" t="str">
        <x:v>v4.10.3</x:v>
      </x:c>
      <x:c r="AL168" s="101" t="str">
        <x:v>Chapters 3/4 v4.10.3 — MD + illustrated Word; UI Coverage / UI Controls in this workbook</x:v>
      </x:c>
      <x:c r="AM168" t="n">
        <x:f>IF(ISNUMBER(J168),1,0)</x:f>
        <x:v>1</x:v>
      </x:c>
      <x:c r="AN168" s="101"/>
      <x:c r="AO168" s="194" t="str">
        <x:v>Not started — no completion claimed</x:v>
      </x:c>
      <x:c r="AP168" s="194" t="str">
        <x:v>Inherited v2.22.0 intended record; no new runtime certification in this repair.</x:v>
      </x:c>
      <x:c r="AQ168" s="194"/>
      <x:c r="AR168" s="194" t="str">
        <x:v>INHERITED ESTIMATE</x:v>
      </x:c>
    </x:row>
    <x:row r="169" ht="76" customHeight="1">
      <x:c r="A169" s="98" t="str">
        <x:v>T-193</x:v>
      </x:c>
      <x:c r="B169" s="98" t="str">
        <x:v>M3</x:v>
      </x:c>
      <x:c r="C169" s="98" t="str">
        <x:v>P4</x:v>
      </x:c>
      <x:c r="D169" s="98" t="str">
        <x:v>Drift Supervisor and governed model-action proposals</x:v>
      </x:c>
      <x:c r="E169" s="98" t="str">
        <x:v>AI+ML</x:v>
      </x:c>
      <x:c r="F169" s="98" t="str">
        <x:v>Model governance</x:v>
      </x:c>
      <x:c r="G169" s="98" t="str">
        <x:v>Very Important</x:v>
      </x:c>
      <x:c r="H169" s="98" t="str">
        <x:v>Implement the Drift Supervisor over served model/index/practice state. Detect declared distribution/performance/calibration/explanation drift, propose bounded actions, shadow-run where applicable and require human approval before applying. It may never lower readiness thresholds, refusal rules, evidence requirements, leakage gates, tenant isolation or semantic contracts, and it never performs continuous online weight updates.</x:v>
      </x:c>
      <x:c r="I169" s="98" t="str">
        <x:v>Trigger each supported drift class on fixtures and prove a proposal is recorded with evidence. Attempt to propose a forbidden threshold/gate weakening and prove it is rejected structurally. Approve one allowed bounded action and confirm atomic application plus rollback pointer; reject one and confirm no state change.</x:v>
      </x:c>
      <x:c r="J169" s="106" t="n">
        <x:v>10</x:v>
      </x:c>
      <x:c r="K169" s="101" t="str">
        <x:v>Not Started</x:v>
      </x:c>
      <x:c r="L169" s="98" t="str">
        <x:v>Worker 3</x:v>
      </x:c>
      <x:c r="M169" s="101" t="str">
        <x:v>T-130; T-187; T-139; T-145</x:v>
      </x:c>
      <x:c r="N169" s="101" t="str">
        <x:v>T-249</x:v>
      </x:c>
      <x:c r="O169" s="101" t="str">
        <x:v>M3: 45 days after M2 completion</x:v>
      </x:c>
      <x:c r="P169" s="101" t="str">
        <x:v>Release 2 MUST</x:v>
      </x:c>
      <x:c r="Q169" s="101" t="str">
        <x:v>AI/ML production integration</x:v>
      </x:c>
      <x:c r="R169" s="195" t="n">
        <x:v>1.5</x:v>
      </x:c>
      <x:c r="S169" s="101" t="str">
        <x:v>M3-P4</x:v>
      </x:c>
      <x:c r="T169" s="101" t="str">
        <x:v>T-130 + T-187 + T-139/T-145</x:v>
      </x:c>
      <x:c r="U169" s="101" t="str">
        <x:v>Own intelligence/ML/Assistant and named intelligence surfaces. W1/W2 forbidden after hand-off.</x:v>
      </x:c>
      <x:c r="V169" s="101" t="str">
        <x:v>Commit before downstream consumer starts; consumer must use the contract, not redesign producer-owned semantics.</x:v>
      </x:c>
      <x:c r="W169" s="101" t="str">
        <x:v>Advanced ML, Optimisation &amp; Value</x:v>
      </x:c>
      <x:c r="X169" s="101" t="str">
        <x:v>M3 P4 — Advanced ML, Optimisation &amp; Value. Release 2 is heavy production / scale / deeper enterprise use.</x:v>
      </x:c>
      <x:c r="Y169" s="196"/>
      <x:c r="Z169" s="197"/>
      <x:c r="AA169" s="101" t="str">
        <x:v>L6.3</x:v>
      </x:c>
      <x:c r="AB169" s="101" t="str">
        <x:v>Supervisor and governed improvement proposals</x:v>
      </x:c>
      <x:c r="AC169" s="101" t="str">
        <x:v>L4.8</x:v>
      </x:c>
      <x:c r="AD169" s="101" t="str">
        <x:v>Build</x:v>
      </x:c>
      <x:c r="AE169" s="101" t="str">
        <x:v>D3; D5</x:v>
      </x:c>
      <x:c r="AF169" s="101" t="str">
        <x:v>Core</x:v>
      </x:c>
      <x:c r="AG169" s="101" t="str">
        <x:v>R2</x:v>
      </x:c>
      <x:c r="AH169" s="101" t="str">
        <x:v>Advances</x:v>
      </x:c>
      <x:c r="AI169" s="101">
        <x:f t="shared" si="5"/>
      </x:c>
      <x:c r="AJ169" s="101" t="str">
        <x:v>Inherited baseline estimate</x:v>
      </x:c>
      <x:c r="AK169" s="101" t="str">
        <x:v>v4.10.3</x:v>
      </x:c>
      <x:c r="AL169" s="101" t="str">
        <x:v>Chapters 3/4 v4.10.3 — MD + illustrated Word; UI Coverage / UI Controls in this workbook</x:v>
      </x:c>
      <x:c r="AM169" t="n">
        <x:f>IF(ISNUMBER(J169),1,0)</x:f>
        <x:v>1</x:v>
      </x:c>
      <x:c r="AN169" s="101"/>
      <x:c r="AO169" s="194" t="str">
        <x:v>Not started — no completion claimed</x:v>
      </x:c>
      <x:c r="AP169" s="194" t="str">
        <x:v>Inherited v2.22.0 intended record; no new runtime certification in this repair.</x:v>
      </x:c>
      <x:c r="AQ169" s="194"/>
      <x:c r="AR169" s="194" t="str">
        <x:v>INHERITED ESTIMATE</x:v>
      </x:c>
    </x:row>
    <x:row r="170" ht="76" customHeight="1">
      <x:c r="A170" s="98" t="str">
        <x:v>T-195</x:v>
      </x:c>
      <x:c r="B170" s="98" t="str">
        <x:v>M3</x:v>
      </x:c>
      <x:c r="C170" s="98" t="str">
        <x:v>P4</x:v>
      </x:c>
      <x:c r="D170" s="98" t="str">
        <x:v>Canonical readiness thresholds, governed change history and fail-closed readiness API</x:v>
      </x:c>
      <x:c r="E170" s="98" t="str">
        <x:v>Backend</x:v>
      </x:c>
      <x:c r="F170" s="98" t="str">
        <x:v>Readiness governance</x:v>
      </x:c>
      <x:c r="G170" s="98" t="str">
        <x:v>Critical</x:v>
      </x:c>
      <x:c r="H170" s="98" t="str">
        <x:v>Implement the Chapter 3 canonical readiness authority behind the M1-compatible facade: ppiq_meta.readiness_thresholds and readiness_threshold_changes, tenant/outcome-scoped thresholds, GET /api/readiness/evaluate, GET /api/readiness/matrix, GET /api/readiness/thresholds and governed PUT with required justification/audit. Evaluation failure is Blocked/readiness-could-not-be-measured, never Ready by default.</x:v>
      </x:c>
      <x:c r="I170" s="98" t="str">
        <x:v>Create thresholds for two tenants/outcomes and prove isolation. Change one threshold through the governed API with justification and prove change history/audit. Attempt a non-human/unauthorised change and refuse it. Force the population measurement to fail and prove the result is Blocked with the fail-closed reason. M1 T-066 visible contract remains unchanged.</x:v>
      </x:c>
      <x:c r="J170" s="106" t="n">
        <x:v>10</x:v>
      </x:c>
      <x:c r="K170" s="101" t="str">
        <x:v>Not Started</x:v>
      </x:c>
      <x:c r="L170" s="98" t="str">
        <x:v>Worker 3</x:v>
      </x:c>
      <x:c r="M170" s="101" t="str">
        <x:v>T-090; T-112; T-114</x:v>
      </x:c>
      <x:c r="N170" s="101" t="str">
        <x:v>T-186; T-187; T-188</x:v>
      </x:c>
      <x:c r="O170" s="101" t="str">
        <x:v>M3: 45 days after M2 completion</x:v>
      </x:c>
      <x:c r="P170" s="101" t="str">
        <x:v>Release 2 MUST</x:v>
      </x:c>
      <x:c r="Q170" s="101" t="str">
        <x:v>Backend/domain contract</x:v>
      </x:c>
      <x:c r="R170" s="195" t="n">
        <x:v>1.5</x:v>
      </x:c>
      <x:c r="S170" s="101" t="str">
        <x:v>M3-P4</x:v>
      </x:c>
      <x:c r="T170" s="101" t="str">
        <x:v>T-090 + T-112 + T-114</x:v>
      </x:c>
      <x:c r="U170" s="101" t="str">
        <x:v>Own intelligence/ML/Assistant and named intelligence surfaces. W1/W2 forbidden after hand-off.</x:v>
      </x:c>
      <x:c r="V170" s="101" t="str">
        <x:v>Commit before downstream consumer starts; consumer must use the contract, not redesign producer-owned semantics.</x:v>
      </x:c>
      <x:c r="W170" s="101" t="str">
        <x:v>Advanced ML, Optimisation &amp; Value</x:v>
      </x:c>
      <x:c r="X170" s="101" t="str">
        <x:v>M3 P4 — Advanced ML, Optimisation &amp; Value. Release 2 is heavy production / scale / deeper enterprise use.</x:v>
      </x:c>
      <x:c r="Y170" s="196"/>
      <x:c r="Z170" s="197"/>
      <x:c r="AA170" s="101" t="str">
        <x:v>L4.1</x:v>
      </x:c>
      <x:c r="AB170" s="101" t="str">
        <x:v>Readiness gate and statistical discipline chain</x:v>
      </x:c>
      <x:c r="AC170" s="101"/>
      <x:c r="AD170" s="101" t="str">
        <x:v>Build</x:v>
      </x:c>
      <x:c r="AE170" s="101" t="str">
        <x:v>D3; D5</x:v>
      </x:c>
      <x:c r="AF170" s="101" t="str">
        <x:v>Core</x:v>
      </x:c>
      <x:c r="AG170" s="101" t="str">
        <x:v>R2</x:v>
      </x:c>
      <x:c r="AH170" s="101" t="str">
        <x:v>Advances</x:v>
      </x:c>
      <x:c r="AI170" s="101">
        <x:f t="shared" si="5"/>
      </x:c>
      <x:c r="AJ170" s="101" t="str">
        <x:v>Inherited baseline estimate</x:v>
      </x:c>
      <x:c r="AK170" s="101" t="str">
        <x:v>v4.10.3</x:v>
      </x:c>
      <x:c r="AL170" s="101" t="str">
        <x:v>Chapters 3/4 v4.10.3 — MD + illustrated Word; UI Coverage / UI Controls in this workbook</x:v>
      </x:c>
      <x:c r="AM170" t="n">
        <x:f>IF(ISNUMBER(J170),1,0)</x:f>
        <x:v>1</x:v>
      </x:c>
      <x:c r="AN170" s="101"/>
      <x:c r="AO170" s="194" t="str">
        <x:v>Not started — no completion claimed</x:v>
      </x:c>
      <x:c r="AP170" s="194" t="str">
        <x:v>Inherited v2.22.0 intended record; no new runtime certification in this repair.</x:v>
      </x:c>
      <x:c r="AQ170" s="194"/>
      <x:c r="AR170" s="194" t="str">
        <x:v>INHERITED ESTIMATE</x:v>
      </x:c>
    </x:row>
    <x:row r="171" ht="76" customHeight="1">
      <x:c r="A171" s="98" t="str">
        <x:v>T-238</x:v>
      </x:c>
      <x:c r="B171" s="98" t="str">
        <x:v>M3</x:v>
      </x:c>
      <x:c r="C171" s="98" t="str">
        <x:v>P4</x:v>
      </x:c>
      <x:c r="D171" s="98" t="str">
        <x:v>Multi-objective Objective Set and Pareto practice kernel</x:v>
      </x:c>
      <x:c r="E171" s="98" t="str">
        <x:v>AI+ML</x:v>
      </x:c>
      <x:c r="F171" s="98" t="str">
        <x:v>Practice intelligence</x:v>
      </x:c>
      <x:c r="G171" s="98" t="str">
        <x:v>Very Important</x:v>
      </x:c>
      <x:c r="H171" s="98" t="str">
        <x:v>Implement schema-independent multi-objective practice semantics: Objective Set members, hard constraints, Pareto dominance/non-dominance, ParetoOnly/DeclaredUtility/LexicographicOrConstrained resolution and MO01/MO02 refusal. Normalisation consumes Performance Reference semantics; no default weights or sample min-max scaling.</x:v>
      </x:c>
      <x:c r="I171" s="98" t="str">
        <x:v>Known-answer practice vectors produce the exact Pareto frontier. A conflicting set with no preference refuses a single winner. Declared utility/lexicographic policies produce deterministic rankings and preserve the full objective vector/support/uncertainty.</x:v>
      </x:c>
      <x:c r="J171" s="106" t="n">
        <x:v>12</x:v>
      </x:c>
      <x:c r="K171" s="101" t="str">
        <x:v>Not Started</x:v>
      </x:c>
      <x:c r="L171" s="98" t="str">
        <x:v>Worker 3</x:v>
      </x:c>
      <x:c r="M171" s="101" t="str">
        <x:v>T-208; T-214</x:v>
      </x:c>
      <x:c r="N171" s="101" t="str">
        <x:v>T-239; T-240</x:v>
      </x:c>
      <x:c r="O171" s="101" t="str">
        <x:v>M3: 45 days after M2 completion</x:v>
      </x:c>
      <x:c r="P171" s="101" t="str">
        <x:v>Release 2 MUST</x:v>
      </x:c>
      <x:c r="Q171" s="101" t="str">
        <x:v>Kernel/contract</x:v>
      </x:c>
      <x:c r="R171" s="195" t="n">
        <x:v>3.2</x:v>
      </x:c>
      <x:c r="S171" s="101" t="str">
        <x:v>M3-P4</x:v>
      </x:c>
      <x:c r="T171" s="101" t="str">
        <x:v>May start after T-214 contract; does not block September demo.</x:v>
      </x:c>
      <x:c r="U171" s="101" t="str">
        <x:v>New objective/Pareto kernel/tests only.</x:v>
      </x:c>
      <x:c r="V171" s="101" t="str">
        <x:v>T-239 persists objective authority; T-240 integrates practice family.</x:v>
      </x:c>
      <x:c r="W171" s="101" t="str">
        <x:v>Advanced ML, Optimisation &amp; Value</x:v>
      </x:c>
      <x:c r="X171" s="101" t="str">
        <x:v>M3 P4 — Advanced ML, Optimisation &amp; Value. Release 2 is heavy production / scale / deeper enterprise use.</x:v>
      </x:c>
      <x:c r="Y171" s="196"/>
      <x:c r="Z171" s="197"/>
      <x:c r="AA171" s="101" t="str">
        <x:v>L4.6</x:v>
      </x:c>
      <x:c r="AB171" s="101" t="str">
        <x:v>Practice learning MF-07</x:v>
      </x:c>
      <x:c r="AC171" s="101" t="str">
        <x:v>L10.1</x:v>
      </x:c>
      <x:c r="AD171" s="101" t="str">
        <x:v>Build</x:v>
      </x:c>
      <x:c r="AE171" s="101" t="str">
        <x:v>D3; D5</x:v>
      </x:c>
      <x:c r="AF171" s="101" t="str">
        <x:v>Core</x:v>
      </x:c>
      <x:c r="AG171" s="101" t="str">
        <x:v>R2</x:v>
      </x:c>
      <x:c r="AH171" s="101" t="str">
        <x:v>Advances</x:v>
      </x:c>
      <x:c r="AI171" s="101">
        <x:f t="shared" si="5"/>
      </x:c>
      <x:c r="AJ171" s="101" t="str">
        <x:v>Inherited baseline estimate</x:v>
      </x:c>
      <x:c r="AK171" s="101" t="str">
        <x:v>v4.10.3</x:v>
      </x:c>
      <x:c r="AL171" s="101" t="str">
        <x:v>Chapters 3/4 v4.10.3 — MD + illustrated Word; UI Coverage / UI Controls in this workbook</x:v>
      </x:c>
      <x:c r="AM171" t="n">
        <x:f>IF(ISNUMBER(J171),1,0)</x:f>
        <x:v>1</x:v>
      </x:c>
      <x:c r="AN171" s="101"/>
      <x:c r="AO171" s="194" t="str">
        <x:v>Not started — no completion claimed</x:v>
      </x:c>
      <x:c r="AP171" s="194" t="str">
        <x:v>Inherited v2.22.0 intended record; no new runtime certification in this repair.</x:v>
      </x:c>
      <x:c r="AQ171" s="194"/>
      <x:c r="AR171" s="194" t="str">
        <x:v>INHERITED ESTIMATE</x:v>
      </x:c>
    </x:row>
    <x:row r="172" ht="76" customHeight="1">
      <x:c r="A172" s="98" t="str">
        <x:v>T-239</x:v>
      </x:c>
      <x:c r="B172" s="98" t="str">
        <x:v>M3</x:v>
      </x:c>
      <x:c r="C172" s="98" t="str">
        <x:v>P4</x:v>
      </x:c>
      <x:c r="D172" s="98" t="str">
        <x:v>Persist Objective Set and preference authority</x:v>
      </x:c>
      <x:c r="E172" s="98" t="str">
        <x:v>Backend / Database</x:v>
      </x:c>
      <x:c r="F172" s="98" t="str">
        <x:v>Multi-objective persistence</x:v>
      </x:c>
      <x:c r="G172" s="98" t="str">
        <x:v>Very Important</x:v>
      </x:c>
      <x:c r="H172" s="98" t="str">
        <x:v>Persist objective_sets, objective_set_members and immutable objective_preference_versions under tenant/definition authority. Bind each member to registered outcomes/KPIs/measures and Performance Reference directionality/normalisation. No default weights.</x:v>
      </x:c>
      <x:c r="I172" s="98" t="str">
        <x:v>Round-trip ParetoOnly and declared preference versions; equal data under a new preference creates a new version rather than rewriting history. Invalid/missing direction/reference refuses MO02.</x:v>
      </x:c>
      <x:c r="J172" s="106" t="n">
        <x:v>8</x:v>
      </x:c>
      <x:c r="K172" s="101" t="str">
        <x:v>Not Started</x:v>
      </x:c>
      <x:c r="L172" s="98" t="str">
        <x:v>Worker 1</x:v>
      </x:c>
      <x:c r="M172" s="101" t="str">
        <x:v>T-090; T-214; T-238</x:v>
      </x:c>
      <x:c r="N172" s="101" t="str">
        <x:v>T-240</x:v>
      </x:c>
      <x:c r="O172" s="101" t="str">
        <x:v>M3: 45 days after M2 completion</x:v>
      </x:c>
      <x:c r="P172" s="101" t="str">
        <x:v>Release 2 MUST</x:v>
      </x:c>
      <x:c r="Q172" s="101" t="str">
        <x:v>DB/schema authority</x:v>
      </x:c>
      <x:c r="R172" s="195" t="n">
        <x:v>3.4</x:v>
      </x:c>
      <x:c r="S172" s="101" t="str">
        <x:v>M3-P4</x:v>
      </x:c>
      <x:c r="T172" s="101" t="str">
        <x:v>After T-090 + frozen T-214/T-238 contracts.</x:v>
      </x:c>
      <x:c r="U172" s="101" t="str">
        <x:v>objective-set tables/API/migrations.</x:v>
      </x:c>
      <x:c r="V172" s="101" t="str">
        <x:v>T-240 consumes committed persistence.</x:v>
      </x:c>
      <x:c r="W172" s="101" t="str">
        <x:v>Advanced ML, Optimisation &amp; Value</x:v>
      </x:c>
      <x:c r="X172" s="101" t="str">
        <x:v>M3 P4 — Advanced ML, Optimisation &amp; Value. Release 2 is heavy production / scale / deeper enterprise use.</x:v>
      </x:c>
      <x:c r="Y172" s="196"/>
      <x:c r="Z172" s="197"/>
      <x:c r="AA172" s="101" t="str">
        <x:v>L4.6</x:v>
      </x:c>
      <x:c r="AB172" s="101" t="str">
        <x:v>Practice learning MF-07</x:v>
      </x:c>
      <x:c r="AC172" s="101"/>
      <x:c r="AD172" s="101" t="str">
        <x:v>Build</x:v>
      </x:c>
      <x:c r="AE172" s="101" t="str">
        <x:v>D1; D3; D4; D5</x:v>
      </x:c>
      <x:c r="AF172" s="101" t="str">
        <x:v>Core</x:v>
      </x:c>
      <x:c r="AG172" s="101" t="str">
        <x:v>R2</x:v>
      </x:c>
      <x:c r="AH172" s="101" t="str">
        <x:v>Advances</x:v>
      </x:c>
      <x:c r="AI172" s="101">
        <x:f t="shared" si="5"/>
      </x:c>
      <x:c r="AJ172" s="101" t="str">
        <x:v>Inherited baseline estimate</x:v>
      </x:c>
      <x:c r="AK172" s="101" t="str">
        <x:v>v4.10.3</x:v>
      </x:c>
      <x:c r="AL172" s="101" t="str">
        <x:v>Chapters 3/4 v4.10.3 — MD + illustrated Word; UI Coverage / UI Controls in this workbook</x:v>
      </x:c>
      <x:c r="AM172" t="n">
        <x:f>IF(ISNUMBER(J172),1,0)</x:f>
        <x:v>1</x:v>
      </x:c>
      <x:c r="AN172" s="101"/>
      <x:c r="AO172" s="194" t="str">
        <x:v>Not started — no completion claimed</x:v>
      </x:c>
      <x:c r="AP172" s="194" t="str">
        <x:v>Inherited v2.22.0 intended record; no new runtime certification in this repair.</x:v>
      </x:c>
      <x:c r="AQ172" s="194"/>
      <x:c r="AR172" s="194" t="str">
        <x:v>INHERITED ESTIMATE</x:v>
      </x:c>
    </x:row>
    <x:row r="173" ht="76" customHeight="1">
      <x:c r="A173" s="98" t="str">
        <x:v>T-240</x:v>
      </x:c>
      <x:c r="B173" s="98" t="str">
        <x:v>M3</x:v>
      </x:c>
      <x:c r="C173" s="98" t="str">
        <x:v>P4</x:v>
      </x:c>
      <x:c r="D173" s="98" t="str">
        <x:v>Composite practice results, trade-off explanation and Assistant tool integration</x:v>
      </x:c>
      <x:c r="E173" s="98" t="str">
        <x:v>AI+ML / Assistant</x:v>
      </x:c>
      <x:c r="F173" s="98" t="str">
        <x:v>Multi-objective practice integration</x:v>
      </x:c>
      <x:c r="G173" s="98" t="str">
        <x:v>Very Important</x:v>
      </x:c>
      <x:c r="H173" s="98" t="str">
        <x:v>Integrate T-238 with canonical practice learning: compute/persist composite_practice_results with objective vectors, support, uncertainty and dominance; expose GetCompositePractices to the deterministic Assistant tool layer. Reuse T-131/T-132/T-133 cohorts/stability/backoff; do not duplicate practice learning.</x:v>
      </x:c>
      <x:c r="I173" s="98" t="str">
        <x:v>One customer-neutral fixture returns a supported Pareto frontier; unsupported/conflicting objectives refuse correctly; preference-resolved rank is reproducible by version. Assistant explains trade-offs and never calls a Pareto point universally best without declared preference.</x:v>
      </x:c>
      <x:c r="J173" s="106" t="n">
        <x:v>12</x:v>
      </x:c>
      <x:c r="K173" s="101" t="str">
        <x:v>Not Started</x:v>
      </x:c>
      <x:c r="L173" s="98" t="str">
        <x:v>Worker 3</x:v>
      </x:c>
      <x:c r="M173" s="101" t="str">
        <x:v>T-131; T-132; T-133; T-238; T-239</x:v>
      </x:c>
      <x:c r="N173" s="101" t="str">
        <x:v>T-249; T-264</x:v>
      </x:c>
      <x:c r="O173" s="101" t="str">
        <x:v>M3: 45 days after M2 completion</x:v>
      </x:c>
      <x:c r="P173" s="101" t="str">
        <x:v>Release 2 MUST</x:v>
      </x:c>
      <x:c r="Q173" s="101" t="str">
        <x:v>AI/ML production integration</x:v>
      </x:c>
      <x:c r="R173" s="195" t="n">
        <x:v>5.1</x:v>
      </x:c>
      <x:c r="S173" s="101" t="str">
        <x:v>M3-P4</x:v>
      </x:c>
      <x:c r="T173" s="101" t="str">
        <x:v>After practice core + objective persistence.</x:v>
      </x:c>
      <x:c r="U173" s="101" t="str">
        <x:v>Practice intelligence/Assistant tool only.</x:v>
      </x:c>
      <x:c r="V173" s="101" t="str">
        <x:v>T-138 may expose this tool after completion; no Assistant redesign.</x:v>
      </x:c>
      <x:c r="W173" s="101" t="str">
        <x:v>Advanced ML, Optimisation &amp; Value</x:v>
      </x:c>
      <x:c r="X173" s="101" t="str">
        <x:v>M3 P4 — Advanced ML, Optimisation &amp; Value. Release 2 is heavy production / scale / deeper enterprise use.</x:v>
      </x:c>
      <x:c r="Y173" s="196"/>
      <x:c r="Z173" s="197"/>
      <x:c r="AA173" s="101" t="str">
        <x:v>L4.6</x:v>
      </x:c>
      <x:c r="AB173" s="101" t="str">
        <x:v>Practice learning MF-07</x:v>
      </x:c>
      <x:c r="AC173" s="101" t="str">
        <x:v>L6.2</x:v>
      </x:c>
      <x:c r="AD173" s="101" t="str">
        <x:v>Build</x:v>
      </x:c>
      <x:c r="AE173" s="101" t="str">
        <x:v>D3; D5</x:v>
      </x:c>
      <x:c r="AF173" s="101" t="str">
        <x:v>Core</x:v>
      </x:c>
      <x:c r="AG173" s="101" t="str">
        <x:v>R2</x:v>
      </x:c>
      <x:c r="AH173" s="101" t="str">
        <x:v>Advances</x:v>
      </x:c>
      <x:c r="AI173" s="101">
        <x:f t="shared" si="5"/>
      </x:c>
      <x:c r="AJ173" s="101" t="str">
        <x:v>Inherited baseline estimate</x:v>
      </x:c>
      <x:c r="AK173" s="101" t="str">
        <x:v>v4.10.3</x:v>
      </x:c>
      <x:c r="AL173" s="101" t="str">
        <x:v>Chapters 3/4 v4.10.3 — MD + illustrated Word; UI Coverage / UI Controls in this workbook</x:v>
      </x:c>
      <x:c r="AM173" t="n">
        <x:f>IF(ISNUMBER(J173),1,0)</x:f>
        <x:v>1</x:v>
      </x:c>
      <x:c r="AN173" s="101"/>
      <x:c r="AO173" s="194" t="str">
        <x:v>Not started — no completion claimed</x:v>
      </x:c>
      <x:c r="AP173" s="194" t="str">
        <x:v>Inherited v2.22.0 intended record; no new runtime certification in this repair.</x:v>
      </x:c>
      <x:c r="AQ173" s="194"/>
      <x:c r="AR173" s="194" t="str">
        <x:v>INHERITED ESTIMATE</x:v>
      </x:c>
    </x:row>
    <x:row r="174" ht="76" customHeight="1">
      <x:c r="A174" s="101" t="str">
        <x:v>T-246</x:v>
      </x:c>
      <x:c r="B174" s="101" t="str">
        <x:v>M3</x:v>
      </x:c>
      <x:c r="C174" s="101" t="str">
        <x:v>P4</x:v>
      </x:c>
      <x:c r="D174" s="101" t="str">
        <x:v>Canvas governed model/intelligence block invocation</x:v>
      </x:c>
      <x:c r="E174" s="101" t="str">
        <x:v>Frontend</x:v>
      </x:c>
      <x:c r="F174" s="101" t="str">
        <x:v>No-code authoring</x:v>
      </x:c>
      <x:c r="G174" s="101" t="str">
        <x:v>Important</x:v>
      </x:c>
      <x:c r="H174" s="101" t="str">
        <x:v>Expose registered intelligence/model families as governed canvas blocks after the production model registry exists. Invocation resolves serving identity/model version and semantic manifest, calls the registered runtime, and returns governed result/evidence handles. No model framework or provider is exposed as the product contract.</x:v>
      </x:c>
      <x:c r="I174" s="101" t="str">
        <x:v>Invocation resolves an active registered serving identity and semantic manifest; an unregistered/not-ready model refuses; result carries evidence handles/claim class; no direct Python/provider call exists in the frontend.</x:v>
      </x:c>
      <x:c r="J174" s="107" t="n">
        <x:v>11</x:v>
      </x:c>
      <x:c r="K174" s="101" t="str">
        <x:v>Not Started</x:v>
      </x:c>
      <x:c r="L174" s="101" t="str">
        <x:v>Worker 2</x:v>
      </x:c>
      <x:c r="M174" s="101" t="str">
        <x:v>T-243; T-130; T-137; T-187</x:v>
      </x:c>
      <x:c r="N174" s="101" t="str">
        <x:v>T-249</x:v>
      </x:c>
      <x:c r="O174" s="101" t="str">
        <x:v>M3: 45 days after M2 completion</x:v>
      </x:c>
      <x:c r="P174" s="101" t="str">
        <x:v>Release 2 MUST</x:v>
      </x:c>
      <x:c r="Q174" s="101" t="str">
        <x:v>Post-Sep product completion</x:v>
      </x:c>
      <x:c r="R174" s="195" t="n">
        <x:v>4.7</x:v>
      </x:c>
      <x:c r="S174" s="101" t="str">
        <x:v>M3-P4</x:v>
      </x:c>
      <x:c r="T174" s="101" t="str">
        <x:v>Consume accepted producer contracts; remaining dependencies: T-243; T-130; T-137; T-187. No private scheduler/definition authority. Source-present is not closure proof.</x:v>
      </x:c>
      <x:c r="U174" s="101" t="str">
        <x:v>Canvas model/intelligence block adapters only.</x:v>
      </x:c>
      <x:c r="V174" s="101" t="str">
        <x:v>T-130/model registry and T-137 serving runtime remain authorities.</x:v>
      </x:c>
      <x:c r="W174" s="101" t="str">
        <x:v>Advanced ML, Optimisation &amp; Value</x:v>
      </x:c>
      <x:c r="X174" s="101" t="str">
        <x:v>v2.22.0 owner-approved scope and release disposition; original evidence remains in change log/archive.</x:v>
      </x:c>
      <x:c r="Y174" s="196"/>
      <x:c r="Z174" s="197"/>
      <x:c r="AA174" s="101" t="str">
        <x:v>L3.8</x:v>
      </x:c>
      <x:c r="AB174" s="101" t="str">
        <x:v>Canvas → compile → governed job → run → per-block evidence</x:v>
      </x:c>
      <x:c r="AC174" s="101" t="str">
        <x:v>L4.2; L4.7</x:v>
      </x:c>
      <x:c r="AD174" s="101" t="str">
        <x:v>Build</x:v>
      </x:c>
      <x:c r="AE174" s="101" t="str">
        <x:v>D2; D5</x:v>
      </x:c>
      <x:c r="AF174" s="101" t="str">
        <x:v>Core</x:v>
      </x:c>
      <x:c r="AG174" s="101" t="str">
        <x:v>R2</x:v>
      </x:c>
      <x:c r="AH174" s="101" t="str">
        <x:v>Advances</x:v>
      </x:c>
      <x:c r="AI174" s="101">
        <x:f t="shared" si="5"/>
      </x:c>
      <x:c r="AJ174" s="101" t="str">
        <x:v>Inherited baseline estimate</x:v>
      </x:c>
      <x:c r="AK174" s="101" t="str">
        <x:v>v4.10.3</x:v>
      </x:c>
      <x:c r="AL174" s="101" t="str">
        <x:v>Chapters 3/4 v4.10.3 — MD + illustrated Word; UI Coverage / UI Controls in this workbook</x:v>
      </x:c>
      <x:c r="AM174" t="n">
        <x:f>IF(ISNUMBER(J174),1,0)</x:f>
        <x:v>1</x:v>
      </x:c>
      <x:c r="AN174" s="101"/>
      <x:c r="AO174" s="194" t="str">
        <x:v>Not started — no completion claimed</x:v>
      </x:c>
      <x:c r="AP174" s="194" t="str">
        <x:v>Inherited v2.22.0 intended record; no new runtime certification in this repair.</x:v>
      </x:c>
      <x:c r="AQ174" s="194"/>
      <x:c r="AR174" s="194" t="str">
        <x:v>INHERITED ESTIMATE</x:v>
      </x:c>
    </x:row>
    <x:row r="175" ht="76" customHeight="1">
      <x:c r="A175" s="101" t="str">
        <x:v>T-264</x:v>
      </x:c>
      <x:c r="B175" s="101" t="str">
        <x:v>M3</x:v>
      </x:c>
      <x:c r="C175" s="101" t="str">
        <x:v>P4</x:v>
      </x:c>
      <x:c r="D175" s="101" t="str">
        <x:v>Registry-driven internal benchmarking</x:v>
      </x:c>
      <x:c r="E175" s="101" t="str">
        <x:v>Product / Integration</x:v>
      </x:c>
      <x:c r="F175" s="101" t="str">
        <x:v>Registry-driven internal benchmarking</x:v>
      </x:c>
      <x:c r="G175" s="101" t="str">
        <x:v>Very Important</x:v>
      </x:c>
      <x:c r="H175" s="101" t="str">
        <x:v>Implement Core internal benchmarking Ch4 5.8.5 across registered dimensions and periods and against matching own-best practice. Reuse T-214/T-240 semantics; no assumed line/shift/customer taxonomy.</x:v>
      </x:c>
      <x:c r="I175" s="101" t="str">
        <x:v>BM01 small-population refusal with both counts; BM02 no coloring without direction; explicit normalization/units and periods; context-comparable own-best practice; reproducible evidence/export and negative cross-tenant tests.</x:v>
      </x:c>
      <x:c r="J175" s="198"/>
      <x:c r="K175" s="101" t="str">
        <x:v>Not Started</x:v>
      </x:c>
      <x:c r="L175" s="101" t="str">
        <x:v>Worker 3</x:v>
      </x:c>
      <x:c r="M175" s="101" t="str">
        <x:v>T-214; T-240</x:v>
      </x:c>
      <x:c r="N175" s="101" t="str">
        <x:v>T-249</x:v>
      </x:c>
      <x:c r="O175" s="101" t="str">
        <x:v>M3: 45 days after M2 completion</x:v>
      </x:c>
      <x:c r="P175" s="101" t="str">
        <x:v>Release 2 MUST</x:v>
      </x:c>
      <x:c r="Q175" s="101" t="str">
        <x:v>Governed product integration</x:v>
      </x:c>
      <x:c r="R175" s="195"/>
      <x:c r="S175" s="101" t="str">
        <x:v>M3-P4</x:v>
      </x:c>
      <x:c r="T175" s="101" t="str">
        <x:v>Consume accepted producer contracts; remaining dependencies: T-214; T-240. No private scheduler/definition authority. Source-present is not closure proof.</x:v>
      </x:c>
      <x:c r="U175" s="101" t="str">
        <x:v>Semantic product filenames only. CENTRAL assigns shared file locks before overlapping worker writes.</x:v>
      </x:c>
      <x:c r="V175" s="101" t="str">
        <x:v>Reuse current canonical authorities; no shadow lifecycle/registry/scheduler.</x:v>
      </x:c>
      <x:c r="W175" s="101" t="str">
        <x:v>Advanced ML, Optimisation &amp; Value</x:v>
      </x:c>
      <x:c r="X175" s="101" t="str">
        <x:v>v2.22.0 owner-approved scope and release disposition; original evidence remains in change log/archive.</x:v>
      </x:c>
      <x:c r="Y175" s="196"/>
      <x:c r="Z175" s="197"/>
      <x:c r="AA175" s="101" t="str">
        <x:v>L10.1</x:v>
      </x:c>
      <x:c r="AB175" s="101" t="str">
        <x:v>Internal benchmarking</x:v>
      </x:c>
      <x:c r="AC175" s="101" t="str">
        <x:v>L9.1; L4.6</x:v>
      </x:c>
      <x:c r="AD175" s="101" t="str">
        <x:v>Build</x:v>
      </x:c>
      <x:c r="AE175" s="101" t="str">
        <x:v>D2; D3; D4; D5</x:v>
      </x:c>
      <x:c r="AF175" s="101" t="str">
        <x:v>Core</x:v>
      </x:c>
      <x:c r="AG175" s="101" t="str">
        <x:v>R2</x:v>
      </x:c>
      <x:c r="AH175" s="101" t="str">
        <x:v>Advances</x:v>
      </x:c>
      <x:c r="AI175" s="101" t="str">
        <x:f t="shared" si="5"/>
        <x:v>Estimate pending owner calibration; no completion or runtime proof inferred from this row.</x:v>
      </x:c>
      <x:c r="AJ175" s="199" t="str">
        <x:v>UNESTIMATED — new/recognized task; owner calibration pending.</x:v>
      </x:c>
      <x:c r="AK175" s="199" t="str">
        <x:v>v4.10.3</x:v>
      </x:c>
      <x:c r="AL175" s="199" t="str">
        <x:v>Chapters 3/4 v4.10.3 — MD + illustrated Word; UI Coverage / UI Controls in this workbook
v2.23.0 — T-267 supplies D12 comparison/direction/sample-refusal/normalisation design. BM01/BM02 behavior and result evidence remain implementation acceptance, not illustrated proof.</x:v>
      </x:c>
      <x:c r="AM175" s="200" t="n">
        <x:f>IF(ISNUMBER(J175),1,0)</x:f>
        <x:v>0</x:v>
      </x:c>
      <x:c r="AN175" s="199"/>
      <x:c r="AO175" s="201" t="str">
        <x:v>Not started — no completion claimed</x:v>
      </x:c>
      <x:c r="AP175" s="201" t="str">
        <x:v>Inherited v2.22.0 intended record; no new runtime certification in this repair.</x:v>
      </x:c>
      <x:c r="AQ175" s="201"/>
      <x:c r="AR175" s="201" t="str">
        <x:v>UNESTIMATED</x:v>
      </x:c>
    </x:row>
    <x:row r="176" ht="76" customHeight="1">
      <x:c r="A176" s="104" t="str">
        <x:v>T-167</x:v>
      </x:c>
      <x:c r="B176" s="104" t="str">
        <x:v>M3</x:v>
      </x:c>
      <x:c r="C176" s="104" t="str">
        <x:v>P5</x:v>
      </x:c>
      <x:c r="D176" s="104" t="str">
        <x:v>Documentation, training and production acceptance</x:v>
      </x:c>
      <x:c r="E176" s="104" t="str">
        <x:v>Documentation</x:v>
      </x:c>
      <x:c r="F176" s="104" t="str">
        <x:v>Handover</x:v>
      </x:c>
      <x:c r="G176" s="104" t="str">
        <x:v>Critical</x:v>
      </x:c>
      <x:c r="H176" s="104" t="str">
        <x:v>Runbook, operator and data-engineer and administrator guides, release notes, known limitations, rollback plan and the formal acceptance suite.</x:v>
      </x:c>
      <x:c r="I176" s="104" t="str">
        <x:v>The acceptance suite passes and is signed. Known limitations are written down before the customer finds them.</x:v>
      </x:c>
      <x:c r="J176" s="108" t="n">
        <x:v>12</x:v>
      </x:c>
      <x:c r="K176" s="104" t="str">
        <x:v>Not Started</x:v>
      </x:c>
      <x:c r="L176" s="104" t="str">
        <x:v>Worker 2</x:v>
      </x:c>
      <x:c r="M176" s="101"/>
      <x:c r="N176" s="101" t="str">
        <x:v>T-249</x:v>
      </x:c>
      <x:c r="O176" s="101" t="str">
        <x:v>M3: 45 days after M2 completion</x:v>
      </x:c>
      <x:c r="P176" s="101" t="str">
        <x:v>Release 2 MUST</x:v>
      </x:c>
      <x:c r="Q176" s="101" t="str">
        <x:v>External/site certification</x:v>
      </x:c>
      <x:c r="R176" s="195" t="n">
        <x:v>7.2</x:v>
      </x:c>
      <x:c r="S176" s="101" t="str">
        <x:v>M3-P5</x:v>
      </x:c>
      <x:c r="T176" s="101" t="str">
        <x:v>WAIT for deployed Release 1 + real customer/site evidence. M3 sequence</x:v>
      </x:c>
      <x:c r="U176" s="101" t="str">
        <x:v>Own customer-facing UX/docs/website only.</x:v>
      </x:c>
      <x:c r="V176" s="101" t="str">
        <x:v>Commit before downstream consumer starts; consumer must use the contract, not redesign producer-owned semantics.</x:v>
      </x:c>
      <x:c r="W176" s="101" t="str">
        <x:v>Heavy-production Certification</x:v>
      </x:c>
      <x:c r="X176" s="101" t="str">
        <x:v>M3 P5 — Heavy-production Certification. Release 2 is heavy production / scale / deeper enterprise use.</x:v>
      </x:c>
      <x:c r="Y176" s="196"/>
      <x:c r="Z176" s="197"/>
      <x:c r="AA176" s="101" t="str">
        <x:v>L7.8</x:v>
      </x:c>
      <x:c r="AB176" s="101" t="str">
        <x:v>Sales Administration and sales-to-engineering handover</x:v>
      </x:c>
      <x:c r="AC176" s="101" t="str">
        <x:v>L8.8</x:v>
      </x:c>
      <x:c r="AD176" s="101" t="str">
        <x:v>Build</x:v>
      </x:c>
      <x:c r="AE176" s="101" t="str">
        <x:v>D5</x:v>
      </x:c>
      <x:c r="AF176" s="101" t="str">
        <x:v>Core</x:v>
      </x:c>
      <x:c r="AG176" s="101" t="str">
        <x:v>R2</x:v>
      </x:c>
      <x:c r="AH176" s="101" t="str">
        <x:v>Advances</x:v>
      </x:c>
      <x:c r="AI176" s="101">
        <x:f t="shared" si="5"/>
      </x:c>
      <x:c r="AJ176" s="101" t="str">
        <x:v>Inherited baseline estimate</x:v>
      </x:c>
      <x:c r="AK176" s="101" t="str">
        <x:v>v4.10.3</x:v>
      </x:c>
      <x:c r="AL176" s="101" t="str">
        <x:v>Chapters 3/4 v4.10.3 — MD + illustrated Word; UI Coverage / UI Controls in this workbook</x:v>
      </x:c>
      <x:c r="AM176" t="n">
        <x:f>IF(ISNUMBER(J176),1,0)</x:f>
        <x:v>1</x:v>
      </x:c>
      <x:c r="AN176" s="101"/>
      <x:c r="AO176" s="194" t="str">
        <x:v>Not started — no completion claimed</x:v>
      </x:c>
      <x:c r="AP176" s="194" t="str">
        <x:v>Inherited v2.22.0 intended record; no new runtime certification in this repair.</x:v>
      </x:c>
      <x:c r="AQ176" s="194"/>
      <x:c r="AR176" s="194" t="str">
        <x:v>INHERITED ESTIMATE</x:v>
      </x:c>
    </x:row>
    <x:row r="177" ht="76" customHeight="1">
      <x:c r="A177" s="101" t="str">
        <x:v>T-249</x:v>
      </x:c>
      <x:c r="B177" s="101" t="str">
        <x:v>M3</x:v>
      </x:c>
      <x:c r="C177" s="101" t="str">
        <x:v>P5</x:v>
      </x:c>
      <x:c r="D177" s="101" t="str">
        <x:v>Release 2 heavy-production final certification gate</x:v>
      </x:c>
      <x:c r="E177" s="101" t="str">
        <x:v>Testing</x:v>
      </x:c>
      <x:c r="F177" s="101" t="str">
        <x:v>Release certification</x:v>
      </x:c>
      <x:c r="G177" s="101" t="str">
        <x:v>Critical</x:v>
      </x:c>
      <x:c r="H177" s="101" t="str">
        <x:v>Final M3 gate for sustained heavy production: higher volumes, more users, OT endurance, enterprise operations, advanced BI/authoring, advanced intelligence/value, recovery and support. No release if a required M3 production capability is only a demo/proof seam.</x:v>
      </x:c>
      <x:c r="I177" s="101" t="str">
        <x:v>One machine-readable M3 scorecard is GREEN across capacity, concurrency, customer-source endurance, security, backup/restore, monitoring, advanced BI/authoring, model lifecycle, value evidence and customer runbook. Zero unresolved Critical/Very Important release defects.</x:v>
      </x:c>
      <x:c r="J177" s="107" t="n">
        <x:v>12</x:v>
      </x:c>
      <x:c r="K177" s="101" t="str">
        <x:v>Not Started</x:v>
      </x:c>
      <x:c r="L177" s="101" t="str">
        <x:v>Worker 1</x:v>
      </x:c>
      <x:c r="M177" s="101" t="str">
        <x:v>T-153; T-159; T-160; T-161; T-162; T-163; T-164; T-167; T-193; T-230; T-240; T-248; T-263; T-264; T-246; T-110; T-267</x:v>
      </x:c>
      <x:c r="N177" s="101"/>
      <x:c r="O177" s="101" t="str">
        <x:v>M3: 45 days after M2 completion</x:v>
      </x:c>
      <x:c r="P177" s="101" t="str">
        <x:v>Release 2 MUST</x:v>
      </x:c>
      <x:c r="Q177" s="101" t="str">
        <x:v>Release certification</x:v>
      </x:c>
      <x:c r="R177" s="195" t="n">
        <x:v>6</x:v>
      </x:c>
      <x:c r="S177" s="101" t="str">
        <x:v>M3-P5</x:v>
      </x:c>
      <x:c r="T177" s="101" t="str">
        <x:v>After all M3 MUST gates</x:v>
      </x:c>
      <x:c r="U177" s="101" t="str">
        <x:v>Cross-stack release evidence; exact staging only</x:v>
      </x:c>
      <x:c r="V177" s="101" t="str">
        <x:v>Certification task only. Defects go back to the owning task/worker; do not patch features inside the gate.</x:v>
      </x:c>
      <x:c r="W177" s="101" t="str">
        <x:v>Heavy-production Certification</x:v>
      </x:c>
      <x:c r="X177" s="101" t="str">
        <x:v>M3 P5 final authority. Release 2 means heavy-production ready, not another demonstration.</x:v>
      </x:c>
      <x:c r="Y177" s="196"/>
      <x:c r="Z177" s="197"/>
      <x:c r="AA177" s="101" t="str">
        <x:v>L8.8</x:v>
      </x:c>
      <x:c r="AB177" s="101" t="str">
        <x:v>C1–C4 performance certification and golden-journey release gate</x:v>
      </x:c>
      <x:c r="AC177" s="101"/>
      <x:c r="AD177" s="101" t="str">
        <x:v>Certify</x:v>
      </x:c>
      <x:c r="AE177" s="101" t="str">
        <x:v>D5</x:v>
      </x:c>
      <x:c r="AF177" s="101" t="str">
        <x:v>Core</x:v>
      </x:c>
      <x:c r="AG177" s="101" t="str">
        <x:v>R2</x:v>
      </x:c>
      <x:c r="AH177" s="101" t="str">
        <x:v>Advances</x:v>
      </x:c>
      <x:c r="AI177" s="101"/>
      <x:c r="AJ177" s="101" t="str">
        <x:v>Inherited baseline estimate</x:v>
      </x:c>
      <x:c r="AK177" s="101" t="str">
        <x:v>v4.10.3</x:v>
      </x:c>
      <x:c r="AL177" s="101" t="str">
        <x:v>Chapters 3/4 v4.10.3 — MD + illustrated Word; UI Coverage / UI Controls in this workbook</x:v>
      </x:c>
      <x:c r="AM177" t="n">
        <x:f>IF(ISNUMBER(J177),1,0)</x:f>
        <x:v>1</x:v>
      </x:c>
      <x:c r="AN177" s="101"/>
      <x:c r="AO177" s="194" t="str">
        <x:v>Not started — no completion claimed</x:v>
      </x:c>
      <x:c r="AP177" s="194" t="str">
        <x:v>Inherited v2.22.0 intended record; no new runtime certification in this repair.</x:v>
      </x:c>
      <x:c r="AQ177" s="194"/>
      <x:c r="AR177" s="194" t="str">
        <x:v>INHERITED ESTIMATE</x:v>
      </x:c>
    </x:row>
    <x:row r="178" ht="90" customHeight="1">
      <x:c r="A178" s="101" t="str">
        <x:v>T-265</x:v>
      </x:c>
      <x:c r="B178" s="101" t="str">
        <x:v>M2</x:v>
      </x:c>
      <x:c r="C178" s="101" t="str">
        <x:v>P3</x:v>
      </x:c>
      <x:c r="D178" s="101" t="str">
        <x:v>Release-1 UI design depth, workflow and illustrated-companion convergence</x:v>
      </x:c>
      <x:c r="E178" s="101" t="str">
        <x:v>Frontend</x:v>
      </x:c>
      <x:c r="F178" s="101" t="str">
        <x:v>Derived UI design and handoff</x:v>
      </x:c>
      <x:c r="G178" s="101" t="str">
        <x:v>High</x:v>
      </x:c>
      <x:c r="H178" s="101" t="str">
        <x:v>Revise the existing derived UI/Figma package, not the functional Design. Deliver build-ready, page-specific designs for every M2-exposed portion of the 40-page inventory, all applicable G1-G5 components, dialogs, S1/S2 and active S3/S5 editors, toolbox elements and inspectors; retain M3-only portions in T-267. Explicit M2 coverage includes A1/A2, B1-B6, C1/C2/C3/C5/C6, D1-D8 where active, E2/E3, F1-F4 minimum controls, and the actual release settings/logging surfaces. The approved page-by-page closure matrix, not this illustrative list, controls completeness. T-266 owns OPC content embedded in B1-B4/B6.
For each obligation bind chapter/section -&gt; semantic control/interaction ID -&gt; reachable frame/state/node -&gt; transition/data contract -&gt; implementation owner -&gt; acceptance evidence. Replace placeholder-only samples with labelled synthetic fixtures of realistic density and edge cases. Distinguish D1 view/selection from D2 authoring; B5 monitoring from F4 scheduling/dependency administration. Reuse the shell and components; C1 correctly hosts the S1 authoring mode and need not have an arbitrary different geometry.
C1 must show selected Source/Join/Output inspectors, labelled typed ports, legal/illegal wiring, diagnostic-to-node focus, field binding, validate/preview, immutable publish/impact, reopen and SQL parity. C2/C3 must show catalogue-driven quarantine codes/counts, lineage, row detail and guarded reprocessing; target coverage includes the chapter's PV catalogue, never a hardcoded eight-code limit. B3 shows typed total-order cursors; B4/B5 show durable outcome/error/cursor and cancel-request acknowledgement versus canonical terminal state. D1 shows selected/possible/excluded values, pivot, clear-one/all and propagation, plus applicable table navigation/export; none of this M2 baseline moves to M3.
Fix Home to J1-J15 or an explicitly mapped condensed rail; verify all 87 dialog source citations semantically, including rendered Word captions. Use page-specific applicability, permission/refusal, focus, keyboard, supported narrow-view and RTL states. Update Chapter 3/4 MD and illustrated Word from one maintained visual/interaction specification, with source prose preserved and the coverage register inside this workbook. Keep native Figma/tooling source in its implementation environment; store Figma file/node and acceptance references here, not in additional design-book files. No native-Figma, browser-runtime or enterprise-ready claim without the corresponding executed proof.</x:v>
      </x:c>
      <x:c r="I178" s="101" t="str">
        <x:v>AC1: Every required M2 clause/control/transition is accounted for in a semantic traceability matrix; coverage resolves to a reachable frame/variant or a justified N/A. Literal label search is diagnostic only, not acceptance; no requirement to show permission-conditional controls in one default screenshot.
AC2: Execute documented prototype walkthroughs with labelled fixtures for connect/test/discover/cursor/import, select/inspect/wire/map/publish/reopen, run/schedule/cancel/failure/quarantine/reprocess, and multi-widget selection/clear/export/evidence. Verify normal, refused and recovery transitions, preserved edits, focus and permission outcomes.
AC3: Demonstrate D1/D2 and B5/F4 semantic differences while preserving reusable shell/components; C1/S1 shared structure is allowed. Show all required controls rather than inflating node count.
AC4: J1-J15 mapping is exact; all 87 dialog references are verified against owning clauses in this workbook's coverage data and the Chapter 3/4 MD and illustrated Word (not merely matching an existing heading). All 40 pages, 6 shell components, 82 toolbox entries, 16 inspectors and 10 purpose/mode frames remain in the coverage ledger.
AC5: Check keyboard traversal/focus return, meaningful disabled explanations, responsive panel behavior, RTL with SQL/identifiers kept LTR, and applicable loading/empty/error/read-only states using actual rendered designs.
AC6: Re-open one native Figma import for each structural class and all changed scenes for diagnostics; confirm editable frames/text, fonts, component instances/variants and working prototype transitions. Save file/node references and inspection evidence. Pending Figma execution stays explicitly NOT EXECUTED, not pass.
AC7: Export both illustrated Word chapters only after all included figures resolve, source prose is retained and the corrected images/captions pass a visual check. Task closure is design handoff only; D2/D5 product runtime completion remains with implementing tasks and T-247/T-150.</x:v>
      </x:c>
      <x:c r="J178" s="101"/>
      <x:c r="K178" s="101" t="str">
        <x:v>Not Started</x:v>
      </x:c>
      <x:c r="L178" s="101" t="str">
        <x:v>Worker 2</x:v>
      </x:c>
      <x:c r="M178" s="101" t="str"/>
      <x:c r="N178" s="101" t="str">
        <x:v>T-247; T-267</x:v>
      </x:c>
      <x:c r="O178" s="101" t="str">
        <x:v>Release 1</x:v>
      </x:c>
      <x:c r="P178" s="101" t="str">
        <x:v>Release 1 MUST</x:v>
      </x:c>
      <x:c r="Q178" s="101" t="str">
        <x:v>Design authoring</x:v>
      </x:c>
      <x:c r="R178" s="101"/>
      <x:c r="S178" s="101" t="str">
        <x:v>Contract-led parallel design</x:v>
      </x:c>
      <x:c r="T178" s="101" t="str">
        <x:v>Read v4.10.3 and frozen producer contracts. Contract-ready does not require producer completion; final design acceptance requires recorded walkthrough evidence.</x:v>
      </x:c>
      <x:c r="U178" s="101" t="str">
        <x:v>UI companion: non-OPC M2 scenes + Chapter 3/4 reading-edition assets. CENTRAL alone merges shared tokens/data/atlas; no product source lock.</x:v>
      </x:c>
      <x:c r="V178" s="101" t="str">
        <x:v>UI design completion is not product implementation completion. Reuse the current authorities/components; use per-surface handoffs and no shared-file concurrent writes.</x:v>
      </x:c>
      <x:c r="W178" s="101" t="str">
        <x:v>UI companion / design acceptance</x:v>
      </x:c>
      <x:c r="X178" s="101" t="str">
        <x:v>Functional Design v4.10.3 unchanged. Design, rendered visual, prototype and live-runtime evidence are separate.</x:v>
      </x:c>
      <x:c r="Y178" s="101"/>
      <x:c r="Z178" s="101"/>
      <x:c r="AA178" s="101" t="str">
        <x:v>L3.1</x:v>
      </x:c>
      <x:c r="AB178" s="101" t="str">
        <x:v>Analysis page anatomy, layout and visual standard</x:v>
      </x:c>
      <x:c r="AC178" s="101" t="str">
        <x:v>L1.1; L1.2; L1.3; L1.7; L2.2; L2.3; L2.6; L2.7; L3.2; L3.3; L3.5; L3.6; L3.7; L5.2; L6.1; L6.7</x:v>
      </x:c>
      <x:c r="AD178" s="101" t="str">
        <x:v>Supports implementation; no runtime credit</x:v>
      </x:c>
      <x:c r="AE178" s="101" t="str">
        <x:v>D2 preparation only; D1-D5 product credit requires implementation evidence</x:v>
      </x:c>
      <x:c r="AF178" s="101" t="str">
        <x:v>Core</x:v>
      </x:c>
      <x:c r="AG178" s="101" t="str">
        <x:v>M2_REQUIRED</x:v>
      </x:c>
      <x:c r="AH178" s="101" t="str">
        <x:v>Design handoff only</x:v>
      </x:c>
      <x:c r="AI178" s="101" t="str">
        <x:v>PENDING — new design/prototype/native Figma evidence not yet executed</x:v>
      </x:c>
      <x:c r="AJ178" s="101" t="str">
        <x:v>Fable's provisional estimate retained only in Estimate Review; not accepted as Hours or P80.</x:v>
      </x:c>
      <x:c r="AK178" s="101" t="str">
        <x:v>v4.10.3</x:v>
      </x:c>
      <x:c r="AL178" s="101" t="str">
        <x:v>UI_Coverage_v2.23.0.json and UI_Workflow_Acceptance_v2.23.0.md; same companion version as revised visual edition, distinct from functional authority.</x:v>
      </x:c>
      <x:c r="AM178" s="101" t="n">
        <x:f>IF(ISNUMBER(J178),1,0)</x:f>
        <x:v>0</x:v>
      </x:c>
      <x:c r="AN178" s="101" t="str">
        <x:v>T-099; T-106; T-253; T-262; T-101; T-125</x:v>
      </x:c>
      <x:c r="AO178" s="101" t="str">
        <x:v>NOT STARTED — DESIGN DELIVERY</x:v>
      </x:c>
      <x:c r="AP178" s="101" t="str">
        <x:v>No implementation or native-Figma closure claimed.</x:v>
      </x:c>
      <x:c r="AQ178" s="101"/>
      <x:c r="AR178" s="101" t="str">
        <x:v>UNCONFIRMED DESIGN ESTIMATE</x:v>
      </x:c>
    </x:row>
    <x:row r="179" ht="90" customHeight="1">
      <x:c r="A179" s="101" t="str">
        <x:v>T-266</x:v>
      </x:c>
      <x:c r="B179" s="101" t="str">
        <x:v>M2</x:v>
      </x:c>
      <x:c r="C179" s="101" t="str">
        <x:v>P2</x:v>
      </x:c>
      <x:c r="D179" s="101" t="str">
        <x:v>Release-1 OPC-UA UI workflows and capability-truth design</x:v>
      </x:c>
      <x:c r="E179" s="101" t="str">
        <x:v>Frontend</x:v>
      </x:c>
      <x:c r="F179" s="101" t="str">
        <x:v>Derived UI design and handoff</x:v>
      </x:c>
      <x:c r="G179" s="101" t="str">
        <x:v>High</x:v>
      </x:c>
      <x:c r="H179" s="101" t="str">
        <x:v>Supply the missing OPC-UA/historian design within canonical B1-B4/B6 surfaces and approved navigation, without inventing a new page identity or changing the read-only customer-side collector boundary. Own profile fields, endpoint/security policy and certificate references; trusted/rejected/test-pending sessions; namespace tree, node identity and tag registration; bounded read and subscription configuration; monitored values, StatusCode/quality, source/server/ingestion timestamps; disconnect, reconnect, sequence gap, local spool backlog, replay and canonical acknowledgement.
Design both labelled target-commissioned success and current capability-unavailable/refusal states. A target mockup may depict the finished feature but must not claim it exists now or enable a runtime flag. Separate role, entitlement, configured readiness and runtime capability truth. Tag-browse defaults, limits, intervals and time interpretation come from the governed contracts, not sample labels.
Worker 1 is the technical contract reviewer for T-224/T-225/T-226; Worker 2 leads visual production and owns shared-UI integration. Freeze API/quality/time/refusal signatures for parallel work; backend implementation need not wait for the complete visual package.</x:v>
      </x:c>
      <x:c r="I179" s="101" t="str">
        <x:v>AC1: Trace every OPC obligation to chapter/section, B1-B4/B6 frame/state, contract field and T-224/T-225/T-226 implementation owner; include T-233 time semantics.
AC2: Prototype creation/test -&gt; browse/select/register -&gt; bounded read or subscription -&gt; quality/time inspection -&gt; interruption/spool/reconnect -&gt; idempotent replay -&gt; canonical evidence, using labelled synthetic telemetry.
AC3: Show rejected certificate/session, unsupported capability, invalid interval/budget, Bad/Uncertain quality, gaps and no-data distinctly; preserve reference-only credentials. No invented value on disconnect.
AC4: B6 rendered capability availability and actionable controls follow one authority; current unavailable and target commissioned states are visibly identified. No automatic capability certification from a drawing.
AC5: Confirm keyboard tree behavior, focus/selection, dense tag tables, narrow-view/RTL behavior and all failure-recovery transitions; include OPC scenes in the same integrated Chapter 3/4 MD and Word citation checks.
AC6: One native Figma import/prototype trace is observed and recorded; unavailable execution remains NOT EXECUTED. Final live read-only/session/browse/spool proof remains T-224..T-226 and release gates, not this design task.</x:v>
      </x:c>
      <x:c r="J179" s="101"/>
      <x:c r="K179" s="101" t="str">
        <x:v>Not Started</x:v>
      </x:c>
      <x:c r="L179" s="101" t="str">
        <x:v>Worker 2</x:v>
      </x:c>
      <x:c r="M179" s="101" t="str">
        <x:v>T-207</x:v>
      </x:c>
      <x:c r="N179" s="101" t="str">
        <x:v>T-247</x:v>
      </x:c>
      <x:c r="O179" s="101" t="str">
        <x:v>Release 1</x:v>
      </x:c>
      <x:c r="P179" s="101" t="str">
        <x:v>Release 1 MUST</x:v>
      </x:c>
      <x:c r="Q179" s="101" t="str">
        <x:v>Design authoring</x:v>
      </x:c>
      <x:c r="R179" s="101"/>
      <x:c r="S179" s="101" t="str">
        <x:v>Contract-led parallel design</x:v>
      </x:c>
      <x:c r="T179" s="101" t="str">
        <x:v>Read v4.10.3 and frozen producer contracts. Contract-ready does not require producer completion; final design acceptance requires recorded walkthrough evidence.</x:v>
      </x:c>
      <x:c r="U179" s="101" t="str">
        <x:v>UI companion OPC scene subset only; Worker 1 reviews endpoint/security/time/spool contracts; CENTRAL merges shared UI data.</x:v>
      </x:c>
      <x:c r="V179" s="101" t="str">
        <x:v>UI design completion is not product implementation completion. Reuse the current authorities/components; use per-surface handoffs and no shared-file concurrent writes.</x:v>
      </x:c>
      <x:c r="W179" s="101" t="str">
        <x:v>UI companion / design acceptance</x:v>
      </x:c>
      <x:c r="X179" s="101" t="str">
        <x:v>Functional Design v4.10.3 unchanged. Design, rendered visual, prototype and live-runtime evidence are separate.</x:v>
      </x:c>
      <x:c r="Y179" s="101"/>
      <x:c r="Z179" s="101"/>
      <x:c r="AA179" s="101" t="str">
        <x:v>L1.8</x:v>
      </x:c>
      <x:c r="AB179" s="101" t="str">
        <x:v>OPC-UA / historian / edge acquisition</x:v>
      </x:c>
      <x:c r="AC179" s="101" t="str">
        <x:v>L1.4; L1.1; L1.5; L6.8</x:v>
      </x:c>
      <x:c r="AD179" s="101" t="str">
        <x:v>Supports implementation; no runtime credit</x:v>
      </x:c>
      <x:c r="AE179" s="101" t="str">
        <x:v>D2 preparation only; D1-D5 product credit requires implementation evidence</x:v>
      </x:c>
      <x:c r="AF179" s="101" t="str">
        <x:v>Advanced</x:v>
      </x:c>
      <x:c r="AG179" s="101" t="str">
        <x:v>M2_REQUIRED</x:v>
      </x:c>
      <x:c r="AH179" s="101" t="str">
        <x:v>Design handoff only</x:v>
      </x:c>
      <x:c r="AI179" s="101" t="str">
        <x:v>PENDING — new design/prototype/native Figma evidence not yet executed</x:v>
      </x:c>
      <x:c r="AJ179" s="101" t="str">
        <x:v>Fable's provisional estimate retained only in Estimate Review; not accepted as Hours or P80.</x:v>
      </x:c>
      <x:c r="AK179" s="101" t="str">
        <x:v>v4.10.3</x:v>
      </x:c>
      <x:c r="AL179" s="101" t="str">
        <x:v>B1-B4/B6 OPC variants + UI_Workflow_Acceptance_v2.23.0.md</x:v>
      </x:c>
      <x:c r="AM179" s="101" t="n">
        <x:f>IF(ISNUMBER(J179),1,0)</x:f>
        <x:v>0</x:v>
      </x:c>
      <x:c r="AN179" s="101" t="str">
        <x:v>T-224; T-225; T-226; T-233</x:v>
      </x:c>
      <x:c r="AO179" s="101" t="str">
        <x:v>NOT STARTED — DESIGN DELIVERY</x:v>
      </x:c>
      <x:c r="AP179" s="101" t="str">
        <x:v>No implementation or native-Figma closure claimed.</x:v>
      </x:c>
      <x:c r="AQ179" s="101"/>
      <x:c r="AR179" s="101" t="str">
        <x:v>UNCONFIRMED DESIGN ESTIMATE</x:v>
      </x:c>
    </x:row>
    <x:row r="180" ht="90" customHeight="1">
      <x:c r="A180" s="101" t="str">
        <x:v>T-267</x:v>
      </x:c>
      <x:c r="B180" s="101" t="str">
        <x:v>M3</x:v>
      </x:c>
      <x:c r="C180" s="101" t="str">
        <x:v>P3</x:v>
      </x:c>
      <x:c r="D180" s="101" t="str">
        <x:v>Release-2 interface depth and enterprise BI/authoring parity design</x:v>
      </x:c>
      <x:c r="E180" s="101" t="str">
        <x:v>Frontend</x:v>
      </x:c>
      <x:c r="F180" s="101" t="str">
        <x:v>Derived UI design and handoff</x:v>
      </x:c>
      <x:c r="G180" s="101" t="str">
        <x:v>High</x:v>
      </x:c>
      <x:c r="H180" s="101" t="str">
        <x:v>Complete the M3 remainder of the entire existing UI inventory, not just selected BI examples. Preserve all 40 page IDs, all 87 dialogs, 82 toolbox entries, 16 inspectors, 10 S1-S5 Block/SQL mode frames, expressions and G1-G6. Derive each remaining state/interaction from the owning chapter and the approved T-248 outcome matrix, including later Findings/Risk/Practice/Scenario/Benchmarking, Reports, Supervisor, alert/admin and licence/quota depth where deferred.
Own advanced named selections/bookmarks, comparison states, drill/hierarchies, pivot/crosstab or governed equivalent, undo/redo, immutable version compare, multi-sheet layout, concurrency conflict recovery, advanced export fidelity, G3 command palette and G6 activity tray. Basic M2 selection/clear, table navigation, cancellation feedback and existing workflow correctness stay in T-265; do not defer them here.
Use the common component library and model/report/benchmark/decision contracts; no unsupported window is made functional by a mockup. Finish distinct view/edit/inspect/pending/conflict/refusal recovery flows rather than producing duplicate placeholder frames. Deliver the revised visual specification inside Chapter 3/4 MD and both illustrated Word editions with stable traceable captions; retain native editable Figma evidence as file/node references inside this workbook. Do not add a standalone atlas or companion file to the design book.</x:v>
      </x:c>
      <x:c r="I180" s="101" t="str">
        <x:v>AC1: Every uncompleted UI inventory obligation has a concrete M3 frame/state/interaction and one runtime owner; none disappears because an earlier template lacked it. Explicitly reconcile all 75 T-248 outcome rows with design/prototype evidence and then implementation acceptance; signed N/A only where the chapter allows it.
AC2: Demonstrate advanced selection/save/restore, pending lasso confirm/cancel, drill/return, multi-sheet authoring, undo/redo, version diff, conflict resolution, and current-state export with applied filter/period/permission context.
AC3: Include full deferred page workflows (Reports generation/delivery, Benchmarking sample/direction refusals, model activation/retirement, decisions/outcomes/effectiveness, Supervisor and administration) against their producer contracts.
AC4: Apply semantic control coverage, applicable states, accessibility/focus/keyboard, responsive and RTL checks; shared components are encouraged, not forbidden.
AC5: Native Figma editable import/prototype and no clipped/unreadable controls are observed; evidence references actual scenes and transitions. Updated Chapter 3/4 Markdown and illustrated Word preserve chapter prose and correct citations; coverage and verification remain in the latest Backlog.
AC6: T-248 and T-249 verify product behavior independently. Design acceptance alone never raises product D2/D5 scores or marks an implementation task Done.</x:v>
      </x:c>
      <x:c r="J180" s="101"/>
      <x:c r="K180" s="101" t="str">
        <x:v>Not Started</x:v>
      </x:c>
      <x:c r="L180" s="101" t="str">
        <x:v>Worker 2</x:v>
      </x:c>
      <x:c r="M180" s="101" t="str">
        <x:v>T-265</x:v>
      </x:c>
      <x:c r="N180" s="101" t="str">
        <x:v>T-248; T-249</x:v>
      </x:c>
      <x:c r="O180" s="101" t="str">
        <x:v>Release 2</x:v>
      </x:c>
      <x:c r="P180" s="101" t="str">
        <x:v>Release 2 MUST</x:v>
      </x:c>
      <x:c r="Q180" s="101" t="str">
        <x:v>Design authoring</x:v>
      </x:c>
      <x:c r="R180" s="101"/>
      <x:c r="S180" s="101" t="str">
        <x:v>Contract-led parallel design</x:v>
      </x:c>
      <x:c r="T180" s="101" t="str">
        <x:v>Read v4.10.3 and frozen producer contracts. Contract-ready does not require producer completion; final design acceptance requires recorded walkthrough evidence.</x:v>
      </x:c>
      <x:c r="U180" s="101" t="str">
        <x:v>UI companion M3 subset; shared token/atlas/Word merge owned by CENTRAL; no duplicate functional authority.</x:v>
      </x:c>
      <x:c r="V180" s="101" t="str">
        <x:v>UI design completion is not product implementation completion. Reuse the current authorities/components; use per-surface handoffs and no shared-file concurrent writes.</x:v>
      </x:c>
      <x:c r="W180" s="101" t="str">
        <x:v>UI companion / design acceptance</x:v>
      </x:c>
      <x:c r="X180" s="101" t="str">
        <x:v>Functional Design v4.10.3 unchanged. Design, rendered visual, prototype and live-runtime evidence are separate.</x:v>
      </x:c>
      <x:c r="Y180" s="101"/>
      <x:c r="Z180" s="101"/>
      <x:c r="AA180" s="101" t="str">
        <x:v>L3.7</x:v>
      </x:c>
      <x:c r="AB180" s="101" t="str">
        <x:v>Authoring professionalism</x:v>
      </x:c>
      <x:c r="AC180" s="101" t="str">
        <x:v>L3.1; L3.2; L3.3; L3.9; L6.5; L6.7; L7.4; L9.3; L9.5; L10.1; L10.4</x:v>
      </x:c>
      <x:c r="AD180" s="101" t="str">
        <x:v>Supports implementation; no runtime credit</x:v>
      </x:c>
      <x:c r="AE180" s="101" t="str">
        <x:v>D2 preparation only; D1-D5 product credit requires implementation evidence</x:v>
      </x:c>
      <x:c r="AF180" s="101" t="str">
        <x:v>Core</x:v>
      </x:c>
      <x:c r="AG180" s="101" t="str">
        <x:v>M3_DEFERRED</x:v>
      </x:c>
      <x:c r="AH180" s="101" t="str">
        <x:v>Design handoff only</x:v>
      </x:c>
      <x:c r="AI180" s="101" t="str">
        <x:v>PENDING — new design/prototype/native Figma evidence not yet executed</x:v>
      </x:c>
      <x:c r="AJ180" s="101" t="str">
        <x:v>Fable's provisional estimate retained only in Estimate Review; not accepted as Hours or P80.</x:v>
      </x:c>
      <x:c r="AK180" s="101" t="str">
        <x:v>v4.10.3</x:v>
      </x:c>
      <x:c r="AL180" s="101" t="str">
        <x:v>Full remaining UI inventory + T-248 75-item matrix + UI_Workflow_Acceptance_v2.23.0.md</x:v>
      </x:c>
      <x:c r="AM180" s="101" t="n">
        <x:f>IF(ISNUMBER(J180),1,0)</x:f>
        <x:v>0</x:v>
      </x:c>
      <x:c r="AN180" s="101" t="str">
        <x:v>T-248; T-263; T-264; T-196; T-197; T-198; T-199; T-200</x:v>
      </x:c>
      <x:c r="AO180" s="101" t="str">
        <x:v>NOT STARTED — DESIGN DELIVERY</x:v>
      </x:c>
      <x:c r="AP180" s="101" t="str">
        <x:v>No implementation or native-Figma closure claimed.</x:v>
      </x:c>
      <x:c r="AQ180" s="101"/>
      <x:c r="AR180" s="101" t="str">
        <x:v>UNCONFIRMED DESIGN ESTIMATE</x:v>
      </x:c>
    </x:row>
  </x:sheetData>
  <x:conditionalFormatting sqref="B2:B166">
    <x:cfRule type="expression" dxfId="12" priority="1">
      <x:formula>B2="M2"</x:formula>
    </x:cfRule>
    <x:cfRule type="expression" dxfId="11" priority="2">
      <x:formula>B2="M3"</x:formula>
    </x:cfRule>
  </x:conditionalFormatting>
  <x:conditionalFormatting sqref="K2:K166">
    <x:cfRule type="expression" dxfId="10" priority="3">
      <x:formula>K2="Done"</x:formula>
    </x:cfRule>
  </x:conditionalFormatting>
  <x:conditionalFormatting sqref="K2:K173">
    <x:cfRule type="expression" dxfId="2" priority="5">
      <x:formula>K2="Done"</x:formula>
    </x:cfRule>
    <x:cfRule type="expression" dxfId="1" priority="6">
      <x:formula>K2="In Progress"</x:formula>
    </x:cfRule>
    <x:cfRule type="expression" dxfId="0" priority="7">
      <x:formula>K2="Blocked"</x:formula>
    </x:cfRule>
  </x:conditionalFormatting>
  <x:conditionalFormatting sqref="Y2:Y168">
    <x:cfRule type="expression" dxfId="9" priority="4">
      <x:formula>Y2="Not recovered from reviewed sessions"</x:formula>
    </x:cfRule>
  </x:conditionalFormatting>
  <x:dataValidations count="5">
    <x:dataValidation type="list" sqref="C2:C165">
      <x:formula1>"P1,P2,P3,P4,P5"</x:formula1>
    </x:dataValidation>
    <x:dataValidation type="list" sqref="K2:K173">
      <x:formula1>"Not Started,In Progress,Done,Blocked"</x:formula1>
    </x:dataValidation>
    <x:dataValidation type="list" sqref="K2:K177">
      <x:formula1>"Not Started,In Progress,Done"</x:formula1>
    </x:dataValidation>
    <x:dataValidation type="list" sqref="B2:B177">
      <x:formula1>"M2,M3"</x:formula1>
    </x:dataValidation>
    <x:dataValidation type="list" sqref="C2:C177">
      <x:formula1>"P1,P2,P3,P4,P5"</x:formula1>
    </x:dataValidation>
  </x:dataValidations>
  <x:pageMargins left="0.7" right="0.7" top="0.75" bottom="0.75" header="0.3" footer="0.3"/>
  <x:tableParts count="1">
    <x:tablePart xmlns:r="http://schemas.openxmlformats.org/officeDocument/2006/relationships" r:id="R5e25a55d5f7f4403"/>
  </x:tableParts>
</x:worksheet>
</file>

<file path=xl/worksheets/sheet3.xml><?xml version="1.0" encoding="utf-8"?>
<x:worksheet xmlns:x="http://schemas.openxmlformats.org/spreadsheetml/2006/main">
  <x:sheetFormatPr defaultRowHeight="14.25"/>
  <x:cols>
    <x:col min="1" max="1" width="20" hidden="0" customWidth="1"/>
    <x:col min="2" max="2" width="34" hidden="0" customWidth="1"/>
    <x:col min="3" max="3" width="34" hidden="0" customWidth="1"/>
    <x:col min="4" max="4" width="34" hidden="0" customWidth="1"/>
    <x:col min="5" max="7" width="15" customWidth="1"/>
    <x:col min="8" max="9" width="52" customWidth="1"/>
    <x:col min="10" max="10" width="20" hidden="0" customWidth="1"/>
    <x:col min="12" max="17" width="18" customWidth="1"/>
    <x:col min="5" max="5" width="20" hidden="0" customWidth="1"/>
    <x:col min="6" max="6" width="20" hidden="0" customWidth="1"/>
    <x:col min="7" max="7" width="20" hidden="0" customWidth="1"/>
    <x:col min="8" max="8" width="20" hidden="0" customWidth="1"/>
    <x:col min="9" max="9" width="20" hidden="0" customWidth="1"/>
    <x:col min="11" max="11" width="20" hidden="0" customWidth="1"/>
    <x:col min="12" max="12" width="20" hidden="0" customWidth="1"/>
  </x:cols>
  <x:sheetData>
    <x:row r="1" ht="26" customHeight="1">
      <x:c r="A1" s="234" t="str">
        <x:v>Release Plan — v2.23.0 | known effort only; 8 unestimated/unconfirmed rows</x:v>
      </x:c>
      <x:c r="B1" s="234"/>
      <x:c r="C1" s="234"/>
      <x:c r="D1" s="234"/>
      <x:c r="E1" s="234"/>
      <x:c r="F1" s="234"/>
      <x:c r="G1" s="234"/>
      <x:c r="H1" s="234"/>
      <x:c r="I1" s="234"/>
      <x:c r="J1" s="234"/>
      <x:c r="K1" s="235"/>
      <x:c r="L1" s="235"/>
      <x:c r="M1" s="236"/>
      <x:c r="N1" s="236"/>
      <x:c r="O1" s="21"/>
      <x:c r="P1" s="21"/>
      <x:c r="Q1" s="21"/>
    </x:row>
    <x:row r="2" ht="26" customHeight="1">
      <x:c r="A2" s="123"/>
      <x:c r="B2" s="123"/>
      <x:c r="C2" s="123"/>
      <x:c r="D2" s="123"/>
      <x:c r="E2" s="123"/>
      <x:c r="F2" s="123"/>
      <x:c r="G2" s="123"/>
      <x:c r="H2" s="123"/>
      <x:c r="I2" s="123"/>
      <x:c r="J2" s="123"/>
      <x:c r="K2" s="123"/>
      <x:c r="L2" s="123"/>
      <x:c r="M2"/>
      <x:c r="N2"/>
      <x:c r="O2"/>
      <x:c r="P2"/>
      <x:c r="Q2"/>
    </x:row>
    <x:row r="3" ht="36" customHeight="1">
      <x:c r="A3" s="203" t="str">
        <x:v>Release</x:v>
      </x:c>
      <x:c r="B3" s="203" t="str">
        <x:v>Planning target</x:v>
      </x:c>
      <x:c r="C3" s="203" t="str">
        <x:v>Phase</x:v>
      </x:c>
      <x:c r="D3" s="203" t="str">
        <x:v>Outcome</x:v>
      </x:c>
      <x:c r="E3" s="203" t="str">
        <x:v>Active tasks</x:v>
      </x:c>
      <x:c r="F3" s="203" t="str">
        <x:v>Done</x:v>
      </x:c>
      <x:c r="G3" s="203" t="str">
        <x:v>Open</x:v>
      </x:c>
      <x:c r="H3" s="203" t="str">
        <x:v>In progress</x:v>
      </x:c>
      <x:c r="I3" s="203" t="str">
        <x:v>Known scope h</x:v>
      </x:c>
      <x:c r="J3" s="203" t="str">
        <x:v>Known open h</x:v>
      </x:c>
      <x:c r="K3" s="208" t="str">
        <x:v>Unestimated rows</x:v>
      </x:c>
      <x:c r="L3" s="208" t="str">
        <x:v>Exit condition</x:v>
      </x:c>
      <x:c r="M3" s="23"/>
      <x:c r="N3" s="22"/>
      <x:c r="O3" s="23"/>
      <x:c r="P3" s="22"/>
      <x:c r="Q3" s="24"/>
    </x:row>
    <x:row r="4" ht="26" customHeight="1">
      <x:c r="A4" s="206" t="str">
        <x:v>M2</x:v>
      </x:c>
      <x:c r="B4" s="206" t="str">
        <x:v>~1 month from owner checkpoint</x:v>
      </x:c>
      <x:c r="C4" s="206" t="str">
        <x:v>P1</x:v>
      </x:c>
      <x:c r="D4" s="206" t="str">
        <x:v>Product Foundation &amp; Release Truth</x:v>
      </x:c>
      <x:c r="E4" s="214" t="n">
        <x:f>COUNTIFS(Backlog!$B$2:$B$180,$A4,Backlog!$C$2:$C$180,$C4)</x:f>
        <x:v>26</x:v>
      </x:c>
      <x:c r="F4" s="214" t="n">
        <x:f>COUNTIFS(Backlog!$B$2:$B$180,$A4,Backlog!$C$2:$C$180,$C4,Backlog!$K$2:$K$180,"Done")</x:f>
        <x:v>26</x:v>
      </x:c>
      <x:c r="G4" s="215" t="n">
        <x:f>E4-F4</x:f>
        <x:v>0</x:v>
      </x:c>
      <x:c r="H4" s="206" t="n">
        <x:f>COUNTIFS(Backlog!$B$2:$B$180,$A4,Backlog!$C$2:$C$180,$C4,Backlog!$K$2:$K$180,"In Progress")</x:f>
        <x:v>0</x:v>
      </x:c>
      <x:c r="I4" s="206" t="n">
        <x:f>SUMIFS(Backlog!$J$2:$J$180,Backlog!$B$2:$B$180,$A4,Backlog!$C$2:$C$180,$C4)</x:f>
        <x:v>245</x:v>
      </x:c>
      <x:c r="J4" s="206" t="n">
        <x:f>SUMIFS(Backlog!$J$2:$J$180,Backlog!$B$2:$B$180,$A4,Backlog!$C$2:$C$180,$C4,Backlog!$K$2:$K$180,"&lt;&gt;Done")</x:f>
        <x:v>0</x:v>
      </x:c>
      <x:c r="K4" s="206" t="n">
        <x:f>COUNTIFS(Backlog!$B$2:$B$180,$A4,Backlog!$C$2:$C$180,$C4,Backlog!$AM$2:$AM$180,0)</x:f>
        <x:v>0</x:v>
      </x:c>
      <x:c r="L4" s="216" t="str">
        <x:v>T-150 Day-1 release gate</x:v>
      </x:c>
      <x:c r="M4" s="8"/>
      <x:c r="N4" s="3"/>
      <x:c r="O4" s="8"/>
      <x:c r="P4" s="3"/>
      <x:c r="Q4" s="14"/>
    </x:row>
    <x:row r="5" ht="26" customHeight="1">
      <x:c r="A5" s="206" t="str">
        <x:v>M2</x:v>
      </x:c>
      <x:c r="B5" s="206" t="str">
        <x:v>~1 month from owner checkpoint</x:v>
      </x:c>
      <x:c r="C5" s="206" t="str">
        <x:v>P2</x:v>
      </x:c>
      <x:c r="D5" s="206" t="str">
        <x:v>Day-1 Data Workbench — DB Link, Canvas, Jobs &amp; OPC</x:v>
      </x:c>
      <x:c r="E5" s="214" t="n">
        <x:f>COUNTIFS(Backlog!$B$2:$B$180,$A5,Backlog!$C$2:$C$180,$C5)</x:f>
        <x:v>34</x:v>
      </x:c>
      <x:c r="F5" s="214" t="n">
        <x:f>COUNTIFS(Backlog!$B$2:$B$180,$A5,Backlog!$C$2:$C$180,$C5,Backlog!$K$2:$K$180,"Done")</x:f>
        <x:v>10</x:v>
      </x:c>
      <x:c r="G5" s="215" t="n">
        <x:f>E5-F5</x:f>
        <x:v>24</x:v>
      </x:c>
      <x:c r="H5" s="206" t="n">
        <x:f>COUNTIFS(Backlog!$B$2:$B$180,$A5,Backlog!$C$2:$C$180,$C5,Backlog!$K$2:$K$180,"In Progress")</x:f>
        <x:v>4</x:v>
      </x:c>
      <x:c r="I5" s="206" t="n">
        <x:f>SUMIFS(Backlog!$J$2:$J$180,Backlog!$B$2:$B$180,$A5,Backlog!$C$2:$C$180,$C5)</x:f>
        <x:v>299</x:v>
      </x:c>
      <x:c r="J5" s="206" t="n">
        <x:f>SUMIFS(Backlog!$J$2:$J$180,Backlog!$B$2:$B$180,$A5,Backlog!$C$2:$C$180,$C5,Backlog!$K$2:$K$180,"&lt;&gt;Done")</x:f>
        <x:v>199</x:v>
      </x:c>
      <x:c r="K5" s="206" t="n">
        <x:f>COUNTIFS(Backlog!$B$2:$B$180,$A5,Backlog!$C$2:$C$180,$C5,Backlog!$AM$2:$AM$180,0)</x:f>
        <x:v>4</x:v>
      </x:c>
      <x:c r="L5" s="206" t="str">
        <x:v>T-150 Day-1 release gate</x:v>
      </x:c>
      <x:c r="M5" s="2"/>
      <x:c r="N5" s="2"/>
      <x:c r="O5" s="2"/>
      <x:c r="P5" s="2"/>
      <x:c r="Q5" s="2"/>
    </x:row>
    <x:row r="6" ht="26" customHeight="1">
      <x:c r="A6" s="206" t="str">
        <x:v>M2</x:v>
      </x:c>
      <x:c r="B6" s="206" t="str">
        <x:v>~1 month from owner checkpoint</x:v>
      </x:c>
      <x:c r="C6" s="206" t="str">
        <x:v>P3</x:v>
      </x:c>
      <x:c r="D6" s="206" t="str">
        <x:v>Enterprise BI &amp; Customer Experience</x:v>
      </x:c>
      <x:c r="E6" s="214" t="n">
        <x:f>COUNTIFS(Backlog!$B$2:$B$180,$A6,Backlog!$C$2:$C$180,$C6)</x:f>
        <x:v>5</x:v>
      </x:c>
      <x:c r="F6" s="214" t="n">
        <x:f>COUNTIFS(Backlog!$B$2:$B$180,$A6,Backlog!$C$2:$C$180,$C6,Backlog!$K$2:$K$180,"Done")</x:f>
        <x:v>0</x:v>
      </x:c>
      <x:c r="G6" s="215" t="n">
        <x:f>E6-F6</x:f>
        <x:v>5</x:v>
      </x:c>
      <x:c r="H6" s="206" t="n">
        <x:f>COUNTIFS(Backlog!$B$2:$B$180,$A6,Backlog!$C$2:$C$180,$C6,Backlog!$K$2:$K$180,"In Progress")</x:f>
        <x:v>0</x:v>
      </x:c>
      <x:c r="I6" s="206" t="n">
        <x:f>SUMIFS(Backlog!$J$2:$J$180,Backlog!$B$2:$B$180,$A6,Backlog!$C$2:$C$180,$C6)</x:f>
        <x:v>36</x:v>
      </x:c>
      <x:c r="J6" s="206" t="n">
        <x:f>SUMIFS(Backlog!$J$2:$J$180,Backlog!$B$2:$B$180,$A6,Backlog!$C$2:$C$180,$C6,Backlog!$K$2:$K$180,"&lt;&gt;Done")</x:f>
        <x:v>36</x:v>
      </x:c>
      <x:c r="K6" s="206" t="n">
        <x:f>COUNTIFS(Backlog!$B$2:$B$180,$A6,Backlog!$C$2:$C$180,$C6,Backlog!$AM$2:$AM$180,0)</x:f>
        <x:v>1</x:v>
      </x:c>
      <x:c r="L6" s="206" t="str">
        <x:v>T-150 Day-1 release gate</x:v>
      </x:c>
      <x:c r="M6" s="2"/>
      <x:c r="N6" s="2"/>
      <x:c r="O6" s="2"/>
      <x:c r="P6" s="2"/>
      <x:c r="Q6" s="2"/>
    </x:row>
    <x:row r="7" ht="26" customHeight="1">
      <x:c r="A7" s="206" t="str">
        <x:v>M2</x:v>
      </x:c>
      <x:c r="B7" s="206" t="str">
        <x:v>~1 month from owner checkpoint</x:v>
      </x:c>
      <x:c r="C7" s="206" t="str">
        <x:v>P4</x:v>
      </x:c>
      <x:c r="D7" s="206" t="str">
        <x:v>Industrial Intelligence</x:v>
      </x:c>
      <x:c r="E7" s="214" t="n">
        <x:f>COUNTIFS(Backlog!$B$2:$B$180,$A7,Backlog!$C$2:$C$180,$C7)</x:f>
        <x:v>27</x:v>
      </x:c>
      <x:c r="F7" s="214" t="n">
        <x:f>COUNTIFS(Backlog!$B$2:$B$180,$A7,Backlog!$C$2:$C$180,$C7,Backlog!$K$2:$K$180,"Done")</x:f>
        <x:v>22</x:v>
      </x:c>
      <x:c r="G7" s="215" t="n">
        <x:f>E7-F7</x:f>
        <x:v>5</x:v>
      </x:c>
      <x:c r="H7" s="206" t="n">
        <x:f>COUNTIFS(Backlog!$B$2:$B$180,$A7,Backlog!$C$2:$C$180,$C7,Backlog!$K$2:$K$180,"In Progress")</x:f>
        <x:v>0</x:v>
      </x:c>
      <x:c r="I7" s="206" t="n">
        <x:f>SUMIFS(Backlog!$J$2:$J$180,Backlog!$B$2:$B$180,$A7,Backlog!$C$2:$C$180,$C7)</x:f>
        <x:v>276</x:v>
      </x:c>
      <x:c r="J7" s="206" t="n">
        <x:f>SUMIFS(Backlog!$J$2:$J$180,Backlog!$B$2:$B$180,$A7,Backlog!$C$2:$C$180,$C7,Backlog!$K$2:$K$180,"&lt;&gt;Done")</x:f>
        <x:v>48</x:v>
      </x:c>
      <x:c r="K7" s="206" t="n">
        <x:f>COUNTIFS(Backlog!$B$2:$B$180,$A7,Backlog!$C$2:$C$180,$C7,Backlog!$AM$2:$AM$180,0)</x:f>
        <x:v>0</x:v>
      </x:c>
      <x:c r="L7" s="206" t="str">
        <x:v>T-150 Day-1 release gate</x:v>
      </x:c>
      <x:c r="M7" s="2"/>
      <x:c r="N7" s="2"/>
      <x:c r="O7" s="2"/>
      <x:c r="P7" s="2"/>
      <x:c r="Q7" s="2"/>
    </x:row>
    <x:row r="8" ht="26" customHeight="1">
      <x:c r="A8" s="206" t="str">
        <x:v>M2</x:v>
      </x:c>
      <x:c r="B8" s="206" t="str">
        <x:v>~1 month from owner checkpoint</x:v>
      </x:c>
      <x:c r="C8" s="206" t="str">
        <x:v>P5</x:v>
      </x:c>
      <x:c r="D8" s="206" t="str">
        <x:v>Release Hardening</x:v>
      </x:c>
      <x:c r="E8" s="214" t="n">
        <x:f>COUNTIFS(Backlog!$B$2:$B$180,$A8,Backlog!$C$2:$C$180,$C8)</x:f>
        <x:v>15</x:v>
      </x:c>
      <x:c r="F8" s="214" t="n">
        <x:f>COUNTIFS(Backlog!$B$2:$B$180,$A8,Backlog!$C$2:$C$180,$C8,Backlog!$K$2:$K$180,"Done")</x:f>
        <x:v>0</x:v>
      </x:c>
      <x:c r="G8" s="215" t="n">
        <x:f>E8-F8</x:f>
        <x:v>15</x:v>
      </x:c>
      <x:c r="H8" s="206" t="n">
        <x:f>COUNTIFS(Backlog!$B$2:$B$180,$A8,Backlog!$C$2:$C$180,$C8,Backlog!$K$2:$K$180,"In Progress")</x:f>
        <x:v>0</x:v>
      </x:c>
      <x:c r="I8" s="206" t="n">
        <x:f>SUMIFS(Backlog!$J$2:$J$180,Backlog!$B$2:$B$180,$A8,Backlog!$C$2:$C$180,$C8)</x:f>
        <x:v>154</x:v>
      </x:c>
      <x:c r="J8" s="206" t="n">
        <x:f>SUMIFS(Backlog!$J$2:$J$180,Backlog!$B$2:$B$180,$A8,Backlog!$C$2:$C$180,$C8,Backlog!$K$2:$K$180,"&lt;&gt;Done")</x:f>
        <x:v>154</x:v>
      </x:c>
      <x:c r="K8" s="206" t="n">
        <x:f>COUNTIFS(Backlog!$B$2:$B$180,$A8,Backlog!$C$2:$C$180,$C8,Backlog!$AM$2:$AM$180,0)</x:f>
        <x:v>0</x:v>
      </x:c>
      <x:c r="L8" s="206" t="str">
        <x:v>T-150 Day-1 release gate</x:v>
      </x:c>
      <x:c r="M8" s="2"/>
      <x:c r="N8" s="2"/>
      <x:c r="O8" s="2"/>
      <x:c r="P8" s="2"/>
      <x:c r="Q8" s="2"/>
    </x:row>
    <x:row r="9" ht="26" customHeight="1">
      <x:c r="A9" s="206" t="str">
        <x:v>M3</x:v>
      </x:c>
      <x:c r="B9" s="206" t="str">
        <x:v>45 days after M2</x:v>
      </x:c>
      <x:c r="C9" s="206" t="str">
        <x:v>P1</x:v>
      </x:c>
      <x:c r="D9" s="206" t="str">
        <x:v>Scale &amp; OT Resilience</x:v>
      </x:c>
      <x:c r="E9" s="214" t="n">
        <x:f>COUNTIFS(Backlog!$B$2:$B$180,$A9,Backlog!$C$2:$C$180,$C9)</x:f>
        <x:v>10</x:v>
      </x:c>
      <x:c r="F9" s="214" t="n">
        <x:f>COUNTIFS(Backlog!$B$2:$B$180,$A9,Backlog!$C$2:$C$180,$C9,Backlog!$K$2:$K$180,"Done")</x:f>
        <x:v>0</x:v>
      </x:c>
      <x:c r="G9" s="215" t="n">
        <x:f>E9-F9</x:f>
        <x:v>10</x:v>
      </x:c>
      <x:c r="H9" s="206" t="n">
        <x:f>COUNTIFS(Backlog!$B$2:$B$180,$A9,Backlog!$C$2:$C$180,$C9,Backlog!$K$2:$K$180,"In Progress")</x:f>
        <x:v>0</x:v>
      </x:c>
      <x:c r="I9" s="206" t="n">
        <x:f>SUMIFS(Backlog!$J$2:$J$180,Backlog!$B$2:$B$180,$A9,Backlog!$C$2:$C$180,$C9)</x:f>
        <x:v>132</x:v>
      </x:c>
      <x:c r="J9" s="206" t="n">
        <x:f>SUMIFS(Backlog!$J$2:$J$180,Backlog!$B$2:$B$180,$A9,Backlog!$C$2:$C$180,$C9,Backlog!$K$2:$K$180,"&lt;&gt;Done")</x:f>
        <x:v>132</x:v>
      </x:c>
      <x:c r="K9" s="206" t="n">
        <x:f>COUNTIFS(Backlog!$B$2:$B$180,$A9,Backlog!$C$2:$C$180,$C9,Backlog!$AM$2:$AM$180,0)</x:f>
        <x:v>0</x:v>
      </x:c>
      <x:c r="L9" s="206" t="str">
        <x:v>T-249 final release certification</x:v>
      </x:c>
      <x:c r="M9" s="2"/>
      <x:c r="N9" s="2"/>
      <x:c r="O9" s="2"/>
      <x:c r="P9" s="2"/>
      <x:c r="Q9" s="2"/>
    </x:row>
    <x:row r="10" ht="26" customHeight="1">
      <x:c r="A10" s="206" t="str">
        <x:v>M3</x:v>
      </x:c>
      <x:c r="B10" s="206" t="str">
        <x:v>45 days after M2</x:v>
      </x:c>
      <x:c r="C10" s="206" t="str">
        <x:v>P2</x:v>
      </x:c>
      <x:c r="D10" s="206" t="str">
        <x:v>Multi-user Enterprise Operations</x:v>
      </x:c>
      <x:c r="E10" s="214" t="n">
        <x:f>COUNTIFS(Backlog!$B$2:$B$180,$A10,Backlog!$C$2:$C$180,$C10)</x:f>
        <x:v>12</x:v>
      </x:c>
      <x:c r="F10" s="214" t="n">
        <x:f>COUNTIFS(Backlog!$B$2:$B$180,$A10,Backlog!$C$2:$C$180,$C10,Backlog!$K$2:$K$180,"Done")</x:f>
        <x:v>0</x:v>
      </x:c>
      <x:c r="G10" s="215" t="n">
        <x:f>E10-F10</x:f>
        <x:v>12</x:v>
      </x:c>
      <x:c r="H10" s="206" t="n">
        <x:f>COUNTIFS(Backlog!$B$2:$B$180,$A10,Backlog!$C$2:$C$180,$C10,Backlog!$K$2:$K$180,"In Progress")</x:f>
        <x:v>0</x:v>
      </x:c>
      <x:c r="I10" s="206" t="n">
        <x:f>SUMIFS(Backlog!$J$2:$J$180,Backlog!$B$2:$B$180,$A10,Backlog!$C$2:$C$180,$C10)</x:f>
        <x:v>114</x:v>
      </x:c>
      <x:c r="J10" s="206" t="n">
        <x:f>SUMIFS(Backlog!$J$2:$J$180,Backlog!$B$2:$B$180,$A10,Backlog!$C$2:$C$180,$C10,Backlog!$K$2:$K$180,"&lt;&gt;Done")</x:f>
        <x:v>114</x:v>
      </x:c>
      <x:c r="K10" s="206" t="n">
        <x:f>COUNTIFS(Backlog!$B$2:$B$180,$A10,Backlog!$C$2:$C$180,$C10,Backlog!$AM$2:$AM$180,0)</x:f>
        <x:v>0</x:v>
      </x:c>
      <x:c r="L10" s="206" t="str">
        <x:v>T-249 final release certification</x:v>
      </x:c>
      <x:c r="M10" s="2"/>
      <x:c r="N10" s="2"/>
      <x:c r="O10" s="2"/>
      <x:c r="P10" s="2"/>
      <x:c r="Q10" s="2"/>
    </x:row>
    <x:row r="11" ht="26" customHeight="1">
      <x:c r="A11" s="206" t="str">
        <x:v>M3</x:v>
      </x:c>
      <x:c r="B11" s="206" t="str">
        <x:v>45 days after M2</x:v>
      </x:c>
      <x:c r="C11" s="206" t="str">
        <x:v>P3</x:v>
      </x:c>
      <x:c r="D11" s="206" t="str">
        <x:v>Advanced BI / Authoring</x:v>
      </x:c>
      <x:c r="E11" s="214" t="n">
        <x:f>COUNTIFS(Backlog!$B$2:$B$180,$A11,Backlog!$C$2:$C$180,$C11)</x:f>
        <x:v>8</x:v>
      </x:c>
      <x:c r="F11" s="214" t="n">
        <x:f>COUNTIFS(Backlog!$B$2:$B$180,$A11,Backlog!$C$2:$C$180,$C11,Backlog!$K$2:$K$180,"Done")</x:f>
        <x:v>0</x:v>
      </x:c>
      <x:c r="G11" s="215" t="n">
        <x:f>E11-F11</x:f>
        <x:v>8</x:v>
      </x:c>
      <x:c r="H11" s="206" t="n">
        <x:f>COUNTIFS(Backlog!$B$2:$B$180,$A11,Backlog!$C$2:$C$180,$C11,Backlog!$K$2:$K$180,"In Progress")</x:f>
        <x:v>0</x:v>
      </x:c>
      <x:c r="I11" s="206" t="n">
        <x:f>SUMIFS(Backlog!$J$2:$J$180,Backlog!$B$2:$B$180,$A11,Backlog!$C$2:$C$180,$C11)</x:f>
        <x:v>88</x:v>
      </x:c>
      <x:c r="J11" s="206" t="n">
        <x:f>SUMIFS(Backlog!$J$2:$J$180,Backlog!$B$2:$B$180,$A11,Backlog!$C$2:$C$180,$C11,Backlog!$K$2:$K$180,"&lt;&gt;Done")</x:f>
        <x:v>88</x:v>
      </x:c>
      <x:c r="K11" s="206" t="n">
        <x:f>COUNTIFS(Backlog!$B$2:$B$180,$A11,Backlog!$C$2:$C$180,$C11,Backlog!$AM$2:$AM$180,0)</x:f>
        <x:v>2</x:v>
      </x:c>
      <x:c r="L11" s="206" t="str">
        <x:v>T-249 final release certification</x:v>
      </x:c>
      <x:c r="M11" s="2"/>
      <x:c r="N11" s="2"/>
      <x:c r="O11" s="2"/>
      <x:c r="P11" s="2"/>
      <x:c r="Q11" s="2"/>
    </x:row>
    <x:row r="12" ht="26" customHeight="1">
      <x:c r="A12" s="206" t="str">
        <x:v>M3</x:v>
      </x:c>
      <x:c r="B12" s="206" t="str">
        <x:v>45 days after M2</x:v>
      </x:c>
      <x:c r="C12" s="206" t="str">
        <x:v>P4</x:v>
      </x:c>
      <x:c r="D12" s="206" t="str">
        <x:v>Advanced ML / Optimisation / Value</x:v>
      </x:c>
      <x:c r="E12" s="214" t="n">
        <x:f>COUNTIFS(Backlog!$B$2:$B$180,$A12,Backlog!$C$2:$C$180,$C12)</x:f>
        <x:v>40</x:v>
      </x:c>
      <x:c r="F12" s="214" t="n">
        <x:f>COUNTIFS(Backlog!$B$2:$B$180,$A12,Backlog!$C$2:$C$180,$C12,Backlog!$K$2:$K$180,"Done")</x:f>
        <x:v>0</x:v>
      </x:c>
      <x:c r="G12" s="215" t="n">
        <x:f>E12-F12</x:f>
        <x:v>40</x:v>
      </x:c>
      <x:c r="H12" s="206" t="n">
        <x:f>COUNTIFS(Backlog!$B$2:$B$180,$A12,Backlog!$C$2:$C$180,$C12,Backlog!$K$2:$K$180,"In Progress")</x:f>
        <x:v>0</x:v>
      </x:c>
      <x:c r="I12" s="206" t="n">
        <x:f>SUMIFS(Backlog!$J$2:$J$180,Backlog!$B$2:$B$180,$A12,Backlog!$C$2:$C$180,$C12)</x:f>
        <x:v>431</x:v>
      </x:c>
      <x:c r="J12" s="206" t="n">
        <x:f>SUMIFS(Backlog!$J$2:$J$180,Backlog!$B$2:$B$180,$A12,Backlog!$C$2:$C$180,$C12,Backlog!$K$2:$K$180,"&lt;&gt;Done")</x:f>
        <x:v>431</x:v>
      </x:c>
      <x:c r="K12" s="206" t="n">
        <x:f>COUNTIFS(Backlog!$B$2:$B$180,$A12,Backlog!$C$2:$C$180,$C12,Backlog!$AM$2:$AM$180,0)</x:f>
        <x:v>1</x:v>
      </x:c>
      <x:c r="L12" s="206" t="str">
        <x:v>T-249 final release certification</x:v>
      </x:c>
      <x:c r="M12" s="2"/>
      <x:c r="N12" s="2"/>
      <x:c r="O12" s="2"/>
      <x:c r="P12" s="2"/>
      <x:c r="Q12" s="2"/>
    </x:row>
    <x:row r="13" ht="26" customHeight="1">
      <x:c r="A13" s="194" t="str">
        <x:v>M3</x:v>
      </x:c>
      <x:c r="B13" s="194" t="str">
        <x:v>45 days after M2</x:v>
      </x:c>
      <x:c r="C13" s="194" t="str">
        <x:v>P5</x:v>
      </x:c>
      <x:c r="D13" s="194" t="str">
        <x:v>Heavy-production Certification</x:v>
      </x:c>
      <x:c r="E13" s="217" t="n">
        <x:f>COUNTIFS(Backlog!$B$2:$B$180,$A13,Backlog!$C$2:$C$180,$C13)</x:f>
        <x:v>2</x:v>
      </x:c>
      <x:c r="F13" s="217" t="n">
        <x:f>COUNTIFS(Backlog!$B$2:$B$180,$A13,Backlog!$C$2:$C$180,$C13,Backlog!$K$2:$K$180,"Done")</x:f>
        <x:v>0</x:v>
      </x:c>
      <x:c r="G13" s="218" t="n">
        <x:f>E13-F13</x:f>
        <x:v>2</x:v>
      </x:c>
      <x:c r="H13" s="194" t="n">
        <x:f>COUNTIFS(Backlog!$B$2:$B$180,$A13,Backlog!$C$2:$C$180,$C13,Backlog!$K$2:$K$180,"In Progress")</x:f>
        <x:v>0</x:v>
      </x:c>
      <x:c r="I13" s="194" t="n">
        <x:f>SUMIFS(Backlog!$J$2:$J$180,Backlog!$B$2:$B$180,$A13,Backlog!$C$2:$C$180,$C13)</x:f>
        <x:v>24</x:v>
      </x:c>
      <x:c r="J13" s="194" t="n">
        <x:f>SUMIFS(Backlog!$J$2:$J$180,Backlog!$B$2:$B$180,$A13,Backlog!$C$2:$C$180,$C13,Backlog!$K$2:$K$180,"&lt;&gt;Done")</x:f>
        <x:v>24</x:v>
      </x:c>
      <x:c r="K13" s="194" t="n">
        <x:f>COUNTIFS(Backlog!$B$2:$B$180,$A13,Backlog!$C$2:$C$180,$C13,Backlog!$AM$2:$AM$180,0)</x:f>
        <x:v>0</x:v>
      </x:c>
      <x:c r="L13" s="194" t="str">
        <x:v>T-249 final release certification</x:v>
      </x:c>
      <x:c r="M13" s="2"/>
      <x:c r="N13" s="2"/>
      <x:c r="O13" s="2"/>
      <x:c r="P13" s="2"/>
      <x:c r="Q13" s="2"/>
    </x:row>
    <x:row r="14">
      <x:c r="A14" s="2"/>
      <x:c r="B14" s="2"/>
      <x:c r="C14" s="2"/>
      <x:c r="D14" s="2"/>
      <x:c r="E14" s="2"/>
      <x:c r="F14" s="2"/>
      <x:c r="G14" s="2"/>
      <x:c r="H14" s="2"/>
      <x:c r="I14" s="2"/>
      <x:c r="J14" s="2"/>
      <x:c r="K14" s="2"/>
      <x:c r="L14" s="2"/>
      <x:c r="M14" s="2"/>
      <x:c r="N14" s="2"/>
      <x:c r="O14" s="2"/>
      <x:c r="P14" s="2"/>
      <x:c r="Q14" s="2"/>
    </x:row>
    <x:row r="15">
      <x:c r="A15" s="2"/>
      <x:c r="B15" s="2"/>
      <x:c r="C15" s="2"/>
      <x:c r="D15" s="2"/>
      <x:c r="E15" s="2"/>
      <x:c r="F15" s="2"/>
      <x:c r="G15" s="2"/>
      <x:c r="H15" s="2"/>
      <x:c r="I15" s="2"/>
      <x:c r="J15" s="2"/>
      <x:c r="K15" s="2"/>
      <x:c r="L15" s="2"/>
      <x:c r="M15" s="2"/>
      <x:c r="N15" s="2"/>
      <x:c r="O15" s="2"/>
      <x:c r="P15" s="2"/>
      <x:c r="Q15" s="2"/>
    </x:row>
    <x:row r="16">
      <x:c r="A16"/>
      <x:c r="B16"/>
      <x:c r="C16"/>
      <x:c r="D16"/>
      <x:c r="E16"/>
      <x:c r="F16"/>
      <x:c r="G16"/>
      <x:c r="H16"/>
      <x:c r="I16"/>
      <x:c r="J16"/>
      <x:c r="K16"/>
      <x:c r="L16"/>
      <x:c r="M16"/>
      <x:c r="N16"/>
      <x:c r="O16"/>
      <x:c r="P16"/>
      <x:c r="Q16"/>
    </x:row>
    <x:row r="17">
      <x:c r="A17"/>
      <x:c r="B17"/>
      <x:c r="C17"/>
      <x:c r="D17"/>
      <x:c r="E17"/>
      <x:c r="F17"/>
      <x:c r="G17"/>
      <x:c r="H17"/>
      <x:c r="I17"/>
      <x:c r="J17"/>
      <x:c r="K17"/>
      <x:c r="L17"/>
      <x:c r="M17"/>
      <x:c r="N17"/>
      <x:c r="O17"/>
      <x:c r="P17"/>
      <x:c r="Q17"/>
    </x:row>
    <x:row r="18">
      <x:c r="A18"/>
      <x:c r="B18"/>
      <x:c r="C18"/>
      <x:c r="D18"/>
      <x:c r="E18"/>
      <x:c r="F18"/>
      <x:c r="G18"/>
      <x:c r="H18"/>
      <x:c r="I18"/>
      <x:c r="J18"/>
      <x:c r="K18"/>
      <x:c r="L18"/>
      <x:c r="M18"/>
      <x:c r="N18"/>
      <x:c r="O18"/>
      <x:c r="P18"/>
      <x:c r="Q18"/>
    </x:row>
    <x:row r="19">
      <x:c r="A19"/>
      <x:c r="B19"/>
      <x:c r="C19"/>
      <x:c r="D19"/>
      <x:c r="E19"/>
      <x:c r="F19"/>
      <x:c r="G19"/>
      <x:c r="H19"/>
      <x:c r="I19"/>
      <x:c r="J19"/>
      <x:c r="K19"/>
      <x:c r="L19"/>
      <x:c r="M19"/>
      <x:c r="N19"/>
      <x:c r="O19"/>
      <x:c r="P19"/>
      <x:c r="Q19"/>
    </x:row>
    <x:row r="20">
      <x:c r="A20"/>
      <x:c r="B20"/>
      <x:c r="C20"/>
      <x:c r="D20"/>
      <x:c r="E20"/>
      <x:c r="F20"/>
      <x:c r="G20"/>
      <x:c r="H20"/>
      <x:c r="I20"/>
      <x:c r="J20"/>
      <x:c r="K20"/>
      <x:c r="L20"/>
      <x:c r="M20"/>
      <x:c r="N20"/>
      <x:c r="O20"/>
      <x:c r="P20"/>
      <x:c r="Q20"/>
    </x:row>
    <x:row r="21">
      <x:c r="A21"/>
      <x:c r="B21"/>
      <x:c r="C21"/>
      <x:c r="D21"/>
      <x:c r="E21"/>
      <x:c r="F21"/>
      <x:c r="G21"/>
      <x:c r="H21"/>
      <x:c r="I21"/>
      <x:c r="J21"/>
      <x:c r="K21"/>
      <x:c r="L21"/>
      <x:c r="M21"/>
      <x:c r="N21"/>
      <x:c r="O21"/>
      <x:c r="P21"/>
      <x:c r="Q21"/>
    </x:row>
    <x:row r="22">
      <x:c r="A22"/>
      <x:c r="B22"/>
      <x:c r="C22"/>
      <x:c r="D22"/>
      <x:c r="E22"/>
      <x:c r="F22"/>
      <x:c r="G22"/>
      <x:c r="H22"/>
      <x:c r="I22"/>
      <x:c r="J22"/>
      <x:c r="K22"/>
      <x:c r="L22"/>
      <x:c r="M22"/>
      <x:c r="N22"/>
      <x:c r="O22"/>
      <x:c r="P22"/>
      <x:c r="Q22"/>
    </x:row>
    <x:row r="23">
      <x:c r="A23"/>
      <x:c r="B23"/>
      <x:c r="C23"/>
      <x:c r="D23"/>
      <x:c r="E23"/>
      <x:c r="F23"/>
      <x:c r="G23"/>
      <x:c r="H23"/>
      <x:c r="I23"/>
      <x:c r="J23"/>
      <x:c r="K23"/>
      <x:c r="L23"/>
      <x:c r="M23"/>
      <x:c r="N23"/>
      <x:c r="O23"/>
      <x:c r="P23"/>
      <x:c r="Q23"/>
    </x:row>
    <x:row r="24">
      <x:c r="A24"/>
      <x:c r="B24"/>
      <x:c r="C24"/>
      <x:c r="D24"/>
      <x:c r="E24"/>
      <x:c r="F24"/>
      <x:c r="G24"/>
      <x:c r="H24"/>
      <x:c r="I24"/>
      <x:c r="J24"/>
      <x:c r="K24"/>
      <x:c r="L24"/>
      <x:c r="M24"/>
      <x:c r="N24"/>
      <x:c r="O24"/>
      <x:c r="P24"/>
      <x:c r="Q24"/>
    </x:row>
    <x:row r="25">
      <x:c r="A25"/>
      <x:c r="B25"/>
      <x:c r="C25"/>
      <x:c r="D25"/>
      <x:c r="E25"/>
      <x:c r="F25"/>
      <x:c r="G25"/>
      <x:c r="H25"/>
      <x:c r="I25"/>
      <x:c r="J25"/>
      <x:c r="K25"/>
      <x:c r="L25"/>
      <x:c r="M25"/>
      <x:c r="N25"/>
      <x:c r="O25"/>
      <x:c r="P25"/>
      <x:c r="Q25"/>
    </x:row>
    <x:row r="26">
      <x:c r="A26"/>
      <x:c r="B26"/>
      <x:c r="C26"/>
      <x:c r="D26"/>
      <x:c r="E26"/>
      <x:c r="F26"/>
      <x:c r="G26"/>
      <x:c r="H26"/>
      <x:c r="I26"/>
      <x:c r="J26"/>
      <x:c r="K26"/>
      <x:c r="L26"/>
      <x:c r="M26"/>
      <x:c r="N26"/>
      <x:c r="O26"/>
      <x:c r="P26"/>
      <x:c r="Q26"/>
    </x:row>
    <x:row r="27">
      <x:c r="A27"/>
      <x:c r="B27"/>
      <x:c r="C27"/>
      <x:c r="D27"/>
      <x:c r="E27"/>
      <x:c r="F27"/>
      <x:c r="G27"/>
      <x:c r="H27"/>
      <x:c r="I27"/>
      <x:c r="J27"/>
      <x:c r="K27"/>
      <x:c r="L27"/>
      <x:c r="M27"/>
      <x:c r="N27"/>
      <x:c r="O27"/>
      <x:c r="P27"/>
      <x:c r="Q27"/>
    </x:row>
    <x:row r="28">
      <x:c r="A28"/>
      <x:c r="B28"/>
      <x:c r="C28"/>
      <x:c r="D28"/>
      <x:c r="E28"/>
      <x:c r="F28"/>
      <x:c r="G28"/>
      <x:c r="H28"/>
      <x:c r="I28"/>
      <x:c r="J28"/>
      <x:c r="K28"/>
      <x:c r="L28"/>
      <x:c r="M28"/>
      <x:c r="N28"/>
      <x:c r="O28"/>
      <x:c r="P28"/>
      <x:c r="Q28"/>
    </x:row>
    <x:row r="29">
      <x:c r="A29"/>
      <x:c r="B29"/>
      <x:c r="C29"/>
      <x:c r="D29"/>
      <x:c r="E29"/>
      <x:c r="F29"/>
      <x:c r="G29"/>
      <x:c r="H29"/>
      <x:c r="I29"/>
      <x:c r="J29"/>
      <x:c r="K29"/>
      <x:c r="L29"/>
      <x:c r="M29"/>
      <x:c r="N29"/>
      <x:c r="O29"/>
      <x:c r="P29"/>
      <x:c r="Q29"/>
    </x:row>
    <x:row r="30">
      <x:c r="A30"/>
      <x:c r="B30"/>
      <x:c r="C30"/>
      <x:c r="D30"/>
      <x:c r="E30"/>
      <x:c r="F30"/>
      <x:c r="G30"/>
      <x:c r="H30"/>
      <x:c r="I30"/>
      <x:c r="J30"/>
      <x:c r="K30"/>
      <x:c r="L30"/>
      <x:c r="M30"/>
      <x:c r="N30"/>
      <x:c r="O30"/>
      <x:c r="P30"/>
      <x:c r="Q30"/>
    </x:row>
  </x:sheetData>
  <x:mergeCells>
    <x:mergeCell ref="A1:L1"/>
  </x:mergeCells>
  <x:pageMargins left="0.7" right="0.7" top="0.75" bottom="0.75" header="0.3" footer="0.3"/>
  <x:drawing xmlns:r="http://schemas.openxmlformats.org/officeDocument/2006/relationships" r:id="R33a4f68bd69f4ce0"/>
  <x:tableParts count="1">
    <x:tablePart xmlns:r="http://schemas.openxmlformats.org/officeDocument/2006/relationships" r:id="Rf1f2773a54104576"/>
  </x:tableParts>
</x:worksheet>
</file>

<file path=xl/worksheets/sheet4.xml><?xml version="1.0" encoding="utf-8"?>
<x:worksheet xmlns:x="http://schemas.openxmlformats.org/spreadsheetml/2006/main">
  <x:sheetFormatPr defaultRowHeight="14.25"/>
  <x:cols>
    <x:col min="1" max="1" width="20" hidden="0" customWidth="1"/>
    <x:col min="2" max="3" width="9" customWidth="1"/>
    <x:col min="4" max="4" width="20" hidden="0" customWidth="1"/>
    <x:col min="5" max="5" width="40" hidden="0" customWidth="1"/>
    <x:col min="6" max="6" width="20" hidden="0" customWidth="1"/>
    <x:col min="7" max="8" width="12" customWidth="1"/>
    <x:col min="9" max="9" width="38" hidden="0" customWidth="1"/>
    <x:col min="10" max="12" width="52" customWidth="1"/>
    <x:col min="2" max="2" width="20" hidden="0" customWidth="1"/>
    <x:col min="3" max="3" width="20" hidden="0" customWidth="1"/>
    <x:col min="7" max="7" width="20" hidden="0" customWidth="1"/>
    <x:col min="8" max="8" width="20" hidden="0" customWidth="1"/>
    <x:col min="10" max="10" width="38" hidden="0" customWidth="1"/>
    <x:col min="11" max="11" width="38" hidden="0" customWidth="1"/>
    <x:col min="12" max="12" width="38" hidden="0" customWidth="1"/>
    <x:col min="13" max="13" width="38" hidden="0" customWidth="1"/>
    <x:col min="14" max="14" width="38" hidden="0" customWidth="1"/>
  </x:cols>
  <x:sheetData>
    <x:row r="1" ht="26" customHeight="1">
      <x:c r="A1" s="234" t="str">
        <x:v>Worker Tracks — v2.23.0 | Task-ID joins; design work is not runtime proof</x:v>
      </x:c>
      <x:c r="B1" s="234"/>
      <x:c r="C1" s="234"/>
      <x:c r="D1" s="234"/>
      <x:c r="E1" s="234"/>
      <x:c r="F1" s="234"/>
      <x:c r="G1" s="234"/>
      <x:c r="H1" s="234"/>
      <x:c r="I1" s="234"/>
      <x:c r="J1" s="234"/>
      <x:c r="K1" s="234"/>
      <x:c r="L1" s="234"/>
      <x:c r="M1" s="233"/>
      <x:c r="N1" s="233"/>
    </x:row>
    <x:row r="2" ht="36" customHeight="1">
      <x:c r="A2" s="208" t="str">
        <x:v>Owner</x:v>
      </x:c>
      <x:c r="B2" s="208" t="str">
        <x:v>Release</x:v>
      </x:c>
      <x:c r="C2" s="208" t="str">
        <x:v>Phase</x:v>
      </x:c>
      <x:c r="D2" s="208" t="str">
        <x:v>Task Id</x:v>
      </x:c>
      <x:c r="E2" s="208" t="str">
        <x:v>Task Name</x:v>
      </x:c>
      <x:c r="F2" s="208" t="str">
        <x:v>Status</x:v>
      </x:c>
      <x:c r="G2" s="208" t="str">
        <x:v>Known estimate h</x:v>
      </x:c>
      <x:c r="H2" s="208" t="str">
        <x:v>AI P80 h</x:v>
      </x:c>
      <x:c r="I2" s="208" t="str">
        <x:v>Depends On</x:v>
      </x:c>
      <x:c r="J2" s="208" t="str">
        <x:v>Start/Gate</x:v>
      </x:c>
      <x:c r="K2" s="208" t="str">
        <x:v>Lock</x:v>
      </x:c>
      <x:c r="L2" s="208" t="str">
        <x:v>Handoff</x:v>
      </x:c>
      <x:c r="M2" s="205" t="str">
        <x:v>Evidence state</x:v>
      </x:c>
      <x:c r="N2" s="205" t="str">
        <x:v>Contract-ready predecessors</x:v>
      </x:c>
    </x:row>
    <x:row r="3" ht="26" customHeight="1">
      <x:c r="A3" s="209" t="str">
        <x:f>IF(INDEX(Backlog!$L$2:$L$180,MATCH($D3,Backlog!$A$2:$A$180,0))="","",INDEX(Backlog!$L$2:$L$180,MATCH($D3,Backlog!$A$2:$A$180,0)))</x:f>
        <x:v>CLOSED</x:v>
      </x:c>
      <x:c r="B3" s="209" t="str">
        <x:f>IF(INDEX(Backlog!$B$2:$B$180,MATCH($D3,Backlog!$A$2:$A$180,0))="","",INDEX(Backlog!$B$2:$B$180,MATCH($D3,Backlog!$A$2:$A$180,0)))</x:f>
        <x:v>M2</x:v>
      </x:c>
      <x:c r="C3" s="209" t="str">
        <x:f>IF(INDEX(Backlog!$C$2:$C$180,MATCH($D3,Backlog!$A$2:$A$180,0))="","",INDEX(Backlog!$C$2:$C$180,MATCH($D3,Backlog!$A$2:$A$180,0)))</x:f>
        <x:v>P4</x:v>
      </x:c>
      <x:c r="D3" s="209" t="str">
        <x:v>T-137</x:v>
      </x:c>
      <x:c r="E3" s="209" t="str">
        <x:f>IF(INDEX(Backlog!$D$2:$D$180,MATCH($D3,Backlog!$A$2:$A$180,0))="","",INDEX(Backlog!$D$2:$D$180,MATCH($D3,Backlog!$A$2:$A$180,0)))</x:f>
        <x:v>ModelServingRuntime and model-gateway adapter, isolated from the presentation dock</x:v>
      </x:c>
      <x:c r="F3" s="209" t="str">
        <x:f>IF(INDEX(Backlog!$K$2:$K$180,MATCH($D3,Backlog!$A$2:$A$180,0))="","",INDEX(Backlog!$K$2:$K$180,MATCH($D3,Backlog!$A$2:$A$180,0)))</x:f>
        <x:v>Done</x:v>
      </x:c>
      <x:c r="G3" s="209" t="n">
        <x:f>IF(ISNUMBER(INDEX(Backlog!$J$2:$J$180,MATCH($D3,Backlog!$A$2:$A$180,0))),INDEX(Backlog!$J$2:$J$180,MATCH($D3,Backlog!$A$2:$A$180,0)),"")</x:f>
        <x:v>10</x:v>
      </x:c>
      <x:c r="H3" s="209" t="n">
        <x:f>IF(ISNUMBER(INDEX(Backlog!$R$2:$R$180,MATCH($D3,Backlog!$A$2:$A$180,0))),INDEX(Backlog!$R$2:$R$180,MATCH($D3,Backlog!$A$2:$A$180,0)),"")</x:f>
        <x:v>0</x:v>
      </x:c>
      <x:c r="I3" s="209" t="str">
        <x:f>IF(INDEX(Backlog!$M$2:$M$180,MATCH($D3,Backlog!$A$2:$A$180,0))="","",INDEX(Backlog!$M$2:$M$180,MATCH($D3,Backlog!$A$2:$A$180,0)))</x:f>
      </x:c>
      <x:c r="J3" s="209" t="str">
        <x:f>IF(INDEX(Backlog!$T$2:$T$180,MATCH($D3,Backlog!$A$2:$A$180,0))="","",INDEX(Backlog!$T$2:$T$180,MATCH($D3,Backlog!$A$2:$A$180,0)))</x:f>
        <x:v>Closed — do not reopen without contradictory regression evidence.</x:v>
      </x:c>
      <x:c r="K3" s="209" t="str">
        <x:f>IF(INDEX(Backlog!$U$2:$U$180,MATCH($D3,Backlog!$A$2:$A$180,0))="","",INDEX(Backlog!$U$2:$U$180,MATCH($D3,Backlog!$A$2:$A$180,0)))</x:f>
        <x:v>No active lock.</x:v>
      </x:c>
      <x:c r="L3" s="209" t="str">
        <x:f>IF(INDEX(Backlog!$V$2:$V$180,MATCH($D3,Backlog!$A$2:$A$180,0))="","",INDEX(Backlog!$V$2:$V$180,MATCH($D3,Backlog!$A$2:$A$180,0)))</x:f>
        <x:v>None — preserve evidence.</x:v>
      </x:c>
      <x:c r="M3" s="194" t="str">
        <x:f>IF(INDEX(Backlog!$AO$2:$AO$180,MATCH($D3,Backlog!$A$2:$A$180,0))="","",INDEX(Backlog!$AO$2:$AO$180,MATCH($D3,Backlog!$A$2:$A$180,0)))</x:f>
        <x:v>Recorded closed — inherited evidence</x:v>
      </x:c>
      <x:c r="N3" s="194" t="str">
        <x:f>IF(INDEX(Backlog!$AN$2:$AN$180,MATCH($D3,Backlog!$A$2:$A$180,0))="","",INDEX(Backlog!$AN$2:$AN$180,MATCH($D3,Backlog!$A$2:$A$180,0)))</x:f>
      </x:c>
    </x:row>
    <x:row r="4" ht="26" customHeight="1">
      <x:c r="A4" s="206" t="str">
        <x:f>IF(INDEX(Backlog!$L$2:$L$180,MATCH($D4,Backlog!$A$2:$A$180,0))="","",INDEX(Backlog!$L$2:$L$180,MATCH($D4,Backlog!$A$2:$A$180,0)))</x:f>
        <x:v>CLOSED</x:v>
      </x:c>
      <x:c r="B4" s="206" t="str">
        <x:f>IF(INDEX(Backlog!$B$2:$B$180,MATCH($D4,Backlog!$A$2:$A$180,0))="","",INDEX(Backlog!$B$2:$B$180,MATCH($D4,Backlog!$A$2:$A$180,0)))</x:f>
        <x:v>M2</x:v>
      </x:c>
      <x:c r="C4" s="206" t="str">
        <x:f>IF(INDEX(Backlog!$C$2:$C$180,MATCH($D4,Backlog!$A$2:$A$180,0))="","",INDEX(Backlog!$C$2:$C$180,MATCH($D4,Backlog!$A$2:$A$180,0)))</x:f>
        <x:v>P4</x:v>
      </x:c>
      <x:c r="D4" s="206" t="str">
        <x:v>T-168</x:v>
      </x:c>
      <x:c r="E4" s="206" t="str">
        <x:f>IF(INDEX(Backlog!$D$2:$D$180,MATCH($D4,Backlog!$A$2:$A$180,0))="","",INDEX(Backlog!$D$2:$D$180,MATCH($D4,Backlog!$A$2:$A$180,0)))</x:f>
        <x:v>Versioned C#↔Python ML job protocol and isolated runtime harness</x:v>
      </x:c>
      <x:c r="F4" s="206" t="str">
        <x:f>IF(INDEX(Backlog!$K$2:$K$180,MATCH($D4,Backlog!$A$2:$A$180,0))="","",INDEX(Backlog!$K$2:$K$180,MATCH($D4,Backlog!$A$2:$A$180,0)))</x:f>
        <x:v>Done</x:v>
      </x:c>
      <x:c r="G4" s="206" t="n">
        <x:f>IF(ISNUMBER(INDEX(Backlog!$J$2:$J$180,MATCH($D4,Backlog!$A$2:$A$180,0))),INDEX(Backlog!$J$2:$J$180,MATCH($D4,Backlog!$A$2:$A$180,0)),"")</x:f>
        <x:v>12</x:v>
      </x:c>
      <x:c r="H4" s="206" t="n">
        <x:f>IF(ISNUMBER(INDEX(Backlog!$R$2:$R$180,MATCH($D4,Backlog!$A$2:$A$180,0))),INDEX(Backlog!$R$2:$R$180,MATCH($D4,Backlog!$A$2:$A$180,0)),"")</x:f>
        <x:v>0</x:v>
      </x:c>
      <x:c r="I4" s="206" t="str">
        <x:f>IF(INDEX(Backlog!$M$2:$M$180,MATCH($D4,Backlog!$A$2:$A$180,0))="","",INDEX(Backlog!$M$2:$M$180,MATCH($D4,Backlog!$A$2:$A$180,0)))</x:f>
      </x:c>
      <x:c r="J4" s="206" t="str">
        <x:f>IF(INDEX(Backlog!$T$2:$T$180,MATCH($D4,Backlog!$A$2:$A$180,0))="","",INDEX(Backlog!$T$2:$T$180,MATCH($D4,Backlog!$A$2:$A$180,0)))</x:f>
        <x:v>Closed — do not reopen without contradictory regression evidence.</x:v>
      </x:c>
      <x:c r="K4" s="206" t="str">
        <x:f>IF(INDEX(Backlog!$U$2:$U$180,MATCH($D4,Backlog!$A$2:$A$180,0))="","",INDEX(Backlog!$U$2:$U$180,MATCH($D4,Backlog!$A$2:$A$180,0)))</x:f>
        <x:v>No active lock.</x:v>
      </x:c>
      <x:c r="L4" s="206" t="str">
        <x:f>IF(INDEX(Backlog!$V$2:$V$180,MATCH($D4,Backlog!$A$2:$A$180,0))="","",INDEX(Backlog!$V$2:$V$180,MATCH($D4,Backlog!$A$2:$A$180,0)))</x:f>
        <x:v>None — preserve evidence.</x:v>
      </x:c>
      <x:c r="M4" s="194" t="str">
        <x:f>IF(INDEX(Backlog!$AO$2:$AO$180,MATCH($D4,Backlog!$A$2:$A$180,0))="","",INDEX(Backlog!$AO$2:$AO$180,MATCH($D4,Backlog!$A$2:$A$180,0)))</x:f>
        <x:v>Recorded closed — inherited evidence</x:v>
      </x:c>
      <x:c r="N4" s="194" t="str">
        <x:f>IF(INDEX(Backlog!$AN$2:$AN$180,MATCH($D4,Backlog!$A$2:$A$180,0))="","",INDEX(Backlog!$AN$2:$AN$180,MATCH($D4,Backlog!$A$2:$A$180,0)))</x:f>
      </x:c>
    </x:row>
    <x:row r="5" ht="26" customHeight="1">
      <x:c r="A5" s="206" t="str">
        <x:f>IF(INDEX(Backlog!$L$2:$L$180,MATCH($D5,Backlog!$A$2:$A$180,0))="","",INDEX(Backlog!$L$2:$L$180,MATCH($D5,Backlog!$A$2:$A$180,0)))</x:f>
        <x:v>CLOSED</x:v>
      </x:c>
      <x:c r="B5" s="206" t="str">
        <x:f>IF(INDEX(Backlog!$B$2:$B$180,MATCH($D5,Backlog!$A$2:$A$180,0))="","",INDEX(Backlog!$B$2:$B$180,MATCH($D5,Backlog!$A$2:$A$180,0)))</x:f>
        <x:v>M2</x:v>
      </x:c>
      <x:c r="C5" s="206" t="str">
        <x:f>IF(INDEX(Backlog!$C$2:$C$180,MATCH($D5,Backlog!$A$2:$A$180,0))="","",INDEX(Backlog!$C$2:$C$180,MATCH($D5,Backlog!$A$2:$A$180,0)))</x:f>
        <x:v>P4</x:v>
      </x:c>
      <x:c r="D5" s="206" t="str">
        <x:v>T-169</x:v>
      </x:c>
      <x:c r="E5" s="206" t="str">
        <x:f>IF(INDEX(Backlog!$D$2:$D$180,MATCH($D5,Backlog!$A$2:$A$180,0))="","",INDEX(Backlog!$D$2:$D$180,MATCH($D5,Backlog!$A$2:$A$180,0)))</x:f>
        <x:v>Typed columnar training-artifact library and B-03 harness</x:v>
      </x:c>
      <x:c r="F5" s="206" t="str">
        <x:f>IF(INDEX(Backlog!$K$2:$K$180,MATCH($D5,Backlog!$A$2:$A$180,0))="","",INDEX(Backlog!$K$2:$K$180,MATCH($D5,Backlog!$A$2:$A$180,0)))</x:f>
        <x:v>Done</x:v>
      </x:c>
      <x:c r="G5" s="206" t="n">
        <x:f>IF(ISNUMBER(INDEX(Backlog!$J$2:$J$180,MATCH($D5,Backlog!$A$2:$A$180,0))),INDEX(Backlog!$J$2:$J$180,MATCH($D5,Backlog!$A$2:$A$180,0)),"")</x:f>
        <x:v>10</x:v>
      </x:c>
      <x:c r="H5" s="206" t="n">
        <x:f>IF(ISNUMBER(INDEX(Backlog!$R$2:$R$180,MATCH($D5,Backlog!$A$2:$A$180,0))),INDEX(Backlog!$R$2:$R$180,MATCH($D5,Backlog!$A$2:$A$180,0)),"")</x:f>
        <x:v>0</x:v>
      </x:c>
      <x:c r="I5" s="206" t="str">
        <x:f>IF(INDEX(Backlog!$M$2:$M$180,MATCH($D5,Backlog!$A$2:$A$180,0))="","",INDEX(Backlog!$M$2:$M$180,MATCH($D5,Backlog!$A$2:$A$180,0)))</x:f>
      </x:c>
      <x:c r="J5" s="206" t="str">
        <x:f>IF(INDEX(Backlog!$T$2:$T$180,MATCH($D5,Backlog!$A$2:$A$180,0))="","",INDEX(Backlog!$T$2:$T$180,MATCH($D5,Backlog!$A$2:$A$180,0)))</x:f>
        <x:v>Closed — do not reopen without contradictory regression evidence.</x:v>
      </x:c>
      <x:c r="K5" s="206" t="str">
        <x:f>IF(INDEX(Backlog!$U$2:$U$180,MATCH($D5,Backlog!$A$2:$A$180,0))="","",INDEX(Backlog!$U$2:$U$180,MATCH($D5,Backlog!$A$2:$A$180,0)))</x:f>
        <x:v>No active lock.</x:v>
      </x:c>
      <x:c r="L5" s="206" t="str">
        <x:f>IF(INDEX(Backlog!$V$2:$V$180,MATCH($D5,Backlog!$A$2:$A$180,0))="","",INDEX(Backlog!$V$2:$V$180,MATCH($D5,Backlog!$A$2:$A$180,0)))</x:f>
        <x:v>None — preserve evidence.</x:v>
      </x:c>
      <x:c r="M5" s="194" t="str">
        <x:f>IF(INDEX(Backlog!$AO$2:$AO$180,MATCH($D5,Backlog!$A$2:$A$180,0))="","",INDEX(Backlog!$AO$2:$AO$180,MATCH($D5,Backlog!$A$2:$A$180,0)))</x:f>
        <x:v>Recorded closed — inherited evidence</x:v>
      </x:c>
      <x:c r="N5" s="194" t="str">
        <x:f>IF(INDEX(Backlog!$AN$2:$AN$180,MATCH($D5,Backlog!$A$2:$A$180,0))="","",INDEX(Backlog!$AN$2:$AN$180,MATCH($D5,Backlog!$A$2:$A$180,0)))</x:f>
      </x:c>
    </x:row>
    <x:row r="6" ht="26" customHeight="1">
      <x:c r="A6" s="206" t="str">
        <x:f>IF(INDEX(Backlog!$L$2:$L$180,MATCH($D6,Backlog!$A$2:$A$180,0))="","",INDEX(Backlog!$L$2:$L$180,MATCH($D6,Backlog!$A$2:$A$180,0)))</x:f>
        <x:v>CLOSED</x:v>
      </x:c>
      <x:c r="B6" s="206" t="str">
        <x:f>IF(INDEX(Backlog!$B$2:$B$180,MATCH($D6,Backlog!$A$2:$A$180,0))="","",INDEX(Backlog!$B$2:$B$180,MATCH($D6,Backlog!$A$2:$A$180,0)))</x:f>
        <x:v>M2</x:v>
      </x:c>
      <x:c r="C6" s="206" t="str">
        <x:f>IF(INDEX(Backlog!$C$2:$C$180,MATCH($D6,Backlog!$A$2:$A$180,0))="","",INDEX(Backlog!$C$2:$C$180,MATCH($D6,Backlog!$A$2:$A$180,0)))</x:f>
        <x:v>P4</x:v>
      </x:c>
      <x:c r="D6" s="206" t="str">
        <x:v>T-170</x:v>
      </x:c>
      <x:c r="E6" s="206" t="str">
        <x:f>IF(INDEX(Backlog!$D$2:$D$180,MATCH($D6,Backlog!$A$2:$A$180,0))="","",INDEX(Backlog!$D$2:$D$180,MATCH($D6,Backlog!$A$2:$A$180,0)))</x:f>
        <x:v>Chunked sequence-artifact library and bounded loader</x:v>
      </x:c>
      <x:c r="F6" s="206" t="str">
        <x:f>IF(INDEX(Backlog!$K$2:$K$180,MATCH($D6,Backlog!$A$2:$A$180,0))="","",INDEX(Backlog!$K$2:$K$180,MATCH($D6,Backlog!$A$2:$A$180,0)))</x:f>
        <x:v>Done</x:v>
      </x:c>
      <x:c r="G6" s="206" t="n">
        <x:f>IF(ISNUMBER(INDEX(Backlog!$J$2:$J$180,MATCH($D6,Backlog!$A$2:$A$180,0))),INDEX(Backlog!$J$2:$J$180,MATCH($D6,Backlog!$A$2:$A$180,0)),"")</x:f>
        <x:v>10</x:v>
      </x:c>
      <x:c r="H6" s="206" t="n">
        <x:f>IF(ISNUMBER(INDEX(Backlog!$R$2:$R$180,MATCH($D6,Backlog!$A$2:$A$180,0))),INDEX(Backlog!$R$2:$R$180,MATCH($D6,Backlog!$A$2:$A$180,0)),"")</x:f>
        <x:v>0</x:v>
      </x:c>
      <x:c r="I6" s="206" t="str">
        <x:f>IF(INDEX(Backlog!$M$2:$M$180,MATCH($D6,Backlog!$A$2:$A$180,0))="","",INDEX(Backlog!$M$2:$M$180,MATCH($D6,Backlog!$A$2:$A$180,0)))</x:f>
      </x:c>
      <x:c r="J6" s="206" t="str">
        <x:f>IF(INDEX(Backlog!$T$2:$T$180,MATCH($D6,Backlog!$A$2:$A$180,0))="","",INDEX(Backlog!$T$2:$T$180,MATCH($D6,Backlog!$A$2:$A$180,0)))</x:f>
        <x:v>Closed — do not reopen without contradictory regression evidence.</x:v>
      </x:c>
      <x:c r="K6" s="206" t="str">
        <x:f>IF(INDEX(Backlog!$U$2:$U$180,MATCH($D6,Backlog!$A$2:$A$180,0))="","",INDEX(Backlog!$U$2:$U$180,MATCH($D6,Backlog!$A$2:$A$180,0)))</x:f>
        <x:v>No active lock.</x:v>
      </x:c>
      <x:c r="L6" s="206" t="str">
        <x:f>IF(INDEX(Backlog!$V$2:$V$180,MATCH($D6,Backlog!$A$2:$A$180,0))="","",INDEX(Backlog!$V$2:$V$180,MATCH($D6,Backlog!$A$2:$A$180,0)))</x:f>
        <x:v>None — preserve evidence.</x:v>
      </x:c>
      <x:c r="M6" s="194" t="str">
        <x:f>IF(INDEX(Backlog!$AO$2:$AO$180,MATCH($D6,Backlog!$A$2:$A$180,0))="","",INDEX(Backlog!$AO$2:$AO$180,MATCH($D6,Backlog!$A$2:$A$180,0)))</x:f>
        <x:v>Recorded closed — inherited evidence</x:v>
      </x:c>
      <x:c r="N6" s="194" t="str">
        <x:f>IF(INDEX(Backlog!$AN$2:$AN$180,MATCH($D6,Backlog!$A$2:$A$180,0))="","",INDEX(Backlog!$AN$2:$AN$180,MATCH($D6,Backlog!$A$2:$A$180,0)))</x:f>
      </x:c>
    </x:row>
    <x:row r="7" ht="26" customHeight="1">
      <x:c r="A7" s="206" t="str">
        <x:f>IF(INDEX(Backlog!$L$2:$L$180,MATCH($D7,Backlog!$A$2:$A$180,0))="","",INDEX(Backlog!$L$2:$L$180,MATCH($D7,Backlog!$A$2:$A$180,0)))</x:f>
        <x:v>CLOSED</x:v>
      </x:c>
      <x:c r="B7" s="206" t="str">
        <x:f>IF(INDEX(Backlog!$B$2:$B$180,MATCH($D7,Backlog!$A$2:$A$180,0))="","",INDEX(Backlog!$B$2:$B$180,MATCH($D7,Backlog!$A$2:$A$180,0)))</x:f>
        <x:v>M2</x:v>
      </x:c>
      <x:c r="C7" s="206" t="str">
        <x:f>IF(INDEX(Backlog!$C$2:$C$180,MATCH($D7,Backlog!$A$2:$A$180,0))="","",INDEX(Backlog!$C$2:$C$180,MATCH($D7,Backlog!$A$2:$A$180,0)))</x:f>
        <x:v>P4</x:v>
      </x:c>
      <x:c r="D7" s="206" t="str">
        <x:v>T-171</x:v>
      </x:c>
      <x:c r="E7" s="206" t="str">
        <x:f>IF(INDEX(Backlog!$D$2:$D$180,MATCH($D7,Backlog!$A$2:$A$180,0))="","",INDEX(Backlog!$D$2:$D$180,MATCH($D7,Backlog!$A$2:$A$180,0)))</x:f>
        <x:v>Capability Profiler and eligibility/refusal kernel</x:v>
      </x:c>
      <x:c r="F7" s="206" t="str">
        <x:f>IF(INDEX(Backlog!$K$2:$K$180,MATCH($D7,Backlog!$A$2:$A$180,0))="","",INDEX(Backlog!$K$2:$K$180,MATCH($D7,Backlog!$A$2:$A$180,0)))</x:f>
        <x:v>Done</x:v>
      </x:c>
      <x:c r="G7" s="206" t="n">
        <x:f>IF(ISNUMBER(INDEX(Backlog!$J$2:$J$180,MATCH($D7,Backlog!$A$2:$A$180,0))),INDEX(Backlog!$J$2:$J$180,MATCH($D7,Backlog!$A$2:$A$180,0)),"")</x:f>
        <x:v>10</x:v>
      </x:c>
      <x:c r="H7" s="206" t="n">
        <x:f>IF(ISNUMBER(INDEX(Backlog!$R$2:$R$180,MATCH($D7,Backlog!$A$2:$A$180,0))),INDEX(Backlog!$R$2:$R$180,MATCH($D7,Backlog!$A$2:$A$180,0)),"")</x:f>
        <x:v>0</x:v>
      </x:c>
      <x:c r="I7" s="206" t="str">
        <x:f>IF(INDEX(Backlog!$M$2:$M$180,MATCH($D7,Backlog!$A$2:$A$180,0))="","",INDEX(Backlog!$M$2:$M$180,MATCH($D7,Backlog!$A$2:$A$180,0)))</x:f>
      </x:c>
      <x:c r="J7" s="206" t="str">
        <x:f>IF(INDEX(Backlog!$T$2:$T$180,MATCH($D7,Backlog!$A$2:$A$180,0))="","",INDEX(Backlog!$T$2:$T$180,MATCH($D7,Backlog!$A$2:$A$180,0)))</x:f>
        <x:v>Closed — do not reopen without contradictory regression evidence.</x:v>
      </x:c>
      <x:c r="K7" s="206" t="str">
        <x:f>IF(INDEX(Backlog!$U$2:$U$180,MATCH($D7,Backlog!$A$2:$A$180,0))="","",INDEX(Backlog!$U$2:$U$180,MATCH($D7,Backlog!$A$2:$A$180,0)))</x:f>
        <x:v>No active lock.</x:v>
      </x:c>
      <x:c r="L7" s="206" t="str">
        <x:f>IF(INDEX(Backlog!$V$2:$V$180,MATCH($D7,Backlog!$A$2:$A$180,0))="","",INDEX(Backlog!$V$2:$V$180,MATCH($D7,Backlog!$A$2:$A$180,0)))</x:f>
        <x:v>None — preserve evidence.</x:v>
      </x:c>
      <x:c r="M7" s="194" t="str">
        <x:f>IF(INDEX(Backlog!$AO$2:$AO$180,MATCH($D7,Backlog!$A$2:$A$180,0))="","",INDEX(Backlog!$AO$2:$AO$180,MATCH($D7,Backlog!$A$2:$A$180,0)))</x:f>
        <x:v>Recorded closed — inherited evidence</x:v>
      </x:c>
      <x:c r="N7" s="194" t="str">
        <x:f>IF(INDEX(Backlog!$AN$2:$AN$180,MATCH($D7,Backlog!$A$2:$A$180,0))="","",INDEX(Backlog!$AN$2:$AN$180,MATCH($D7,Backlog!$A$2:$A$180,0)))</x:f>
      </x:c>
    </x:row>
    <x:row r="8" ht="26" customHeight="1">
      <x:c r="A8" s="206" t="str">
        <x:f>IF(INDEX(Backlog!$L$2:$L$180,MATCH($D8,Backlog!$A$2:$A$180,0))="","",INDEX(Backlog!$L$2:$L$180,MATCH($D8,Backlog!$A$2:$A$180,0)))</x:f>
        <x:v>CLOSED</x:v>
      </x:c>
      <x:c r="B8" s="206" t="str">
        <x:f>IF(INDEX(Backlog!$B$2:$B$180,MATCH($D8,Backlog!$A$2:$A$180,0))="","",INDEX(Backlog!$B$2:$B$180,MATCH($D8,Backlog!$A$2:$A$180,0)))</x:f>
        <x:v>M2</x:v>
      </x:c>
      <x:c r="C8" s="206" t="str">
        <x:f>IF(INDEX(Backlog!$C$2:$C$180,MATCH($D8,Backlog!$A$2:$A$180,0))="","",INDEX(Backlog!$C$2:$C$180,MATCH($D8,Backlog!$A$2:$A$180,0)))</x:f>
        <x:v>P4</x:v>
      </x:c>
      <x:c r="D8" s="206" t="str">
        <x:v>T-172</x:v>
      </x:c>
      <x:c r="E8" s="206" t="str">
        <x:f>IF(INDEX(Backlog!$D$2:$D$180,MATCH($D8,Backlog!$A$2:$A$180,0))="","",INDEX(Backlog!$D$2:$D$180,MATCH($D8,Backlog!$A$2:$A$180,0)))</x:f>
        <x:v>MF-01 Process Encoder runtime behind a replaceable contract</x:v>
      </x:c>
      <x:c r="F8" s="206" t="str">
        <x:f>IF(INDEX(Backlog!$K$2:$K$180,MATCH($D8,Backlog!$A$2:$A$180,0))="","",INDEX(Backlog!$K$2:$K$180,MATCH($D8,Backlog!$A$2:$A$180,0)))</x:f>
        <x:v>Done</x:v>
      </x:c>
      <x:c r="G8" s="206" t="n">
        <x:f>IF(ISNUMBER(INDEX(Backlog!$J$2:$J$180,MATCH($D8,Backlog!$A$2:$A$180,0))),INDEX(Backlog!$J$2:$J$180,MATCH($D8,Backlog!$A$2:$A$180,0)),"")</x:f>
        <x:v>12</x:v>
      </x:c>
      <x:c r="H8" s="206" t="n">
        <x:f>IF(ISNUMBER(INDEX(Backlog!$R$2:$R$180,MATCH($D8,Backlog!$A$2:$A$180,0))),INDEX(Backlog!$R$2:$R$180,MATCH($D8,Backlog!$A$2:$A$180,0)),"")</x:f>
        <x:v>0</x:v>
      </x:c>
      <x:c r="I8" s="206" t="str">
        <x:f>IF(INDEX(Backlog!$M$2:$M$180,MATCH($D8,Backlog!$A$2:$A$180,0))="","",INDEX(Backlog!$M$2:$M$180,MATCH($D8,Backlog!$A$2:$A$180,0)))</x:f>
      </x:c>
      <x:c r="J8" s="206" t="str">
        <x:f>IF(INDEX(Backlog!$T$2:$T$180,MATCH($D8,Backlog!$A$2:$A$180,0))="","",INDEX(Backlog!$T$2:$T$180,MATCH($D8,Backlog!$A$2:$A$180,0)))</x:f>
        <x:v>Closed — do not reopen without contradictory regression evidence.</x:v>
      </x:c>
      <x:c r="K8" s="206" t="str">
        <x:f>IF(INDEX(Backlog!$U$2:$U$180,MATCH($D8,Backlog!$A$2:$A$180,0))="","",INDEX(Backlog!$U$2:$U$180,MATCH($D8,Backlog!$A$2:$A$180,0)))</x:f>
        <x:v>No active lock.</x:v>
      </x:c>
      <x:c r="L8" s="206" t="str">
        <x:f>IF(INDEX(Backlog!$V$2:$V$180,MATCH($D8,Backlog!$A$2:$A$180,0))="","",INDEX(Backlog!$V$2:$V$180,MATCH($D8,Backlog!$A$2:$A$180,0)))</x:f>
        <x:v>None — preserve evidence.</x:v>
      </x:c>
      <x:c r="M8" s="194" t="str">
        <x:f>IF(INDEX(Backlog!$AO$2:$AO$180,MATCH($D8,Backlog!$A$2:$A$180,0))="","",INDEX(Backlog!$AO$2:$AO$180,MATCH($D8,Backlog!$A$2:$A$180,0)))</x:f>
        <x:v>Recorded closed — inherited evidence</x:v>
      </x:c>
      <x:c r="N8" s="194" t="str">
        <x:f>IF(INDEX(Backlog!$AN$2:$AN$180,MATCH($D8,Backlog!$A$2:$A$180,0))="","",INDEX(Backlog!$AN$2:$AN$180,MATCH($D8,Backlog!$A$2:$A$180,0)))</x:f>
      </x:c>
    </x:row>
    <x:row r="9" ht="26" customHeight="1">
      <x:c r="A9" s="206" t="str">
        <x:f>IF(INDEX(Backlog!$L$2:$L$180,MATCH($D9,Backlog!$A$2:$A$180,0))="","",INDEX(Backlog!$L$2:$L$180,MATCH($D9,Backlog!$A$2:$A$180,0)))</x:f>
        <x:v>CLOSED</x:v>
      </x:c>
      <x:c r="B9" s="206" t="str">
        <x:f>IF(INDEX(Backlog!$B$2:$B$180,MATCH($D9,Backlog!$A$2:$A$180,0))="","",INDEX(Backlog!$B$2:$B$180,MATCH($D9,Backlog!$A$2:$A$180,0)))</x:f>
        <x:v>M2</x:v>
      </x:c>
      <x:c r="C9" s="206" t="str">
        <x:f>IF(INDEX(Backlog!$C$2:$C$180,MATCH($D9,Backlog!$A$2:$A$180,0))="","",INDEX(Backlog!$C$2:$C$180,MATCH($D9,Backlog!$A$2:$A$180,0)))</x:f>
        <x:v>P4</x:v>
      </x:c>
      <x:c r="D9" s="206" t="str">
        <x:v>T-173</x:v>
      </x:c>
      <x:c r="E9" s="206" t="str">
        <x:f>IF(INDEX(Backlog!$D$2:$D$180,MATCH($D9,Backlog!$A$2:$A$180,0))="","",INDEX(Backlog!$D$2:$D$180,MATCH($D9,Backlog!$A$2:$A$180,0)))</x:f>
        <x:v>MF-02 VectorSimilarityIndex with exact-Flat recall baseline</x:v>
      </x:c>
      <x:c r="F9" s="206" t="str">
        <x:f>IF(INDEX(Backlog!$K$2:$K$180,MATCH($D9,Backlog!$A$2:$A$180,0))="","",INDEX(Backlog!$K$2:$K$180,MATCH($D9,Backlog!$A$2:$A$180,0)))</x:f>
        <x:v>Done</x:v>
      </x:c>
      <x:c r="G9" s="206" t="n">
        <x:f>IF(ISNUMBER(INDEX(Backlog!$J$2:$J$180,MATCH($D9,Backlog!$A$2:$A$180,0))),INDEX(Backlog!$J$2:$J$180,MATCH($D9,Backlog!$A$2:$A$180,0)),"")</x:f>
        <x:v>12</x:v>
      </x:c>
      <x:c r="H9" s="206" t="n">
        <x:f>IF(ISNUMBER(INDEX(Backlog!$R$2:$R$180,MATCH($D9,Backlog!$A$2:$A$180,0))),INDEX(Backlog!$R$2:$R$180,MATCH($D9,Backlog!$A$2:$A$180,0)),"")</x:f>
        <x:v>0</x:v>
      </x:c>
      <x:c r="I9" s="206" t="str">
        <x:f>IF(INDEX(Backlog!$M$2:$M$180,MATCH($D9,Backlog!$A$2:$A$180,0))="","",INDEX(Backlog!$M$2:$M$180,MATCH($D9,Backlog!$A$2:$A$180,0)))</x:f>
      </x:c>
      <x:c r="J9" s="206" t="str">
        <x:f>IF(INDEX(Backlog!$T$2:$T$180,MATCH($D9,Backlog!$A$2:$A$180,0))="","",INDEX(Backlog!$T$2:$T$180,MATCH($D9,Backlog!$A$2:$A$180,0)))</x:f>
        <x:v>Closed — do not reopen without contradictory regression evidence.</x:v>
      </x:c>
      <x:c r="K9" s="206" t="str">
        <x:f>IF(INDEX(Backlog!$U$2:$U$180,MATCH($D9,Backlog!$A$2:$A$180,0))="","",INDEX(Backlog!$U$2:$U$180,MATCH($D9,Backlog!$A$2:$A$180,0)))</x:f>
        <x:v>No active lock.</x:v>
      </x:c>
      <x:c r="L9" s="206" t="str">
        <x:f>IF(INDEX(Backlog!$V$2:$V$180,MATCH($D9,Backlog!$A$2:$A$180,0))="","",INDEX(Backlog!$V$2:$V$180,MATCH($D9,Backlog!$A$2:$A$180,0)))</x:f>
        <x:v>None — preserve evidence.</x:v>
      </x:c>
      <x:c r="M9" s="194" t="str">
        <x:f>IF(INDEX(Backlog!$AO$2:$AO$180,MATCH($D9,Backlog!$A$2:$A$180,0))="","",INDEX(Backlog!$AO$2:$AO$180,MATCH($D9,Backlog!$A$2:$A$180,0)))</x:f>
        <x:v>Recorded closed — inherited evidence</x:v>
      </x:c>
      <x:c r="N9" s="194" t="str">
        <x:f>IF(INDEX(Backlog!$AN$2:$AN$180,MATCH($D9,Backlog!$A$2:$A$180,0))="","",INDEX(Backlog!$AN$2:$AN$180,MATCH($D9,Backlog!$A$2:$A$180,0)))</x:f>
      </x:c>
    </x:row>
    <x:row r="10" ht="26" customHeight="1">
      <x:c r="A10" s="206" t="str">
        <x:f>IF(INDEX(Backlog!$L$2:$L$180,MATCH($D10,Backlog!$A$2:$A$180,0))="","",INDEX(Backlog!$L$2:$L$180,MATCH($D10,Backlog!$A$2:$A$180,0)))</x:f>
        <x:v>CLOSED</x:v>
      </x:c>
      <x:c r="B10" s="206" t="str">
        <x:f>IF(INDEX(Backlog!$B$2:$B$180,MATCH($D10,Backlog!$A$2:$A$180,0))="","",INDEX(Backlog!$B$2:$B$180,MATCH($D10,Backlog!$A$2:$A$180,0)))</x:f>
        <x:v>M2</x:v>
      </x:c>
      <x:c r="C10" s="206" t="str">
        <x:f>IF(INDEX(Backlog!$C$2:$C$180,MATCH($D10,Backlog!$A$2:$A$180,0))="","",INDEX(Backlog!$C$2:$C$180,MATCH($D10,Backlog!$A$2:$A$180,0)))</x:f>
        <x:v>P4</x:v>
      </x:c>
      <x:c r="D10" s="206" t="str">
        <x:v>T-174</x:v>
      </x:c>
      <x:c r="E10" s="206" t="str">
        <x:f>IF(INDEX(Backlog!$D$2:$D$180,MATCH($D10,Backlog!$A$2:$A$180,0))="","",INDEX(Backlog!$D$2:$D$180,MATCH($D10,Backlog!$A$2:$A$180,0)))</x:f>
        <x:v>MF-03 novelty-model runtime and honest refusal semantics</x:v>
      </x:c>
      <x:c r="F10" s="206" t="str">
        <x:f>IF(INDEX(Backlog!$K$2:$K$180,MATCH($D10,Backlog!$A$2:$A$180,0))="","",INDEX(Backlog!$K$2:$K$180,MATCH($D10,Backlog!$A$2:$A$180,0)))</x:f>
        <x:v>Done</x:v>
      </x:c>
      <x:c r="G10" s="206" t="n">
        <x:f>IF(ISNUMBER(INDEX(Backlog!$J$2:$J$180,MATCH($D10,Backlog!$A$2:$A$180,0))),INDEX(Backlog!$J$2:$J$180,MATCH($D10,Backlog!$A$2:$A$180,0)),"")</x:f>
        <x:v>10</x:v>
      </x:c>
      <x:c r="H10" s="206" t="n">
        <x:f>IF(ISNUMBER(INDEX(Backlog!$R$2:$R$180,MATCH($D10,Backlog!$A$2:$A$180,0))),INDEX(Backlog!$R$2:$R$180,MATCH($D10,Backlog!$A$2:$A$180,0)),"")</x:f>
        <x:v>0</x:v>
      </x:c>
      <x:c r="I10" s="206" t="str">
        <x:f>IF(INDEX(Backlog!$M$2:$M$180,MATCH($D10,Backlog!$A$2:$A$180,0))="","",INDEX(Backlog!$M$2:$M$180,MATCH($D10,Backlog!$A$2:$A$180,0)))</x:f>
      </x:c>
      <x:c r="J10" s="206" t="str">
        <x:f>IF(INDEX(Backlog!$T$2:$T$180,MATCH($D10,Backlog!$A$2:$A$180,0))="","",INDEX(Backlog!$T$2:$T$180,MATCH($D10,Backlog!$A$2:$A$180,0)))</x:f>
        <x:v>Closed — do not reopen without contradictory regression evidence.</x:v>
      </x:c>
      <x:c r="K10" s="206" t="str">
        <x:f>IF(INDEX(Backlog!$U$2:$U$180,MATCH($D10,Backlog!$A$2:$A$180,0))="","",INDEX(Backlog!$U$2:$U$180,MATCH($D10,Backlog!$A$2:$A$180,0)))</x:f>
        <x:v>No active lock.</x:v>
      </x:c>
      <x:c r="L10" s="206" t="str">
        <x:f>IF(INDEX(Backlog!$V$2:$V$180,MATCH($D10,Backlog!$A$2:$A$180,0))="","",INDEX(Backlog!$V$2:$V$180,MATCH($D10,Backlog!$A$2:$A$180,0)))</x:f>
        <x:v>None — preserve evidence.</x:v>
      </x:c>
      <x:c r="M10" s="194" t="str">
        <x:f>IF(INDEX(Backlog!$AO$2:$AO$180,MATCH($D10,Backlog!$A$2:$A$180,0))="","",INDEX(Backlog!$AO$2:$AO$180,MATCH($D10,Backlog!$A$2:$A$180,0)))</x:f>
        <x:v>Recorded closed — inherited evidence</x:v>
      </x:c>
      <x:c r="N10" s="194" t="str">
        <x:f>IF(INDEX(Backlog!$AN$2:$AN$180,MATCH($D10,Backlog!$A$2:$A$180,0))="","",INDEX(Backlog!$AN$2:$AN$180,MATCH($D10,Backlog!$A$2:$A$180,0)))</x:f>
      </x:c>
    </x:row>
    <x:row r="11" ht="26" customHeight="1">
      <x:c r="A11" s="206" t="str">
        <x:f>IF(INDEX(Backlog!$L$2:$L$180,MATCH($D11,Backlog!$A$2:$A$180,0))="","",INDEX(Backlog!$L$2:$L$180,MATCH($D11,Backlog!$A$2:$A$180,0)))</x:f>
        <x:v>CLOSED</x:v>
      </x:c>
      <x:c r="B11" s="206" t="str">
        <x:f>IF(INDEX(Backlog!$B$2:$B$180,MATCH($D11,Backlog!$A$2:$A$180,0))="","",INDEX(Backlog!$B$2:$B$180,MATCH($D11,Backlog!$A$2:$A$180,0)))</x:f>
        <x:v>M2</x:v>
      </x:c>
      <x:c r="C11" s="206" t="str">
        <x:f>IF(INDEX(Backlog!$C$2:$C$180,MATCH($D11,Backlog!$A$2:$A$180,0))="","",INDEX(Backlog!$C$2:$C$180,MATCH($D11,Backlog!$A$2:$A$180,0)))</x:f>
        <x:v>P4</x:v>
      </x:c>
      <x:c r="D11" s="206" t="str">
        <x:v>T-175</x:v>
      </x:c>
      <x:c r="E11" s="206" t="str">
        <x:f>IF(INDEX(Backlog!$D$2:$D$180,MATCH($D11,Backlog!$A$2:$A$180,0))="","",INDEX(Backlog!$D$2:$D$180,MATCH($D11,Backlog!$A$2:$A$180,0)))</x:f>
        <x:v>MF-04 supervised-outcome training runtime and mandatory simple baseline</x:v>
      </x:c>
      <x:c r="F11" s="206" t="str">
        <x:f>IF(INDEX(Backlog!$K$2:$K$180,MATCH($D11,Backlog!$A$2:$A$180,0))="","",INDEX(Backlog!$K$2:$K$180,MATCH($D11,Backlog!$A$2:$A$180,0)))</x:f>
        <x:v>Done</x:v>
      </x:c>
      <x:c r="G11" s="206" t="n">
        <x:f>IF(ISNUMBER(INDEX(Backlog!$J$2:$J$180,MATCH($D11,Backlog!$A$2:$A$180,0))),INDEX(Backlog!$J$2:$J$180,MATCH($D11,Backlog!$A$2:$A$180,0)),"")</x:f>
        <x:v>12</x:v>
      </x:c>
      <x:c r="H11" s="206" t="n">
        <x:f>IF(ISNUMBER(INDEX(Backlog!$R$2:$R$180,MATCH($D11,Backlog!$A$2:$A$180,0))),INDEX(Backlog!$R$2:$R$180,MATCH($D11,Backlog!$A$2:$A$180,0)),"")</x:f>
        <x:v>0</x:v>
      </x:c>
      <x:c r="I11" s="206" t="str">
        <x:f>IF(INDEX(Backlog!$M$2:$M$180,MATCH($D11,Backlog!$A$2:$A$180,0))="","",INDEX(Backlog!$M$2:$M$180,MATCH($D11,Backlog!$A$2:$A$180,0)))</x:f>
        <x:v>T-168; T-169</x:v>
      </x:c>
      <x:c r="J11" s="206" t="str">
        <x:f>IF(INDEX(Backlog!$T$2:$T$180,MATCH($D11,Backlog!$A$2:$A$180,0))="","",INDEX(Backlog!$T$2:$T$180,MATCH($D11,Backlog!$A$2:$A$180,0)))</x:f>
        <x:v>Closed — do not reopen without contradictory regression evidence.</x:v>
      </x:c>
      <x:c r="K11" s="206" t="str">
        <x:f>IF(INDEX(Backlog!$U$2:$U$180,MATCH($D11,Backlog!$A$2:$A$180,0))="","",INDEX(Backlog!$U$2:$U$180,MATCH($D11,Backlog!$A$2:$A$180,0)))</x:f>
        <x:v>No active lock.</x:v>
      </x:c>
      <x:c r="L11" s="206" t="str">
        <x:f>IF(INDEX(Backlog!$V$2:$V$180,MATCH($D11,Backlog!$A$2:$A$180,0))="","",INDEX(Backlog!$V$2:$V$180,MATCH($D11,Backlog!$A$2:$A$180,0)))</x:f>
        <x:v>None — preserve evidence.</x:v>
      </x:c>
      <x:c r="M11" s="194" t="str">
        <x:f>IF(INDEX(Backlog!$AO$2:$AO$180,MATCH($D11,Backlog!$A$2:$A$180,0))="","",INDEX(Backlog!$AO$2:$AO$180,MATCH($D11,Backlog!$A$2:$A$180,0)))</x:f>
        <x:v>Recorded closed — inherited evidence</x:v>
      </x:c>
      <x:c r="N11" s="194" t="str">
        <x:f>IF(INDEX(Backlog!$AN$2:$AN$180,MATCH($D11,Backlog!$A$2:$A$180,0))="","",INDEX(Backlog!$AN$2:$AN$180,MATCH($D11,Backlog!$A$2:$A$180,0)))</x:f>
      </x:c>
    </x:row>
    <x:row r="12" ht="26" customHeight="1">
      <x:c r="A12" s="206" t="str">
        <x:f>IF(INDEX(Backlog!$L$2:$L$180,MATCH($D12,Backlog!$A$2:$A$180,0))="","",INDEX(Backlog!$L$2:$L$180,MATCH($D12,Backlog!$A$2:$A$180,0)))</x:f>
        <x:v>CLOSED</x:v>
      </x:c>
      <x:c r="B12" s="206" t="str">
        <x:f>IF(INDEX(Backlog!$B$2:$B$180,MATCH($D12,Backlog!$A$2:$A$180,0))="","",INDEX(Backlog!$B$2:$B$180,MATCH($D12,Backlog!$A$2:$A$180,0)))</x:f>
        <x:v>M2</x:v>
      </x:c>
      <x:c r="C12" s="206" t="str">
        <x:f>IF(INDEX(Backlog!$C$2:$C$180,MATCH($D12,Backlog!$A$2:$A$180,0))="","",INDEX(Backlog!$C$2:$C$180,MATCH($D12,Backlog!$A$2:$A$180,0)))</x:f>
        <x:v>P4</x:v>
      </x:c>
      <x:c r="D12" s="206" t="str">
        <x:v>T-176</x:v>
      </x:c>
      <x:c r="E12" s="206" t="str">
        <x:f>IF(INDEX(Backlog!$D$2:$D$180,MATCH($D12,Backlog!$A$2:$A$180,0))="","",INDEX(Backlog!$D$2:$D$180,MATCH($D12,Backlog!$A$2:$A$180,0)))</x:f>
        <x:v>Calibration, explanation stability and three-dimensional promotion kernel</x:v>
      </x:c>
      <x:c r="F12" s="206" t="str">
        <x:f>IF(INDEX(Backlog!$K$2:$K$180,MATCH($D12,Backlog!$A$2:$A$180,0))="","",INDEX(Backlog!$K$2:$K$180,MATCH($D12,Backlog!$A$2:$A$180,0)))</x:f>
        <x:v>Done</x:v>
      </x:c>
      <x:c r="G12" s="206" t="n">
        <x:f>IF(ISNUMBER(INDEX(Backlog!$J$2:$J$180,MATCH($D12,Backlog!$A$2:$A$180,0))),INDEX(Backlog!$J$2:$J$180,MATCH($D12,Backlog!$A$2:$A$180,0)),"")</x:f>
        <x:v>12</x:v>
      </x:c>
      <x:c r="H12" s="206" t="n">
        <x:f>IF(ISNUMBER(INDEX(Backlog!$R$2:$R$180,MATCH($D12,Backlog!$A$2:$A$180,0))),INDEX(Backlog!$R$2:$R$180,MATCH($D12,Backlog!$A$2:$A$180,0)),"")</x:f>
        <x:v>0</x:v>
      </x:c>
      <x:c r="I12" s="206" t="str">
        <x:f>IF(INDEX(Backlog!$M$2:$M$180,MATCH($D12,Backlog!$A$2:$A$180,0))="","",INDEX(Backlog!$M$2:$M$180,MATCH($D12,Backlog!$A$2:$A$180,0)))</x:f>
      </x:c>
      <x:c r="J12" s="206" t="str">
        <x:f>IF(INDEX(Backlog!$T$2:$T$180,MATCH($D12,Backlog!$A$2:$A$180,0))="","",INDEX(Backlog!$T$2:$T$180,MATCH($D12,Backlog!$A$2:$A$180,0)))</x:f>
        <x:v>Closed — do not reopen without contradictory regression evidence.</x:v>
      </x:c>
      <x:c r="K12" s="206" t="str">
        <x:f>IF(INDEX(Backlog!$U$2:$U$180,MATCH($D12,Backlog!$A$2:$A$180,0))="","",INDEX(Backlog!$U$2:$U$180,MATCH($D12,Backlog!$A$2:$A$180,0)))</x:f>
        <x:v>No active lock.</x:v>
      </x:c>
      <x:c r="L12" s="206" t="str">
        <x:f>IF(INDEX(Backlog!$V$2:$V$180,MATCH($D12,Backlog!$A$2:$A$180,0))="","",INDEX(Backlog!$V$2:$V$180,MATCH($D12,Backlog!$A$2:$A$180,0)))</x:f>
        <x:v>None — preserve evidence.</x:v>
      </x:c>
      <x:c r="M12" s="194" t="str">
        <x:f>IF(INDEX(Backlog!$AO$2:$AO$180,MATCH($D12,Backlog!$A$2:$A$180,0))="","",INDEX(Backlog!$AO$2:$AO$180,MATCH($D12,Backlog!$A$2:$A$180,0)))</x:f>
        <x:v>Recorded closed — inherited evidence</x:v>
      </x:c>
      <x:c r="N12" s="194" t="str">
        <x:f>IF(INDEX(Backlog!$AN$2:$AN$180,MATCH($D12,Backlog!$A$2:$A$180,0))="","",INDEX(Backlog!$AN$2:$AN$180,MATCH($D12,Backlog!$A$2:$A$180,0)))</x:f>
      </x:c>
    </x:row>
    <x:row r="13" ht="26" customHeight="1">
      <x:c r="A13" s="206" t="str">
        <x:f>IF(INDEX(Backlog!$L$2:$L$180,MATCH($D13,Backlog!$A$2:$A$180,0))="","",INDEX(Backlog!$L$2:$L$180,MATCH($D13,Backlog!$A$2:$A$180,0)))</x:f>
        <x:v>CLOSED</x:v>
      </x:c>
      <x:c r="B13" s="206" t="str">
        <x:f>IF(INDEX(Backlog!$B$2:$B$180,MATCH($D13,Backlog!$A$2:$A$180,0))="","",INDEX(Backlog!$B$2:$B$180,MATCH($D13,Backlog!$A$2:$A$180,0)))</x:f>
        <x:v>M2</x:v>
      </x:c>
      <x:c r="C13" s="206" t="str">
        <x:f>IF(INDEX(Backlog!$C$2:$C$180,MATCH($D13,Backlog!$A$2:$A$180,0))="","",INDEX(Backlog!$C$2:$C$180,MATCH($D13,Backlog!$A$2:$A$180,0)))</x:f>
        <x:v>P4</x:v>
      </x:c>
      <x:c r="D13" s="206" t="str">
        <x:v>T-177</x:v>
      </x:c>
      <x:c r="E13" s="206" t="str">
        <x:f>IF(INDEX(Backlog!$D$2:$D$180,MATCH($D13,Backlog!$A$2:$A$180,0))="","",INDEX(Backlog!$D$2:$D$180,MATCH($D13,Backlog!$A$2:$A$180,0)))</x:f>
        <x:v>Production statistical-method kernel, including Numeric×Categorical</x:v>
      </x:c>
      <x:c r="F13" s="206" t="str">
        <x:f>IF(INDEX(Backlog!$K$2:$K$180,MATCH($D13,Backlog!$A$2:$A$180,0))="","",INDEX(Backlog!$K$2:$K$180,MATCH($D13,Backlog!$A$2:$A$180,0)))</x:f>
        <x:v>Done</x:v>
      </x:c>
      <x:c r="G13" s="206" t="n">
        <x:f>IF(ISNUMBER(INDEX(Backlog!$J$2:$J$180,MATCH($D13,Backlog!$A$2:$A$180,0))),INDEX(Backlog!$J$2:$J$180,MATCH($D13,Backlog!$A$2:$A$180,0)),"")</x:f>
        <x:v>10</x:v>
      </x:c>
      <x:c r="H13" s="206" t="n">
        <x:f>IF(ISNUMBER(INDEX(Backlog!$R$2:$R$180,MATCH($D13,Backlog!$A$2:$A$180,0))),INDEX(Backlog!$R$2:$R$180,MATCH($D13,Backlog!$A$2:$A$180,0)),"")</x:f>
        <x:v>0</x:v>
      </x:c>
      <x:c r="I13" s="206" t="str">
        <x:f>IF(INDEX(Backlog!$M$2:$M$180,MATCH($D13,Backlog!$A$2:$A$180,0))="","",INDEX(Backlog!$M$2:$M$180,MATCH($D13,Backlog!$A$2:$A$180,0)))</x:f>
      </x:c>
      <x:c r="J13" s="206" t="str">
        <x:f>IF(INDEX(Backlog!$T$2:$T$180,MATCH($D13,Backlog!$A$2:$A$180,0))="","",INDEX(Backlog!$T$2:$T$180,MATCH($D13,Backlog!$A$2:$A$180,0)))</x:f>
        <x:v>Closed — do not reopen without contradictory regression evidence.</x:v>
      </x:c>
      <x:c r="K13" s="206" t="str">
        <x:f>IF(INDEX(Backlog!$U$2:$U$180,MATCH($D13,Backlog!$A$2:$A$180,0))="","",INDEX(Backlog!$U$2:$U$180,MATCH($D13,Backlog!$A$2:$A$180,0)))</x:f>
        <x:v>No active lock.</x:v>
      </x:c>
      <x:c r="L13" s="206" t="str">
        <x:f>IF(INDEX(Backlog!$V$2:$V$180,MATCH($D13,Backlog!$A$2:$A$180,0))="","",INDEX(Backlog!$V$2:$V$180,MATCH($D13,Backlog!$A$2:$A$180,0)))</x:f>
        <x:v>None — preserve evidence.</x:v>
      </x:c>
      <x:c r="M13" s="194" t="str">
        <x:f>IF(INDEX(Backlog!$AO$2:$AO$180,MATCH($D13,Backlog!$A$2:$A$180,0))="","",INDEX(Backlog!$AO$2:$AO$180,MATCH($D13,Backlog!$A$2:$A$180,0)))</x:f>
        <x:v>Recorded closed — inherited evidence</x:v>
      </x:c>
      <x:c r="N13" s="194" t="str">
        <x:f>IF(INDEX(Backlog!$AN$2:$AN$180,MATCH($D13,Backlog!$A$2:$A$180,0))="","",INDEX(Backlog!$AN$2:$AN$180,MATCH($D13,Backlog!$A$2:$A$180,0)))</x:f>
      </x:c>
    </x:row>
    <x:row r="14" ht="26" customHeight="1">
      <x:c r="A14" s="206" t="str">
        <x:f>IF(INDEX(Backlog!$L$2:$L$180,MATCH($D14,Backlog!$A$2:$A$180,0))="","",INDEX(Backlog!$L$2:$L$180,MATCH($D14,Backlog!$A$2:$A$180,0)))</x:f>
        <x:v>CLOSED</x:v>
      </x:c>
      <x:c r="B14" s="206" t="str">
        <x:f>IF(INDEX(Backlog!$B$2:$B$180,MATCH($D14,Backlog!$A$2:$A$180,0))="","",INDEX(Backlog!$B$2:$B$180,MATCH($D14,Backlog!$A$2:$A$180,0)))</x:f>
        <x:v>M2</x:v>
      </x:c>
      <x:c r="C14" s="206" t="str">
        <x:f>IF(INDEX(Backlog!$C$2:$C$180,MATCH($D14,Backlog!$A$2:$A$180,0))="","",INDEX(Backlog!$C$2:$C$180,MATCH($D14,Backlog!$A$2:$A$180,0)))</x:f>
        <x:v>P4</x:v>
      </x:c>
      <x:c r="D14" s="206" t="str">
        <x:v>T-178</x:v>
      </x:c>
      <x:c r="E14" s="206" t="str">
        <x:f>IF(INDEX(Backlog!$D$2:$D$180,MATCH($D14,Backlog!$A$2:$A$180,0))="","",INDEX(Backlog!$D$2:$D$180,MATCH($D14,Backlog!$A$2:$A$180,0)))</x:f>
        <x:v>Pure remediation eligibility and can_accept decision kernel</x:v>
      </x:c>
      <x:c r="F14" s="206" t="str">
        <x:f>IF(INDEX(Backlog!$K$2:$K$180,MATCH($D14,Backlog!$A$2:$A$180,0))="","",INDEX(Backlog!$K$2:$K$180,MATCH($D14,Backlog!$A$2:$A$180,0)))</x:f>
        <x:v>Done</x:v>
      </x:c>
      <x:c r="G14" s="206" t="n">
        <x:f>IF(ISNUMBER(INDEX(Backlog!$J$2:$J$180,MATCH($D14,Backlog!$A$2:$A$180,0))),INDEX(Backlog!$J$2:$J$180,MATCH($D14,Backlog!$A$2:$A$180,0)),"")</x:f>
        <x:v>8</x:v>
      </x:c>
      <x:c r="H14" s="206" t="n">
        <x:f>IF(ISNUMBER(INDEX(Backlog!$R$2:$R$180,MATCH($D14,Backlog!$A$2:$A$180,0))),INDEX(Backlog!$R$2:$R$180,MATCH($D14,Backlog!$A$2:$A$180,0)),"")</x:f>
        <x:v>0</x:v>
      </x:c>
      <x:c r="I14" s="206" t="str">
        <x:f>IF(INDEX(Backlog!$M$2:$M$180,MATCH($D14,Backlog!$A$2:$A$180,0))="","",INDEX(Backlog!$M$2:$M$180,MATCH($D14,Backlog!$A$2:$A$180,0)))</x:f>
      </x:c>
      <x:c r="J14" s="206" t="str">
        <x:f>IF(INDEX(Backlog!$T$2:$T$180,MATCH($D14,Backlog!$A$2:$A$180,0))="","",INDEX(Backlog!$T$2:$T$180,MATCH($D14,Backlog!$A$2:$A$180,0)))</x:f>
        <x:v>Closed — do not reopen without contradictory regression evidence.</x:v>
      </x:c>
      <x:c r="K14" s="206" t="str">
        <x:f>IF(INDEX(Backlog!$U$2:$U$180,MATCH($D14,Backlog!$A$2:$A$180,0))="","",INDEX(Backlog!$U$2:$U$180,MATCH($D14,Backlog!$A$2:$A$180,0)))</x:f>
        <x:v>No active lock.</x:v>
      </x:c>
      <x:c r="L14" s="206" t="str">
        <x:f>IF(INDEX(Backlog!$V$2:$V$180,MATCH($D14,Backlog!$A$2:$A$180,0))="","",INDEX(Backlog!$V$2:$V$180,MATCH($D14,Backlog!$A$2:$A$180,0)))</x:f>
        <x:v>None — preserve evidence.</x:v>
      </x:c>
      <x:c r="M14" s="194" t="str">
        <x:f>IF(INDEX(Backlog!$AO$2:$AO$180,MATCH($D14,Backlog!$A$2:$A$180,0))="","",INDEX(Backlog!$AO$2:$AO$180,MATCH($D14,Backlog!$A$2:$A$180,0)))</x:f>
        <x:v>Recorded closed — inherited evidence</x:v>
      </x:c>
      <x:c r="N14" s="194" t="str">
        <x:f>IF(INDEX(Backlog!$AN$2:$AN$180,MATCH($D14,Backlog!$A$2:$A$180,0))="","",INDEX(Backlog!$AN$2:$AN$180,MATCH($D14,Backlog!$A$2:$A$180,0)))</x:f>
      </x:c>
    </x:row>
    <x:row r="15" ht="26" customHeight="1">
      <x:c r="A15" s="206" t="str">
        <x:f>IF(INDEX(Backlog!$L$2:$L$180,MATCH($D15,Backlog!$A$2:$A$180,0))="","",INDEX(Backlog!$L$2:$L$180,MATCH($D15,Backlog!$A$2:$A$180,0)))</x:f>
        <x:v>CLOSED</x:v>
      </x:c>
      <x:c r="B15" s="206" t="str">
        <x:f>IF(INDEX(Backlog!$B$2:$B$180,MATCH($D15,Backlog!$A$2:$A$180,0))="","",INDEX(Backlog!$B$2:$B$180,MATCH($D15,Backlog!$A$2:$A$180,0)))</x:f>
        <x:v>M2</x:v>
      </x:c>
      <x:c r="C15" s="206" t="str">
        <x:f>IF(INDEX(Backlog!$C$2:$C$180,MATCH($D15,Backlog!$A$2:$A$180,0))="","",INDEX(Backlog!$C$2:$C$180,MATCH($D15,Backlog!$A$2:$A$180,0)))</x:f>
        <x:v>P4</x:v>
      </x:c>
      <x:c r="D15" s="206" t="str">
        <x:v>T-179</x:v>
      </x:c>
      <x:c r="E15" s="206" t="str">
        <x:f>IF(INDEX(Backlog!$D$2:$D$180,MATCH($D15,Backlog!$A$2:$A$180,0))="","",INDEX(Backlog!$D$2:$D$180,MATCH($D15,Backlog!$A$2:$A$180,0)))</x:f>
        <x:v>Deterministic Assistant tool planner</x:v>
      </x:c>
      <x:c r="F15" s="206" t="str">
        <x:f>IF(INDEX(Backlog!$K$2:$K$180,MATCH($D15,Backlog!$A$2:$A$180,0))="","",INDEX(Backlog!$K$2:$K$180,MATCH($D15,Backlog!$A$2:$A$180,0)))</x:f>
        <x:v>Done</x:v>
      </x:c>
      <x:c r="G15" s="206" t="n">
        <x:f>IF(ISNUMBER(INDEX(Backlog!$J$2:$J$180,MATCH($D15,Backlog!$A$2:$A$180,0))),INDEX(Backlog!$J$2:$J$180,MATCH($D15,Backlog!$A$2:$A$180,0)),"")</x:f>
        <x:v>10</x:v>
      </x:c>
      <x:c r="H15" s="206" t="n">
        <x:f>IF(ISNUMBER(INDEX(Backlog!$R$2:$R$180,MATCH($D15,Backlog!$A$2:$A$180,0))),INDEX(Backlog!$R$2:$R$180,MATCH($D15,Backlog!$A$2:$A$180,0)),"")</x:f>
        <x:v>0</x:v>
      </x:c>
      <x:c r="I15" s="206" t="str">
        <x:f>IF(INDEX(Backlog!$M$2:$M$180,MATCH($D15,Backlog!$A$2:$A$180,0))="","",INDEX(Backlog!$M$2:$M$180,MATCH($D15,Backlog!$A$2:$A$180,0)))</x:f>
      </x:c>
      <x:c r="J15" s="206" t="str">
        <x:f>IF(INDEX(Backlog!$T$2:$T$180,MATCH($D15,Backlog!$A$2:$A$180,0))="","",INDEX(Backlog!$T$2:$T$180,MATCH($D15,Backlog!$A$2:$A$180,0)))</x:f>
        <x:v>Closed — do not reopen without contradictory regression evidence.</x:v>
      </x:c>
      <x:c r="K15" s="206" t="str">
        <x:f>IF(INDEX(Backlog!$U$2:$U$180,MATCH($D15,Backlog!$A$2:$A$180,0))="","",INDEX(Backlog!$U$2:$U$180,MATCH($D15,Backlog!$A$2:$A$180,0)))</x:f>
        <x:v>No active lock.</x:v>
      </x:c>
      <x:c r="L15" s="206" t="str">
        <x:f>IF(INDEX(Backlog!$V$2:$V$180,MATCH($D15,Backlog!$A$2:$A$180,0))="","",INDEX(Backlog!$V$2:$V$180,MATCH($D15,Backlog!$A$2:$A$180,0)))</x:f>
        <x:v>None — preserve evidence.</x:v>
      </x:c>
      <x:c r="M15" s="194" t="str">
        <x:f>IF(INDEX(Backlog!$AO$2:$AO$180,MATCH($D15,Backlog!$A$2:$A$180,0))="","",INDEX(Backlog!$AO$2:$AO$180,MATCH($D15,Backlog!$A$2:$A$180,0)))</x:f>
        <x:v>Recorded closed — inherited evidence</x:v>
      </x:c>
      <x:c r="N15" s="194" t="str">
        <x:f>IF(INDEX(Backlog!$AN$2:$AN$180,MATCH($D15,Backlog!$A$2:$A$180,0))="","",INDEX(Backlog!$AN$2:$AN$180,MATCH($D15,Backlog!$A$2:$A$180,0)))</x:f>
      </x:c>
    </x:row>
    <x:row r="16" ht="26" customHeight="1">
      <x:c r="A16" s="206" t="str">
        <x:f>IF(INDEX(Backlog!$L$2:$L$180,MATCH($D16,Backlog!$A$2:$A$180,0))="","",INDEX(Backlog!$L$2:$L$180,MATCH($D16,Backlog!$A$2:$A$180,0)))</x:f>
        <x:v>CLOSED</x:v>
      </x:c>
      <x:c r="B16" s="206" t="str">
        <x:f>IF(INDEX(Backlog!$B$2:$B$180,MATCH($D16,Backlog!$A$2:$A$180,0))="","",INDEX(Backlog!$B$2:$B$180,MATCH($D16,Backlog!$A$2:$A$180,0)))</x:f>
        <x:v>M2</x:v>
      </x:c>
      <x:c r="C16" s="206" t="str">
        <x:f>IF(INDEX(Backlog!$C$2:$C$180,MATCH($D16,Backlog!$A$2:$A$180,0))="","",INDEX(Backlog!$C$2:$C$180,MATCH($D16,Backlog!$A$2:$A$180,0)))</x:f>
        <x:v>P4</x:v>
      </x:c>
      <x:c r="D16" s="206" t="str">
        <x:v>T-180</x:v>
      </x:c>
      <x:c r="E16" s="206" t="str">
        <x:f>IF(INDEX(Backlog!$D$2:$D$180,MATCH($D16,Backlog!$A$2:$A$180,0))="","",INDEX(Backlog!$D$2:$D$180,MATCH($D16,Backlog!$A$2:$A$180,0)))</x:f>
        <x:v>Permission-first hybrid retrieval and evidence packer</x:v>
      </x:c>
      <x:c r="F16" s="206" t="str">
        <x:f>IF(INDEX(Backlog!$K$2:$K$180,MATCH($D16,Backlog!$A$2:$A$180,0))="","",INDEX(Backlog!$K$2:$K$180,MATCH($D16,Backlog!$A$2:$A$180,0)))</x:f>
        <x:v>Done</x:v>
      </x:c>
      <x:c r="G16" s="206" t="n">
        <x:f>IF(ISNUMBER(INDEX(Backlog!$J$2:$J$180,MATCH($D16,Backlog!$A$2:$A$180,0))),INDEX(Backlog!$J$2:$J$180,MATCH($D16,Backlog!$A$2:$A$180,0)),"")</x:f>
        <x:v>12</x:v>
      </x:c>
      <x:c r="H16" s="206" t="n">
        <x:f>IF(ISNUMBER(INDEX(Backlog!$R$2:$R$180,MATCH($D16,Backlog!$A$2:$A$180,0))),INDEX(Backlog!$R$2:$R$180,MATCH($D16,Backlog!$A$2:$A$180,0)),"")</x:f>
        <x:v>0</x:v>
      </x:c>
      <x:c r="I16" s="206" t="str">
        <x:f>IF(INDEX(Backlog!$M$2:$M$180,MATCH($D16,Backlog!$A$2:$A$180,0))="","",INDEX(Backlog!$M$2:$M$180,MATCH($D16,Backlog!$A$2:$A$180,0)))</x:f>
      </x:c>
      <x:c r="J16" s="206" t="str">
        <x:f>IF(INDEX(Backlog!$T$2:$T$180,MATCH($D16,Backlog!$A$2:$A$180,0))="","",INDEX(Backlog!$T$2:$T$180,MATCH($D16,Backlog!$A$2:$A$180,0)))</x:f>
        <x:v>Closed — do not reopen without contradictory regression evidence.</x:v>
      </x:c>
      <x:c r="K16" s="206" t="str">
        <x:f>IF(INDEX(Backlog!$U$2:$U$180,MATCH($D16,Backlog!$A$2:$A$180,0))="","",INDEX(Backlog!$U$2:$U$180,MATCH($D16,Backlog!$A$2:$A$180,0)))</x:f>
        <x:v>No active lock.</x:v>
      </x:c>
      <x:c r="L16" s="206" t="str">
        <x:f>IF(INDEX(Backlog!$V$2:$V$180,MATCH($D16,Backlog!$A$2:$A$180,0))="","",INDEX(Backlog!$V$2:$V$180,MATCH($D16,Backlog!$A$2:$A$180,0)))</x:f>
        <x:v>None — preserve evidence.</x:v>
      </x:c>
      <x:c r="M16" s="194" t="str">
        <x:f>IF(INDEX(Backlog!$AO$2:$AO$180,MATCH($D16,Backlog!$A$2:$A$180,0))="","",INDEX(Backlog!$AO$2:$AO$180,MATCH($D16,Backlog!$A$2:$A$180,0)))</x:f>
        <x:v>Recorded closed — inherited evidence</x:v>
      </x:c>
      <x:c r="N16" s="194" t="str">
        <x:f>IF(INDEX(Backlog!$AN$2:$AN$180,MATCH($D16,Backlog!$A$2:$A$180,0))="","",INDEX(Backlog!$AN$2:$AN$180,MATCH($D16,Backlog!$A$2:$A$180,0)))</x:f>
      </x:c>
    </x:row>
    <x:row r="17" ht="26" customHeight="1">
      <x:c r="A17" s="206" t="str">
        <x:f>IF(INDEX(Backlog!$L$2:$L$180,MATCH($D17,Backlog!$A$2:$A$180,0))="","",INDEX(Backlog!$L$2:$L$180,MATCH($D17,Backlog!$A$2:$A$180,0)))</x:f>
        <x:v>CLOSED</x:v>
      </x:c>
      <x:c r="B17" s="206" t="str">
        <x:f>IF(INDEX(Backlog!$B$2:$B$180,MATCH($D17,Backlog!$A$2:$A$180,0))="","",INDEX(Backlog!$B$2:$B$180,MATCH($D17,Backlog!$A$2:$A$180,0)))</x:f>
        <x:v>M2</x:v>
      </x:c>
      <x:c r="C17" s="206" t="str">
        <x:f>IF(INDEX(Backlog!$C$2:$C$180,MATCH($D17,Backlog!$A$2:$A$180,0))="","",INDEX(Backlog!$C$2:$C$180,MATCH($D17,Backlog!$A$2:$A$180,0)))</x:f>
        <x:v>P4</x:v>
      </x:c>
      <x:c r="D17" s="206" t="str">
        <x:v>T-181</x:v>
      </x:c>
      <x:c r="E17" s="206" t="str">
        <x:f>IF(INDEX(Backlog!$D$2:$D$180,MATCH($D17,Backlog!$A$2:$A$180,0))="","",INDEX(Backlog!$D$2:$D$180,MATCH($D17,Backlog!$A$2:$A$180,0)))</x:f>
        <x:v>Deterministic answer verifier and Q-01..Q-11 evaluation harness</x:v>
      </x:c>
      <x:c r="F17" s="206" t="str">
        <x:f>IF(INDEX(Backlog!$K$2:$K$180,MATCH($D17,Backlog!$A$2:$A$180,0))="","",INDEX(Backlog!$K$2:$K$180,MATCH($D17,Backlog!$A$2:$A$180,0)))</x:f>
        <x:v>Done</x:v>
      </x:c>
      <x:c r="G17" s="206" t="n">
        <x:f>IF(ISNUMBER(INDEX(Backlog!$J$2:$J$180,MATCH($D17,Backlog!$A$2:$A$180,0))),INDEX(Backlog!$J$2:$J$180,MATCH($D17,Backlog!$A$2:$A$180,0)),"")</x:f>
        <x:v>12</x:v>
      </x:c>
      <x:c r="H17" s="206" t="n">
        <x:f>IF(ISNUMBER(INDEX(Backlog!$R$2:$R$180,MATCH($D17,Backlog!$A$2:$A$180,0))),INDEX(Backlog!$R$2:$R$180,MATCH($D17,Backlog!$A$2:$A$180,0)),"")</x:f>
        <x:v>0</x:v>
      </x:c>
      <x:c r="I17" s="206" t="str">
        <x:f>IF(INDEX(Backlog!$M$2:$M$180,MATCH($D17,Backlog!$A$2:$A$180,0))="","",INDEX(Backlog!$M$2:$M$180,MATCH($D17,Backlog!$A$2:$A$180,0)))</x:f>
      </x:c>
      <x:c r="J17" s="206" t="str">
        <x:f>IF(INDEX(Backlog!$T$2:$T$180,MATCH($D17,Backlog!$A$2:$A$180,0))="","",INDEX(Backlog!$T$2:$T$180,MATCH($D17,Backlog!$A$2:$A$180,0)))</x:f>
        <x:v>Closed — do not reopen without contradictory regression evidence.</x:v>
      </x:c>
      <x:c r="K17" s="206" t="str">
        <x:f>IF(INDEX(Backlog!$U$2:$U$180,MATCH($D17,Backlog!$A$2:$A$180,0))="","",INDEX(Backlog!$U$2:$U$180,MATCH($D17,Backlog!$A$2:$A$180,0)))</x:f>
        <x:v>No active lock.</x:v>
      </x:c>
      <x:c r="L17" s="206" t="str">
        <x:f>IF(INDEX(Backlog!$V$2:$V$180,MATCH($D17,Backlog!$A$2:$A$180,0))="","",INDEX(Backlog!$V$2:$V$180,MATCH($D17,Backlog!$A$2:$A$180,0)))</x:f>
        <x:v>None — preserve evidence.</x:v>
      </x:c>
      <x:c r="M17" s="194" t="str">
        <x:f>IF(INDEX(Backlog!$AO$2:$AO$180,MATCH($D17,Backlog!$A$2:$A$180,0))="","",INDEX(Backlog!$AO$2:$AO$180,MATCH($D17,Backlog!$A$2:$A$180,0)))</x:f>
        <x:v>Recorded closed — inherited evidence</x:v>
      </x:c>
      <x:c r="N17" s="194" t="str">
        <x:f>IF(INDEX(Backlog!$AN$2:$AN$180,MATCH($D17,Backlog!$A$2:$A$180,0))="","",INDEX(Backlog!$AN$2:$AN$180,MATCH($D17,Backlog!$A$2:$A$180,0)))</x:f>
      </x:c>
    </x:row>
    <x:row r="18" ht="26" customHeight="1">
      <x:c r="A18" s="206" t="str">
        <x:f>IF(INDEX(Backlog!$L$2:$L$180,MATCH($D18,Backlog!$A$2:$A$180,0))="","",INDEX(Backlog!$L$2:$L$180,MATCH($D18,Backlog!$A$2:$A$180,0)))</x:f>
        <x:v>CLOSED</x:v>
      </x:c>
      <x:c r="B18" s="206" t="str">
        <x:f>IF(INDEX(Backlog!$B$2:$B$180,MATCH($D18,Backlog!$A$2:$A$180,0))="","",INDEX(Backlog!$B$2:$B$180,MATCH($D18,Backlog!$A$2:$A$180,0)))</x:f>
        <x:v>M2</x:v>
      </x:c>
      <x:c r="C18" s="206" t="str">
        <x:f>IF(INDEX(Backlog!$C$2:$C$180,MATCH($D18,Backlog!$A$2:$A$180,0))="","",INDEX(Backlog!$C$2:$C$180,MATCH($D18,Backlog!$A$2:$A$180,0)))</x:f>
        <x:v>P4</x:v>
      </x:c>
      <x:c r="D18" s="206" t="str">
        <x:v>T-182</x:v>
      </x:c>
      <x:c r="E18" s="206" t="str">
        <x:f>IF(INDEX(Backlog!$D$2:$D$180,MATCH($D18,Backlog!$A$2:$A$180,0))="","",INDEX(Backlog!$D$2:$D$180,MATCH($D18,Backlog!$A$2:$A$180,0)))</x:f>
        <x:v>Benchmark harness and result manifest for B-01..B-09</x:v>
      </x:c>
      <x:c r="F18" s="206" t="str">
        <x:f>IF(INDEX(Backlog!$K$2:$K$180,MATCH($D18,Backlog!$A$2:$A$180,0))="","",INDEX(Backlog!$K$2:$K$180,MATCH($D18,Backlog!$A$2:$A$180,0)))</x:f>
        <x:v>Done</x:v>
      </x:c>
      <x:c r="G18" s="206" t="n">
        <x:f>IF(ISNUMBER(INDEX(Backlog!$J$2:$J$180,MATCH($D18,Backlog!$A$2:$A$180,0))),INDEX(Backlog!$J$2:$J$180,MATCH($D18,Backlog!$A$2:$A$180,0)),"")</x:f>
        <x:v>10</x:v>
      </x:c>
      <x:c r="H18" s="206" t="n">
        <x:f>IF(ISNUMBER(INDEX(Backlog!$R$2:$R$180,MATCH($D18,Backlog!$A$2:$A$180,0))),INDEX(Backlog!$R$2:$R$180,MATCH($D18,Backlog!$A$2:$A$180,0)),"")</x:f>
        <x:v>0</x:v>
      </x:c>
      <x:c r="I18" s="206" t="str">
        <x:f>IF(INDEX(Backlog!$M$2:$M$180,MATCH($D18,Backlog!$A$2:$A$180,0))="","",INDEX(Backlog!$M$2:$M$180,MATCH($D18,Backlog!$A$2:$A$180,0)))</x:f>
      </x:c>
      <x:c r="J18" s="206" t="str">
        <x:f>IF(INDEX(Backlog!$T$2:$T$180,MATCH($D18,Backlog!$A$2:$A$180,0))="","",INDEX(Backlog!$T$2:$T$180,MATCH($D18,Backlog!$A$2:$A$180,0)))</x:f>
        <x:v>Closed — do not reopen without contradictory regression evidence.</x:v>
      </x:c>
      <x:c r="K18" s="206" t="str">
        <x:f>IF(INDEX(Backlog!$U$2:$U$180,MATCH($D18,Backlog!$A$2:$A$180,0))="","",INDEX(Backlog!$U$2:$U$180,MATCH($D18,Backlog!$A$2:$A$180,0)))</x:f>
        <x:v>No active lock.</x:v>
      </x:c>
      <x:c r="L18" s="206" t="str">
        <x:f>IF(INDEX(Backlog!$V$2:$V$180,MATCH($D18,Backlog!$A$2:$A$180,0))="","",INDEX(Backlog!$V$2:$V$180,MATCH($D18,Backlog!$A$2:$A$180,0)))</x:f>
        <x:v>None — preserve evidence.</x:v>
      </x:c>
      <x:c r="M18" s="194" t="str">
        <x:f>IF(INDEX(Backlog!$AO$2:$AO$180,MATCH($D18,Backlog!$A$2:$A$180,0))="","",INDEX(Backlog!$AO$2:$AO$180,MATCH($D18,Backlog!$A$2:$A$180,0)))</x:f>
        <x:v>Recorded closed — inherited evidence</x:v>
      </x:c>
      <x:c r="N18" s="194" t="str">
        <x:f>IF(INDEX(Backlog!$AN$2:$AN$180,MATCH($D18,Backlog!$A$2:$A$180,0))="","",INDEX(Backlog!$AN$2:$AN$180,MATCH($D18,Backlog!$A$2:$A$180,0)))</x:f>
      </x:c>
    </x:row>
    <x:row r="19" ht="26" customHeight="1">
      <x:c r="A19" s="206" t="str">
        <x:f>IF(INDEX(Backlog!$L$2:$L$180,MATCH($D19,Backlog!$A$2:$A$180,0))="","",INDEX(Backlog!$L$2:$L$180,MATCH($D19,Backlog!$A$2:$A$180,0)))</x:f>
        <x:v>Worker 1</x:v>
      </x:c>
      <x:c r="B19" s="206" t="str">
        <x:f>IF(INDEX(Backlog!$B$2:$B$180,MATCH($D19,Backlog!$A$2:$A$180,0))="","",INDEX(Backlog!$B$2:$B$180,MATCH($D19,Backlog!$A$2:$A$180,0)))</x:f>
        <x:v>M2</x:v>
      </x:c>
      <x:c r="C19" s="206" t="str">
        <x:f>IF(INDEX(Backlog!$C$2:$C$180,MATCH($D19,Backlog!$A$2:$A$180,0))="","",INDEX(Backlog!$C$2:$C$180,MATCH($D19,Backlog!$A$2:$A$180,0)))</x:f>
        <x:v>P1</x:v>
      </x:c>
      <x:c r="D19" s="206" t="str">
        <x:v>T-086</x:v>
      </x:c>
      <x:c r="E19" s="206" t="str">
        <x:f>IF(INDEX(Backlog!$D$2:$D$180,MATCH($D19,Backlog!$A$2:$A$180,0))="","",INDEX(Backlog!$D$2:$D$180,MATCH($D19,Backlog!$A$2:$A$180,0)))</x:f>
        <x:v>Freeze the legacy Fleet v2 controlled regression oracle</x:v>
      </x:c>
      <x:c r="F19" s="206" t="str">
        <x:f>IF(INDEX(Backlog!$K$2:$K$180,MATCH($D19,Backlog!$A$2:$A$180,0))="","",INDEX(Backlog!$K$2:$K$180,MATCH($D19,Backlog!$A$2:$A$180,0)))</x:f>
        <x:v>Done</x:v>
      </x:c>
      <x:c r="G19" s="206" t="n">
        <x:f>IF(ISNUMBER(INDEX(Backlog!$J$2:$J$180,MATCH($D19,Backlog!$A$2:$A$180,0))),INDEX(Backlog!$J$2:$J$180,MATCH($D19,Backlog!$A$2:$A$180,0)),"")</x:f>
        <x:v>8</x:v>
      </x:c>
      <x:c r="H19" s="206" t="n">
        <x:f>IF(ISNUMBER(INDEX(Backlog!$R$2:$R$180,MATCH($D19,Backlog!$A$2:$A$180,0))),INDEX(Backlog!$R$2:$R$180,MATCH($D19,Backlog!$A$2:$A$180,0)),"")</x:f>
        <x:v>2.72</x:v>
      </x:c>
      <x:c r="I19" s="206" t="str">
        <x:f>IF(INDEX(Backlog!$M$2:$M$180,MATCH($D19,Backlog!$A$2:$A$180,0))="","",INDEX(Backlog!$M$2:$M$180,MATCH($D19,Backlog!$A$2:$A$180,0)))</x:f>
        <x:v>T-201</x:v>
      </x:c>
      <x:c r="J19" s="206" t="str">
        <x:f>IF(INDEX(Backlog!$T$2:$T$180,MATCH($D19,Backlog!$A$2:$A$180,0))="","",INDEX(Backlog!$T$2:$T$180,MATCH($D19,Backlog!$A$2:$A$180,0)))</x:f>
        <x:v>WAIT for Presentation RC freeze/tag + clean index/worktree. Then: Release 1 dependency order</x:v>
      </x:c>
      <x:c r="K19" s="206" t="str">
        <x:f>IF(INDEX(Backlog!$U$2:$U$180,MATCH($D19,Backlog!$A$2:$A$180,0))="","",INDEX(Backlog!$U$2:$U$180,MATCH($D19,Backlog!$A$2:$A$180,0)))</x:f>
        <x:v>Own canonical DB/backend/security/API/infra. No W2-owned UI/admin task files and no W3 ML/Assistant runtime.</x:v>
      </x:c>
      <x:c r="L19" s="206" t="str">
        <x:f>IF(INDEX(Backlog!$V$2:$V$180,MATCH($D19,Backlog!$A$2:$A$180,0))="","",INDEX(Backlog!$V$2:$V$180,MATCH($D19,Backlog!$A$2:$A$180,0)))</x:f>
        <x:v>Commit before downstream consumer starts; consumer must use the contract, not redesign producer-owned semantics.</x:v>
      </x:c>
      <x:c r="M19" s="194" t="str">
        <x:f>IF(INDEX(Backlog!$AO$2:$AO$180,MATCH($D19,Backlog!$A$2:$A$180,0))="","",INDEX(Backlog!$AO$2:$AO$180,MATCH($D19,Backlog!$A$2:$A$180,0)))</x:f>
        <x:v>Recorded closed — inherited evidence</x:v>
      </x:c>
      <x:c r="N19" s="194" t="str">
        <x:f>IF(INDEX(Backlog!$AN$2:$AN$180,MATCH($D19,Backlog!$A$2:$A$180,0))="","",INDEX(Backlog!$AN$2:$AN$180,MATCH($D19,Backlog!$A$2:$A$180,0)))</x:f>
      </x:c>
    </x:row>
    <x:row r="20" ht="26" customHeight="1">
      <x:c r="A20" s="206" t="str">
        <x:f>IF(INDEX(Backlog!$L$2:$L$180,MATCH($D20,Backlog!$A$2:$A$180,0))="","",INDEX(Backlog!$L$2:$L$180,MATCH($D20,Backlog!$A$2:$A$180,0)))</x:f>
        <x:v>Worker 1</x:v>
      </x:c>
      <x:c r="B20" s="206" t="str">
        <x:f>IF(INDEX(Backlog!$B$2:$B$180,MATCH($D20,Backlog!$A$2:$A$180,0))="","",INDEX(Backlog!$B$2:$B$180,MATCH($D20,Backlog!$A$2:$A$180,0)))</x:f>
        <x:v>M2</x:v>
      </x:c>
      <x:c r="C20" s="206" t="str">
        <x:f>IF(INDEX(Backlog!$C$2:$C$180,MATCH($D20,Backlog!$A$2:$A$180,0))="","",INDEX(Backlog!$C$2:$C$180,MATCH($D20,Backlog!$A$2:$A$180,0)))</x:f>
        <x:v>P1</x:v>
      </x:c>
      <x:c r="D20" s="206" t="str">
        <x:v>T-087</x:v>
      </x:c>
      <x:c r="E20" s="206" t="str">
        <x:f>IF(INDEX(Backlog!$D$2:$D$180,MATCH($D20,Backlog!$A$2:$A$180,0))="","",INDEX(Backlog!$D$2:$D$180,MATCH($D20,Backlog!$A$2:$A$180,0)))</x:f>
        <x:v>Physical three-schema migration</x:v>
      </x:c>
      <x:c r="F20" s="206" t="str">
        <x:f>IF(INDEX(Backlog!$K$2:$K$180,MATCH($D20,Backlog!$A$2:$A$180,0))="","",INDEX(Backlog!$K$2:$K$180,MATCH($D20,Backlog!$A$2:$A$180,0)))</x:f>
        <x:v>Done</x:v>
      </x:c>
      <x:c r="G20" s="206" t="n">
        <x:f>IF(ISNUMBER(INDEX(Backlog!$J$2:$J$180,MATCH($D20,Backlog!$A$2:$A$180,0))),INDEX(Backlog!$J$2:$J$180,MATCH($D20,Backlog!$A$2:$A$180,0)),"")</x:f>
        <x:v>12</x:v>
      </x:c>
      <x:c r="H20" s="206" t="n">
        <x:f>IF(ISNUMBER(INDEX(Backlog!$R$2:$R$180,MATCH($D20,Backlog!$A$2:$A$180,0))),INDEX(Backlog!$R$2:$R$180,MATCH($D20,Backlog!$A$2:$A$180,0)),"")</x:f>
        <x:v>2.325</x:v>
      </x:c>
      <x:c r="I20" s="206" t="str">
        <x:f>IF(INDEX(Backlog!$M$2:$M$180,MATCH($D20,Backlog!$A$2:$A$180,0))="","",INDEX(Backlog!$M$2:$M$180,MATCH($D20,Backlog!$A$2:$A$180,0)))</x:f>
        <x:v>T-086; T-088</x:v>
      </x:c>
      <x:c r="J20" s="206" t="str">
        <x:f>IF(INDEX(Backlog!$T$2:$T$180,MATCH($D20,Backlog!$A$2:$A$180,0))="","",INDEX(Backlog!$T$2:$T$180,MATCH($D20,Backlog!$A$2:$A$180,0)))</x:f>
        <x:v>WAIT for Presentation RC freeze/tag + clean index/worktree. Then: T-086 + T-088 canonical migration order/runner/truth gate established FIRST.</x:v>
      </x:c>
      <x:c r="K20" s="206" t="str">
        <x:f>IF(INDEX(Backlog!$U$2:$U$180,MATCH($D20,Backlog!$A$2:$A$180,0))="","",INDEX(Backlog!$U$2:$U$180,MATCH($D20,Backlog!$A$2:$A$180,0)))</x:f>
        <x:v>Own canonical DB/backend/security/API/infra. No W2-owned UI/admin task files and no W3 ML/Assistant runtime.</x:v>
      </x:c>
      <x:c r="L20" s="206" t="str">
        <x:f>IF(INDEX(Backlog!$V$2:$V$180,MATCH($D20,Backlog!$A$2:$A$180,0))="","",INDEX(Backlog!$V$2:$V$180,MATCH($D20,Backlog!$A$2:$A$180,0)))</x:f>
        <x:v>Commit before downstream consumer starts; consumer must use the contract, not redesign producer-owned semantics.</x:v>
      </x:c>
      <x:c r="M20" s="194" t="str">
        <x:f>IF(INDEX(Backlog!$AO$2:$AO$180,MATCH($D20,Backlog!$A$2:$A$180,0))="","",INDEX(Backlog!$AO$2:$AO$180,MATCH($D20,Backlog!$A$2:$A$180,0)))</x:f>
        <x:v>Recorded closed — inherited evidence</x:v>
      </x:c>
      <x:c r="N20" s="194" t="str">
        <x:f>IF(INDEX(Backlog!$AN$2:$AN$180,MATCH($D20,Backlog!$A$2:$A$180,0))="","",INDEX(Backlog!$AN$2:$AN$180,MATCH($D20,Backlog!$A$2:$A$180,0)))</x:f>
      </x:c>
    </x:row>
    <x:row r="21" ht="26" customHeight="1">
      <x:c r="A21" s="206" t="str">
        <x:f>IF(INDEX(Backlog!$L$2:$L$180,MATCH($D21,Backlog!$A$2:$A$180,0))="","",INDEX(Backlog!$L$2:$L$180,MATCH($D21,Backlog!$A$2:$A$180,0)))</x:f>
        <x:v>Worker 1</x:v>
      </x:c>
      <x:c r="B21" s="206" t="str">
        <x:f>IF(INDEX(Backlog!$B$2:$B$180,MATCH($D21,Backlog!$A$2:$A$180,0))="","",INDEX(Backlog!$B$2:$B$180,MATCH($D21,Backlog!$A$2:$A$180,0)))</x:f>
        <x:v>M2</x:v>
      </x:c>
      <x:c r="C21" s="206" t="str">
        <x:f>IF(INDEX(Backlog!$C$2:$C$180,MATCH($D21,Backlog!$A$2:$A$180,0))="","",INDEX(Backlog!$C$2:$C$180,MATCH($D21,Backlog!$A$2:$A$180,0)))</x:f>
        <x:v>P1</x:v>
      </x:c>
      <x:c r="D21" s="206" t="str">
        <x:v>T-088</x:v>
      </x:c>
      <x:c r="E21" s="206" t="str">
        <x:f>IF(INDEX(Backlog!$D$2:$D$180,MATCH($D21,Backlog!$A$2:$A$180,0))="","",INDEX(Backlog!$D$2:$D$180,MATCH($D21,Backlog!$A$2:$A$180,0)))</x:f>
        <x:v>Canonical migration order and legacy script archival</x:v>
      </x:c>
      <x:c r="F21" s="206" t="str">
        <x:f>IF(INDEX(Backlog!$K$2:$K$180,MATCH($D21,Backlog!$A$2:$A$180,0))="","",INDEX(Backlog!$K$2:$K$180,MATCH($D21,Backlog!$A$2:$A$180,0)))</x:f>
        <x:v>Done</x:v>
      </x:c>
      <x:c r="G21" s="206" t="n">
        <x:f>IF(ISNUMBER(INDEX(Backlog!$J$2:$J$180,MATCH($D21,Backlog!$A$2:$A$180,0))),INDEX(Backlog!$J$2:$J$180,MATCH($D21,Backlog!$A$2:$A$180,0)),"")</x:f>
        <x:v>12</x:v>
      </x:c>
      <x:c r="H21" s="206" t="n">
        <x:f>IF(ISNUMBER(INDEX(Backlog!$R$2:$R$180,MATCH($D21,Backlog!$A$2:$A$180,0))),INDEX(Backlog!$R$2:$R$180,MATCH($D21,Backlog!$A$2:$A$180,0)),"")</x:f>
        <x:v>2.325</x:v>
      </x:c>
      <x:c r="I21" s="206" t="str">
        <x:f>IF(INDEX(Backlog!$M$2:$M$180,MATCH($D21,Backlog!$A$2:$A$180,0))="","",INDEX(Backlog!$M$2:$M$180,MATCH($D21,Backlog!$A$2:$A$180,0)))</x:f>
        <x:v>T-086</x:v>
      </x:c>
      <x:c r="J21" s="206" t="str">
        <x:f>IF(INDEX(Backlog!$T$2:$T$180,MATCH($D21,Backlog!$A$2:$A$180,0))="","",INDEX(Backlog!$T$2:$T$180,MATCH($D21,Backlog!$A$2:$A$180,0)))</x:f>
        <x:v>WAIT for Presentation RC freeze/tag + clean index/worktree. Then: T-086 frozen M2 reference dataset; define canonical migration order before T-...</x:v>
      </x:c>
      <x:c r="K21" s="206" t="str">
        <x:f>IF(INDEX(Backlog!$U$2:$U$180,MATCH($D21,Backlog!$A$2:$A$180,0))="","",INDEX(Backlog!$U$2:$U$180,MATCH($D21,Backlog!$A$2:$A$180,0)))</x:f>
        <x:v>Own canonical DB/backend/security/API/infra. No W2-owned UI/admin task files and no W3 ML/Assistant runtime.</x:v>
      </x:c>
      <x:c r="L21" s="206" t="str">
        <x:f>IF(INDEX(Backlog!$V$2:$V$180,MATCH($D21,Backlog!$A$2:$A$180,0))="","",INDEX(Backlog!$V$2:$V$180,MATCH($D21,Backlog!$A$2:$A$180,0)))</x:f>
        <x:v>Commit before downstream consumer starts; consumer must use the contract, not redesign producer-owned semantics.</x:v>
      </x:c>
      <x:c r="M21" s="194" t="str">
        <x:f>IF(INDEX(Backlog!$AO$2:$AO$180,MATCH($D21,Backlog!$A$2:$A$180,0))="","",INDEX(Backlog!$AO$2:$AO$180,MATCH($D21,Backlog!$A$2:$A$180,0)))</x:f>
        <x:v>Recorded closed — inherited evidence</x:v>
      </x:c>
      <x:c r="N21" s="194" t="str">
        <x:f>IF(INDEX(Backlog!$AN$2:$AN$180,MATCH($D21,Backlog!$A$2:$A$180,0))="","",INDEX(Backlog!$AN$2:$AN$180,MATCH($D21,Backlog!$A$2:$A$180,0)))</x:f>
      </x:c>
    </x:row>
    <x:row r="22" ht="26" customHeight="1">
      <x:c r="A22" s="206" t="str">
        <x:f>IF(INDEX(Backlog!$L$2:$L$180,MATCH($D22,Backlog!$A$2:$A$180,0))="","",INDEX(Backlog!$L$2:$L$180,MATCH($D22,Backlog!$A$2:$A$180,0)))</x:f>
        <x:v>Worker 1</x:v>
      </x:c>
      <x:c r="B22" s="206" t="str">
        <x:f>IF(INDEX(Backlog!$B$2:$B$180,MATCH($D22,Backlog!$A$2:$A$180,0))="","",INDEX(Backlog!$B$2:$B$180,MATCH($D22,Backlog!$A$2:$A$180,0)))</x:f>
        <x:v>M2</x:v>
      </x:c>
      <x:c r="C22" s="206" t="str">
        <x:f>IF(INDEX(Backlog!$C$2:$C$180,MATCH($D22,Backlog!$A$2:$A$180,0))="","",INDEX(Backlog!$C$2:$C$180,MATCH($D22,Backlog!$A$2:$A$180,0)))</x:f>
        <x:v>P1</x:v>
      </x:c>
      <x:c r="D22" s="206" t="str">
        <x:v>T-089</x:v>
      </x:c>
      <x:c r="E22" s="206" t="str">
        <x:f>IF(INDEX(Backlog!$D$2:$D$180,MATCH($D22,Backlog!$A$2:$A$180,0))="","",INDEX(Backlog!$D$2:$D$180,MATCH($D22,Backlog!$A$2:$A$180,0)))</x:f>
        <x:v>definition_store, definition_versions and definition_dependencies</x:v>
      </x:c>
      <x:c r="F22" s="206" t="str">
        <x:f>IF(INDEX(Backlog!$K$2:$K$180,MATCH($D22,Backlog!$A$2:$A$180,0))="","",INDEX(Backlog!$K$2:$K$180,MATCH($D22,Backlog!$A$2:$A$180,0)))</x:f>
        <x:v>Done</x:v>
      </x:c>
      <x:c r="G22" s="206" t="n">
        <x:f>IF(ISNUMBER(INDEX(Backlog!$J$2:$J$180,MATCH($D22,Backlog!$A$2:$A$180,0))),INDEX(Backlog!$J$2:$J$180,MATCH($D22,Backlog!$A$2:$A$180,0)),"")</x:f>
        <x:v>12</x:v>
      </x:c>
      <x:c r="H22" s="206" t="n">
        <x:f>IF(ISNUMBER(INDEX(Backlog!$R$2:$R$180,MATCH($D22,Backlog!$A$2:$A$180,0))),INDEX(Backlog!$R$2:$R$180,MATCH($D22,Backlog!$A$2:$A$180,0)),"")</x:f>
        <x:v>2.325</x:v>
      </x:c>
      <x:c r="I22" s="206" t="str">
        <x:f>IF(INDEX(Backlog!$M$2:$M$180,MATCH($D22,Backlog!$A$2:$A$180,0))="","",INDEX(Backlog!$M$2:$M$180,MATCH($D22,Backlog!$A$2:$A$180,0)))</x:f>
        <x:v>T-087; T-088</x:v>
      </x:c>
      <x:c r="J22" s="206" t="str">
        <x:f>IF(INDEX(Backlog!$T$2:$T$180,MATCH($D22,Backlog!$A$2:$A$180,0))="","",INDEX(Backlog!$T$2:$T$180,MATCH($D22,Backlog!$A$2:$A$180,0)))</x:f>
        <x:v>WAIT for Presentation RC freeze/tag + clean index/worktree. Then: T-087 + T-088 canonical three-schema/migration authority green.</x:v>
      </x:c>
      <x:c r="K22" s="206" t="str">
        <x:f>IF(INDEX(Backlog!$U$2:$U$180,MATCH($D22,Backlog!$A$2:$A$180,0))="","",INDEX(Backlog!$U$2:$U$180,MATCH($D22,Backlog!$A$2:$A$180,0)))</x:f>
        <x:v>Own canonical DB/backend/security/API/infra. No W2-owned UI/admin task files and no W3 ML/Assistant runtime.</x:v>
      </x:c>
      <x:c r="L22" s="206" t="str">
        <x:f>IF(INDEX(Backlog!$V$2:$V$180,MATCH($D22,Backlog!$A$2:$A$180,0))="","",INDEX(Backlog!$V$2:$V$180,MATCH($D22,Backlog!$A$2:$A$180,0)))</x:f>
        <x:v>Commit before downstream consumer starts; consumer must use the contract, not redesign producer-owned semantics.</x:v>
      </x:c>
      <x:c r="M22" s="194" t="str">
        <x:f>IF(INDEX(Backlog!$AO$2:$AO$180,MATCH($D22,Backlog!$A$2:$A$180,0))="","",INDEX(Backlog!$AO$2:$AO$180,MATCH($D22,Backlog!$A$2:$A$180,0)))</x:f>
        <x:v>Recorded closed — inherited evidence</x:v>
      </x:c>
      <x:c r="N22" s="194" t="str">
        <x:f>IF(INDEX(Backlog!$AN$2:$AN$180,MATCH($D22,Backlog!$A$2:$A$180,0))="","",INDEX(Backlog!$AN$2:$AN$180,MATCH($D22,Backlog!$A$2:$A$180,0)))</x:f>
      </x:c>
    </x:row>
    <x:row r="23" ht="26" customHeight="1">
      <x:c r="A23" s="206" t="str">
        <x:f>IF(INDEX(Backlog!$L$2:$L$180,MATCH($D23,Backlog!$A$2:$A$180,0))="","",INDEX(Backlog!$L$2:$L$180,MATCH($D23,Backlog!$A$2:$A$180,0)))</x:f>
        <x:v>Worker 1</x:v>
      </x:c>
      <x:c r="B23" s="206" t="str">
        <x:f>IF(INDEX(Backlog!$B$2:$B$180,MATCH($D23,Backlog!$A$2:$A$180,0))="","",INDEX(Backlog!$B$2:$B$180,MATCH($D23,Backlog!$A$2:$A$180,0)))</x:f>
        <x:v>M2</x:v>
      </x:c>
      <x:c r="C23" s="206" t="str">
        <x:f>IF(INDEX(Backlog!$C$2:$C$180,MATCH($D23,Backlog!$A$2:$A$180,0))="","",INDEX(Backlog!$C$2:$C$180,MATCH($D23,Backlog!$A$2:$A$180,0)))</x:f>
        <x:v>P1</x:v>
      </x:c>
      <x:c r="D23" s="206" t="str">
        <x:v>T-090</x:v>
      </x:c>
      <x:c r="E23" s="206" t="str">
        <x:f>IF(INDEX(Backlog!$D$2:$D$180,MATCH($D23,Backlog!$A$2:$A$180,0))="","",INDEX(Backlog!$D$2:$D$180,MATCH($D23,Backlog!$A$2:$A$180,0)))</x:f>
        <x:v>Move all five definition kinds onto the store</x:v>
      </x:c>
      <x:c r="F23" s="206" t="str">
        <x:f>IF(INDEX(Backlog!$K$2:$K$180,MATCH($D23,Backlog!$A$2:$A$180,0))="","",INDEX(Backlog!$K$2:$K$180,MATCH($D23,Backlog!$A$2:$A$180,0)))</x:f>
        <x:v>Done</x:v>
      </x:c>
      <x:c r="G23" s="206" t="n">
        <x:f>IF(ISNUMBER(INDEX(Backlog!$J$2:$J$180,MATCH($D23,Backlog!$A$2:$A$180,0))),INDEX(Backlog!$J$2:$J$180,MATCH($D23,Backlog!$A$2:$A$180,0)),"")</x:f>
        <x:v>12</x:v>
      </x:c>
      <x:c r="H23" s="206" t="n">
        <x:f>IF(ISNUMBER(INDEX(Backlog!$R$2:$R$180,MATCH($D23,Backlog!$A$2:$A$180,0))),INDEX(Backlog!$R$2:$R$180,MATCH($D23,Backlog!$A$2:$A$180,0)),"")</x:f>
        <x:v>1.7999999999999998</x:v>
      </x:c>
      <x:c r="I23" s="206" t="str">
        <x:f>IF(INDEX(Backlog!$M$2:$M$180,MATCH($D23,Backlog!$A$2:$A$180,0))="","",INDEX(Backlog!$M$2:$M$180,MATCH($D23,Backlog!$A$2:$A$180,0)))</x:f>
        <x:v>T-089</x:v>
      </x:c>
      <x:c r="J23" s="206" t="str">
        <x:f>IF(INDEX(Backlog!$T$2:$T$180,MATCH($D23,Backlog!$A$2:$A$180,0))="","",INDEX(Backlog!$T$2:$T$180,MATCH($D23,Backlog!$A$2:$A$180,0)))</x:f>
        <x:v>IN PROGRESS — T-089 complete. Full T-090 remains one task and one final commit. Worker 1 must deliver one self-contained standard PowerShell apply pack; no scope split and no manual .cs/SQL installation.</x:v>
      </x:c>
      <x:c r="K23" s="206" t="str">
        <x:f>IF(INDEX(Backlog!$U$2:$U$180,MATCH($D23,Backlog!$A$2:$A$180,0))="","",INDEX(Backlog!$U$2:$U$180,MATCH($D23,Backlog!$A$2:$A$180,0)))</x:f>
        <x:v>Own canonical DB/backend/security/API/infra. No W2-owned UI/admin task files and no W3 ML/Assistant runtime.</x:v>
      </x:c>
      <x:c r="L23" s="206" t="str">
        <x:f>IF(INDEX(Backlog!$V$2:$V$180,MATCH($D23,Backlog!$A$2:$A$180,0))="","",INDEX(Backlog!$V$2:$V$180,MATCH($D23,Backlog!$A$2:$A$180,0)))</x:f>
        <x:v>Downstream consumers wait for the committed T-090 authority. Handover/progress notes do not substitute for closure; the pack must apply, build, test, replay and commit on the user machine.</x:v>
      </x:c>
      <x:c r="M23" s="194" t="str">
        <x:f>IF(INDEX(Backlog!$AO$2:$AO$180,MATCH($D23,Backlog!$A$2:$A$180,0))="","",INDEX(Backlog!$AO$2:$AO$180,MATCH($D23,Backlog!$A$2:$A$180,0)))</x:f>
        <x:v>Recorded closed — inherited evidence</x:v>
      </x:c>
      <x:c r="N23" s="194" t="str">
        <x:f>IF(INDEX(Backlog!$AN$2:$AN$180,MATCH($D23,Backlog!$A$2:$A$180,0))="","",INDEX(Backlog!$AN$2:$AN$180,MATCH($D23,Backlog!$A$2:$A$180,0)))</x:f>
      </x:c>
    </x:row>
    <x:row r="24" ht="26" customHeight="1">
      <x:c r="A24" s="206" t="str">
        <x:f>IF(INDEX(Backlog!$L$2:$L$180,MATCH($D24,Backlog!$A$2:$A$180,0))="","",INDEX(Backlog!$L$2:$L$180,MATCH($D24,Backlog!$A$2:$A$180,0)))</x:f>
        <x:v>Worker 1</x:v>
      </x:c>
      <x:c r="B24" s="206" t="str">
        <x:f>IF(INDEX(Backlog!$B$2:$B$180,MATCH($D24,Backlog!$A$2:$A$180,0))="","",INDEX(Backlog!$B$2:$B$180,MATCH($D24,Backlog!$A$2:$A$180,0)))</x:f>
        <x:v>M2</x:v>
      </x:c>
      <x:c r="C24" s="206" t="str">
        <x:f>IF(INDEX(Backlog!$C$2:$C$180,MATCH($D24,Backlog!$A$2:$A$180,0))="","",INDEX(Backlog!$C$2:$C$180,MATCH($D24,Backlog!$A$2:$A$180,0)))</x:f>
        <x:v>P1</x:v>
      </x:c>
      <x:c r="D24" s="206" t="str">
        <x:v>T-091</x:v>
      </x:c>
      <x:c r="E24" s="206" t="str">
        <x:f>IF(INDEX(Backlog!$D$2:$D$180,MATCH($D24,Backlog!$A$2:$A$180,0))="","",INDEX(Backlog!$D$2:$D$180,MATCH($D24,Backlog!$A$2:$A$180,0)))</x:f>
        <x:v>Impact preview, export and import</x:v>
      </x:c>
      <x:c r="F24" s="206" t="str">
        <x:f>IF(INDEX(Backlog!$K$2:$K$180,MATCH($D24,Backlog!$A$2:$A$180,0))="","",INDEX(Backlog!$K$2:$K$180,MATCH($D24,Backlog!$A$2:$A$180,0)))</x:f>
        <x:v>Done</x:v>
      </x:c>
      <x:c r="G24" s="206" t="n">
        <x:f>IF(ISNUMBER(INDEX(Backlog!$J$2:$J$180,MATCH($D24,Backlog!$A$2:$A$180,0))),INDEX(Backlog!$J$2:$J$180,MATCH($D24,Backlog!$A$2:$A$180,0)),"")</x:f>
        <x:v>12</x:v>
      </x:c>
      <x:c r="H24" s="206" t="n">
        <x:f>IF(ISNUMBER(INDEX(Backlog!$R$2:$R$180,MATCH($D24,Backlog!$A$2:$A$180,0))),INDEX(Backlog!$R$2:$R$180,MATCH($D24,Backlog!$A$2:$A$180,0)),"")</x:f>
        <x:v>1.7999999999999998</x:v>
      </x:c>
      <x:c r="I24" s="206" t="str">
        <x:f>IF(INDEX(Backlog!$M$2:$M$180,MATCH($D24,Backlog!$A$2:$A$180,0))="","",INDEX(Backlog!$M$2:$M$180,MATCH($D24,Backlog!$A$2:$A$180,0)))</x:f>
        <x:v>T-090</x:v>
      </x:c>
      <x:c r="J24" s="206" t="str">
        <x:f>IF(INDEX(Backlog!$T$2:$T$180,MATCH($D24,Backlog!$A$2:$A$180,0))="","",INDEX(Backlog!$T$2:$T$180,MATCH($D24,Backlog!$A$2:$A$180,0)))</x:f>
        <x:v>WAIT for Presentation RC freeze/tag + clean index/worktree. Then: T-090 all definition kinds bound to the canonical store.</x:v>
      </x:c>
      <x:c r="K24" s="206" t="str">
        <x:f>IF(INDEX(Backlog!$U$2:$U$180,MATCH($D24,Backlog!$A$2:$A$180,0))="","",INDEX(Backlog!$U$2:$U$180,MATCH($D24,Backlog!$A$2:$A$180,0)))</x:f>
        <x:v>Own canonical DB/backend/security/API/infra. No W2-owned UI/admin task files and no W3 ML/Assistant runtime.</x:v>
      </x:c>
      <x:c r="L24" s="206" t="str">
        <x:f>IF(INDEX(Backlog!$V$2:$V$180,MATCH($D24,Backlog!$A$2:$A$180,0))="","",INDEX(Backlog!$V$2:$V$180,MATCH($D24,Backlog!$A$2:$A$180,0)))</x:f>
        <x:v>Commit before downstream consumer starts; consumer must use the contract, not redesign producer-owned semantics.</x:v>
      </x:c>
      <x:c r="M24" s="194" t="str">
        <x:f>IF(INDEX(Backlog!$AO$2:$AO$180,MATCH($D24,Backlog!$A$2:$A$180,0))="","",INDEX(Backlog!$AO$2:$AO$180,MATCH($D24,Backlog!$A$2:$A$180,0)))</x:f>
        <x:v>Recorded closed — inherited evidence</x:v>
      </x:c>
      <x:c r="N24" s="194" t="str">
        <x:f>IF(INDEX(Backlog!$AN$2:$AN$180,MATCH($D24,Backlog!$A$2:$A$180,0))="","",INDEX(Backlog!$AN$2:$AN$180,MATCH($D24,Backlog!$A$2:$A$180,0)))</x:f>
      </x:c>
    </x:row>
    <x:row r="25" ht="26" customHeight="1">
      <x:c r="A25" s="206" t="str">
        <x:f>IF(INDEX(Backlog!$L$2:$L$180,MATCH($D25,Backlog!$A$2:$A$180,0))="","",INDEX(Backlog!$L$2:$L$180,MATCH($D25,Backlog!$A$2:$A$180,0)))</x:f>
        <x:v>Worker 1</x:v>
      </x:c>
      <x:c r="B25" s="206" t="str">
        <x:f>IF(INDEX(Backlog!$B$2:$B$180,MATCH($D25,Backlog!$A$2:$A$180,0))="","",INDEX(Backlog!$B$2:$B$180,MATCH($D25,Backlog!$A$2:$A$180,0)))</x:f>
        <x:v>M2</x:v>
      </x:c>
      <x:c r="C25" s="206" t="str">
        <x:f>IF(INDEX(Backlog!$C$2:$C$180,MATCH($D25,Backlog!$A$2:$A$180,0))="","",INDEX(Backlog!$C$2:$C$180,MATCH($D25,Backlog!$A$2:$A$180,0)))</x:f>
        <x:v>P1</x:v>
      </x:c>
      <x:c r="D25" s="206" t="str">
        <x:v>T-092</x:v>
      </x:c>
      <x:c r="E25" s="206" t="str">
        <x:f>IF(INDEX(Backlog!$D$2:$D$180,MATCH($D25,Backlog!$A$2:$A$180,0))="","",INDEX(Backlog!$D$2:$D$180,MATCH($D25,Backlog!$A$2:$A$180,0)))</x:f>
        <x:v>Registry authority: dimensions and measures as rows</x:v>
      </x:c>
      <x:c r="F25" s="206" t="str">
        <x:f>IF(INDEX(Backlog!$K$2:$K$180,MATCH($D25,Backlog!$A$2:$A$180,0))="","",INDEX(Backlog!$K$2:$K$180,MATCH($D25,Backlog!$A$2:$A$180,0)))</x:f>
        <x:v>Done</x:v>
      </x:c>
      <x:c r="G25" s="206" t="n">
        <x:f>IF(ISNUMBER(INDEX(Backlog!$J$2:$J$180,MATCH($D25,Backlog!$A$2:$A$180,0))),INDEX(Backlog!$J$2:$J$180,MATCH($D25,Backlog!$A$2:$A$180,0)),"")</x:f>
        <x:v>12</x:v>
      </x:c>
      <x:c r="H25" s="206" t="n">
        <x:f>IF(ISNUMBER(INDEX(Backlog!$R$2:$R$180,MATCH($D25,Backlog!$A$2:$A$180,0))),INDEX(Backlog!$R$2:$R$180,MATCH($D25,Backlog!$A$2:$A$180,0)),"")</x:f>
        <x:v>1.7999999999999998</x:v>
      </x:c>
      <x:c r="I25" s="206" t="str">
        <x:f>IF(INDEX(Backlog!$M$2:$M$180,MATCH($D25,Backlog!$A$2:$A$180,0))="","",INDEX(Backlog!$M$2:$M$180,MATCH($D25,Backlog!$A$2:$A$180,0)))</x:f>
        <x:v>T-089; T-090; T-210; T-231</x:v>
      </x:c>
      <x:c r="J25" s="206" t="str">
        <x:f>IF(INDEX(Backlog!$T$2:$T$180,MATCH($D25,Backlog!$A$2:$A$180,0))="","",INDEX(Backlog!$T$2:$T$180,MATCH($D25,Backlog!$A$2:$A$180,0)))</x:f>
        <x:v>WAIT for Presentation RC freeze/tag + clean index/worktree. Then: T-089 + T-090 canonical definition authority.</x:v>
      </x:c>
      <x:c r="K25" s="206" t="str">
        <x:f>IF(INDEX(Backlog!$U$2:$U$180,MATCH($D25,Backlog!$A$2:$A$180,0))="","",INDEX(Backlog!$U$2:$U$180,MATCH($D25,Backlog!$A$2:$A$180,0)))</x:f>
        <x:v>Own canonical DB/backend/security/API/infra. No W2-owned UI/admin task files and no W3 ML/Assistant runtime.</x:v>
      </x:c>
      <x:c r="L25" s="206" t="str">
        <x:f>IF(INDEX(Backlog!$V$2:$V$180,MATCH($D25,Backlog!$A$2:$A$180,0))="","",INDEX(Backlog!$V$2:$V$180,MATCH($D25,Backlog!$A$2:$A$180,0)))</x:f>
        <x:v>Commit before downstream consumer starts; consumer must use the contract, not redesign producer-owned semantics.</x:v>
      </x:c>
      <x:c r="M25" s="194" t="str">
        <x:f>IF(INDEX(Backlog!$AO$2:$AO$180,MATCH($D25,Backlog!$A$2:$A$180,0))="","",INDEX(Backlog!$AO$2:$AO$180,MATCH($D25,Backlog!$A$2:$A$180,0)))</x:f>
        <x:v>Recorded closed — inherited evidence</x:v>
      </x:c>
      <x:c r="N25" s="194" t="str">
        <x:f>IF(INDEX(Backlog!$AN$2:$AN$180,MATCH($D25,Backlog!$A$2:$A$180,0))="","",INDEX(Backlog!$AN$2:$AN$180,MATCH($D25,Backlog!$A$2:$A$180,0)))</x:f>
      </x:c>
    </x:row>
    <x:row r="26" ht="26" customHeight="1">
      <x:c r="A26" s="206" t="str">
        <x:f>IF(INDEX(Backlog!$L$2:$L$180,MATCH($D26,Backlog!$A$2:$A$180,0))="","",INDEX(Backlog!$L$2:$L$180,MATCH($D26,Backlog!$A$2:$A$180,0)))</x:f>
        <x:v>Worker 1</x:v>
      </x:c>
      <x:c r="B26" s="206" t="str">
        <x:f>IF(INDEX(Backlog!$B$2:$B$180,MATCH($D26,Backlog!$A$2:$A$180,0))="","",INDEX(Backlog!$B$2:$B$180,MATCH($D26,Backlog!$A$2:$A$180,0)))</x:f>
        <x:v>M2</x:v>
      </x:c>
      <x:c r="C26" s="206" t="str">
        <x:f>IF(INDEX(Backlog!$C$2:$C$180,MATCH($D26,Backlog!$A$2:$A$180,0))="","",INDEX(Backlog!$C$2:$C$180,MATCH($D26,Backlog!$A$2:$A$180,0)))</x:f>
        <x:v>P1</x:v>
      </x:c>
      <x:c r="D26" s="206" t="str">
        <x:v>T-093</x:v>
      </x:c>
      <x:c r="E26" s="206" t="str">
        <x:f>IF(INDEX(Backlog!$D$2:$D$180,MATCH($D26,Backlog!$A$2:$A$180,0))="","",INDEX(Backlog!$D$2:$D$180,MATCH($D26,Backlog!$A$2:$A$180,0)))</x:f>
        <x:v>Plant-vocabulary sweep, part 1: build the term list and the architecture test</x:v>
      </x:c>
      <x:c r="F26" s="206" t="str">
        <x:f>IF(INDEX(Backlog!$K$2:$K$180,MATCH($D26,Backlog!$A$2:$A$180,0))="","",INDEX(Backlog!$K$2:$K$180,MATCH($D26,Backlog!$A$2:$A$180,0)))</x:f>
        <x:v>Done</x:v>
      </x:c>
      <x:c r="G26" s="206" t="n">
        <x:f>IF(ISNUMBER(INDEX(Backlog!$J$2:$J$180,MATCH($D26,Backlog!$A$2:$A$180,0))),INDEX(Backlog!$J$2:$J$180,MATCH($D26,Backlog!$A$2:$A$180,0)),"")</x:f>
        <x:v>6</x:v>
      </x:c>
      <x:c r="H26" s="206" t="n">
        <x:f>IF(ISNUMBER(INDEX(Backlog!$R$2:$R$180,MATCH($D26,Backlog!$A$2:$A$180,0))),INDEX(Backlog!$R$2:$R$180,MATCH($D26,Backlog!$A$2:$A$180,0)),"")</x:f>
        <x:v>0.8999999999999999</x:v>
      </x:c>
      <x:c r="I26" s="206" t="str">
        <x:f>IF(INDEX(Backlog!$M$2:$M$180,MATCH($D26,Backlog!$A$2:$A$180,0))="","",INDEX(Backlog!$M$2:$M$180,MATCH($D26,Backlog!$A$2:$A$180,0)))</x:f>
        <x:v>T-092; T-206</x:v>
      </x:c>
      <x:c r="J26" s="206" t="str">
        <x:f>IF(INDEX(Backlog!$T$2:$T$180,MATCH($D26,Backlog!$A$2:$A$180,0))="","",INDEX(Backlog!$T$2:$T$180,MATCH($D26,Backlog!$A$2:$A$180,0)))</x:f>
        <x:v>WAIT for Presentation RC freeze/tag + clean index/worktree. Then: T-092 registry/definition authority available; architecture term list is comm...</x:v>
      </x:c>
      <x:c r="K26" s="206" t="str">
        <x:f>IF(INDEX(Backlog!$U$2:$U$180,MATCH($D26,Backlog!$A$2:$A$180,0))="","",INDEX(Backlog!$U$2:$U$180,MATCH($D26,Backlog!$A$2:$A$180,0)))</x:f>
        <x:v>Own canonical DB/backend/security/API/infra. No W2-owned UI/admin task files and no W3 ML/Assistant runtime.</x:v>
      </x:c>
      <x:c r="L26" s="206" t="str">
        <x:f>IF(INDEX(Backlog!$V$2:$V$180,MATCH($D26,Backlog!$A$2:$A$180,0))="","",INDEX(Backlog!$V$2:$V$180,MATCH($D26,Backlog!$A$2:$A$180,0)))</x:f>
        <x:v>Commit before downstream consumer starts; consumer must use the contract, not redesign producer-owned semantics.</x:v>
      </x:c>
      <x:c r="M26" s="194" t="str">
        <x:f>IF(INDEX(Backlog!$AO$2:$AO$180,MATCH($D26,Backlog!$A$2:$A$180,0))="","",INDEX(Backlog!$AO$2:$AO$180,MATCH($D26,Backlog!$A$2:$A$180,0)))</x:f>
        <x:v>Recorded closed — inherited evidence</x:v>
      </x:c>
      <x:c r="N26" s="194" t="str">
        <x:f>IF(INDEX(Backlog!$AN$2:$AN$180,MATCH($D26,Backlog!$A$2:$A$180,0))="","",INDEX(Backlog!$AN$2:$AN$180,MATCH($D26,Backlog!$A$2:$A$180,0)))</x:f>
      </x:c>
    </x:row>
    <x:row r="27" ht="26" customHeight="1">
      <x:c r="A27" s="206" t="str">
        <x:f>IF(INDEX(Backlog!$L$2:$L$180,MATCH($D27,Backlog!$A$2:$A$180,0))="","",INDEX(Backlog!$L$2:$L$180,MATCH($D27,Backlog!$A$2:$A$180,0)))</x:f>
        <x:v>Worker 1</x:v>
      </x:c>
      <x:c r="B27" s="206" t="str">
        <x:f>IF(INDEX(Backlog!$B$2:$B$180,MATCH($D27,Backlog!$A$2:$A$180,0))="","",INDEX(Backlog!$B$2:$B$180,MATCH($D27,Backlog!$A$2:$A$180,0)))</x:f>
        <x:v>M2</x:v>
      </x:c>
      <x:c r="C27" s="206" t="str">
        <x:f>IF(INDEX(Backlog!$C$2:$C$180,MATCH($D27,Backlog!$A$2:$A$180,0))="","",INDEX(Backlog!$C$2:$C$180,MATCH($D27,Backlog!$A$2:$A$180,0)))</x:f>
        <x:v>P1</x:v>
      </x:c>
      <x:c r="D27" s="206" t="str">
        <x:v>T-094</x:v>
      </x:c>
      <x:c r="E27" s="206" t="str">
        <x:f>IF(INDEX(Backlog!$D$2:$D$180,MATCH($D27,Backlog!$A$2:$A$180,0))="","",INDEX(Backlog!$D$2:$D$180,MATCH($D27,Backlog!$A$2:$A$180,0)))</x:f>
        <x:v>Plant-vocabulary sweep, part 2: remove hardcoded universal grain and industry vocabulary</x:v>
      </x:c>
      <x:c r="F27" s="206" t="str">
        <x:f>IF(INDEX(Backlog!$K$2:$K$180,MATCH($D27,Backlog!$A$2:$A$180,0))="","",INDEX(Backlog!$K$2:$K$180,MATCH($D27,Backlog!$A$2:$A$180,0)))</x:f>
        <x:v>Done</x:v>
      </x:c>
      <x:c r="G27" s="206" t="n">
        <x:f>IF(ISNUMBER(INDEX(Backlog!$J$2:$J$180,MATCH($D27,Backlog!$A$2:$A$180,0))),INDEX(Backlog!$J$2:$J$180,MATCH($D27,Backlog!$A$2:$A$180,0)),"")</x:f>
        <x:v>24</x:v>
      </x:c>
      <x:c r="H27" s="206" t="n">
        <x:f>IF(ISNUMBER(INDEX(Backlog!$R$2:$R$180,MATCH($D27,Backlog!$A$2:$A$180,0))),INDEX(Backlog!$R$2:$R$180,MATCH($D27,Backlog!$A$2:$A$180,0)),"")</x:f>
        <x:v>3.6</x:v>
      </x:c>
      <x:c r="I27" s="206" t="str">
        <x:f>IF(INDEX(Backlog!$M$2:$M$180,MATCH($D27,Backlog!$A$2:$A$180,0))="","",INDEX(Backlog!$M$2:$M$180,MATCH($D27,Backlog!$A$2:$A$180,0)))</x:f>
        <x:v>T-092; T-093; T-209</x:v>
      </x:c>
      <x:c r="J27" s="206" t="str">
        <x:f>IF(INDEX(Backlog!$T$2:$T$180,MATCH($D27,Backlog!$A$2:$A$180,0))="","",INDEX(Backlog!$T$2:$T$180,MATCH($D27,Backlog!$A$2:$A$180,0)))</x:f>
        <x:v>IN PROGRESS — T-092/T-093/T-209 authorities are green. Three part-commits exist but no closure. Finish the second wire, frontend consumers and Wave-C proof under the same T-094 scope; do not reopen after closure.</x:v>
      </x:c>
      <x:c r="K27" s="206" t="str">
        <x:f>IF(INDEX(Backlog!$U$2:$U$180,MATCH($D27,Backlog!$A$2:$A$180,0))="","",INDEX(Backlog!$U$2:$U$180,MATCH($D27,Backlog!$A$2:$A$180,0)))</x:f>
        <x:v>Own canonical DB/backend/security/API/infra. No W2-owned UI/admin task files and no W3 ML/Assistant runtime.</x:v>
      </x:c>
      <x:c r="L27" s="206" t="str">
        <x:f>IF(INDEX(Backlog!$V$2:$V$180,MATCH($D27,Backlog!$A$2:$A$180,0))="","",INDEX(Backlog!$V$2:$V$180,MATCH($D27,Backlog!$A$2:$A$180,0)))</x:f>
        <x:v>Commit before downstream consumer starts; consumer must use the contract, not redesign producer-owned semantics.</x:v>
      </x:c>
      <x:c r="M27" s="194" t="str">
        <x:f>IF(INDEX(Backlog!$AO$2:$AO$180,MATCH($D27,Backlog!$A$2:$A$180,0))="","",INDEX(Backlog!$AO$2:$AO$180,MATCH($D27,Backlog!$A$2:$A$180,0)))</x:f>
        <x:v>Recorded closed — inherited evidence</x:v>
      </x:c>
      <x:c r="N27" s="194" t="str">
        <x:f>IF(INDEX(Backlog!$AN$2:$AN$180,MATCH($D27,Backlog!$A$2:$A$180,0))="","",INDEX(Backlog!$AN$2:$AN$180,MATCH($D27,Backlog!$A$2:$A$180,0)))</x:f>
      </x:c>
    </x:row>
    <x:row r="28" ht="26" customHeight="1">
      <x:c r="A28" s="206" t="str">
        <x:f>IF(INDEX(Backlog!$L$2:$L$180,MATCH($D28,Backlog!$A$2:$A$180,0))="","",INDEX(Backlog!$L$2:$L$180,MATCH($D28,Backlog!$A$2:$A$180,0)))</x:f>
        <x:v>Worker 1</x:v>
      </x:c>
      <x:c r="B28" s="206" t="str">
        <x:f>IF(INDEX(Backlog!$B$2:$B$180,MATCH($D28,Backlog!$A$2:$A$180,0))="","",INDEX(Backlog!$B$2:$B$180,MATCH($D28,Backlog!$A$2:$A$180,0)))</x:f>
        <x:v>M2</x:v>
      </x:c>
      <x:c r="C28" s="206" t="str">
        <x:f>IF(INDEX(Backlog!$C$2:$C$180,MATCH($D28,Backlog!$A$2:$A$180,0))="","",INDEX(Backlog!$C$2:$C$180,MATCH($D28,Backlog!$A$2:$A$180,0)))</x:f>
        <x:v>P1</x:v>
      </x:c>
      <x:c r="D28" s="206" t="str">
        <x:v>T-201</x:v>
      </x:c>
      <x:c r="E28" s="206" t="str">
        <x:f>IF(INDEX(Backlog!$D$2:$D$180,MATCH($D28,Backlog!$A$2:$A$180,0))="","",INDEX(Backlog!$D$2:$D$180,MATCH($D28,Backlog!$A$2:$A$180,0)))</x:f>
        <x:v>Freeze the successful M1 presentation baseline and transfer programme authority to M2</x:v>
      </x:c>
      <x:c r="F28" s="206" t="str">
        <x:f>IF(INDEX(Backlog!$K$2:$K$180,MATCH($D28,Backlog!$A$2:$A$180,0))="","",INDEX(Backlog!$K$2:$K$180,MATCH($D28,Backlog!$A$2:$A$180,0)))</x:f>
        <x:v>Done</x:v>
      </x:c>
      <x:c r="G28" s="206" t="n">
        <x:f>IF(ISNUMBER(INDEX(Backlog!$J$2:$J$180,MATCH($D28,Backlog!$A$2:$A$180,0))),INDEX(Backlog!$J$2:$J$180,MATCH($D28,Backlog!$A$2:$A$180,0)),"")</x:f>
        <x:v>4</x:v>
      </x:c>
      <x:c r="H28" s="206" t="n">
        <x:f>IF(ISNUMBER(INDEX(Backlog!$R$2:$R$180,MATCH($D28,Backlog!$A$2:$A$180,0))),INDEX(Backlog!$R$2:$R$180,MATCH($D28,Backlog!$A$2:$A$180,0)),"")</x:f>
        <x:v>1.5</x:v>
      </x:c>
      <x:c r="I28" s="206" t="str">
        <x:f>IF(INDEX(Backlog!$M$2:$M$180,MATCH($D28,Backlog!$A$2:$A$180,0))="","",INDEX(Backlog!$M$2:$M$180,MATCH($D28,Backlog!$A$2:$A$180,0)))</x:f>
      </x:c>
      <x:c r="J28" s="206" t="str">
        <x:f>IF(INDEX(Backlog!$T$2:$T$180,MATCH($D28,Backlog!$A$2:$A$180,0))="","",INDEX(Backlog!$T$2:$T$180,MATCH($D28,Backlog!$A$2:$A$180,0)))</x:f>
        <x:v>Start immediately. No later M2 mutating work begins on the shared tree before this close.</x:v>
      </x:c>
      <x:c r="K28" s="206" t="str">
        <x:f>IF(INDEX(Backlog!$U$2:$U$180,MATCH($D28,Backlog!$A$2:$A$180,0))="","",INDEX(Backlog!$U$2:$U$180,MATCH($D28,Backlog!$A$2:$A$180,0)))</x:f>
        <x:v>Git/worktree ownership + release/tag only.</x:v>
      </x:c>
      <x:c r="L28" s="206" t="str">
        <x:f>IF(INDEX(Backlog!$V$2:$V$180,MATCH($D28,Backlog!$A$2:$A$180,0))="","",INDEX(Backlog!$V$2:$V$180,MATCH($D28,Backlog!$A$2:$A$180,0)))</x:f>
        <x:v>After commit/tag, all workers consume the frozen baseline; nobody reopens M1 presentation scope without a proven regression.</x:v>
      </x:c>
      <x:c r="M28" s="194" t="str">
        <x:f>IF(INDEX(Backlog!$AO$2:$AO$180,MATCH($D28,Backlog!$A$2:$A$180,0))="","",INDEX(Backlog!$AO$2:$AO$180,MATCH($D28,Backlog!$A$2:$A$180,0)))</x:f>
        <x:v>Recorded closed — inherited evidence</x:v>
      </x:c>
      <x:c r="N28" s="194" t="str">
        <x:f>IF(INDEX(Backlog!$AN$2:$AN$180,MATCH($D28,Backlog!$A$2:$A$180,0))="","",INDEX(Backlog!$AN$2:$AN$180,MATCH($D28,Backlog!$A$2:$A$180,0)))</x:f>
      </x:c>
    </x:row>
    <x:row r="29" ht="26" customHeight="1">
      <x:c r="A29" s="206" t="str">
        <x:f>IF(INDEX(Backlog!$L$2:$L$180,MATCH($D29,Backlog!$A$2:$A$180,0))="","",INDEX(Backlog!$L$2:$L$180,MATCH($D29,Backlog!$A$2:$A$180,0)))</x:f>
        <x:v>Worker 1</x:v>
      </x:c>
      <x:c r="B29" s="206" t="str">
        <x:f>IF(INDEX(Backlog!$B$2:$B$180,MATCH($D29,Backlog!$A$2:$A$180,0))="","",INDEX(Backlog!$B$2:$B$180,MATCH($D29,Backlog!$A$2:$A$180,0)))</x:f>
        <x:v>M2</x:v>
      </x:c>
      <x:c r="C29" s="206" t="str">
        <x:f>IF(INDEX(Backlog!$C$2:$C$180,MATCH($D29,Backlog!$A$2:$A$180,0))="","",INDEX(Backlog!$C$2:$C$180,MATCH($D29,Backlog!$A$2:$A$180,0)))</x:f>
        <x:v>P1</x:v>
      </x:c>
      <x:c r="D29" s="206" t="str">
        <x:v>T-210</x:v>
      </x:c>
      <x:c r="E29" s="206" t="str">
        <x:f>IF(INDEX(Backlog!$D$2:$D$180,MATCH($D29,Backlog!$A$2:$A$180,0))="","",INDEX(Backlog!$D$2:$D$180,MATCH($D29,Backlog!$A$2:$A$180,0)))</x:f>
        <x:v>Canonical signal and aggregation semantics authority</x:v>
      </x:c>
      <x:c r="F29" s="206" t="str">
        <x:f>IF(INDEX(Backlog!$K$2:$K$180,MATCH($D29,Backlog!$A$2:$A$180,0))="","",INDEX(Backlog!$K$2:$K$180,MATCH($D29,Backlog!$A$2:$A$180,0)))</x:f>
        <x:v>Done</x:v>
      </x:c>
      <x:c r="G29" s="206" t="n">
        <x:f>IF(ISNUMBER(INDEX(Backlog!$J$2:$J$180,MATCH($D29,Backlog!$A$2:$A$180,0))),INDEX(Backlog!$J$2:$J$180,MATCH($D29,Backlog!$A$2:$A$180,0)),"")</x:f>
        <x:v>12</x:v>
      </x:c>
      <x:c r="H29" s="206" t="n">
        <x:f>IF(ISNUMBER(INDEX(Backlog!$R$2:$R$180,MATCH($D29,Backlog!$A$2:$A$180,0))),INDEX(Backlog!$R$2:$R$180,MATCH($D29,Backlog!$A$2:$A$180,0)),"")</x:f>
        <x:v>5.1</x:v>
      </x:c>
      <x:c r="I29" s="206" t="str">
        <x:f>IF(INDEX(Backlog!$M$2:$M$180,MATCH($D29,Backlog!$A$2:$A$180,0))="","",INDEX(Backlog!$M$2:$M$180,MATCH($D29,Backlog!$A$2:$A$180,0)))</x:f>
        <x:v>T-090; T-209</x:v>
      </x:c>
      <x:c r="J29" s="206" t="str">
        <x:f>IF(INDEX(Backlog!$T$2:$T$180,MATCH($D29,Backlog!$A$2:$A$180,0))="","",INDEX(Backlog!$T$2:$T$180,MATCH($D29,Backlog!$A$2:$A$180,0)))</x:f>
        <x:v>T-209 + T-090. Complete before T-092 exposes measures and before T-211 integration.</x:v>
      </x:c>
      <x:c r="K29" s="206" t="str">
        <x:f>IF(INDEX(Backlog!$U$2:$U$180,MATCH($D29,Backlog!$A$2:$A$180,0))="","",INDEX(Backlog!$U$2:$U$180,MATCH($D29,Backlog!$A$2:$A$180,0)))</x:f>
        <x:v>Parameter definitions/KPI bindings/migrations/definition contract.</x:v>
      </x:c>
      <x:c r="L29" s="206" t="str">
        <x:f>IF(INDEX(Backlog!$V$2:$V$180,MATCH($D29,Backlog!$A$2:$A$180,0))="","",INDEX(Backlog!$V$2:$V$180,MATCH($D29,Backlog!$A$2:$A$180,0)))</x:f>
        <x:v>T-211 executes exactly this contract; no second aggregation registry.</x:v>
      </x:c>
      <x:c r="M29" s="194" t="str">
        <x:f>IF(INDEX(Backlog!$AO$2:$AO$180,MATCH($D29,Backlog!$A$2:$A$180,0))="","",INDEX(Backlog!$AO$2:$AO$180,MATCH($D29,Backlog!$A$2:$A$180,0)))</x:f>
        <x:v>Recorded closed — inherited evidence</x:v>
      </x:c>
      <x:c r="N29" s="194" t="str">
        <x:f>IF(INDEX(Backlog!$AN$2:$AN$180,MATCH($D29,Backlog!$A$2:$A$180,0))="","",INDEX(Backlog!$AN$2:$AN$180,MATCH($D29,Backlog!$A$2:$A$180,0)))</x:f>
      </x:c>
    </x:row>
    <x:row r="30" ht="26" customHeight="1">
      <x:c r="A30" s="206" t="str">
        <x:f>IF(INDEX(Backlog!$L$2:$L$180,MATCH($D30,Backlog!$A$2:$A$180,0))="","",INDEX(Backlog!$L$2:$L$180,MATCH($D30,Backlog!$A$2:$A$180,0)))</x:f>
        <x:v>Worker 1</x:v>
      </x:c>
      <x:c r="B30" s="206" t="str">
        <x:f>IF(INDEX(Backlog!$B$2:$B$180,MATCH($D30,Backlog!$A$2:$A$180,0))="","",INDEX(Backlog!$B$2:$B$180,MATCH($D30,Backlog!$A$2:$A$180,0)))</x:f>
        <x:v>M2</x:v>
      </x:c>
      <x:c r="C30" s="206" t="str">
        <x:f>IF(INDEX(Backlog!$C$2:$C$180,MATCH($D30,Backlog!$A$2:$A$180,0))="","",INDEX(Backlog!$C$2:$C$180,MATCH($D30,Backlog!$A$2:$A$180,0)))</x:f>
        <x:v>P1</x:v>
      </x:c>
      <x:c r="D30" s="206" t="str">
        <x:v>T-231</x:v>
      </x:c>
      <x:c r="E30" s="206" t="str">
        <x:f>IF(INDEX(Backlog!$D$2:$D$180,MATCH($D30,Backlog!$A$2:$A$180,0))="","",INDEX(Backlog!$D$2:$D$180,MATCH($D30,Backlog!$A$2:$A$180,0)))</x:f>
        <x:v>Persist Analysis Subject and Grain authority in canonical definition store</x:v>
      </x:c>
      <x:c r="F30" s="206" t="str">
        <x:f>IF(INDEX(Backlog!$K$2:$K$180,MATCH($D30,Backlog!$A$2:$A$180,0))="","",INDEX(Backlog!$K$2:$K$180,MATCH($D30,Backlog!$A$2:$A$180,0)))</x:f>
        <x:v>Done</x:v>
      </x:c>
      <x:c r="G30" s="206" t="n">
        <x:f>IF(ISNUMBER(INDEX(Backlog!$J$2:$J$180,MATCH($D30,Backlog!$A$2:$A$180,0))),INDEX(Backlog!$J$2:$J$180,MATCH($D30,Backlog!$A$2:$A$180,0)),"")</x:f>
        <x:v>6</x:v>
      </x:c>
      <x:c r="H30" s="206" t="n">
        <x:f>IF(ISNUMBER(INDEX(Backlog!$R$2:$R$180,MATCH($D30,Backlog!$A$2:$A$180,0))),INDEX(Backlog!$R$2:$R$180,MATCH($D30,Backlog!$A$2:$A$180,0)),"")</x:f>
        <x:v>2.55</x:v>
      </x:c>
      <x:c r="I30" s="206" t="str">
        <x:f>IF(INDEX(Backlog!$M$2:$M$180,MATCH($D30,Backlog!$A$2:$A$180,0))="","",INDEX(Backlog!$M$2:$M$180,MATCH($D30,Backlog!$A$2:$A$180,0)))</x:f>
        <x:v>T-090; T-209</x:v>
      </x:c>
      <x:c r="J30" s="206" t="str">
        <x:f>IF(INDEX(Backlog!$T$2:$T$180,MATCH($D30,Backlog!$A$2:$A$180,0))="","",INDEX(Backlog!$T$2:$T$180,MATCH($D30,Backlog!$A$2:$A$180,0)))</x:f>
        <x:v>T-090 + committed T-209 contract.</x:v>
      </x:c>
      <x:c r="K30" s="206" t="str">
        <x:f>IF(INDEX(Backlog!$U$2:$U$180,MATCH($D30,Backlog!$A$2:$A$180,0))="","",INDEX(Backlog!$U$2:$U$180,MATCH($D30,Backlog!$A$2:$A$180,0)))</x:f>
        <x:v>analysis_subjects/grain definitions + API/migrations.</x:v>
      </x:c>
      <x:c r="L30" s="206" t="str">
        <x:f>IF(INDEX(Backlog!$V$2:$V$180,MATCH($D30,Backlog!$A$2:$A$180,0))="","",INDEX(Backlog!$V$2:$V$180,MATCH($D30,Backlog!$A$2:$A$180,0)))</x:f>
        <x:v>T-092/T-128/T-139/T-213 consume committed persistence; they do not invent subject identity.</x:v>
      </x:c>
      <x:c r="M30" s="194" t="str">
        <x:f>IF(INDEX(Backlog!$AO$2:$AO$180,MATCH($D30,Backlog!$A$2:$A$180,0))="","",INDEX(Backlog!$AO$2:$AO$180,MATCH($D30,Backlog!$A$2:$A$180,0)))</x:f>
        <x:v>Recorded closed — inherited evidence</x:v>
      </x:c>
      <x:c r="N30" s="194" t="str">
        <x:f>IF(INDEX(Backlog!$AN$2:$AN$180,MATCH($D30,Backlog!$A$2:$A$180,0))="","",INDEX(Backlog!$AN$2:$AN$180,MATCH($D30,Backlog!$A$2:$A$180,0)))</x:f>
      </x:c>
    </x:row>
    <x:row r="31" ht="26" customHeight="1">
      <x:c r="A31" s="206" t="str">
        <x:f>IF(INDEX(Backlog!$L$2:$L$180,MATCH($D31,Backlog!$A$2:$A$180,0))="","",INDEX(Backlog!$L$2:$L$180,MATCH($D31,Backlog!$A$2:$A$180,0)))</x:f>
        <x:v>Worker 1</x:v>
      </x:c>
      <x:c r="B31" s="206" t="str">
        <x:f>IF(INDEX(Backlog!$B$2:$B$180,MATCH($D31,Backlog!$A$2:$A$180,0))="","",INDEX(Backlog!$B$2:$B$180,MATCH($D31,Backlog!$A$2:$A$180,0)))</x:f>
        <x:v>M2</x:v>
      </x:c>
      <x:c r="C31" s="206" t="str">
        <x:f>IF(INDEX(Backlog!$C$2:$C$180,MATCH($D31,Backlog!$A$2:$A$180,0))="","",INDEX(Backlog!$C$2:$C$180,MATCH($D31,Backlog!$A$2:$A$180,0)))</x:f>
        <x:v>P1</x:v>
      </x:c>
      <x:c r="D31" s="206" t="str">
        <x:v>T-251</x:v>
      </x:c>
      <x:c r="E31" s="206" t="str">
        <x:f>IF(INDEX(Backlog!$D$2:$D$180,MATCH($D31,Backlog!$A$2:$A$180,0))="","",INDEX(Backlog!$D$2:$D$180,MATCH($D31,Backlog!$A$2:$A$180,0)))</x:f>
        <x:v>Physical database catalogue, naming authority and zero-unknown schema dictionary</x:v>
      </x:c>
      <x:c r="F31" s="206" t="str">
        <x:f>IF(INDEX(Backlog!$K$2:$K$180,MATCH($D31,Backlog!$A$2:$A$180,0))="","",INDEX(Backlog!$K$2:$K$180,MATCH($D31,Backlog!$A$2:$A$180,0)))</x:f>
        <x:v>Done</x:v>
      </x:c>
      <x:c r="G31" s="206" t="n">
        <x:f>IF(ISNUMBER(INDEX(Backlog!$J$2:$J$180,MATCH($D31,Backlog!$A$2:$A$180,0))),INDEX(Backlog!$J$2:$J$180,MATCH($D31,Backlog!$A$2:$A$180,0)),"")</x:f>
        <x:v>12</x:v>
      </x:c>
      <x:c r="H31" s="206" t="n">
        <x:f>IF(ISNUMBER(INDEX(Backlog!$R$2:$R$180,MATCH($D31,Backlog!$A$2:$A$180,0))),INDEX(Backlog!$R$2:$R$180,MATCH($D31,Backlog!$A$2:$A$180,0)),"")</x:f>
        <x:v>1.8</x:v>
      </x:c>
      <x:c r="I31" s="206" t="str">
        <x:f>IF(INDEX(Backlog!$M$2:$M$180,MATCH($D31,Backlog!$A$2:$A$180,0))="","",INDEX(Backlog!$M$2:$M$180,MATCH($D31,Backlog!$A$2:$A$180,0)))</x:f>
        <x:v>T-087; T-088; T-260</x:v>
      </x:c>
      <x:c r="J31" s="206" t="str">
        <x:f>IF(INDEX(Backlog!$T$2:$T$180,MATCH($D31,Backlog!$A$2:$A$180,0))="","",INDEX(Backlog!$T$2:$T$180,MATCH($D31,Backlog!$A$2:$A$180,0)))</x:f>
        <x:v>PAUSED AFTER MACHINE INSTALL/CENSUS. T-260 is the immediate blocker because the designated fresh certification DB was proven to be built from an incomplete canonical path. Do not adjudicate the current fresh-DB 106/81 queue. Resume T-251 only after T-260 rebuilds `ppiq_acceptance_empty` correctly and produces a new census.</x:v>
      </x:c>
      <x:c r="K31" s="206" t="str">
        <x:f>IF(INDEX(Backlog!$U$2:$U$180,MATCH($D31,Backlog!$A$2:$A$180,0))="","",INDEX(Backlog!$U$2:$U$180,MATCH($D31,Backlog!$A$2:$A$180,0)))</x:f>
        <x:v>Own generated DB catalogue tooling/documentation and read-only pg_catalog queries. No product table deletion, rename or unrelated DDL.</x:v>
      </x:c>
      <x:c r="L31" s="206" t="str">
        <x:f>IF(INDEX(Backlog!$V$2:$V$180,MATCH($D31,Backlog!$A$2:$A$180,0))="","",INDEX(Backlog!$V$2:$V$180,MATCH($D31,Backlog!$A$2:$A$180,0)))</x:f>
        <x:v>Publish semantic-named catalogue artifacts only; no task-number repository filename. Hand off the generated dictionary to T-115/T-123/T-150.</x:v>
      </x:c>
      <x:c r="M31" s="194" t="str">
        <x:f>IF(INDEX(Backlog!$AO$2:$AO$180,MATCH($D31,Backlog!$A$2:$A$180,0))="","",INDEX(Backlog!$AO$2:$AO$180,MATCH($D31,Backlog!$A$2:$A$180,0)))</x:f>
        <x:v>Recorded closed — inherited evidence</x:v>
      </x:c>
      <x:c r="N31" s="194" t="str">
        <x:f>IF(INDEX(Backlog!$AN$2:$AN$180,MATCH($D31,Backlog!$A$2:$A$180,0))="","",INDEX(Backlog!$AN$2:$AN$180,MATCH($D31,Backlog!$A$2:$A$180,0)))</x:f>
      </x:c>
    </x:row>
    <x:row r="32" ht="26" customHeight="1">
      <x:c r="A32" s="206" t="str">
        <x:f>IF(INDEX(Backlog!$L$2:$L$180,MATCH($D32,Backlog!$A$2:$A$180,0))="","",INDEX(Backlog!$L$2:$L$180,MATCH($D32,Backlog!$A$2:$A$180,0)))</x:f>
        <x:v>Worker 1</x:v>
      </x:c>
      <x:c r="B32" s="206" t="str">
        <x:f>IF(INDEX(Backlog!$B$2:$B$180,MATCH($D32,Backlog!$A$2:$A$180,0))="","",INDEX(Backlog!$B$2:$B$180,MATCH($D32,Backlog!$A$2:$A$180,0)))</x:f>
        <x:v>M2</x:v>
      </x:c>
      <x:c r="C32" s="206" t="str">
        <x:f>IF(INDEX(Backlog!$C$2:$C$180,MATCH($D32,Backlog!$A$2:$A$180,0))="","",INDEX(Backlog!$C$2:$C$180,MATCH($D32,Backlog!$A$2:$A$180,0)))</x:f>
        <x:v>P1</x:v>
      </x:c>
      <x:c r="D32" s="206" t="str">
        <x:v>T-252</x:v>
      </x:c>
      <x:c r="E32" s="206" t="str">
        <x:f>IF(INDEX(Backlog!$D$2:$D$180,MATCH($D32,Backlog!$A$2:$A$180,0))="","",INDEX(Backlog!$D$2:$D$180,MATCH($D32,Backlog!$A$2:$A$180,0)))</x:f>
        <x:v>Disposable database lifecycle and integration-test database isolation</x:v>
      </x:c>
      <x:c r="F32" s="206" t="str">
        <x:f>IF(INDEX(Backlog!$K$2:$K$180,MATCH($D32,Backlog!$A$2:$A$180,0))="","",INDEX(Backlog!$K$2:$K$180,MATCH($D32,Backlog!$A$2:$A$180,0)))</x:f>
        <x:v>Done</x:v>
      </x:c>
      <x:c r="G32" s="206" t="n">
        <x:f>IF(ISNUMBER(INDEX(Backlog!$J$2:$J$180,MATCH($D32,Backlog!$A$2:$A$180,0))),INDEX(Backlog!$J$2:$J$180,MATCH($D32,Backlog!$A$2:$A$180,0)),"")</x:f>
        <x:v>8</x:v>
      </x:c>
      <x:c r="H32" s="206" t="n">
        <x:f>IF(ISNUMBER(INDEX(Backlog!$R$2:$R$180,MATCH($D32,Backlog!$A$2:$A$180,0))),INDEX(Backlog!$R$2:$R$180,MATCH($D32,Backlog!$A$2:$A$180,0)),"")</x:f>
        <x:v>1.2</x:v>
      </x:c>
      <x:c r="I32" s="206" t="str">
        <x:f>IF(INDEX(Backlog!$M$2:$M$180,MATCH($D32,Backlog!$A$2:$A$180,0))="","",INDEX(Backlog!$M$2:$M$180,MATCH($D32,Backlog!$A$2:$A$180,0)))</x:f>
        <x:v>T-087; T-088; T-251; T-259</x:v>
      </x:c>
      <x:c r="J32" s="206" t="str">
        <x:f>IF(INDEX(Backlog!$T$2:$T$180,MATCH($D32,Backlog!$A$2:$A$180,0))="","",INDEX(Backlog!$T$2:$T$180,MATCH($D32,Backlog!$A$2:$A$180,0)))</x:f>
        <x:v>P1 PROMOTION IN v2.20.0 — start immediately after T-251 closes. Certification infrastructure must stop touching shared/live databases before further database/runtime closure work. One task, one disposable-DB lifecycle; no mutation of ppiq_app/ppiq_presentation as fixtures.</x:v>
      </x:c>
      <x:c r="K32" s="206" t="str">
        <x:f>IF(INDEX(Backlog!$U$2:$U$180,MATCH($D32,Backlog!$A$2:$A$180,0))="","",INDEX(Backlog!$U$2:$U$180,MATCH($D32,Backlog!$A$2:$A$180,0)))</x:f>
        <x:v>Own integration-test DB fixture/runner and disposable-DB lifecycle tooling only. Do not change product schema semantics.</x:v>
      </x:c>
      <x:c r="L32" s="206" t="str">
        <x:f>IF(INDEX(Backlog!$V$2:$V$180,MATCH($D32,Backlog!$A$2:$A$180,0))="","",INDEX(Backlog!$V$2:$V$180,MATCH($D32,Backlog!$A$2:$A$180,0)))</x:f>
        <x:v>Every pack that CREATE DATABASEs owns DROP in finally. Persistent DB roles are explicit and protected.</x:v>
      </x:c>
      <x:c r="M32" s="194" t="str">
        <x:f>IF(INDEX(Backlog!$AO$2:$AO$180,MATCH($D32,Backlog!$A$2:$A$180,0))="","",INDEX(Backlog!$AO$2:$AO$180,MATCH($D32,Backlog!$A$2:$A$180,0)))</x:f>
        <x:v>Recorded closed — inherited evidence</x:v>
      </x:c>
      <x:c r="N32" s="194" t="str">
        <x:f>IF(INDEX(Backlog!$AN$2:$AN$180,MATCH($D32,Backlog!$A$2:$A$180,0))="","",INDEX(Backlog!$AN$2:$AN$180,MATCH($D32,Backlog!$A$2:$A$180,0)))</x:f>
      </x:c>
    </x:row>
    <x:row r="33" ht="26" customHeight="1">
      <x:c r="A33" s="206" t="str">
        <x:f>IF(INDEX(Backlog!$L$2:$L$180,MATCH($D33,Backlog!$A$2:$A$180,0))="","",INDEX(Backlog!$L$2:$L$180,MATCH($D33,Backlog!$A$2:$A$180,0)))</x:f>
        <x:v>Worker 1</x:v>
      </x:c>
      <x:c r="B33" s="206" t="str">
        <x:f>IF(INDEX(Backlog!$B$2:$B$180,MATCH($D33,Backlog!$A$2:$A$180,0))="","",INDEX(Backlog!$B$2:$B$180,MATCH($D33,Backlog!$A$2:$A$180,0)))</x:f>
        <x:v>M2</x:v>
      </x:c>
      <x:c r="C33" s="206" t="str">
        <x:f>IF(INDEX(Backlog!$C$2:$C$180,MATCH($D33,Backlog!$A$2:$A$180,0))="","",INDEX(Backlog!$C$2:$C$180,MATCH($D33,Backlog!$A$2:$A$180,0)))</x:f>
        <x:v>P1</x:v>
      </x:c>
      <x:c r="D33" s="206" t="str">
        <x:v>T-256</x:v>
      </x:c>
      <x:c r="E33" s="206" t="str">
        <x:f>IF(INDEX(Backlog!$D$2:$D$180,MATCH($D33,Backlog!$A$2:$A$180,0))="","",INDEX(Backlog!$D$2:$D$180,MATCH($D33,Backlog!$A$2:$A$180,0)))</x:f>
        <x:v>Runtime genericity and three-schema consumer convergence</x:v>
      </x:c>
      <x:c r="F33" s="206" t="str">
        <x:f>IF(INDEX(Backlog!$K$2:$K$180,MATCH($D33,Backlog!$A$2:$A$180,0))="","",INDEX(Backlog!$K$2:$K$180,MATCH($D33,Backlog!$A$2:$A$180,0)))</x:f>
        <x:v>Done</x:v>
      </x:c>
      <x:c r="G33" s="206" t="n">
        <x:f>IF(ISNUMBER(INDEX(Backlog!$J$2:$J$180,MATCH($D33,Backlog!$A$2:$A$180,0))),INDEX(Backlog!$J$2:$J$180,MATCH($D33,Backlog!$A$2:$A$180,0)),"")</x:f>
        <x:v>12</x:v>
      </x:c>
      <x:c r="H33" s="206" t="n">
        <x:f>IF(ISNUMBER(INDEX(Backlog!$R$2:$R$180,MATCH($D33,Backlog!$A$2:$A$180,0))),INDEX(Backlog!$R$2:$R$180,MATCH($D33,Backlog!$A$2:$A$180,0)),"")</x:f>
        <x:v>3.2</x:v>
      </x:c>
      <x:c r="I33" s="206" t="str">
        <x:f>IF(INDEX(Backlog!$M$2:$M$180,MATCH($D33,Backlog!$A$2:$A$180,0))="","",INDEX(Backlog!$M$2:$M$180,MATCH($D33,Backlog!$A$2:$A$180,0)))</x:f>
        <x:v>T-088; T-094; T-251; T-252; T-253</x:v>
      </x:c>
      <x:c r="J33" s="206" t="str">
        <x:f>IF(INDEX(Backlog!$T$2:$T$180,MATCH($D33,Backlog!$A$2:$A$180,0))="","",INDEX(Backlog!$T$2:$T$180,MATCH($D33,Backlog!$A$2:$A$180,0)))</x:f>
        <x:v>Worker-1 local P1 sequence is T-251 → T-259 → T-252. T-256 starts only when BOTH T-252 and Worker-2 T-253 are CLOSED GREEN. If T-252 finishes first and T-253 is still open, STOP and return to CENTRAL for a disjoint Worker-1 lane; do not start T-256 partially and do not duplicate the projection-target predicate.</x:v>
      </x:c>
      <x:c r="K33" s="206" t="str">
        <x:f>IF(INDEX(Backlog!$U$2:$U$180,MATCH($D33,Backlog!$A$2:$A$180,0))="","",INDEX(Backlog!$U$2:$U$180,MATCH($D33,Backlog!$A$2:$A$180,0)))</x:f>
        <x:v>Backend runtime consumers, API composition, DB-facing services and backend architecture/genericity guards only. NO Frontend/PlantProcess.Web mutation. T-258 exclusively owns frontend material/genericity convergence.</x:v>
      </x:c>
      <x:c r="L33" s="206" t="str">
        <x:f>IF(INDEX(Backlog!$V$2:$V$180,MATCH($D33,Backlog!$A$2:$A$180,0))="","",INDEX(Backlog!$V$2:$V$180,MATCH($D33,Backlog!$A$2:$A$180,0)))</x:f>
        <x:v>Publish a bounded compatibility/consumer handoff manifest to T-258. Do not solve frontend Material pages/types/routes inside T-256; do not leave generic frontend red.</x:v>
      </x:c>
      <x:c r="M33" s="194" t="str">
        <x:f>IF(INDEX(Backlog!$AO$2:$AO$180,MATCH($D33,Backlog!$A$2:$A$180,0))="","",INDEX(Backlog!$AO$2:$AO$180,MATCH($D33,Backlog!$A$2:$A$180,0)))</x:f>
        <x:v>Recorded closed — inherited evidence</x:v>
      </x:c>
      <x:c r="N33" s="194" t="str">
        <x:f>IF(INDEX(Backlog!$AN$2:$AN$180,MATCH($D33,Backlog!$A$2:$A$180,0))="","",INDEX(Backlog!$AN$2:$AN$180,MATCH($D33,Backlog!$A$2:$A$180,0)))</x:f>
      </x:c>
    </x:row>
    <x:row r="34" ht="26" customHeight="1">
      <x:c r="A34" s="206" t="str">
        <x:f>IF(INDEX(Backlog!$L$2:$L$180,MATCH($D34,Backlog!$A$2:$A$180,0))="","",INDEX(Backlog!$L$2:$L$180,MATCH($D34,Backlog!$A$2:$A$180,0)))</x:f>
        <x:v>Worker 1</x:v>
      </x:c>
      <x:c r="B34" s="206" t="str">
        <x:f>IF(INDEX(Backlog!$B$2:$B$180,MATCH($D34,Backlog!$A$2:$A$180,0))="","",INDEX(Backlog!$B$2:$B$180,MATCH($D34,Backlog!$A$2:$A$180,0)))</x:f>
        <x:v>M2</x:v>
      </x:c>
      <x:c r="C34" s="206" t="str">
        <x:f>IF(INDEX(Backlog!$C$2:$C$180,MATCH($D34,Backlog!$A$2:$A$180,0))="","",INDEX(Backlog!$C$2:$C$180,MATCH($D34,Backlog!$A$2:$A$180,0)))</x:f>
        <x:v>P1</x:v>
      </x:c>
      <x:c r="D34" s="206" t="str">
        <x:v>T-259</x:v>
      </x:c>
      <x:c r="E34" s="206" t="str">
        <x:f>IF(INDEX(Backlog!$D$2:$D$180,MATCH($D34,Backlog!$A$2:$A$180,0))="","",INDEX(Backlog!$D$2:$D$180,MATCH($D34,Backlog!$A$2:$A$180,0)))</x:f>
        <x:v>Release evidence envelope v1 machine-readable contract</x:v>
      </x:c>
      <x:c r="F34" s="206" t="str">
        <x:f>IF(INDEX(Backlog!$K$2:$K$180,MATCH($D34,Backlog!$A$2:$A$180,0))="","",INDEX(Backlog!$K$2:$K$180,MATCH($D34,Backlog!$A$2:$A$180,0)))</x:f>
        <x:v>Done</x:v>
      </x:c>
      <x:c r="G34" s="206" t="n">
        <x:f>IF(ISNUMBER(INDEX(Backlog!$J$2:$J$180,MATCH($D34,Backlog!$A$2:$A$180,0))),INDEX(Backlog!$J$2:$J$180,MATCH($D34,Backlog!$A$2:$A$180,0)),"")</x:f>
        <x:v>2</x:v>
      </x:c>
      <x:c r="H34" s="206" t="n">
        <x:f>IF(ISNUMBER(INDEX(Backlog!$R$2:$R$180,MATCH($D34,Backlog!$A$2:$A$180,0))),INDEX(Backlog!$R$2:$R$180,MATCH($D34,Backlog!$A$2:$A$180,0)),"")</x:f>
        <x:v>0.3</x:v>
      </x:c>
      <x:c r="I34" s="206" t="str">
        <x:f>IF(INDEX(Backlog!$M$2:$M$180,MATCH($D34,Backlog!$A$2:$A$180,0))="","",INDEX(Backlog!$M$2:$M$180,MATCH($D34,Backlog!$A$2:$A$180,0)))</x:f>
        <x:v>T-251</x:v>
      </x:c>
      <x:c r="J34" s="206" t="str">
        <x:f>IF(INDEX(Backlog!$T$2:$T$180,MATCH($D34,Backlog!$A$2:$A$180,0))="","",INDEX(Backlog!$T$2:$T$180,MATCH($D34,Backlog!$A$2:$A$180,0)))</x:f>
        <x:v>Worker-1 P1 sequence is now T-251 → T-259 → T-252 → T-256. Start only after T-251 closes; contract-only bounded task.</x:v>
      </x:c>
      <x:c r="K34" s="206" t="str">
        <x:f>IF(INDEX(Backlog!$U$2:$U$180,MATCH($D34,Backlog!$A$2:$A$180,0))="","",INDEX(Backlog!$U$2:$U$180,MATCH($D34,Backlog!$A$2:$A$180,0)))</x:f>
        <x:v>Shared release-evidence schema/validator + focused contract tests only. No DB fixture implementation, frontend test runner, scorecard, feature code or release aggregation.</x:v>
      </x:c>
      <x:c r="L34" s="206" t="str">
        <x:f>IF(INDEX(Backlog!$V$2:$V$180,MATCH($D34,Backlog!$A$2:$A$180,0))="","",INDEX(Backlog!$V$2:$V$180,MATCH($D34,Backlog!$A$2:$A$180,0)))</x:f>
        <x:v>T-252/T-257 are producers. T-227 owns production acceptance scorecard/policy. T-150 aggregates. None may redefine the v1 envelope.</x:v>
      </x:c>
      <x:c r="M34" s="194" t="str">
        <x:f>IF(INDEX(Backlog!$AO$2:$AO$180,MATCH($D34,Backlog!$A$2:$A$180,0))="","",INDEX(Backlog!$AO$2:$AO$180,MATCH($D34,Backlog!$A$2:$A$180,0)))</x:f>
        <x:v>Recorded closed — inherited evidence</x:v>
      </x:c>
      <x:c r="N34" s="194" t="str">
        <x:f>IF(INDEX(Backlog!$AN$2:$AN$180,MATCH($D34,Backlog!$A$2:$A$180,0))="","",INDEX(Backlog!$AN$2:$AN$180,MATCH($D34,Backlog!$A$2:$A$180,0)))</x:f>
      </x:c>
    </x:row>
    <x:row r="35" ht="26" customHeight="1">
      <x:c r="A35" s="206" t="str">
        <x:f>IF(INDEX(Backlog!$L$2:$L$180,MATCH($D35,Backlog!$A$2:$A$180,0))="","",INDEX(Backlog!$L$2:$L$180,MATCH($D35,Backlog!$A$2:$A$180,0)))</x:f>
        <x:v>Worker 1</x:v>
      </x:c>
      <x:c r="B35" s="206" t="str">
        <x:f>IF(INDEX(Backlog!$B$2:$B$180,MATCH($D35,Backlog!$A$2:$A$180,0))="","",INDEX(Backlog!$B$2:$B$180,MATCH($D35,Backlog!$A$2:$A$180,0)))</x:f>
        <x:v>M2</x:v>
      </x:c>
      <x:c r="C35" s="206" t="str">
        <x:f>IF(INDEX(Backlog!$C$2:$C$180,MATCH($D35,Backlog!$A$2:$A$180,0))="","",INDEX(Backlog!$C$2:$C$180,MATCH($D35,Backlog!$A$2:$A$180,0)))</x:f>
        <x:v>P1</x:v>
      </x:c>
      <x:c r="D35" s="206" t="str">
        <x:v>T-260</x:v>
      </x:c>
      <x:c r="E35" s="206" t="str">
        <x:f>IF(INDEX(Backlog!$D$2:$D$180,MATCH($D35,Backlog!$A$2:$A$180,0))="","",INDEX(Backlog!$D$2:$D$180,MATCH($D35,Backlog!$A$2:$A$180,0)))</x:f>
        <x:v>Canonical acceptance database builder convergence</x:v>
      </x:c>
      <x:c r="F35" s="206" t="str">
        <x:f>IF(INDEX(Backlog!$K$2:$K$180,MATCH($D35,Backlog!$A$2:$A$180,0))="","",INDEX(Backlog!$K$2:$K$180,MATCH($D35,Backlog!$A$2:$A$180,0)))</x:f>
        <x:v>Done</x:v>
      </x:c>
      <x:c r="G35" s="206" t="n">
        <x:f>IF(ISNUMBER(INDEX(Backlog!$J$2:$J$180,MATCH($D35,Backlog!$A$2:$A$180,0))),INDEX(Backlog!$J$2:$J$180,MATCH($D35,Backlog!$A$2:$A$180,0)),"")</x:f>
        <x:v>6</x:v>
      </x:c>
      <x:c r="H35" s="206" t="n">
        <x:f>IF(ISNUMBER(INDEX(Backlog!$R$2:$R$180,MATCH($D35,Backlog!$A$2:$A$180,0))),INDEX(Backlog!$R$2:$R$180,MATCH($D35,Backlog!$A$2:$A$180,0)),"")</x:f>
        <x:v>1.8</x:v>
      </x:c>
      <x:c r="I35" s="206" t="str">
        <x:f>IF(INDEX(Backlog!$M$2:$M$180,MATCH($D35,Backlog!$A$2:$A$180,0))="","",INDEX(Backlog!$M$2:$M$180,MATCH($D35,Backlog!$A$2:$A$180,0)))</x:f>
        <x:v>T-088</x:v>
      </x:c>
      <x:c r="J35" s="206" t="str">
        <x:f>IF(INDEX(Backlog!$T$2:$T$180,MATCH($D35,Backlog!$A$2:$A$180,0))="","",INDEX(Backlog!$T$2:$T$180,MATCH($D35,Backlog!$A$2:$A$180,0)))</x:f>
        <x:v>START NOW as the narrow blocker discovered by T-251. Pause catalogue adjudication; do not hand-classify the current 106/81 fresh-DB queue. Build/fix the canonical acceptance DB first, then resume T-251 on the corrected census.</x:v>
      </x:c>
      <x:c r="K35" s="206" t="str">
        <x:f>IF(INDEX(Backlog!$U$2:$U$180,MATCH($D35,Backlog!$A$2:$A$180,0))="","",INDEX(Backlog!$U$2:$U$180,MATCH($D35,Backlog!$A$2:$A$180,0)))</x:f>
        <x:v>Fresh acceptance DB builder, canonical migration-order consumer/validation, focused builder tests and T-251 rerun orchestration only. No product runtime/API/frontend changes; no mutation of ppiq_app or ppiq_presentation; no broad migration rewrite.</x:v>
      </x:c>
      <x:c r="L35" s="206" t="str">
        <x:f>IF(INDEX(Backlog!$V$2:$V$180,MATCH($D35,Backlog!$A$2:$A$180,0))="","",INDEX(Backlog!$V$2:$V$180,MATCH($D35,Backlog!$A$2:$A$180,0)))</x:f>
        <x:v>T-260 corrects how the fresh certification DB is constructed; T-251 remains the physical catalogue owner and resumes only on the corrected DB. T-256 later owns genuine runtime/schema compatibility residue that remains after a correct fresh build.</x:v>
      </x:c>
      <x:c r="M35" s="194" t="str">
        <x:f>IF(INDEX(Backlog!$AO$2:$AO$180,MATCH($D35,Backlog!$A$2:$A$180,0))="","",INDEX(Backlog!$AO$2:$AO$180,MATCH($D35,Backlog!$A$2:$A$180,0)))</x:f>
        <x:v>Recorded closed — inherited evidence</x:v>
      </x:c>
      <x:c r="N35" s="194" t="str">
        <x:f>IF(INDEX(Backlog!$AN$2:$AN$180,MATCH($D35,Backlog!$A$2:$A$180,0))="","",INDEX(Backlog!$AN$2:$AN$180,MATCH($D35,Backlog!$A$2:$A$180,0)))</x:f>
      </x:c>
    </x:row>
    <x:row r="36" ht="26" customHeight="1">
      <x:c r="A36" s="206" t="str">
        <x:f>IF(INDEX(Backlog!$L$2:$L$180,MATCH($D36,Backlog!$A$2:$A$180,0))="","",INDEX(Backlog!$L$2:$L$180,MATCH($D36,Backlog!$A$2:$A$180,0)))</x:f>
        <x:v>Worker 1</x:v>
      </x:c>
      <x:c r="B36" s="206" t="str">
        <x:f>IF(INDEX(Backlog!$B$2:$B$180,MATCH($D36,Backlog!$A$2:$A$180,0))="","",INDEX(Backlog!$B$2:$B$180,MATCH($D36,Backlog!$A$2:$A$180,0)))</x:f>
        <x:v>M2</x:v>
      </x:c>
      <x:c r="C36" s="206" t="str">
        <x:f>IF(INDEX(Backlog!$C$2:$C$180,MATCH($D36,Backlog!$A$2:$A$180,0))="","",INDEX(Backlog!$C$2:$C$180,MATCH($D36,Backlog!$A$2:$A$180,0)))</x:f>
        <x:v>P2</x:v>
      </x:c>
      <x:c r="D36" s="206" t="str">
        <x:v>T-095</x:v>
      </x:c>
      <x:c r="E36" s="206" t="str">
        <x:f>IF(INDEX(Backlog!$D$2:$D$180,MATCH($D36,Backlog!$A$2:$A$180,0))="","",INDEX(Backlog!$D$2:$D$180,MATCH($D36,Backlog!$A$2:$A$180,0)))</x:f>
        <x:v>Relationship members, cardinality, grain conversion and preferred paths</x:v>
      </x:c>
      <x:c r="F36" s="206" t="str">
        <x:f>IF(INDEX(Backlog!$K$2:$K$180,MATCH($D36,Backlog!$A$2:$A$180,0))="","",INDEX(Backlog!$K$2:$K$180,MATCH($D36,Backlog!$A$2:$A$180,0)))</x:f>
        <x:v>Done</x:v>
      </x:c>
      <x:c r="G36" s="206" t="n">
        <x:f>IF(ISNUMBER(INDEX(Backlog!$J$2:$J$180,MATCH($D36,Backlog!$A$2:$A$180,0))),INDEX(Backlog!$J$2:$J$180,MATCH($D36,Backlog!$A$2:$A$180,0)),"")</x:f>
        <x:v>12</x:v>
      </x:c>
      <x:c r="H36" s="206" t="n">
        <x:f>IF(ISNUMBER(INDEX(Backlog!$R$2:$R$180,MATCH($D36,Backlog!$A$2:$A$180,0))),INDEX(Backlog!$R$2:$R$180,MATCH($D36,Backlog!$A$2:$A$180,0)),"")</x:f>
        <x:v>1.7999999999999998</x:v>
      </x:c>
      <x:c r="I36" s="206" t="str">
        <x:f>IF(INDEX(Backlog!$M$2:$M$180,MATCH($D36,Backlog!$A$2:$A$180,0))="","",INDEX(Backlog!$M$2:$M$180,MATCH($D36,Backlog!$A$2:$A$180,0)))</x:f>
        <x:v>T-057; T-089; T-090; T-094</x:v>
      </x:c>
      <x:c r="J36" s="206" t="str">
        <x:f>IF(INDEX(Backlog!$T$2:$T$180,MATCH($D36,Backlog!$A$2:$A$180,0))="","",INDEX(Backlog!$T$2:$T$180,MATCH($D36,Backlog!$A$2:$A$180,0)))</x:f>
        <x:v>WAIT for Presentation RC freeze/tag + clean index/worktree. Then: T-057 M1 relationship contract + T-089 + T-090 + T-094.</x:v>
      </x:c>
      <x:c r="K36" s="206" t="str">
        <x:f>IF(INDEX(Backlog!$U$2:$U$180,MATCH($D36,Backlog!$A$2:$A$180,0))="","",INDEX(Backlog!$U$2:$U$180,MATCH($D36,Backlog!$A$2:$A$180,0)))</x:f>
        <x:v>Own canonical DB/backend/security/API/infra. No W2-owned UI/admin task files and no W3 ML/Assistant runtime.</x:v>
      </x:c>
      <x:c r="L36" s="206" t="str">
        <x:f>IF(INDEX(Backlog!$V$2:$V$180,MATCH($D36,Backlog!$A$2:$A$180,0))="","",INDEX(Backlog!$V$2:$V$180,MATCH($D36,Backlog!$A$2:$A$180,0)))</x:f>
        <x:v>Commit before downstream consumer starts; consumer must use the contract, not redesign producer-owned semantics.</x:v>
      </x:c>
      <x:c r="M36" s="194" t="str">
        <x:f>IF(INDEX(Backlog!$AO$2:$AO$180,MATCH($D36,Backlog!$A$2:$A$180,0))="","",INDEX(Backlog!$AO$2:$AO$180,MATCH($D36,Backlog!$A$2:$A$180,0)))</x:f>
        <x:v>Recorded closed — inherited evidence</x:v>
      </x:c>
      <x:c r="N36" s="194" t="str">
        <x:f>IF(INDEX(Backlog!$AN$2:$AN$180,MATCH($D36,Backlog!$A$2:$A$180,0))="","",INDEX(Backlog!$AN$2:$AN$180,MATCH($D36,Backlog!$A$2:$A$180,0)))</x:f>
      </x:c>
    </x:row>
    <x:row r="37" ht="26" customHeight="1">
      <x:c r="A37" s="206" t="str">
        <x:f>IF(INDEX(Backlog!$L$2:$L$180,MATCH($D37,Backlog!$A$2:$A$180,0))="","",INDEX(Backlog!$L$2:$L$180,MATCH($D37,Backlog!$A$2:$A$180,0)))</x:f>
        <x:v>Worker 1</x:v>
      </x:c>
      <x:c r="B37" s="206" t="str">
        <x:f>IF(INDEX(Backlog!$B$2:$B$180,MATCH($D37,Backlog!$A$2:$A$180,0))="","",INDEX(Backlog!$B$2:$B$180,MATCH($D37,Backlog!$A$2:$A$180,0)))</x:f>
        <x:v>M2</x:v>
      </x:c>
      <x:c r="C37" s="206" t="str">
        <x:f>IF(INDEX(Backlog!$C$2:$C$180,MATCH($D37,Backlog!$A$2:$A$180,0))="","",INDEX(Backlog!$C$2:$C$180,MATCH($D37,Backlog!$A$2:$A$180,0)))</x:f>
        <x:v>P2</x:v>
      </x:c>
      <x:c r="D37" s="206" t="str">
        <x:v>T-096</x:v>
      </x:c>
      <x:c r="E37" s="206" t="str">
        <x:f>IF(INDEX(Backlog!$D$2:$D$180,MATCH($D37,Backlog!$A$2:$A$180,0))="","",INDEX(Backlog!$D$2:$D$180,MATCH($D37,Backlog!$A$2:$A$180,0)))</x:f>
        <x:v>Path resolver, part 1: resolver core and the first eight consumers</x:v>
      </x:c>
      <x:c r="F37" s="206" t="str">
        <x:f>IF(INDEX(Backlog!$K$2:$K$180,MATCH($D37,Backlog!$A$2:$A$180,0))="","",INDEX(Backlog!$K$2:$K$180,MATCH($D37,Backlog!$A$2:$A$180,0)))</x:f>
        <x:v>Done</x:v>
      </x:c>
      <x:c r="G37" s="206" t="n">
        <x:f>IF(ISNUMBER(INDEX(Backlog!$J$2:$J$180,MATCH($D37,Backlog!$A$2:$A$180,0))),INDEX(Backlog!$J$2:$J$180,MATCH($D37,Backlog!$A$2:$A$180,0)),"")</x:f>
        <x:v>8</x:v>
      </x:c>
      <x:c r="H37" s="206" t="n">
        <x:f>IF(ISNUMBER(INDEX(Backlog!$R$2:$R$180,MATCH($D37,Backlog!$A$2:$A$180,0))),INDEX(Backlog!$R$2:$R$180,MATCH($D37,Backlog!$A$2:$A$180,0)),"")</x:f>
        <x:v>1.2000000000000002</x:v>
      </x:c>
      <x:c r="I37" s="206" t="str">
        <x:f>IF(INDEX(Backlog!$M$2:$M$180,MATCH($D37,Backlog!$A$2:$A$180,0))="","",INDEX(Backlog!$M$2:$M$180,MATCH($D37,Backlog!$A$2:$A$180,0)))</x:f>
        <x:v>T-095</x:v>
      </x:c>
      <x:c r="J37" s="206" t="str">
        <x:f>IF(INDEX(Backlog!$T$2:$T$180,MATCH($D37,Backlog!$A$2:$A$180,0))="","",INDEX(Backlog!$T$2:$T$180,MATCH($D37,Backlog!$A$2:$A$180,0)))</x:f>
        <x:v>WAIT for Presentation RC freeze/tag + clean index/worktree. Then: T-095 canonical relationship publication/model complete.</x:v>
      </x:c>
      <x:c r="K37" s="206" t="str">
        <x:f>IF(INDEX(Backlog!$U$2:$U$180,MATCH($D37,Backlog!$A$2:$A$180,0))="","",INDEX(Backlog!$U$2:$U$180,MATCH($D37,Backlog!$A$2:$A$180,0)))</x:f>
        <x:v>Own canonical DB/backend/security/API/infra. No W2-owned UI/admin task files and no W3 ML/Assistant runtime.</x:v>
      </x:c>
      <x:c r="L37" s="206" t="str">
        <x:f>IF(INDEX(Backlog!$V$2:$V$180,MATCH($D37,Backlog!$A$2:$A$180,0))="","",INDEX(Backlog!$V$2:$V$180,MATCH($D37,Backlog!$A$2:$A$180,0)))</x:f>
        <x:v>Commit before downstream consumer starts; consumer must use the contract, not redesign producer-owned semantics.</x:v>
      </x:c>
      <x:c r="M37" s="194" t="str">
        <x:f>IF(INDEX(Backlog!$AO$2:$AO$180,MATCH($D37,Backlog!$A$2:$A$180,0))="","",INDEX(Backlog!$AO$2:$AO$180,MATCH($D37,Backlog!$A$2:$A$180,0)))</x:f>
        <x:v>Recorded closed — inherited evidence</x:v>
      </x:c>
      <x:c r="N37" s="194" t="str">
        <x:f>IF(INDEX(Backlog!$AN$2:$AN$180,MATCH($D37,Backlog!$A$2:$A$180,0))="","",INDEX(Backlog!$AN$2:$AN$180,MATCH($D37,Backlog!$A$2:$A$180,0)))</x:f>
      </x:c>
    </x:row>
    <x:row r="38" ht="26" customHeight="1">
      <x:c r="A38" s="206" t="str">
        <x:f>IF(INDEX(Backlog!$L$2:$L$180,MATCH($D38,Backlog!$A$2:$A$180,0))="","",INDEX(Backlog!$L$2:$L$180,MATCH($D38,Backlog!$A$2:$A$180,0)))</x:f>
        <x:v>Worker 1</x:v>
      </x:c>
      <x:c r="B38" s="206" t="str">
        <x:f>IF(INDEX(Backlog!$B$2:$B$180,MATCH($D38,Backlog!$A$2:$A$180,0))="","",INDEX(Backlog!$B$2:$B$180,MATCH($D38,Backlog!$A$2:$A$180,0)))</x:f>
        <x:v>M2</x:v>
      </x:c>
      <x:c r="C38" s="206" t="str">
        <x:f>IF(INDEX(Backlog!$C$2:$C$180,MATCH($D38,Backlog!$A$2:$A$180,0))="","",INDEX(Backlog!$C$2:$C$180,MATCH($D38,Backlog!$A$2:$A$180,0)))</x:f>
        <x:v>P2</x:v>
      </x:c>
      <x:c r="D38" s="206" t="str">
        <x:v>T-097</x:v>
      </x:c>
      <x:c r="E38" s="206" t="str">
        <x:f>IF(INDEX(Backlog!$D$2:$D$180,MATCH($D38,Backlog!$A$2:$A$180,0))="","",INDEX(Backlog!$D$2:$D$180,MATCH($D38,Backlog!$A$2:$A$180,0)))</x:f>
        <x:v>Path resolver, part 2: the remaining eight consumers and the regression suite</x:v>
      </x:c>
      <x:c r="F38" s="206" t="str">
        <x:f>IF(INDEX(Backlog!$K$2:$K$180,MATCH($D38,Backlog!$A$2:$A$180,0))="","",INDEX(Backlog!$K$2:$K$180,MATCH($D38,Backlog!$A$2:$A$180,0)))</x:f>
        <x:v>Done</x:v>
      </x:c>
      <x:c r="G38" s="206" t="n">
        <x:f>IF(ISNUMBER(INDEX(Backlog!$J$2:$J$180,MATCH($D38,Backlog!$A$2:$A$180,0))),INDEX(Backlog!$J$2:$J$180,MATCH($D38,Backlog!$A$2:$A$180,0)),"")</x:f>
        <x:v>6</x:v>
      </x:c>
      <x:c r="H38" s="206" t="n">
        <x:f>IF(ISNUMBER(INDEX(Backlog!$R$2:$R$180,MATCH($D38,Backlog!$A$2:$A$180,0))),INDEX(Backlog!$R$2:$R$180,MATCH($D38,Backlog!$A$2:$A$180,0)),"")</x:f>
        <x:v>0.8999999999999999</x:v>
      </x:c>
      <x:c r="I38" s="206" t="str">
        <x:f>IF(INDEX(Backlog!$M$2:$M$180,MATCH($D38,Backlog!$A$2:$A$180,0))="","",INDEX(Backlog!$M$2:$M$180,MATCH($D38,Backlog!$A$2:$A$180,0)))</x:f>
        <x:v>T-096</x:v>
      </x:c>
      <x:c r="J38" s="206" t="str">
        <x:f>IF(INDEX(Backlog!$T$2:$T$180,MATCH($D38,Backlog!$A$2:$A$180,0))="","",INDEX(Backlog!$T$2:$T$180,MATCH($D38,Backlog!$A$2:$A$180,0)))</x:f>
        <x:v>WAIT for Presentation RC freeze/tag + clean index/worktree. Then: T-096 first resolver consumers green.</x:v>
      </x:c>
      <x:c r="K38" s="206" t="str">
        <x:f>IF(INDEX(Backlog!$U$2:$U$180,MATCH($D38,Backlog!$A$2:$A$180,0))="","",INDEX(Backlog!$U$2:$U$180,MATCH($D38,Backlog!$A$2:$A$180,0)))</x:f>
        <x:v>Own canonical DB/backend/security/API/infra. No W2-owned UI/admin task files and no W3 ML/Assistant runtime.</x:v>
      </x:c>
      <x:c r="L38" s="206" t="str">
        <x:f>IF(INDEX(Backlog!$V$2:$V$180,MATCH($D38,Backlog!$A$2:$A$180,0))="","",INDEX(Backlog!$V$2:$V$180,MATCH($D38,Backlog!$A$2:$A$180,0)))</x:f>
        <x:v>Commit before downstream consumer starts; consumer must use the contract, not redesign producer-owned semantics.</x:v>
      </x:c>
      <x:c r="M38" s="194" t="str">
        <x:f>IF(INDEX(Backlog!$AO$2:$AO$180,MATCH($D38,Backlog!$A$2:$A$180,0))="","",INDEX(Backlog!$AO$2:$AO$180,MATCH($D38,Backlog!$A$2:$A$180,0)))</x:f>
        <x:v>Recorded closed — inherited evidence</x:v>
      </x:c>
      <x:c r="N38" s="194" t="str">
        <x:f>IF(INDEX(Backlog!$AN$2:$AN$180,MATCH($D38,Backlog!$A$2:$A$180,0))="","",INDEX(Backlog!$AN$2:$AN$180,MATCH($D38,Backlog!$A$2:$A$180,0)))</x:f>
      </x:c>
    </x:row>
    <x:row r="39" ht="26" customHeight="1">
      <x:c r="A39" s="206" t="str">
        <x:f>IF(INDEX(Backlog!$L$2:$L$180,MATCH($D39,Backlog!$A$2:$A$180,0))="","",INDEX(Backlog!$L$2:$L$180,MATCH($D39,Backlog!$A$2:$A$180,0)))</x:f>
        <x:v>Worker 1</x:v>
      </x:c>
      <x:c r="B39" s="206" t="str">
        <x:f>IF(INDEX(Backlog!$B$2:$B$180,MATCH($D39,Backlog!$A$2:$A$180,0))="","",INDEX(Backlog!$B$2:$B$180,MATCH($D39,Backlog!$A$2:$A$180,0)))</x:f>
        <x:v>M2</x:v>
      </x:c>
      <x:c r="C39" s="206" t="str">
        <x:f>IF(INDEX(Backlog!$C$2:$C$180,MATCH($D39,Backlog!$A$2:$A$180,0))="","",INDEX(Backlog!$C$2:$C$180,MATCH($D39,Backlog!$A$2:$A$180,0)))</x:f>
        <x:v>P2</x:v>
      </x:c>
      <x:c r="D39" s="206" t="str">
        <x:v>T-099</x:v>
      </x:c>
      <x:c r="E39" s="206" t="str">
        <x:f>IF(INDEX(Backlog!$D$2:$D$180,MATCH($D39,Backlog!$A$2:$A$180,0))="","",INDEX(Backlog!$D$2:$D$180,MATCH($D39,Backlog!$A$2:$A$180,0)))</x:f>
        <x:v>Quarantine, part 1: the table, the reprocess API and the first eight PV classes</x:v>
      </x:c>
      <x:c r="F39" s="206" t="str">
        <x:f>IF(INDEX(Backlog!$K$2:$K$180,MATCH($D39,Backlog!$A$2:$A$180,0))="","",INDEX(Backlog!$K$2:$K$180,MATCH($D39,Backlog!$A$2:$A$180,0)))</x:f>
        <x:v>Done</x:v>
      </x:c>
      <x:c r="G39" s="206" t="n">
        <x:f>IF(ISNUMBER(INDEX(Backlog!$J$2:$J$180,MATCH($D39,Backlog!$A$2:$A$180,0))),INDEX(Backlog!$J$2:$J$180,MATCH($D39,Backlog!$A$2:$A$180,0)),"")</x:f>
        <x:v>8</x:v>
      </x:c>
      <x:c r="H39" s="206" t="n">
        <x:f>IF(ISNUMBER(INDEX(Backlog!$R$2:$R$180,MATCH($D39,Backlog!$A$2:$A$180,0))),INDEX(Backlog!$R$2:$R$180,MATCH($D39,Backlog!$A$2:$A$180,0)),"")</x:f>
        <x:v>1.2000000000000002</x:v>
      </x:c>
      <x:c r="I39" s="206" t="str">
        <x:f>IF(INDEX(Backlog!$M$2:$M$180,MATCH($D39,Backlog!$A$2:$A$180,0))="","",INDEX(Backlog!$M$2:$M$180,MATCH($D39,Backlog!$A$2:$A$180,0)))</x:f>
        <x:v>T-087; T-089; T-090</x:v>
      </x:c>
      <x:c r="J39" s="206" t="str">
        <x:f>IF(INDEX(Backlog!$T$2:$T$180,MATCH($D39,Backlog!$A$2:$A$180,0))="","",INDEX(Backlog!$T$2:$T$180,MATCH($D39,Backlog!$A$2:$A$180,0)))</x:f>
        <x:v>WAIT for Presentation RC freeze/tag + clean index/worktree. Then: T-087 canonical staging schema + T-089/T-090 definition_versions authority.</x:v>
      </x:c>
      <x:c r="K39" s="206" t="str">
        <x:f>IF(INDEX(Backlog!$U$2:$U$180,MATCH($D39,Backlog!$A$2:$A$180,0))="","",INDEX(Backlog!$U$2:$U$180,MATCH($D39,Backlog!$A$2:$A$180,0)))</x:f>
        <x:v>Own canonical DB/backend/security/API/infra. No W2-owned UI/admin task files and no W3 ML/Assistant runtime.</x:v>
      </x:c>
      <x:c r="L39" s="206" t="str">
        <x:f>IF(INDEX(Backlog!$V$2:$V$180,MATCH($D39,Backlog!$A$2:$A$180,0))="","",INDEX(Backlog!$V$2:$V$180,MATCH($D39,Backlog!$A$2:$A$180,0)))</x:f>
        <x:v>Commit before downstream consumer starts; consumer must use the contract, not redesign producer-owned semantics.</x:v>
      </x:c>
      <x:c r="M39" s="194" t="str">
        <x:f>IF(INDEX(Backlog!$AO$2:$AO$180,MATCH($D39,Backlog!$A$2:$A$180,0))="","",INDEX(Backlog!$AO$2:$AO$180,MATCH($D39,Backlog!$A$2:$A$180,0)))</x:f>
        <x:v>CLOSED GREEN / COMMITTED — owner-reported</x:v>
      </x:c>
      <x:c r="N39" s="194" t="str">
        <x:f>IF(INDEX(Backlog!$AN$2:$AN$180,MATCH($D39,Backlog!$A$2:$A$180,0))="","",INDEX(Backlog!$AN$2:$AN$180,MATCH($D39,Backlog!$A$2:$A$180,0)))</x:f>
      </x:c>
    </x:row>
    <x:row r="40" ht="26" customHeight="1">
      <x:c r="A40" s="206" t="str">
        <x:f>IF(INDEX(Backlog!$L$2:$L$180,MATCH($D40,Backlog!$A$2:$A$180,0))="","",INDEX(Backlog!$L$2:$L$180,MATCH($D40,Backlog!$A$2:$A$180,0)))</x:f>
        <x:v>Worker 1</x:v>
      </x:c>
      <x:c r="B40" s="206" t="str">
        <x:f>IF(INDEX(Backlog!$B$2:$B$180,MATCH($D40,Backlog!$A$2:$A$180,0))="","",INDEX(Backlog!$B$2:$B$180,MATCH($D40,Backlog!$A$2:$A$180,0)))</x:f>
        <x:v>M2</x:v>
      </x:c>
      <x:c r="C40" s="206" t="str">
        <x:f>IF(INDEX(Backlog!$C$2:$C$180,MATCH($D40,Backlog!$A$2:$A$180,0))="","",INDEX(Backlog!$C$2:$C$180,MATCH($D40,Backlog!$A$2:$A$180,0)))</x:f>
        <x:v>P2</x:v>
      </x:c>
      <x:c r="D40" s="206" t="str">
        <x:v>T-100</x:v>
      </x:c>
      <x:c r="E40" s="206" t="str">
        <x:f>IF(INDEX(Backlog!$D$2:$D$180,MATCH($D40,Backlog!$A$2:$A$180,0))="","",INDEX(Backlog!$D$2:$D$180,MATCH($D40,Backlog!$A$2:$A$180,0)))</x:f>
        <x:v>Quarantine, part 2: the remaining seven PV classes and per-class tests</x:v>
      </x:c>
      <x:c r="F40" s="206" t="str">
        <x:f>IF(INDEX(Backlog!$K$2:$K$180,MATCH($D40,Backlog!$A$2:$A$180,0))="","",INDEX(Backlog!$K$2:$K$180,MATCH($D40,Backlog!$A$2:$A$180,0)))</x:f>
        <x:v>Not Started</x:v>
      </x:c>
      <x:c r="G40" s="206" t="n">
        <x:f>IF(ISNUMBER(INDEX(Backlog!$J$2:$J$180,MATCH($D40,Backlog!$A$2:$A$180,0))),INDEX(Backlog!$J$2:$J$180,MATCH($D40,Backlog!$A$2:$A$180,0)),"")</x:f>
        <x:v>6</x:v>
      </x:c>
      <x:c r="H40" s="206" t="n">
        <x:f>IF(ISNUMBER(INDEX(Backlog!$R$2:$R$180,MATCH($D40,Backlog!$A$2:$A$180,0))),INDEX(Backlog!$R$2:$R$180,MATCH($D40,Backlog!$A$2:$A$180,0)),"")</x:f>
        <x:v>0.8999999999999999</x:v>
      </x:c>
      <x:c r="I40" s="206" t="str">
        <x:f>IF(INDEX(Backlog!$M$2:$M$180,MATCH($D40,Backlog!$A$2:$A$180,0))="","",INDEX(Backlog!$M$2:$M$180,MATCH($D40,Backlog!$A$2:$A$180,0)))</x:f>
        <x:v>T-099</x:v>
      </x:c>
      <x:c r="J40" s="206" t="str">
        <x:f>IF(INDEX(Backlog!$T$2:$T$180,MATCH($D40,Backlog!$A$2:$A$180,0))="","",INDEX(Backlog!$T$2:$T$180,MATCH($D40,Backlog!$A$2:$A$180,0)))</x:f>
        <x:v>WAIT for Presentation RC freeze/tag + clean index/worktree. Then: T-099 canonical quarantine table/API and first eight PV classes.</x:v>
      </x:c>
      <x:c r="K40" s="206" t="str">
        <x:f>IF(INDEX(Backlog!$U$2:$U$180,MATCH($D40,Backlog!$A$2:$A$180,0))="","",INDEX(Backlog!$U$2:$U$180,MATCH($D40,Backlog!$A$2:$A$180,0)))</x:f>
        <x:v>Own canonical DB/backend/security/API/infra. No W2-owned UI/admin task files and no W3 ML/Assistant runtime.</x:v>
      </x:c>
      <x:c r="L40" s="206" t="str">
        <x:f>IF(INDEX(Backlog!$V$2:$V$180,MATCH($D40,Backlog!$A$2:$A$180,0))="","",INDEX(Backlog!$V$2:$V$180,MATCH($D40,Backlog!$A$2:$A$180,0)))</x:f>
        <x:v>Commit before downstream consumer starts; consumer must use the contract, not redesign producer-owned semantics.</x:v>
      </x:c>
      <x:c r="M40" s="194" t="str">
        <x:f>IF(INDEX(Backlog!$AO$2:$AO$180,MATCH($D40,Backlog!$A$2:$A$180,0))="","",INDEX(Backlog!$AO$2:$AO$180,MATCH($D40,Backlog!$A$2:$A$180,0)))</x:f>
        <x:v>Not started — no completion claimed</x:v>
      </x:c>
      <x:c r="N40" s="194" t="str">
        <x:f>IF(INDEX(Backlog!$AN$2:$AN$180,MATCH($D40,Backlog!$A$2:$A$180,0))="","",INDEX(Backlog!$AN$2:$AN$180,MATCH($D40,Backlog!$A$2:$A$180,0)))</x:f>
      </x:c>
    </x:row>
    <x:row r="41" ht="26" customHeight="1">
      <x:c r="A41" s="206" t="str">
        <x:f>IF(INDEX(Backlog!$L$2:$L$180,MATCH($D41,Backlog!$A$2:$A$180,0))="","",INDEX(Backlog!$L$2:$L$180,MATCH($D41,Backlog!$A$2:$A$180,0)))</x:f>
        <x:v>Worker 1</x:v>
      </x:c>
      <x:c r="B41" s="206" t="str">
        <x:f>IF(INDEX(Backlog!$B$2:$B$180,MATCH($D41,Backlog!$A$2:$A$180,0))="","",INDEX(Backlog!$B$2:$B$180,MATCH($D41,Backlog!$A$2:$A$180,0)))</x:f>
        <x:v>M2</x:v>
      </x:c>
      <x:c r="C41" s="206" t="str">
        <x:f>IF(INDEX(Backlog!$C$2:$C$180,MATCH($D41,Backlog!$A$2:$A$180,0))="","",INDEX(Backlog!$C$2:$C$180,MATCH($D41,Backlog!$A$2:$A$180,0)))</x:f>
        <x:v>P2</x:v>
      </x:c>
      <x:c r="D41" s="206" t="str">
        <x:v>T-102</x:v>
      </x:c>
      <x:c r="E41" s="206" t="str">
        <x:f>IF(INDEX(Backlog!$D$2:$D$180,MATCH($D41,Backlog!$A$2:$A$180,0))="","",INDEX(Backlog!$D$2:$D$180,MATCH($D41,Backlog!$A$2:$A$180,0)))</x:f>
        <x:v>Identity resolution across sources</x:v>
      </x:c>
      <x:c r="F41" s="206" t="str">
        <x:f>IF(INDEX(Backlog!$K$2:$K$180,MATCH($D41,Backlog!$A$2:$A$180,0))="","",INDEX(Backlog!$K$2:$K$180,MATCH($D41,Backlog!$A$2:$A$180,0)))</x:f>
        <x:v>Not Started</x:v>
      </x:c>
      <x:c r="G41" s="206" t="n">
        <x:f>IF(ISNUMBER(INDEX(Backlog!$J$2:$J$180,MATCH($D41,Backlog!$A$2:$A$180,0))),INDEX(Backlog!$J$2:$J$180,MATCH($D41,Backlog!$A$2:$A$180,0)),"")</x:f>
        <x:v>8</x:v>
      </x:c>
      <x:c r="H41" s="206" t="n">
        <x:f>IF(ISNUMBER(INDEX(Backlog!$R$2:$R$180,MATCH($D41,Backlog!$A$2:$A$180,0))),INDEX(Backlog!$R$2:$R$180,MATCH($D41,Backlog!$A$2:$A$180,0)),"")</x:f>
        <x:v>1.2000000000000002</x:v>
      </x:c>
      <x:c r="I41" s="206" t="str">
        <x:f>IF(INDEX(Backlog!$M$2:$M$180,MATCH($D41,Backlog!$A$2:$A$180,0))="","",INDEX(Backlog!$M$2:$M$180,MATCH($D41,Backlog!$A$2:$A$180,0)))</x:f>
        <x:v>T-087; T-095</x:v>
      </x:c>
      <x:c r="J41" s="206" t="str">
        <x:f>IF(INDEX(Backlog!$T$2:$T$180,MATCH($D41,Backlog!$A$2:$A$180,0))="","",INDEX(Backlog!$T$2:$T$180,MATCH($D41,Backlog!$A$2:$A$180,0)))</x:f>
        <x:v>WAIT for Presentation RC freeze/tag + clean index/worktree. Then: T-087 canonical plant schema + T-095 relationship/material identity authority.</x:v>
      </x:c>
      <x:c r="K41" s="206" t="str">
        <x:f>IF(INDEX(Backlog!$U$2:$U$180,MATCH($D41,Backlog!$A$2:$A$180,0))="","",INDEX(Backlog!$U$2:$U$180,MATCH($D41,Backlog!$A$2:$A$180,0)))</x:f>
        <x:v>Own canonical DB/backend/security/API/infra. No W2-owned UI/admin task files and no W3 ML/Assistant runtime.</x:v>
      </x:c>
      <x:c r="L41" s="206" t="str">
        <x:f>IF(INDEX(Backlog!$V$2:$V$180,MATCH($D41,Backlog!$A$2:$A$180,0))="","",INDEX(Backlog!$V$2:$V$180,MATCH($D41,Backlog!$A$2:$A$180,0)))</x:f>
        <x:v>Commit before downstream consumer starts; consumer must use the contract, not redesign producer-owned semantics.</x:v>
      </x:c>
      <x:c r="M41" s="194" t="str">
        <x:f>IF(INDEX(Backlog!$AO$2:$AO$180,MATCH($D41,Backlog!$A$2:$A$180,0))="","",INDEX(Backlog!$AO$2:$AO$180,MATCH($D41,Backlog!$A$2:$A$180,0)))</x:f>
        <x:v>Not started — no completion claimed</x:v>
      </x:c>
      <x:c r="N41" s="194" t="str">
        <x:f>IF(INDEX(Backlog!$AN$2:$AN$180,MATCH($D41,Backlog!$A$2:$A$180,0))="","",INDEX(Backlog!$AN$2:$AN$180,MATCH($D41,Backlog!$A$2:$A$180,0)))</x:f>
      </x:c>
    </x:row>
    <x:row r="42" ht="26" customHeight="1">
      <x:c r="A42" s="206" t="str">
        <x:f>IF(INDEX(Backlog!$L$2:$L$180,MATCH($D42,Backlog!$A$2:$A$180,0))="","",INDEX(Backlog!$L$2:$L$180,MATCH($D42,Backlog!$A$2:$A$180,0)))</x:f>
        <x:v>Worker 1</x:v>
      </x:c>
      <x:c r="B42" s="206" t="str">
        <x:f>IF(INDEX(Backlog!$B$2:$B$180,MATCH($D42,Backlog!$A$2:$A$180,0))="","",INDEX(Backlog!$B$2:$B$180,MATCH($D42,Backlog!$A$2:$A$180,0)))</x:f>
        <x:v>M2</x:v>
      </x:c>
      <x:c r="C42" s="206" t="str">
        <x:f>IF(INDEX(Backlog!$C$2:$C$180,MATCH($D42,Backlog!$A$2:$A$180,0))="","",INDEX(Backlog!$C$2:$C$180,MATCH($D42,Backlog!$A$2:$A$180,0)))</x:f>
        <x:v>P2</x:v>
      </x:c>
      <x:c r="D42" s="206" t="str">
        <x:v>T-103</x:v>
      </x:c>
      <x:c r="E42" s="206" t="str">
        <x:f>IF(INDEX(Backlog!$D$2:$D$180,MATCH($D42,Backlog!$A$2:$A$180,0))="","",INDEX(Backlog!$D$2:$D$180,MATCH($D42,Backlog!$A$2:$A$180,0)))</x:f>
        <x:v>Genealogy bidirectional walk hardening and weight proof</x:v>
      </x:c>
      <x:c r="F42" s="206" t="str">
        <x:f>IF(INDEX(Backlog!$K$2:$K$180,MATCH($D42,Backlog!$A$2:$A$180,0))="","",INDEX(Backlog!$K$2:$K$180,MATCH($D42,Backlog!$A$2:$A$180,0)))</x:f>
        <x:v>Not Started</x:v>
      </x:c>
      <x:c r="G42" s="206" t="n">
        <x:f>IF(ISNUMBER(INDEX(Backlog!$J$2:$J$180,MATCH($D42,Backlog!$A$2:$A$180,0))),INDEX(Backlog!$J$2:$J$180,MATCH($D42,Backlog!$A$2:$A$180,0)),"")</x:f>
        <x:v>6</x:v>
      </x:c>
      <x:c r="H42" s="206" t="n">
        <x:f>IF(ISNUMBER(INDEX(Backlog!$R$2:$R$180,MATCH($D42,Backlog!$A$2:$A$180,0))),INDEX(Backlog!$R$2:$R$180,MATCH($D42,Backlog!$A$2:$A$180,0)),"")</x:f>
        <x:v>0.8999999999999999</x:v>
      </x:c>
      <x:c r="I42" s="206" t="str">
        <x:f>IF(INDEX(Backlog!$M$2:$M$180,MATCH($D42,Backlog!$A$2:$A$180,0))="","",INDEX(Backlog!$M$2:$M$180,MATCH($D42,Backlog!$A$2:$A$180,0)))</x:f>
        <x:v>T-095; T-102</x:v>
      </x:c>
      <x:c r="J42" s="206" t="str">
        <x:f>IF(INDEX(Backlog!$T$2:$T$180,MATCH($D42,Backlog!$A$2:$A$180,0))="","",INDEX(Backlog!$T$2:$T$180,MATCH($D42,Backlog!$A$2:$A$180,0)))</x:f>
        <x:v>WAIT for Presentation RC freeze/tag + clean index/worktree. Then: T-095 + T-102 canonical relationship/identity authority.</x:v>
      </x:c>
      <x:c r="K42" s="206" t="str">
        <x:f>IF(INDEX(Backlog!$U$2:$U$180,MATCH($D42,Backlog!$A$2:$A$180,0))="","",INDEX(Backlog!$U$2:$U$180,MATCH($D42,Backlog!$A$2:$A$180,0)))</x:f>
        <x:v>Own canonical DB/backend/security/API/infra. No W2-owned UI/admin task files and no W3 ML/Assistant runtime.</x:v>
      </x:c>
      <x:c r="L42" s="206" t="str">
        <x:f>IF(INDEX(Backlog!$V$2:$V$180,MATCH($D42,Backlog!$A$2:$A$180,0))="","",INDEX(Backlog!$V$2:$V$180,MATCH($D42,Backlog!$A$2:$A$180,0)))</x:f>
        <x:v>Commit before downstream consumer starts; consumer must use the contract, not redesign producer-owned semantics.</x:v>
      </x:c>
      <x:c r="M42" s="194" t="str">
        <x:f>IF(INDEX(Backlog!$AO$2:$AO$180,MATCH($D42,Backlog!$A$2:$A$180,0))="","",INDEX(Backlog!$AO$2:$AO$180,MATCH($D42,Backlog!$A$2:$A$180,0)))</x:f>
        <x:v>Not started — no completion claimed</x:v>
      </x:c>
      <x:c r="N42" s="194" t="str">
        <x:f>IF(INDEX(Backlog!$AN$2:$AN$180,MATCH($D42,Backlog!$A$2:$A$180,0))="","",INDEX(Backlog!$AN$2:$AN$180,MATCH($D42,Backlog!$A$2:$A$180,0)))</x:f>
      </x:c>
    </x:row>
    <x:row r="43" ht="26" customHeight="1">
      <x:c r="A43" s="206" t="str">
        <x:f>IF(INDEX(Backlog!$L$2:$L$180,MATCH($D43,Backlog!$A$2:$A$180,0))="","",INDEX(Backlog!$L$2:$L$180,MATCH($D43,Backlog!$A$2:$A$180,0)))</x:f>
        <x:v>Worker 1</x:v>
      </x:c>
      <x:c r="B43" s="206" t="str">
        <x:f>IF(INDEX(Backlog!$B$2:$B$180,MATCH($D43,Backlog!$A$2:$A$180,0))="","",INDEX(Backlog!$B$2:$B$180,MATCH($D43,Backlog!$A$2:$A$180,0)))</x:f>
        <x:v>M2</x:v>
      </x:c>
      <x:c r="C43" s="206" t="str">
        <x:f>IF(INDEX(Backlog!$C$2:$C$180,MATCH($D43,Backlog!$A$2:$A$180,0))="","",INDEX(Backlog!$C$2:$C$180,MATCH($D43,Backlog!$A$2:$A$180,0)))</x:f>
        <x:v>P2</x:v>
      </x:c>
      <x:c r="D43" s="206" t="str">
        <x:v>T-104</x:v>
      </x:c>
      <x:c r="E43" s="206" t="str">
        <x:f>IF(INDEX(Backlog!$D$2:$D$180,MATCH($D43,Backlog!$A$2:$A$180,0))="","",INDEX(Backlog!$D$2:$D$180,MATCH($D43,Backlog!$A$2:$A$180,0)))</x:f>
        <x:v>Projection provenance, exact-version stamping and idempotent reprojection</x:v>
      </x:c>
      <x:c r="F43" s="206" t="str">
        <x:f>IF(INDEX(Backlog!$K$2:$K$180,MATCH($D43,Backlog!$A$2:$A$180,0))="","",INDEX(Backlog!$K$2:$K$180,MATCH($D43,Backlog!$A$2:$A$180,0)))</x:f>
        <x:v>Not Started</x:v>
      </x:c>
      <x:c r="G43" s="206" t="n">
        <x:f>IF(ISNUMBER(INDEX(Backlog!$J$2:$J$180,MATCH($D43,Backlog!$A$2:$A$180,0))),INDEX(Backlog!$J$2:$J$180,MATCH($D43,Backlog!$A$2:$A$180,0)),"")</x:f>
        <x:v>14</x:v>
      </x:c>
      <x:c r="H43" s="206" t="n">
        <x:f>IF(ISNUMBER(INDEX(Backlog!$R$2:$R$180,MATCH($D43,Backlog!$A$2:$A$180,0))),INDEX(Backlog!$R$2:$R$180,MATCH($D43,Backlog!$A$2:$A$180,0)),"")</x:f>
        <x:v>1.2000000000000002</x:v>
      </x:c>
      <x:c r="I43" s="206" t="str">
        <x:f>IF(INDEX(Backlog!$M$2:$M$180,MATCH($D43,Backlog!$A$2:$A$180,0))="","",INDEX(Backlog!$M$2:$M$180,MATCH($D43,Backlog!$A$2:$A$180,0)))</x:f>
        <x:v>T-090; T-095; T-099; T-261</x:v>
      </x:c>
      <x:c r="J43" s="206" t="str">
        <x:f>IF(INDEX(Backlog!$T$2:$T$180,MATCH($D43,Backlog!$A$2:$A$180,0))="","",INDEX(Backlog!$T$2:$T$180,MATCH($D43,Backlog!$A$2:$A$180,0)))</x:f>
        <x:v>WAIT for Presentation RC freeze/tag + clean index/worktree. Then: T-090 canonical versioned mapping definitions + T-095 relationship authority ...</x:v>
      </x:c>
      <x:c r="K43" s="206" t="str">
        <x:f>IF(INDEX(Backlog!$U$2:$U$180,MATCH($D43,Backlog!$A$2:$A$180,0))="","",INDEX(Backlog!$U$2:$U$180,MATCH($D43,Backlog!$A$2:$A$180,0)))</x:f>
        <x:v>Own canonical DB/backend/security/API/infra. No W2-owned UI/admin task files and no W3 ML/Assistant runtime.</x:v>
      </x:c>
      <x:c r="L43" s="206" t="str">
        <x:f>IF(INDEX(Backlog!$V$2:$V$180,MATCH($D43,Backlog!$A$2:$A$180,0))="","",INDEX(Backlog!$V$2:$V$180,MATCH($D43,Backlog!$A$2:$A$180,0)))</x:f>
        <x:v>Commit before downstream consumer starts; consumer must use the contract, not redesign producer-owned semantics.</x:v>
      </x:c>
      <x:c r="M43" s="194" t="str">
        <x:f>IF(INDEX(Backlog!$AO$2:$AO$180,MATCH($D43,Backlog!$A$2:$A$180,0))="","",INDEX(Backlog!$AO$2:$AO$180,MATCH($D43,Backlog!$A$2:$A$180,0)))</x:f>
        <x:v>Not started — no completion claimed</x:v>
      </x:c>
      <x:c r="N43" s="194" t="str">
        <x:f>IF(INDEX(Backlog!$AN$2:$AN$180,MATCH($D43,Backlog!$A$2:$A$180,0))="","",INDEX(Backlog!$AN$2:$AN$180,MATCH($D43,Backlog!$A$2:$A$180,0)))</x:f>
      </x:c>
    </x:row>
    <x:row r="44" ht="26" customHeight="1">
      <x:c r="A44" s="206" t="str">
        <x:f>IF(INDEX(Backlog!$L$2:$L$180,MATCH($D44,Backlog!$A$2:$A$180,0))="","",INDEX(Backlog!$L$2:$L$180,MATCH($D44,Backlog!$A$2:$A$180,0)))</x:f>
        <x:v>Worker 1</x:v>
      </x:c>
      <x:c r="B44" s="206" t="str">
        <x:f>IF(INDEX(Backlog!$B$2:$B$180,MATCH($D44,Backlog!$A$2:$A$180,0))="","",INDEX(Backlog!$B$2:$B$180,MATCH($D44,Backlog!$A$2:$A$180,0)))</x:f>
        <x:v>M2</x:v>
      </x:c>
      <x:c r="C44" s="206" t="str">
        <x:f>IF(INDEX(Backlog!$C$2:$C$180,MATCH($D44,Backlog!$A$2:$A$180,0))="","",INDEX(Backlog!$C$2:$C$180,MATCH($D44,Backlog!$A$2:$A$180,0)))</x:f>
        <x:v>P2</x:v>
      </x:c>
      <x:c r="D44" s="206" t="str">
        <x:v>T-108</x:v>
      </x:c>
      <x:c r="E44" s="206" t="str">
        <x:f>IF(INDEX(Backlog!$D$2:$D$180,MATCH($D44,Backlog!$A$2:$A$180,0))="","",INDEX(Backlog!$D$2:$D$180,MATCH($D44,Backlog!$A$2:$A$180,0)))</x:f>
        <x:v>End-to-end delta correctness: source cursor, load protection, replay and projection watermark</x:v>
      </x:c>
      <x:c r="F44" s="206" t="str">
        <x:f>IF(INDEX(Backlog!$K$2:$K$180,MATCH($D44,Backlog!$A$2:$A$180,0))="","",INDEX(Backlog!$K$2:$K$180,MATCH($D44,Backlog!$A$2:$A$180,0)))</x:f>
        <x:v>Not Started</x:v>
      </x:c>
      <x:c r="G44" s="206" t="str">
        <x:f>IF(ISNUMBER(INDEX(Backlog!$J$2:$J$180,MATCH($D44,Backlog!$A$2:$A$180,0))),INDEX(Backlog!$J$2:$J$180,MATCH($D44,Backlog!$A$2:$A$180,0)),"")</x:f>
      </x:c>
      <x:c r="H44" s="206" t="str">
        <x:f>IF(ISNUMBER(INDEX(Backlog!$R$2:$R$180,MATCH($D44,Backlog!$A$2:$A$180,0))),INDEX(Backlog!$R$2:$R$180,MATCH($D44,Backlog!$A$2:$A$180,0)),"")</x:f>
      </x:c>
      <x:c r="I44" s="206" t="str">
        <x:f>IF(INDEX(Backlog!$M$2:$M$180,MATCH($D44,Backlog!$A$2:$A$180,0))="","",INDEX(Backlog!$M$2:$M$180,MATCH($D44,Backlog!$A$2:$A$180,0)))</x:f>
        <x:v>T-099; T-104</x:v>
      </x:c>
      <x:c r="J44" s="206" t="str">
        <x:f>IF(INDEX(Backlog!$T$2:$T$180,MATCH($D44,Backlog!$A$2:$A$180,0))="","",INDEX(Backlog!$T$2:$T$180,MATCH($D44,Backlog!$A$2:$A$180,0)))</x:f>
        <x:v>Consume accepted producer contracts; remaining dependencies: T-099; T-104. No private scheduler/definition authority. Source-present is not closure proof.</x:v>
      </x:c>
      <x:c r="K44" s="206" t="str">
        <x:f>IF(INDEX(Backlog!$U$2:$U$180,MATCH($D44,Backlog!$A$2:$A$180,0))="","",INDEX(Backlog!$U$2:$U$180,MATCH($D44,Backlog!$A$2:$A$180,0)))</x:f>
        <x:v>Own canonical DB/backend/security/API/infra. No W2-owned UI/admin task files and no W3 ML/Assistant runtime.</x:v>
      </x:c>
      <x:c r="L44" s="206" t="str">
        <x:f>IF(INDEX(Backlog!$V$2:$V$180,MATCH($D44,Backlog!$A$2:$A$180,0))="","",INDEX(Backlog!$V$2:$V$180,MATCH($D44,Backlog!$A$2:$A$180,0)))</x:f>
        <x:v>Commit before downstream consumer starts; consumer must use the contract, not redesign producer-owned semantics.</x:v>
      </x:c>
      <x:c r="M44" s="194" t="str">
        <x:f>IF(INDEX(Backlog!$AO$2:$AO$180,MATCH($D44,Backlog!$A$2:$A$180,0))="","",INDEX(Backlog!$AO$2:$AO$180,MATCH($D44,Backlog!$A$2:$A$180,0)))</x:f>
        <x:v>Not started — no completion claimed</x:v>
      </x:c>
      <x:c r="N44" s="194" t="str">
        <x:f>IF(INDEX(Backlog!$AN$2:$AN$180,MATCH($D44,Backlog!$A$2:$A$180,0))="","",INDEX(Backlog!$AN$2:$AN$180,MATCH($D44,Backlog!$A$2:$A$180,0)))</x:f>
      </x:c>
    </x:row>
    <x:row r="45" ht="26" customHeight="1">
      <x:c r="A45" s="206" t="str">
        <x:f>IF(INDEX(Backlog!$L$2:$L$180,MATCH($D45,Backlog!$A$2:$A$180,0))="","",INDEX(Backlog!$L$2:$L$180,MATCH($D45,Backlog!$A$2:$A$180,0)))</x:f>
        <x:v>Worker 1</x:v>
      </x:c>
      <x:c r="B45" s="206" t="str">
        <x:f>IF(INDEX(Backlog!$B$2:$B$180,MATCH($D45,Backlog!$A$2:$A$180,0))="","",INDEX(Backlog!$B$2:$B$180,MATCH($D45,Backlog!$A$2:$A$180,0)))</x:f>
        <x:v>M2</x:v>
      </x:c>
      <x:c r="C45" s="206" t="str">
        <x:f>IF(INDEX(Backlog!$C$2:$C$180,MATCH($D45,Backlog!$A$2:$A$180,0))="","",INDEX(Backlog!$C$2:$C$180,MATCH($D45,Backlog!$A$2:$A$180,0)))</x:f>
        <x:v>P2</x:v>
      </x:c>
      <x:c r="D45" s="206" t="str">
        <x:v>T-207</x:v>
      </x:c>
      <x:c r="E45" s="206" t="str">
        <x:f>IF(INDEX(Backlog!$D$2:$D$180,MATCH($D45,Backlog!$A$2:$A$180,0))="","",INDEX(Backlog!$D$2:$D$180,MATCH($D45,Backlog!$A$2:$A$180,0)))</x:f>
        <x:v>Connector capability truth: stop advertising unimplemented browse/read/subscription</x:v>
      </x:c>
      <x:c r="F45" s="206" t="str">
        <x:f>IF(INDEX(Backlog!$K$2:$K$180,MATCH($D45,Backlog!$A$2:$A$180,0))="","",INDEX(Backlog!$K$2:$K$180,MATCH($D45,Backlog!$A$2:$A$180,0)))</x:f>
        <x:v>Done</x:v>
      </x:c>
      <x:c r="G45" s="206" t="n">
        <x:f>IF(ISNUMBER(INDEX(Backlog!$J$2:$J$180,MATCH($D45,Backlog!$A$2:$A$180,0))),INDEX(Backlog!$J$2:$J$180,MATCH($D45,Backlog!$A$2:$A$180,0)),"")</x:f>
        <x:v>6</x:v>
      </x:c>
      <x:c r="H45" s="206" t="n">
        <x:f>IF(ISNUMBER(INDEX(Backlog!$R$2:$R$180,MATCH($D45,Backlog!$A$2:$A$180,0))),INDEX(Backlog!$R$2:$R$180,MATCH($D45,Backlog!$A$2:$A$180,0)),"")</x:f>
        <x:v>2.25</x:v>
      </x:c>
      <x:c r="I45" s="206" t="str">
        <x:f>IF(INDEX(Backlog!$M$2:$M$180,MATCH($D45,Backlog!$A$2:$A$180,0))="","",INDEX(Backlog!$M$2:$M$180,MATCH($D45,Backlog!$A$2:$A$180,0)))</x:f>
        <x:v>T-201</x:v>
      </x:c>
      <x:c r="J45" s="206" t="str">
        <x:f>IF(INDEX(Backlog!$T$2:$T$180,MATCH($D45,Backlog!$A$2:$A$180,0))="","",INDEX(Backlog!$T$2:$T$180,MATCH($D45,Backlog!$A$2:$A$180,0)))</x:f>
        <x:v>T-201. Does not implement production OPC; truth-corrects the current connector contract only.</x:v>
      </x:c>
      <x:c r="K45" s="206" t="str">
        <x:f>IF(INDEX(Backlog!$U$2:$U$180,MATCH($D45,Backlog!$A$2:$A$180,0))="","",INDEX(Backlog!$U$2:$U$180,MATCH($D45,Backlog!$A$2:$A$180,0)))</x:f>
        <x:v>Connector metadata/API contract and tests.</x:v>
      </x:c>
      <x:c r="L45" s="206" t="str">
        <x:f>IF(INDEX(Backlog!$V$2:$V$180,MATCH($D45,Backlog!$A$2:$A$180,0))="","",INDEX(Backlog!$V$2:$V$180,MATCH($D45,Backlog!$A$2:$A$180,0)))</x:f>
        <x:v>T-224..T-226 later may flip capabilities to true only by passing this contract.</x:v>
      </x:c>
      <x:c r="M45" s="194" t="str">
        <x:f>IF(INDEX(Backlog!$AO$2:$AO$180,MATCH($D45,Backlog!$A$2:$A$180,0))="","",INDEX(Backlog!$AO$2:$AO$180,MATCH($D45,Backlog!$A$2:$A$180,0)))</x:f>
        <x:v>Recorded closed — inherited evidence</x:v>
      </x:c>
      <x:c r="N45" s="194" t="str">
        <x:f>IF(INDEX(Backlog!$AN$2:$AN$180,MATCH($D45,Backlog!$A$2:$A$180,0))="","",INDEX(Backlog!$AN$2:$AN$180,MATCH($D45,Backlog!$A$2:$A$180,0)))</x:f>
      </x:c>
    </x:row>
    <x:row r="46" ht="26" customHeight="1">
      <x:c r="A46" s="206" t="str">
        <x:f>IF(INDEX(Backlog!$L$2:$L$180,MATCH($D46,Backlog!$A$2:$A$180,0))="","",INDEX(Backlog!$L$2:$L$180,MATCH($D46,Backlog!$A$2:$A$180,0)))</x:f>
        <x:v>Worker 1</x:v>
      </x:c>
      <x:c r="B46" s="206" t="str">
        <x:f>IF(INDEX(Backlog!$B$2:$B$180,MATCH($D46,Backlog!$A$2:$A$180,0))="","",INDEX(Backlog!$B$2:$B$180,MATCH($D46,Backlog!$A$2:$A$180,0)))</x:f>
        <x:v>M2</x:v>
      </x:c>
      <x:c r="C46" s="206" t="str">
        <x:f>IF(INDEX(Backlog!$C$2:$C$180,MATCH($D46,Backlog!$A$2:$A$180,0))="","",INDEX(Backlog!$C$2:$C$180,MATCH($D46,Backlog!$A$2:$A$180,0)))</x:f>
        <x:v>P2</x:v>
      </x:c>
      <x:c r="D46" s="206" t="str">
        <x:v>T-224</x:v>
      </x:c>
      <x:c r="E46" s="206" t="str">
        <x:f>IF(INDEX(Backlog!$D$2:$D$180,MATCH($D46,Backlog!$A$2:$A$180,0))="","",INDEX(Backlog!$D$2:$D$180,MATCH($D46,Backlog!$A$2:$A$180,0)))</x:f>
        <x:v>Production OPC UA edge runtime: endpoint security, certificates and session lifecycle</x:v>
      </x:c>
      <x:c r="F46" s="206" t="str">
        <x:f>IF(INDEX(Backlog!$K$2:$K$180,MATCH($D46,Backlog!$A$2:$A$180,0))="","",INDEX(Backlog!$K$2:$K$180,MATCH($D46,Backlog!$A$2:$A$180,0)))</x:f>
        <x:v>Not Started</x:v>
      </x:c>
      <x:c r="G46" s="206" t="n">
        <x:f>IF(ISNUMBER(INDEX(Backlog!$J$2:$J$180,MATCH($D46,Backlog!$A$2:$A$180,0))),INDEX(Backlog!$J$2:$J$180,MATCH($D46,Backlog!$A$2:$A$180,0)),"")</x:f>
        <x:v>12</x:v>
      </x:c>
      <x:c r="H46" s="206" t="n">
        <x:f>IF(ISNUMBER(INDEX(Backlog!$R$2:$R$180,MATCH($D46,Backlog!$A$2:$A$180,0))),INDEX(Backlog!$R$2:$R$180,MATCH($D46,Backlog!$A$2:$A$180,0)),"")</x:f>
        <x:v>7.2</x:v>
      </x:c>
      <x:c r="I46" s="206" t="str">
        <x:f>IF(INDEX(Backlog!$M$2:$M$180,MATCH($D46,Backlog!$A$2:$A$180,0))="","",INDEX(Backlog!$M$2:$M$180,MATCH($D46,Backlog!$A$2:$A$180,0)))</x:f>
        <x:v>T-207</x:v>
      </x:c>
      <x:c r="J46" s="206" t="str">
        <x:f>IF(INDEX(Backlog!$T$2:$T$180,MATCH($D46,Backlog!$A$2:$A$180,0))="","",INDEX(Backlog!$T$2:$T$180,MATCH($D46,Backlog!$A$2:$A$180,0)))</x:f>
        <x:v>Release 1 MUST — start after T-207 connector-truth authority. Site/customer OT certification may require customer access, but the executable production OPC UA runtime itself cannot be deferred past M2.</x:v>
      </x:c>
      <x:c r="K46" s="206" t="str">
        <x:f>IF(INDEX(Backlog!$U$2:$U$180,MATCH($D46,Backlog!$A$2:$A$180,0))="","",INDEX(Backlog!$U$2:$U$180,MATCH($D46,Backlog!$A$2:$A$180,0)))</x:f>
        <x:v>Customer-side edge agent/OPC adapter only.</x:v>
      </x:c>
      <x:c r="L46" s="206" t="str">
        <x:f>IF(INDEX(Backlog!$V$2:$V$180,MATCH($D46,Backlog!$A$2:$A$180,0))="","",INDEX(Backlog!$V$2:$V$180,MATCH($D46,Backlog!$A$2:$A$180,0)))</x:f>
        <x:v>T-225 consumes session adapter; site certification remains T-153/T-227-like acceptance, not hidden in code.</x:v>
      </x:c>
      <x:c r="M46" s="194" t="str">
        <x:f>IF(INDEX(Backlog!$AO$2:$AO$180,MATCH($D46,Backlog!$A$2:$A$180,0))="","",INDEX(Backlog!$AO$2:$AO$180,MATCH($D46,Backlog!$A$2:$A$180,0)))</x:f>
        <x:v>Not started — no completion claimed</x:v>
      </x:c>
      <x:c r="N46" s="194" t="str">
        <x:f>IF(INDEX(Backlog!$AN$2:$AN$180,MATCH($D46,Backlog!$A$2:$A$180,0))="","",INDEX(Backlog!$AN$2:$AN$180,MATCH($D46,Backlog!$A$2:$A$180,0)))</x:f>
      </x:c>
    </x:row>
    <x:row r="47" ht="26" customHeight="1">
      <x:c r="A47" s="206" t="str">
        <x:f>IF(INDEX(Backlog!$L$2:$L$180,MATCH($D47,Backlog!$A$2:$A$180,0))="","",INDEX(Backlog!$L$2:$L$180,MATCH($D47,Backlog!$A$2:$A$180,0)))</x:f>
        <x:v>Worker 1</x:v>
      </x:c>
      <x:c r="B47" s="206" t="str">
        <x:f>IF(INDEX(Backlog!$B$2:$B$180,MATCH($D47,Backlog!$A$2:$A$180,0))="","",INDEX(Backlog!$B$2:$B$180,MATCH($D47,Backlog!$A$2:$A$180,0)))</x:f>
        <x:v>M2</x:v>
      </x:c>
      <x:c r="C47" s="206" t="str">
        <x:f>IF(INDEX(Backlog!$C$2:$C$180,MATCH($D47,Backlog!$A$2:$A$180,0))="","",INDEX(Backlog!$C$2:$C$180,MATCH($D47,Backlog!$A$2:$A$180,0)))</x:f>
        <x:v>P2</x:v>
      </x:c>
      <x:c r="D47" s="206" t="str">
        <x:v>T-225</x:v>
      </x:c>
      <x:c r="E47" s="206" t="str">
        <x:f>IF(INDEX(Backlog!$D$2:$D$180,MATCH($D47,Backlog!$A$2:$A$180,0))="","",INDEX(Backlog!$D$2:$D$180,MATCH($D47,Backlog!$A$2:$A$180,0)))</x:f>
        <x:v>Production OPC UA edge runtime: browse, tag registration, subscription and monitored items</x:v>
      </x:c>
      <x:c r="F47" s="206" t="str">
        <x:f>IF(INDEX(Backlog!$K$2:$K$180,MATCH($D47,Backlog!$A$2:$A$180,0))="","",INDEX(Backlog!$K$2:$K$180,MATCH($D47,Backlog!$A$2:$A$180,0)))</x:f>
        <x:v>Not Started</x:v>
      </x:c>
      <x:c r="G47" s="206" t="n">
        <x:f>IF(ISNUMBER(INDEX(Backlog!$J$2:$J$180,MATCH($D47,Backlog!$A$2:$A$180,0))),INDEX(Backlog!$J$2:$J$180,MATCH($D47,Backlog!$A$2:$A$180,0)),"")</x:f>
        <x:v>12</x:v>
      </x:c>
      <x:c r="H47" s="206" t="n">
        <x:f>IF(ISNUMBER(INDEX(Backlog!$R$2:$R$180,MATCH($D47,Backlog!$A$2:$A$180,0))),INDEX(Backlog!$R$2:$R$180,MATCH($D47,Backlog!$A$2:$A$180,0)),"")</x:f>
        <x:v>7.2</x:v>
      </x:c>
      <x:c r="I47" s="206" t="str">
        <x:f>IF(INDEX(Backlog!$M$2:$M$180,MATCH($D47,Backlog!$A$2:$A$180,0))="","",INDEX(Backlog!$M$2:$M$180,MATCH($D47,Backlog!$A$2:$A$180,0)))</x:f>
        <x:v>T-224</x:v>
      </x:c>
      <x:c r="J47" s="206" t="str">
        <x:f>IF(INDEX(Backlog!$T$2:$T$180,MATCH($D47,Backlog!$A$2:$A$180,0))="","",INDEX(Backlog!$T$2:$T$180,MATCH($D47,Backlog!$A$2:$A$180,0)))</x:f>
        <x:v>T-224.</x:v>
      </x:c>
      <x:c r="K47" s="206" t="str">
        <x:f>IF(INDEX(Backlog!$U$2:$U$180,MATCH($D47,Backlog!$A$2:$A$180,0))="","",INDEX(Backlog!$U$2:$U$180,MATCH($D47,Backlog!$A$2:$A$180,0)))</x:f>
        <x:v>Edge OPC adapter + tag registry integration.</x:v>
      </x:c>
      <x:c r="L47" s="206" t="str">
        <x:f>IF(INDEX(Backlog!$V$2:$V$180,MATCH($D47,Backlog!$A$2:$A$180,0))="","",INDEX(Backlog!$V$2:$V$180,MATCH($D47,Backlog!$A$2:$A$180,0)))</x:f>
        <x:v>T-226 consumes typed acquired values; no core API direct OPC connection.</x:v>
      </x:c>
      <x:c r="M47" s="194" t="str">
        <x:f>IF(INDEX(Backlog!$AO$2:$AO$180,MATCH($D47,Backlog!$A$2:$A$180,0))="","",INDEX(Backlog!$AO$2:$AO$180,MATCH($D47,Backlog!$A$2:$A$180,0)))</x:f>
        <x:v>Not started — no completion claimed</x:v>
      </x:c>
      <x:c r="N47" s="194" t="str">
        <x:f>IF(INDEX(Backlog!$AN$2:$AN$180,MATCH($D47,Backlog!$A$2:$A$180,0))="","",INDEX(Backlog!$AN$2:$AN$180,MATCH($D47,Backlog!$A$2:$A$180,0)))</x:f>
      </x:c>
    </x:row>
    <x:row r="48" ht="26" customHeight="1">
      <x:c r="A48" s="206" t="str">
        <x:f>IF(INDEX(Backlog!$L$2:$L$180,MATCH($D48,Backlog!$A$2:$A$180,0))="","",INDEX(Backlog!$L$2:$L$180,MATCH($D48,Backlog!$A$2:$A$180,0)))</x:f>
        <x:v>Worker 1</x:v>
      </x:c>
      <x:c r="B48" s="206" t="str">
        <x:f>IF(INDEX(Backlog!$B$2:$B$180,MATCH($D48,Backlog!$A$2:$A$180,0))="","",INDEX(Backlog!$B$2:$B$180,MATCH($D48,Backlog!$A$2:$A$180,0)))</x:f>
        <x:v>M2</x:v>
      </x:c>
      <x:c r="C48" s="206" t="str">
        <x:f>IF(INDEX(Backlog!$C$2:$C$180,MATCH($D48,Backlog!$A$2:$A$180,0))="","",INDEX(Backlog!$C$2:$C$180,MATCH($D48,Backlog!$A$2:$A$180,0)))</x:f>
        <x:v>P2</x:v>
      </x:c>
      <x:c r="D48" s="206" t="str">
        <x:v>T-226</x:v>
      </x:c>
      <x:c r="E48" s="206" t="str">
        <x:f>IF(INDEX(Backlog!$D$2:$D$180,MATCH($D48,Backlog!$A$2:$A$180,0))="","",INDEX(Backlog!$D$2:$D$180,MATCH($D48,Backlog!$A$2:$A$180,0)))</x:f>
        <x:v>Production OPC UA edge runtime: quality/timestamps, recovery and spool-to-canonical proof</x:v>
      </x:c>
      <x:c r="F48" s="206" t="str">
        <x:f>IF(INDEX(Backlog!$K$2:$K$180,MATCH($D48,Backlog!$A$2:$A$180,0))="","",INDEX(Backlog!$K$2:$K$180,MATCH($D48,Backlog!$A$2:$A$180,0)))</x:f>
        <x:v>Not Started</x:v>
      </x:c>
      <x:c r="G48" s="206" t="n">
        <x:f>IF(ISNUMBER(INDEX(Backlog!$J$2:$J$180,MATCH($D48,Backlog!$A$2:$A$180,0))),INDEX(Backlog!$J$2:$J$180,MATCH($D48,Backlog!$A$2:$A$180,0)),"")</x:f>
        <x:v>12</x:v>
      </x:c>
      <x:c r="H48" s="206" t="n">
        <x:f>IF(ISNUMBER(INDEX(Backlog!$R$2:$R$180,MATCH($D48,Backlog!$A$2:$A$180,0))),INDEX(Backlog!$R$2:$R$180,MATCH($D48,Backlog!$A$2:$A$180,0)),"")</x:f>
        <x:v>7.2</x:v>
      </x:c>
      <x:c r="I48" s="206" t="str">
        <x:f>IF(INDEX(Backlog!$M$2:$M$180,MATCH($D48,Backlog!$A$2:$A$180,0))="","",INDEX(Backlog!$M$2:$M$180,MATCH($D48,Backlog!$A$2:$A$180,0)))</x:f>
        <x:v>T-225; T-233</x:v>
      </x:c>
      <x:c r="J48" s="206" t="str">
        <x:f>IF(INDEX(Backlog!$T$2:$T$180,MATCH($D48,Backlog!$A$2:$A$180,0))="","",INDEX(Backlog!$T$2:$T$180,MATCH($D48,Backlog!$A$2:$A$180,0)))</x:f>
        <x:v>T-225 + T-216 Source Time Authority.</x:v>
      </x:c>
      <x:c r="K48" s="206" t="str">
        <x:f>IF(INDEX(Backlog!$U$2:$U$180,MATCH($D48,Backlog!$A$2:$A$180,0))="","",INDEX(Backlog!$U$2:$U$180,MATCH($D48,Backlog!$A$2:$A$180,0)))</x:f>
        <x:v>Edge spool/acquisition mapper + canonical ingest contract.</x:v>
      </x:c>
      <x:c r="L48" s="206" t="str">
        <x:f>IF(INDEX(Backlog!$V$2:$V$180,MATCH($D48,Backlog!$A$2:$A$180,0))="","",INDEX(Backlog!$V$2:$V$180,MATCH($D48,Backlog!$A$2:$A$180,0)))</x:f>
        <x:v>T-153 real-source connector certification consumes this implementation; do not call implementation itself site-certified.</x:v>
      </x:c>
      <x:c r="M48" s="194" t="str">
        <x:f>IF(INDEX(Backlog!$AO$2:$AO$180,MATCH($D48,Backlog!$A$2:$A$180,0))="","",INDEX(Backlog!$AO$2:$AO$180,MATCH($D48,Backlog!$A$2:$A$180,0)))</x:f>
        <x:v>Not started — no completion claimed</x:v>
      </x:c>
      <x:c r="N48" s="194" t="str">
        <x:f>IF(INDEX(Backlog!$AN$2:$AN$180,MATCH($D48,Backlog!$A$2:$A$180,0))="","",INDEX(Backlog!$AN$2:$AN$180,MATCH($D48,Backlog!$A$2:$A$180,0)))</x:f>
      </x:c>
    </x:row>
    <x:row r="49" ht="26" customHeight="1">
      <x:c r="A49" s="206" t="str">
        <x:f>IF(INDEX(Backlog!$L$2:$L$180,MATCH($D49,Backlog!$A$2:$A$180,0))="","",INDEX(Backlog!$L$2:$L$180,MATCH($D49,Backlog!$A$2:$A$180,0)))</x:f>
        <x:v>Worker 1</x:v>
      </x:c>
      <x:c r="B49" s="206" t="str">
        <x:f>IF(INDEX(Backlog!$B$2:$B$180,MATCH($D49,Backlog!$A$2:$A$180,0))="","",INDEX(Backlog!$B$2:$B$180,MATCH($D49,Backlog!$A$2:$A$180,0)))</x:f>
        <x:v>M2</x:v>
      </x:c>
      <x:c r="C49" s="206" t="str">
        <x:f>IF(INDEX(Backlog!$C$2:$C$180,MATCH($D49,Backlog!$A$2:$A$180,0))="","",INDEX(Backlog!$C$2:$C$180,MATCH($D49,Backlog!$A$2:$A$180,0)))</x:f>
        <x:v>P2</x:v>
      </x:c>
      <x:c r="D49" s="206" t="str">
        <x:v>T-232</x:v>
      </x:c>
      <x:c r="E49" s="206" t="str">
        <x:f>IF(INDEX(Backlog!$D$2:$D$180,MATCH($D49,Backlog!$A$2:$A$180,0))="","",INDEX(Backlog!$D$2:$D$180,MATCH($D49,Backlog!$A$2:$A$180,0)))</x:f>
        <x:v>Persist Performance Reference authority and projections</x:v>
      </x:c>
      <x:c r="F49" s="206" t="str">
        <x:f>IF(INDEX(Backlog!$K$2:$K$180,MATCH($D49,Backlog!$A$2:$A$180,0))="","",INDEX(Backlog!$K$2:$K$180,MATCH($D49,Backlog!$A$2:$A$180,0)))</x:f>
        <x:v>Not Started</x:v>
      </x:c>
      <x:c r="G49" s="206" t="n">
        <x:f>IF(ISNUMBER(INDEX(Backlog!$J$2:$J$180,MATCH($D49,Backlog!$A$2:$A$180,0))),INDEX(Backlog!$J$2:$J$180,MATCH($D49,Backlog!$A$2:$A$180,0)),"")</x:f>
        <x:v>6</x:v>
      </x:c>
      <x:c r="H49" s="206" t="n">
        <x:f>IF(ISNUMBER(INDEX(Backlog!$R$2:$R$180,MATCH($D49,Backlog!$A$2:$A$180,0))),INDEX(Backlog!$R$2:$R$180,MATCH($D49,Backlog!$A$2:$A$180,0)),"")</x:f>
        <x:v>2.55</x:v>
      </x:c>
      <x:c r="I49" s="206" t="str">
        <x:f>IF(INDEX(Backlog!$M$2:$M$180,MATCH($D49,Backlog!$A$2:$A$180,0))="","",INDEX(Backlog!$M$2:$M$180,MATCH($D49,Backlog!$A$2:$A$180,0)))</x:f>
        <x:v>T-090; T-231; T-214</x:v>
      </x:c>
      <x:c r="J49" s="206" t="str">
        <x:f>IF(INDEX(Backlog!$T$2:$T$180,MATCH($D49,Backlog!$A$2:$A$180,0))="","",INDEX(Backlog!$T$2:$T$180,MATCH($D49,Backlog!$A$2:$A$180,0)))</x:f>
        <x:v>T-090 + T-231 + committed T-214 contract.</x:v>
      </x:c>
      <x:c r="K49" s="206" t="str">
        <x:f>IF(INDEX(Backlog!$U$2:$U$180,MATCH($D49,Backlog!$A$2:$A$180,0))="","",INDEX(Backlog!$U$2:$U$180,MATCH($D49,Backlog!$A$2:$A$180,0)))</x:f>
        <x:v>performance reference tables/projections/API.</x:v>
      </x:c>
      <x:c r="L49" s="206" t="str">
        <x:f>IF(INDEX(Backlog!$V$2:$V$180,MATCH($D49,Backlog!$A$2:$A$180,0))="","",INDEX(Backlog!$V$2:$V$180,MATCH($D49,Backlog!$A$2:$A$180,0)))</x:f>
        <x:v>T-215 consumes persistence; no local reference math.</x:v>
      </x:c>
      <x:c r="M49" s="194" t="str">
        <x:f>IF(INDEX(Backlog!$AO$2:$AO$180,MATCH($D49,Backlog!$A$2:$A$180,0))="","",INDEX(Backlog!$AO$2:$AO$180,MATCH($D49,Backlog!$A$2:$A$180,0)))</x:f>
        <x:v>Not started — no completion claimed</x:v>
      </x:c>
      <x:c r="N49" s="194" t="str">
        <x:f>IF(INDEX(Backlog!$AN$2:$AN$180,MATCH($D49,Backlog!$A$2:$A$180,0))="","",INDEX(Backlog!$AN$2:$AN$180,MATCH($D49,Backlog!$A$2:$A$180,0)))</x:f>
      </x:c>
    </x:row>
    <x:row r="50" ht="26" customHeight="1">
      <x:c r="A50" s="206" t="str">
        <x:f>IF(INDEX(Backlog!$L$2:$L$180,MATCH($D50,Backlog!$A$2:$A$180,0))="","",INDEX(Backlog!$L$2:$L$180,MATCH($D50,Backlog!$A$2:$A$180,0)))</x:f>
        <x:v>Worker 1</x:v>
      </x:c>
      <x:c r="B50" s="206" t="str">
        <x:f>IF(INDEX(Backlog!$B$2:$B$180,MATCH($D50,Backlog!$A$2:$A$180,0))="","",INDEX(Backlog!$B$2:$B$180,MATCH($D50,Backlog!$A$2:$A$180,0)))</x:f>
        <x:v>M2</x:v>
      </x:c>
      <x:c r="C50" s="206" t="str">
        <x:f>IF(INDEX(Backlog!$C$2:$C$180,MATCH($D50,Backlog!$A$2:$A$180,0))="","",INDEX(Backlog!$C$2:$C$180,MATCH($D50,Backlog!$A$2:$A$180,0)))</x:f>
        <x:v>P2</x:v>
      </x:c>
      <x:c r="D50" s="206" t="str">
        <x:v>T-233</x:v>
      </x:c>
      <x:c r="E50" s="206" t="str">
        <x:f>IF(INDEX(Backlog!$D$2:$D$180,MATCH($D50,Backlog!$A$2:$A$180,0))="","",INDEX(Backlog!$D$2:$D$180,MATCH($D50,Backlog!$A$2:$A$180,0)))</x:f>
        <x:v>Persist Source Time Authority and observation timestamp provenance</x:v>
      </x:c>
      <x:c r="F50" s="206" t="str">
        <x:f>IF(INDEX(Backlog!$K$2:$K$180,MATCH($D50,Backlog!$A$2:$A$180,0))="","",INDEX(Backlog!$K$2:$K$180,MATCH($D50,Backlog!$A$2:$A$180,0)))</x:f>
        <x:v>Not Started</x:v>
      </x:c>
      <x:c r="G50" s="206" t="n">
        <x:f>IF(ISNUMBER(INDEX(Backlog!$J$2:$J$180,MATCH($D50,Backlog!$A$2:$A$180,0))),INDEX(Backlog!$J$2:$J$180,MATCH($D50,Backlog!$A$2:$A$180,0)),"")</x:f>
        <x:v>5</x:v>
      </x:c>
      <x:c r="H50" s="206" t="n">
        <x:f>IF(ISNUMBER(INDEX(Backlog!$R$2:$R$180,MATCH($D50,Backlog!$A$2:$A$180,0))),INDEX(Backlog!$R$2:$R$180,MATCH($D50,Backlog!$A$2:$A$180,0)),"")</x:f>
        <x:v>2.125</x:v>
      </x:c>
      <x:c r="I50" s="206" t="str">
        <x:f>IF(INDEX(Backlog!$M$2:$M$180,MATCH($D50,Backlog!$A$2:$A$180,0))="","",INDEX(Backlog!$M$2:$M$180,MATCH($D50,Backlog!$A$2:$A$180,0)))</x:f>
        <x:v>T-087; T-090; T-216</x:v>
      </x:c>
      <x:c r="J50" s="206" t="str">
        <x:f>IF(INDEX(Backlog!$T$2:$T$180,MATCH($D50,Backlog!$A$2:$A$180,0))="","",INDEX(Backlog!$T$2:$T$180,MATCH($D50,Backlog!$A$2:$A$180,0)))</x:f>
        <x:v>T-087 + T-090 + committed T-216 contract.</x:v>
      </x:c>
      <x:c r="K50" s="206" t="str">
        <x:f>IF(INDEX(Backlog!$U$2:$U$180,MATCH($D50,Backlog!$A$2:$A$180,0))="","",INDEX(Backlog!$U$2:$U$180,MATCH($D50,Backlog!$A$2:$A$180,0)))</x:f>
        <x:v>source_time_authorities/observation timestamp provenance/API.</x:v>
      </x:c>
      <x:c r="L50" s="206" t="str">
        <x:f>IF(INDEX(Backlog!$V$2:$V$180,MATCH($D50,Backlog!$A$2:$A$180,0))="","",INDEX(Backlog!$V$2:$V$180,MATCH($D50,Backlog!$A$2:$A$180,0)))</x:f>
        <x:v>T-221/T-226 consume canonical persistence; T-217 kernel does not wait.</x:v>
      </x:c>
      <x:c r="M50" s="194" t="str">
        <x:f>IF(INDEX(Backlog!$AO$2:$AO$180,MATCH($D50,Backlog!$A$2:$A$180,0))="","",INDEX(Backlog!$AO$2:$AO$180,MATCH($D50,Backlog!$A$2:$A$180,0)))</x:f>
        <x:v>Not started — no completion claimed</x:v>
      </x:c>
      <x:c r="N50" s="194" t="str">
        <x:f>IF(INDEX(Backlog!$AN$2:$AN$180,MATCH($D50,Backlog!$A$2:$A$180,0))="","",INDEX(Backlog!$AN$2:$AN$180,MATCH($D50,Backlog!$A$2:$A$180,0)))</x:f>
      </x:c>
    </x:row>
    <x:row r="51" ht="26" customHeight="1">
      <x:c r="A51" s="206" t="str">
        <x:f>IF(INDEX(Backlog!$L$2:$L$180,MATCH($D51,Backlog!$A$2:$A$180,0))="","",INDEX(Backlog!$L$2:$L$180,MATCH($D51,Backlog!$A$2:$A$180,0)))</x:f>
        <x:v>Worker 1</x:v>
      </x:c>
      <x:c r="B51" s="206" t="str">
        <x:f>IF(INDEX(Backlog!$B$2:$B$180,MATCH($D51,Backlog!$A$2:$A$180,0))="","",INDEX(Backlog!$B$2:$B$180,MATCH($D51,Backlog!$A$2:$A$180,0)))</x:f>
        <x:v>M2</x:v>
      </x:c>
      <x:c r="C51" s="206" t="str">
        <x:f>IF(INDEX(Backlog!$C$2:$C$180,MATCH($D51,Backlog!$A$2:$A$180,0))="","",INDEX(Backlog!$C$2:$C$180,MATCH($D51,Backlog!$A$2:$A$180,0)))</x:f>
        <x:v>P2</x:v>
      </x:c>
      <x:c r="D51" s="206" t="str">
        <x:v>T-235</x:v>
      </x:c>
      <x:c r="E51" s="206" t="str">
        <x:f>IF(INDEX(Backlog!$D$2:$D$180,MATCH($D51,Backlog!$A$2:$A$180,0))="","",INDEX(Backlog!$D$2:$D$180,MATCH($D51,Backlog!$A$2:$A$180,0)))</x:f>
        <x:v>Persist transition/stabilisation authority and regime context</x:v>
      </x:c>
      <x:c r="F51" s="206" t="str">
        <x:f>IF(INDEX(Backlog!$K$2:$K$180,MATCH($D51,Backlog!$A$2:$A$180,0))="","",INDEX(Backlog!$K$2:$K$180,MATCH($D51,Backlog!$A$2:$A$180,0)))</x:f>
        <x:v>Not Started</x:v>
      </x:c>
      <x:c r="G51" s="206" t="n">
        <x:f>IF(ISNUMBER(INDEX(Backlog!$J$2:$J$180,MATCH($D51,Backlog!$A$2:$A$180,0))),INDEX(Backlog!$J$2:$J$180,MATCH($D51,Backlog!$A$2:$A$180,0)),"")</x:f>
        <x:v>8</x:v>
      </x:c>
      <x:c r="H51" s="206" t="n">
        <x:f>IF(ISNUMBER(INDEX(Backlog!$R$2:$R$180,MATCH($D51,Backlog!$A$2:$A$180,0))),INDEX(Backlog!$R$2:$R$180,MATCH($D51,Backlog!$A$2:$A$180,0)),"")</x:f>
        <x:v>3.4</x:v>
      </x:c>
      <x:c r="I51" s="206" t="str">
        <x:f>IF(INDEX(Backlog!$M$2:$M$180,MATCH($D51,Backlog!$A$2:$A$180,0))="","",INDEX(Backlog!$M$2:$M$180,MATCH($D51,Backlog!$A$2:$A$180,0)))</x:f>
        <x:v>T-090; T-231; T-234</x:v>
      </x:c>
      <x:c r="J51" s="206" t="str">
        <x:f>IF(INDEX(Backlog!$T$2:$T$180,MATCH($D51,Backlog!$A$2:$A$180,0))="","",INDEX(Backlog!$T$2:$T$180,MATCH($D51,Backlog!$A$2:$A$180,0)))</x:f>
        <x:v>T-090 + T-231 + committed T-234 contract.</x:v>
      </x:c>
      <x:c r="K51" s="206" t="str">
        <x:f>IF(INDEX(Backlog!$U$2:$U$180,MATCH($D51,Backlog!$A$2:$A$180,0))="","",INDEX(Backlog!$U$2:$U$180,MATCH($D51,Backlog!$A$2:$A$180,0)))</x:f>
        <x:v>process transition tables/API/migrations.</x:v>
      </x:c>
      <x:c r="L51" s="206" t="str">
        <x:f>IF(INDEX(Backlog!$V$2:$V$180,MATCH($D51,Backlog!$A$2:$A$180,0))="","",INDEX(Backlog!$V$2:$V$180,MATCH($D51,Backlog!$A$2:$A$180,0)))</x:f>
        <x:v>T-237/customer onboarding consume committed persistence; do not redesign contract.</x:v>
      </x:c>
      <x:c r="M51" s="194" t="str">
        <x:f>IF(INDEX(Backlog!$AO$2:$AO$180,MATCH($D51,Backlog!$A$2:$A$180,0))="","",INDEX(Backlog!$AO$2:$AO$180,MATCH($D51,Backlog!$A$2:$A$180,0)))</x:f>
        <x:v>Not started — no completion claimed</x:v>
      </x:c>
      <x:c r="N51" s="194" t="str">
        <x:f>IF(INDEX(Backlog!$AN$2:$AN$180,MATCH($D51,Backlog!$A$2:$A$180,0))="","",INDEX(Backlog!$AN$2:$AN$180,MATCH($D51,Backlog!$A$2:$A$180,0)))</x:f>
      </x:c>
    </x:row>
    <x:row r="52" ht="26" customHeight="1">
      <x:c r="A52" s="206" t="str">
        <x:f>IF(INDEX(Backlog!$L$2:$L$180,MATCH($D52,Backlog!$A$2:$A$180,0))="","",INDEX(Backlog!$L$2:$L$180,MATCH($D52,Backlog!$A$2:$A$180,0)))</x:f>
        <x:v>Worker 1</x:v>
      </x:c>
      <x:c r="B52" s="206" t="str">
        <x:f>IF(INDEX(Backlog!$B$2:$B$180,MATCH($D52,Backlog!$A$2:$A$180,0))="","",INDEX(Backlog!$B$2:$B$180,MATCH($D52,Backlog!$A$2:$A$180,0)))</x:f>
        <x:v>M2</x:v>
      </x:c>
      <x:c r="C52" s="206" t="str">
        <x:f>IF(INDEX(Backlog!$C$2:$C$180,MATCH($D52,Backlog!$A$2:$A$180,0))="","",INDEX(Backlog!$C$2:$C$180,MATCH($D52,Backlog!$A$2:$A$180,0)))</x:f>
        <x:v>P5</x:v>
      </x:c>
      <x:c r="D52" s="206" t="str">
        <x:v>T-112</x:v>
      </x:c>
      <x:c r="E52" s="206" t="str">
        <x:f>IF(INDEX(Backlog!$D$2:$D$180,MATCH($D52,Backlog!$A$2:$A$180,0))="","",INDEX(Backlog!$D$2:$D$180,MATCH($D52,Backlog!$A$2:$A$180,0)))</x:f>
        <x:v>Force RLS on every tenant-owned table with an architecture test</x:v>
      </x:c>
      <x:c r="F52" s="206" t="str">
        <x:f>IF(INDEX(Backlog!$K$2:$K$180,MATCH($D52,Backlog!$A$2:$A$180,0))="","",INDEX(Backlog!$K$2:$K$180,MATCH($D52,Backlog!$A$2:$A$180,0)))</x:f>
        <x:v>Not Started</x:v>
      </x:c>
      <x:c r="G52" s="206" t="n">
        <x:f>IF(ISNUMBER(INDEX(Backlog!$J$2:$J$180,MATCH($D52,Backlog!$A$2:$A$180,0))),INDEX(Backlog!$J$2:$J$180,MATCH($D52,Backlog!$A$2:$A$180,0)),"")</x:f>
        <x:v>12</x:v>
      </x:c>
      <x:c r="H52" s="206" t="n">
        <x:f>IF(ISNUMBER(INDEX(Backlog!$R$2:$R$180,MATCH($D52,Backlog!$A$2:$A$180,0))),INDEX(Backlog!$R$2:$R$180,MATCH($D52,Backlog!$A$2:$A$180,0)),"")</x:f>
        <x:v>2.325</x:v>
      </x:c>
      <x:c r="I52" s="206" t="str">
        <x:f>IF(INDEX(Backlog!$M$2:$M$180,MATCH($D52,Backlog!$A$2:$A$180,0))="","",INDEX(Backlog!$M$2:$M$180,MATCH($D52,Backlog!$A$2:$A$180,0)))</x:f>
        <x:v>T-087; T-088; T-251; T-252</x:v>
      </x:c>
      <x:c r="J52" s="206" t="str">
        <x:f>IF(INDEX(Backlog!$T$2:$T$180,MATCH($D52,Backlog!$A$2:$A$180,0))="","",INDEX(Backlog!$T$2:$T$180,MATCH($D52,Backlog!$A$2:$A$180,0)))</x:f>
        <x:v>WAIT for Presentation RC freeze/tag + clean index/worktree. Then: T-087/T-088 canonical migration authority available; establish FORCE RLS guar...</x:v>
      </x:c>
      <x:c r="K52" s="206" t="str">
        <x:f>IF(INDEX(Backlog!$U$2:$U$180,MATCH($D52,Backlog!$A$2:$A$180,0))="","",INDEX(Backlog!$U$2:$U$180,MATCH($D52,Backlog!$A$2:$A$180,0)))</x:f>
        <x:v>Own canonical DB/backend/security/API/infra. No W2-owned UI/admin task files and no W3 ML/Assistant runtime.</x:v>
      </x:c>
      <x:c r="L52" s="206" t="str">
        <x:f>IF(INDEX(Backlog!$V$2:$V$180,MATCH($D52,Backlog!$A$2:$A$180,0))="","",INDEX(Backlog!$V$2:$V$180,MATCH($D52,Backlog!$A$2:$A$180,0)))</x:f>
        <x:v>Critical hand-off: after T-089..T-105 + T-112/T-114 are committed, W3 may open T-183/T-195/T-128 lane.</x:v>
      </x:c>
      <x:c r="M52" s="194" t="str">
        <x:f>IF(INDEX(Backlog!$AO$2:$AO$180,MATCH($D52,Backlog!$A$2:$A$180,0))="","",INDEX(Backlog!$AO$2:$AO$180,MATCH($D52,Backlog!$A$2:$A$180,0)))</x:f>
        <x:v>Not started — no completion claimed</x:v>
      </x:c>
      <x:c r="N52" s="194" t="str">
        <x:f>IF(INDEX(Backlog!$AN$2:$AN$180,MATCH($D52,Backlog!$A$2:$A$180,0))="","",INDEX(Backlog!$AN$2:$AN$180,MATCH($D52,Backlog!$A$2:$A$180,0)))</x:f>
      </x:c>
    </x:row>
    <x:row r="53" ht="26" customHeight="1">
      <x:c r="A53" s="206" t="str">
        <x:f>IF(INDEX(Backlog!$L$2:$L$180,MATCH($D53,Backlog!$A$2:$A$180,0))="","",INDEX(Backlog!$L$2:$L$180,MATCH($D53,Backlog!$A$2:$A$180,0)))</x:f>
        <x:v>Worker 1</x:v>
      </x:c>
      <x:c r="B53" s="206" t="str">
        <x:f>IF(INDEX(Backlog!$B$2:$B$180,MATCH($D53,Backlog!$A$2:$A$180,0))="","",INDEX(Backlog!$B$2:$B$180,MATCH($D53,Backlog!$A$2:$A$180,0)))</x:f>
        <x:v>M2</x:v>
      </x:c>
      <x:c r="C53" s="206" t="str">
        <x:f>IF(INDEX(Backlog!$C$2:$C$180,MATCH($D53,Backlog!$A$2:$A$180,0))="","",INDEX(Backlog!$C$2:$C$180,MATCH($D53,Backlog!$A$2:$A$180,0)))</x:f>
        <x:v>P5</x:v>
      </x:c>
      <x:c r="D53" s="206" t="str">
        <x:v>T-113</x:v>
      </x:c>
      <x:c r="E53" s="206" t="str">
        <x:f>IF(INDEX(Backlog!$D$2:$D$180,MATCH($D53,Backlog!$A$2:$A$180,0))="","",INDEX(Backlog!$D$2:$D$180,MATCH($D53,Backlog!$A$2:$A$180,0)))</x:f>
        <x:v>Secret and configuration hygiene</x:v>
      </x:c>
      <x:c r="F53" s="206" t="str">
        <x:f>IF(INDEX(Backlog!$K$2:$K$180,MATCH($D53,Backlog!$A$2:$A$180,0))="","",INDEX(Backlog!$K$2:$K$180,MATCH($D53,Backlog!$A$2:$A$180,0)))</x:f>
        <x:v>Not Started</x:v>
      </x:c>
      <x:c r="G53" s="206" t="n">
        <x:f>IF(ISNUMBER(INDEX(Backlog!$J$2:$J$180,MATCH($D53,Backlog!$A$2:$A$180,0))),INDEX(Backlog!$J$2:$J$180,MATCH($D53,Backlog!$A$2:$A$180,0)),"")</x:f>
        <x:v>8</x:v>
      </x:c>
      <x:c r="H53" s="206" t="n">
        <x:f>IF(ISNUMBER(INDEX(Backlog!$R$2:$R$180,MATCH($D53,Backlog!$A$2:$A$180,0))),INDEX(Backlog!$R$2:$R$180,MATCH($D53,Backlog!$A$2:$A$180,0)),"")</x:f>
        <x:v>1.2000000000000002</x:v>
      </x:c>
      <x:c r="I53" s="206" t="str">
        <x:f>IF(INDEX(Backlog!$M$2:$M$180,MATCH($D53,Backlog!$A$2:$A$180,0))="","",INDEX(Backlog!$M$2:$M$180,MATCH($D53,Backlog!$A$2:$A$180,0)))</x:f>
      </x:c>
      <x:c r="J53" s="206" t="str">
        <x:f>IF(INDEX(Backlog!$T$2:$T$180,MATCH($D53,Backlog!$A$2:$A$180,0))="","",INDEX(Backlog!$T$2:$T$180,MATCH($D53,Backlog!$A$2:$A$180,0)))</x:f>
        <x:v>WAIT for Presentation RC freeze/tag + clean index/worktree. Then: Release 1 dependency order</x:v>
      </x:c>
      <x:c r="K53" s="206" t="str">
        <x:f>IF(INDEX(Backlog!$U$2:$U$180,MATCH($D53,Backlog!$A$2:$A$180,0))="","",INDEX(Backlog!$U$2:$U$180,MATCH($D53,Backlog!$A$2:$A$180,0)))</x:f>
        <x:v>Own canonical DB/backend/security/API/infra. No W2-owned UI/admin task files and no W3 ML/Assistant runtime.</x:v>
      </x:c>
      <x:c r="L53" s="206" t="str">
        <x:f>IF(INDEX(Backlog!$V$2:$V$180,MATCH($D53,Backlog!$A$2:$A$180,0))="","",INDEX(Backlog!$V$2:$V$180,MATCH($D53,Backlog!$A$2:$A$180,0)))</x:f>
        <x:v>Commit before downstream consumer starts; consumer must use the contract, not redesign producer-owned semantics.</x:v>
      </x:c>
      <x:c r="M53" s="194" t="str">
        <x:f>IF(INDEX(Backlog!$AO$2:$AO$180,MATCH($D53,Backlog!$A$2:$A$180,0))="","",INDEX(Backlog!$AO$2:$AO$180,MATCH($D53,Backlog!$A$2:$A$180,0)))</x:f>
        <x:v>Not started — no completion claimed</x:v>
      </x:c>
      <x:c r="N53" s="194" t="str">
        <x:f>IF(INDEX(Backlog!$AN$2:$AN$180,MATCH($D53,Backlog!$A$2:$A$180,0))="","",INDEX(Backlog!$AN$2:$AN$180,MATCH($D53,Backlog!$A$2:$A$180,0)))</x:f>
      </x:c>
    </x:row>
    <x:row r="54" ht="26" customHeight="1">
      <x:c r="A54" s="206" t="str">
        <x:f>IF(INDEX(Backlog!$L$2:$L$180,MATCH($D54,Backlog!$A$2:$A$180,0))="","",INDEX(Backlog!$L$2:$L$180,MATCH($D54,Backlog!$A$2:$A$180,0)))</x:f>
        <x:v>Worker 1</x:v>
      </x:c>
      <x:c r="B54" s="206" t="str">
        <x:f>IF(INDEX(Backlog!$B$2:$B$180,MATCH($D54,Backlog!$A$2:$A$180,0))="","",INDEX(Backlog!$B$2:$B$180,MATCH($D54,Backlog!$A$2:$A$180,0)))</x:f>
        <x:v>M2</x:v>
      </x:c>
      <x:c r="C54" s="206" t="str">
        <x:f>IF(INDEX(Backlog!$C$2:$C$180,MATCH($D54,Backlog!$A$2:$A$180,0))="","",INDEX(Backlog!$C$2:$C$180,MATCH($D54,Backlog!$A$2:$A$180,0)))</x:f>
        <x:v>P5</x:v>
      </x:c>
      <x:c r="D54" s="206" t="str">
        <x:v>T-114</x:v>
      </x:c>
      <x:c r="E54" s="206" t="str">
        <x:f>IF(INDEX(Backlog!$D$2:$D$180,MATCH($D54,Backlog!$A$2:$A$180,0))="","",INDEX(Backlog!$D$2:$D$180,MATCH($D54,Backlog!$A$2:$A$180,0)))</x:f>
        <x:v>Tenant keys, tenant-aware uniqueness and canonical namespace on new APIs</x:v>
      </x:c>
      <x:c r="F54" s="206" t="str">
        <x:f>IF(INDEX(Backlog!$K$2:$K$180,MATCH($D54,Backlog!$A$2:$A$180,0))="","",INDEX(Backlog!$K$2:$K$180,MATCH($D54,Backlog!$A$2:$A$180,0)))</x:f>
        <x:v>Not Started</x:v>
      </x:c>
      <x:c r="G54" s="206" t="n">
        <x:f>IF(ISNUMBER(INDEX(Backlog!$J$2:$J$180,MATCH($D54,Backlog!$A$2:$A$180,0))),INDEX(Backlog!$J$2:$J$180,MATCH($D54,Backlog!$A$2:$A$180,0)),"")</x:f>
        <x:v>6</x:v>
      </x:c>
      <x:c r="H54" s="206" t="n">
        <x:f>IF(ISNUMBER(INDEX(Backlog!$R$2:$R$180,MATCH($D54,Backlog!$A$2:$A$180,0))),INDEX(Backlog!$R$2:$R$180,MATCH($D54,Backlog!$A$2:$A$180,0)),"")</x:f>
        <x:v>0.8999999999999999</x:v>
      </x:c>
      <x:c r="I54" s="206" t="str">
        <x:f>IF(INDEX(Backlog!$M$2:$M$180,MATCH($D54,Backlog!$A$2:$A$180,0))="","",INDEX(Backlog!$M$2:$M$180,MATCH($D54,Backlog!$A$2:$A$180,0)))</x:f>
        <x:v>T-087; T-089; T-090; T-095; T-099</x:v>
      </x:c>
      <x:c r="J54" s="206" t="str">
        <x:f>IF(INDEX(Backlog!$T$2:$T$180,MATCH($D54,Backlog!$A$2:$A$180,0))="","",INDEX(Backlog!$T$2:$T$180,MATCH($D54,Backlog!$A$2:$A$180,0)))</x:f>
        <x:v>WAIT for Presentation RC freeze/tag + clean index/worktree. Then: T-087 + T-089/T-090 + T-095/T-099 canonical Release 1 tables available; establish t...</x:v>
      </x:c>
      <x:c r="K54" s="206" t="str">
        <x:f>IF(INDEX(Backlog!$U$2:$U$180,MATCH($D54,Backlog!$A$2:$A$180,0))="","",INDEX(Backlog!$U$2:$U$180,MATCH($D54,Backlog!$A$2:$A$180,0)))</x:f>
        <x:v>Own canonical DB/backend/security/API/infra. No W2-owned UI/admin task files and no W3 ML/Assistant runtime.</x:v>
      </x:c>
      <x:c r="L54" s="206" t="str">
        <x:f>IF(INDEX(Backlog!$V$2:$V$180,MATCH($D54,Backlog!$A$2:$A$180,0))="","",INDEX(Backlog!$V$2:$V$180,MATCH($D54,Backlog!$A$2:$A$180,0)))</x:f>
        <x:v>Critical hand-off: after T-089..T-105 + T-112/T-114 are committed, W3 may open T-183/T-195/T-128 lane.</x:v>
      </x:c>
      <x:c r="M54" s="194" t="str">
        <x:f>IF(INDEX(Backlog!$AO$2:$AO$180,MATCH($D54,Backlog!$A$2:$A$180,0))="","",INDEX(Backlog!$AO$2:$AO$180,MATCH($D54,Backlog!$A$2:$A$180,0)))</x:f>
        <x:v>Not started — no completion claimed</x:v>
      </x:c>
      <x:c r="N54" s="194" t="str">
        <x:f>IF(INDEX(Backlog!$AN$2:$AN$180,MATCH($D54,Backlog!$A$2:$A$180,0))="","",INDEX(Backlog!$AN$2:$AN$180,MATCH($D54,Backlog!$A$2:$A$180,0)))</x:f>
      </x:c>
    </x:row>
    <x:row r="55" ht="26" customHeight="1">
      <x:c r="A55" s="206" t="str">
        <x:f>IF(INDEX(Backlog!$L$2:$L$180,MATCH($D55,Backlog!$A$2:$A$180,0))="","",INDEX(Backlog!$L$2:$L$180,MATCH($D55,Backlog!$A$2:$A$180,0)))</x:f>
        <x:v>Worker 1</x:v>
      </x:c>
      <x:c r="B55" s="206" t="str">
        <x:f>IF(INDEX(Backlog!$B$2:$B$180,MATCH($D55,Backlog!$A$2:$A$180,0))="","",INDEX(Backlog!$B$2:$B$180,MATCH($D55,Backlog!$A$2:$A$180,0)))</x:f>
        <x:v>M2</x:v>
      </x:c>
      <x:c r="C55" s="206" t="str">
        <x:f>IF(INDEX(Backlog!$C$2:$C$180,MATCH($D55,Backlog!$A$2:$A$180,0))="","",INDEX(Backlog!$C$2:$C$180,MATCH($D55,Backlog!$A$2:$A$180,0)))</x:f>
        <x:v>P5</x:v>
      </x:c>
      <x:c r="D55" s="206" t="str">
        <x:v>T-115</x:v>
      </x:c>
      <x:c r="E55" s="206" t="str">
        <x:f>IF(INDEX(Backlog!$D$2:$D$180,MATCH($D55,Backlog!$A$2:$A$180,0))="","",INDEX(Backlog!$D$2:$D$180,MATCH($D55,Backlog!$A$2:$A$180,0)))</x:f>
        <x:v>Fresh-install Rule 2 acceptance test, ephemeral</x:v>
      </x:c>
      <x:c r="F55" s="206" t="str">
        <x:f>IF(INDEX(Backlog!$K$2:$K$180,MATCH($D55,Backlog!$A$2:$A$180,0))="","",INDEX(Backlog!$K$2:$K$180,MATCH($D55,Backlog!$A$2:$A$180,0)))</x:f>
        <x:v>Not Started</x:v>
      </x:c>
      <x:c r="G55" s="206" t="n">
        <x:f>IF(ISNUMBER(INDEX(Backlog!$J$2:$J$180,MATCH($D55,Backlog!$A$2:$A$180,0))),INDEX(Backlog!$J$2:$J$180,MATCH($D55,Backlog!$A$2:$A$180,0)),"")</x:f>
        <x:v>4</x:v>
      </x:c>
      <x:c r="H55" s="206" t="n">
        <x:f>IF(ISNUMBER(INDEX(Backlog!$R$2:$R$180,MATCH($D55,Backlog!$A$2:$A$180,0))),INDEX(Backlog!$R$2:$R$180,MATCH($D55,Backlog!$A$2:$A$180,0)),"")</x:f>
        <x:v>0.775</x:v>
      </x:c>
      <x:c r="I55" s="206" t="str">
        <x:f>IF(INDEX(Backlog!$M$2:$M$180,MATCH($D55,Backlog!$A$2:$A$180,0))="","",INDEX(Backlog!$M$2:$M$180,MATCH($D55,Backlog!$A$2:$A$180,0)))</x:f>
      </x:c>
      <x:c r="J55" s="206" t="str">
        <x:f>IF(INDEX(Backlog!$T$2:$T$180,MATCH($D55,Backlog!$A$2:$A$180,0))="","",INDEX(Backlog!$T$2:$T$180,MATCH($D55,Backlog!$A$2:$A$180,0)))</x:f>
        <x:v>WAIT for Presentation RC freeze/tag + clean index/worktree. Then: Release 1 dependency order</x:v>
      </x:c>
      <x:c r="K55" s="206" t="str">
        <x:f>IF(INDEX(Backlog!$U$2:$U$180,MATCH($D55,Backlog!$A$2:$A$180,0))="","",INDEX(Backlog!$U$2:$U$180,MATCH($D55,Backlog!$A$2:$A$180,0)))</x:f>
        <x:v>Own canonical DB/backend/security/API/infra. No W2-owned UI/admin task files and no W3 ML/Assistant runtime.</x:v>
      </x:c>
      <x:c r="L55" s="206" t="str">
        <x:f>IF(INDEX(Backlog!$V$2:$V$180,MATCH($D55,Backlog!$A$2:$A$180,0))="","",INDEX(Backlog!$V$2:$V$180,MATCH($D55,Backlog!$A$2:$A$180,0)))</x:f>
        <x:v>Commit before downstream consumer starts; consumer must use the contract, not redesign producer-owned semantics.</x:v>
      </x:c>
      <x:c r="M55" s="194" t="str">
        <x:f>IF(INDEX(Backlog!$AO$2:$AO$180,MATCH($D55,Backlog!$A$2:$A$180,0))="","",INDEX(Backlog!$AO$2:$AO$180,MATCH($D55,Backlog!$A$2:$A$180,0)))</x:f>
        <x:v>Not started — no completion claimed</x:v>
      </x:c>
      <x:c r="N55" s="194" t="str">
        <x:f>IF(INDEX(Backlog!$AN$2:$AN$180,MATCH($D55,Backlog!$A$2:$A$180,0))="","",INDEX(Backlog!$AN$2:$AN$180,MATCH($D55,Backlog!$A$2:$A$180,0)))</x:f>
      </x:c>
    </x:row>
    <x:row r="56" ht="26" customHeight="1">
      <x:c r="A56" s="206" t="str">
        <x:f>IF(INDEX(Backlog!$L$2:$L$180,MATCH($D56,Backlog!$A$2:$A$180,0))="","",INDEX(Backlog!$L$2:$L$180,MATCH($D56,Backlog!$A$2:$A$180,0)))</x:f>
        <x:v>Worker 1</x:v>
      </x:c>
      <x:c r="B56" s="206" t="str">
        <x:f>IF(INDEX(Backlog!$B$2:$B$180,MATCH($D56,Backlog!$A$2:$A$180,0))="","",INDEX(Backlog!$B$2:$B$180,MATCH($D56,Backlog!$A$2:$A$180,0)))</x:f>
        <x:v>M2</x:v>
      </x:c>
      <x:c r="C56" s="206" t="str">
        <x:f>IF(INDEX(Backlog!$C$2:$C$180,MATCH($D56,Backlog!$A$2:$A$180,0))="","",INDEX(Backlog!$C$2:$C$180,MATCH($D56,Backlog!$A$2:$A$180,0)))</x:f>
        <x:v>P5</x:v>
      </x:c>
      <x:c r="D56" s="206" t="str">
        <x:v>T-119</x:v>
      </x:c>
      <x:c r="E56" s="206" t="str">
        <x:f>IF(INDEX(Backlog!$D$2:$D$180,MATCH($D56,Backlog!$A$2:$A$180,0))="","",INDEX(Backlog!$D$2:$D$180,MATCH($D56,Backlog!$A$2:$A$180,0)))</x:f>
        <x:v>Eight-role catalogue convergence, one-to-one wire mapping and three enforcement layers</x:v>
      </x:c>
      <x:c r="F56" s="206" t="str">
        <x:f>IF(INDEX(Backlog!$K$2:$K$180,MATCH($D56,Backlog!$A$2:$A$180,0))="","",INDEX(Backlog!$K$2:$K$180,MATCH($D56,Backlog!$A$2:$A$180,0)))</x:f>
        <x:v>Not Started</x:v>
      </x:c>
      <x:c r="G56" s="206" t="n">
        <x:f>IF(ISNUMBER(INDEX(Backlog!$J$2:$J$180,MATCH($D56,Backlog!$A$2:$A$180,0))),INDEX(Backlog!$J$2:$J$180,MATCH($D56,Backlog!$A$2:$A$180,0)),"")</x:f>
        <x:v>12</x:v>
      </x:c>
      <x:c r="H56" s="206" t="n">
        <x:f>IF(ISNUMBER(INDEX(Backlog!$R$2:$R$180,MATCH($D56,Backlog!$A$2:$A$180,0))),INDEX(Backlog!$R$2:$R$180,MATCH($D56,Backlog!$A$2:$A$180,0)),"")</x:f>
        <x:v>1.7999999999999998</x:v>
      </x:c>
      <x:c r="I56" s="206" t="str">
        <x:f>IF(INDEX(Backlog!$M$2:$M$180,MATCH($D56,Backlog!$A$2:$A$180,0))="","",INDEX(Backlog!$M$2:$M$180,MATCH($D56,Backlog!$A$2:$A$180,0)))</x:f>
      </x:c>
      <x:c r="J56" s="206" t="str">
        <x:f>IF(INDEX(Backlog!$T$2:$T$180,MATCH($D56,Backlog!$A$2:$A$180,0))="","",INDEX(Backlog!$T$2:$T$180,MATCH($D56,Backlog!$A$2:$A$180,0)))</x:f>
        <x:v>WAIT for Presentation RC freeze/tag + clean index/worktree. Then: Release 1 dependency order</x:v>
      </x:c>
      <x:c r="K56" s="206" t="str">
        <x:f>IF(INDEX(Backlog!$U$2:$U$180,MATCH($D56,Backlog!$A$2:$A$180,0))="","",INDEX(Backlog!$U$2:$U$180,MATCH($D56,Backlog!$A$2:$A$180,0)))</x:f>
        <x:v>Own canonical DB/backend/security/API/infra. No W2-owned UI/admin task files and no W3 ML/Assistant runtime.</x:v>
      </x:c>
      <x:c r="L56" s="206" t="str">
        <x:f>IF(INDEX(Backlog!$V$2:$V$180,MATCH($D56,Backlog!$A$2:$A$180,0))="","",INDEX(Backlog!$V$2:$V$180,MATCH($D56,Backlog!$A$2:$A$180,0)))</x:f>
        <x:v>Commit before downstream consumer starts; consumer must use the contract, not redesign producer-owned semantics.</x:v>
      </x:c>
      <x:c r="M56" s="194" t="str">
        <x:f>IF(INDEX(Backlog!$AO$2:$AO$180,MATCH($D56,Backlog!$A$2:$A$180,0))="","",INDEX(Backlog!$AO$2:$AO$180,MATCH($D56,Backlog!$A$2:$A$180,0)))</x:f>
        <x:v>Not started — no completion claimed</x:v>
      </x:c>
      <x:c r="N56" s="194" t="str">
        <x:f>IF(INDEX(Backlog!$AN$2:$AN$180,MATCH($D56,Backlog!$A$2:$A$180,0))="","",INDEX(Backlog!$AN$2:$AN$180,MATCH($D56,Backlog!$A$2:$A$180,0)))</x:f>
      </x:c>
    </x:row>
    <x:row r="57" ht="26" customHeight="1">
      <x:c r="A57" s="206" t="str">
        <x:f>IF(INDEX(Backlog!$L$2:$L$180,MATCH($D57,Backlog!$A$2:$A$180,0))="","",INDEX(Backlog!$L$2:$L$180,MATCH($D57,Backlog!$A$2:$A$180,0)))</x:f>
        <x:v>Worker 1</x:v>
      </x:c>
      <x:c r="B57" s="206" t="str">
        <x:f>IF(INDEX(Backlog!$B$2:$B$180,MATCH($D57,Backlog!$A$2:$A$180,0))="","",INDEX(Backlog!$B$2:$B$180,MATCH($D57,Backlog!$A$2:$A$180,0)))</x:f>
        <x:v>M2</x:v>
      </x:c>
      <x:c r="C57" s="206" t="str">
        <x:f>IF(INDEX(Backlog!$C$2:$C$180,MATCH($D57,Backlog!$A$2:$A$180,0))="","",INDEX(Backlog!$C$2:$C$180,MATCH($D57,Backlog!$A$2:$A$180,0)))</x:f>
        <x:v>P5</x:v>
      </x:c>
      <x:c r="D57" s="206" t="str">
        <x:v>T-121</x:v>
      </x:c>
      <x:c r="E57" s="206" t="str">
        <x:f>IF(INDEX(Backlog!$D$2:$D$180,MATCH($D57,Backlog!$A$2:$A$180,0))="","",INDEX(Backlog!$D$2:$D$180,MATCH($D57,Backlog!$A$2:$A$180,0)))</x:f>
        <x:v>Licence and entitlement enforcement</x:v>
      </x:c>
      <x:c r="F57" s="206" t="str">
        <x:f>IF(INDEX(Backlog!$K$2:$K$180,MATCH($D57,Backlog!$A$2:$A$180,0))="","",INDEX(Backlog!$K$2:$K$180,MATCH($D57,Backlog!$A$2:$A$180,0)))</x:f>
        <x:v>Not Started</x:v>
      </x:c>
      <x:c r="G57" s="206" t="n">
        <x:f>IF(ISNUMBER(INDEX(Backlog!$J$2:$J$180,MATCH($D57,Backlog!$A$2:$A$180,0))),INDEX(Backlog!$J$2:$J$180,MATCH($D57,Backlog!$A$2:$A$180,0)),"")</x:f>
        <x:v>16</x:v>
      </x:c>
      <x:c r="H57" s="206" t="n">
        <x:f>IF(ISNUMBER(INDEX(Backlog!$R$2:$R$180,MATCH($D57,Backlog!$A$2:$A$180,0))),INDEX(Backlog!$R$2:$R$180,MATCH($D57,Backlog!$A$2:$A$180,0)),"")</x:f>
        <x:v>1.7999999999999998</x:v>
      </x:c>
      <x:c r="I57" s="206" t="str">
        <x:f>IF(INDEX(Backlog!$M$2:$M$180,MATCH($D57,Backlog!$A$2:$A$180,0))="","",INDEX(Backlog!$M$2:$M$180,MATCH($D57,Backlog!$A$2:$A$180,0)))</x:f>
        <x:v>T-119</x:v>
      </x:c>
      <x:c r="J57" s="206" t="str">
        <x:f>IF(INDEX(Backlog!$T$2:$T$180,MATCH($D57,Backlog!$A$2:$A$180,0))="","",INDEX(Backlog!$T$2:$T$180,MATCH($D57,Backlog!$A$2:$A$180,0)))</x:f>
        <x:v>WAIT for Presentation RC freeze/tag + clean index/worktree. Then: T-119 role catalogue/enforcement + licence authority.</x:v>
      </x:c>
      <x:c r="K57" s="206" t="str">
        <x:f>IF(INDEX(Backlog!$U$2:$U$180,MATCH($D57,Backlog!$A$2:$A$180,0))="","",INDEX(Backlog!$U$2:$U$180,MATCH($D57,Backlog!$A$2:$A$180,0)))</x:f>
        <x:v>Own canonical DB/backend/security/API/infra. No W2-owned UI/admin task files and no W3 ML/Assistant runtime.</x:v>
      </x:c>
      <x:c r="L57" s="206" t="str">
        <x:f>IF(INDEX(Backlog!$V$2:$V$180,MATCH($D57,Backlog!$A$2:$A$180,0))="","",INDEX(Backlog!$V$2:$V$180,MATCH($D57,Backlog!$A$2:$A$180,0)))</x:f>
        <x:v>Commit before downstream consumer starts; consumer must use the contract, not redesign producer-owned semantics.</x:v>
      </x:c>
      <x:c r="M57" s="194" t="str">
        <x:f>IF(INDEX(Backlog!$AO$2:$AO$180,MATCH($D57,Backlog!$A$2:$A$180,0))="","",INDEX(Backlog!$AO$2:$AO$180,MATCH($D57,Backlog!$A$2:$A$180,0)))</x:f>
        <x:v>Not started — no completion claimed</x:v>
      </x:c>
      <x:c r="N57" s="194" t="str">
        <x:f>IF(INDEX(Backlog!$AN$2:$AN$180,MATCH($D57,Backlog!$A$2:$A$180,0))="","",INDEX(Backlog!$AN$2:$AN$180,MATCH($D57,Backlog!$A$2:$A$180,0)))</x:f>
      </x:c>
    </x:row>
    <x:row r="58" ht="26" customHeight="1">
      <x:c r="A58" s="206" t="str">
        <x:f>IF(INDEX(Backlog!$L$2:$L$180,MATCH($D58,Backlog!$A$2:$A$180,0))="","",INDEX(Backlog!$L$2:$L$180,MATCH($D58,Backlog!$A$2:$A$180,0)))</x:f>
        <x:v>Worker 1</x:v>
      </x:c>
      <x:c r="B58" s="206" t="str">
        <x:f>IF(INDEX(Backlog!$B$2:$B$180,MATCH($D58,Backlog!$A$2:$A$180,0))="","",INDEX(Backlog!$B$2:$B$180,MATCH($D58,Backlog!$A$2:$A$180,0)))</x:f>
        <x:v>M2</x:v>
      </x:c>
      <x:c r="C58" s="206" t="str">
        <x:f>IF(INDEX(Backlog!$C$2:$C$180,MATCH($D58,Backlog!$A$2:$A$180,0))="","",INDEX(Backlog!$C$2:$C$180,MATCH($D58,Backlog!$A$2:$A$180,0)))</x:f>
        <x:v>P5</x:v>
      </x:c>
      <x:c r="D58" s="206" t="str">
        <x:v>T-123</x:v>
      </x:c>
      <x:c r="E58" s="206" t="str">
        <x:f>IF(INDEX(Backlog!$D$2:$D$180,MATCH($D58,Backlog!$A$2:$A$180,0))="","",INDEX(Backlog!$D$2:$D$180,MATCH($D58,Backlog!$A$2:$A$180,0)))</x:f>
        <x:v>Install package, migration runner, upgrade and rollback</x:v>
      </x:c>
      <x:c r="F58" s="206" t="str">
        <x:f>IF(INDEX(Backlog!$K$2:$K$180,MATCH($D58,Backlog!$A$2:$A$180,0))="","",INDEX(Backlog!$K$2:$K$180,MATCH($D58,Backlog!$A$2:$A$180,0)))</x:f>
        <x:v>Not Started</x:v>
      </x:c>
      <x:c r="G58" s="206" t="n">
        <x:f>IF(ISNUMBER(INDEX(Backlog!$J$2:$J$180,MATCH($D58,Backlog!$A$2:$A$180,0))),INDEX(Backlog!$J$2:$J$180,MATCH($D58,Backlog!$A$2:$A$180,0)),"")</x:f>
        <x:v>14</x:v>
      </x:c>
      <x:c r="H58" s="206" t="n">
        <x:f>IF(ISNUMBER(INDEX(Backlog!$R$2:$R$180,MATCH($D58,Backlog!$A$2:$A$180,0))),INDEX(Backlog!$R$2:$R$180,MATCH($D58,Backlog!$A$2:$A$180,0)),"")</x:f>
        <x:v>3.2</x:v>
      </x:c>
      <x:c r="I58" s="206" t="str">
        <x:f>IF(INDEX(Backlog!$M$2:$M$180,MATCH($D58,Backlog!$A$2:$A$180,0))="","",INDEX(Backlog!$M$2:$M$180,MATCH($D58,Backlog!$A$2:$A$180,0)))</x:f>
      </x:c>
      <x:c r="J58" s="206" t="str">
        <x:f>IF(INDEX(Backlog!$T$2:$T$180,MATCH($D58,Backlog!$A$2:$A$180,0))="","",INDEX(Backlog!$T$2:$T$180,MATCH($D58,Backlog!$A$2:$A$180,0)))</x:f>
        <x:v>WAIT for Presentation RC freeze/tag + clean index/worktree. Then: Release 1 dependency order</x:v>
      </x:c>
      <x:c r="K58" s="206" t="str">
        <x:f>IF(INDEX(Backlog!$U$2:$U$180,MATCH($D58,Backlog!$A$2:$A$180,0))="","",INDEX(Backlog!$U$2:$U$180,MATCH($D58,Backlog!$A$2:$A$180,0)))</x:f>
        <x:v>Own canonical DB/backend/security/API/infra. No W2-owned UI/admin task files and no W3 ML/Assistant runtime.</x:v>
      </x:c>
      <x:c r="L58" s="206" t="str">
        <x:f>IF(INDEX(Backlog!$V$2:$V$180,MATCH($D58,Backlog!$A$2:$A$180,0))="","",INDEX(Backlog!$V$2:$V$180,MATCH($D58,Backlog!$A$2:$A$180,0)))</x:f>
        <x:v>Commit before downstream consumer starts; consumer must use the contract, not redesign producer-owned semantics.</x:v>
      </x:c>
      <x:c r="M58" s="194" t="str">
        <x:f>IF(INDEX(Backlog!$AO$2:$AO$180,MATCH($D58,Backlog!$A$2:$A$180,0))="","",INDEX(Backlog!$AO$2:$AO$180,MATCH($D58,Backlog!$A$2:$A$180,0)))</x:f>
        <x:v>Not started — no completion claimed</x:v>
      </x:c>
      <x:c r="N58" s="194" t="str">
        <x:f>IF(INDEX(Backlog!$AN$2:$AN$180,MATCH($D58,Backlog!$A$2:$A$180,0))="","",INDEX(Backlog!$AN$2:$AN$180,MATCH($D58,Backlog!$A$2:$A$180,0)))</x:f>
      </x:c>
    </x:row>
    <x:row r="59" ht="26" customHeight="1">
      <x:c r="A59" s="206" t="str">
        <x:f>IF(INDEX(Backlog!$L$2:$L$180,MATCH($D59,Backlog!$A$2:$A$180,0))="","",INDEX(Backlog!$L$2:$L$180,MATCH($D59,Backlog!$A$2:$A$180,0)))</x:f>
        <x:v>Worker 1</x:v>
      </x:c>
      <x:c r="B59" s="206" t="str">
        <x:f>IF(INDEX(Backlog!$B$2:$B$180,MATCH($D59,Backlog!$A$2:$A$180,0))="","",INDEX(Backlog!$B$2:$B$180,MATCH($D59,Backlog!$A$2:$A$180,0)))</x:f>
        <x:v>M2</x:v>
      </x:c>
      <x:c r="C59" s="206" t="str">
        <x:f>IF(INDEX(Backlog!$C$2:$C$180,MATCH($D59,Backlog!$A$2:$A$180,0))="","",INDEX(Backlog!$C$2:$C$180,MATCH($D59,Backlog!$A$2:$A$180,0)))</x:f>
        <x:v>P5</x:v>
      </x:c>
      <x:c r="D59" s="206" t="str">
        <x:v>T-124</x:v>
      </x:c>
      <x:c r="E59" s="206" t="str">
        <x:f>IF(INDEX(Backlog!$D$2:$D$180,MATCH($D59,Backlog!$A$2:$A$180,0))="","",INDEX(Backlog!$D$2:$D$180,MATCH($D59,Backlog!$A$2:$A$180,0)))</x:f>
        <x:v>Backup with a tested restore acceptance procedure</x:v>
      </x:c>
      <x:c r="F59" s="206" t="str">
        <x:f>IF(INDEX(Backlog!$K$2:$K$180,MATCH($D59,Backlog!$A$2:$A$180,0))="","",INDEX(Backlog!$K$2:$K$180,MATCH($D59,Backlog!$A$2:$A$180,0)))</x:f>
        <x:v>Not Started</x:v>
      </x:c>
      <x:c r="G59" s="206" t="n">
        <x:f>IF(ISNUMBER(INDEX(Backlog!$J$2:$J$180,MATCH($D59,Backlog!$A$2:$A$180,0))),INDEX(Backlog!$J$2:$J$180,MATCH($D59,Backlog!$A$2:$A$180,0)),"")</x:f>
        <x:v>12</x:v>
      </x:c>
      <x:c r="H59" s="206" t="n">
        <x:f>IF(ISNUMBER(INDEX(Backlog!$R$2:$R$180,MATCH($D59,Backlog!$A$2:$A$180,0))),INDEX(Backlog!$R$2:$R$180,MATCH($D59,Backlog!$A$2:$A$180,0)),"")</x:f>
        <x:v>3.2</x:v>
      </x:c>
      <x:c r="I59" s="206" t="str">
        <x:f>IF(INDEX(Backlog!$M$2:$M$180,MATCH($D59,Backlog!$A$2:$A$180,0))="","",INDEX(Backlog!$M$2:$M$180,MATCH($D59,Backlog!$A$2:$A$180,0)))</x:f>
      </x:c>
      <x:c r="J59" s="206" t="str">
        <x:f>IF(INDEX(Backlog!$T$2:$T$180,MATCH($D59,Backlog!$A$2:$A$180,0))="","",INDEX(Backlog!$T$2:$T$180,MATCH($D59,Backlog!$A$2:$A$180,0)))</x:f>
        <x:v>WAIT for Presentation RC freeze/tag + clean index/worktree. Then: Release 1 dependency order</x:v>
      </x:c>
      <x:c r="K59" s="206" t="str">
        <x:f>IF(INDEX(Backlog!$U$2:$U$180,MATCH($D59,Backlog!$A$2:$A$180,0))="","",INDEX(Backlog!$U$2:$U$180,MATCH($D59,Backlog!$A$2:$A$180,0)))</x:f>
        <x:v>Own canonical DB/backend/security/API/infra. No W2-owned UI/admin task files and no W3 ML/Assistant runtime.</x:v>
      </x:c>
      <x:c r="L59" s="206" t="str">
        <x:f>IF(INDEX(Backlog!$V$2:$V$180,MATCH($D59,Backlog!$A$2:$A$180,0))="","",INDEX(Backlog!$V$2:$V$180,MATCH($D59,Backlog!$A$2:$A$180,0)))</x:f>
        <x:v>Commit before downstream consumer starts; consumer must use the contract, not redesign producer-owned semantics.</x:v>
      </x:c>
      <x:c r="M59" s="194" t="str">
        <x:f>IF(INDEX(Backlog!$AO$2:$AO$180,MATCH($D59,Backlog!$A$2:$A$180,0))="","",INDEX(Backlog!$AO$2:$AO$180,MATCH($D59,Backlog!$A$2:$A$180,0)))</x:f>
        <x:v>Not started — no completion claimed</x:v>
      </x:c>
      <x:c r="N59" s="194" t="str">
        <x:f>IF(INDEX(Backlog!$AN$2:$AN$180,MATCH($D59,Backlog!$A$2:$A$180,0))="","",INDEX(Backlog!$AN$2:$AN$180,MATCH($D59,Backlog!$A$2:$A$180,0)))</x:f>
      </x:c>
    </x:row>
    <x:row r="60" ht="26" customHeight="1">
      <x:c r="A60" s="206" t="str">
        <x:f>IF(INDEX(Backlog!$L$2:$L$180,MATCH($D60,Backlog!$A$2:$A$180,0))="","",INDEX(Backlog!$L$2:$L$180,MATCH($D60,Backlog!$A$2:$A$180,0)))</x:f>
        <x:v>Worker 1</x:v>
      </x:c>
      <x:c r="B60" s="206" t="str">
        <x:f>IF(INDEX(Backlog!$B$2:$B$180,MATCH($D60,Backlog!$A$2:$A$180,0))="","",INDEX(Backlog!$B$2:$B$180,MATCH($D60,Backlog!$A$2:$A$180,0)))</x:f>
        <x:v>M2</x:v>
      </x:c>
      <x:c r="C60" s="206" t="str">
        <x:f>IF(INDEX(Backlog!$C$2:$C$180,MATCH($D60,Backlog!$A$2:$A$180,0))="","",INDEX(Backlog!$C$2:$C$180,MATCH($D60,Backlog!$A$2:$A$180,0)))</x:f>
        <x:v>P5</x:v>
      </x:c>
      <x:c r="D60" s="206" t="str">
        <x:v>T-125</x:v>
      </x:c>
      <x:c r="E60" s="206" t="str">
        <x:f>IF(INDEX(Backlog!$D$2:$D$180,MATCH($D60,Backlog!$A$2:$A$180,0))="","",INDEX(Backlog!$D$2:$D$180,MATCH($D60,Backlog!$A$2:$A$180,0)))</x:f>
        <x:v>Minimum monitoring, health and alerting</x:v>
      </x:c>
      <x:c r="F60" s="206" t="str">
        <x:f>IF(INDEX(Backlog!$K$2:$K$180,MATCH($D60,Backlog!$A$2:$A$180,0))="","",INDEX(Backlog!$K$2:$K$180,MATCH($D60,Backlog!$A$2:$A$180,0)))</x:f>
        <x:v>Not Started</x:v>
      </x:c>
      <x:c r="G60" s="206" t="n">
        <x:f>IF(ISNUMBER(INDEX(Backlog!$J$2:$J$180,MATCH($D60,Backlog!$A$2:$A$180,0))),INDEX(Backlog!$J$2:$J$180,MATCH($D60,Backlog!$A$2:$A$180,0)),"")</x:f>
        <x:v>14</x:v>
      </x:c>
      <x:c r="H60" s="206" t="n">
        <x:f>IF(ISNUMBER(INDEX(Backlog!$R$2:$R$180,MATCH($D60,Backlog!$A$2:$A$180,0))),INDEX(Backlog!$R$2:$R$180,MATCH($D60,Backlog!$A$2:$A$180,0)),"")</x:f>
        <x:v>3.2</x:v>
      </x:c>
      <x:c r="I60" s="206" t="str">
        <x:f>IF(INDEX(Backlog!$M$2:$M$180,MATCH($D60,Backlog!$A$2:$A$180,0))="","",INDEX(Backlog!$M$2:$M$180,MATCH($D60,Backlog!$A$2:$A$180,0)))</x:f>
        <x:v>T-106; T-107</x:v>
      </x:c>
      <x:c r="J60" s="206" t="str">
        <x:f>IF(INDEX(Backlog!$T$2:$T$180,MATCH($D60,Backlog!$A$2:$A$180,0))="","",INDEX(Backlog!$T$2:$T$180,MATCH($D60,Backlog!$A$2:$A$180,0)))</x:f>
        <x:v>WAIT for Presentation RC freeze/tag + clean index/worktree. Then: Release 1 dependency order</x:v>
      </x:c>
      <x:c r="K60" s="206" t="str">
        <x:f>IF(INDEX(Backlog!$U$2:$U$180,MATCH($D60,Backlog!$A$2:$A$180,0))="","",INDEX(Backlog!$U$2:$U$180,MATCH($D60,Backlog!$A$2:$A$180,0)))</x:f>
        <x:v>Own canonical DB/backend/security/API/infra. No W2-owned UI/admin task files and no W3 ML/Assistant runtime.</x:v>
      </x:c>
      <x:c r="L60" s="206" t="str">
        <x:f>IF(INDEX(Backlog!$V$2:$V$180,MATCH($D60,Backlog!$A$2:$A$180,0))="","",INDEX(Backlog!$V$2:$V$180,MATCH($D60,Backlog!$A$2:$A$180,0)))</x:f>
        <x:v>Commit before downstream consumer starts; consumer must use the contract, not redesign producer-owned semantics.</x:v>
      </x:c>
      <x:c r="M60" s="194" t="str">
        <x:f>IF(INDEX(Backlog!$AO$2:$AO$180,MATCH($D60,Backlog!$A$2:$A$180,0))="","",INDEX(Backlog!$AO$2:$AO$180,MATCH($D60,Backlog!$A$2:$A$180,0)))</x:f>
        <x:v>Not started — no completion claimed</x:v>
      </x:c>
      <x:c r="N60" s="194" t="str">
        <x:f>IF(INDEX(Backlog!$AN$2:$AN$180,MATCH($D60,Backlog!$A$2:$A$180,0))="","",INDEX(Backlog!$AN$2:$AN$180,MATCH($D60,Backlog!$A$2:$A$180,0)))</x:f>
      </x:c>
    </x:row>
    <x:row r="61" ht="26" customHeight="1">
      <x:c r="A61" s="206" t="str">
        <x:f>IF(INDEX(Backlog!$L$2:$L$180,MATCH($D61,Backlog!$A$2:$A$180,0))="","",INDEX(Backlog!$L$2:$L$180,MATCH($D61,Backlog!$A$2:$A$180,0)))</x:f>
        <x:v>Worker 1</x:v>
      </x:c>
      <x:c r="B61" s="206" t="str">
        <x:f>IF(INDEX(Backlog!$B$2:$B$180,MATCH($D61,Backlog!$A$2:$A$180,0))="","",INDEX(Backlog!$B$2:$B$180,MATCH($D61,Backlog!$A$2:$A$180,0)))</x:f>
        <x:v>M2</x:v>
      </x:c>
      <x:c r="C61" s="206" t="str">
        <x:f>IF(INDEX(Backlog!$C$2:$C$180,MATCH($D61,Backlog!$A$2:$A$180,0))="","",INDEX(Backlog!$C$2:$C$180,MATCH($D61,Backlog!$A$2:$A$180,0)))</x:f>
        <x:v>P5</x:v>
      </x:c>
      <x:c r="D61" s="206" t="str">
        <x:v>T-126</x:v>
      </x:c>
      <x:c r="E61" s="206" t="str">
        <x:f>IF(INDEX(Backlog!$D$2:$D$180,MATCH($D61,Backlog!$A$2:$A$180,0))="","",INDEX(Backlog!$D$2:$D$180,MATCH($D61,Backlog!$A$2:$A$180,0)))</x:f>
        <x:v>Support runbook and UAT dataset and configuration import</x:v>
      </x:c>
      <x:c r="F61" s="206" t="str">
        <x:f>IF(INDEX(Backlog!$K$2:$K$180,MATCH($D61,Backlog!$A$2:$A$180,0))="","",INDEX(Backlog!$K$2:$K$180,MATCH($D61,Backlog!$A$2:$A$180,0)))</x:f>
        <x:v>Not Started</x:v>
      </x:c>
      <x:c r="G61" s="206" t="n">
        <x:f>IF(ISNUMBER(INDEX(Backlog!$J$2:$J$180,MATCH($D61,Backlog!$A$2:$A$180,0))),INDEX(Backlog!$J$2:$J$180,MATCH($D61,Backlog!$A$2:$A$180,0)),"")</x:f>
        <x:v>12</x:v>
      </x:c>
      <x:c r="H61" s="206" t="n">
        <x:f>IF(ISNUMBER(INDEX(Backlog!$R$2:$R$180,MATCH($D61,Backlog!$A$2:$A$180,0))),INDEX(Backlog!$R$2:$R$180,MATCH($D61,Backlog!$A$2:$A$180,0)),"")</x:f>
        <x:v>0.9</x:v>
      </x:c>
      <x:c r="I61" s="206" t="str">
        <x:f>IF(INDEX(Backlog!$M$2:$M$180,MATCH($D61,Backlog!$A$2:$A$180,0))="","",INDEX(Backlog!$M$2:$M$180,MATCH($D61,Backlog!$A$2:$A$180,0)))</x:f>
      </x:c>
      <x:c r="J61" s="206" t="str">
        <x:f>IF(INDEX(Backlog!$T$2:$T$180,MATCH($D61,Backlog!$A$2:$A$180,0))="","",INDEX(Backlog!$T$2:$T$180,MATCH($D61,Backlog!$A$2:$A$180,0)))</x:f>
        <x:v>WAIT for Presentation RC freeze/tag + clean index/worktree. Then: Release 1 dependency order</x:v>
      </x:c>
      <x:c r="K61" s="206" t="str">
        <x:f>IF(INDEX(Backlog!$U$2:$U$180,MATCH($D61,Backlog!$A$2:$A$180,0))="","",INDEX(Backlog!$U$2:$U$180,MATCH($D61,Backlog!$A$2:$A$180,0)))</x:f>
        <x:v>Own canonical DB/backend/security/API/infra. No W2-owned UI/admin task files and no W3 ML/Assistant runtime.</x:v>
      </x:c>
      <x:c r="L61" s="206" t="str">
        <x:f>IF(INDEX(Backlog!$V$2:$V$180,MATCH($D61,Backlog!$A$2:$A$180,0))="","",INDEX(Backlog!$V$2:$V$180,MATCH($D61,Backlog!$A$2:$A$180,0)))</x:f>
        <x:v>Commit before downstream consumer starts; consumer must use the contract, not redesign producer-owned semantics.</x:v>
      </x:c>
      <x:c r="M61" s="194" t="str">
        <x:f>IF(INDEX(Backlog!$AO$2:$AO$180,MATCH($D61,Backlog!$A$2:$A$180,0))="","",INDEX(Backlog!$AO$2:$AO$180,MATCH($D61,Backlog!$A$2:$A$180,0)))</x:f>
        <x:v>Not started — no completion claimed</x:v>
      </x:c>
      <x:c r="N61" s="194" t="str">
        <x:f>IF(INDEX(Backlog!$AN$2:$AN$180,MATCH($D61,Backlog!$A$2:$A$180,0))="","",INDEX(Backlog!$AN$2:$AN$180,MATCH($D61,Backlog!$A$2:$A$180,0)))</x:f>
      </x:c>
    </x:row>
    <x:row r="62" ht="26" customHeight="1">
      <x:c r="A62" s="206" t="str">
        <x:f>IF(INDEX(Backlog!$L$2:$L$180,MATCH($D62,Backlog!$A$2:$A$180,0))="","",INDEX(Backlog!$L$2:$L$180,MATCH($D62,Backlog!$A$2:$A$180,0)))</x:f>
        <x:v>Worker 1</x:v>
      </x:c>
      <x:c r="B62" s="206" t="str">
        <x:f>IF(INDEX(Backlog!$B$2:$B$180,MATCH($D62,Backlog!$A$2:$A$180,0))="","",INDEX(Backlog!$B$2:$B$180,MATCH($D62,Backlog!$A$2:$A$180,0)))</x:f>
        <x:v>M2</x:v>
      </x:c>
      <x:c r="C62" s="206" t="str">
        <x:f>IF(INDEX(Backlog!$C$2:$C$180,MATCH($D62,Backlog!$A$2:$A$180,0))="","",INDEX(Backlog!$C$2:$C$180,MATCH($D62,Backlog!$A$2:$A$180,0)))</x:f>
        <x:v>P5</x:v>
      </x:c>
      <x:c r="D62" s="206" t="str">
        <x:v>T-150</x:v>
      </x:c>
      <x:c r="E62" s="206" t="str">
        <x:f>IF(INDEX(Backlog!$D$2:$D$180,MATCH($D62,Backlog!$A$2:$A$180,0))="","",INDEX(Backlog!$D$2:$D$180,MATCH($D62,Backlog!$A$2:$A$180,0)))</x:f>
        <x:v>Release 1 final production gate: Day-1 workbench, BI, OPC, intelligence and hardening</x:v>
      </x:c>
      <x:c r="F62" s="206" t="str">
        <x:f>IF(INDEX(Backlog!$K$2:$K$180,MATCH($D62,Backlog!$A$2:$A$180,0))="","",INDEX(Backlog!$K$2:$K$180,MATCH($D62,Backlog!$A$2:$A$180,0)))</x:f>
        <x:v>Not Started</x:v>
      </x:c>
      <x:c r="G62" s="206" t="n">
        <x:f>IF(ISNUMBER(INDEX(Backlog!$J$2:$J$180,MATCH($D62,Backlog!$A$2:$A$180,0))),INDEX(Backlog!$J$2:$J$180,MATCH($D62,Backlog!$A$2:$A$180,0)),"")</x:f>
        <x:v>12</x:v>
      </x:c>
      <x:c r="H62" s="206" t="n">
        <x:f>IF(ISNUMBER(INDEX(Backlog!$R$2:$R$180,MATCH($D62,Backlog!$A$2:$A$180,0))),INDEX(Backlog!$R$2:$R$180,MATCH($D62,Backlog!$A$2:$A$180,0)),"")</x:f>
        <x:v>4.08</x:v>
      </x:c>
      <x:c r="I62" s="206" t="str">
        <x:f>IF(INDEX(Backlog!$M$2:$M$180,MATCH($D62,Backlog!$A$2:$A$180,0))="","",INDEX(Backlog!$M$2:$M$180,MATCH($D62,Backlog!$A$2:$A$180,0)))</x:f>
        <x:v>T-115; T-123; T-124; T-125; T-126; T-205; T-207; T-212; T-215; T-222; T-223; T-226; T-227; T-247; T-250; T-251; T-252; T-253; T-254; T-255; T-256; T-257; T-258; T-259</x:v>
      </x:c>
      <x:c r="J62" s="206" t="str">
        <x:f>IF(INDEX(Backlog!$T$2:$T$180,MATCH($D62,Backlog!$A$2:$A$180,0))="","",INDEX(Backlog!$T$2:$T$180,MATCH($D62,Backlog!$A$2:$A$180,0)))</x:f>
        <x:v>T-192 + T-148 exact route/shell inventory + T-194 API-alias retirement + all ...</x:v>
      </x:c>
      <x:c r="K62" s="206" t="str">
        <x:f>IF(INDEX(Backlog!$U$2:$U$180,MATCH($D62,Backlog!$A$2:$A$180,0))="","",INDEX(Backlog!$U$2:$U$180,MATCH($D62,Backlog!$A$2:$A$180,0)))</x:f>
        <x:v>T-150 only after W2/W3 component freeze; route failures back to owning agent.</x:v>
      </x:c>
      <x:c r="L62" s="206" t="str">
        <x:f>IF(INDEX(Backlog!$V$2:$V$180,MATCH($D62,Backlog!$A$2:$A$180,0))="","",INDEX(Backlog!$V$2:$V$180,MATCH($D62,Backlog!$A$2:$A$180,0)))</x:f>
        <x:v>Final Release 1 gate. Fixes go back to the exclusive owning task/agent; T-150 owner does not edit other agents' feature files.</x:v>
      </x:c>
      <x:c r="M62" s="194" t="str">
        <x:f>IF(INDEX(Backlog!$AO$2:$AO$180,MATCH($D62,Backlog!$A$2:$A$180,0))="","",INDEX(Backlog!$AO$2:$AO$180,MATCH($D62,Backlog!$A$2:$A$180,0)))</x:f>
        <x:v>Not started — no completion claimed</x:v>
      </x:c>
      <x:c r="N62" s="194" t="str">
        <x:f>IF(INDEX(Backlog!$AN$2:$AN$180,MATCH($D62,Backlog!$A$2:$A$180,0))="","",INDEX(Backlog!$AN$2:$AN$180,MATCH($D62,Backlog!$A$2:$A$180,0)))</x:f>
      </x:c>
    </x:row>
    <x:row r="63" ht="26" customHeight="1">
      <x:c r="A63" s="206" t="str">
        <x:f>IF(INDEX(Backlog!$L$2:$L$180,MATCH($D63,Backlog!$A$2:$A$180,0))="","",INDEX(Backlog!$L$2:$L$180,MATCH($D63,Backlog!$A$2:$A$180,0)))</x:f>
        <x:v>Worker 1</x:v>
      </x:c>
      <x:c r="B63" s="206" t="str">
        <x:f>IF(INDEX(Backlog!$B$2:$B$180,MATCH($D63,Backlog!$A$2:$A$180,0))="","",INDEX(Backlog!$B$2:$B$180,MATCH($D63,Backlog!$A$2:$A$180,0)))</x:f>
        <x:v>M2</x:v>
      </x:c>
      <x:c r="C63" s="206" t="str">
        <x:f>IF(INDEX(Backlog!$C$2:$C$180,MATCH($D63,Backlog!$A$2:$A$180,0))="","",INDEX(Backlog!$C$2:$C$180,MATCH($D63,Backlog!$A$2:$A$180,0)))</x:f>
        <x:v>P5</x:v>
      </x:c>
      <x:c r="D63" s="206" t="str">
        <x:v>T-227</x:v>
      </x:c>
      <x:c r="E63" s="206" t="str">
        <x:f>IF(INDEX(Backlog!$D$2:$D$180,MATCH($D63,Backlog!$A$2:$A$180,0))="","",INDEX(Backlog!$D$2:$D$180,MATCH($D63,Backlog!$A$2:$A$180,0)))</x:f>
        <x:v>Release 1 production acceptance scorecard and evidence policy</x:v>
      </x:c>
      <x:c r="F63" s="206" t="str">
        <x:f>IF(INDEX(Backlog!$K$2:$K$180,MATCH($D63,Backlog!$A$2:$A$180,0))="","",INDEX(Backlog!$K$2:$K$180,MATCH($D63,Backlog!$A$2:$A$180,0)))</x:f>
        <x:v>Not Started</x:v>
      </x:c>
      <x:c r="G63" s="206" t="n">
        <x:f>IF(ISNUMBER(INDEX(Backlog!$J$2:$J$180,MATCH($D63,Backlog!$A$2:$A$180,0))),INDEX(Backlog!$J$2:$J$180,MATCH($D63,Backlog!$A$2:$A$180,0)),"")</x:f>
        <x:v>6</x:v>
      </x:c>
      <x:c r="H63" s="206" t="n">
        <x:f>IF(ISNUMBER(INDEX(Backlog!$R$2:$R$180,MATCH($D63,Backlog!$A$2:$A$180,0))),INDEX(Backlog!$R$2:$R$180,MATCH($D63,Backlog!$A$2:$A$180,0)),"")</x:f>
        <x:v>2.25</x:v>
      </x:c>
      <x:c r="I63" s="206" t="str">
        <x:f>IF(INDEX(Backlog!$M$2:$M$180,MATCH($D63,Backlog!$A$2:$A$180,0))="","",INDEX(Backlog!$M$2:$M$180,MATCH($D63,Backlog!$A$2:$A$180,0)))</x:f>
        <x:v>T-213; T-259</x:v>
      </x:c>
      <x:c r="J63" s="206" t="str">
        <x:f>IF(INDEX(Backlog!$T$2:$T$180,MATCH($D63,Backlog!$A$2:$A$180,0))="","",INDEX(Backlog!$T$2:$T$180,MATCH($D63,Backlog!$A$2:$A$180,0)))</x:f>
        <x:v>Prepare before installation; can start after customer data assessment T-213.</x:v>
      </x:c>
      <x:c r="K63" s="206" t="str">
        <x:f>IF(INDEX(Backlog!$U$2:$U$180,MATCH($D63,Backlog!$A$2:$A$180,0))="","",INDEX(Backlog!$U$2:$U$180,MATCH($D63,Backlog!$A$2:$A$180,0)))</x:f>
        <x:v>Pilot documentation/evidence scorecard only.</x:v>
      </x:c>
      <x:c r="L63" s="206" t="str">
        <x:f>IF(INDEX(Backlog!$V$2:$V$180,MATCH($D63,Backlog!$A$2:$A$180,0))="","",INDEX(Backlog!$V$2:$V$180,MATCH($D63,Backlog!$A$2:$A$180,0)))</x:f>
        <x:v>Site/engineering teams later fill measured values; criteria are not rewritten after results are known without an audited amendment.</x:v>
      </x:c>
      <x:c r="M63" s="194" t="str">
        <x:f>IF(INDEX(Backlog!$AO$2:$AO$180,MATCH($D63,Backlog!$A$2:$A$180,0))="","",INDEX(Backlog!$AO$2:$AO$180,MATCH($D63,Backlog!$A$2:$A$180,0)))</x:f>
        <x:v>Not started — no completion claimed</x:v>
      </x:c>
      <x:c r="N63" s="194" t="str">
        <x:f>IF(INDEX(Backlog!$AN$2:$AN$180,MATCH($D63,Backlog!$A$2:$A$180,0))="","",INDEX(Backlog!$AN$2:$AN$180,MATCH($D63,Backlog!$A$2:$A$180,0)))</x:f>
      </x:c>
    </x:row>
    <x:row r="64" ht="26" customHeight="1">
      <x:c r="A64" s="206" t="str">
        <x:f>IF(INDEX(Backlog!$L$2:$L$180,MATCH($D64,Backlog!$A$2:$A$180,0))="","",INDEX(Backlog!$L$2:$L$180,MATCH($D64,Backlog!$A$2:$A$180,0)))</x:f>
        <x:v>Worker 1</x:v>
      </x:c>
      <x:c r="B64" s="206" t="str">
        <x:f>IF(INDEX(Backlog!$B$2:$B$180,MATCH($D64,Backlog!$A$2:$A$180,0))="","",INDEX(Backlog!$B$2:$B$180,MATCH($D64,Backlog!$A$2:$A$180,0)))</x:f>
        <x:v>M3</x:v>
      </x:c>
      <x:c r="C64" s="206" t="str">
        <x:f>IF(INDEX(Backlog!$C$2:$C$180,MATCH($D64,Backlog!$A$2:$A$180,0))="","",INDEX(Backlog!$C$2:$C$180,MATCH($D64,Backlog!$A$2:$A$180,0)))</x:f>
        <x:v>P1</x:v>
      </x:c>
      <x:c r="D64" s="206" t="str">
        <x:v>T-110</x:v>
      </x:c>
      <x:c r="E64" s="206" t="str">
        <x:f>IF(INDEX(Backlog!$D$2:$D$180,MATCH($D64,Backlog!$A$2:$A$180,0))="","",INDEX(Backlog!$D$2:$D$180,MATCH($D64,Backlog!$A$2:$A$180,0)))</x:f>
        <x:v>Bounded delta execution: chunks, resume, deterministic merge and scan budgets</x:v>
      </x:c>
      <x:c r="F64" s="206" t="str">
        <x:f>IF(INDEX(Backlog!$K$2:$K$180,MATCH($D64,Backlog!$A$2:$A$180,0))="","",INDEX(Backlog!$K$2:$K$180,MATCH($D64,Backlog!$A$2:$A$180,0)))</x:f>
        <x:v>Not Started</x:v>
      </x:c>
      <x:c r="G64" s="206" t="n">
        <x:f>IF(ISNUMBER(INDEX(Backlog!$J$2:$J$180,MATCH($D64,Backlog!$A$2:$A$180,0))),INDEX(Backlog!$J$2:$J$180,MATCH($D64,Backlog!$A$2:$A$180,0)),"")</x:f>
        <x:v>24</x:v>
      </x:c>
      <x:c r="H64" s="206" t="n">
        <x:f>IF(ISNUMBER(INDEX(Backlog!$R$2:$R$180,MATCH($D64,Backlog!$A$2:$A$180,0))),INDEX(Backlog!$R$2:$R$180,MATCH($D64,Backlog!$A$2:$A$180,0)),"")</x:f>
        <x:v>1.7999999999999998</x:v>
      </x:c>
      <x:c r="I64" s="206" t="str">
        <x:f>IF(INDEX(Backlog!$M$2:$M$180,MATCH($D64,Backlog!$A$2:$A$180,0))="","",INDEX(Backlog!$M$2:$M$180,MATCH($D64,Backlog!$A$2:$A$180,0)))</x:f>
        <x:v>T-108; T-109</x:v>
      </x:c>
      <x:c r="J64" s="206" t="str">
        <x:f>IF(INDEX(Backlog!$T$2:$T$180,MATCH($D64,Backlog!$A$2:$A$180,0))="","",INDEX(Backlog!$T$2:$T$180,MATCH($D64,Backlog!$A$2:$A$180,0)))</x:f>
        <x:v>Consume accepted producer contracts; remaining dependencies: T-108; T-109. No private scheduler/definition authority. Source-present is not closure proof.</x:v>
      </x:c>
      <x:c r="K64" s="206" t="str">
        <x:f>IF(INDEX(Backlog!$U$2:$U$180,MATCH($D64,Backlog!$A$2:$A$180,0))="","",INDEX(Backlog!$U$2:$U$180,MATCH($D64,Backlog!$A$2:$A$180,0)))</x:f>
        <x:v>Own canonical DB/backend/security/API/infra. No W2-owned UI/admin task files and no W3 ML/Assistant runtime.</x:v>
      </x:c>
      <x:c r="L64" s="206" t="str">
        <x:f>IF(INDEX(Backlog!$V$2:$V$180,MATCH($D64,Backlog!$A$2:$A$180,0))="","",INDEX(Backlog!$V$2:$V$180,MATCH($D64,Backlog!$A$2:$A$180,0)))</x:f>
        <x:v>Commit before downstream consumer starts; consumer must use the contract, not redesign producer-owned semantics.</x:v>
      </x:c>
      <x:c r="M64" s="194" t="str">
        <x:f>IF(INDEX(Backlog!$AO$2:$AO$180,MATCH($D64,Backlog!$A$2:$A$180,0))="","",INDEX(Backlog!$AO$2:$AO$180,MATCH($D64,Backlog!$A$2:$A$180,0)))</x:f>
        <x:v>Not started — no completion claimed</x:v>
      </x:c>
      <x:c r="N64" s="194" t="str">
        <x:f>IF(INDEX(Backlog!$AN$2:$AN$180,MATCH($D64,Backlog!$A$2:$A$180,0))="","",INDEX(Backlog!$AN$2:$AN$180,MATCH($D64,Backlog!$A$2:$A$180,0)))</x:f>
      </x:c>
    </x:row>
    <x:row r="65" ht="26" customHeight="1">
      <x:c r="A65" s="206" t="str">
        <x:f>IF(INDEX(Backlog!$L$2:$L$180,MATCH($D65,Backlog!$A$2:$A$180,0))="","",INDEX(Backlog!$L$2:$L$180,MATCH($D65,Backlog!$A$2:$A$180,0)))</x:f>
        <x:v>Worker 1</x:v>
      </x:c>
      <x:c r="B65" s="206" t="str">
        <x:f>IF(INDEX(Backlog!$B$2:$B$180,MATCH($D65,Backlog!$A$2:$A$180,0))="","",INDEX(Backlog!$B$2:$B$180,MATCH($D65,Backlog!$A$2:$A$180,0)))</x:f>
        <x:v>M3</x:v>
      </x:c>
      <x:c r="C65" s="206" t="str">
        <x:f>IF(INDEX(Backlog!$C$2:$C$180,MATCH($D65,Backlog!$A$2:$A$180,0))="","",INDEX(Backlog!$C$2:$C$180,MATCH($D65,Backlog!$A$2:$A$180,0)))</x:f>
        <x:v>P1</x:v>
      </x:c>
      <x:c r="D65" s="206" t="str">
        <x:v>T-122</x:v>
      </x:c>
      <x:c r="E65" s="206" t="str">
        <x:f>IF(INDEX(Backlog!$D$2:$D$180,MATCH($D65,Backlog!$A$2:$A$180,0))="","",INDEX(Backlog!$D$2:$D$180,MATCH($D65,Backlog!$A$2:$A$180,0)))</x:f>
        <x:v>Container architecture and configuration profiles, including isolated ML runtimes</x:v>
      </x:c>
      <x:c r="F65" s="206" t="str">
        <x:f>IF(INDEX(Backlog!$K$2:$K$180,MATCH($D65,Backlog!$A$2:$A$180,0))="","",INDEX(Backlog!$K$2:$K$180,MATCH($D65,Backlog!$A$2:$A$180,0)))</x:f>
        <x:v>Not Started</x:v>
      </x:c>
      <x:c r="G65" s="206" t="n">
        <x:f>IF(ISNUMBER(INDEX(Backlog!$J$2:$J$180,MATCH($D65,Backlog!$A$2:$A$180,0))),INDEX(Backlog!$J$2:$J$180,MATCH($D65,Backlog!$A$2:$A$180,0)),"")</x:f>
        <x:v>12</x:v>
      </x:c>
      <x:c r="H65" s="206" t="n">
        <x:f>IF(ISNUMBER(INDEX(Backlog!$R$2:$R$180,MATCH($D65,Backlog!$A$2:$A$180,0))),INDEX(Backlog!$R$2:$R$180,MATCH($D65,Backlog!$A$2:$A$180,0)),"")</x:f>
        <x:v>3.2</x:v>
      </x:c>
      <x:c r="I65" s="206" t="str">
        <x:f>IF(INDEX(Backlog!$M$2:$M$180,MATCH($D65,Backlog!$A$2:$A$180,0))="","",INDEX(Backlog!$M$2:$M$180,MATCH($D65,Backlog!$A$2:$A$180,0)))</x:f>
        <x:v>T-106; T-107; T-112; T-113; T-114; T-117; T-137; T-168; T-123</x:v>
      </x:c>
      <x:c r="J65" s="206" t="str">
        <x:f>IF(INDEX(Backlog!$T$2:$T$180,MATCH($D65,Backlog!$A$2:$A$180,0))="","",INDEX(Backlog!$T$2:$T$180,MATCH($D65,Backlog!$A$2:$A$180,0)))</x:f>
        <x:v>WAIT for Presentation RC freeze/tag + clean index/worktree. Then: T-106 + T-107 + T-112 + T-113 + T-114 + T-117; T-137/T-168 runtime contracts ...</x:v>
      </x:c>
      <x:c r="K65" s="206" t="str">
        <x:f>IF(INDEX(Backlog!$U$2:$U$180,MATCH($D65,Backlog!$A$2:$A$180,0))="","",INDEX(Backlog!$U$2:$U$180,MATCH($D65,Backlog!$A$2:$A$180,0)))</x:f>
        <x:v>Own canonical DB/backend/security/API/infra. No W2-owned UI/admin task files and no W3 ML/Assistant runtime.</x:v>
      </x:c>
      <x:c r="L65" s="206" t="str">
        <x:f>IF(INDEX(Backlog!$V$2:$V$180,MATCH($D65,Backlog!$A$2:$A$180,0))="","",INDEX(Backlog!$V$2:$V$180,MATCH($D65,Backlog!$A$2:$A$180,0)))</x:f>
        <x:v>Commit before downstream consumer starts; consumer must use the contract, not redesign producer-owned semantics.</x:v>
      </x:c>
      <x:c r="M65" s="194" t="str">
        <x:f>IF(INDEX(Backlog!$AO$2:$AO$180,MATCH($D65,Backlog!$A$2:$A$180,0))="","",INDEX(Backlog!$AO$2:$AO$180,MATCH($D65,Backlog!$A$2:$A$180,0)))</x:f>
        <x:v>Not started — no completion claimed</x:v>
      </x:c>
      <x:c r="N65" s="194" t="str">
        <x:f>IF(INDEX(Backlog!$AN$2:$AN$180,MATCH($D65,Backlog!$A$2:$A$180,0))="","",INDEX(Backlog!$AN$2:$AN$180,MATCH($D65,Backlog!$A$2:$A$180,0)))</x:f>
      </x:c>
    </x:row>
    <x:row r="66" ht="26" customHeight="1">
      <x:c r="A66" s="206" t="str">
        <x:f>IF(INDEX(Backlog!$L$2:$L$180,MATCH($D66,Backlog!$A$2:$A$180,0))="","",INDEX(Backlog!$L$2:$L$180,MATCH($D66,Backlog!$A$2:$A$180,0)))</x:f>
        <x:v>Worker 1</x:v>
      </x:c>
      <x:c r="B66" s="206" t="str">
        <x:f>IF(INDEX(Backlog!$B$2:$B$180,MATCH($D66,Backlog!$A$2:$A$180,0))="","",INDEX(Backlog!$B$2:$B$180,MATCH($D66,Backlog!$A$2:$A$180,0)))</x:f>
        <x:v>M3</x:v>
      </x:c>
      <x:c r="C66" s="206" t="str">
        <x:f>IF(INDEX(Backlog!$C$2:$C$180,MATCH($D66,Backlog!$A$2:$A$180,0))="","",INDEX(Backlog!$C$2:$C$180,MATCH($D66,Backlog!$A$2:$A$180,0)))</x:f>
        <x:v>P1</x:v>
      </x:c>
      <x:c r="D66" s="206" t="str">
        <x:v>T-151</x:v>
      </x:c>
      <x:c r="E66" s="206" t="str">
        <x:f>IF(INDEX(Backlog!$D$2:$D$180,MATCH($D66,Backlog!$A$2:$A$180,0))="","",INDEX(Backlog!$D$2:$D$180,MATCH($D66,Backlog!$A$2:$A$180,0)))</x:f>
        <x:v>Site defect burn-down</x:v>
      </x:c>
      <x:c r="F66" s="206" t="str">
        <x:f>IF(INDEX(Backlog!$K$2:$K$180,MATCH($D66,Backlog!$A$2:$A$180,0))="","",INDEX(Backlog!$K$2:$K$180,MATCH($D66,Backlog!$A$2:$A$180,0)))</x:f>
        <x:v>Not Started</x:v>
      </x:c>
      <x:c r="G66" s="206" t="n">
        <x:f>IF(ISNUMBER(INDEX(Backlog!$J$2:$J$180,MATCH($D66,Backlog!$A$2:$A$180,0))),INDEX(Backlog!$J$2:$J$180,MATCH($D66,Backlog!$A$2:$A$180,0)),"")</x:f>
        <x:v>12</x:v>
      </x:c>
      <x:c r="H66" s="206" t="n">
        <x:f>IF(ISNUMBER(INDEX(Backlog!$R$2:$R$180,MATCH($D66,Backlog!$A$2:$A$180,0))),INDEX(Backlog!$R$2:$R$180,MATCH($D66,Backlog!$A$2:$A$180,0)),"")</x:f>
        <x:v>7.2</x:v>
      </x:c>
      <x:c r="I66" s="206" t="str">
        <x:f>IF(INDEX(Backlog!$M$2:$M$180,MATCH($D66,Backlog!$A$2:$A$180,0))="","",INDEX(Backlog!$M$2:$M$180,MATCH($D66,Backlog!$A$2:$A$180,0)))</x:f>
      </x:c>
      <x:c r="J66" s="206" t="str">
        <x:f>IF(INDEX(Backlog!$T$2:$T$180,MATCH($D66,Backlog!$A$2:$A$180,0))="","",INDEX(Backlog!$T$2:$T$180,MATCH($D66,Backlog!$A$2:$A$180,0)))</x:f>
        <x:v>WAIT for deployed Release 1 + real customer/site evidence. M3 sequence</x:v>
      </x:c>
      <x:c r="K66" s="206" t="str">
        <x:f>IF(INDEX(Backlog!$U$2:$U$180,MATCH($D66,Backlog!$A$2:$A$180,0))="","",INDEX(Backlog!$U$2:$U$180,MATCH($D66,Backlog!$A$2:$A$180,0)))</x:f>
        <x:v>Own site/platform/backend/infra. No AI/ML calibration or customer UX docs.</x:v>
      </x:c>
      <x:c r="L66" s="206" t="str">
        <x:f>IF(INDEX(Backlog!$V$2:$V$180,MATCH($D66,Backlog!$A$2:$A$180,0))="","",INDEX(Backlog!$V$2:$V$180,MATCH($D66,Backlog!$A$2:$A$180,0)))</x:f>
        <x:v>Commit before downstream consumer starts; consumer must use the contract, not redesign producer-owned semantics.</x:v>
      </x:c>
      <x:c r="M66" s="194" t="str">
        <x:f>IF(INDEX(Backlog!$AO$2:$AO$180,MATCH($D66,Backlog!$A$2:$A$180,0))="","",INDEX(Backlog!$AO$2:$AO$180,MATCH($D66,Backlog!$A$2:$A$180,0)))</x:f>
        <x:v>Not started — no completion claimed</x:v>
      </x:c>
      <x:c r="N66" s="194" t="str">
        <x:f>IF(INDEX(Backlog!$AN$2:$AN$180,MATCH($D66,Backlog!$A$2:$A$180,0))="","",INDEX(Backlog!$AN$2:$AN$180,MATCH($D66,Backlog!$A$2:$A$180,0)))</x:f>
      </x:c>
    </x:row>
    <x:row r="67" ht="26" customHeight="1">
      <x:c r="A67" s="206" t="str">
        <x:f>IF(INDEX(Backlog!$L$2:$L$180,MATCH($D67,Backlog!$A$2:$A$180,0))="","",INDEX(Backlog!$L$2:$L$180,MATCH($D67,Backlog!$A$2:$A$180,0)))</x:f>
        <x:v>Worker 1</x:v>
      </x:c>
      <x:c r="B67" s="206" t="str">
        <x:f>IF(INDEX(Backlog!$B$2:$B$180,MATCH($D67,Backlog!$A$2:$A$180,0))="","",INDEX(Backlog!$B$2:$B$180,MATCH($D67,Backlog!$A$2:$A$180,0)))</x:f>
        <x:v>M3</x:v>
      </x:c>
      <x:c r="C67" s="206" t="str">
        <x:f>IF(INDEX(Backlog!$C$2:$C$180,MATCH($D67,Backlog!$A$2:$A$180,0))="","",INDEX(Backlog!$C$2:$C$180,MATCH($D67,Backlog!$A$2:$A$180,0)))</x:f>
        <x:v>P1</x:v>
      </x:c>
      <x:c r="D67" s="206" t="str">
        <x:v>T-152</x:v>
      </x:c>
      <x:c r="E67" s="206" t="str">
        <x:f>IF(INDEX(Backlog!$D$2:$D$180,MATCH($D67,Backlog!$A$2:$A$180,0))="","",INDEX(Backlog!$D$2:$D$180,MATCH($D67,Backlog!$A$2:$A$180,0)))</x:f>
        <x:v>Customer data edge cases</x:v>
      </x:c>
      <x:c r="F67" s="206" t="str">
        <x:f>IF(INDEX(Backlog!$K$2:$K$180,MATCH($D67,Backlog!$A$2:$A$180,0))="","",INDEX(Backlog!$K$2:$K$180,MATCH($D67,Backlog!$A$2:$A$180,0)))</x:f>
        <x:v>Not Started</x:v>
      </x:c>
      <x:c r="G67" s="206" t="n">
        <x:f>IF(ISNUMBER(INDEX(Backlog!$J$2:$J$180,MATCH($D67,Backlog!$A$2:$A$180,0))),INDEX(Backlog!$J$2:$J$180,MATCH($D67,Backlog!$A$2:$A$180,0)),"")</x:f>
        <x:v>12</x:v>
      </x:c>
      <x:c r="H67" s="206" t="n">
        <x:f>IF(ISNUMBER(INDEX(Backlog!$R$2:$R$180,MATCH($D67,Backlog!$A$2:$A$180,0))),INDEX(Backlog!$R$2:$R$180,MATCH($D67,Backlog!$A$2:$A$180,0)),"")</x:f>
        <x:v>7.2</x:v>
      </x:c>
      <x:c r="I67" s="206" t="str">
        <x:f>IF(INDEX(Backlog!$M$2:$M$180,MATCH($D67,Backlog!$A$2:$A$180,0))="","",INDEX(Backlog!$M$2:$M$180,MATCH($D67,Backlog!$A$2:$A$180,0)))</x:f>
      </x:c>
      <x:c r="J67" s="206" t="str">
        <x:f>IF(INDEX(Backlog!$T$2:$T$180,MATCH($D67,Backlog!$A$2:$A$180,0))="","",INDEX(Backlog!$T$2:$T$180,MATCH($D67,Backlog!$A$2:$A$180,0)))</x:f>
        <x:v>WAIT for deployed Release 1 + real customer/site evidence. M3 sequence</x:v>
      </x:c>
      <x:c r="K67" s="206" t="str">
        <x:f>IF(INDEX(Backlog!$U$2:$U$180,MATCH($D67,Backlog!$A$2:$A$180,0))="","",INDEX(Backlog!$U$2:$U$180,MATCH($D67,Backlog!$A$2:$A$180,0)))</x:f>
        <x:v>Own site/platform/backend/infra. No AI/ML calibration or customer UX docs.</x:v>
      </x:c>
      <x:c r="L67" s="206" t="str">
        <x:f>IF(INDEX(Backlog!$V$2:$V$180,MATCH($D67,Backlog!$A$2:$A$180,0))="","",INDEX(Backlog!$V$2:$V$180,MATCH($D67,Backlog!$A$2:$A$180,0)))</x:f>
        <x:v>Commit before downstream consumer starts; consumer must use the contract, not redesign producer-owned semantics.</x:v>
      </x:c>
      <x:c r="M67" s="194" t="str">
        <x:f>IF(INDEX(Backlog!$AO$2:$AO$180,MATCH($D67,Backlog!$A$2:$A$180,0))="","",INDEX(Backlog!$AO$2:$AO$180,MATCH($D67,Backlog!$A$2:$A$180,0)))</x:f>
        <x:v>Not started — no completion claimed</x:v>
      </x:c>
      <x:c r="N67" s="194" t="str">
        <x:f>IF(INDEX(Backlog!$AN$2:$AN$180,MATCH($D67,Backlog!$A$2:$A$180,0))="","",INDEX(Backlog!$AN$2:$AN$180,MATCH($D67,Backlog!$A$2:$A$180,0)))</x:f>
      </x:c>
    </x:row>
    <x:row r="68" ht="26" customHeight="1">
      <x:c r="A68" s="206" t="str">
        <x:f>IF(INDEX(Backlog!$L$2:$L$180,MATCH($D68,Backlog!$A$2:$A$180,0))="","",INDEX(Backlog!$L$2:$L$180,MATCH($D68,Backlog!$A$2:$A$180,0)))</x:f>
        <x:v>Worker 1</x:v>
      </x:c>
      <x:c r="B68" s="206" t="str">
        <x:f>IF(INDEX(Backlog!$B$2:$B$180,MATCH($D68,Backlog!$A$2:$A$180,0))="","",INDEX(Backlog!$B$2:$B$180,MATCH($D68,Backlog!$A$2:$A$180,0)))</x:f>
        <x:v>M3</x:v>
      </x:c>
      <x:c r="C68" s="206" t="str">
        <x:f>IF(INDEX(Backlog!$C$2:$C$180,MATCH($D68,Backlog!$A$2:$A$180,0))="","",INDEX(Backlog!$C$2:$C$180,MATCH($D68,Backlog!$A$2:$A$180,0)))</x:f>
        <x:v>P1</x:v>
      </x:c>
      <x:c r="D68" s="206" t="str">
        <x:v>T-153</x:v>
      </x:c>
      <x:c r="E68" s="206" t="str">
        <x:f>IF(INDEX(Backlog!$D$2:$D$180,MATCH($D68,Backlog!$A$2:$A$180,0))="","",INDEX(Backlog!$D$2:$D$180,MATCH($D68,Backlog!$A$2:$A$180,0)))</x:f>
        <x:v>Connector certification against real sources</x:v>
      </x:c>
      <x:c r="F68" s="206" t="str">
        <x:f>IF(INDEX(Backlog!$K$2:$K$180,MATCH($D68,Backlog!$A$2:$A$180,0))="","",INDEX(Backlog!$K$2:$K$180,MATCH($D68,Backlog!$A$2:$A$180,0)))</x:f>
        <x:v>Not Started</x:v>
      </x:c>
      <x:c r="G68" s="206" t="n">
        <x:f>IF(ISNUMBER(INDEX(Backlog!$J$2:$J$180,MATCH($D68,Backlog!$A$2:$A$180,0))),INDEX(Backlog!$J$2:$J$180,MATCH($D68,Backlog!$A$2:$A$180,0)),"")</x:f>
        <x:v>12</x:v>
      </x:c>
      <x:c r="H68" s="206" t="n">
        <x:f>IF(ISNUMBER(INDEX(Backlog!$R$2:$R$180,MATCH($D68,Backlog!$A$2:$A$180,0))),INDEX(Backlog!$R$2:$R$180,MATCH($D68,Backlog!$A$2:$A$180,0)),"")</x:f>
        <x:v>7.2</x:v>
      </x:c>
      <x:c r="I68" s="206" t="str">
        <x:f>IF(INDEX(Backlog!$M$2:$M$180,MATCH($D68,Backlog!$A$2:$A$180,0))="","",INDEX(Backlog!$M$2:$M$180,MATCH($D68,Backlog!$A$2:$A$180,0)))</x:f>
        <x:v>T-224; T-225; T-226; T-254</x:v>
      </x:c>
      <x:c r="J68" s="206" t="str">
        <x:f>IF(INDEX(Backlog!$T$2:$T$180,MATCH($D68,Backlog!$A$2:$A$180,0))="","",INDEX(Backlog!$T$2:$T$180,MATCH($D68,Backlog!$A$2:$A$180,0)))</x:f>
        <x:v>WAIT for deployed Release 1 + real customer/site evidence. M3 sequence</x:v>
      </x:c>
      <x:c r="K68" s="206" t="str">
        <x:f>IF(INDEX(Backlog!$U$2:$U$180,MATCH($D68,Backlog!$A$2:$A$180,0))="","",INDEX(Backlog!$U$2:$U$180,MATCH($D68,Backlog!$A$2:$A$180,0)))</x:f>
        <x:v>Own site/platform/backend/infra. No AI/ML calibration or customer UX docs.</x:v>
      </x:c>
      <x:c r="L68" s="206" t="str">
        <x:f>IF(INDEX(Backlog!$V$2:$V$180,MATCH($D68,Backlog!$A$2:$A$180,0))="","",INDEX(Backlog!$V$2:$V$180,MATCH($D68,Backlog!$A$2:$A$180,0)))</x:f>
        <x:v>Commit before downstream consumer starts; consumer must use the contract, not redesign producer-owned semantics.</x:v>
      </x:c>
      <x:c r="M68" s="194" t="str">
        <x:f>IF(INDEX(Backlog!$AO$2:$AO$180,MATCH($D68,Backlog!$A$2:$A$180,0))="","",INDEX(Backlog!$AO$2:$AO$180,MATCH($D68,Backlog!$A$2:$A$180,0)))</x:f>
        <x:v>Not started — no completion claimed</x:v>
      </x:c>
      <x:c r="N68" s="194" t="str">
        <x:f>IF(INDEX(Backlog!$AN$2:$AN$180,MATCH($D68,Backlog!$A$2:$A$180,0))="","",INDEX(Backlog!$AN$2:$AN$180,MATCH($D68,Backlog!$A$2:$A$180,0)))</x:f>
      </x:c>
    </x:row>
    <x:row r="69" ht="26" customHeight="1">
      <x:c r="A69" s="206" t="str">
        <x:f>IF(INDEX(Backlog!$L$2:$L$180,MATCH($D69,Backlog!$A$2:$A$180,0))="","",INDEX(Backlog!$L$2:$L$180,MATCH($D69,Backlog!$A$2:$A$180,0)))</x:f>
        <x:v>Worker 1</x:v>
      </x:c>
      <x:c r="B69" s="206" t="str">
        <x:f>IF(INDEX(Backlog!$B$2:$B$180,MATCH($D69,Backlog!$A$2:$A$180,0))="","",INDEX(Backlog!$B$2:$B$180,MATCH($D69,Backlog!$A$2:$A$180,0)))</x:f>
        <x:v>M3</x:v>
      </x:c>
      <x:c r="C69" s="206" t="str">
        <x:f>IF(INDEX(Backlog!$C$2:$C$180,MATCH($D69,Backlog!$A$2:$A$180,0))="","",INDEX(Backlog!$C$2:$C$180,MATCH($D69,Backlog!$A$2:$A$180,0)))</x:f>
        <x:v>P1</x:v>
      </x:c>
      <x:c r="D69" s="206" t="str">
        <x:v>T-154</x:v>
      </x:c>
      <x:c r="E69" s="206" t="str">
        <x:f>IF(INDEX(Backlog!$D$2:$D$180,MATCH($D69,Backlog!$A$2:$A$180,0))="","",INDEX(Backlog!$D$2:$D$180,MATCH($D69,Backlog!$A$2:$A$180,0)))</x:f>
        <x:v>Query plans, indexes and partition boundaries</x:v>
      </x:c>
      <x:c r="F69" s="206" t="str">
        <x:f>IF(INDEX(Backlog!$K$2:$K$180,MATCH($D69,Backlog!$A$2:$A$180,0))="","",INDEX(Backlog!$K$2:$K$180,MATCH($D69,Backlog!$A$2:$A$180,0)))</x:f>
        <x:v>Not Started</x:v>
      </x:c>
      <x:c r="G69" s="206" t="n">
        <x:f>IF(ISNUMBER(INDEX(Backlog!$J$2:$J$180,MATCH($D69,Backlog!$A$2:$A$180,0))),INDEX(Backlog!$J$2:$J$180,MATCH($D69,Backlog!$A$2:$A$180,0)),"")</x:f>
        <x:v>12</x:v>
      </x:c>
      <x:c r="H69" s="206" t="n">
        <x:f>IF(ISNUMBER(INDEX(Backlog!$R$2:$R$180,MATCH($D69,Backlog!$A$2:$A$180,0))),INDEX(Backlog!$R$2:$R$180,MATCH($D69,Backlog!$A$2:$A$180,0)),"")</x:f>
        <x:v>7.2</x:v>
      </x:c>
      <x:c r="I69" s="206" t="str">
        <x:f>IF(INDEX(Backlog!$M$2:$M$180,MATCH($D69,Backlog!$A$2:$A$180,0))="","",INDEX(Backlog!$M$2:$M$180,MATCH($D69,Backlog!$A$2:$A$180,0)))</x:f>
      </x:c>
      <x:c r="J69" s="206" t="str">
        <x:f>IF(INDEX(Backlog!$T$2:$T$180,MATCH($D69,Backlog!$A$2:$A$180,0))="","",INDEX(Backlog!$T$2:$T$180,MATCH($D69,Backlog!$A$2:$A$180,0)))</x:f>
        <x:v>WAIT for deployed Release 1 + real customer/site evidence. M3 sequence</x:v>
      </x:c>
      <x:c r="K69" s="206" t="str">
        <x:f>IF(INDEX(Backlog!$U$2:$U$180,MATCH($D69,Backlog!$A$2:$A$180,0))="","",INDEX(Backlog!$U$2:$U$180,MATCH($D69,Backlog!$A$2:$A$180,0)))</x:f>
        <x:v>Own site/platform/backend/infra. No AI/ML calibration or customer UX docs.</x:v>
      </x:c>
      <x:c r="L69" s="206" t="str">
        <x:f>IF(INDEX(Backlog!$V$2:$V$180,MATCH($D69,Backlog!$A$2:$A$180,0))="","",INDEX(Backlog!$V$2:$V$180,MATCH($D69,Backlog!$A$2:$A$180,0)))</x:f>
        <x:v>Commit before downstream consumer starts; consumer must use the contract, not redesign producer-owned semantics.</x:v>
      </x:c>
      <x:c r="M69" s="194" t="str">
        <x:f>IF(INDEX(Backlog!$AO$2:$AO$180,MATCH($D69,Backlog!$A$2:$A$180,0))="","",INDEX(Backlog!$AO$2:$AO$180,MATCH($D69,Backlog!$A$2:$A$180,0)))</x:f>
        <x:v>Not started — no completion claimed</x:v>
      </x:c>
      <x:c r="N69" s="194" t="str">
        <x:f>IF(INDEX(Backlog!$AN$2:$AN$180,MATCH($D69,Backlog!$A$2:$A$180,0))="","",INDEX(Backlog!$AN$2:$AN$180,MATCH($D69,Backlog!$A$2:$A$180,0)))</x:f>
      </x:c>
    </x:row>
    <x:row r="70" ht="26" customHeight="1">
      <x:c r="A70" s="206" t="str">
        <x:f>IF(INDEX(Backlog!$L$2:$L$180,MATCH($D70,Backlog!$A$2:$A$180,0))="","",INDEX(Backlog!$L$2:$L$180,MATCH($D70,Backlog!$A$2:$A$180,0)))</x:f>
        <x:v>Worker 1</x:v>
      </x:c>
      <x:c r="B70" s="206" t="str">
        <x:f>IF(INDEX(Backlog!$B$2:$B$180,MATCH($D70,Backlog!$A$2:$A$180,0))="","",INDEX(Backlog!$B$2:$B$180,MATCH($D70,Backlog!$A$2:$A$180,0)))</x:f>
        <x:v>M3</x:v>
      </x:c>
      <x:c r="C70" s="206" t="str">
        <x:f>IF(INDEX(Backlog!$C$2:$C$180,MATCH($D70,Backlog!$A$2:$A$180,0))="","",INDEX(Backlog!$C$2:$C$180,MATCH($D70,Backlog!$A$2:$A$180,0)))</x:f>
        <x:v>P1</x:v>
      </x:c>
      <x:c r="D70" s="206" t="str">
        <x:v>T-160</x:v>
      </x:c>
      <x:c r="E70" s="206" t="str">
        <x:f>IF(INDEX(Backlog!$D$2:$D$180,MATCH($D70,Backlog!$A$2:$A$180,0))="","",INDEX(Backlog!$D$2:$D$180,MATCH($D70,Backlog!$A$2:$A$180,0)))</x:f>
        <x:v>HA, DR and restore rehearsal</x:v>
      </x:c>
      <x:c r="F70" s="206" t="str">
        <x:f>IF(INDEX(Backlog!$K$2:$K$180,MATCH($D70,Backlog!$A$2:$A$180,0))="","",INDEX(Backlog!$K$2:$K$180,MATCH($D70,Backlog!$A$2:$A$180,0)))</x:f>
        <x:v>Not Started</x:v>
      </x:c>
      <x:c r="G70" s="206" t="n">
        <x:f>IF(ISNUMBER(INDEX(Backlog!$J$2:$J$180,MATCH($D70,Backlog!$A$2:$A$180,0))),INDEX(Backlog!$J$2:$J$180,MATCH($D70,Backlog!$A$2:$A$180,0)),"")</x:f>
        <x:v>12</x:v>
      </x:c>
      <x:c r="H70" s="206" t="n">
        <x:f>IF(ISNUMBER(INDEX(Backlog!$R$2:$R$180,MATCH($D70,Backlog!$A$2:$A$180,0))),INDEX(Backlog!$R$2:$R$180,MATCH($D70,Backlog!$A$2:$A$180,0)),"")</x:f>
        <x:v>7.2</x:v>
      </x:c>
      <x:c r="I70" s="206" t="str">
        <x:f>IF(INDEX(Backlog!$M$2:$M$180,MATCH($D70,Backlog!$A$2:$A$180,0))="","",INDEX(Backlog!$M$2:$M$180,MATCH($D70,Backlog!$A$2:$A$180,0)))</x:f>
      </x:c>
      <x:c r="J70" s="206" t="str">
        <x:f>IF(INDEX(Backlog!$T$2:$T$180,MATCH($D70,Backlog!$A$2:$A$180,0))="","",INDEX(Backlog!$T$2:$T$180,MATCH($D70,Backlog!$A$2:$A$180,0)))</x:f>
        <x:v>WAIT for deployed Release 1 + real customer/site evidence. M3 sequence</x:v>
      </x:c>
      <x:c r="K70" s="206" t="str">
        <x:f>IF(INDEX(Backlog!$U$2:$U$180,MATCH($D70,Backlog!$A$2:$A$180,0))="","",INDEX(Backlog!$U$2:$U$180,MATCH($D70,Backlog!$A$2:$A$180,0)))</x:f>
        <x:v>Own site/platform/backend/infra. No AI/ML calibration or customer UX docs.</x:v>
      </x:c>
      <x:c r="L70" s="206" t="str">
        <x:f>IF(INDEX(Backlog!$V$2:$V$180,MATCH($D70,Backlog!$A$2:$A$180,0))="","",INDEX(Backlog!$V$2:$V$180,MATCH($D70,Backlog!$A$2:$A$180,0)))</x:f>
        <x:v>Commit before downstream consumer starts; consumer must use the contract, not redesign producer-owned semantics.</x:v>
      </x:c>
      <x:c r="M70" s="194" t="str">
        <x:f>IF(INDEX(Backlog!$AO$2:$AO$180,MATCH($D70,Backlog!$A$2:$A$180,0))="","",INDEX(Backlog!$AO$2:$AO$180,MATCH($D70,Backlog!$A$2:$A$180,0)))</x:f>
        <x:v>Not started — no completion claimed</x:v>
      </x:c>
      <x:c r="N70" s="194" t="str">
        <x:f>IF(INDEX(Backlog!$AN$2:$AN$180,MATCH($D70,Backlog!$A$2:$A$180,0))="","",INDEX(Backlog!$AN$2:$AN$180,MATCH($D70,Backlog!$A$2:$A$180,0)))</x:f>
      </x:c>
    </x:row>
    <x:row r="71" ht="26" customHeight="1">
      <x:c r="A71" s="206" t="str">
        <x:f>IF(INDEX(Backlog!$L$2:$L$180,MATCH($D71,Backlog!$A$2:$A$180,0))="","",INDEX(Backlog!$L$2:$L$180,MATCH($D71,Backlog!$A$2:$A$180,0)))</x:f>
        <x:v>Worker 1</x:v>
      </x:c>
      <x:c r="B71" s="206" t="str">
        <x:f>IF(INDEX(Backlog!$B$2:$B$180,MATCH($D71,Backlog!$A$2:$A$180,0))="","",INDEX(Backlog!$B$2:$B$180,MATCH($D71,Backlog!$A$2:$A$180,0)))</x:f>
        <x:v>M3</x:v>
      </x:c>
      <x:c r="C71" s="206" t="str">
        <x:f>IF(INDEX(Backlog!$C$2:$C$180,MATCH($D71,Backlog!$A$2:$A$180,0))="","",INDEX(Backlog!$C$2:$C$180,MATCH($D71,Backlog!$A$2:$A$180,0)))</x:f>
        <x:v>P1</x:v>
      </x:c>
      <x:c r="D71" s="206" t="str">
        <x:v>T-163</x:v>
      </x:c>
      <x:c r="E71" s="206" t="str">
        <x:f>IF(INDEX(Backlog!$D$2:$D$180,MATCH($D71,Backlog!$A$2:$A$180,0))="","",INDEX(Backlog!$D$2:$D$180,MATCH($D71,Backlog!$A$2:$A$180,0)))</x:f>
        <x:v>Monitoring, SLOs and support escalation</x:v>
      </x:c>
      <x:c r="F71" s="206" t="str">
        <x:f>IF(INDEX(Backlog!$K$2:$K$180,MATCH($D71,Backlog!$A$2:$A$180,0))="","",INDEX(Backlog!$K$2:$K$180,MATCH($D71,Backlog!$A$2:$A$180,0)))</x:f>
        <x:v>Not Started</x:v>
      </x:c>
      <x:c r="G71" s="206" t="n">
        <x:f>IF(ISNUMBER(INDEX(Backlog!$J$2:$J$180,MATCH($D71,Backlog!$A$2:$A$180,0))),INDEX(Backlog!$J$2:$J$180,MATCH($D71,Backlog!$A$2:$A$180,0)),"")</x:f>
        <x:v>12</x:v>
      </x:c>
      <x:c r="H71" s="206" t="n">
        <x:f>IF(ISNUMBER(INDEX(Backlog!$R$2:$R$180,MATCH($D71,Backlog!$A$2:$A$180,0))),INDEX(Backlog!$R$2:$R$180,MATCH($D71,Backlog!$A$2:$A$180,0)),"")</x:f>
        <x:v>7.2</x:v>
      </x:c>
      <x:c r="I71" s="206" t="str">
        <x:f>IF(INDEX(Backlog!$M$2:$M$180,MATCH($D71,Backlog!$A$2:$A$180,0))="","",INDEX(Backlog!$M$2:$M$180,MATCH($D71,Backlog!$A$2:$A$180,0)))</x:f>
      </x:c>
      <x:c r="J71" s="206" t="str">
        <x:f>IF(INDEX(Backlog!$T$2:$T$180,MATCH($D71,Backlog!$A$2:$A$180,0))="","",INDEX(Backlog!$T$2:$T$180,MATCH($D71,Backlog!$A$2:$A$180,0)))</x:f>
        <x:v>WAIT for deployed Release 1 + real customer/site evidence. M3 sequence</x:v>
      </x:c>
      <x:c r="K71" s="206" t="str">
        <x:f>IF(INDEX(Backlog!$U$2:$U$180,MATCH($D71,Backlog!$A$2:$A$180,0))="","",INDEX(Backlog!$U$2:$U$180,MATCH($D71,Backlog!$A$2:$A$180,0)))</x:f>
        <x:v>Own site/platform/backend/infra. No AI/ML calibration or customer UX docs.</x:v>
      </x:c>
      <x:c r="L71" s="206" t="str">
        <x:f>IF(INDEX(Backlog!$V$2:$V$180,MATCH($D71,Backlog!$A$2:$A$180,0))="","",INDEX(Backlog!$V$2:$V$180,MATCH($D71,Backlog!$A$2:$A$180,0)))</x:f>
        <x:v>Commit before downstream consumer starts; consumer must use the contract, not redesign producer-owned semantics.</x:v>
      </x:c>
      <x:c r="M71" s="194" t="str">
        <x:f>IF(INDEX(Backlog!$AO$2:$AO$180,MATCH($D71,Backlog!$A$2:$A$180,0))="","",INDEX(Backlog!$AO$2:$AO$180,MATCH($D71,Backlog!$A$2:$A$180,0)))</x:f>
        <x:v>Not started — no completion claimed</x:v>
      </x:c>
      <x:c r="N71" s="194" t="str">
        <x:f>IF(INDEX(Backlog!$AN$2:$AN$180,MATCH($D71,Backlog!$A$2:$A$180,0))="","",INDEX(Backlog!$AN$2:$AN$180,MATCH($D71,Backlog!$A$2:$A$180,0)))</x:f>
      </x:c>
    </x:row>
    <x:row r="72" ht="26" customHeight="1">
      <x:c r="A72" s="206" t="str">
        <x:f>IF(INDEX(Backlog!$L$2:$L$180,MATCH($D72,Backlog!$A$2:$A$180,0))="","",INDEX(Backlog!$L$2:$L$180,MATCH($D72,Backlog!$A$2:$A$180,0)))</x:f>
        <x:v>Worker 1</x:v>
      </x:c>
      <x:c r="B72" s="206" t="str">
        <x:f>IF(INDEX(Backlog!$B$2:$B$180,MATCH($D72,Backlog!$A$2:$A$180,0))="","",INDEX(Backlog!$B$2:$B$180,MATCH($D72,Backlog!$A$2:$A$180,0)))</x:f>
        <x:v>M3</x:v>
      </x:c>
      <x:c r="C72" s="206" t="str">
        <x:f>IF(INDEX(Backlog!$C$2:$C$180,MATCH($D72,Backlog!$A$2:$A$180,0))="","",INDEX(Backlog!$C$2:$C$180,MATCH($D72,Backlog!$A$2:$A$180,0)))</x:f>
        <x:v>P2</x:v>
      </x:c>
      <x:c r="D72" s="206" t="str">
        <x:v>T-116</x:v>
      </x:c>
      <x:c r="E72" s="206" t="str">
        <x:f>IF(INDEX(Backlog!$D$2:$D$180,MATCH($D72,Backlog!$A$2:$A$180,0))="","",INDEX(Backlog!$D$2:$D$180,MATCH($D72,Backlog!$A$2:$A$180,0)))</x:f>
        <x:v>API namespace migration, part 1: map the 92 prefixes onto the 27 domains and stand up dual-serve</x:v>
      </x:c>
      <x:c r="F72" s="206" t="str">
        <x:f>IF(INDEX(Backlog!$K$2:$K$180,MATCH($D72,Backlog!$A$2:$A$180,0))="","",INDEX(Backlog!$K$2:$K$180,MATCH($D72,Backlog!$A$2:$A$180,0)))</x:f>
        <x:v>Not Started</x:v>
      </x:c>
      <x:c r="G72" s="206" t="n">
        <x:f>IF(ISNUMBER(INDEX(Backlog!$J$2:$J$180,MATCH($D72,Backlog!$A$2:$A$180,0))),INDEX(Backlog!$J$2:$J$180,MATCH($D72,Backlog!$A$2:$A$180,0)),"")</x:f>
        <x:v>8</x:v>
      </x:c>
      <x:c r="H72" s="206" t="n">
        <x:f>IF(ISNUMBER(INDEX(Backlog!$R$2:$R$180,MATCH($D72,Backlog!$A$2:$A$180,0))),INDEX(Backlog!$R$2:$R$180,MATCH($D72,Backlog!$A$2:$A$180,0)),"")</x:f>
        <x:v>1.2000000000000002</x:v>
      </x:c>
      <x:c r="I72" s="206" t="str">
        <x:f>IF(INDEX(Backlog!$M$2:$M$180,MATCH($D72,Backlog!$A$2:$A$180,0))="","",INDEX(Backlog!$M$2:$M$180,MATCH($D72,Backlog!$A$2:$A$180,0)))</x:f>
        <x:v>T-256</x:v>
      </x:c>
      <x:c r="J72" s="206" t="str">
        <x:f>IF(INDEX(Backlog!$T$2:$T$180,MATCH($D72,Backlog!$A$2:$A$180,0))="","",INDEX(Backlog!$T$2:$T$180,MATCH($D72,Backlog!$A$2:$A$180,0)))</x:f>
        <x:v>WAIT for Presentation RC freeze/tag + clean index/worktree. Then: Release 1 dependency order</x:v>
      </x:c>
      <x:c r="K72" s="206" t="str">
        <x:f>IF(INDEX(Backlog!$U$2:$U$180,MATCH($D72,Backlog!$A$2:$A$180,0))="","",INDEX(Backlog!$U$2:$U$180,MATCH($D72,Backlog!$A$2:$A$180,0)))</x:f>
        <x:v>Own canonical DB/backend/security/API/infra. No W2-owned UI/admin task files and no W3 ML/Assistant runtime.</x:v>
      </x:c>
      <x:c r="L72" s="206" t="str">
        <x:f>IF(INDEX(Backlog!$V$2:$V$180,MATCH($D72,Backlog!$A$2:$A$180,0))="","",INDEX(Backlog!$V$2:$V$180,MATCH($D72,Backlog!$A$2:$A$180,0)))</x:f>
        <x:v>Commit before downstream consumer starts; consumer must use the contract, not redesign producer-owned semantics.</x:v>
      </x:c>
      <x:c r="M72" s="194" t="str">
        <x:f>IF(INDEX(Backlog!$AO$2:$AO$180,MATCH($D72,Backlog!$A$2:$A$180,0))="","",INDEX(Backlog!$AO$2:$AO$180,MATCH($D72,Backlog!$A$2:$A$180,0)))</x:f>
        <x:v>Not started — no completion claimed</x:v>
      </x:c>
      <x:c r="N72" s="194" t="str">
        <x:f>IF(INDEX(Backlog!$AN$2:$AN$180,MATCH($D72,Backlog!$A$2:$A$180,0))="","",INDEX(Backlog!$AN$2:$AN$180,MATCH($D72,Backlog!$A$2:$A$180,0)))</x:f>
      </x:c>
    </x:row>
    <x:row r="73" ht="26" customHeight="1">
      <x:c r="A73" s="206" t="str">
        <x:f>IF(INDEX(Backlog!$L$2:$L$180,MATCH($D73,Backlog!$A$2:$A$180,0))="","",INDEX(Backlog!$L$2:$L$180,MATCH($D73,Backlog!$A$2:$A$180,0)))</x:f>
        <x:v>Worker 1</x:v>
      </x:c>
      <x:c r="B73" s="206" t="str">
        <x:f>IF(INDEX(Backlog!$B$2:$B$180,MATCH($D73,Backlog!$A$2:$A$180,0))="","",INDEX(Backlog!$B$2:$B$180,MATCH($D73,Backlog!$A$2:$A$180,0)))</x:f>
        <x:v>M3</x:v>
      </x:c>
      <x:c r="C73" s="206" t="str">
        <x:f>IF(INDEX(Backlog!$C$2:$C$180,MATCH($D73,Backlog!$A$2:$A$180,0))="","",INDEX(Backlog!$C$2:$C$180,MATCH($D73,Backlog!$A$2:$A$180,0)))</x:f>
        <x:v>P2</x:v>
      </x:c>
      <x:c r="D73" s="206" t="str">
        <x:v>T-117</x:v>
      </x:c>
      <x:c r="E73" s="206" t="str">
        <x:f>IF(INDEX(Backlog!$D$2:$D$180,MATCH($D73,Backlog!$A$2:$A$180,0))="","",INDEX(Backlog!$D$2:$D$180,MATCH($D73,Backlog!$A$2:$A$180,0)))</x:f>
        <x:v>API namespace migration, part 2: migrate the clients and add the token gate</x:v>
      </x:c>
      <x:c r="F73" s="206" t="str">
        <x:f>IF(INDEX(Backlog!$K$2:$K$180,MATCH($D73,Backlog!$A$2:$A$180,0))="","",INDEX(Backlog!$K$2:$K$180,MATCH($D73,Backlog!$A$2:$A$180,0)))</x:f>
        <x:v>Not Started</x:v>
      </x:c>
      <x:c r="G73" s="206" t="n">
        <x:f>IF(ISNUMBER(INDEX(Backlog!$J$2:$J$180,MATCH($D73,Backlog!$A$2:$A$180,0))),INDEX(Backlog!$J$2:$J$180,MATCH($D73,Backlog!$A$2:$A$180,0)),"")</x:f>
        <x:v>6</x:v>
      </x:c>
      <x:c r="H73" s="206" t="n">
        <x:f>IF(ISNUMBER(INDEX(Backlog!$R$2:$R$180,MATCH($D73,Backlog!$A$2:$A$180,0))),INDEX(Backlog!$R$2:$R$180,MATCH($D73,Backlog!$A$2:$A$180,0)),"")</x:f>
        <x:v>0.8999999999999999</x:v>
      </x:c>
      <x:c r="I73" s="206" t="str">
        <x:f>IF(INDEX(Backlog!$M$2:$M$180,MATCH($D73,Backlog!$A$2:$A$180,0))="","",INDEX(Backlog!$M$2:$M$180,MATCH($D73,Backlog!$A$2:$A$180,0)))</x:f>
      </x:c>
      <x:c r="J73" s="206" t="str">
        <x:f>IF(INDEX(Backlog!$T$2:$T$180,MATCH($D73,Backlog!$A$2:$A$180,0))="","",INDEX(Backlog!$T$2:$T$180,MATCH($D73,Backlog!$A$2:$A$180,0)))</x:f>
        <x:v>WAIT for Presentation RC freeze/tag + clean index/worktree. Then: Release 1 dependency order</x:v>
      </x:c>
      <x:c r="K73" s="206" t="str">
        <x:f>IF(INDEX(Backlog!$U$2:$U$180,MATCH($D73,Backlog!$A$2:$A$180,0))="","",INDEX(Backlog!$U$2:$U$180,MATCH($D73,Backlog!$A$2:$A$180,0)))</x:f>
        <x:v>Own canonical DB/backend/security/API/infra. No W2-owned UI/admin task files and no W3 ML/Assistant runtime.</x:v>
      </x:c>
      <x:c r="L73" s="206" t="str">
        <x:f>IF(INDEX(Backlog!$V$2:$V$180,MATCH($D73,Backlog!$A$2:$A$180,0))="","",INDEX(Backlog!$V$2:$V$180,MATCH($D73,Backlog!$A$2:$A$180,0)))</x:f>
        <x:v>Commit before downstream consumer starts; consumer must use the contract, not redesign producer-owned semantics.</x:v>
      </x:c>
      <x:c r="M73" s="194" t="str">
        <x:f>IF(INDEX(Backlog!$AO$2:$AO$180,MATCH($D73,Backlog!$A$2:$A$180,0))="","",INDEX(Backlog!$AO$2:$AO$180,MATCH($D73,Backlog!$A$2:$A$180,0)))</x:f>
        <x:v>Not started — no completion claimed</x:v>
      </x:c>
      <x:c r="N73" s="194" t="str">
        <x:f>IF(INDEX(Backlog!$AN$2:$AN$180,MATCH($D73,Backlog!$A$2:$A$180,0))="","",INDEX(Backlog!$AN$2:$AN$180,MATCH($D73,Backlog!$A$2:$A$180,0)))</x:f>
      </x:c>
    </x:row>
    <x:row r="74" ht="26" customHeight="1">
      <x:c r="A74" s="206" t="str">
        <x:f>IF(INDEX(Backlog!$L$2:$L$180,MATCH($D74,Backlog!$A$2:$A$180,0))="","",INDEX(Backlog!$L$2:$L$180,MATCH($D74,Backlog!$A$2:$A$180,0)))</x:f>
        <x:v>Worker 1</x:v>
      </x:c>
      <x:c r="B74" s="206" t="str">
        <x:f>IF(INDEX(Backlog!$B$2:$B$180,MATCH($D74,Backlog!$A$2:$A$180,0))="","",INDEX(Backlog!$B$2:$B$180,MATCH($D74,Backlog!$A$2:$A$180,0)))</x:f>
        <x:v>M3</x:v>
      </x:c>
      <x:c r="C74" s="206" t="str">
        <x:f>IF(INDEX(Backlog!$C$2:$C$180,MATCH($D74,Backlog!$A$2:$A$180,0))="","",INDEX(Backlog!$C$2:$C$180,MATCH($D74,Backlog!$A$2:$A$180,0)))</x:f>
        <x:v>P2</x:v>
      </x:c>
      <x:c r="D74" s="206" t="str">
        <x:v>T-161</x:v>
      </x:c>
      <x:c r="E74" s="206" t="str">
        <x:f>IF(INDEX(Backlog!$D$2:$D$180,MATCH($D74,Backlog!$A$2:$A$180,0))="","",INDEX(Backlog!$D$2:$D$180,MATCH($D74,Backlog!$A$2:$A$180,0)))</x:f>
        <x:v>SSO and identity integration</x:v>
      </x:c>
      <x:c r="F74" s="206" t="str">
        <x:f>IF(INDEX(Backlog!$K$2:$K$180,MATCH($D74,Backlog!$A$2:$A$180,0))="","",INDEX(Backlog!$K$2:$K$180,MATCH($D74,Backlog!$A$2:$A$180,0)))</x:f>
        <x:v>Not Started</x:v>
      </x:c>
      <x:c r="G74" s="206" t="n">
        <x:f>IF(ISNUMBER(INDEX(Backlog!$J$2:$J$180,MATCH($D74,Backlog!$A$2:$A$180,0))),INDEX(Backlog!$J$2:$J$180,MATCH($D74,Backlog!$A$2:$A$180,0)),"")</x:f>
        <x:v>12</x:v>
      </x:c>
      <x:c r="H74" s="206" t="n">
        <x:f>IF(ISNUMBER(INDEX(Backlog!$R$2:$R$180,MATCH($D74,Backlog!$A$2:$A$180,0))),INDEX(Backlog!$R$2:$R$180,MATCH($D74,Backlog!$A$2:$A$180,0)),"")</x:f>
        <x:v>7.2</x:v>
      </x:c>
      <x:c r="I74" s="206" t="str">
        <x:f>IF(INDEX(Backlog!$M$2:$M$180,MATCH($D74,Backlog!$A$2:$A$180,0))="","",INDEX(Backlog!$M$2:$M$180,MATCH($D74,Backlog!$A$2:$A$180,0)))</x:f>
      </x:c>
      <x:c r="J74" s="206" t="str">
        <x:f>IF(INDEX(Backlog!$T$2:$T$180,MATCH($D74,Backlog!$A$2:$A$180,0))="","",INDEX(Backlog!$T$2:$T$180,MATCH($D74,Backlog!$A$2:$A$180,0)))</x:f>
        <x:v>WAIT for deployed Release 1 + real customer/site evidence. M3 sequence</x:v>
      </x:c>
      <x:c r="K74" s="206" t="str">
        <x:f>IF(INDEX(Backlog!$U$2:$U$180,MATCH($D74,Backlog!$A$2:$A$180,0))="","",INDEX(Backlog!$U$2:$U$180,MATCH($D74,Backlog!$A$2:$A$180,0)))</x:f>
        <x:v>Own site/platform/backend/infra. No AI/ML calibration or customer UX docs.</x:v>
      </x:c>
      <x:c r="L74" s="206" t="str">
        <x:f>IF(INDEX(Backlog!$V$2:$V$180,MATCH($D74,Backlog!$A$2:$A$180,0))="","",INDEX(Backlog!$V$2:$V$180,MATCH($D74,Backlog!$A$2:$A$180,0)))</x:f>
        <x:v>Commit before downstream consumer starts; consumer must use the contract, not redesign producer-owned semantics.</x:v>
      </x:c>
      <x:c r="M74" s="194" t="str">
        <x:f>IF(INDEX(Backlog!$AO$2:$AO$180,MATCH($D74,Backlog!$A$2:$A$180,0))="","",INDEX(Backlog!$AO$2:$AO$180,MATCH($D74,Backlog!$A$2:$A$180,0)))</x:f>
        <x:v>Not started — no completion claimed</x:v>
      </x:c>
      <x:c r="N74" s="194" t="str">
        <x:f>IF(INDEX(Backlog!$AN$2:$AN$180,MATCH($D74,Backlog!$A$2:$A$180,0))="","",INDEX(Backlog!$AN$2:$AN$180,MATCH($D74,Backlog!$A$2:$A$180,0)))</x:f>
      </x:c>
    </x:row>
    <x:row r="75" ht="26" customHeight="1">
      <x:c r="A75" s="206" t="str">
        <x:f>IF(INDEX(Backlog!$L$2:$L$180,MATCH($D75,Backlog!$A$2:$A$180,0))="","",INDEX(Backlog!$L$2:$L$180,MATCH($D75,Backlog!$A$2:$A$180,0)))</x:f>
        <x:v>Worker 1</x:v>
      </x:c>
      <x:c r="B75" s="206" t="str">
        <x:f>IF(INDEX(Backlog!$B$2:$B$180,MATCH($D75,Backlog!$A$2:$A$180,0))="","",INDEX(Backlog!$B$2:$B$180,MATCH($D75,Backlog!$A$2:$A$180,0)))</x:f>
        <x:v>M3</x:v>
      </x:c>
      <x:c r="C75" s="206" t="str">
        <x:f>IF(INDEX(Backlog!$C$2:$C$180,MATCH($D75,Backlog!$A$2:$A$180,0))="","",INDEX(Backlog!$C$2:$C$180,MATCH($D75,Backlog!$A$2:$A$180,0)))</x:f>
        <x:v>P2</x:v>
      </x:c>
      <x:c r="D75" s="206" t="str">
        <x:v>T-162</x:v>
      </x:c>
      <x:c r="E75" s="206" t="str">
        <x:f>IF(INDEX(Backlog!$D$2:$D$180,MATCH($D75,Backlog!$A$2:$A$180,0))="","",INDEX(Backlog!$D$2:$D$180,MATCH($D75,Backlog!$A$2:$A$180,0)))</x:f>
        <x:v>Site security hardening and sign-off</x:v>
      </x:c>
      <x:c r="F75" s="206" t="str">
        <x:f>IF(INDEX(Backlog!$K$2:$K$180,MATCH($D75,Backlog!$A$2:$A$180,0))="","",INDEX(Backlog!$K$2:$K$180,MATCH($D75,Backlog!$A$2:$A$180,0)))</x:f>
        <x:v>Not Started</x:v>
      </x:c>
      <x:c r="G75" s="206" t="n">
        <x:f>IF(ISNUMBER(INDEX(Backlog!$J$2:$J$180,MATCH($D75,Backlog!$A$2:$A$180,0))),INDEX(Backlog!$J$2:$J$180,MATCH($D75,Backlog!$A$2:$A$180,0)),"")</x:f>
        <x:v>12</x:v>
      </x:c>
      <x:c r="H75" s="206" t="n">
        <x:f>IF(ISNUMBER(INDEX(Backlog!$R$2:$R$180,MATCH($D75,Backlog!$A$2:$A$180,0))),INDEX(Backlog!$R$2:$R$180,MATCH($D75,Backlog!$A$2:$A$180,0)),"")</x:f>
        <x:v>7.2</x:v>
      </x:c>
      <x:c r="I75" s="206" t="str">
        <x:f>IF(INDEX(Backlog!$M$2:$M$180,MATCH($D75,Backlog!$A$2:$A$180,0))="","",INDEX(Backlog!$M$2:$M$180,MATCH($D75,Backlog!$A$2:$A$180,0)))</x:f>
      </x:c>
      <x:c r="J75" s="206" t="str">
        <x:f>IF(INDEX(Backlog!$T$2:$T$180,MATCH($D75,Backlog!$A$2:$A$180,0))="","",INDEX(Backlog!$T$2:$T$180,MATCH($D75,Backlog!$A$2:$A$180,0)))</x:f>
        <x:v>WAIT for deployed Release 1 + real customer/site evidence. M3 sequence</x:v>
      </x:c>
      <x:c r="K75" s="206" t="str">
        <x:f>IF(INDEX(Backlog!$U$2:$U$180,MATCH($D75,Backlog!$A$2:$A$180,0))="","",INDEX(Backlog!$U$2:$U$180,MATCH($D75,Backlog!$A$2:$A$180,0)))</x:f>
        <x:v>Own site/platform/backend/infra. No AI/ML calibration or customer UX docs.</x:v>
      </x:c>
      <x:c r="L75" s="206" t="str">
        <x:f>IF(INDEX(Backlog!$V$2:$V$180,MATCH($D75,Backlog!$A$2:$A$180,0))="","",INDEX(Backlog!$V$2:$V$180,MATCH($D75,Backlog!$A$2:$A$180,0)))</x:f>
        <x:v>Commit before downstream consumer starts; consumer must use the contract, not redesign producer-owned semantics.</x:v>
      </x:c>
      <x:c r="M75" s="194" t="str">
        <x:f>IF(INDEX(Backlog!$AO$2:$AO$180,MATCH($D75,Backlog!$A$2:$A$180,0))="","",INDEX(Backlog!$AO$2:$AO$180,MATCH($D75,Backlog!$A$2:$A$180,0)))</x:f>
        <x:v>Not started — no completion claimed</x:v>
      </x:c>
      <x:c r="N75" s="194" t="str">
        <x:f>IF(INDEX(Backlog!$AN$2:$AN$180,MATCH($D75,Backlog!$A$2:$A$180,0))="","",INDEX(Backlog!$AN$2:$AN$180,MATCH($D75,Backlog!$A$2:$A$180,0)))</x:f>
      </x:c>
    </x:row>
    <x:row r="76" ht="26" customHeight="1">
      <x:c r="A76" s="206" t="str">
        <x:f>IF(INDEX(Backlog!$L$2:$L$180,MATCH($D76,Backlog!$A$2:$A$180,0))="","",INDEX(Backlog!$L$2:$L$180,MATCH($D76,Backlog!$A$2:$A$180,0)))</x:f>
        <x:v>Worker 1</x:v>
      </x:c>
      <x:c r="B76" s="206" t="str">
        <x:f>IF(INDEX(Backlog!$B$2:$B$180,MATCH($D76,Backlog!$A$2:$A$180,0))="","",INDEX(Backlog!$B$2:$B$180,MATCH($D76,Backlog!$A$2:$A$180,0)))</x:f>
        <x:v>M3</x:v>
      </x:c>
      <x:c r="C76" s="206" t="str">
        <x:f>IF(INDEX(Backlog!$C$2:$C$180,MATCH($D76,Backlog!$A$2:$A$180,0))="","",INDEX(Backlog!$C$2:$C$180,MATCH($D76,Backlog!$A$2:$A$180,0)))</x:f>
        <x:v>P2</x:v>
      </x:c>
      <x:c r="D76" s="206" t="str">
        <x:v>T-194</x:v>
      </x:c>
      <x:c r="E76" s="206" t="str">
        <x:f>IF(INDEX(Backlog!$D$2:$D$180,MATCH($D76,Backlog!$A$2:$A$180,0))="","",INDEX(Backlog!$D$2:$D$180,MATCH($D76,Backlog!$A$2:$A$180,0)))</x:f>
        <x:v>Retire legacy API dual-serve aliases after canonical-client continuity proof</x:v>
      </x:c>
      <x:c r="F76" s="206" t="str">
        <x:f>IF(INDEX(Backlog!$K$2:$K$180,MATCH($D76,Backlog!$A$2:$A$180,0))="","",INDEX(Backlog!$K$2:$K$180,MATCH($D76,Backlog!$A$2:$A$180,0)))</x:f>
        <x:v>Not Started</x:v>
      </x:c>
      <x:c r="G76" s="206" t="n">
        <x:f>IF(ISNUMBER(INDEX(Backlog!$J$2:$J$180,MATCH($D76,Backlog!$A$2:$A$180,0))),INDEX(Backlog!$J$2:$J$180,MATCH($D76,Backlog!$A$2:$A$180,0)),"")</x:f>
        <x:v>6</x:v>
      </x:c>
      <x:c r="H76" s="206" t="n">
        <x:f>IF(ISNUMBER(INDEX(Backlog!$R$2:$R$180,MATCH($D76,Backlog!$A$2:$A$180,0))),INDEX(Backlog!$R$2:$R$180,MATCH($D76,Backlog!$A$2:$A$180,0)),"")</x:f>
        <x:v>0.8999999999999999</x:v>
      </x:c>
      <x:c r="I76" s="206" t="str">
        <x:f>IF(INDEX(Backlog!$M$2:$M$180,MATCH($D76,Backlog!$A$2:$A$180,0))="","",INDEX(Backlog!$M$2:$M$180,MATCH($D76,Backlog!$A$2:$A$180,0)))</x:f>
        <x:v>T-117; T-127</x:v>
      </x:c>
      <x:c r="J76" s="206" t="str">
        <x:f>IF(INDEX(Backlog!$T$2:$T$180,MATCH($D76,Backlog!$A$2:$A$180,0))="","",INDEX(Backlog!$T$2:$T$180,MATCH($D76,Backlog!$A$2:$A$180,0)))</x:f>
        <x:v>WAIT for Presentation RC freeze/tag + clean index/worktree. Then: T-117 + T-127</x:v>
      </x:c>
      <x:c r="K76" s="206" t="str">
        <x:f>IF(INDEX(Backlog!$U$2:$U$180,MATCH($D76,Backlog!$A$2:$A$180,0))="","",INDEX(Backlog!$U$2:$U$180,MATCH($D76,Backlog!$A$2:$A$180,0)))</x:f>
        <x:v>Own canonical DB/backend/security/API/infra. No W2-owned UI/admin task files and no W3 ML/Assistant runtime.</x:v>
      </x:c>
      <x:c r="L76" s="206" t="str">
        <x:f>IF(INDEX(Backlog!$V$2:$V$180,MATCH($D76,Backlog!$A$2:$A$180,0))="","",INDEX(Backlog!$V$2:$V$180,MATCH($D76,Backlog!$A$2:$A$180,0)))</x:f>
        <x:v>Commit before downstream consumer starts; consumer must use the contract, not redesign producer-owned semantics.</x:v>
      </x:c>
      <x:c r="M76" s="194" t="str">
        <x:f>IF(INDEX(Backlog!$AO$2:$AO$180,MATCH($D76,Backlog!$A$2:$A$180,0))="","",INDEX(Backlog!$AO$2:$AO$180,MATCH($D76,Backlog!$A$2:$A$180,0)))</x:f>
        <x:v>Not started — no completion claimed</x:v>
      </x:c>
      <x:c r="N76" s="194" t="str">
        <x:f>IF(INDEX(Backlog!$AN$2:$AN$180,MATCH($D76,Backlog!$A$2:$A$180,0))="","",INDEX(Backlog!$AN$2:$AN$180,MATCH($D76,Backlog!$A$2:$A$180,0)))</x:f>
      </x:c>
    </x:row>
    <x:row r="77" ht="26" customHeight="1">
      <x:c r="A77" s="206" t="str">
        <x:f>IF(INDEX(Backlog!$L$2:$L$180,MATCH($D77,Backlog!$A$2:$A$180,0))="","",INDEX(Backlog!$L$2:$L$180,MATCH($D77,Backlog!$A$2:$A$180,0)))</x:f>
        <x:v>Worker 1</x:v>
      </x:c>
      <x:c r="B77" s="206" t="str">
        <x:f>IF(INDEX(Backlog!$B$2:$B$180,MATCH($D77,Backlog!$A$2:$A$180,0))="","",INDEX(Backlog!$B$2:$B$180,MATCH($D77,Backlog!$A$2:$A$180,0)))</x:f>
        <x:v>M3</x:v>
      </x:c>
      <x:c r="C77" s="206" t="str">
        <x:f>IF(INDEX(Backlog!$C$2:$C$180,MATCH($D77,Backlog!$A$2:$A$180,0))="","",INDEX(Backlog!$C$2:$C$180,MATCH($D77,Backlog!$A$2:$A$180,0)))</x:f>
        <x:v>P4</x:v>
      </x:c>
      <x:c r="D77" s="206" t="str">
        <x:v>T-164</x:v>
      </x:c>
      <x:c r="E77" s="206" t="str">
        <x:f>IF(INDEX(Backlog!$D$2:$D$180,MATCH($D77,Backlog!$A$2:$A$180,0))="","",INDEX(Backlog!$D$2:$D$180,MATCH($D77,Backlog!$A$2:$A$180,0)))</x:f>
        <x:v>The Value Engine</x:v>
      </x:c>
      <x:c r="F77" s="206" t="str">
        <x:f>IF(INDEX(Backlog!$K$2:$K$180,MATCH($D77,Backlog!$A$2:$A$180,0))="","",INDEX(Backlog!$K$2:$K$180,MATCH($D77,Backlog!$A$2:$A$180,0)))</x:f>
        <x:v>Not Started</x:v>
      </x:c>
      <x:c r="G77" s="206" t="n">
        <x:f>IF(ISNUMBER(INDEX(Backlog!$J$2:$J$180,MATCH($D77,Backlog!$A$2:$A$180,0))),INDEX(Backlog!$J$2:$J$180,MATCH($D77,Backlog!$A$2:$A$180,0)),"")</x:f>
        <x:v>12</x:v>
      </x:c>
      <x:c r="H77" s="206" t="n">
        <x:f>IF(ISNUMBER(INDEX(Backlog!$R$2:$R$180,MATCH($D77,Backlog!$A$2:$A$180,0))),INDEX(Backlog!$R$2:$R$180,MATCH($D77,Backlog!$A$2:$A$180,0)),"")</x:f>
        <x:v>7.2</x:v>
      </x:c>
      <x:c r="I77" s="206" t="str">
        <x:f>IF(INDEX(Backlog!$M$2:$M$180,MATCH($D77,Backlog!$A$2:$A$180,0))="","",INDEX(Backlog!$M$2:$M$180,MATCH($D77,Backlog!$A$2:$A$180,0)))</x:f>
        <x:v>T-237; T-235</x:v>
      </x:c>
      <x:c r="J77" s="206" t="str">
        <x:f>IF(INDEX(Backlog!$T$2:$T$180,MATCH($D77,Backlog!$A$2:$A$180,0))="","",INDEX(Backlog!$T$2:$T$180,MATCH($D77,Backlog!$A$2:$A$180,0)))</x:f>
        <x:v>WAIT for deployed Release 1 + real customer/site evidence. M3 sequence</x:v>
      </x:c>
      <x:c r="K77" s="206" t="str">
        <x:f>IF(INDEX(Backlog!$U$2:$U$180,MATCH($D77,Backlog!$A$2:$A$180,0))="","",INDEX(Backlog!$U$2:$U$180,MATCH($D77,Backlog!$A$2:$A$180,0)))</x:f>
        <x:v>Own site/platform/backend/infra. No AI/ML calibration or customer UX docs.</x:v>
      </x:c>
      <x:c r="L77" s="206" t="str">
        <x:f>IF(INDEX(Backlog!$V$2:$V$180,MATCH($D77,Backlog!$A$2:$A$180,0))="","",INDEX(Backlog!$V$2:$V$180,MATCH($D77,Backlog!$A$2:$A$180,0)))</x:f>
        <x:v>Commit before downstream consumer starts; consumer must use the contract, not redesign producer-owned semantics.</x:v>
      </x:c>
      <x:c r="M77" s="194" t="str">
        <x:f>IF(INDEX(Backlog!$AO$2:$AO$180,MATCH($D77,Backlog!$A$2:$A$180,0))="","",INDEX(Backlog!$AO$2:$AO$180,MATCH($D77,Backlog!$A$2:$A$180,0)))</x:f>
        <x:v>Not started — no completion claimed</x:v>
      </x:c>
      <x:c r="N77" s="194" t="str">
        <x:f>IF(INDEX(Backlog!$AN$2:$AN$180,MATCH($D77,Backlog!$A$2:$A$180,0))="","",INDEX(Backlog!$AN$2:$AN$180,MATCH($D77,Backlog!$A$2:$A$180,0)))</x:f>
      </x:c>
    </x:row>
    <x:row r="78" ht="26" customHeight="1">
      <x:c r="A78" s="206" t="str">
        <x:f>IF(INDEX(Backlog!$L$2:$L$180,MATCH($D78,Backlog!$A$2:$A$180,0))="","",INDEX(Backlog!$L$2:$L$180,MATCH($D78,Backlog!$A$2:$A$180,0)))</x:f>
        <x:v>Worker 1</x:v>
      </x:c>
      <x:c r="B78" s="206" t="str">
        <x:f>IF(INDEX(Backlog!$B$2:$B$180,MATCH($D78,Backlog!$A$2:$A$180,0))="","",INDEX(Backlog!$B$2:$B$180,MATCH($D78,Backlog!$A$2:$A$180,0)))</x:f>
        <x:v>M3</x:v>
      </x:c>
      <x:c r="C78" s="206" t="str">
        <x:f>IF(INDEX(Backlog!$C$2:$C$180,MATCH($D78,Backlog!$A$2:$A$180,0))="","",INDEX(Backlog!$C$2:$C$180,MATCH($D78,Backlog!$A$2:$A$180,0)))</x:f>
        <x:v>P4</x:v>
      </x:c>
      <x:c r="D78" s="206" t="str">
        <x:v>T-165</x:v>
      </x:c>
      <x:c r="E78" s="206" t="str">
        <x:f>IF(INDEX(Backlog!$D$2:$D$180,MATCH($D78,Backlog!$A$2:$A$180,0))="","",INDEX(Backlog!$D$2:$D$180,MATCH($D78,Backlog!$A$2:$A$180,0)))</x:f>
        <x:v>Commercial capacity finalisation and the sales calculator</x:v>
      </x:c>
      <x:c r="F78" s="206" t="str">
        <x:f>IF(INDEX(Backlog!$K$2:$K$180,MATCH($D78,Backlog!$A$2:$A$180,0))="","",INDEX(Backlog!$K$2:$K$180,MATCH($D78,Backlog!$A$2:$A$180,0)))</x:f>
        <x:v>Not Started</x:v>
      </x:c>
      <x:c r="G78" s="206" t="n">
        <x:f>IF(ISNUMBER(INDEX(Backlog!$J$2:$J$180,MATCH($D78,Backlog!$A$2:$A$180,0))),INDEX(Backlog!$J$2:$J$180,MATCH($D78,Backlog!$A$2:$A$180,0)),"")</x:f>
        <x:v>12</x:v>
      </x:c>
      <x:c r="H78" s="206" t="n">
        <x:f>IF(ISNUMBER(INDEX(Backlog!$R$2:$R$180,MATCH($D78,Backlog!$A$2:$A$180,0))),INDEX(Backlog!$R$2:$R$180,MATCH($D78,Backlog!$A$2:$A$180,0)),"")</x:f>
        <x:v>7.2</x:v>
      </x:c>
      <x:c r="I78" s="206" t="str">
        <x:f>IF(INDEX(Backlog!$M$2:$M$180,MATCH($D78,Backlog!$A$2:$A$180,0))="","",INDEX(Backlog!$M$2:$M$180,MATCH($D78,Backlog!$A$2:$A$180,0)))</x:f>
      </x:c>
      <x:c r="J78" s="206" t="str">
        <x:f>IF(INDEX(Backlog!$T$2:$T$180,MATCH($D78,Backlog!$A$2:$A$180,0))="","",INDEX(Backlog!$T$2:$T$180,MATCH($D78,Backlog!$A$2:$A$180,0)))</x:f>
        <x:v>WAIT for deployed Release 1 + real customer/site evidence. M3 sequence</x:v>
      </x:c>
      <x:c r="K78" s="206" t="str">
        <x:f>IF(INDEX(Backlog!$U$2:$U$180,MATCH($D78,Backlog!$A$2:$A$180,0))="","",INDEX(Backlog!$U$2:$U$180,MATCH($D78,Backlog!$A$2:$A$180,0)))</x:f>
        <x:v>Own site/platform/backend/infra. No AI/ML calibration or customer UX docs.</x:v>
      </x:c>
      <x:c r="L78" s="206" t="str">
        <x:f>IF(INDEX(Backlog!$V$2:$V$180,MATCH($D78,Backlog!$A$2:$A$180,0))="","",INDEX(Backlog!$V$2:$V$180,MATCH($D78,Backlog!$A$2:$A$180,0)))</x:f>
        <x:v>Commit before downstream consumer starts; consumer must use the contract, not redesign producer-owned semantics.</x:v>
      </x:c>
      <x:c r="M78" s="194" t="str">
        <x:f>IF(INDEX(Backlog!$AO$2:$AO$180,MATCH($D78,Backlog!$A$2:$A$180,0))="","",INDEX(Backlog!$AO$2:$AO$180,MATCH($D78,Backlog!$A$2:$A$180,0)))</x:f>
        <x:v>Not started — no completion claimed</x:v>
      </x:c>
      <x:c r="N78" s="194" t="str">
        <x:f>IF(INDEX(Backlog!$AN$2:$AN$180,MATCH($D78,Backlog!$A$2:$A$180,0))="","",INDEX(Backlog!$AN$2:$AN$180,MATCH($D78,Backlog!$A$2:$A$180,0)))</x:f>
      </x:c>
    </x:row>
    <x:row r="79" ht="26" customHeight="1">
      <x:c r="A79" s="206" t="str">
        <x:f>IF(INDEX(Backlog!$L$2:$L$180,MATCH($D79,Backlog!$A$2:$A$180,0))="","",INDEX(Backlog!$L$2:$L$180,MATCH($D79,Backlog!$A$2:$A$180,0)))</x:f>
        <x:v>Worker 1</x:v>
      </x:c>
      <x:c r="B79" s="206" t="str">
        <x:f>IF(INDEX(Backlog!$B$2:$B$180,MATCH($D79,Backlog!$A$2:$A$180,0))="","",INDEX(Backlog!$B$2:$B$180,MATCH($D79,Backlog!$A$2:$A$180,0)))</x:f>
        <x:v>M3</x:v>
      </x:c>
      <x:c r="C79" s="206" t="str">
        <x:f>IF(INDEX(Backlog!$C$2:$C$180,MATCH($D79,Backlog!$A$2:$A$180,0))="","",INDEX(Backlog!$C$2:$C$180,MATCH($D79,Backlog!$A$2:$A$180,0)))</x:f>
        <x:v>P4</x:v>
      </x:c>
      <x:c r="D79" s="206" t="str">
        <x:v>T-239</x:v>
      </x:c>
      <x:c r="E79" s="206" t="str">
        <x:f>IF(INDEX(Backlog!$D$2:$D$180,MATCH($D79,Backlog!$A$2:$A$180,0))="","",INDEX(Backlog!$D$2:$D$180,MATCH($D79,Backlog!$A$2:$A$180,0)))</x:f>
        <x:v>Persist Objective Set and preference authority</x:v>
      </x:c>
      <x:c r="F79" s="206" t="str">
        <x:f>IF(INDEX(Backlog!$K$2:$K$180,MATCH($D79,Backlog!$A$2:$A$180,0))="","",INDEX(Backlog!$K$2:$K$180,MATCH($D79,Backlog!$A$2:$A$180,0)))</x:f>
        <x:v>Not Started</x:v>
      </x:c>
      <x:c r="G79" s="206" t="n">
        <x:f>IF(ISNUMBER(INDEX(Backlog!$J$2:$J$180,MATCH($D79,Backlog!$A$2:$A$180,0))),INDEX(Backlog!$J$2:$J$180,MATCH($D79,Backlog!$A$2:$A$180,0)),"")</x:f>
        <x:v>8</x:v>
      </x:c>
      <x:c r="H79" s="206" t="n">
        <x:f>IF(ISNUMBER(INDEX(Backlog!$R$2:$R$180,MATCH($D79,Backlog!$A$2:$A$180,0))),INDEX(Backlog!$R$2:$R$180,MATCH($D79,Backlog!$A$2:$A$180,0)),"")</x:f>
        <x:v>3.4</x:v>
      </x:c>
      <x:c r="I79" s="206" t="str">
        <x:f>IF(INDEX(Backlog!$M$2:$M$180,MATCH($D79,Backlog!$A$2:$A$180,0))="","",INDEX(Backlog!$M$2:$M$180,MATCH($D79,Backlog!$A$2:$A$180,0)))</x:f>
        <x:v>T-090; T-214; T-238</x:v>
      </x:c>
      <x:c r="J79" s="206" t="str">
        <x:f>IF(INDEX(Backlog!$T$2:$T$180,MATCH($D79,Backlog!$A$2:$A$180,0))="","",INDEX(Backlog!$T$2:$T$180,MATCH($D79,Backlog!$A$2:$A$180,0)))</x:f>
        <x:v>After T-090 + frozen T-214/T-238 contracts.</x:v>
      </x:c>
      <x:c r="K79" s="206" t="str">
        <x:f>IF(INDEX(Backlog!$U$2:$U$180,MATCH($D79,Backlog!$A$2:$A$180,0))="","",INDEX(Backlog!$U$2:$U$180,MATCH($D79,Backlog!$A$2:$A$180,0)))</x:f>
        <x:v>objective-set tables/API/migrations.</x:v>
      </x:c>
      <x:c r="L79" s="206" t="str">
        <x:f>IF(INDEX(Backlog!$V$2:$V$180,MATCH($D79,Backlog!$A$2:$A$180,0))="","",INDEX(Backlog!$V$2:$V$180,MATCH($D79,Backlog!$A$2:$A$180,0)))</x:f>
        <x:v>T-240 consumes committed persistence.</x:v>
      </x:c>
      <x:c r="M79" s="194" t="str">
        <x:f>IF(INDEX(Backlog!$AO$2:$AO$180,MATCH($D79,Backlog!$A$2:$A$180,0))="","",INDEX(Backlog!$AO$2:$AO$180,MATCH($D79,Backlog!$A$2:$A$180,0)))</x:f>
        <x:v>Not started — no completion claimed</x:v>
      </x:c>
      <x:c r="N79" s="194" t="str">
        <x:f>IF(INDEX(Backlog!$AN$2:$AN$180,MATCH($D79,Backlog!$A$2:$A$180,0))="","",INDEX(Backlog!$AN$2:$AN$180,MATCH($D79,Backlog!$A$2:$A$180,0)))</x:f>
      </x:c>
    </x:row>
    <x:row r="80" ht="26" customHeight="1">
      <x:c r="A80" s="206" t="str">
        <x:f>IF(INDEX(Backlog!$L$2:$L$180,MATCH($D80,Backlog!$A$2:$A$180,0))="","",INDEX(Backlog!$L$2:$L$180,MATCH($D80,Backlog!$A$2:$A$180,0)))</x:f>
        <x:v>Worker 1</x:v>
      </x:c>
      <x:c r="B80" s="206" t="str">
        <x:f>IF(INDEX(Backlog!$B$2:$B$180,MATCH($D80,Backlog!$A$2:$A$180,0))="","",INDEX(Backlog!$B$2:$B$180,MATCH($D80,Backlog!$A$2:$A$180,0)))</x:f>
        <x:v>M3</x:v>
      </x:c>
      <x:c r="C80" s="206" t="str">
        <x:f>IF(INDEX(Backlog!$C$2:$C$180,MATCH($D80,Backlog!$A$2:$A$180,0))="","",INDEX(Backlog!$C$2:$C$180,MATCH($D80,Backlog!$A$2:$A$180,0)))</x:f>
        <x:v>P5</x:v>
      </x:c>
      <x:c r="D80" s="206" t="str">
        <x:v>T-249</x:v>
      </x:c>
      <x:c r="E80" s="206" t="str">
        <x:f>IF(INDEX(Backlog!$D$2:$D$180,MATCH($D80,Backlog!$A$2:$A$180,0))="","",INDEX(Backlog!$D$2:$D$180,MATCH($D80,Backlog!$A$2:$A$180,0)))</x:f>
        <x:v>Release 2 heavy-production final certification gate</x:v>
      </x:c>
      <x:c r="F80" s="206" t="str">
        <x:f>IF(INDEX(Backlog!$K$2:$K$180,MATCH($D80,Backlog!$A$2:$A$180,0))="","",INDEX(Backlog!$K$2:$K$180,MATCH($D80,Backlog!$A$2:$A$180,0)))</x:f>
        <x:v>Not Started</x:v>
      </x:c>
      <x:c r="G80" s="206" t="n">
        <x:f>IF(ISNUMBER(INDEX(Backlog!$J$2:$J$180,MATCH($D80,Backlog!$A$2:$A$180,0))),INDEX(Backlog!$J$2:$J$180,MATCH($D80,Backlog!$A$2:$A$180,0)),"")</x:f>
        <x:v>12</x:v>
      </x:c>
      <x:c r="H80" s="206" t="n">
        <x:f>IF(ISNUMBER(INDEX(Backlog!$R$2:$R$180,MATCH($D80,Backlog!$A$2:$A$180,0))),INDEX(Backlog!$R$2:$R$180,MATCH($D80,Backlog!$A$2:$A$180,0)),"")</x:f>
        <x:v>6</x:v>
      </x:c>
      <x:c r="I80" s="206" t="str">
        <x:f>IF(INDEX(Backlog!$M$2:$M$180,MATCH($D80,Backlog!$A$2:$A$180,0))="","",INDEX(Backlog!$M$2:$M$180,MATCH($D80,Backlog!$A$2:$A$180,0)))</x:f>
        <x:v>T-153; T-159; T-160; T-161; T-162; T-163; T-164; T-167; T-193; T-230; T-240; T-248; T-263; T-264; T-246; T-110; T-267</x:v>
      </x:c>
      <x:c r="J80" s="206" t="str">
        <x:f>IF(INDEX(Backlog!$T$2:$T$180,MATCH($D80,Backlog!$A$2:$A$180,0))="","",INDEX(Backlog!$T$2:$T$180,MATCH($D80,Backlog!$A$2:$A$180,0)))</x:f>
        <x:v>After all M3 MUST gates</x:v>
      </x:c>
      <x:c r="K80" s="206" t="str">
        <x:f>IF(INDEX(Backlog!$U$2:$U$180,MATCH($D80,Backlog!$A$2:$A$180,0))="","",INDEX(Backlog!$U$2:$U$180,MATCH($D80,Backlog!$A$2:$A$180,0)))</x:f>
        <x:v>Cross-stack release evidence; exact staging only</x:v>
      </x:c>
      <x:c r="L80" s="206" t="str">
        <x:f>IF(INDEX(Backlog!$V$2:$V$180,MATCH($D80,Backlog!$A$2:$A$180,0))="","",INDEX(Backlog!$V$2:$V$180,MATCH($D80,Backlog!$A$2:$A$180,0)))</x:f>
        <x:v>Certification task only. Defects go back to the owning task/worker; do not patch features inside the gate.</x:v>
      </x:c>
      <x:c r="M80" s="194" t="str">
        <x:f>IF(INDEX(Backlog!$AO$2:$AO$180,MATCH($D80,Backlog!$A$2:$A$180,0))="","",INDEX(Backlog!$AO$2:$AO$180,MATCH($D80,Backlog!$A$2:$A$180,0)))</x:f>
        <x:v>Not started — no completion claimed</x:v>
      </x:c>
      <x:c r="N80" s="194" t="str">
        <x:f>IF(INDEX(Backlog!$AN$2:$AN$180,MATCH($D80,Backlog!$A$2:$A$180,0))="","",INDEX(Backlog!$AN$2:$AN$180,MATCH($D80,Backlog!$A$2:$A$180,0)))</x:f>
      </x:c>
    </x:row>
    <x:row r="81" ht="26" customHeight="1">
      <x:c r="A81" s="206" t="str">
        <x:f>IF(INDEX(Backlog!$L$2:$L$180,MATCH($D81,Backlog!$A$2:$A$180,0))="","",INDEX(Backlog!$L$2:$L$180,MATCH($D81,Backlog!$A$2:$A$180,0)))</x:f>
        <x:v>Worker 2</x:v>
      </x:c>
      <x:c r="B81" s="206" t="str">
        <x:f>IF(INDEX(Backlog!$B$2:$B$180,MATCH($D81,Backlog!$A$2:$A$180,0))="","",INDEX(Backlog!$B$2:$B$180,MATCH($D81,Backlog!$A$2:$A$180,0)))</x:f>
        <x:v>M2</x:v>
      </x:c>
      <x:c r="C81" s="206" t="str">
        <x:f>IF(INDEX(Backlog!$C$2:$C$180,MATCH($D81,Backlog!$A$2:$A$180,0))="","",INDEX(Backlog!$C$2:$C$180,MATCH($D81,Backlog!$A$2:$A$180,0)))</x:f>
        <x:v>P1</x:v>
      </x:c>
      <x:c r="D81" s="206" t="str">
        <x:v>T-202</x:v>
      </x:c>
      <x:c r="E81" s="206" t="str">
        <x:f>IF(INDEX(Backlog!$D$2:$D$180,MATCH($D81,Backlog!$A$2:$A$180,0))="","",INDEX(Backlog!$D$2:$D$180,MATCH($D81,Backlog!$A$2:$A$180,0)))</x:f>
        <x:v>Persisted page/widget definition replay gate</x:v>
      </x:c>
      <x:c r="F81" s="206" t="str">
        <x:f>IF(INDEX(Backlog!$K$2:$K$180,MATCH($D81,Backlog!$A$2:$A$180,0))="","",INDEX(Backlog!$K$2:$K$180,MATCH($D81,Backlog!$A$2:$A$180,0)))</x:f>
        <x:v>Done</x:v>
      </x:c>
      <x:c r="G81" s="206" t="n">
        <x:f>IF(ISNUMBER(INDEX(Backlog!$J$2:$J$180,MATCH($D81,Backlog!$A$2:$A$180,0))),INDEX(Backlog!$J$2:$J$180,MATCH($D81,Backlog!$A$2:$A$180,0)),"")</x:f>
        <x:v>10</x:v>
      </x:c>
      <x:c r="H81" s="206" t="n">
        <x:f>IF(ISNUMBER(INDEX(Backlog!$R$2:$R$180,MATCH($D81,Backlog!$A$2:$A$180,0))),INDEX(Backlog!$R$2:$R$180,MATCH($D81,Backlog!$A$2:$A$180,0)),"")</x:f>
        <x:v>4</x:v>
      </x:c>
      <x:c r="I81" s="206" t="str">
        <x:f>IF(INDEX(Backlog!$M$2:$M$180,MATCH($D81,Backlog!$A$2:$A$180,0))="","",INDEX(Backlog!$M$2:$M$180,MATCH($D81,Backlog!$A$2:$A$180,0)))</x:f>
        <x:v>T-201</x:v>
      </x:c>
      <x:c r="J81" s="206" t="str">
        <x:f>IF(INDEX(Backlog!$T$2:$T$180,MATCH($D81,Backlog!$A$2:$A$180,0))="","",INDEX(Backlog!$T$2:$T$180,MATCH($D81,Backlog!$A$2:$A$180,0)))</x:f>
        <x:v>T-201 committed/frozen baseline.</x:v>
      </x:c>
      <x:c r="K81" s="206" t="str">
        <x:f>IF(INDEX(Backlog!$U$2:$U$180,MATCH($D81,Backlog!$A$2:$A$180,0))="","",INDEX(Backlog!$U$2:$U$180,MATCH($D81,Backlog!$A$2:$A$180,0)))</x:f>
        <x:v>Frontend E2E + dashboard query test harness; no canonical schema edits.</x:v>
      </x:c>
      <x:c r="L81" s="206" t="str">
        <x:f>IF(INDEX(Backlog!$V$2:$V$180,MATCH($D81,Backlog!$A$2:$A$180,0))="","",INDEX(Backlog!$V$2:$V$180,MATCH($D81,Backlog!$A$2:$A$180,0)))</x:f>
        <x:v>T-150 later consumes this gate; it does not redesign it.</x:v>
      </x:c>
      <x:c r="M81" s="194" t="str">
        <x:f>IF(INDEX(Backlog!$AO$2:$AO$180,MATCH($D81,Backlog!$A$2:$A$180,0))="","",INDEX(Backlog!$AO$2:$AO$180,MATCH($D81,Backlog!$A$2:$A$180,0)))</x:f>
        <x:v>Recorded closed — inherited evidence</x:v>
      </x:c>
      <x:c r="N81" s="194" t="str">
        <x:f>IF(INDEX(Backlog!$AN$2:$AN$180,MATCH($D81,Backlog!$A$2:$A$180,0))="","",INDEX(Backlog!$AN$2:$AN$180,MATCH($D81,Backlog!$A$2:$A$180,0)))</x:f>
      </x:c>
    </x:row>
    <x:row r="82" ht="26" customHeight="1">
      <x:c r="A82" s="206" t="str">
        <x:f>IF(INDEX(Backlog!$L$2:$L$180,MATCH($D82,Backlog!$A$2:$A$180,0))="","",INDEX(Backlog!$L$2:$L$180,MATCH($D82,Backlog!$A$2:$A$180,0)))</x:f>
        <x:v>Worker 2</x:v>
      </x:c>
      <x:c r="B82" s="206" t="str">
        <x:f>IF(INDEX(Backlog!$B$2:$B$180,MATCH($D82,Backlog!$A$2:$A$180,0))="","",INDEX(Backlog!$B$2:$B$180,MATCH($D82,Backlog!$A$2:$A$180,0)))</x:f>
        <x:v>M2</x:v>
      </x:c>
      <x:c r="C82" s="206" t="str">
        <x:f>IF(INDEX(Backlog!$C$2:$C$180,MATCH($D82,Backlog!$A$2:$A$180,0))="","",INDEX(Backlog!$C$2:$C$180,MATCH($D82,Backlog!$A$2:$A$180,0)))</x:f>
        <x:v>P1</x:v>
      </x:c>
      <x:c r="D82" s="206" t="str">
        <x:v>T-203</x:v>
      </x:c>
      <x:c r="E82" s="206" t="str">
        <x:f>IF(INDEX(Backlog!$D$2:$D$180,MATCH($D82,Backlog!$A$2:$A$180,0))="","",INDEX(Backlog!$D$2:$D$180,MATCH($D82,Backlog!$A$2:$A$180,0)))</x:f>
        <x:v>Customer-route network, console and widget-state invariant</x:v>
      </x:c>
      <x:c r="F82" s="206" t="str">
        <x:f>IF(INDEX(Backlog!$K$2:$K$180,MATCH($D82,Backlog!$A$2:$A$180,0))="","",INDEX(Backlog!$K$2:$K$180,MATCH($D82,Backlog!$A$2:$A$180,0)))</x:f>
        <x:v>Done</x:v>
      </x:c>
      <x:c r="G82" s="206" t="n">
        <x:f>IF(ISNUMBER(INDEX(Backlog!$J$2:$J$180,MATCH($D82,Backlog!$A$2:$A$180,0))),INDEX(Backlog!$J$2:$J$180,MATCH($D82,Backlog!$A$2:$A$180,0)),"")</x:f>
        <x:v>10</x:v>
      </x:c>
      <x:c r="H82" s="206" t="n">
        <x:f>IF(ISNUMBER(INDEX(Backlog!$R$2:$R$180,MATCH($D82,Backlog!$A$2:$A$180,0))),INDEX(Backlog!$R$2:$R$180,MATCH($D82,Backlog!$A$2:$A$180,0)),"")</x:f>
        <x:v>4</x:v>
      </x:c>
      <x:c r="I82" s="206" t="str">
        <x:f>IF(INDEX(Backlog!$M$2:$M$180,MATCH($D82,Backlog!$A$2:$A$180,0))="","",INDEX(Backlog!$M$2:$M$180,MATCH($D82,Backlog!$A$2:$A$180,0)))</x:f>
        <x:v>T-201</x:v>
      </x:c>
      <x:c r="J82" s="206" t="str">
        <x:f>IF(INDEX(Backlog!$T$2:$T$180,MATCH($D82,Backlog!$A$2:$A$180,0))="","",INDEX(Backlog!$T$2:$T$180,MATCH($D82,Backlog!$A$2:$A$180,0)))</x:f>
        <x:v>T-201; may run in parallel with T-202 on non-overlapping test files.</x:v>
      </x:c>
      <x:c r="K82" s="206" t="str">
        <x:f>IF(INDEX(Backlog!$U$2:$U$180,MATCH($D82,Backlog!$A$2:$A$180,0))="","",INDEX(Backlog!$U$2:$U$180,MATCH($D82,Backlog!$A$2:$A$180,0)))</x:f>
        <x:v>Frontend E2E/session harness.</x:v>
      </x:c>
      <x:c r="L82" s="206" t="str">
        <x:f>IF(INDEX(Backlog!$V$2:$V$180,MATCH($D82,Backlog!$A$2:$A$180,0))="","",INDEX(Backlog!$V$2:$V$180,MATCH($D82,Backlog!$A$2:$A$180,0)))</x:f>
        <x:v>All later customer-facing feature tasks must add their route to this gate before close.</x:v>
      </x:c>
      <x:c r="M82" s="194" t="str">
        <x:f>IF(INDEX(Backlog!$AO$2:$AO$180,MATCH($D82,Backlog!$A$2:$A$180,0))="","",INDEX(Backlog!$AO$2:$AO$180,MATCH($D82,Backlog!$A$2:$A$180,0)))</x:f>
        <x:v>Recorded closed — inherited evidence</x:v>
      </x:c>
      <x:c r="N82" s="194" t="str">
        <x:f>IF(INDEX(Backlog!$AN$2:$AN$180,MATCH($D82,Backlog!$A$2:$A$180,0))="","",INDEX(Backlog!$AN$2:$AN$180,MATCH($D82,Backlog!$A$2:$A$180,0)))</x:f>
      </x:c>
    </x:row>
    <x:row r="83" ht="26" customHeight="1">
      <x:c r="A83" s="206" t="str">
        <x:f>IF(INDEX(Backlog!$L$2:$L$180,MATCH($D83,Backlog!$A$2:$A$180,0))="","",INDEX(Backlog!$L$2:$L$180,MATCH($D83,Backlog!$A$2:$A$180,0)))</x:f>
        <x:v>Worker 2</x:v>
      </x:c>
      <x:c r="B83" s="206" t="str">
        <x:f>IF(INDEX(Backlog!$B$2:$B$180,MATCH($D83,Backlog!$A$2:$A$180,0))="","",INDEX(Backlog!$B$2:$B$180,MATCH($D83,Backlog!$A$2:$A$180,0)))</x:f>
        <x:v>M2</x:v>
      </x:c>
      <x:c r="C83" s="206" t="str">
        <x:f>IF(INDEX(Backlog!$C$2:$C$180,MATCH($D83,Backlog!$A$2:$A$180,0))="","",INDEX(Backlog!$C$2:$C$180,MATCH($D83,Backlog!$A$2:$A$180,0)))</x:f>
        <x:v>P1</x:v>
      </x:c>
      <x:c r="D83" s="206" t="str">
        <x:v>T-204</x:v>
      </x:c>
      <x:c r="E83" s="206" t="str">
        <x:f>IF(INDEX(Backlog!$D$2:$D$180,MATCH($D83,Backlog!$A$2:$A$180,0))="","",INDEX(Backlog!$D$2:$D$180,MATCH($D83,Backlog!$A$2:$A$180,0)))</x:f>
        <x:v>Associative cross-filter state-machine certification</x:v>
      </x:c>
      <x:c r="F83" s="206" t="str">
        <x:f>IF(INDEX(Backlog!$K$2:$K$180,MATCH($D83,Backlog!$A$2:$A$180,0))="","",INDEX(Backlog!$K$2:$K$180,MATCH($D83,Backlog!$A$2:$A$180,0)))</x:f>
        <x:v>Done</x:v>
      </x:c>
      <x:c r="G83" s="206" t="n">
        <x:f>IF(ISNUMBER(INDEX(Backlog!$J$2:$J$180,MATCH($D83,Backlog!$A$2:$A$180,0))),INDEX(Backlog!$J$2:$J$180,MATCH($D83,Backlog!$A$2:$A$180,0)),"")</x:f>
        <x:v>10</x:v>
      </x:c>
      <x:c r="H83" s="206" t="n">
        <x:f>IF(ISNUMBER(INDEX(Backlog!$R$2:$R$180,MATCH($D83,Backlog!$A$2:$A$180,0))),INDEX(Backlog!$R$2:$R$180,MATCH($D83,Backlog!$A$2:$A$180,0)),"")</x:f>
        <x:v>4.25</x:v>
      </x:c>
      <x:c r="I83" s="206" t="str">
        <x:f>IF(INDEX(Backlog!$M$2:$M$180,MATCH($D83,Backlog!$A$2:$A$180,0))="","",INDEX(Backlog!$M$2:$M$180,MATCH($D83,Backlog!$A$2:$A$180,0)))</x:f>
        <x:v>T-201</x:v>
      </x:c>
      <x:c r="J83" s="206" t="str">
        <x:f>IF(INDEX(Backlog!$T$2:$T$180,MATCH($D83,Backlog!$A$2:$A$180,0))="","",INDEX(Backlog!$T$2:$T$180,MATCH($D83,Backlog!$A$2:$A$180,0)))</x:f>
        <x:v>T-201; resolve current associative ownership first.</x:v>
      </x:c>
      <x:c r="K83" s="206" t="str">
        <x:f>IF(INDEX(Backlog!$U$2:$U$180,MATCH($D83,Backlog!$A$2:$A$180,0))="","",INDEX(Backlog!$U$2:$U$180,MATCH($D83,Backlog!$A$2:$A$180,0)))</x:f>
        <x:v>AssociativeContext/filter bridge + E2E tests; no unrelated chart redesign.</x:v>
      </x:c>
      <x:c r="L83" s="206" t="str">
        <x:f>IF(INDEX(Backlog!$V$2:$V$180,MATCH($D83,Backlog!$A$2:$A$180,0))="","",INDEX(Backlog!$V$2:$V$180,MATCH($D83,Backlog!$A$2:$A$180,0)))</x:f>
        <x:v>This task supersedes using browser walking as the acceptance of cross-filtering.</x:v>
      </x:c>
      <x:c r="M83" s="194" t="str">
        <x:f>IF(INDEX(Backlog!$AO$2:$AO$180,MATCH($D83,Backlog!$A$2:$A$180,0))="","",INDEX(Backlog!$AO$2:$AO$180,MATCH($D83,Backlog!$A$2:$A$180,0)))</x:f>
        <x:v>Recorded closed — inherited evidence</x:v>
      </x:c>
      <x:c r="N83" s="194" t="str">
        <x:f>IF(INDEX(Backlog!$AN$2:$AN$180,MATCH($D83,Backlog!$A$2:$A$180,0))="","",INDEX(Backlog!$AN$2:$AN$180,MATCH($D83,Backlog!$A$2:$A$180,0)))</x:f>
      </x:c>
    </x:row>
    <x:row r="84" ht="26" customHeight="1">
      <x:c r="A84" s="206" t="str">
        <x:f>IF(INDEX(Backlog!$L$2:$L$180,MATCH($D84,Backlog!$A$2:$A$180,0))="","",INDEX(Backlog!$L$2:$L$180,MATCH($D84,Backlog!$A$2:$A$180,0)))</x:f>
        <x:v>Worker 2</x:v>
      </x:c>
      <x:c r="B84" s="206" t="str">
        <x:f>IF(INDEX(Backlog!$B$2:$B$180,MATCH($D84,Backlog!$A$2:$A$180,0))="","",INDEX(Backlog!$B$2:$B$180,MATCH($D84,Backlog!$A$2:$A$180,0)))</x:f>
        <x:v>M2</x:v>
      </x:c>
      <x:c r="C84" s="206" t="str">
        <x:f>IF(INDEX(Backlog!$C$2:$C$180,MATCH($D84,Backlog!$A$2:$A$180,0))="","",INDEX(Backlog!$C$2:$C$180,MATCH($D84,Backlog!$A$2:$A$180,0)))</x:f>
        <x:v>P1</x:v>
      </x:c>
      <x:c r="D84" s="206" t="str">
        <x:v>T-205</x:v>
      </x:c>
      <x:c r="E84" s="206" t="str">
        <x:f>IF(INDEX(Backlog!$D$2:$D$180,MATCH($D84,Backlog!$A$2:$A$180,0))="","",INDEX(Backlog!$D$2:$D$180,MATCH($D84,Backlog!$A$2:$A$180,0)))</x:f>
        <x:v>Frontend global suite termination and machine-readable gate</x:v>
      </x:c>
      <x:c r="F84" s="206" t="str">
        <x:f>IF(INDEX(Backlog!$K$2:$K$180,MATCH($D84,Backlog!$A$2:$A$180,0))="","",INDEX(Backlog!$K$2:$K$180,MATCH($D84,Backlog!$A$2:$A$180,0)))</x:f>
        <x:v>Done</x:v>
      </x:c>
      <x:c r="G84" s="206" t="n">
        <x:f>IF(ISNUMBER(INDEX(Backlog!$J$2:$J$180,MATCH($D84,Backlog!$A$2:$A$180,0))),INDEX(Backlog!$J$2:$J$180,MATCH($D84,Backlog!$A$2:$A$180,0)),"")</x:f>
        <x:v>8</x:v>
      </x:c>
      <x:c r="H84" s="206" t="n">
        <x:f>IF(ISNUMBER(INDEX(Backlog!$R$2:$R$180,MATCH($D84,Backlog!$A$2:$A$180,0))),INDEX(Backlog!$R$2:$R$180,MATCH($D84,Backlog!$A$2:$A$180,0)),"")</x:f>
        <x:v>3.2</x:v>
      </x:c>
      <x:c r="I84" s="206" t="str">
        <x:f>IF(INDEX(Backlog!$M$2:$M$180,MATCH($D84,Backlog!$A$2:$A$180,0))="","",INDEX(Backlog!$M$2:$M$180,MATCH($D84,Backlog!$A$2:$A$180,0)))</x:f>
        <x:v>T-201</x:v>
      </x:c>
      <x:c r="J84" s="206" t="str">
        <x:f>IF(INDEX(Backlog!$T$2:$T$180,MATCH($D84,Backlog!$A$2:$A$180,0))="","",INDEX(Backlog!$T$2:$T$180,MATCH($D84,Backlog!$A$2:$A$180,0)))</x:f>
        <x:v>CLOSED GREEN 2026-08-30 at b7fcc890. Infrastructure gate certified. Do not rerun full T-205 Certify unless the T-205 gate/validator/watchdog/reaper/evidence contract itself changes.</x:v>
      </x:c>
      <x:c r="K84" s="206" t="str">
        <x:f>IF(INDEX(Backlog!$U$2:$U$180,MATCH($D84,Backlog!$A$2:$A$180,0))="","",INDEX(Backlog!$U$2:$U$180,MATCH($D84,Backlog!$A$2:$A$180,0)))</x:f>
        <x:v>Frontend test runner/config only.</x:v>
      </x:c>
      <x:c r="L84" s="206" t="str">
        <x:f>IF(INDEX(Backlog!$V$2:$V$180,MATCH($D84,Backlog!$A$2:$A$180,0))="","",INDEX(Backlog!$V$2:$V$180,MATCH($D84,Backlog!$A$2:$A$180,0)))</x:f>
        <x:v>T-205 remains closed. Deterministic suite-truth mutations are owned by T-250; do not amend or reopen T-205 for product/test corrections.</x:v>
      </x:c>
      <x:c r="M84" s="194" t="str">
        <x:f>IF(INDEX(Backlog!$AO$2:$AO$180,MATCH($D84,Backlog!$A$2:$A$180,0))="","",INDEX(Backlog!$AO$2:$AO$180,MATCH($D84,Backlog!$A$2:$A$180,0)))</x:f>
        <x:v>Recorded closed — inherited evidence</x:v>
      </x:c>
      <x:c r="N84" s="194" t="str">
        <x:f>IF(INDEX(Backlog!$AN$2:$AN$180,MATCH($D84,Backlog!$A$2:$A$180,0))="","",INDEX(Backlog!$AN$2:$AN$180,MATCH($D84,Backlog!$A$2:$A$180,0)))</x:f>
      </x:c>
    </x:row>
    <x:row r="85" ht="26" customHeight="1">
      <x:c r="A85" s="206" t="str">
        <x:f>IF(INDEX(Backlog!$L$2:$L$180,MATCH($D85,Backlog!$A$2:$A$180,0))="","",INDEX(Backlog!$L$2:$L$180,MATCH($D85,Backlog!$A$2:$A$180,0)))</x:f>
        <x:v>Worker 2</x:v>
      </x:c>
      <x:c r="B85" s="206" t="str">
        <x:f>IF(INDEX(Backlog!$B$2:$B$180,MATCH($D85,Backlog!$A$2:$A$180,0))="","",INDEX(Backlog!$B$2:$B$180,MATCH($D85,Backlog!$A$2:$A$180,0)))</x:f>
        <x:v>M2</x:v>
      </x:c>
      <x:c r="C85" s="206" t="str">
        <x:f>IF(INDEX(Backlog!$C$2:$C$180,MATCH($D85,Backlog!$A$2:$A$180,0))="","",INDEX(Backlog!$C$2:$C$180,MATCH($D85,Backlog!$A$2:$A$180,0)))</x:f>
        <x:v>P1</x:v>
      </x:c>
      <x:c r="D85" s="206" t="str">
        <x:v>T-250</x:v>
      </x:c>
      <x:c r="E85" s="206" t="str">
        <x:f>IF(INDEX(Backlog!$D$2:$D$180,MATCH($D85,Backlog!$A$2:$A$180,0))="","",INDEX(Backlog!$D$2:$D$180,MATCH($D85,Backlog!$A$2:$A$180,0)))</x:f>
        <x:v>Frontend suite truth convergence: Journey routing and design-system corrections</x:v>
      </x:c>
      <x:c r="F85" s="206" t="str">
        <x:f>IF(INDEX(Backlog!$K$2:$K$180,MATCH($D85,Backlog!$A$2:$A$180,0))="","",INDEX(Backlog!$K$2:$K$180,MATCH($D85,Backlog!$A$2:$A$180,0)))</x:f>
        <x:v>Done</x:v>
      </x:c>
      <x:c r="G85" s="206" t="n">
        <x:f>IF(ISNUMBER(INDEX(Backlog!$J$2:$J$180,MATCH($D85,Backlog!$A$2:$A$180,0))),INDEX(Backlog!$J$2:$J$180,MATCH($D85,Backlog!$A$2:$A$180,0)),"")</x:f>
        <x:v>6</x:v>
      </x:c>
      <x:c r="H85" s="206" t="n">
        <x:f>IF(ISNUMBER(INDEX(Backlog!$R$2:$R$180,MATCH($D85,Backlog!$A$2:$A$180,0))),INDEX(Backlog!$R$2:$R$180,MATCH($D85,Backlog!$A$2:$A$180,0)),"")</x:f>
        <x:v>2.5</x:v>
      </x:c>
      <x:c r="I85" s="206" t="str">
        <x:f>IF(INDEX(Backlog!$M$2:$M$180,MATCH($D85,Backlog!$A$2:$A$180,0))="","",INDEX(Backlog!$M$2:$M$180,MATCH($D85,Backlog!$A$2:$A$180,0)))</x:f>
        <x:v>T-205</x:v>
      </x:c>
      <x:c r="J85" s="206" t="str">
        <x:f>IF(INDEX(Backlog!$T$2:$T$180,MATCH($D85,Backlog!$A$2:$A$180,0))="","",INDEX(Backlog!$T$2:$T$180,MATCH($D85,Backlog!$A$2:$A$180,0)))</x:f>
        <x:v>T-205 CLOSED GREEN at b7fcc890. Two read-only adjudication extracts are sufficient; no third diagnostic runner. Build one corrective pack, run narrow tests, then one normal full frontend suite.</x:v>
      </x:c>
      <x:c r="K85" s="206" t="str">
        <x:f>IF(INDEX(Backlog!$U$2:$U$180,MATCH($D85,Backlog!$A$2:$A$180,0))="","",INDEX(Backlog!$U$2:$U$180,MATCH($D85,Backlog!$A$2:$A$180,0)))</x:f>
        <x:v>Own only the bounded JourneyRail/Journey tests, MetricCard styling, exact Heatmap architecture exception and SpecificationTable convergence. No edits to T-205 runner/validator and no unrelated frontend cleanup.</x:v>
      </x:c>
      <x:c r="L85" s="206" t="str">
        <x:f>IF(INDEX(Backlog!$V$2:$V$180,MATCH($D85,Backlog!$A$2:$A$180,0))="","",INDEX(Backlog!$V$2:$V$180,MATCH($D85,Backlog!$A$2:$A$180,0)))</x:f>
        <x:v>T-205 remains closed. After T-250 GREEN, move directly to the next eligible existing Worker-2 task. No unnamed corrective work and no repeated expensive certification loop.</x:v>
      </x:c>
      <x:c r="M85" s="194" t="str">
        <x:f>IF(INDEX(Backlog!$AO$2:$AO$180,MATCH($D85,Backlog!$A$2:$A$180,0))="","",INDEX(Backlog!$AO$2:$AO$180,MATCH($D85,Backlog!$A$2:$A$180,0)))</x:f>
        <x:v>Recorded closed — inherited evidence</x:v>
      </x:c>
      <x:c r="N85" s="194" t="str">
        <x:f>IF(INDEX(Backlog!$AN$2:$AN$180,MATCH($D85,Backlog!$A$2:$A$180,0))="","",INDEX(Backlog!$AN$2:$AN$180,MATCH($D85,Backlog!$A$2:$A$180,0)))</x:f>
      </x:c>
    </x:row>
    <x:row r="86" ht="26" customHeight="1">
      <x:c r="A86" s="206" t="str">
        <x:f>IF(INDEX(Backlog!$L$2:$L$180,MATCH($D86,Backlog!$A$2:$A$180,0))="","",INDEX(Backlog!$L$2:$L$180,MATCH($D86,Backlog!$A$2:$A$180,0)))</x:f>
        <x:v>Worker 2</x:v>
      </x:c>
      <x:c r="B86" s="206" t="str">
        <x:f>IF(INDEX(Backlog!$B$2:$B$180,MATCH($D86,Backlog!$A$2:$A$180,0))="","",INDEX(Backlog!$B$2:$B$180,MATCH($D86,Backlog!$A$2:$A$180,0)))</x:f>
        <x:v>M2</x:v>
      </x:c>
      <x:c r="C86" s="206" t="str">
        <x:f>IF(INDEX(Backlog!$C$2:$C$180,MATCH($D86,Backlog!$A$2:$A$180,0))="","",INDEX(Backlog!$C$2:$C$180,MATCH($D86,Backlog!$A$2:$A$180,0)))</x:f>
        <x:v>P2</x:v>
      </x:c>
      <x:c r="D86" s="206" t="str">
        <x:v>T-098</x:v>
      </x:c>
      <x:c r="E86" s="206" t="str">
        <x:f>IF(INDEX(Backlog!$D$2:$D$180,MATCH($D86,Backlog!$A$2:$A$180,0))="","",INDEX(Backlog!$D$2:$D$180,MATCH($D86,Backlog!$A$2:$A$180,0)))</x:f>
        <x:v>Relationship Browser page and path evidence</x:v>
      </x:c>
      <x:c r="F86" s="206" t="str">
        <x:f>IF(INDEX(Backlog!$K$2:$K$180,MATCH($D86,Backlog!$A$2:$A$180,0))="","",INDEX(Backlog!$K$2:$K$180,MATCH($D86,Backlog!$A$2:$A$180,0)))</x:f>
        <x:v>Not Started</x:v>
      </x:c>
      <x:c r="G86" s="206" t="n">
        <x:f>IF(ISNUMBER(INDEX(Backlog!$J$2:$J$180,MATCH($D86,Backlog!$A$2:$A$180,0))),INDEX(Backlog!$J$2:$J$180,MATCH($D86,Backlog!$A$2:$A$180,0)),"")</x:f>
        <x:v>12</x:v>
      </x:c>
      <x:c r="H86" s="206" t="n">
        <x:f>IF(ISNUMBER(INDEX(Backlog!$R$2:$R$180,MATCH($D86,Backlog!$A$2:$A$180,0))),INDEX(Backlog!$R$2:$R$180,MATCH($D86,Backlog!$A$2:$A$180,0)),"")</x:f>
        <x:v>2</x:v>
      </x:c>
      <x:c r="I86" s="206" t="str">
        <x:f>IF(INDEX(Backlog!$M$2:$M$180,MATCH($D86,Backlog!$A$2:$A$180,0))="","",INDEX(Backlog!$M$2:$M$180,MATCH($D86,Backlog!$A$2:$A$180,0)))</x:f>
        <x:v>T-095; T-096; T-097</x:v>
      </x:c>
      <x:c r="J86" s="206" t="str">
        <x:f>IF(INDEX(Backlog!$T$2:$T$180,MATCH($D86,Backlog!$A$2:$A$180,0))="","",INDEX(Backlog!$T$2:$T$180,MATCH($D86,Backlog!$A$2:$A$180,0)))</x:f>
        <x:v>WAIT for Presentation RC freeze/tag + clean index/worktree. Then: T-060 M1 C6 surface + T-095 + T-096 + T-097.</x:v>
      </x:c>
      <x:c r="K86" s="206" t="str">
        <x:f>IF(INDEX(Backlog!$U$2:$U$180,MATCH($D86,Backlog!$A$2:$A$180,0))="","",INDEX(Backlog!$U$2:$U$180,MATCH($D86,Backlog!$A$2:$A$180,0)))</x:f>
        <x:v>Own named UI/admin task end-to-end only after producer APIs/security are committed.</x:v>
      </x:c>
      <x:c r="L86" s="206" t="str">
        <x:f>IF(INDEX(Backlog!$V$2:$V$180,MATCH($D86,Backlog!$A$2:$A$180,0))="","",INDEX(Backlog!$V$2:$V$180,MATCH($D86,Backlog!$A$2:$A$180,0)))</x:f>
        <x:v>Commit before downstream consumer starts; consumer must use the contract, not redesign producer-owned semantics.</x:v>
      </x:c>
      <x:c r="M86" s="194" t="str">
        <x:f>IF(INDEX(Backlog!$AO$2:$AO$180,MATCH($D86,Backlog!$A$2:$A$180,0))="","",INDEX(Backlog!$AO$2:$AO$180,MATCH($D86,Backlog!$A$2:$A$180,0)))</x:f>
        <x:v>Not started — no completion claimed</x:v>
      </x:c>
      <x:c r="N86" s="194" t="str">
        <x:f>IF(INDEX(Backlog!$AN$2:$AN$180,MATCH($D86,Backlog!$A$2:$A$180,0))="","",INDEX(Backlog!$AN$2:$AN$180,MATCH($D86,Backlog!$A$2:$A$180,0)))</x:f>
      </x:c>
    </x:row>
    <x:row r="87" ht="26" customHeight="1">
      <x:c r="A87" s="206" t="str">
        <x:f>IF(INDEX(Backlog!$L$2:$L$180,MATCH($D87,Backlog!$A$2:$A$180,0))="","",INDEX(Backlog!$L$2:$L$180,MATCH($D87,Backlog!$A$2:$A$180,0)))</x:f>
        <x:v>Worker 2</x:v>
      </x:c>
      <x:c r="B87" s="206" t="str">
        <x:f>IF(INDEX(Backlog!$B$2:$B$180,MATCH($D87,Backlog!$A$2:$A$180,0))="","",INDEX(Backlog!$B$2:$B$180,MATCH($D87,Backlog!$A$2:$A$180,0)))</x:f>
        <x:v>M2</x:v>
      </x:c>
      <x:c r="C87" s="206" t="str">
        <x:f>IF(INDEX(Backlog!$C$2:$C$180,MATCH($D87,Backlog!$A$2:$A$180,0))="","",INDEX(Backlog!$C$2:$C$180,MATCH($D87,Backlog!$A$2:$A$180,0)))</x:f>
        <x:v>P2</x:v>
      </x:c>
      <x:c r="D87" s="206" t="str">
        <x:v>T-101</x:v>
      </x:c>
      <x:c r="E87" s="206" t="str">
        <x:f>IF(INDEX(Backlog!$D$2:$D$180,MATCH($D87,Backlog!$A$2:$A$180,0))="","",INDEX(Backlog!$D$2:$D$180,MATCH($D87,Backlog!$A$2:$A$180,0)))</x:f>
        <x:v>Quarantine retry, reprocess and Mapping Health completion</x:v>
      </x:c>
      <x:c r="F87" s="206" t="str">
        <x:f>IF(INDEX(Backlog!$K$2:$K$180,MATCH($D87,Backlog!$A$2:$A$180,0))="","",INDEX(Backlog!$K$2:$K$180,MATCH($D87,Backlog!$A$2:$A$180,0)))</x:f>
        <x:v>Not Started</x:v>
      </x:c>
      <x:c r="G87" s="206" t="n">
        <x:f>IF(ISNUMBER(INDEX(Backlog!$J$2:$J$180,MATCH($D87,Backlog!$A$2:$A$180,0))),INDEX(Backlog!$J$2:$J$180,MATCH($D87,Backlog!$A$2:$A$180,0)),"")</x:f>
        <x:v>12</x:v>
      </x:c>
      <x:c r="H87" s="206" t="n">
        <x:f>IF(ISNUMBER(INDEX(Backlog!$R$2:$R$180,MATCH($D87,Backlog!$A$2:$A$180,0))),INDEX(Backlog!$R$2:$R$180,MATCH($D87,Backlog!$A$2:$A$180,0)),"")</x:f>
        <x:v>2</x:v>
      </x:c>
      <x:c r="I87" s="206" t="str">
        <x:f>IF(INDEX(Backlog!$M$2:$M$180,MATCH($D87,Backlog!$A$2:$A$180,0))="","",INDEX(Backlog!$M$2:$M$180,MATCH($D87,Backlog!$A$2:$A$180,0)))</x:f>
        <x:v>T-099; T-100</x:v>
      </x:c>
      <x:c r="J87" s="206" t="str">
        <x:f>IF(INDEX(Backlog!$T$2:$T$180,MATCH($D87,Backlog!$A$2:$A$180,0))="","",INDEX(Backlog!$T$2:$T$180,MATCH($D87,Backlog!$A$2:$A$180,0)))</x:f>
        <x:v>WAIT for Presentation RC freeze/tag + clean index/worktree. Then: T-061 final M1 API/page contract + T-099 + T-100 canonical quarantine impleme...</x:v>
      </x:c>
      <x:c r="K87" s="206" t="str">
        <x:f>IF(INDEX(Backlog!$U$2:$U$180,MATCH($D87,Backlog!$A$2:$A$180,0))="","",INDEX(Backlog!$U$2:$U$180,MATCH($D87,Backlog!$A$2:$A$180,0)))</x:f>
        <x:v>Own named UI/admin task end-to-end only after producer APIs/security are committed.</x:v>
      </x:c>
      <x:c r="L87" s="206" t="str">
        <x:f>IF(INDEX(Backlog!$V$2:$V$180,MATCH($D87,Backlog!$A$2:$A$180,0))="","",INDEX(Backlog!$V$2:$V$180,MATCH($D87,Backlog!$A$2:$A$180,0)))</x:f>
        <x:v>Commit before downstream consumer starts; consumer must use the contract, not redesign producer-owned semantics.</x:v>
      </x:c>
      <x:c r="M87" s="194" t="str">
        <x:f>IF(INDEX(Backlog!$AO$2:$AO$180,MATCH($D87,Backlog!$A$2:$A$180,0))="","",INDEX(Backlog!$AO$2:$AO$180,MATCH($D87,Backlog!$A$2:$A$180,0)))</x:f>
        <x:v>Not started — no completion claimed</x:v>
      </x:c>
      <x:c r="N87" s="194" t="str">
        <x:f>IF(INDEX(Backlog!$AN$2:$AN$180,MATCH($D87,Backlog!$A$2:$A$180,0))="","",INDEX(Backlog!$AN$2:$AN$180,MATCH($D87,Backlog!$A$2:$A$180,0)))</x:f>
      </x:c>
    </x:row>
    <x:row r="88" ht="26" customHeight="1">
      <x:c r="A88" s="206" t="str">
        <x:f>IF(INDEX(Backlog!$L$2:$L$180,MATCH($D88,Backlog!$A$2:$A$180,0))="","",INDEX(Backlog!$L$2:$L$180,MATCH($D88,Backlog!$A$2:$A$180,0)))</x:f>
        <x:v>Worker 2</x:v>
      </x:c>
      <x:c r="B88" s="206" t="str">
        <x:f>IF(INDEX(Backlog!$B$2:$B$180,MATCH($D88,Backlog!$A$2:$A$180,0))="","",INDEX(Backlog!$B$2:$B$180,MATCH($D88,Backlog!$A$2:$A$180,0)))</x:f>
        <x:v>M2</x:v>
      </x:c>
      <x:c r="C88" s="206" t="str">
        <x:f>IF(INDEX(Backlog!$C$2:$C$180,MATCH($D88,Backlog!$A$2:$A$180,0))="","",INDEX(Backlog!$C$2:$C$180,MATCH($D88,Backlog!$A$2:$A$180,0)))</x:f>
        <x:v>P2</x:v>
      </x:c>
      <x:c r="D88" s="206" t="str">
        <x:v>T-212</x:v>
      </x:c>
      <x:c r="E88" s="206" t="str">
        <x:f>IF(INDEX(Backlog!$D$2:$D$180,MATCH($D88,Backlog!$A$2:$A$180,0))="","",INDEX(Backlog!$D$2:$D$180,MATCH($D88,Backlog!$A$2:$A$180,0)))</x:f>
        <x:v>Integrate aggregation semantics into Layer-A widget/query execution</x:v>
      </x:c>
      <x:c r="F88" s="206" t="str">
        <x:f>IF(INDEX(Backlog!$K$2:$K$180,MATCH($D88,Backlog!$A$2:$A$180,0))="","",INDEX(Backlog!$K$2:$K$180,MATCH($D88,Backlog!$A$2:$A$180,0)))</x:f>
        <x:v>Not Started</x:v>
      </x:c>
      <x:c r="G88" s="206" t="n">
        <x:f>IF(ISNUMBER(INDEX(Backlog!$J$2:$J$180,MATCH($D88,Backlog!$A$2:$A$180,0))),INDEX(Backlog!$J$2:$J$180,MATCH($D88,Backlog!$A$2:$A$180,0)),"")</x:f>
        <x:v>10</x:v>
      </x:c>
      <x:c r="H88" s="206" t="n">
        <x:f>IF(ISNUMBER(INDEX(Backlog!$R$2:$R$180,MATCH($D88,Backlog!$A$2:$A$180,0))),INDEX(Backlog!$R$2:$R$180,MATCH($D88,Backlog!$A$2:$A$180,0)),"")</x:f>
        <x:v>5.142857142857143</x:v>
      </x:c>
      <x:c r="I88" s="206" t="str">
        <x:f>IF(INDEX(Backlog!$M$2:$M$180,MATCH($D88,Backlog!$A$2:$A$180,0))="","",INDEX(Backlog!$M$2:$M$180,MATCH($D88,Backlog!$A$2:$A$180,0)))</x:f>
        <x:v>T-202; T-210; T-211; T-092; T-234; T-235; T-236</x:v>
      </x:c>
      <x:c r="J88" s="206" t="str">
        <x:f>IF(INDEX(Backlog!$T$2:$T$180,MATCH($D88,Backlog!$A$2:$A$180,0))="","",INDEX(Backlog!$T$2:$T$180,MATCH($D88,Backlog!$A$2:$A$180,0)))</x:f>
        <x:v>T-202 + T-210/T-211 + T-092 + committed T-234/T-235/T-236.</x:v>
      </x:c>
      <x:c r="K88" s="206" t="str">
        <x:f>IF(INDEX(Backlog!$U$2:$U$180,MATCH($D88,Backlog!$A$2:$A$180,0))="","",INDEX(Backlog!$U$2:$U$180,MATCH($D88,Backlog!$A$2:$A$180,0)))</x:f>
        <x:v>Dashboard query service/executor + focused frontend state mapping.</x:v>
      </x:c>
      <x:c r="L88" s="206" t="str">
        <x:f>IF(INDEX(Backlog!$V$2:$V$180,MATCH($D88,Backlog!$A$2:$A$180,0))="","",INDEX(Backlog!$V$2:$V$180,MATCH($D88,Backlog!$A$2:$A$180,0)))</x:f>
        <x:v>Consumes W1 semantics and W3 kernel; no independent aggregation rules.</x:v>
      </x:c>
      <x:c r="M88" s="194" t="str">
        <x:f>IF(INDEX(Backlog!$AO$2:$AO$180,MATCH($D88,Backlog!$A$2:$A$180,0))="","",INDEX(Backlog!$AO$2:$AO$180,MATCH($D88,Backlog!$A$2:$A$180,0)))</x:f>
        <x:v>Not started — no completion claimed</x:v>
      </x:c>
      <x:c r="N88" s="194" t="str">
        <x:f>IF(INDEX(Backlog!$AN$2:$AN$180,MATCH($D88,Backlog!$A$2:$A$180,0))="","",INDEX(Backlog!$AN$2:$AN$180,MATCH($D88,Backlog!$A$2:$A$180,0)))</x:f>
      </x:c>
    </x:row>
    <x:row r="89" ht="26" customHeight="1">
      <x:c r="A89" s="206" t="str">
        <x:f>IF(INDEX(Backlog!$L$2:$L$180,MATCH($D89,Backlog!$A$2:$A$180,0))="","",INDEX(Backlog!$L$2:$L$180,MATCH($D89,Backlog!$A$2:$A$180,0)))</x:f>
        <x:v>Worker 2</x:v>
      </x:c>
      <x:c r="B89" s="206" t="str">
        <x:f>IF(INDEX(Backlog!$B$2:$B$180,MATCH($D89,Backlog!$A$2:$A$180,0))="","",INDEX(Backlog!$B$2:$B$180,MATCH($D89,Backlog!$A$2:$A$180,0)))</x:f>
        <x:v>M2</x:v>
      </x:c>
      <x:c r="C89" s="206" t="str">
        <x:f>IF(INDEX(Backlog!$C$2:$C$180,MATCH($D89,Backlog!$A$2:$A$180,0))="","",INDEX(Backlog!$C$2:$C$180,MATCH($D89,Backlog!$A$2:$A$180,0)))</x:f>
        <x:v>P2</x:v>
      </x:c>
      <x:c r="D89" s="206" t="str">
        <x:v>T-213</x:v>
      </x:c>
      <x:c r="E89" s="206" t="str">
        <x:f>IF(INDEX(Backlog!$D$2:$D$180,MATCH($D89,Backlog!$A$2:$A$180,0))="","",INDEX(Backlog!$D$2:$D$180,MATCH($D89,Backlog!$A$2:$A$180,0)))</x:f>
        <x:v>Customer Data Intake and Capability Assessment authority</x:v>
      </x:c>
      <x:c r="F89" s="206" t="str">
        <x:f>IF(INDEX(Backlog!$K$2:$K$180,MATCH($D89,Backlog!$A$2:$A$180,0))="","",INDEX(Backlog!$K$2:$K$180,MATCH($D89,Backlog!$A$2:$A$180,0)))</x:f>
        <x:v>Done</x:v>
      </x:c>
      <x:c r="G89" s="206" t="n">
        <x:f>IF(ISNUMBER(INDEX(Backlog!$J$2:$J$180,MATCH($D89,Backlog!$A$2:$A$180,0))),INDEX(Backlog!$J$2:$J$180,MATCH($D89,Backlog!$A$2:$A$180,0)),"")</x:f>
        <x:v>8</x:v>
      </x:c>
      <x:c r="H89" s="206" t="n">
        <x:f>IF(ISNUMBER(INDEX(Backlog!$R$2:$R$180,MATCH($D89,Backlog!$A$2:$A$180,0))),INDEX(Backlog!$R$2:$R$180,MATCH($D89,Backlog!$A$2:$A$180,0)),"")</x:f>
        <x:v>3.2</x:v>
      </x:c>
      <x:c r="I89" s="206" t="str">
        <x:f>IF(INDEX(Backlog!$M$2:$M$180,MATCH($D89,Backlog!$A$2:$A$180,0))="","",INDEX(Backlog!$M$2:$M$180,MATCH($D89,Backlog!$A$2:$A$180,0)))</x:f>
        <x:v>T-201; T-206</x:v>
      </x:c>
      <x:c r="J89" s="206" t="str">
        <x:f>IF(INDEX(Backlog!$T$2:$T$180,MATCH($D89,Backlog!$A$2:$A$180,0))="","",INDEX(Backlog!$T$2:$T$180,MATCH($D89,Backlog!$A$2:$A$180,0)))</x:f>
        <x:v>External gate: customer data structure received (expected 2-Sep-2026) + T-201/T-206 green.</x:v>
      </x:c>
      <x:c r="K89" s="206" t="str">
        <x:f>IF(INDEX(Backlog!$U$2:$U$180,MATCH($D89,Backlog!$A$2:$A$180,0))="","",INDEX(Backlog!$U$2:$U$180,MATCH($D89,Backlog!$A$2:$A$180,0)))</x:f>
        <x:v>Onboarding assessment service/report; no customer-specific schema code.</x:v>
      </x:c>
      <x:c r="L89" s="206" t="str">
        <x:f>IF(INDEX(Backlog!$V$2:$V$180,MATCH($D89,Backlog!$A$2:$A$180,0))="","",INDEX(Backlog!$V$2:$V$180,MATCH($D89,Backlog!$A$2:$A$180,0)))</x:f>
        <x:v>Mappings/definitions become canonical through existing authorities; report does not become a shadow registry.</x:v>
      </x:c>
      <x:c r="M89" s="194" t="str">
        <x:f>IF(INDEX(Backlog!$AO$2:$AO$180,MATCH($D89,Backlog!$A$2:$A$180,0))="","",INDEX(Backlog!$AO$2:$AO$180,MATCH($D89,Backlog!$A$2:$A$180,0)))</x:f>
        <x:v>Recorded closed — inherited evidence</x:v>
      </x:c>
      <x:c r="N89" s="194" t="str">
        <x:f>IF(INDEX(Backlog!$AN$2:$AN$180,MATCH($D89,Backlog!$A$2:$A$180,0))="","",INDEX(Backlog!$AN$2:$AN$180,MATCH($D89,Backlog!$A$2:$A$180,0)))</x:f>
      </x:c>
    </x:row>
    <x:row r="90" ht="26" customHeight="1">
      <x:c r="A90" s="206" t="str">
        <x:f>IF(INDEX(Backlog!$L$2:$L$180,MATCH($D90,Backlog!$A$2:$A$180,0))="","",INDEX(Backlog!$L$2:$L$180,MATCH($D90,Backlog!$A$2:$A$180,0)))</x:f>
        <x:v>Worker 2</x:v>
      </x:c>
      <x:c r="B90" s="206" t="str">
        <x:f>IF(INDEX(Backlog!$B$2:$B$180,MATCH($D90,Backlog!$A$2:$A$180,0))="","",INDEX(Backlog!$B$2:$B$180,MATCH($D90,Backlog!$A$2:$A$180,0)))</x:f>
        <x:v>M2</x:v>
      </x:c>
      <x:c r="C90" s="206" t="str">
        <x:f>IF(INDEX(Backlog!$C$2:$C$180,MATCH($D90,Backlog!$A$2:$A$180,0))="","",INDEX(Backlog!$C$2:$C$180,MATCH($D90,Backlog!$A$2:$A$180,0)))</x:f>
        <x:v>P2</x:v>
      </x:c>
      <x:c r="D90" s="206" t="str">
        <x:v>T-241</x:v>
      </x:c>
      <x:c r="E90" s="206" t="str">
        <x:f>IF(INDEX(Backlog!$D$2:$D$180,MATCH($D90,Backlog!$A$2:$A$180,0))="","",INDEX(Backlog!$D$2:$D$180,MATCH($D90,Backlog!$A$2:$A$180,0)))</x:f>
        <x:v>Canvas executable block contract, typed ports and graph validation</x:v>
      </x:c>
      <x:c r="F90" s="206" t="str">
        <x:f>IF(INDEX(Backlog!$K$2:$K$180,MATCH($D90,Backlog!$A$2:$A$180,0))="","",INDEX(Backlog!$K$2:$K$180,MATCH($D90,Backlog!$A$2:$A$180,0)))</x:f>
        <x:v>Done</x:v>
      </x:c>
      <x:c r="G90" s="206" t="n">
        <x:f>IF(ISNUMBER(INDEX(Backlog!$J$2:$J$180,MATCH($D90,Backlog!$A$2:$A$180,0))),INDEX(Backlog!$J$2:$J$180,MATCH($D90,Backlog!$A$2:$A$180,0)),"")</x:f>
        <x:v>10</x:v>
      </x:c>
      <x:c r="H90" s="206" t="str">
        <x:f>IF(ISNUMBER(INDEX(Backlog!$R$2:$R$180,MATCH($D90,Backlog!$A$2:$A$180,0))),INDEX(Backlog!$R$2:$R$180,MATCH($D90,Backlog!$A$2:$A$180,0)),"")</x:f>
      </x:c>
      <x:c r="I90" s="206" t="str">
        <x:f>IF(INDEX(Backlog!$M$2:$M$180,MATCH($D90,Backlog!$A$2:$A$180,0))="","",INDEX(Backlog!$M$2:$M$180,MATCH($D90,Backlog!$A$2:$A$180,0)))</x:f>
        <x:v>T-032; T-201</x:v>
      </x:c>
      <x:c r="J90" s="206" t="str">
        <x:f>IF(INDEX(Backlog!$T$2:$T$180,MATCH($D90,Backlog!$A$2:$A$180,0))="","",INDEX(Backlog!$T$2:$T$180,MATCH($D90,Backlog!$A$2:$A$180,0)))</x:f>
        <x:v>CLOSED — Release-1 Canvas prerequisite. Preserve evidence; do not reopen absent contradictory regression evidence.</x:v>
      </x:c>
      <x:c r="K90" s="206" t="str">
        <x:f>IF(INDEX(Backlog!$U$2:$U$180,MATCH($D90,Backlog!$A$2:$A$180,0))="","",INDEX(Backlog!$U$2:$U$180,MATCH($D90,Backlog!$A$2:$A$180,0)))</x:f>
        <x:v>Frontend shared authoring shell, canvas graph/ports only.</x:v>
      </x:c>
      <x:c r="L90" s="206" t="str">
        <x:f>IF(INDEX(Backlog!$V$2:$V$180,MATCH($D90,Backlog!$A$2:$A$180,0))="","",INDEX(Backlog!$V$2:$V$180,MATCH($D90,Backlog!$A$2:$A$180,0)))</x:f>
        <x:v>Reuse M1 SharedAuthoringShell and existing typed-port assets. No second canvas component.</x:v>
      </x:c>
      <x:c r="M90" s="194" t="str">
        <x:f>IF(INDEX(Backlog!$AO$2:$AO$180,MATCH($D90,Backlog!$A$2:$A$180,0))="","",INDEX(Backlog!$AO$2:$AO$180,MATCH($D90,Backlog!$A$2:$A$180,0)))</x:f>
        <x:v>Recorded closed — inherited evidence</x:v>
      </x:c>
      <x:c r="N90" s="194" t="str">
        <x:f>IF(INDEX(Backlog!$AN$2:$AN$180,MATCH($D90,Backlog!$A$2:$A$180,0))="","",INDEX(Backlog!$AN$2:$AN$180,MATCH($D90,Backlog!$A$2:$A$180,0)))</x:f>
      </x:c>
    </x:row>
    <x:row r="91" ht="26" customHeight="1">
      <x:c r="A91" s="206" t="str">
        <x:f>IF(INDEX(Backlog!$L$2:$L$180,MATCH($D91,Backlog!$A$2:$A$180,0))="","",INDEX(Backlog!$L$2:$L$180,MATCH($D91,Backlog!$A$2:$A$180,0)))</x:f>
        <x:v>Worker 2</x:v>
      </x:c>
      <x:c r="B91" s="206" t="str">
        <x:f>IF(INDEX(Backlog!$B$2:$B$180,MATCH($D91,Backlog!$A$2:$A$180,0))="","",INDEX(Backlog!$B$2:$B$180,MATCH($D91,Backlog!$A$2:$A$180,0)))</x:f>
        <x:v>M2</x:v>
      </x:c>
      <x:c r="C91" s="206" t="str">
        <x:f>IF(INDEX(Backlog!$C$2:$C$180,MATCH($D91,Backlog!$A$2:$A$180,0))="","",INDEX(Backlog!$C$2:$C$180,MATCH($D91,Backlog!$A$2:$A$180,0)))</x:f>
        <x:v>P2</x:v>
      </x:c>
      <x:c r="D91" s="206" t="str">
        <x:v>T-242</x:v>
      </x:c>
      <x:c r="E91" s="206" t="str">
        <x:f>IF(INDEX(Backlog!$D$2:$D$180,MATCH($D91,Backlog!$A$2:$A$180,0))="","",INDEX(Backlog!$D$2:$D$180,MATCH($D91,Backlog!$A$2:$A$180,0)))</x:f>
        <x:v>Canvas production block library: relational, arithmetic, logic, window and governed aggregate</x:v>
      </x:c>
      <x:c r="F91" s="206" t="str">
        <x:f>IF(INDEX(Backlog!$K$2:$K$180,MATCH($D91,Backlog!$A$2:$A$180,0))="","",INDEX(Backlog!$K$2:$K$180,MATCH($D91,Backlog!$A$2:$A$180,0)))</x:f>
        <x:v>Done</x:v>
      </x:c>
      <x:c r="G91" s="206" t="n">
        <x:f>IF(ISNUMBER(INDEX(Backlog!$J$2:$J$180,MATCH($D91,Backlog!$A$2:$A$180,0))),INDEX(Backlog!$J$2:$J$180,MATCH($D91,Backlog!$A$2:$A$180,0)),"")</x:f>
        <x:v>16</x:v>
      </x:c>
      <x:c r="H91" s="206" t="str">
        <x:f>IF(ISNUMBER(INDEX(Backlog!$R$2:$R$180,MATCH($D91,Backlog!$A$2:$A$180,0))),INDEX(Backlog!$R$2:$R$180,MATCH($D91,Backlog!$A$2:$A$180,0)),"")</x:f>
      </x:c>
      <x:c r="I91" s="206" t="str">
        <x:f>IF(INDEX(Backlog!$M$2:$M$180,MATCH($D91,Backlog!$A$2:$A$180,0))="","",INDEX(Backlog!$M$2:$M$180,MATCH($D91,Backlog!$A$2:$A$180,0)))</x:f>
        <x:v>T-241; T-210</x:v>
      </x:c>
      <x:c r="J91" s="206" t="str">
        <x:f>IF(INDEX(Backlog!$T$2:$T$180,MATCH($D91,Backlog!$A$2:$A$180,0))="","",INDEX(Backlog!$T$2:$T$180,MATCH($D91,Backlog!$A$2:$A$180,0)))</x:f>
        <x:v>Release 1 MUST — execute after T-241 and T-210; must close before T-243/T-247.</x:v>
      </x:c>
      <x:c r="K91" s="206" t="str">
        <x:f>IF(INDEX(Backlog!$U$2:$U$180,MATCH($D91,Backlog!$A$2:$A$180,0))="","",INDEX(Backlog!$U$2:$U$180,MATCH($D91,Backlog!$A$2:$A$180,0)))</x:f>
        <x:v>Canvas block registry and executable block nodes.</x:v>
      </x:c>
      <x:c r="L91" s="206" t="str">
        <x:f>IF(INDEX(Backlog!$V$2:$V$180,MATCH($D91,Backlog!$A$2:$A$180,0))="","",INDEX(Backlog!$V$2:$V$180,MATCH($D91,Backlog!$A$2:$A$180,0)))</x:f>
        <x:v>Do not duplicate analytics kernels; blocks call governed Layer-A/Layer-B contracts.</x:v>
      </x:c>
      <x:c r="M91" s="194" t="str">
        <x:f>IF(INDEX(Backlog!$AO$2:$AO$180,MATCH($D91,Backlog!$A$2:$A$180,0))="","",INDEX(Backlog!$AO$2:$AO$180,MATCH($D91,Backlog!$A$2:$A$180,0)))</x:f>
        <x:v>Recorded closed — inherited evidence</x:v>
      </x:c>
      <x:c r="N91" s="194" t="str">
        <x:f>IF(INDEX(Backlog!$AN$2:$AN$180,MATCH($D91,Backlog!$A$2:$A$180,0))="","",INDEX(Backlog!$AN$2:$AN$180,MATCH($D91,Backlog!$A$2:$A$180,0)))</x:f>
      </x:c>
    </x:row>
    <x:row r="92" ht="26" customHeight="1">
      <x:c r="A92" s="206" t="str">
        <x:f>IF(INDEX(Backlog!$L$2:$L$180,MATCH($D92,Backlog!$A$2:$A$180,0))="","",INDEX(Backlog!$L$2:$L$180,MATCH($D92,Backlog!$A$2:$A$180,0)))</x:f>
        <x:v>Worker 2</x:v>
      </x:c>
      <x:c r="B92" s="206" t="str">
        <x:f>IF(INDEX(Backlog!$B$2:$B$180,MATCH($D92,Backlog!$A$2:$A$180,0))="","",INDEX(Backlog!$B$2:$B$180,MATCH($D92,Backlog!$A$2:$A$180,0)))</x:f>
        <x:v>M2</x:v>
      </x:c>
      <x:c r="C92" s="206" t="str">
        <x:f>IF(INDEX(Backlog!$C$2:$C$180,MATCH($D92,Backlog!$A$2:$A$180,0))="","",INDEX(Backlog!$C$2:$C$180,MATCH($D92,Backlog!$A$2:$A$180,0)))</x:f>
        <x:v>P2</x:v>
      </x:c>
      <x:c r="D92" s="206" t="str">
        <x:v>T-243</x:v>
      </x:c>
      <x:c r="E92" s="206" t="str">
        <x:f>IF(INDEX(Backlog!$D$2:$D$180,MATCH($D92,Backlog!$A$2:$A$180,0))="","",INDEX(Backlog!$D$2:$D$180,MATCH($D92,Backlog!$A$2:$A$180,0)))</x:f>
        <x:v>Canvas persistence, immutable versioning and reopen/edit round-trip</x:v>
      </x:c>
      <x:c r="F92" s="206" t="str">
        <x:f>IF(INDEX(Backlog!$K$2:$K$180,MATCH($D92,Backlog!$A$2:$A$180,0))="","",INDEX(Backlog!$K$2:$K$180,MATCH($D92,Backlog!$A$2:$A$180,0)))</x:f>
        <x:v>In Progress</x:v>
      </x:c>
      <x:c r="G92" s="206" t="n">
        <x:f>IF(ISNUMBER(INDEX(Backlog!$J$2:$J$180,MATCH($D92,Backlog!$A$2:$A$180,0))),INDEX(Backlog!$J$2:$J$180,MATCH($D92,Backlog!$A$2:$A$180,0)),"")</x:f>
        <x:v>12</x:v>
      </x:c>
      <x:c r="H92" s="206" t="n">
        <x:f>IF(ISNUMBER(INDEX(Backlog!$R$2:$R$180,MATCH($D92,Backlog!$A$2:$A$180,0))),INDEX(Backlog!$R$2:$R$180,MATCH($D92,Backlog!$A$2:$A$180,0)),"")</x:f>
        <x:v>4.8</x:v>
      </x:c>
      <x:c r="I92" s="206" t="str">
        <x:f>IF(INDEX(Backlog!$M$2:$M$180,MATCH($D92,Backlog!$A$2:$A$180,0))="","",INDEX(Backlog!$M$2:$M$180,MATCH($D92,Backlog!$A$2:$A$180,0)))</x:f>
        <x:v>T-241; T-242; T-089; T-090; T-253</x:v>
      </x:c>
      <x:c r="J92" s="206" t="str">
        <x:f>IF(INDEX(Backlog!$T$2:$T$180,MATCH($D92,Backlog!$A$2:$A$180,0))="","",INDEX(Backlog!$T$2:$T$180,MATCH($D92,Backlog!$A$2:$A$180,0)))</x:f>
        <x:v>Consume accepted producer contracts; remaining dependencies: T-241; T-242; T-089; T-090; T-253. No private scheduler/definition authority. Source-present is not closure proof.</x:v>
      </x:c>
      <x:c r="K92" s="206" t="str">
        <x:f>IF(INDEX(Backlog!$U$2:$U$180,MATCH($D92,Backlog!$A$2:$A$180,0))="","",INDEX(Backlog!$U$2:$U$180,MATCH($D92,Backlog!$A$2:$A$180,0)))</x:f>
        <x:v>Frontend canvas persistence + definition-store client contracts.</x:v>
      </x:c>
      <x:c r="L92" s="206" t="str">
        <x:f>IF(INDEX(Backlog!$V$2:$V$180,MATCH($D92,Backlog!$A$2:$A$180,0))="","",INDEX(Backlog!$V$2:$V$180,MATCH($D92,Backlog!$A$2:$A$180,0)))</x:f>
        <x:v>No canvas-specific persistence schema.</x:v>
      </x:c>
      <x:c r="M92" s="194" t="str">
        <x:f>IF(INDEX(Backlog!$AO$2:$AO$180,MATCH($D92,Backlog!$A$2:$A$180,0))="","",INDEX(Backlog!$AO$2:$AO$180,MATCH($D92,Backlog!$A$2:$A$180,0)))</x:f>
        <x:v>In progress — closure not recorded</x:v>
      </x:c>
      <x:c r="N92" s="194" t="str">
        <x:f>IF(INDEX(Backlog!$AN$2:$AN$180,MATCH($D92,Backlog!$A$2:$A$180,0))="","",INDEX(Backlog!$AN$2:$AN$180,MATCH($D92,Backlog!$A$2:$A$180,0)))</x:f>
      </x:c>
    </x:row>
    <x:row r="93" ht="26" customHeight="1">
      <x:c r="A93" s="206" t="str">
        <x:f>IF(INDEX(Backlog!$L$2:$L$180,MATCH($D93,Backlog!$A$2:$A$180,0))="","",INDEX(Backlog!$L$2:$L$180,MATCH($D93,Backlog!$A$2:$A$180,0)))</x:f>
        <x:v>Worker 2</x:v>
      </x:c>
      <x:c r="B93" s="206" t="str">
        <x:f>IF(INDEX(Backlog!$B$2:$B$180,MATCH($D93,Backlog!$A$2:$A$180,0))="","",INDEX(Backlog!$B$2:$B$180,MATCH($D93,Backlog!$A$2:$A$180,0)))</x:f>
        <x:v>M2</x:v>
      </x:c>
      <x:c r="C93" s="206" t="str">
        <x:f>IF(INDEX(Backlog!$C$2:$C$180,MATCH($D93,Backlog!$A$2:$A$180,0))="","",INDEX(Backlog!$C$2:$C$180,MATCH($D93,Backlog!$A$2:$A$180,0)))</x:f>
        <x:v>P2</x:v>
      </x:c>
      <x:c r="D93" s="206" t="str">
        <x:v>T-244</x:v>
      </x:c>
      <x:c r="E93" s="206" t="str">
        <x:f>IF(INDEX(Backlog!$D$2:$D$180,MATCH($D93,Backlog!$A$2:$A$180,0))="","",INDEX(Backlog!$D$2:$D$180,MATCH($D93,Backlog!$A$2:$A$180,0)))</x:f>
        <x:v>SQL-mode production convergence: compile, validate, bounded dry-run and definition persistence</x:v>
      </x:c>
      <x:c r="F93" s="206" t="str">
        <x:f>IF(INDEX(Backlog!$K$2:$K$180,MATCH($D93,Backlog!$A$2:$A$180,0))="","",INDEX(Backlog!$K$2:$K$180,MATCH($D93,Backlog!$A$2:$A$180,0)))</x:f>
        <x:v>Done</x:v>
      </x:c>
      <x:c r="G93" s="206" t="n">
        <x:f>IF(ISNUMBER(INDEX(Backlog!$J$2:$J$180,MATCH($D93,Backlog!$A$2:$A$180,0))),INDEX(Backlog!$J$2:$J$180,MATCH($D93,Backlog!$A$2:$A$180,0)),"")</x:f>
        <x:v>14</x:v>
      </x:c>
      <x:c r="H93" s="206" t="str">
        <x:f>IF(ISNUMBER(INDEX(Backlog!$R$2:$R$180,MATCH($D93,Backlog!$A$2:$A$180,0))),INDEX(Backlog!$R$2:$R$180,MATCH($D93,Backlog!$A$2:$A$180,0)),"")</x:f>
      </x:c>
      <x:c r="I93" s="206" t="str">
        <x:f>IF(INDEX(Backlog!$M$2:$M$180,MATCH($D93,Backlog!$A$2:$A$180,0))="","",INDEX(Backlog!$M$2:$M$180,MATCH($D93,Backlog!$A$2:$A$180,0)))</x:f>
        <x:v>T-035; T-036; T-089; T-090</x:v>
      </x:c>
      <x:c r="J93" s="206" t="str">
        <x:f>IF(INDEX(Backlog!$T$2:$T$180,MATCH($D93,Backlog!$A$2:$A$180,0))="","",INDEX(Backlog!$T$2:$T$180,MATCH($D93,Backlog!$A$2:$A$180,0)))</x:f>
        <x:v>CLOSED — Release-1 Canvas prerequisite. Preserve evidence; do not reopen absent contradictory regression evidence.</x:v>
      </x:c>
      <x:c r="K93" s="206" t="str">
        <x:f>IF(INDEX(Backlog!$U$2:$U$180,MATCH($D93,Backlog!$A$2:$A$180,0))="","",INDEX(Backlog!$U$2:$U$180,MATCH($D93,Backlog!$A$2:$A$180,0)))</x:f>
        <x:v>SharedAuthoringShell SQL mode + canonical definition API.</x:v>
      </x:c>
      <x:c r="L93" s="206" t="str">
        <x:f>IF(INDEX(Backlog!$V$2:$V$180,MATCH($D93,Backlog!$A$2:$A$180,0))="","",INDEX(Backlog!$V$2:$V$180,MATCH($D93,Backlog!$A$2:$A$180,0)))</x:f>
        <x:v>Preserve SafeSqlValidator/editor behaviour and tests.</x:v>
      </x:c>
      <x:c r="M93" s="194" t="str">
        <x:f>IF(INDEX(Backlog!$AO$2:$AO$180,MATCH($D93,Backlog!$A$2:$A$180,0))="","",INDEX(Backlog!$AO$2:$AO$180,MATCH($D93,Backlog!$A$2:$A$180,0)))</x:f>
        <x:v>Recorded closed — inherited evidence</x:v>
      </x:c>
      <x:c r="N93" s="194" t="str">
        <x:f>IF(INDEX(Backlog!$AN$2:$AN$180,MATCH($D93,Backlog!$A$2:$A$180,0))="","",INDEX(Backlog!$AN$2:$AN$180,MATCH($D93,Backlog!$A$2:$A$180,0)))</x:f>
      </x:c>
    </x:row>
    <x:row r="94" ht="26" customHeight="1">
      <x:c r="A94" s="206" t="str">
        <x:f>IF(INDEX(Backlog!$L$2:$L$180,MATCH($D94,Backlog!$A$2:$A$180,0))="","",INDEX(Backlog!$L$2:$L$180,MATCH($D94,Backlog!$A$2:$A$180,0)))</x:f>
        <x:v>Worker 2</x:v>
      </x:c>
      <x:c r="B94" s="206" t="str">
        <x:f>IF(INDEX(Backlog!$B$2:$B$180,MATCH($D94,Backlog!$A$2:$A$180,0))="","",INDEX(Backlog!$B$2:$B$180,MATCH($D94,Backlog!$A$2:$A$180,0)))</x:f>
        <x:v>M2</x:v>
      </x:c>
      <x:c r="C94" s="206" t="str">
        <x:f>IF(INDEX(Backlog!$C$2:$C$180,MATCH($D94,Backlog!$A$2:$A$180,0))="","",INDEX(Backlog!$C$2:$C$180,MATCH($D94,Backlog!$A$2:$A$180,0)))</x:f>
        <x:v>P2</x:v>
      </x:c>
      <x:c r="D94" s="206" t="str">
        <x:v>T-245</x:v>
      </x:c>
      <x:c r="E94" s="206" t="str">
        <x:f>IF(INDEX(Backlog!$D$2:$D$180,MATCH($D94,Backlog!$A$2:$A$180,0))="","",INDEX(Backlog!$D$2:$D$180,MATCH($D94,Backlog!$A$2:$A$180,0)))</x:f>
        <x:v>Canvas-to-job compilation, binding, run monitor and per-block evidence</x:v>
      </x:c>
      <x:c r="F94" s="206" t="str">
        <x:f>IF(INDEX(Backlog!$K$2:$K$180,MATCH($D94,Backlog!$A$2:$A$180,0))="","",INDEX(Backlog!$K$2:$K$180,MATCH($D94,Backlog!$A$2:$A$180,0)))</x:f>
        <x:v>Not Started</x:v>
      </x:c>
      <x:c r="G94" s="206" t="n">
        <x:f>IF(ISNUMBER(INDEX(Backlog!$J$2:$J$180,MATCH($D94,Backlog!$A$2:$A$180,0))),INDEX(Backlog!$J$2:$J$180,MATCH($D94,Backlog!$A$2:$A$180,0)),"")</x:f>
        <x:v>12</x:v>
      </x:c>
      <x:c r="H94" s="206" t="n">
        <x:f>IF(ISNUMBER(INDEX(Backlog!$R$2:$R$180,MATCH($D94,Backlog!$A$2:$A$180,0))),INDEX(Backlog!$R$2:$R$180,MATCH($D94,Backlog!$A$2:$A$180,0)),"")</x:f>
        <x:v>5.1</x:v>
      </x:c>
      <x:c r="I94" s="206" t="str">
        <x:f>IF(INDEX(Backlog!$M$2:$M$180,MATCH($D94,Backlog!$A$2:$A$180,0))="","",INDEX(Backlog!$M$2:$M$180,MATCH($D94,Backlog!$A$2:$A$180,0)))</x:f>
        <x:v>T-243; T-244; T-106; T-261; T-262</x:v>
      </x:c>
      <x:c r="J94" s="206" t="str">
        <x:f>IF(INDEX(Backlog!$T$2:$T$180,MATCH($D94,Backlog!$A$2:$A$180,0))="","",INDEX(Backlog!$T$2:$T$180,MATCH($D94,Backlog!$A$2:$A$180,0)))</x:f>
        <x:v>Consume accepted producer contracts; remaining dependencies: T-243; T-244; T-106; T-261. No private scheduler/definition authority. Source-present is not closure proof.
v2.22.1 — Completion prerequisites are the task IDs in column M; contract-only predecessors, if any, are exclusively in column AN. Do not use the rejected v2.22.0 positional columns.</x:v>
      </x:c>
      <x:c r="K94" s="206" t="str">
        <x:f>IF(INDEX(Backlog!$U$2:$U$180,MATCH($D94,Backlog!$A$2:$A$180,0))="","",INDEX(Backlog!$U$2:$U$180,MATCH($D94,Backlog!$A$2:$A$180,0)))</x:f>
        <x:v>Canvas compiler/job binding + run monitor only.</x:v>
      </x:c>
      <x:c r="L94" s="206" t="str">
        <x:f>IF(INDEX(Backlog!$V$2:$V$180,MATCH($D94,Backlog!$A$2:$A$180,0))="","",INDEX(Backlog!$V$2:$V$180,MATCH($D94,Backlog!$A$2:$A$180,0)))</x:f>
        <x:v>T-106 remains job policy authority.</x:v>
      </x:c>
      <x:c r="M94" s="194" t="str">
        <x:f>IF(INDEX(Backlog!$AO$2:$AO$180,MATCH($D94,Backlog!$A$2:$A$180,0))="","",INDEX(Backlog!$AO$2:$AO$180,MATCH($D94,Backlog!$A$2:$A$180,0)))</x:f>
        <x:v>Not started — no completion claimed</x:v>
      </x:c>
      <x:c r="N94" s="194" t="str">
        <x:f>IF(INDEX(Backlog!$AN$2:$AN$180,MATCH($D94,Backlog!$A$2:$A$180,0))="","",INDEX(Backlog!$AN$2:$AN$180,MATCH($D94,Backlog!$A$2:$A$180,0)))</x:f>
      </x:c>
    </x:row>
    <x:row r="95" ht="26" customHeight="1">
      <x:c r="A95" s="206" t="str">
        <x:f>IF(INDEX(Backlog!$L$2:$L$180,MATCH($D95,Backlog!$A$2:$A$180,0))="","",INDEX(Backlog!$L$2:$L$180,MATCH($D95,Backlog!$A$2:$A$180,0)))</x:f>
        <x:v>Worker 2</x:v>
      </x:c>
      <x:c r="B95" s="206" t="str">
        <x:f>IF(INDEX(Backlog!$B$2:$B$180,MATCH($D95,Backlog!$A$2:$A$180,0))="","",INDEX(Backlog!$B$2:$B$180,MATCH($D95,Backlog!$A$2:$A$180,0)))</x:f>
        <x:v>M2</x:v>
      </x:c>
      <x:c r="C95" s="206" t="str">
        <x:f>IF(INDEX(Backlog!$C$2:$C$180,MATCH($D95,Backlog!$A$2:$A$180,0))="","",INDEX(Backlog!$C$2:$C$180,MATCH($D95,Backlog!$A$2:$A$180,0)))</x:f>
        <x:v>P2</x:v>
      </x:c>
      <x:c r="D95" s="206" t="str">
        <x:v>T-247</x:v>
      </x:c>
      <x:c r="E95" s="206" t="str">
        <x:f>IF(INDEX(Backlog!$D$2:$D$180,MATCH($D95,Backlog!$A$2:$A$180,0))="","",INDEX(Backlog!$D$2:$D$180,MATCH($D95,Backlog!$A$2:$A$180,0)))</x:f>
        <x:v>First-customer Day-1 Golden Journey and same-binary onboarding proof</x:v>
      </x:c>
      <x:c r="F95" s="206" t="str">
        <x:f>IF(INDEX(Backlog!$K$2:$K$180,MATCH($D95,Backlog!$A$2:$A$180,0))="","",INDEX(Backlog!$K$2:$K$180,MATCH($D95,Backlog!$A$2:$A$180,0)))</x:f>
        <x:v>Not Started</x:v>
      </x:c>
      <x:c r="G95" s="206" t="n">
        <x:f>IF(ISNUMBER(INDEX(Backlog!$J$2:$J$180,MATCH($D95,Backlog!$A$2:$A$180,0))),INDEX(Backlog!$J$2:$J$180,MATCH($D95,Backlog!$A$2:$A$180,0)),"")</x:f>
        <x:v>12</x:v>
      </x:c>
      <x:c r="H95" s="206" t="n">
        <x:f>IF(ISNUMBER(INDEX(Backlog!$R$2:$R$180,MATCH($D95,Backlog!$A$2:$A$180,0))),INDEX(Backlog!$R$2:$R$180,MATCH($D95,Backlog!$A$2:$A$180,0)),"")</x:f>
        <x:v>5.1</x:v>
      </x:c>
      <x:c r="I95" s="206" t="str">
        <x:f>IF(INDEX(Backlog!$M$2:$M$180,MATCH($D95,Backlog!$A$2:$A$180,0))="","",INDEX(Backlog!$M$2:$M$180,MATCH($D95,Backlog!$A$2:$A$180,0)))</x:f>
        <x:v>T-092; T-207; T-212; T-213; T-241; T-242; T-243; T-244; T-245; T-253; T-254; T-256; T-258; T-104; T-108; T-211; T-235; T-262; T-125; T-265; T-266</x:v>
      </x:c>
      <x:c r="J95" s="206" t="str">
        <x:f>IF(INDEX(Backlog!$T$2:$T$180,MATCH($D95,Backlog!$A$2:$A$180,0))="","",INDEX(Backlog!$T$2:$T$180,MATCH($D95,Backlog!$A$2:$A$180,0)))</x:f>
        <x:v>T-213 complete + T-092 green.
v2.22.1 — Completion prerequisites are the task IDs in column M; contract-only predecessors, if any, are exclusively in column AN. Do not use the rejected v2.22.0 positional columns.</x:v>
      </x:c>
      <x:c r="K95" s="206" t="str">
        <x:f>IF(INDEX(Backlog!$U$2:$U$180,MATCH($D95,Backlog!$A$2:$A$180,0))="","",INDEX(Backlog!$U$2:$U$180,MATCH($D95,Backlog!$A$2:$A$180,0)))</x:f>
        <x:v>Configuration/mapping/registry definitions and customer-shaped demo profile; no product source files unless a generic defect is found.</x:v>
      </x:c>
      <x:c r="L95" s="206" t="str">
        <x:f>IF(INDEX(Backlog!$V$2:$V$180,MATCH($D95,Backlog!$A$2:$A$180,0))="","",INDEX(Backlog!$V$2:$V$180,MATCH($D95,Backlog!$A$2:$A$180,0)))</x:f>
        <x:v>If onboarding requires C#/TypeScript/product-SQL changes, stop and raise a generic product gap; do not patch around it.</x:v>
      </x:c>
      <x:c r="M95" s="194" t="str">
        <x:f>IF(INDEX(Backlog!$AO$2:$AO$180,MATCH($D95,Backlog!$A$2:$A$180,0))="","",INDEX(Backlog!$AO$2:$AO$180,MATCH($D95,Backlog!$A$2:$A$180,0)))</x:f>
        <x:v>Not started — no completion claimed</x:v>
      </x:c>
      <x:c r="N95" s="194" t="str">
        <x:f>IF(INDEX(Backlog!$AN$2:$AN$180,MATCH($D95,Backlog!$A$2:$A$180,0))="","",INDEX(Backlog!$AN$2:$AN$180,MATCH($D95,Backlog!$A$2:$A$180,0)))</x:f>
      </x:c>
    </x:row>
    <x:row r="96" ht="26" customHeight="1">
      <x:c r="A96" s="206" t="str">
        <x:f>IF(INDEX(Backlog!$L$2:$L$180,MATCH($D96,Backlog!$A$2:$A$180,0))="","",INDEX(Backlog!$L$2:$L$180,MATCH($D96,Backlog!$A$2:$A$180,0)))</x:f>
        <x:v>Worker 2</x:v>
      </x:c>
      <x:c r="B96" s="206" t="str">
        <x:f>IF(INDEX(Backlog!$B$2:$B$180,MATCH($D96,Backlog!$A$2:$A$180,0))="","",INDEX(Backlog!$B$2:$B$180,MATCH($D96,Backlog!$A$2:$A$180,0)))</x:f>
        <x:v>M2</x:v>
      </x:c>
      <x:c r="C96" s="206" t="str">
        <x:f>IF(INDEX(Backlog!$C$2:$C$180,MATCH($D96,Backlog!$A$2:$A$180,0))="","",INDEX(Backlog!$C$2:$C$180,MATCH($D96,Backlog!$A$2:$A$180,0)))</x:f>
        <x:v>P2</x:v>
      </x:c>
      <x:c r="D96" s="206" t="str">
        <x:v>T-253</x:v>
      </x:c>
      <x:c r="E96" s="206" t="str">
        <x:f>IF(INDEX(Backlog!$D$2:$D$180,MATCH($D96,Backlog!$A$2:$A$180,0))="","",INDEX(Backlog!$D$2:$D$180,MATCH($D96,Backlog!$A$2:$A$180,0)))</x:f>
        <x:v>Shared authoring governed output-target canonical-content contract</x:v>
      </x:c>
      <x:c r="F96" s="206" t="str">
        <x:f>IF(INDEX(Backlog!$K$2:$K$180,MATCH($D96,Backlog!$A$2:$A$180,0))="","",INDEX(Backlog!$K$2:$K$180,MATCH($D96,Backlog!$A$2:$A$180,0)))</x:f>
        <x:v>Done</x:v>
      </x:c>
      <x:c r="G96" s="206" t="n">
        <x:f>IF(ISNUMBER(INDEX(Backlog!$J$2:$J$180,MATCH($D96,Backlog!$A$2:$A$180,0))),INDEX(Backlog!$J$2:$J$180,MATCH($D96,Backlog!$A$2:$A$180,0)),"")</x:f>
        <x:v>12</x:v>
      </x:c>
      <x:c r="H96" s="206" t="n">
        <x:f>IF(ISNUMBER(INDEX(Backlog!$R$2:$R$180,MATCH($D96,Backlog!$A$2:$A$180,0))),INDEX(Backlog!$R$2:$R$180,MATCH($D96,Backlog!$A$2:$A$180,0)),"")</x:f>
        <x:v>4.8</x:v>
      </x:c>
      <x:c r="I96" s="206" t="str">
        <x:f>IF(INDEX(Backlog!$M$2:$M$180,MATCH($D96,Backlog!$A$2:$A$180,0))="","",INDEX(Backlog!$M$2:$M$180,MATCH($D96,Backlog!$A$2:$A$180,0)))</x:f>
        <x:v>T-094; T-209; T-241; T-244</x:v>
      </x:c>
      <x:c r="J96" s="206" t="str">
        <x:f>IF(INDEX(Backlog!$T$2:$T$180,MATCH($D96,Backlog!$A$2:$A$180,0))="","",INDEX(Backlog!$T$2:$T$180,MATCH($D96,Backlog!$A$2:$A$180,0)))</x:f>
        <x:v>CURRENT / IN PROGRESS. Measured current main HEAD is `aa57a503` (T-242) and there is zero T-243 product-source work. T-243 is therefore reset to Not Started and will begin fresh after T-253. Before authoring, run `git merge-base --is-ancestor 4d32c6b10b4605aeb6e0705ad03537d563125652 HEAD`; continue only on exit 0. Unrelated Documentation/audit dirt may remain unstaged, but all T-253 owned product paths must be clean and the commit must stage only owned paths. Rename the untracked task-number preflight script to a semantic filename before any commit.</x:v>
      </x:c>
      <x:c r="K96" s="206" t="str">
        <x:f>IF(INDEX(Backlog!$U$2:$U$180,MATCH($D96,Backlog!$A$2:$A$180,0))="","",INDEX(Backlog!$U$2:$U$180,MATCH($D96,Backlog!$A$2:$A$180,0)))</x:f>
        <x:v>Owned T-253 surfaces only: Frontend shared authoring shell + canvas API adapter + focused authoring tests; Backend CanvasDefinitionContent / Canvas lifecycle contracts+implementation/response path; ICanonicalEntityCatalog interface+implementation; the semantic `ICanonicalProjectionTarget` marker interface and the minimum existing canonical entity declarations needed to mark current legitimate targets; existing AuthoringSupport read endpoint group; focused backend/architecture tests. No DB topology/migrations, no MappingDefinitionService.AllowedTargetEntities edit, no Analysis Subject redesign, no Job runtime, no chart/page styling.</x:v>
      </x:c>
      <x:c r="L96" s="206" t="str">
        <x:f>IF(INDEX(Backlog!$V$2:$V$180,MATCH($D96,Backlog!$A$2:$A$180,0))="","",INDEX(Backlog!$V$2:$V$180,MATCH($D96,Backlog!$A$2:$A$180,0)))</x:f>
        <x:v>Canonical outputTarget namespace is canonical entity name, but picker eligibility is a separate explicit model-sourced capability. Root outputTarget is hashed representation-independent authority; graph.targetEntity is compatibility data and must agree on new writes. Do not expose all mapped entities and do not use schema as the sole eligibility predicate. T-243 consumes this contract; T-256 later removes the old MappingDefinitionService string allowlist by consuming the same capability.</x:v>
      </x:c>
      <x:c r="M96" s="194" t="str">
        <x:f>IF(INDEX(Backlog!$AO$2:$AO$180,MATCH($D96,Backlog!$A$2:$A$180,0))="","",INDEX(Backlog!$AO$2:$AO$180,MATCH($D96,Backlog!$A$2:$A$180,0)))</x:f>
        <x:v>Recorded closed — inherited evidence</x:v>
      </x:c>
      <x:c r="N96" s="194" t="str">
        <x:f>IF(INDEX(Backlog!$AN$2:$AN$180,MATCH($D96,Backlog!$A$2:$A$180,0))="","",INDEX(Backlog!$AN$2:$AN$180,MATCH($D96,Backlog!$A$2:$A$180,0)))</x:f>
      </x:c>
    </x:row>
    <x:row r="97" ht="26" customHeight="1">
      <x:c r="A97" s="206" t="str">
        <x:f>IF(INDEX(Backlog!$L$2:$L$180,MATCH($D97,Backlog!$A$2:$A$180,0))="","",INDEX(Backlog!$L$2:$L$180,MATCH($D97,Backlog!$A$2:$A$180,0)))</x:f>
        <x:v>Worker 2</x:v>
      </x:c>
      <x:c r="B97" s="206" t="str">
        <x:f>IF(INDEX(Backlog!$B$2:$B$180,MATCH($D97,Backlog!$A$2:$A$180,0))="","",INDEX(Backlog!$B$2:$B$180,MATCH($D97,Backlog!$A$2:$A$180,0)))</x:f>
        <x:v>M2</x:v>
      </x:c>
      <x:c r="C97" s="206" t="str">
        <x:f>IF(INDEX(Backlog!$C$2:$C$180,MATCH($D97,Backlog!$A$2:$A$180,0))="","",INDEX(Backlog!$C$2:$C$180,MATCH($D97,Backlog!$A$2:$A$180,0)))</x:f>
        <x:v>P2</x:v>
      </x:c>
      <x:c r="D97" s="206" t="str">
        <x:v>T-254</x:v>
      </x:c>
      <x:c r="E97" s="206" t="str">
        <x:f>IF(INDEX(Backlog!$D$2:$D$180,MATCH($D97,Backlog!$A$2:$A$180,0))="","",INDEX(Backlog!$D$2:$D$180,MATCH($D97,Backlog!$A$2:$A$180,0)))</x:f>
        <x:v>Customer-facing connector capability truth convergence</x:v>
      </x:c>
      <x:c r="F97" s="206" t="str">
        <x:f>IF(INDEX(Backlog!$K$2:$K$180,MATCH($D97,Backlog!$A$2:$A$180,0))="","",INDEX(Backlog!$K$2:$K$180,MATCH($D97,Backlog!$A$2:$A$180,0)))</x:f>
        <x:v>Not Started</x:v>
      </x:c>
      <x:c r="G97" s="206" t="n">
        <x:f>IF(ISNUMBER(INDEX(Backlog!$J$2:$J$180,MATCH($D97,Backlog!$A$2:$A$180,0))),INDEX(Backlog!$J$2:$J$180,MATCH($D97,Backlog!$A$2:$A$180,0)),"")</x:f>
        <x:v>6</x:v>
      </x:c>
      <x:c r="H97" s="206" t="n">
        <x:f>IF(ISNUMBER(INDEX(Backlog!$R$2:$R$180,MATCH($D97,Backlog!$A$2:$A$180,0))),INDEX(Backlog!$R$2:$R$180,MATCH($D97,Backlog!$A$2:$A$180,0)),"")</x:f>
        <x:v>2.55</x:v>
      </x:c>
      <x:c r="I97" s="206" t="str">
        <x:f>IF(INDEX(Backlog!$M$2:$M$180,MATCH($D97,Backlog!$A$2:$A$180,0))="","",INDEX(Backlog!$M$2:$M$180,MATCH($D97,Backlog!$A$2:$A$180,0)))</x:f>
        <x:v>T-207</x:v>
      </x:c>
      <x:c r="J97" s="206" t="str">
        <x:f>IF(INDEX(Backlog!$T$2:$T$180,MATCH($D97,Backlog!$A$2:$A$180,0))="","",INDEX(Backlog!$T$2:$T$180,MATCH($D97,Backlog!$A$2:$A$180,0)))</x:f>
        <x:v>Start after T-253/T-243 checkpoint or while waiting for T-106, on disjoint DB-configuration/website truth files.</x:v>
      </x:c>
      <x:c r="K97" s="206" t="str">
        <x:f>IF(INDEX(Backlog!$U$2:$U$180,MATCH($D97,Backlog!$A$2:$A$180,0))="","",INDEX(Backlog!$U$2:$U$180,MATCH($D97,Backlog!$A$2:$A$180,0)))</x:f>
        <x:v>Frontend DB configuration capability rendering + generated website proof adapter/content only. No connector protocol implementation.</x:v>
      </x:c>
      <x:c r="L97" s="206" t="str">
        <x:f>IF(INDEX(Backlog!$V$2:$V$180,MATCH($D97,Backlog!$A$2:$A$180,0))="","",INDEX(Backlog!$V$2:$V$180,MATCH($D97,Backlog!$A$2:$A$180,0)))</x:f>
        <x:v>T-153 later changes certification state by executed real-source evidence; UI/website consume the same truth automatically.</x:v>
      </x:c>
      <x:c r="M97" s="194" t="str">
        <x:f>IF(INDEX(Backlog!$AO$2:$AO$180,MATCH($D97,Backlog!$A$2:$A$180,0))="","",INDEX(Backlog!$AO$2:$AO$180,MATCH($D97,Backlog!$A$2:$A$180,0)))</x:f>
        <x:v>Not started — no completion claimed</x:v>
      </x:c>
      <x:c r="N97" s="194" t="str">
        <x:f>IF(INDEX(Backlog!$AN$2:$AN$180,MATCH($D97,Backlog!$A$2:$A$180,0))="","",INDEX(Backlog!$AN$2:$AN$180,MATCH($D97,Backlog!$A$2:$A$180,0)))</x:f>
      </x:c>
    </x:row>
    <x:row r="98" ht="26" customHeight="1">
      <x:c r="A98" s="206" t="str">
        <x:f>IF(INDEX(Backlog!$L$2:$L$180,MATCH($D98,Backlog!$A$2:$A$180,0))="","",INDEX(Backlog!$L$2:$L$180,MATCH($D98,Backlog!$A$2:$A$180,0)))</x:f>
        <x:v>Worker 2</x:v>
      </x:c>
      <x:c r="B98" s="206" t="str">
        <x:f>IF(INDEX(Backlog!$B$2:$B$180,MATCH($D98,Backlog!$A$2:$A$180,0))="","",INDEX(Backlog!$B$2:$B$180,MATCH($D98,Backlog!$A$2:$A$180,0)))</x:f>
        <x:v>M2</x:v>
      </x:c>
      <x:c r="C98" s="206" t="str">
        <x:f>IF(INDEX(Backlog!$C$2:$C$180,MATCH($D98,Backlog!$A$2:$A$180,0))="","",INDEX(Backlog!$C$2:$C$180,MATCH($D98,Backlog!$A$2:$A$180,0)))</x:f>
        <x:v>P2</x:v>
      </x:c>
      <x:c r="D98" s="206" t="str">
        <x:v>T-261</x:v>
      </x:c>
      <x:c r="E98" s="206" t="str">
        <x:f>IF(INDEX(Backlog!$D$2:$D$180,MATCH($D98,Backlog!$A$2:$A$180,0))="","",INDEX(Backlog!$D$2:$D$180,MATCH($D98,Backlog!$A$2:$A$180,0)))</x:f>
        <x:v>Governed Transformation/Projection job executor and per-block runtime evidence seam</x:v>
      </x:c>
      <x:c r="F98" s="206" t="str">
        <x:f>IF(INDEX(Backlog!$K$2:$K$180,MATCH($D98,Backlog!$A$2:$A$180,0))="","",INDEX(Backlog!$K$2:$K$180,MATCH($D98,Backlog!$A$2:$A$180,0)))</x:f>
        <x:v>In Progress</x:v>
      </x:c>
      <x:c r="G98" s="206" t="n">
        <x:f>IF(ISNUMBER(INDEX(Backlog!$J$2:$J$180,MATCH($D98,Backlog!$A$2:$A$180,0))),INDEX(Backlog!$J$2:$J$180,MATCH($D98,Backlog!$A$2:$A$180,0)),"")</x:f>
        <x:v>12</x:v>
      </x:c>
      <x:c r="H98" s="206" t="n">
        <x:f>IF(ISNUMBER(INDEX(Backlog!$R$2:$R$180,MATCH($D98,Backlog!$A$2:$A$180,0))),INDEX(Backlog!$R$2:$R$180,MATCH($D98,Backlog!$A$2:$A$180,0)),"")</x:f>
        <x:v>5.1</x:v>
      </x:c>
      <x:c r="I98" s="206" t="str">
        <x:f>IF(INDEX(Backlog!$M$2:$M$180,MATCH($D98,Backlog!$A$2:$A$180,0))="","",INDEX(Backlog!$M$2:$M$180,MATCH($D98,Backlog!$A$2:$A$180,0)))</x:f>
        <x:v>T-106; T-241; T-242; T-243; T-099; T-262</x:v>
      </x:c>
      <x:c r="J98" s="206" t="str">
        <x:f>IF(INDEX(Backlog!$T$2:$T$180,MATCH($D98,Backlog!$A$2:$A$180,0))="","",INDEX(Backlog!$T$2:$T$180,MATCH($D98,Backlog!$A$2:$A$180,0)))</x:f>
        <x:v>Consume accepted producer contracts; remaining dependencies: T-106; T-241; T-242; T-243; T-099; T-262. No private scheduler/definition authority. Source-present is not closure proof.
v2.22.1 — Completion prerequisites are the task IDs in column M; contract-only predecessors, if any, are exclusively in column AN. Do not use the rejected v2.22.0 positional columns.</x:v>
      </x:c>
      <x:c r="K98" s="206" t="str">
        <x:f>IF(INDEX(Backlog!$U$2:$U$180,MATCH($D98,Backlog!$A$2:$A$180,0))="","",INDEX(Backlog!$U$2:$U$180,MATCH($D98,Backlog!$A$2:$A$180,0)))</x:f>
        <x:v>Own the governed Transformation/Projection executor, job-runtime adapter/evidence seam and targeted tests. Do not redesign Canvas authoring, T-106 capability authority, scheduling, definition lifecycle or frontend UX.</x:v>
      </x:c>
      <x:c r="L98" s="206" t="str">
        <x:f>IF(INDEX(Backlog!$V$2:$V$180,MATCH($D98,Backlog!$A$2:$A$180,0))="","",INDEX(Backlog!$V$2:$V$180,MATCH($D98,Backlog!$A$2:$A$180,0)))</x:f>
        <x:v>T-245 consumes the committed executor. Stable board.nodes[].id remains canonical block identity; T-106 remains the job capability/target/version authority.</x:v>
      </x:c>
      <x:c r="M98" s="194" t="str">
        <x:f>IF(INDEX(Backlog!$AO$2:$AO$180,MATCH($D98,Backlog!$A$2:$A$180,0))="","",INDEX(Backlog!$AO$2:$AO$180,MATCH($D98,Backlog!$A$2:$A$180,0)))</x:f>
        <x:v>In progress — closure not recorded</x:v>
      </x:c>
      <x:c r="N98" s="194" t="str">
        <x:f>IF(INDEX(Backlog!$AN$2:$AN$180,MATCH($D98,Backlog!$A$2:$A$180,0))="","",INDEX(Backlog!$AN$2:$AN$180,MATCH($D98,Backlog!$A$2:$A$180,0)))</x:f>
      </x:c>
    </x:row>
    <x:row r="99" ht="26" customHeight="1">
      <x:c r="A99" s="206" t="str">
        <x:f>IF(INDEX(Backlog!$L$2:$L$180,MATCH($D99,Backlog!$A$2:$A$180,0))="","",INDEX(Backlog!$L$2:$L$180,MATCH($D99,Backlog!$A$2:$A$180,0)))</x:f>
        <x:v>Worker 2</x:v>
      </x:c>
      <x:c r="B99" s="206" t="str">
        <x:f>IF(INDEX(Backlog!$B$2:$B$180,MATCH($D99,Backlog!$A$2:$A$180,0))="","",INDEX(Backlog!$B$2:$B$180,MATCH($D99,Backlog!$A$2:$A$180,0)))</x:f>
        <x:v>M2</x:v>
      </x:c>
      <x:c r="C99" s="206" t="str">
        <x:f>IF(INDEX(Backlog!$C$2:$C$180,MATCH($D99,Backlog!$A$2:$A$180,0))="","",INDEX(Backlog!$C$2:$C$180,MATCH($D99,Backlog!$A$2:$A$180,0)))</x:f>
        <x:v>P2</x:v>
      </x:c>
      <x:c r="D99" s="206" t="str">
        <x:v>T-262</x:v>
      </x:c>
      <x:c r="E99" s="206" t="str">
        <x:f>IF(INDEX(Backlog!$D$2:$D$180,MATCH($D99,Backlog!$A$2:$A$180,0))="","",INDEX(Backlog!$D$2:$D$180,MATCH($D99,Backlog!$A$2:$A$180,0)))</x:f>
        <x:v>Governed projection declaration and canonical field-binding contract</x:v>
      </x:c>
      <x:c r="F99" s="206" t="str">
        <x:f>IF(INDEX(Backlog!$K$2:$K$180,MATCH($D99,Backlog!$A$2:$A$180,0))="","",INDEX(Backlog!$K$2:$K$180,MATCH($D99,Backlog!$A$2:$A$180,0)))</x:f>
        <x:v>In Progress</x:v>
      </x:c>
      <x:c r="G99" s="206" t="str">
        <x:f>IF(ISNUMBER(INDEX(Backlog!$J$2:$J$180,MATCH($D99,Backlog!$A$2:$A$180,0))),INDEX(Backlog!$J$2:$J$180,MATCH($D99,Backlog!$A$2:$A$180,0)),"")</x:f>
      </x:c>
      <x:c r="H99" s="206" t="str">
        <x:f>IF(ISNUMBER(INDEX(Backlog!$R$2:$R$180,MATCH($D99,Backlog!$A$2:$A$180,0))),INDEX(Backlog!$R$2:$R$180,MATCH($D99,Backlog!$A$2:$A$180,0)),"")</x:f>
      </x:c>
      <x:c r="I99" s="206" t="str">
        <x:f>IF(INDEX(Backlog!$M$2:$M$180,MATCH($D99,Backlog!$A$2:$A$180,0))="","",INDEX(Backlog!$M$2:$M$180,MATCH($D99,Backlog!$A$2:$A$180,0)))</x:f>
        <x:v>T-253; T-243</x:v>
      </x:c>
      <x:c r="J99" s="206" t="str">
        <x:f>IF(INDEX(Backlog!$T$2:$T$180,MATCH($D99,Backlog!$A$2:$A$180,0))="","",INDEX(Backlog!$T$2:$T$180,MATCH($D99,Backlog!$A$2:$A$180,0)))</x:f>
        <x:v>Consume accepted producer contracts; remaining dependencies: T-253; T-243. No private scheduler/definition authority. Source-present is not closure proof.
v2.22.1 — Completion prerequisites are the task IDs in column M; contract-only predecessors, if any, are exclusively in column AN. Do not use the rejected v2.22.0 positional columns.</x:v>
      </x:c>
      <x:c r="K99" s="206" t="str">
        <x:f>IF(INDEX(Backlog!$U$2:$U$180,MATCH($D99,Backlog!$A$2:$A$180,0))="","",INDEX(Backlog!$U$2:$U$180,MATCH($D99,Backlog!$A$2:$A$180,0)))</x:f>
        <x:v>Semantic product filenames only. CENTRAL assigns shared file locks before overlapping worker writes.</x:v>
      </x:c>
      <x:c r="L99" s="206" t="str">
        <x:f>IF(INDEX(Backlog!$V$2:$V$180,MATCH($D99,Backlog!$A$2:$A$180,0))="","",INDEX(Backlog!$V$2:$V$180,MATCH($D99,Backlog!$A$2:$A$180,0)))</x:f>
        <x:v>Reuse current canonical authorities; no shadow lifecycle/registry/scheduler.</x:v>
      </x:c>
      <x:c r="M99" s="194" t="str">
        <x:f>IF(INDEX(Backlog!$AO$2:$AO$180,MATCH($D99,Backlog!$A$2:$A$180,0))="","",INDEX(Backlog!$AO$2:$AO$180,MATCH($D99,Backlog!$A$2:$A$180,0)))</x:f>
        <x:v>SOURCE PRESENT / UNCLOSED — closure unverified</x:v>
      </x:c>
      <x:c r="N99" s="194" t="str">
        <x:f>IF(INDEX(Backlog!$AN$2:$AN$180,MATCH($D99,Backlog!$A$2:$A$180,0))="","",INDEX(Backlog!$AN$2:$AN$180,MATCH($D99,Backlog!$A$2:$A$180,0)))</x:f>
      </x:c>
    </x:row>
    <x:row r="100" ht="26" customHeight="1">
      <x:c r="A100" s="206" t="str">
        <x:f>IF(INDEX(Backlog!$L$2:$L$180,MATCH($D100,Backlog!$A$2:$A$180,0))="","",INDEX(Backlog!$L$2:$L$180,MATCH($D100,Backlog!$A$2:$A$180,0)))</x:f>
        <x:v>Worker 2</x:v>
      </x:c>
      <x:c r="B100" s="206" t="str">
        <x:f>IF(INDEX(Backlog!$B$2:$B$180,MATCH($D100,Backlog!$A$2:$A$180,0))="","",INDEX(Backlog!$B$2:$B$180,MATCH($D100,Backlog!$A$2:$A$180,0)))</x:f>
        <x:v>M2</x:v>
      </x:c>
      <x:c r="C100" s="206" t="str">
        <x:f>IF(INDEX(Backlog!$C$2:$C$180,MATCH($D100,Backlog!$A$2:$A$180,0))="","",INDEX(Backlog!$C$2:$C$180,MATCH($D100,Backlog!$A$2:$A$180,0)))</x:f>
        <x:v>P2</x:v>
      </x:c>
      <x:c r="D100" s="206" t="str">
        <x:v>T-266</x:v>
      </x:c>
      <x:c r="E100" s="206" t="str">
        <x:f>IF(INDEX(Backlog!$D$2:$D$180,MATCH($D100,Backlog!$A$2:$A$180,0))="","",INDEX(Backlog!$D$2:$D$180,MATCH($D100,Backlog!$A$2:$A$180,0)))</x:f>
        <x:v>Release-1 OPC-UA UI workflows and capability-truth design</x:v>
      </x:c>
      <x:c r="F100" s="206" t="str">
        <x:f>IF(INDEX(Backlog!$K$2:$K$180,MATCH($D100,Backlog!$A$2:$A$180,0))="","",INDEX(Backlog!$K$2:$K$180,MATCH($D100,Backlog!$A$2:$A$180,0)))</x:f>
        <x:v>Not Started</x:v>
      </x:c>
      <x:c r="G100" s="206" t="str">
        <x:f>IF(ISNUMBER(INDEX(Backlog!$J$2:$J$180,MATCH($D100,Backlog!$A$2:$A$180,0))),INDEX(Backlog!$J$2:$J$180,MATCH($D100,Backlog!$A$2:$A$180,0)),"")</x:f>
      </x:c>
      <x:c r="H100" s="206" t="str">
        <x:f>IF(ISNUMBER(INDEX(Backlog!$R$2:$R$180,MATCH($D100,Backlog!$A$2:$A$180,0))),INDEX(Backlog!$R$2:$R$180,MATCH($D100,Backlog!$A$2:$A$180,0)),"")</x:f>
      </x:c>
      <x:c r="I100" s="206" t="str">
        <x:f>IF(INDEX(Backlog!$M$2:$M$180,MATCH($D100,Backlog!$A$2:$A$180,0))="","",INDEX(Backlog!$M$2:$M$180,MATCH($D100,Backlog!$A$2:$A$180,0)))</x:f>
        <x:v>T-207</x:v>
      </x:c>
      <x:c r="J100" s="206" t="str">
        <x:f>IF(INDEX(Backlog!$T$2:$T$180,MATCH($D100,Backlog!$A$2:$A$180,0))="","",INDEX(Backlog!$T$2:$T$180,MATCH($D100,Backlog!$A$2:$A$180,0)))</x:f>
        <x:v>Read v4.10.3 and frozen producer contracts. Contract-ready does not require producer completion; final design acceptance requires recorded walkthrough evidence.</x:v>
      </x:c>
      <x:c r="K100" s="206" t="str">
        <x:f>IF(INDEX(Backlog!$U$2:$U$180,MATCH($D100,Backlog!$A$2:$A$180,0))="","",INDEX(Backlog!$U$2:$U$180,MATCH($D100,Backlog!$A$2:$A$180,0)))</x:f>
        <x:v>UI companion OPC scene subset only; Worker 1 reviews endpoint/security/time/spool contracts; CENTRAL merges shared UI data.</x:v>
      </x:c>
      <x:c r="L100" s="206" t="str">
        <x:f>IF(INDEX(Backlog!$V$2:$V$180,MATCH($D100,Backlog!$A$2:$A$180,0))="","",INDEX(Backlog!$V$2:$V$180,MATCH($D100,Backlog!$A$2:$A$180,0)))</x:f>
        <x:v>UI design completion is not product implementation completion. Reuse the current authorities/components; use per-surface handoffs and no shared-file concurrent writes.</x:v>
      </x:c>
      <x:c r="M100" s="194" t="str">
        <x:f>IF(INDEX(Backlog!$AO$2:$AO$180,MATCH($D100,Backlog!$A$2:$A$180,0))="","",INDEX(Backlog!$AO$2:$AO$180,MATCH($D100,Backlog!$A$2:$A$180,0)))</x:f>
        <x:v>NOT STARTED — DESIGN DELIVERY</x:v>
      </x:c>
      <x:c r="N100" s="194" t="str">
        <x:f>IF(INDEX(Backlog!$AN$2:$AN$180,MATCH($D100,Backlog!$A$2:$A$180,0))="","",INDEX(Backlog!$AN$2:$AN$180,MATCH($D100,Backlog!$A$2:$A$180,0)))</x:f>
        <x:v>T-224; T-225; T-226; T-233</x:v>
      </x:c>
    </x:row>
    <x:row r="101" ht="26" customHeight="1">
      <x:c r="A101" s="206" t="str">
        <x:f>IF(INDEX(Backlog!$L$2:$L$180,MATCH($D101,Backlog!$A$2:$A$180,0))="","",INDEX(Backlog!$L$2:$L$180,MATCH($D101,Backlog!$A$2:$A$180,0)))</x:f>
        <x:v>Worker 2</x:v>
      </x:c>
      <x:c r="B101" s="206" t="str">
        <x:f>IF(INDEX(Backlog!$B$2:$B$180,MATCH($D101,Backlog!$A$2:$A$180,0))="","",INDEX(Backlog!$B$2:$B$180,MATCH($D101,Backlog!$A$2:$A$180,0)))</x:f>
        <x:v>M2</x:v>
      </x:c>
      <x:c r="C101" s="206" t="str">
        <x:f>IF(INDEX(Backlog!$C$2:$C$180,MATCH($D101,Backlog!$A$2:$A$180,0))="","",INDEX(Backlog!$C$2:$C$180,MATCH($D101,Backlog!$A$2:$A$180,0)))</x:f>
        <x:v>P3</x:v>
      </x:c>
      <x:c r="D101" s="206" t="str">
        <x:v>T-148</x:v>
      </x:c>
      <x:c r="E101" s="206" t="str">
        <x:f>IF(INDEX(Backlog!$D$2:$D$180,MATCH($D101,Backlog!$A$2:$A$180,0))="","",INDEX(Backlog!$D$2:$D$180,MATCH($D101,Backlog!$A$2:$A$180,0)))</x:f>
        <x:v>Map the 108 page files onto the 40 target pages</x:v>
      </x:c>
      <x:c r="F101" s="206" t="str">
        <x:f>IF(INDEX(Backlog!$K$2:$K$180,MATCH($D101,Backlog!$A$2:$A$180,0))="","",INDEX(Backlog!$K$2:$K$180,MATCH($D101,Backlog!$A$2:$A$180,0)))</x:f>
        <x:v>Not Started</x:v>
      </x:c>
      <x:c r="G101" s="206" t="n">
        <x:f>IF(ISNUMBER(INDEX(Backlog!$J$2:$J$180,MATCH($D101,Backlog!$A$2:$A$180,0))),INDEX(Backlog!$J$2:$J$180,MATCH($D101,Backlog!$A$2:$A$180,0)),"")</x:f>
        <x:v>8</x:v>
      </x:c>
      <x:c r="H101" s="206" t="n">
        <x:f>IF(ISNUMBER(INDEX(Backlog!$R$2:$R$180,MATCH($D101,Backlog!$A$2:$A$180,0))),INDEX(Backlog!$R$2:$R$180,MATCH($D101,Backlog!$A$2:$A$180,0)),"")</x:f>
        <x:v>1.3333333333333333</x:v>
      </x:c>
      <x:c r="I101" s="206" t="str">
        <x:f>IF(INDEX(Backlog!$M$2:$M$180,MATCH($D101,Backlog!$A$2:$A$180,0))="","",INDEX(Backlog!$M$2:$M$180,MATCH($D101,Backlog!$A$2:$A$180,0)))</x:f>
      </x:c>
      <x:c r="J101" s="206" t="str">
        <x:f>IF(INDEX(Backlog!$T$2:$T$180,MATCH($D101,Backlog!$A$2:$A$180,0))="","",INDEX(Backlog!$T$2:$T$180,MATCH($D101,Backlog!$A$2:$A$180,0)))</x:f>
        <x:v>R1 route inventory and six shell contracts frozen. Contract-ready handoffs from T-196/T-197/T-198/T-199/T-200 are recorded separately in column AN. Do not wait for the entire M3 implementation or ship a simulated M3 page.</x:v>
      </x:c>
      <x:c r="K101" s="206" t="str">
        <x:f>IF(INDEX(Backlog!$U$2:$U$180,MATCH($D101,Backlog!$A$2:$A$180,0))="","",INDEX(Backlog!$U$2:$U$180,MATCH($D101,Backlog!$A$2:$A$180,0)))</x:f>
        <x:v>Own route inventory/redirect cleanup only; do not touch W3 intelligence surfaces.</x:v>
      </x:c>
      <x:c r="L101" s="206" t="str">
        <x:f>IF(INDEX(Backlog!$V$2:$V$180,MATCH($D101,Backlog!$A$2:$A$180,0))="","",INDEX(Backlog!$V$2:$V$180,MATCH($D101,Backlog!$A$2:$A$180,0)))</x:f>
        <x:v>Commit before downstream consumer starts; consumer must use the contract, not redesign producer-owned semantics.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x:v>
      </x:c>
      <x:c r="M101" s="194" t="str">
        <x:f>IF(INDEX(Backlog!$AO$2:$AO$180,MATCH($D101,Backlog!$A$2:$A$180,0))="","",INDEX(Backlog!$AO$2:$AO$180,MATCH($D101,Backlog!$A$2:$A$180,0)))</x:f>
        <x:v>Not started — no completion claimed</x:v>
      </x:c>
      <x:c r="N101" s="194" t="str">
        <x:f>IF(INDEX(Backlog!$AN$2:$AN$180,MATCH($D101,Backlog!$A$2:$A$180,0))="","",INDEX(Backlog!$AN$2:$AN$180,MATCH($D101,Backlog!$A$2:$A$180,0)))</x:f>
        <x:v>T-196; T-197; T-198; T-199; T-200; T-265; T-266</x:v>
      </x:c>
    </x:row>
    <x:row r="102" ht="26" customHeight="1">
      <x:c r="A102" s="206" t="str">
        <x:f>IF(INDEX(Backlog!$L$2:$L$180,MATCH($D102,Backlog!$A$2:$A$180,0))="","",INDEX(Backlog!$L$2:$L$180,MATCH($D102,Backlog!$A$2:$A$180,0)))</x:f>
        <x:v>Worker 2</x:v>
      </x:c>
      <x:c r="B102" s="206" t="str">
        <x:f>IF(INDEX(Backlog!$B$2:$B$180,MATCH($D102,Backlog!$A$2:$A$180,0))="","",INDEX(Backlog!$B$2:$B$180,MATCH($D102,Backlog!$A$2:$A$180,0)))</x:f>
        <x:v>M2</x:v>
      </x:c>
      <x:c r="C102" s="206" t="str">
        <x:f>IF(INDEX(Backlog!$C$2:$C$180,MATCH($D102,Backlog!$A$2:$A$180,0))="","",INDEX(Backlog!$C$2:$C$180,MATCH($D102,Backlog!$A$2:$A$180,0)))</x:f>
        <x:v>P3</x:v>
      </x:c>
      <x:c r="D102" s="206" t="str">
        <x:v>T-215</x:v>
      </x:c>
      <x:c r="E102" s="206" t="str">
        <x:f>IF(INDEX(Backlog!$D$2:$D$180,MATCH($D102,Backlog!$A$2:$A$180,0))="","",INDEX(Backlog!$D$2:$D$180,MATCH($D102,Backlog!$A$2:$A$180,0)))</x:f>
        <x:v>Reference gap, attainment and envelope measures in registry/BI</x:v>
      </x:c>
      <x:c r="F102" s="206" t="str">
        <x:f>IF(INDEX(Backlog!$K$2:$K$180,MATCH($D102,Backlog!$A$2:$A$180,0))="","",INDEX(Backlog!$K$2:$K$180,MATCH($D102,Backlog!$A$2:$A$180,0)))</x:f>
        <x:v>Not Started</x:v>
      </x:c>
      <x:c r="G102" s="206" t="n">
        <x:f>IF(ISNUMBER(INDEX(Backlog!$J$2:$J$180,MATCH($D102,Backlog!$A$2:$A$180,0))),INDEX(Backlog!$J$2:$J$180,MATCH($D102,Backlog!$A$2:$A$180,0)),"")</x:f>
        <x:v>10</x:v>
      </x:c>
      <x:c r="H102" s="206" t="n">
        <x:f>IF(ISNUMBER(INDEX(Backlog!$R$2:$R$180,MATCH($D102,Backlog!$A$2:$A$180,0))),INDEX(Backlog!$R$2:$R$180,MATCH($D102,Backlog!$A$2:$A$180,0)),"")</x:f>
        <x:v>4</x:v>
      </x:c>
      <x:c r="I102" s="206" t="str">
        <x:f>IF(INDEX(Backlog!$M$2:$M$180,MATCH($D102,Backlog!$A$2:$A$180,0))="","",INDEX(Backlog!$M$2:$M$180,MATCH($D102,Backlog!$A$2:$A$180,0)))</x:f>
        <x:v>T-092; T-214; T-232</x:v>
      </x:c>
      <x:c r="J102" s="206" t="str">
        <x:f>IF(INDEX(Backlog!$T$2:$T$180,MATCH($D102,Backlog!$A$2:$A$180,0))="","",INDEX(Backlog!$T$2:$T$180,MATCH($D102,Backlog!$A$2:$A$180,0)))</x:f>
        <x:v>T-092 + T-214.</x:v>
      </x:c>
      <x:c r="K102" s="206" t="str">
        <x:f>IF(INDEX(Backlog!$U$2:$U$180,MATCH($D102,Backlog!$A$2:$A$180,0))="","",INDEX(Backlog!$U$2:$U$180,MATCH($D102,Backlog!$A$2:$A$180,0)))</x:f>
        <x:v>Registry projection + query measures + widget labels.</x:v>
      </x:c>
      <x:c r="L102" s="206" t="str">
        <x:f>IF(INDEX(Backlog!$V$2:$V$180,MATCH($D102,Backlog!$A$2:$A$180,0))="","",INDEX(Backlog!$V$2:$V$180,MATCH($D102,Backlog!$A$2:$A$180,0)))</x:f>
        <x:v>Consume reference ID/version and scoring semantics; no local UI formula.</x:v>
      </x:c>
      <x:c r="M102" s="194" t="str">
        <x:f>IF(INDEX(Backlog!$AO$2:$AO$180,MATCH($D102,Backlog!$A$2:$A$180,0))="","",INDEX(Backlog!$AO$2:$AO$180,MATCH($D102,Backlog!$A$2:$A$180,0)))</x:f>
        <x:v>Not started — no completion claimed</x:v>
      </x:c>
      <x:c r="N102" s="194" t="str">
        <x:f>IF(INDEX(Backlog!$AN$2:$AN$180,MATCH($D102,Backlog!$A$2:$A$180,0))="","",INDEX(Backlog!$AN$2:$AN$180,MATCH($D102,Backlog!$A$2:$A$180,0)))</x:f>
      </x:c>
    </x:row>
    <x:row r="103" ht="26" customHeight="1">
      <x:c r="A103" s="206" t="str">
        <x:f>IF(INDEX(Backlog!$L$2:$L$180,MATCH($D103,Backlog!$A$2:$A$180,0))="","",INDEX(Backlog!$L$2:$L$180,MATCH($D103,Backlog!$A$2:$A$180,0)))</x:f>
        <x:v>Worker 2</x:v>
      </x:c>
      <x:c r="B103" s="206" t="str">
        <x:f>IF(INDEX(Backlog!$B$2:$B$180,MATCH($D103,Backlog!$A$2:$A$180,0))="","",INDEX(Backlog!$B$2:$B$180,MATCH($D103,Backlog!$A$2:$A$180,0)))</x:f>
        <x:v>M2</x:v>
      </x:c>
      <x:c r="C103" s="206" t="str">
        <x:f>IF(INDEX(Backlog!$C$2:$C$180,MATCH($D103,Backlog!$A$2:$A$180,0))="","",INDEX(Backlog!$C$2:$C$180,MATCH($D103,Backlog!$A$2:$A$180,0)))</x:f>
        <x:v>P3</x:v>
      </x:c>
      <x:c r="D103" s="206" t="str">
        <x:v>T-222</x:v>
      </x:c>
      <x:c r="E103" s="206" t="str">
        <x:f>IF(INDEX(Backlog!$D$2:$D$180,MATCH($D103,Backlog!$A$2:$A$180,0))="","",INDEX(Backlog!$D$2:$D$180,MATCH($D103,Backlog!$A$2:$A$180,0)))</x:f>
        <x:v>D1/D4 reconciliation evidence surface and reference overlay</x:v>
      </x:c>
      <x:c r="F103" s="206" t="str">
        <x:f>IF(INDEX(Backlog!$K$2:$K$180,MATCH($D103,Backlog!$A$2:$A$180,0))="","",INDEX(Backlog!$K$2:$K$180,MATCH($D103,Backlog!$A$2:$A$180,0)))</x:f>
        <x:v>Not Started</x:v>
      </x:c>
      <x:c r="G103" s="206" t="n">
        <x:f>IF(ISNUMBER(INDEX(Backlog!$J$2:$J$180,MATCH($D103,Backlog!$A$2:$A$180,0))),INDEX(Backlog!$J$2:$J$180,MATCH($D103,Backlog!$A$2:$A$180,0)),"")</x:f>
        <x:v>10</x:v>
      </x:c>
      <x:c r="H103" s="206" t="n">
        <x:f>IF(ISNUMBER(INDEX(Backlog!$R$2:$R$180,MATCH($D103,Backlog!$A$2:$A$180,0))),INDEX(Backlog!$R$2:$R$180,MATCH($D103,Backlog!$A$2:$A$180,0)),"")</x:f>
        <x:v>4.25</x:v>
      </x:c>
      <x:c r="I103" s="206" t="str">
        <x:f>IF(INDEX(Backlog!$M$2:$M$180,MATCH($D103,Backlog!$A$2:$A$180,0))="","",INDEX(Backlog!$M$2:$M$180,MATCH($D103,Backlog!$A$2:$A$180,0)))</x:f>
        <x:v>T-219; T-220; T-215; T-203; T-204</x:v>
      </x:c>
      <x:c r="J103" s="206" t="str">
        <x:f>IF(INDEX(Backlog!$T$2:$T$180,MATCH($D103,Backlog!$A$2:$A$180,0))="","",INDEX(Backlog!$T$2:$T$180,MATCH($D103,Backlog!$A$2:$A$180,0)))</x:f>
        <x:v>T-219/T-220 result contract + T-215 + T-203/T-204. Do not create a demo-only store.</x:v>
      </x:c>
      <x:c r="K103" s="206" t="str">
        <x:f>IF(INDEX(Backlog!$U$2:$U$180,MATCH($D103,Backlog!$A$2:$A$180,0))="","",INDEX(Backlog!$U$2:$U$180,MATCH($D103,Backlog!$A$2:$A$180,0)))</x:f>
        <x:v>D1/D4 generic components only; no new oil route.</x:v>
      </x:c>
      <x:c r="L103" s="206" t="str">
        <x:f>IF(INDEX(Backlog!$V$2:$V$180,MATCH($D103,Backlog!$A$2:$A$180,0))="","",INDEX(Backlog!$V$2:$V$180,MATCH($D103,Backlog!$A$2:$A$180,0)))</x:f>
        <x:v>Use existing governed evidence/result contract. T-221 later changes persistence behind the contract without UI redesign.</x:v>
      </x:c>
      <x:c r="M103" s="194" t="str">
        <x:f>IF(INDEX(Backlog!$AO$2:$AO$180,MATCH($D103,Backlog!$A$2:$A$180,0))="","",INDEX(Backlog!$AO$2:$AO$180,MATCH($D103,Backlog!$A$2:$A$180,0)))</x:f>
        <x:v>Not started — no completion claimed</x:v>
      </x:c>
      <x:c r="N103" s="194" t="str">
        <x:f>IF(INDEX(Backlog!$AN$2:$AN$180,MATCH($D103,Backlog!$A$2:$A$180,0))="","",INDEX(Backlog!$AN$2:$AN$180,MATCH($D103,Backlog!$A$2:$A$180,0)))</x:f>
      </x:c>
    </x:row>
    <x:row r="104" ht="26" customHeight="1">
      <x:c r="A104" s="206" t="str">
        <x:f>IF(INDEX(Backlog!$L$2:$L$180,MATCH($D104,Backlog!$A$2:$A$180,0))="","",INDEX(Backlog!$L$2:$L$180,MATCH($D104,Backlog!$A$2:$A$180,0)))</x:f>
        <x:v>Worker 2</x:v>
      </x:c>
      <x:c r="B104" s="206" t="str">
        <x:f>IF(INDEX(Backlog!$B$2:$B$180,MATCH($D104,Backlog!$A$2:$A$180,0))="","",INDEX(Backlog!$B$2:$B$180,MATCH($D104,Backlog!$A$2:$A$180,0)))</x:f>
        <x:v>M2</x:v>
      </x:c>
      <x:c r="C104" s="206" t="str">
        <x:f>IF(INDEX(Backlog!$C$2:$C$180,MATCH($D104,Backlog!$A$2:$A$180,0))="","",INDEX(Backlog!$C$2:$C$180,MATCH($D104,Backlog!$A$2:$A$180,0)))</x:f>
        <x:v>P3</x:v>
      </x:c>
      <x:c r="D104" s="206" t="str">
        <x:v>T-258</x:v>
      </x:c>
      <x:c r="E104" s="206" t="str">
        <x:f>IF(INDEX(Backlog!$D$2:$D$180,MATCH($D104,Backlog!$A$2:$A$180,0))="","",INDEX(Backlog!$D$2:$D$180,MATCH($D104,Backlog!$A$2:$A$180,0)))</x:f>
        <x:v>Frontend material-surface genericity convergence and presentation compatibility</x:v>
      </x:c>
      <x:c r="F104" s="206" t="str">
        <x:f>IF(INDEX(Backlog!$K$2:$K$180,MATCH($D104,Backlog!$A$2:$A$180,0))="","",INDEX(Backlog!$K$2:$K$180,MATCH($D104,Backlog!$A$2:$A$180,0)))</x:f>
        <x:v>Not Started</x:v>
      </x:c>
      <x:c r="G104" s="206" t="n">
        <x:f>IF(ISNUMBER(INDEX(Backlog!$J$2:$J$180,MATCH($D104,Backlog!$A$2:$A$180,0))),INDEX(Backlog!$J$2:$J$180,MATCH($D104,Backlog!$A$2:$A$180,0)),"")</x:f>
        <x:v>8</x:v>
      </x:c>
      <x:c r="H104" s="206" t="n">
        <x:f>IF(ISNUMBER(INDEX(Backlog!$R$2:$R$180,MATCH($D104,Backlog!$A$2:$A$180,0))),INDEX(Backlog!$R$2:$R$180,MATCH($D104,Backlog!$A$2:$A$180,0)),"")</x:f>
        <x:v>3.4</x:v>
      </x:c>
      <x:c r="I104" s="206" t="str">
        <x:f>IF(INDEX(Backlog!$M$2:$M$180,MATCH($D104,Backlog!$A$2:$A$180,0))="","",INDEX(Backlog!$M$2:$M$180,MATCH($D104,Backlog!$A$2:$A$180,0)))</x:f>
        <x:v>T-094; T-250; T-256</x:v>
      </x:c>
      <x:c r="J104" s="206" t="str">
        <x:f>IF(INDEX(Backlog!$T$2:$T$180,MATCH($D104,Backlog!$A$2:$A$180,0))="","",INDEX(Backlog!$T$2:$T$180,MATCH($D104,Backlog!$A$2:$A$180,0)))</x:f>
        <x:v>WAIT for T-256 CLOSED and its frontend-consumer handoff manifest. Then perform bounded frontend-only convergence; do not re-investigate backend genericity.</x:v>
      </x:c>
      <x:c r="K104" s="206" t="str">
        <x:f>IF(INDEX(Backlog!$U$2:$U$180,MATCH($D104,Backlog!$A$2:$A$180,0))="","",INDEX(Backlog!$U$2:$U$180,MATCH($D104,Backlog!$A$2:$A$180,0)))</x:f>
        <x:v>Frontend MaterialAnalytics/generic navigation/types/tests only. No Backend/API/DB mutation and no Canvas/Job implementation.</x:v>
      </x:c>
      <x:c r="L104" s="206" t="str">
        <x:f>IF(INDEX(Backlog!$V$2:$V$180,MATCH($D104,Backlog!$A$2:$A$180,0))="","",INDEX(Backlog!$V$2:$V$180,MATCH($D104,Backlog!$A$2:$A$180,0)))</x:f>
        <x:v>T-256 defines backend semantic/compatibility truth; T-258 consumes it. T-247 validates the same-binary customer journey and does not redesign either side.</x:v>
      </x:c>
      <x:c r="M104" s="194" t="str">
        <x:f>IF(INDEX(Backlog!$AO$2:$AO$180,MATCH($D104,Backlog!$A$2:$A$180,0))="","",INDEX(Backlog!$AO$2:$AO$180,MATCH($D104,Backlog!$A$2:$A$180,0)))</x:f>
        <x:v>Not started — no completion claimed</x:v>
      </x:c>
      <x:c r="N104" s="194" t="str">
        <x:f>IF(INDEX(Backlog!$AN$2:$AN$180,MATCH($D104,Backlog!$A$2:$A$180,0))="","",INDEX(Backlog!$AN$2:$AN$180,MATCH($D104,Backlog!$A$2:$A$180,0)))</x:f>
      </x:c>
    </x:row>
    <x:row r="105" ht="26" customHeight="1">
      <x:c r="A105" s="206" t="str">
        <x:f>IF(INDEX(Backlog!$L$2:$L$180,MATCH($D105,Backlog!$A$2:$A$180,0))="","",INDEX(Backlog!$L$2:$L$180,MATCH($D105,Backlog!$A$2:$A$180,0)))</x:f>
        <x:v>Worker 2</x:v>
      </x:c>
      <x:c r="B105" s="206" t="str">
        <x:f>IF(INDEX(Backlog!$B$2:$B$180,MATCH($D105,Backlog!$A$2:$A$180,0))="","",INDEX(Backlog!$B$2:$B$180,MATCH($D105,Backlog!$A$2:$A$180,0)))</x:f>
        <x:v>M2</x:v>
      </x:c>
      <x:c r="C105" s="206" t="str">
        <x:f>IF(INDEX(Backlog!$C$2:$C$180,MATCH($D105,Backlog!$A$2:$A$180,0))="","",INDEX(Backlog!$C$2:$C$180,MATCH($D105,Backlog!$A$2:$A$180,0)))</x:f>
        <x:v>P3</x:v>
      </x:c>
      <x:c r="D105" s="206" t="str">
        <x:v>T-265</x:v>
      </x:c>
      <x:c r="E105" s="206" t="str">
        <x:f>IF(INDEX(Backlog!$D$2:$D$180,MATCH($D105,Backlog!$A$2:$A$180,0))="","",INDEX(Backlog!$D$2:$D$180,MATCH($D105,Backlog!$A$2:$A$180,0)))</x:f>
        <x:v>Release-1 UI design depth, workflow and illustrated-companion convergence</x:v>
      </x:c>
      <x:c r="F105" s="206" t="str">
        <x:f>IF(INDEX(Backlog!$K$2:$K$180,MATCH($D105,Backlog!$A$2:$A$180,0))="","",INDEX(Backlog!$K$2:$K$180,MATCH($D105,Backlog!$A$2:$A$180,0)))</x:f>
        <x:v>Not Started</x:v>
      </x:c>
      <x:c r="G105" s="206" t="str">
        <x:f>IF(ISNUMBER(INDEX(Backlog!$J$2:$J$180,MATCH($D105,Backlog!$A$2:$A$180,0))),INDEX(Backlog!$J$2:$J$180,MATCH($D105,Backlog!$A$2:$A$180,0)),"")</x:f>
      </x:c>
      <x:c r="H105" s="206" t="str">
        <x:f>IF(ISNUMBER(INDEX(Backlog!$R$2:$R$180,MATCH($D105,Backlog!$A$2:$A$180,0))),INDEX(Backlog!$R$2:$R$180,MATCH($D105,Backlog!$A$2:$A$180,0)),"")</x:f>
      </x:c>
      <x:c r="I105" s="206" t="str">
        <x:f>IF(INDEX(Backlog!$M$2:$M$180,MATCH($D105,Backlog!$A$2:$A$180,0))="","",INDEX(Backlog!$M$2:$M$180,MATCH($D105,Backlog!$A$2:$A$180,0)))</x:f>
      </x:c>
      <x:c r="J105" s="206" t="str">
        <x:f>IF(INDEX(Backlog!$T$2:$T$180,MATCH($D105,Backlog!$A$2:$A$180,0))="","",INDEX(Backlog!$T$2:$T$180,MATCH($D105,Backlog!$A$2:$A$180,0)))</x:f>
        <x:v>Read v4.10.3 and frozen producer contracts. Contract-ready does not require producer completion; final design acceptance requires recorded walkthrough evidence.</x:v>
      </x:c>
      <x:c r="K105" s="206" t="str">
        <x:f>IF(INDEX(Backlog!$U$2:$U$180,MATCH($D105,Backlog!$A$2:$A$180,0))="","",INDEX(Backlog!$U$2:$U$180,MATCH($D105,Backlog!$A$2:$A$180,0)))</x:f>
        <x:v>UI companion: non-OPC M2 scenes + Chapter 3/4 reading-edition assets. CENTRAL alone merges shared tokens/data/atlas; no product source lock.</x:v>
      </x:c>
      <x:c r="L105" s="206" t="str">
        <x:f>IF(INDEX(Backlog!$V$2:$V$180,MATCH($D105,Backlog!$A$2:$A$180,0))="","",INDEX(Backlog!$V$2:$V$180,MATCH($D105,Backlog!$A$2:$A$180,0)))</x:f>
        <x:v>UI design completion is not product implementation completion. Reuse the current authorities/components; use per-surface handoffs and no shared-file concurrent writes.</x:v>
      </x:c>
      <x:c r="M105" s="194" t="str">
        <x:f>IF(INDEX(Backlog!$AO$2:$AO$180,MATCH($D105,Backlog!$A$2:$A$180,0))="","",INDEX(Backlog!$AO$2:$AO$180,MATCH($D105,Backlog!$A$2:$A$180,0)))</x:f>
        <x:v>NOT STARTED — DESIGN DELIVERY</x:v>
      </x:c>
      <x:c r="N105" s="194" t="str">
        <x:f>IF(INDEX(Backlog!$AN$2:$AN$180,MATCH($D105,Backlog!$A$2:$A$180,0))="","",INDEX(Backlog!$AN$2:$AN$180,MATCH($D105,Backlog!$A$2:$A$180,0)))</x:f>
        <x:v>T-099; T-106; T-253; T-262; T-101; T-125</x:v>
      </x:c>
    </x:row>
    <x:row r="106" ht="26" customHeight="1">
      <x:c r="A106" s="206" t="str">
        <x:f>IF(INDEX(Backlog!$L$2:$L$180,MATCH($D106,Backlog!$A$2:$A$180,0))="","",INDEX(Backlog!$L$2:$L$180,MATCH($D106,Backlog!$A$2:$A$180,0)))</x:f>
        <x:v>Worker 2</x:v>
      </x:c>
      <x:c r="B106" s="206" t="str">
        <x:f>IF(INDEX(Backlog!$B$2:$B$180,MATCH($D106,Backlog!$A$2:$A$180,0))="","",INDEX(Backlog!$B$2:$B$180,MATCH($D106,Backlog!$A$2:$A$180,0)))</x:f>
        <x:v>M2</x:v>
      </x:c>
      <x:c r="C106" s="206" t="str">
        <x:f>IF(INDEX(Backlog!$C$2:$C$180,MATCH($D106,Backlog!$A$2:$A$180,0))="","",INDEX(Backlog!$C$2:$C$180,MATCH($D106,Backlog!$A$2:$A$180,0)))</x:f>
        <x:v>P4</x:v>
      </x:c>
      <x:c r="D106" s="206" t="str">
        <x:v>T-237</x:v>
      </x:c>
      <x:c r="E106" s="206" t="str">
        <x:f>IF(INDEX(Backlog!$D$2:$D$180,MATCH($D106,Backlog!$A$2:$A$180,0))="","",INDEX(Backlog!$D$2:$D$180,MATCH($D106,Backlog!$A$2:$A$180,0)))</x:f>
        <x:v>Operational Period Driver Decomposition exact API and evidence tool</x:v>
      </x:c>
      <x:c r="F106" s="206" t="str">
        <x:f>IF(INDEX(Backlog!$K$2:$K$180,MATCH($D106,Backlog!$A$2:$A$180,0))="","",INDEX(Backlog!$K$2:$K$180,MATCH($D106,Backlog!$A$2:$A$180,0)))</x:f>
        <x:v>Not Started</x:v>
      </x:c>
      <x:c r="G106" s="206" t="n">
        <x:f>IF(ISNUMBER(INDEX(Backlog!$J$2:$J$180,MATCH($D106,Backlog!$A$2:$A$180,0))),INDEX(Backlog!$J$2:$J$180,MATCH($D106,Backlog!$A$2:$A$180,0)),"")</x:f>
        <x:v>10</x:v>
      </x:c>
      <x:c r="H106" s="206" t="n">
        <x:f>IF(ISNUMBER(INDEX(Backlog!$R$2:$R$180,MATCH($D106,Backlog!$A$2:$A$180,0))),INDEX(Backlog!$R$2:$R$180,MATCH($D106,Backlog!$A$2:$A$180,0)),"")</x:f>
        <x:v>4.25</x:v>
      </x:c>
      <x:c r="I106" s="206" t="str">
        <x:f>IF(INDEX(Backlog!$M$2:$M$180,MATCH($D106,Backlog!$A$2:$A$180,0))="","",INDEX(Backlog!$M$2:$M$180,MATCH($D106,Backlog!$A$2:$A$180,0)))</x:f>
        <x:v>T-092; T-235</x:v>
      </x:c>
      <x:c r="J106" s="206" t="str">
        <x:f>IF(INDEX(Backlog!$T$2:$T$180,MATCH($D106,Backlog!$A$2:$A$180,0))="","",INDEX(Backlog!$T$2:$T$180,MATCH($D106,Backlog!$A$2:$A$180,0)))</x:f>
        <x:v>T-092 + T-235; can run in parallel with T-222 on separate files.</x:v>
      </x:c>
      <x:c r="K106" s="206" t="str">
        <x:f>IF(INDEX(Backlog!$U$2:$U$180,MATCH($D106,Backlog!$A$2:$A$180,0))="","",INDEX(Backlog!$U$2:$U$180,MATCH($D106,Backlog!$A$2:$A$180,0)))</x:f>
        <x:v>Layer-A period comparison API/evidence only.</x:v>
      </x:c>
      <x:c r="L106" s="206" t="str">
        <x:f>IF(INDEX(Backlog!$V$2:$V$180,MATCH($D106,Backlog!$A$2:$A$180,0))="","",INDEX(Backlog!$V$2:$V$180,MATCH($D106,Backlog!$A$2:$A$180,0)))</x:f>
        <x:v>T-138/T-164 may consume the stable contract; neither may duplicate calculations.</x:v>
      </x:c>
      <x:c r="M106" s="194" t="str">
        <x:f>IF(INDEX(Backlog!$AO$2:$AO$180,MATCH($D106,Backlog!$A$2:$A$180,0))="","",INDEX(Backlog!$AO$2:$AO$180,MATCH($D106,Backlog!$A$2:$A$180,0)))</x:f>
        <x:v>Not started — no completion claimed</x:v>
      </x:c>
      <x:c r="N106" s="194" t="str">
        <x:f>IF(INDEX(Backlog!$AN$2:$AN$180,MATCH($D106,Backlog!$A$2:$A$180,0))="","",INDEX(Backlog!$AN$2:$AN$180,MATCH($D106,Backlog!$A$2:$A$180,0)))</x:f>
      </x:c>
    </x:row>
    <x:row r="107" ht="26" customHeight="1">
      <x:c r="A107" s="206" t="str">
        <x:f>IF(INDEX(Backlog!$L$2:$L$180,MATCH($D107,Backlog!$A$2:$A$180,0))="","",INDEX(Backlog!$L$2:$L$180,MATCH($D107,Backlog!$A$2:$A$180,0)))</x:f>
        <x:v>Worker 2</x:v>
      </x:c>
      <x:c r="B107" s="206" t="str">
        <x:f>IF(INDEX(Backlog!$B$2:$B$180,MATCH($D107,Backlog!$A$2:$A$180,0))="","",INDEX(Backlog!$B$2:$B$180,MATCH($D107,Backlog!$A$2:$A$180,0)))</x:f>
        <x:v>M2</x:v>
      </x:c>
      <x:c r="C107" s="206" t="str">
        <x:f>IF(INDEX(Backlog!$C$2:$C$180,MATCH($D107,Backlog!$A$2:$A$180,0))="","",INDEX(Backlog!$C$2:$C$180,MATCH($D107,Backlog!$A$2:$A$180,0)))</x:f>
        <x:v>P5</x:v>
      </x:c>
      <x:c r="D107" s="206" t="str">
        <x:v>T-120</x:v>
      </x:c>
      <x:c r="E107" s="206" t="str">
        <x:f>IF(INDEX(Backlog!$D$2:$D$180,MATCH($D107,Backlog!$A$2:$A$180,0))="","",INDEX(Backlog!$D$2:$D$180,MATCH($D107,Backlog!$A$2:$A$180,0)))</x:f>
        <x:v>Users and Roles administration surface</x:v>
      </x:c>
      <x:c r="F107" s="206" t="str">
        <x:f>IF(INDEX(Backlog!$K$2:$K$180,MATCH($D107,Backlog!$A$2:$A$180,0))="","",INDEX(Backlog!$K$2:$K$180,MATCH($D107,Backlog!$A$2:$A$180,0)))</x:f>
        <x:v>Not Started</x:v>
      </x:c>
      <x:c r="G107" s="206" t="n">
        <x:f>IF(ISNUMBER(INDEX(Backlog!$J$2:$J$180,MATCH($D107,Backlog!$A$2:$A$180,0))),INDEX(Backlog!$J$2:$J$180,MATCH($D107,Backlog!$A$2:$A$180,0)),"")</x:f>
        <x:v>12</x:v>
      </x:c>
      <x:c r="H107" s="206" t="n">
        <x:f>IF(ISNUMBER(INDEX(Backlog!$R$2:$R$180,MATCH($D107,Backlog!$A$2:$A$180,0))),INDEX(Backlog!$R$2:$R$180,MATCH($D107,Backlog!$A$2:$A$180,0)),"")</x:f>
        <x:v>2</x:v>
      </x:c>
      <x:c r="I107" s="206" t="str">
        <x:f>IF(INDEX(Backlog!$M$2:$M$180,MATCH($D107,Backlog!$A$2:$A$180,0))="","",INDEX(Backlog!$M$2:$M$180,MATCH($D107,Backlog!$A$2:$A$180,0)))</x:f>
      </x:c>
      <x:c r="J107" s="206" t="str">
        <x:f>IF(INDEX(Backlog!$T$2:$T$180,MATCH($D107,Backlog!$A$2:$A$180,0))="","",INDEX(Backlog!$T$2:$T$180,MATCH($D107,Backlog!$A$2:$A$180,0)))</x:f>
        <x:v>WAIT for Presentation RC freeze/tag + clean index/worktree. Then: Release 1 dependency order</x:v>
      </x:c>
      <x:c r="K107" s="206" t="str">
        <x:f>IF(INDEX(Backlog!$U$2:$U$180,MATCH($D107,Backlog!$A$2:$A$180,0))="","",INDEX(Backlog!$U$2:$U$180,MATCH($D107,Backlog!$A$2:$A$180,0)))</x:f>
        <x:v>Own named UI/admin task end-to-end only after producer APIs/security are committed.</x:v>
      </x:c>
      <x:c r="L107" s="206" t="str">
        <x:f>IF(INDEX(Backlog!$V$2:$V$180,MATCH($D107,Backlog!$A$2:$A$180,0))="","",INDEX(Backlog!$V$2:$V$180,MATCH($D107,Backlog!$A$2:$A$180,0)))</x:f>
        <x:v>Commit before downstream consumer starts; consumer must use the contract, not redesign producer-owned semantics.</x:v>
      </x:c>
      <x:c r="M107" s="194" t="str">
        <x:f>IF(INDEX(Backlog!$AO$2:$AO$180,MATCH($D107,Backlog!$A$2:$A$180,0))="","",INDEX(Backlog!$AO$2:$AO$180,MATCH($D107,Backlog!$A$2:$A$180,0)))</x:f>
        <x:v>Not started — no completion claimed</x:v>
      </x:c>
      <x:c r="N107" s="194" t="str">
        <x:f>IF(INDEX(Backlog!$AN$2:$AN$180,MATCH($D107,Backlog!$A$2:$A$180,0))="","",INDEX(Backlog!$AN$2:$AN$180,MATCH($D107,Backlog!$A$2:$A$180,0)))</x:f>
      </x:c>
    </x:row>
    <x:row r="108" ht="26" customHeight="1">
      <x:c r="A108" s="206" t="str">
        <x:f>IF(INDEX(Backlog!$L$2:$L$180,MATCH($D108,Backlog!$A$2:$A$180,0))="","",INDEX(Backlog!$L$2:$L$180,MATCH($D108,Backlog!$A$2:$A$180,0)))</x:f>
        <x:v>Worker 2</x:v>
      </x:c>
      <x:c r="B108" s="206" t="str">
        <x:f>IF(INDEX(Backlog!$B$2:$B$180,MATCH($D108,Backlog!$A$2:$A$180,0))="","",INDEX(Backlog!$B$2:$B$180,MATCH($D108,Backlog!$A$2:$A$180,0)))</x:f>
        <x:v>M2</x:v>
      </x:c>
      <x:c r="C108" s="206" t="str">
        <x:f>IF(INDEX(Backlog!$C$2:$C$180,MATCH($D108,Backlog!$A$2:$A$180,0))="","",INDEX(Backlog!$C$2:$C$180,MATCH($D108,Backlog!$A$2:$A$180,0)))</x:f>
        <x:v>P5</x:v>
      </x:c>
      <x:c r="D108" s="206" t="str">
        <x:v>T-257</x:v>
      </x:c>
      <x:c r="E108" s="206" t="str">
        <x:f>IF(INDEX(Backlog!$D$2:$D$180,MATCH($D108,Backlog!$A$2:$A$180,0))="","",INDEX(Backlog!$D$2:$D$180,MATCH($D108,Backlog!$A$2:$A$180,0)))</x:f>
        <x:v>Frontend execution-truth and release-profile skip-zero gate</x:v>
      </x:c>
      <x:c r="F108" s="206" t="str">
        <x:f>IF(INDEX(Backlog!$K$2:$K$180,MATCH($D108,Backlog!$A$2:$A$180,0))="","",INDEX(Backlog!$K$2:$K$180,MATCH($D108,Backlog!$A$2:$A$180,0)))</x:f>
        <x:v>Not Started</x:v>
      </x:c>
      <x:c r="G108" s="206" t="n">
        <x:f>IF(ISNUMBER(INDEX(Backlog!$J$2:$J$180,MATCH($D108,Backlog!$A$2:$A$180,0))),INDEX(Backlog!$J$2:$J$180,MATCH($D108,Backlog!$A$2:$A$180,0)),"")</x:f>
        <x:v>6</x:v>
      </x:c>
      <x:c r="H108" s="206" t="n">
        <x:f>IF(ISNUMBER(INDEX(Backlog!$R$2:$R$180,MATCH($D108,Backlog!$A$2:$A$180,0))),INDEX(Backlog!$R$2:$R$180,MATCH($D108,Backlog!$A$2:$A$180,0)),"")</x:f>
        <x:v>2.55</x:v>
      </x:c>
      <x:c r="I108" s="206" t="str">
        <x:f>IF(INDEX(Backlog!$M$2:$M$180,MATCH($D108,Backlog!$A$2:$A$180,0))="","",INDEX(Backlog!$M$2:$M$180,MATCH($D108,Backlog!$A$2:$A$180,0)))</x:f>
        <x:v>T-205; T-250; T-259</x:v>
      </x:c>
      <x:c r="J108" s="206" t="str">
        <x:f>IF(INDEX(Backlog!$T$2:$T$180,MATCH($D108,Backlog!$A$2:$A$180,0))="","",INDEX(Backlog!$T$2:$T$180,MATCH($D108,Backlog!$A$2:$A$180,0)))</x:f>
        <x:v>Run on frontend test/config/report files only after current authoring lane reaches a clean handoff; no product feature scope.</x:v>
      </x:c>
      <x:c r="K108" s="206" t="str">
        <x:f>IF(INDEX(Backlog!$U$2:$U$180,MATCH($D108,Backlog!$A$2:$A$180,0))="","",INDEX(Backlog!$U$2:$U$180,MATCH($D108,Backlog!$A$2:$A$180,0)))</x:f>
        <x:v>Frontend package/test configs/gate scripts/generated-report hygiene only.</x:v>
      </x:c>
      <x:c r="L108" s="206" t="str">
        <x:f>IF(INDEX(Backlog!$V$2:$V$180,MATCH($D108,Backlog!$A$2:$A$180,0))="","",INDEX(Backlog!$V$2:$V$180,MATCH($D108,Backlog!$A$2:$A$180,0)))</x:f>
        <x:v>T-150 consumes this machine-readable release truth; T-248 later extends enterprise visual parity, not test-runner semantics.</x:v>
      </x:c>
      <x:c r="M108" s="194" t="str">
        <x:f>IF(INDEX(Backlog!$AO$2:$AO$180,MATCH($D108,Backlog!$A$2:$A$180,0))="","",INDEX(Backlog!$AO$2:$AO$180,MATCH($D108,Backlog!$A$2:$A$180,0)))</x:f>
        <x:v>Not started — no completion claimed</x:v>
      </x:c>
      <x:c r="N108" s="194" t="str">
        <x:f>IF(INDEX(Backlog!$AN$2:$AN$180,MATCH($D108,Backlog!$A$2:$A$180,0))="","",INDEX(Backlog!$AN$2:$AN$180,MATCH($D108,Backlog!$A$2:$A$180,0)))</x:f>
      </x:c>
    </x:row>
    <x:row r="109" ht="26" customHeight="1">
      <x:c r="A109" s="206" t="str">
        <x:f>IF(INDEX(Backlog!$L$2:$L$180,MATCH($D109,Backlog!$A$2:$A$180,0))="","",INDEX(Backlog!$L$2:$L$180,MATCH($D109,Backlog!$A$2:$A$180,0)))</x:f>
        <x:v>Worker 2</x:v>
      </x:c>
      <x:c r="B109" s="206" t="str">
        <x:f>IF(INDEX(Backlog!$B$2:$B$180,MATCH($D109,Backlog!$A$2:$A$180,0))="","",INDEX(Backlog!$B$2:$B$180,MATCH($D109,Backlog!$A$2:$A$180,0)))</x:f>
        <x:v>M3</x:v>
      </x:c>
      <x:c r="C109" s="206" t="str">
        <x:f>IF(INDEX(Backlog!$C$2:$C$180,MATCH($D109,Backlog!$A$2:$A$180,0))="","",INDEX(Backlog!$C$2:$C$180,MATCH($D109,Backlog!$A$2:$A$180,0)))</x:f>
        <x:v>P2</x:v>
      </x:c>
      <x:c r="D109" s="206" t="str">
        <x:v>T-127</x:v>
      </x:c>
      <x:c r="E109" s="206" t="str">
        <x:f>IF(INDEX(Backlog!$D$2:$D$180,MATCH($D109,Backlog!$A$2:$A$180,0))="","",INDEX(Backlog!$D$2:$D$180,MATCH($D109,Backlog!$A$2:$A$180,0)))</x:f>
        <x:v>Canonical journey regression and the Continuity comparison</x:v>
      </x:c>
      <x:c r="F109" s="206" t="str">
        <x:f>IF(INDEX(Backlog!$K$2:$K$180,MATCH($D109,Backlog!$A$2:$A$180,0))="","",INDEX(Backlog!$K$2:$K$180,MATCH($D109,Backlog!$A$2:$A$180,0)))</x:f>
        <x:v>Not Started</x:v>
      </x:c>
      <x:c r="G109" s="206" t="n">
        <x:f>IF(ISNUMBER(INDEX(Backlog!$J$2:$J$180,MATCH($D109,Backlog!$A$2:$A$180,0))),INDEX(Backlog!$J$2:$J$180,MATCH($D109,Backlog!$A$2:$A$180,0)),"")</x:f>
        <x:v>12</x:v>
      </x:c>
      <x:c r="H109" s="206" t="n">
        <x:f>IF(ISNUMBER(INDEX(Backlog!$R$2:$R$180,MATCH($D109,Backlog!$A$2:$A$180,0))),INDEX(Backlog!$R$2:$R$180,MATCH($D109,Backlog!$A$2:$A$180,0)),"")</x:f>
        <x:v>4.08</x:v>
      </x:c>
      <x:c r="I109" s="206" t="str">
        <x:f>IF(INDEX(Backlog!$M$2:$M$180,MATCH($D109,Backlog!$A$2:$A$180,0))="","",INDEX(Backlog!$M$2:$M$180,MATCH($D109,Backlog!$A$2:$A$180,0)))</x:f>
        <x:v>T-196; T-197; T-198; T-199; T-200; T-121</x:v>
      </x:c>
      <x:c r="J109" s="206" t="str">
        <x:f>IF(INDEX(Backlog!$T$2:$T$180,MATCH($D109,Backlog!$A$2:$A$180,0))="","",INDEX(Backlog!$T$2:$T$180,MATCH($D109,Backlog!$A$2:$A$180,0)))</x:f>
        <x:v>WAIT for Presentation RC freeze/tag + clean index/worktree. Then: All Release 1 canonical-core/user-visible owners complete, including T-196/T-197/T-...</x:v>
      </x:c>
      <x:c r="K109" s="206" t="str">
        <x:f>IF(INDEX(Backlog!$U$2:$U$180,MATCH($D109,Backlog!$A$2:$A$180,0))="","",INDEX(Backlog!$U$2:$U$180,MATCH($D109,Backlog!$A$2:$A$180,0)))</x:f>
        <x:v>Own named UI/admin task end-to-end only after producer APIs/security are committed.</x:v>
      </x:c>
      <x:c r="L109" s="206" t="str">
        <x:f>IF(INDEX(Backlog!$V$2:$V$180,MATCH($D109,Backlog!$A$2:$A$180,0))="","",INDEX(Backlog!$V$2:$V$180,MATCH($D109,Backlog!$A$2:$A$180,0)))</x:f>
        <x:v>Continuity green → W1 executes T-194; Release 1 release gate may close.</x:v>
      </x:c>
      <x:c r="M109" s="194" t="str">
        <x:f>IF(INDEX(Backlog!$AO$2:$AO$180,MATCH($D109,Backlog!$A$2:$A$180,0))="","",INDEX(Backlog!$AO$2:$AO$180,MATCH($D109,Backlog!$A$2:$A$180,0)))</x:f>
        <x:v>Not started — no completion claimed</x:v>
      </x:c>
      <x:c r="N109" s="194" t="str">
        <x:f>IF(INDEX(Backlog!$AN$2:$AN$180,MATCH($D109,Backlog!$A$2:$A$180,0))="","",INDEX(Backlog!$AN$2:$AN$180,MATCH($D109,Backlog!$A$2:$A$180,0)))</x:f>
      </x:c>
    </x:row>
    <x:row r="110" ht="26" customHeight="1">
      <x:c r="A110" s="206" t="str">
        <x:f>IF(INDEX(Backlog!$L$2:$L$180,MATCH($D110,Backlog!$A$2:$A$180,0))="","",INDEX(Backlog!$L$2:$L$180,MATCH($D110,Backlog!$A$2:$A$180,0)))</x:f>
        <x:v>Worker 2</x:v>
      </x:c>
      <x:c r="B110" s="206" t="str">
        <x:f>IF(INDEX(Backlog!$B$2:$B$180,MATCH($D110,Backlog!$A$2:$A$180,0))="","",INDEX(Backlog!$B$2:$B$180,MATCH($D110,Backlog!$A$2:$A$180,0)))</x:f>
        <x:v>M3</x:v>
      </x:c>
      <x:c r="C110" s="206" t="str">
        <x:f>IF(INDEX(Backlog!$C$2:$C$180,MATCH($D110,Backlog!$A$2:$A$180,0))="","",INDEX(Backlog!$C$2:$C$180,MATCH($D110,Backlog!$A$2:$A$180,0)))</x:f>
        <x:v>P2</x:v>
      </x:c>
      <x:c r="D110" s="206" t="str">
        <x:v>T-149</x:v>
      </x:c>
      <x:c r="E110" s="206" t="str">
        <x:f>IF(INDEX(Backlog!$D$2:$D$180,MATCH($D110,Backlog!$A$2:$A$180,0))="","",INDEX(Backlog!$D$2:$D$180,MATCH($D110,Backlog!$A$2:$A$180,0)))</x:f>
        <x:v>Delete the legacy redirects and re-verify continuity</x:v>
      </x:c>
      <x:c r="F110" s="206" t="str">
        <x:f>IF(INDEX(Backlog!$K$2:$K$180,MATCH($D110,Backlog!$A$2:$A$180,0))="","",INDEX(Backlog!$K$2:$K$180,MATCH($D110,Backlog!$A$2:$A$180,0)))</x:f>
        <x:v>Not Started</x:v>
      </x:c>
      <x:c r="G110" s="206" t="n">
        <x:f>IF(ISNUMBER(INDEX(Backlog!$J$2:$J$180,MATCH($D110,Backlog!$A$2:$A$180,0))),INDEX(Backlog!$J$2:$J$180,MATCH($D110,Backlog!$A$2:$A$180,0)),"")</x:f>
        <x:v>6</x:v>
      </x:c>
      <x:c r="H110" s="206" t="n">
        <x:f>IF(ISNUMBER(INDEX(Backlog!$R$2:$R$180,MATCH($D110,Backlog!$A$2:$A$180,0))),INDEX(Backlog!$R$2:$R$180,MATCH($D110,Backlog!$A$2:$A$180,0)),"")</x:f>
        <x:v>1</x:v>
      </x:c>
      <x:c r="I110" s="206" t="str">
        <x:f>IF(INDEX(Backlog!$M$2:$M$180,MATCH($D110,Backlog!$A$2:$A$180,0))="","",INDEX(Backlog!$M$2:$M$180,MATCH($D110,Backlog!$A$2:$A$180,0)))</x:f>
      </x:c>
      <x:c r="J110" s="206" t="str">
        <x:f>IF(INDEX(Backlog!$T$2:$T$180,MATCH($D110,Backlog!$A$2:$A$180,0))="","",INDEX(Backlog!$T$2:$T$180,MATCH($D110,Backlog!$A$2:$A$180,0)))</x:f>
        <x:v>M1 continuity frozen</x:v>
      </x:c>
      <x:c r="K110" s="206" t="str">
        <x:f>IF(INDEX(Backlog!$U$2:$U$180,MATCH($D110,Backlog!$A$2:$A$180,0))="","",INDEX(Backlog!$U$2:$U$180,MATCH($D110,Backlog!$A$2:$A$180,0)))</x:f>
        <x:v>Own route inventory/redirect cleanup only; do not touch W3 intelligence surfaces.</x:v>
      </x:c>
      <x:c r="L110" s="206" t="str">
        <x:f>IF(INDEX(Backlog!$V$2:$V$180,MATCH($D110,Backlog!$A$2:$A$180,0))="","",INDEX(Backlog!$V$2:$V$180,MATCH($D110,Backlog!$A$2:$A$180,0)))</x:f>
        <x:v>Commit before downstream consumer starts; consumer must use the contract, not redesign producer-owned semantics.</x:v>
      </x:c>
      <x:c r="M110" s="194" t="str">
        <x:f>IF(INDEX(Backlog!$AO$2:$AO$180,MATCH($D110,Backlog!$A$2:$A$180,0))="","",INDEX(Backlog!$AO$2:$AO$180,MATCH($D110,Backlog!$A$2:$A$180,0)))</x:f>
        <x:v>Not started — no completion claimed</x:v>
      </x:c>
      <x:c r="N110" s="194" t="str">
        <x:f>IF(INDEX(Backlog!$AN$2:$AN$180,MATCH($D110,Backlog!$A$2:$A$180,0))="","",INDEX(Backlog!$AN$2:$AN$180,MATCH($D110,Backlog!$A$2:$A$180,0)))</x:f>
      </x:c>
    </x:row>
    <x:row r="111" ht="26" customHeight="1">
      <x:c r="A111" s="206" t="str">
        <x:f>IF(INDEX(Backlog!$L$2:$L$180,MATCH($D111,Backlog!$A$2:$A$180,0))="","",INDEX(Backlog!$L$2:$L$180,MATCH($D111,Backlog!$A$2:$A$180,0)))</x:f>
        <x:v>Worker 2</x:v>
      </x:c>
      <x:c r="B111" s="206" t="str">
        <x:f>IF(INDEX(Backlog!$B$2:$B$180,MATCH($D111,Backlog!$A$2:$A$180,0))="","",INDEX(Backlog!$B$2:$B$180,MATCH($D111,Backlog!$A$2:$A$180,0)))</x:f>
        <x:v>M3</x:v>
      </x:c>
      <x:c r="C111" s="206" t="str">
        <x:f>IF(INDEX(Backlog!$C$2:$C$180,MATCH($D111,Backlog!$A$2:$A$180,0))="","",INDEX(Backlog!$C$2:$C$180,MATCH($D111,Backlog!$A$2:$A$180,0)))</x:f>
        <x:v>P2</x:v>
      </x:c>
      <x:c r="D111" s="206" t="str">
        <x:v>T-196</x:v>
      </x:c>
      <x:c r="E111" s="206" t="str">
        <x:f>IF(INDEX(Backlog!$D$2:$D$180,MATCH($D111,Backlog!$A$2:$A$180,0))="","",INDEX(Backlog!$D$2:$D$180,MATCH($D111,Backlog!$A$2:$A$180,0)))</x:f>
        <x:v>C4 Plant Model Explorer canonical route and structural evidence surface</x:v>
      </x:c>
      <x:c r="F111" s="206" t="str">
        <x:f>IF(INDEX(Backlog!$K$2:$K$180,MATCH($D111,Backlog!$A$2:$A$180,0))="","",INDEX(Backlog!$K$2:$K$180,MATCH($D111,Backlog!$A$2:$A$180,0)))</x:f>
        <x:v>Not Started</x:v>
      </x:c>
      <x:c r="G111" s="206" t="n">
        <x:f>IF(ISNUMBER(INDEX(Backlog!$J$2:$J$180,MATCH($D111,Backlog!$A$2:$A$180,0))),INDEX(Backlog!$J$2:$J$180,MATCH($D111,Backlog!$A$2:$A$180,0)),"")</x:f>
        <x:v>8</x:v>
      </x:c>
      <x:c r="H111" s="206" t="n">
        <x:f>IF(ISNUMBER(INDEX(Backlog!$R$2:$R$180,MATCH($D111,Backlog!$A$2:$A$180,0))),INDEX(Backlog!$R$2:$R$180,MATCH($D111,Backlog!$A$2:$A$180,0)),"")</x:f>
        <x:v>1.3333333333333333</x:v>
      </x:c>
      <x:c r="I111" s="206" t="str">
        <x:f>IF(INDEX(Backlog!$M$2:$M$180,MATCH($D111,Backlog!$A$2:$A$180,0))="","",INDEX(Backlog!$M$2:$M$180,MATCH($D111,Backlog!$A$2:$A$180,0)))</x:f>
        <x:v>T-087; T-094; T-095</x:v>
      </x:c>
      <x:c r="J111" s="206" t="str">
        <x:f>IF(INDEX(Backlog!$T$2:$T$180,MATCH($D111,Backlog!$A$2:$A$180,0))="","",INDEX(Backlog!$T$2:$T$180,MATCH($D111,Backlog!$A$2:$A$180,0)))</x:f>
        <x:v>WAIT for Presentation RC freeze/tag + clean index/worktree. Then: T-087 + T-094 + T-095</x:v>
      </x:c>
      <x:c r="K111" s="206" t="str">
        <x:f>IF(INDEX(Backlog!$U$2:$U$180,MATCH($D111,Backlog!$A$2:$A$180,0))="","",INDEX(Backlog!$U$2:$U$180,MATCH($D111,Backlog!$A$2:$A$180,0)))</x:f>
        <x:v>Own named UI/admin task end-to-end only after producer APIs/security are committed.</x:v>
      </x:c>
      <x:c r="L111" s="206" t="str">
        <x:f>IF(INDEX(Backlog!$V$2:$V$180,MATCH($D111,Backlog!$A$2:$A$180,0))="","",INDEX(Backlog!$V$2:$V$180,MATCH($D111,Backlog!$A$2:$A$180,0)))</x:f>
        <x:v>Commit before downstream consumer starts; consumer must use the contract, not redesign producer-owned semantics.</x:v>
      </x:c>
      <x:c r="M111" s="194" t="str">
        <x:f>IF(INDEX(Backlog!$AO$2:$AO$180,MATCH($D111,Backlog!$A$2:$A$180,0))="","",INDEX(Backlog!$AO$2:$AO$180,MATCH($D111,Backlog!$A$2:$A$180,0)))</x:f>
        <x:v>Not started — no completion claimed</x:v>
      </x:c>
      <x:c r="N111" s="194" t="str">
        <x:f>IF(INDEX(Backlog!$AN$2:$AN$180,MATCH($D111,Backlog!$A$2:$A$180,0))="","",INDEX(Backlog!$AN$2:$AN$180,MATCH($D111,Backlog!$A$2:$A$180,0)))</x:f>
      </x:c>
    </x:row>
    <x:row r="112" ht="26" customHeight="1">
      <x:c r="A112" s="206" t="str">
        <x:f>IF(INDEX(Backlog!$L$2:$L$180,MATCH($D112,Backlog!$A$2:$A$180,0))="","",INDEX(Backlog!$L$2:$L$180,MATCH($D112,Backlog!$A$2:$A$180,0)))</x:f>
        <x:v>Worker 2</x:v>
      </x:c>
      <x:c r="B112" s="206" t="str">
        <x:f>IF(INDEX(Backlog!$B$2:$B$180,MATCH($D112,Backlog!$A$2:$A$180,0))="","",INDEX(Backlog!$B$2:$B$180,MATCH($D112,Backlog!$A$2:$A$180,0)))</x:f>
        <x:v>M3</x:v>
      </x:c>
      <x:c r="C112" s="206" t="str">
        <x:f>IF(INDEX(Backlog!$C$2:$C$180,MATCH($D112,Backlog!$A$2:$A$180,0))="","",INDEX(Backlog!$C$2:$C$180,MATCH($D112,Backlog!$A$2:$A$180,0)))</x:f>
        <x:v>P2</x:v>
      </x:c>
      <x:c r="D112" s="206" t="str">
        <x:v>T-197</x:v>
      </x:c>
      <x:c r="E112" s="206" t="str">
        <x:f>IF(INDEX(Backlog!$D$2:$D$180,MATCH($D112,Backlog!$A$2:$A$180,0))="","",INDEX(Backlog!$D$2:$D$180,MATCH($D112,Backlog!$A$2:$A$180,0)))</x:f>
        <x:v>E6 Alert Routing and Escalation with delivery, retry and dead-letter evidence</x:v>
      </x:c>
      <x:c r="F112" s="206" t="str">
        <x:f>IF(INDEX(Backlog!$K$2:$K$180,MATCH($D112,Backlog!$A$2:$A$180,0))="","",INDEX(Backlog!$K$2:$K$180,MATCH($D112,Backlog!$A$2:$A$180,0)))</x:f>
        <x:v>Not Started</x:v>
      </x:c>
      <x:c r="G112" s="206" t="n">
        <x:f>IF(ISNUMBER(INDEX(Backlog!$J$2:$J$180,MATCH($D112,Backlog!$A$2:$A$180,0))),INDEX(Backlog!$J$2:$J$180,MATCH($D112,Backlog!$A$2:$A$180,0)),"")</x:f>
        <x:v>10</x:v>
      </x:c>
      <x:c r="H112" s="206" t="n">
        <x:f>IF(ISNUMBER(INDEX(Backlog!$R$2:$R$180,MATCH($D112,Backlog!$A$2:$A$180,0))),INDEX(Backlog!$R$2:$R$180,MATCH($D112,Backlog!$A$2:$A$180,0)),"")</x:f>
        <x:v>2.285714285714286</x:v>
      </x:c>
      <x:c r="I112" s="206" t="str">
        <x:f>IF(INDEX(Backlog!$M$2:$M$180,MATCH($D112,Backlog!$A$2:$A$180,0))="","",INDEX(Backlog!$M$2:$M$180,MATCH($D112,Backlog!$A$2:$A$180,0)))</x:f>
        <x:v>T-119; T-198</x:v>
      </x:c>
      <x:c r="J112" s="206" t="str">
        <x:f>IF(INDEX(Backlog!$T$2:$T$180,MATCH($D112,Backlog!$A$2:$A$180,0))="","",INDEX(Backlog!$T$2:$T$180,MATCH($D112,Backlog!$A$2:$A$180,0)))</x:f>
        <x:v>WAIT for Presentation RC freeze/tag + clean index/worktree. Then: T-119 + T-198</x:v>
      </x:c>
      <x:c r="K112" s="206" t="str">
        <x:f>IF(INDEX(Backlog!$U$2:$U$180,MATCH($D112,Backlog!$A$2:$A$180,0))="","",INDEX(Backlog!$U$2:$U$180,MATCH($D112,Backlog!$A$2:$A$180,0)))</x:f>
        <x:v>Own named UI/admin task end-to-end only after producer APIs/security are committed.</x:v>
      </x:c>
      <x:c r="L112" s="206" t="str">
        <x:f>IF(INDEX(Backlog!$V$2:$V$180,MATCH($D112,Backlog!$A$2:$A$180,0))="","",INDEX(Backlog!$V$2:$V$180,MATCH($D112,Backlog!$A$2:$A$180,0)))</x:f>
        <x:v>Commit before downstream consumer starts; consumer must use the contract, not redesign producer-owned semantics.</x:v>
      </x:c>
      <x:c r="M112" s="194" t="str">
        <x:f>IF(INDEX(Backlog!$AO$2:$AO$180,MATCH($D112,Backlog!$A$2:$A$180,0))="","",INDEX(Backlog!$AO$2:$AO$180,MATCH($D112,Backlog!$A$2:$A$180,0)))</x:f>
        <x:v>Not started — no completion claimed</x:v>
      </x:c>
      <x:c r="N112" s="194" t="str">
        <x:f>IF(INDEX(Backlog!$AN$2:$AN$180,MATCH($D112,Backlog!$A$2:$A$180,0))="","",INDEX(Backlog!$AN$2:$AN$180,MATCH($D112,Backlog!$A$2:$A$180,0)))</x:f>
      </x:c>
    </x:row>
    <x:row r="113" ht="26" customHeight="1">
      <x:c r="A113" s="206" t="str">
        <x:f>IF(INDEX(Backlog!$L$2:$L$180,MATCH($D113,Backlog!$A$2:$A$180,0))="","",INDEX(Backlog!$L$2:$L$180,MATCH($D113,Backlog!$A$2:$A$180,0)))</x:f>
        <x:v>Worker 2</x:v>
      </x:c>
      <x:c r="B113" s="206" t="str">
        <x:f>IF(INDEX(Backlog!$B$2:$B$180,MATCH($D113,Backlog!$A$2:$A$180,0))="","",INDEX(Backlog!$B$2:$B$180,MATCH($D113,Backlog!$A$2:$A$180,0)))</x:f>
        <x:v>M3</x:v>
      </x:c>
      <x:c r="C113" s="206" t="str">
        <x:f>IF(INDEX(Backlog!$C$2:$C$180,MATCH($D113,Backlog!$A$2:$A$180,0))="","",INDEX(Backlog!$C$2:$C$180,MATCH($D113,Backlog!$A$2:$A$180,0)))</x:f>
        <x:v>P2</x:v>
      </x:c>
      <x:c r="D113" s="206" t="str">
        <x:v>T-198</x:v>
      </x:c>
      <x:c r="E113" s="206" t="str">
        <x:f>IF(INDEX(Backlog!$D$2:$D$180,MATCH($D113,Backlog!$A$2:$A$180,0))="","",INDEX(Backlog!$D$2:$D$180,MATCH($D113,Backlog!$A$2:$A$180,0)))</x:f>
        <x:v>F5 Logging and Audit plus F6 Log Channel Configuration</x:v>
      </x:c>
      <x:c r="F113" s="206" t="str">
        <x:f>IF(INDEX(Backlog!$K$2:$K$180,MATCH($D113,Backlog!$A$2:$A$180,0))="","",INDEX(Backlog!$K$2:$K$180,MATCH($D113,Backlog!$A$2:$A$180,0)))</x:f>
        <x:v>Not Started</x:v>
      </x:c>
      <x:c r="G113" s="206" t="n">
        <x:f>IF(ISNUMBER(INDEX(Backlog!$J$2:$J$180,MATCH($D113,Backlog!$A$2:$A$180,0))),INDEX(Backlog!$J$2:$J$180,MATCH($D113,Backlog!$A$2:$A$180,0)),"")</x:f>
        <x:v>12</x:v>
      </x:c>
      <x:c r="H113" s="206" t="n">
        <x:f>IF(ISNUMBER(INDEX(Backlog!$R$2:$R$180,MATCH($D113,Backlog!$A$2:$A$180,0))),INDEX(Backlog!$R$2:$R$180,MATCH($D113,Backlog!$A$2:$A$180,0)),"")</x:f>
        <x:v>2.742857142857143</x:v>
      </x:c>
      <x:c r="I113" s="206" t="str">
        <x:f>IF(INDEX(Backlog!$M$2:$M$180,MATCH($D113,Backlog!$A$2:$A$180,0))="","",INDEX(Backlog!$M$2:$M$180,MATCH($D113,Backlog!$A$2:$A$180,0)))</x:f>
        <x:v>T-112; T-114; T-119</x:v>
      </x:c>
      <x:c r="J113" s="206" t="str">
        <x:f>IF(INDEX(Backlog!$T$2:$T$180,MATCH($D113,Backlog!$A$2:$A$180,0))="","",INDEX(Backlog!$T$2:$T$180,MATCH($D113,Backlog!$A$2:$A$180,0)))</x:f>
        <x:v>WAIT for Presentation RC freeze/tag + clean index/worktree. Then: T-112 + T-114 + T-119</x:v>
      </x:c>
      <x:c r="K113" s="206" t="str">
        <x:f>IF(INDEX(Backlog!$U$2:$U$180,MATCH($D113,Backlog!$A$2:$A$180,0))="","",INDEX(Backlog!$U$2:$U$180,MATCH($D113,Backlog!$A$2:$A$180,0)))</x:f>
        <x:v>Own named UI/admin task end-to-end only after producer APIs/security are committed.</x:v>
      </x:c>
      <x:c r="L113" s="206" t="str">
        <x:f>IF(INDEX(Backlog!$V$2:$V$180,MATCH($D113,Backlog!$A$2:$A$180,0))="","",INDEX(Backlog!$V$2:$V$180,MATCH($D113,Backlog!$A$2:$A$180,0)))</x:f>
        <x:v>Commit before downstream consumer starts; consumer must use the contract, not redesign producer-owned semantics.</x:v>
      </x:c>
      <x:c r="M113" s="194" t="str">
        <x:f>IF(INDEX(Backlog!$AO$2:$AO$180,MATCH($D113,Backlog!$A$2:$A$180,0))="","",INDEX(Backlog!$AO$2:$AO$180,MATCH($D113,Backlog!$A$2:$A$180,0)))</x:f>
        <x:v>Not started — no completion claimed</x:v>
      </x:c>
      <x:c r="N113" s="194" t="str">
        <x:f>IF(INDEX(Backlog!$AN$2:$AN$180,MATCH($D113,Backlog!$A$2:$A$180,0))="","",INDEX(Backlog!$AN$2:$AN$180,MATCH($D113,Backlog!$A$2:$A$180,0)))</x:f>
      </x:c>
    </x:row>
    <x:row r="114" ht="26" customHeight="1">
      <x:c r="A114" s="206" t="str">
        <x:f>IF(INDEX(Backlog!$L$2:$L$180,MATCH($D114,Backlog!$A$2:$A$180,0))="","",INDEX(Backlog!$L$2:$L$180,MATCH($D114,Backlog!$A$2:$A$180,0)))</x:f>
        <x:v>Worker 2</x:v>
      </x:c>
      <x:c r="B114" s="206" t="str">
        <x:f>IF(INDEX(Backlog!$B$2:$B$180,MATCH($D114,Backlog!$A$2:$A$180,0))="","",INDEX(Backlog!$B$2:$B$180,MATCH($D114,Backlog!$A$2:$A$180,0)))</x:f>
        <x:v>M3</x:v>
      </x:c>
      <x:c r="C114" s="206" t="str">
        <x:f>IF(INDEX(Backlog!$C$2:$C$180,MATCH($D114,Backlog!$A$2:$A$180,0))="","",INDEX(Backlog!$C$2:$C$180,MATCH($D114,Backlog!$A$2:$A$180,0)))</x:f>
        <x:v>P2</x:v>
      </x:c>
      <x:c r="D114" s="206" t="str">
        <x:v>T-199</x:v>
      </x:c>
      <x:c r="E114" s="206" t="str">
        <x:f>IF(INDEX(Backlog!$D$2:$D$180,MATCH($D114,Backlog!$A$2:$A$180,0))="","",INDEX(Backlog!$D$2:$D$180,MATCH($D114,Backlog!$A$2:$A$180,0)))</x:f>
        <x:v>F9 Log Retention and Archival with dry-run, legal hold and no-delete-on-archive-failure</x:v>
      </x:c>
      <x:c r="F114" s="206" t="str">
        <x:f>IF(INDEX(Backlog!$K$2:$K$180,MATCH($D114,Backlog!$A$2:$A$180,0))="","",INDEX(Backlog!$K$2:$K$180,MATCH($D114,Backlog!$A$2:$A$180,0)))</x:f>
        <x:v>Not Started</x:v>
      </x:c>
      <x:c r="G114" s="206" t="n">
        <x:f>IF(ISNUMBER(INDEX(Backlog!$J$2:$J$180,MATCH($D114,Backlog!$A$2:$A$180,0))),INDEX(Backlog!$J$2:$J$180,MATCH($D114,Backlog!$A$2:$A$180,0)),"")</x:f>
        <x:v>12</x:v>
      </x:c>
      <x:c r="H114" s="206" t="n">
        <x:f>IF(ISNUMBER(INDEX(Backlog!$R$2:$R$180,MATCH($D114,Backlog!$A$2:$A$180,0))),INDEX(Backlog!$R$2:$R$180,MATCH($D114,Backlog!$A$2:$A$180,0)),"")</x:f>
        <x:v>2.742857142857143</x:v>
      </x:c>
      <x:c r="I114" s="206" t="str">
        <x:f>IF(INDEX(Backlog!$M$2:$M$180,MATCH($D114,Backlog!$A$2:$A$180,0))="","",INDEX(Backlog!$M$2:$M$180,MATCH($D114,Backlog!$A$2:$A$180,0)))</x:f>
        <x:v>T-124; T-198</x:v>
      </x:c>
      <x:c r="J114" s="206" t="str">
        <x:f>IF(INDEX(Backlog!$T$2:$T$180,MATCH($D114,Backlog!$A$2:$A$180,0))="","",INDEX(Backlog!$T$2:$T$180,MATCH($D114,Backlog!$A$2:$A$180,0)))</x:f>
        <x:v>WAIT for Presentation RC freeze/tag + clean index/worktree. Then: T-124 + T-198</x:v>
      </x:c>
      <x:c r="K114" s="206" t="str">
        <x:f>IF(INDEX(Backlog!$U$2:$U$180,MATCH($D114,Backlog!$A$2:$A$180,0))="","",INDEX(Backlog!$U$2:$U$180,MATCH($D114,Backlog!$A$2:$A$180,0)))</x:f>
        <x:v>Own named UI/admin task end-to-end only after producer APIs/security are committed.</x:v>
      </x:c>
      <x:c r="L114" s="206" t="str">
        <x:f>IF(INDEX(Backlog!$V$2:$V$180,MATCH($D114,Backlog!$A$2:$A$180,0))="","",INDEX(Backlog!$V$2:$V$180,MATCH($D114,Backlog!$A$2:$A$180,0)))</x:f>
        <x:v>Commit before downstream consumer starts; consumer must use the contract, not redesign producer-owned semantics.</x:v>
      </x:c>
      <x:c r="M114" s="194" t="str">
        <x:f>IF(INDEX(Backlog!$AO$2:$AO$180,MATCH($D114,Backlog!$A$2:$A$180,0))="","",INDEX(Backlog!$AO$2:$AO$180,MATCH($D114,Backlog!$A$2:$A$180,0)))</x:f>
        <x:v>Not started — no completion claimed</x:v>
      </x:c>
      <x:c r="N114" s="194" t="str">
        <x:f>IF(INDEX(Backlog!$AN$2:$AN$180,MATCH($D114,Backlog!$A$2:$A$180,0))="","",INDEX(Backlog!$AN$2:$AN$180,MATCH($D114,Backlog!$A$2:$A$180,0)))</x:f>
      </x:c>
    </x:row>
    <x:row r="115" ht="26" customHeight="1">
      <x:c r="A115" s="206" t="str">
        <x:f>IF(INDEX(Backlog!$L$2:$L$180,MATCH($D115,Backlog!$A$2:$A$180,0))="","",INDEX(Backlog!$L$2:$L$180,MATCH($D115,Backlog!$A$2:$A$180,0)))</x:f>
        <x:v>Worker 2</x:v>
      </x:c>
      <x:c r="B115" s="206" t="str">
        <x:f>IF(INDEX(Backlog!$B$2:$B$180,MATCH($D115,Backlog!$A$2:$A$180,0))="","",INDEX(Backlog!$B$2:$B$180,MATCH($D115,Backlog!$A$2:$A$180,0)))</x:f>
        <x:v>M3</x:v>
      </x:c>
      <x:c r="C115" s="206" t="str">
        <x:f>IF(INDEX(Backlog!$C$2:$C$180,MATCH($D115,Backlog!$A$2:$A$180,0))="","",INDEX(Backlog!$C$2:$C$180,MATCH($D115,Backlog!$A$2:$A$180,0)))</x:f>
        <x:v>P2</x:v>
      </x:c>
      <x:c r="D115" s="206" t="str">
        <x:v>T-200</x:v>
      </x:c>
      <x:c r="E115" s="206" t="str">
        <x:f>IF(INDEX(Backlog!$D$2:$D$180,MATCH($D115,Backlog!$A$2:$A$180,0))="","",INDEX(Backlog!$D$2:$D$180,MATCH($D115,Backlog!$A$2:$A$180,0)))</x:f>
        <x:v>F7 System Settings and F8 Translation/Language canonical administration</x:v>
      </x:c>
      <x:c r="F115" s="206" t="str">
        <x:f>IF(INDEX(Backlog!$K$2:$K$180,MATCH($D115,Backlog!$A$2:$A$180,0))="","",INDEX(Backlog!$K$2:$K$180,MATCH($D115,Backlog!$A$2:$A$180,0)))</x:f>
        <x:v>Not Started</x:v>
      </x:c>
      <x:c r="G115" s="206" t="n">
        <x:f>IF(ISNUMBER(INDEX(Backlog!$J$2:$J$180,MATCH($D115,Backlog!$A$2:$A$180,0))),INDEX(Backlog!$J$2:$J$180,MATCH($D115,Backlog!$A$2:$A$180,0)),"")</x:f>
        <x:v>10</x:v>
      </x:c>
      <x:c r="H115" s="206" t="n">
        <x:f>IF(ISNUMBER(INDEX(Backlog!$R$2:$R$180,MATCH($D115,Backlog!$A$2:$A$180,0))),INDEX(Backlog!$R$2:$R$180,MATCH($D115,Backlog!$A$2:$A$180,0)),"")</x:f>
        <x:v>2.285714285714286</x:v>
      </x:c>
      <x:c r="I115" s="206" t="str">
        <x:f>IF(INDEX(Backlog!$M$2:$M$180,MATCH($D115,Backlog!$A$2:$A$180,0))="","",INDEX(Backlog!$M$2:$M$180,MATCH($D115,Backlog!$A$2:$A$180,0)))</x:f>
        <x:v>T-113; T-119; T-216</x:v>
      </x:c>
      <x:c r="J115" s="206" t="str">
        <x:f>IF(INDEX(Backlog!$T$2:$T$180,MATCH($D115,Backlog!$A$2:$A$180,0))="","",INDEX(Backlog!$T$2:$T$180,MATCH($D115,Backlog!$A$2:$A$180,0)))</x:f>
        <x:v>WAIT for Presentation RC freeze/tag + clean index/worktree. Then: T-113 + T-119</x:v>
      </x:c>
      <x:c r="K115" s="206" t="str">
        <x:f>IF(INDEX(Backlog!$U$2:$U$180,MATCH($D115,Backlog!$A$2:$A$180,0))="","",INDEX(Backlog!$U$2:$U$180,MATCH($D115,Backlog!$A$2:$A$180,0)))</x:f>
        <x:v>Own named UI/admin task end-to-end only after producer APIs/security are committed.</x:v>
      </x:c>
      <x:c r="L115" s="206" t="str">
        <x:f>IF(INDEX(Backlog!$V$2:$V$180,MATCH($D115,Backlog!$A$2:$A$180,0))="","",INDEX(Backlog!$V$2:$V$180,MATCH($D115,Backlog!$A$2:$A$180,0)))</x:f>
        <x:v>Commit before downstream consumer starts; consumer must use the contract, not redesign producer-owned semantics.</x:v>
      </x:c>
      <x:c r="M115" s="194" t="str">
        <x:f>IF(INDEX(Backlog!$AO$2:$AO$180,MATCH($D115,Backlog!$A$2:$A$180,0))="","",INDEX(Backlog!$AO$2:$AO$180,MATCH($D115,Backlog!$A$2:$A$180,0)))</x:f>
        <x:v>Not started — no completion claimed</x:v>
      </x:c>
      <x:c r="N115" s="194" t="str">
        <x:f>IF(INDEX(Backlog!$AN$2:$AN$180,MATCH($D115,Backlog!$A$2:$A$180,0))="","",INDEX(Backlog!$AN$2:$AN$180,MATCH($D115,Backlog!$A$2:$A$180,0)))</x:f>
      </x:c>
    </x:row>
    <x:row r="116" ht="26" customHeight="1">
      <x:c r="A116" s="206" t="str">
        <x:f>IF(INDEX(Backlog!$L$2:$L$180,MATCH($D116,Backlog!$A$2:$A$180,0))="","",INDEX(Backlog!$L$2:$L$180,MATCH($D116,Backlog!$A$2:$A$180,0)))</x:f>
        <x:v>Worker 2</x:v>
      </x:c>
      <x:c r="B116" s="206" t="str">
        <x:f>IF(INDEX(Backlog!$B$2:$B$180,MATCH($D116,Backlog!$A$2:$A$180,0))="","",INDEX(Backlog!$B$2:$B$180,MATCH($D116,Backlog!$A$2:$A$180,0)))</x:f>
        <x:v>M3</x:v>
      </x:c>
      <x:c r="C116" s="206" t="str">
        <x:f>IF(INDEX(Backlog!$C$2:$C$180,MATCH($D116,Backlog!$A$2:$A$180,0))="","",INDEX(Backlog!$C$2:$C$180,MATCH($D116,Backlog!$A$2:$A$180,0)))</x:f>
        <x:v>P3</x:v>
      </x:c>
      <x:c r="D116" s="206" t="str">
        <x:v>T-156</x:v>
      </x:c>
      <x:c r="E116" s="206" t="str">
        <x:f>IF(INDEX(Backlog!$D$2:$D$180,MATCH($D116,Backlog!$A$2:$A$180,0))="","",INDEX(Backlog!$D$2:$D$180,MATCH($D116,Backlog!$A$2:$A$180,0)))</x:f>
        <x:v>Customer definitions built through the product</x:v>
      </x:c>
      <x:c r="F116" s="206" t="str">
        <x:f>IF(INDEX(Backlog!$K$2:$K$180,MATCH($D116,Backlog!$A$2:$A$180,0))="","",INDEX(Backlog!$K$2:$K$180,MATCH($D116,Backlog!$A$2:$A$180,0)))</x:f>
        <x:v>Not Started</x:v>
      </x:c>
      <x:c r="G116" s="206" t="n">
        <x:f>IF(ISNUMBER(INDEX(Backlog!$J$2:$J$180,MATCH($D116,Backlog!$A$2:$A$180,0))),INDEX(Backlog!$J$2:$J$180,MATCH($D116,Backlog!$A$2:$A$180,0)),"")</x:f>
        <x:v>12</x:v>
      </x:c>
      <x:c r="H116" s="206" t="n">
        <x:f>IF(ISNUMBER(INDEX(Backlog!$R$2:$R$180,MATCH($D116,Backlog!$A$2:$A$180,0))),INDEX(Backlog!$R$2:$R$180,MATCH($D116,Backlog!$A$2:$A$180,0)),"")</x:f>
        <x:v>7.2</x:v>
      </x:c>
      <x:c r="I116" s="206" t="str">
        <x:f>IF(INDEX(Backlog!$M$2:$M$180,MATCH($D116,Backlog!$A$2:$A$180,0))="","",INDEX(Backlog!$M$2:$M$180,MATCH($D116,Backlog!$A$2:$A$180,0)))</x:f>
      </x:c>
      <x:c r="J116" s="206" t="str">
        <x:f>IF(INDEX(Backlog!$T$2:$T$180,MATCH($D116,Backlog!$A$2:$A$180,0))="","",INDEX(Backlog!$T$2:$T$180,MATCH($D116,Backlog!$A$2:$A$180,0)))</x:f>
        <x:v>WAIT for deployed Release 1 + real customer/site evidence. M3 sequence</x:v>
      </x:c>
      <x:c r="K116" s="206" t="str">
        <x:f>IF(INDEX(Backlog!$U$2:$U$180,MATCH($D116,Backlog!$A$2:$A$180,0))="","",INDEX(Backlog!$U$2:$U$180,MATCH($D116,Backlog!$A$2:$A$180,0)))</x:f>
        <x:v>Own customer-facing UX/docs/website only.</x:v>
      </x:c>
      <x:c r="L116" s="206" t="str">
        <x:f>IF(INDEX(Backlog!$V$2:$V$180,MATCH($D116,Backlog!$A$2:$A$180,0))="","",INDEX(Backlog!$V$2:$V$180,MATCH($D116,Backlog!$A$2:$A$180,0)))</x:f>
        <x:v>Commit before downstream consumer starts; consumer must use the contract, not redesign producer-owned semantics.</x:v>
      </x:c>
      <x:c r="M116" s="194" t="str">
        <x:f>IF(INDEX(Backlog!$AO$2:$AO$180,MATCH($D116,Backlog!$A$2:$A$180,0))="","",INDEX(Backlog!$AO$2:$AO$180,MATCH($D116,Backlog!$A$2:$A$180,0)))</x:f>
        <x:v>Not started — no completion claimed</x:v>
      </x:c>
      <x:c r="N116" s="194" t="str">
        <x:f>IF(INDEX(Backlog!$AN$2:$AN$180,MATCH($D116,Backlog!$A$2:$A$180,0))="","",INDEX(Backlog!$AN$2:$AN$180,MATCH($D116,Backlog!$A$2:$A$180,0)))</x:f>
      </x:c>
    </x:row>
    <x:row r="117" ht="26" customHeight="1">
      <x:c r="A117" s="206" t="str">
        <x:f>IF(INDEX(Backlog!$L$2:$L$180,MATCH($D117,Backlog!$A$2:$A$180,0))="","",INDEX(Backlog!$L$2:$L$180,MATCH($D117,Backlog!$A$2:$A$180,0)))</x:f>
        <x:v>Worker 2</x:v>
      </x:c>
      <x:c r="B117" s="206" t="str">
        <x:f>IF(INDEX(Backlog!$B$2:$B$180,MATCH($D117,Backlog!$A$2:$A$180,0))="","",INDEX(Backlog!$B$2:$B$180,MATCH($D117,Backlog!$A$2:$A$180,0)))</x:f>
        <x:v>M3</x:v>
      </x:c>
      <x:c r="C117" s="206" t="str">
        <x:f>IF(INDEX(Backlog!$C$2:$C$180,MATCH($D117,Backlog!$A$2:$A$180,0))="","",INDEX(Backlog!$C$2:$C$180,MATCH($D117,Backlog!$A$2:$A$180,0)))</x:f>
        <x:v>P3</x:v>
      </x:c>
      <x:c r="D117" s="206" t="str">
        <x:v>T-166</x:v>
      </x:c>
      <x:c r="E117" s="206" t="str">
        <x:f>IF(INDEX(Backlog!$D$2:$D$180,MATCH($D117,Backlog!$A$2:$A$180,0))="","",INDEX(Backlog!$D$2:$D$180,MATCH($D117,Backlog!$A$2:$A$180,0)))</x:f>
        <x:v>Five-product website production completion</x:v>
      </x:c>
      <x:c r="F117" s="206" t="str">
        <x:f>IF(INDEX(Backlog!$K$2:$K$180,MATCH($D117,Backlog!$A$2:$A$180,0))="","",INDEX(Backlog!$K$2:$K$180,MATCH($D117,Backlog!$A$2:$A$180,0)))</x:f>
        <x:v>Not Started</x:v>
      </x:c>
      <x:c r="G117" s="206" t="n">
        <x:f>IF(ISNUMBER(INDEX(Backlog!$J$2:$J$180,MATCH($D117,Backlog!$A$2:$A$180,0))),INDEX(Backlog!$J$2:$J$180,MATCH($D117,Backlog!$A$2:$A$180,0)),"")</x:f>
        <x:v>12</x:v>
      </x:c>
      <x:c r="H117" s="206" t="n">
        <x:f>IF(ISNUMBER(INDEX(Backlog!$R$2:$R$180,MATCH($D117,Backlog!$A$2:$A$180,0))),INDEX(Backlog!$R$2:$R$180,MATCH($D117,Backlog!$A$2:$A$180,0)),"")</x:f>
        <x:v>7.2</x:v>
      </x:c>
      <x:c r="I117" s="206" t="str">
        <x:f>IF(INDEX(Backlog!$M$2:$M$180,MATCH($D117,Backlog!$A$2:$A$180,0))="","",INDEX(Backlog!$M$2:$M$180,MATCH($D117,Backlog!$A$2:$A$180,0)))</x:f>
      </x:c>
      <x:c r="J117" s="206" t="str">
        <x:f>IF(INDEX(Backlog!$T$2:$T$180,MATCH($D117,Backlog!$A$2:$A$180,0))="","",INDEX(Backlog!$T$2:$T$180,MATCH($D117,Backlog!$A$2:$A$180,0)))</x:f>
        <x:v>WAIT for deployed Release 1 + real customer/site evidence. M3 sequence</x:v>
      </x:c>
      <x:c r="K117" s="206" t="str">
        <x:f>IF(INDEX(Backlog!$U$2:$U$180,MATCH($D117,Backlog!$A$2:$A$180,0))="","",INDEX(Backlog!$U$2:$U$180,MATCH($D117,Backlog!$A$2:$A$180,0)))</x:f>
        <x:v>Own customer-facing UX/docs/website only.</x:v>
      </x:c>
      <x:c r="L117" s="206" t="str">
        <x:f>IF(INDEX(Backlog!$V$2:$V$180,MATCH($D117,Backlog!$A$2:$A$180,0))="","",INDEX(Backlog!$V$2:$V$180,MATCH($D117,Backlog!$A$2:$A$180,0)))</x:f>
        <x:v>Commit before downstream consumer starts; consumer must use the contract, not redesign producer-owned semantics.</x:v>
      </x:c>
      <x:c r="M117" s="194" t="str">
        <x:f>IF(INDEX(Backlog!$AO$2:$AO$180,MATCH($D117,Backlog!$A$2:$A$180,0))="","",INDEX(Backlog!$AO$2:$AO$180,MATCH($D117,Backlog!$A$2:$A$180,0)))</x:f>
        <x:v>Not started — no completion claimed</x:v>
      </x:c>
      <x:c r="N117" s="194" t="str">
        <x:f>IF(INDEX(Backlog!$AN$2:$AN$180,MATCH($D117,Backlog!$A$2:$A$180,0))="","",INDEX(Backlog!$AN$2:$AN$180,MATCH($D117,Backlog!$A$2:$A$180,0)))</x:f>
      </x:c>
    </x:row>
    <x:row r="118" ht="26" customHeight="1">
      <x:c r="A118" s="206" t="str">
        <x:f>IF(INDEX(Backlog!$L$2:$L$180,MATCH($D118,Backlog!$A$2:$A$180,0))="","",INDEX(Backlog!$L$2:$L$180,MATCH($D118,Backlog!$A$2:$A$180,0)))</x:f>
        <x:v>Worker 2</x:v>
      </x:c>
      <x:c r="B118" s="206" t="str">
        <x:f>IF(INDEX(Backlog!$B$2:$B$180,MATCH($D118,Backlog!$A$2:$A$180,0))="","",INDEX(Backlog!$B$2:$B$180,MATCH($D118,Backlog!$A$2:$A$180,0)))</x:f>
        <x:v>M3</x:v>
      </x:c>
      <x:c r="C118" s="206" t="str">
        <x:f>IF(INDEX(Backlog!$C$2:$C$180,MATCH($D118,Backlog!$A$2:$A$180,0))="","",INDEX(Backlog!$C$2:$C$180,MATCH($D118,Backlog!$A$2:$A$180,0)))</x:f>
        <x:v>P3</x:v>
      </x:c>
      <x:c r="D118" s="206" t="str">
        <x:v>T-248</x:v>
      </x:c>
      <x:c r="E118" s="206" t="str">
        <x:f>IF(INDEX(Backlog!$D$2:$D$180,MATCH($D118,Backlog!$A$2:$A$180,0))="","",INDEX(Backlog!$D$2:$D$180,MATCH($D118,Backlog!$A$2:$A$180,0)))</x:f>
        <x:v>Advanced enterprise BI and authoring parity closure against the 75-item outcome matrix</x:v>
      </x:c>
      <x:c r="F118" s="206" t="str">
        <x:f>IF(INDEX(Backlog!$K$2:$K$180,MATCH($D118,Backlog!$A$2:$A$180,0))="","",INDEX(Backlog!$K$2:$K$180,MATCH($D118,Backlog!$A$2:$A$180,0)))</x:f>
        <x:v>Not Started</x:v>
      </x:c>
      <x:c r="G118" s="206" t="n">
        <x:f>IF(ISNUMBER(INDEX(Backlog!$J$2:$J$180,MATCH($D118,Backlog!$A$2:$A$180,0))),INDEX(Backlog!$J$2:$J$180,MATCH($D118,Backlog!$A$2:$A$180,0)),"")</x:f>
        <x:v>30</x:v>
      </x:c>
      <x:c r="H118" s="206" t="n">
        <x:f>IF(ISNUMBER(INDEX(Backlog!$R$2:$R$180,MATCH($D118,Backlog!$A$2:$A$180,0))),INDEX(Backlog!$R$2:$R$180,MATCH($D118,Backlog!$A$2:$A$180,0)),"")</x:f>
        <x:v>11.2</x:v>
      </x:c>
      <x:c r="I118" s="206" t="str">
        <x:f>IF(INDEX(Backlog!$M$2:$M$180,MATCH($D118,Backlog!$A$2:$A$180,0))="","",INDEX(Backlog!$M$2:$M$180,MATCH($D118,Backlog!$A$2:$A$180,0)))</x:f>
        <x:v>T-148; T-202; T-203; T-204; T-205; T-228; T-241; T-243; T-244; T-245; T-257; T-267</x:v>
      </x:c>
      <x:c r="J118" s="206" t="str">
        <x:f>IF(INDEX(Backlog!$T$2:$T$180,MATCH($D118,Backlog!$A$2:$A$180,0))="","",INDEX(Backlog!$T$2:$T$180,MATCH($D118,Backlog!$A$2:$A$180,0)))</x:f>
        <x:v>After M2 Release 1 and InsightBoard authoring base</x:v>
      </x:c>
      <x:c r="K118" s="206" t="str">
        <x:f>IF(INDEX(Backlog!$U$2:$U$180,MATCH($D118,Backlog!$A$2:$A$180,0))="","",INDEX(Backlog!$U$2:$U$180,MATCH($D118,Backlog!$A$2:$A$180,0)))</x:f>
        <x:v>Frontend BI / authoring only</x:v>
      </x:c>
      <x:c r="L118" s="206" t="str">
        <x:f>IF(INDEX(Backlog!$V$2:$V$180,MATCH($D118,Backlog!$A$2:$A$180,0))="","",INDEX(Backlog!$V$2:$V$180,MATCH($D118,Backlog!$A$2:$A$180,0)))</x:f>
        <x:v>Reuse the existing BI engine, Page Builder, Canvas, export and selection contracts; do not build a second dashboard engine.</x:v>
      </x:c>
      <x:c r="M118" s="194" t="str">
        <x:f>IF(INDEX(Backlog!$AO$2:$AO$180,MATCH($D118,Backlog!$A$2:$A$180,0))="","",INDEX(Backlog!$AO$2:$AO$180,MATCH($D118,Backlog!$A$2:$A$180,0)))</x:f>
        <x:v>Not started — no completion claimed</x:v>
      </x:c>
      <x:c r="N118" s="194" t="str">
        <x:f>IF(INDEX(Backlog!$AN$2:$AN$180,MATCH($D118,Backlog!$A$2:$A$180,0))="","",INDEX(Backlog!$AN$2:$AN$180,MATCH($D118,Backlog!$A$2:$A$180,0)))</x:f>
      </x:c>
    </x:row>
    <x:row r="119" ht="26" customHeight="1">
      <x:c r="A119" s="206" t="str">
        <x:f>IF(INDEX(Backlog!$L$2:$L$180,MATCH($D119,Backlog!$A$2:$A$180,0))="","",INDEX(Backlog!$L$2:$L$180,MATCH($D119,Backlog!$A$2:$A$180,0)))</x:f>
        <x:v>Worker 2</x:v>
      </x:c>
      <x:c r="B119" s="206" t="str">
        <x:f>IF(INDEX(Backlog!$B$2:$B$180,MATCH($D119,Backlog!$A$2:$A$180,0))="","",INDEX(Backlog!$B$2:$B$180,MATCH($D119,Backlog!$A$2:$A$180,0)))</x:f>
        <x:v>M3</x:v>
      </x:c>
      <x:c r="C119" s="206" t="str">
        <x:f>IF(INDEX(Backlog!$C$2:$C$180,MATCH($D119,Backlog!$A$2:$A$180,0))="","",INDEX(Backlog!$C$2:$C$180,MATCH($D119,Backlog!$A$2:$A$180,0)))</x:f>
        <x:v>P3</x:v>
      </x:c>
      <x:c r="D119" s="206" t="str">
        <x:v>T-263</x:v>
      </x:c>
      <x:c r="E119" s="206" t="str">
        <x:f>IF(INDEX(Backlog!$D$2:$D$180,MATCH($D119,Backlog!$A$2:$A$180,0))="","",INDEX(Backlog!$D$2:$D$180,MATCH($D119,Backlog!$A$2:$A$180,0)))</x:f>
        <x:v>Governed reports, export and scheduled delivery</x:v>
      </x:c>
      <x:c r="F119" s="206" t="str">
        <x:f>IF(INDEX(Backlog!$K$2:$K$180,MATCH($D119,Backlog!$A$2:$A$180,0))="","",INDEX(Backlog!$K$2:$K$180,MATCH($D119,Backlog!$A$2:$A$180,0)))</x:f>
        <x:v>Not Started</x:v>
      </x:c>
      <x:c r="G119" s="206" t="str">
        <x:f>IF(ISNUMBER(INDEX(Backlog!$J$2:$J$180,MATCH($D119,Backlog!$A$2:$A$180,0))),INDEX(Backlog!$J$2:$J$180,MATCH($D119,Backlog!$A$2:$A$180,0)),"")</x:f>
      </x:c>
      <x:c r="H119" s="206" t="str">
        <x:f>IF(ISNUMBER(INDEX(Backlog!$R$2:$R$180,MATCH($D119,Backlog!$A$2:$A$180,0))),INDEX(Backlog!$R$2:$R$180,MATCH($D119,Backlog!$A$2:$A$180,0)),"")</x:f>
      </x:c>
      <x:c r="I119" s="206" t="str">
        <x:f>IF(INDEX(Backlog!$M$2:$M$180,MATCH($D119,Backlog!$A$2:$A$180,0))="","",INDEX(Backlog!$M$2:$M$180,MATCH($D119,Backlog!$A$2:$A$180,0)))</x:f>
        <x:v>T-106; T-248</x:v>
      </x:c>
      <x:c r="J119" s="206" t="str">
        <x:f>IF(INDEX(Backlog!$T$2:$T$180,MATCH($D119,Backlog!$A$2:$A$180,0))="","",INDEX(Backlog!$T$2:$T$180,MATCH($D119,Backlog!$A$2:$A$180,0)))</x:f>
        <x:v>Consume accepted producer contracts; remaining dependencies: T-106; T-248. No private scheduler/definition authority. Source-present is not closure proof.</x:v>
      </x:c>
      <x:c r="K119" s="206" t="str">
        <x:f>IF(INDEX(Backlog!$U$2:$U$180,MATCH($D119,Backlog!$A$2:$A$180,0))="","",INDEX(Backlog!$U$2:$U$180,MATCH($D119,Backlog!$A$2:$A$180,0)))</x:f>
        <x:v>Semantic product filenames only. CENTRAL assigns shared file locks before overlapping worker writes.</x:v>
      </x:c>
      <x:c r="L119" s="206" t="str">
        <x:f>IF(INDEX(Backlog!$V$2:$V$180,MATCH($D119,Backlog!$A$2:$A$180,0))="","",INDEX(Backlog!$V$2:$V$180,MATCH($D119,Backlog!$A$2:$A$180,0)))</x:f>
        <x:v>Reuse current canonical authorities; no shadow lifecycle/registry/scheduler.</x:v>
      </x:c>
      <x:c r="M119" s="194" t="str">
        <x:f>IF(INDEX(Backlog!$AO$2:$AO$180,MATCH($D119,Backlog!$A$2:$A$180,0))="","",INDEX(Backlog!$AO$2:$AO$180,MATCH($D119,Backlog!$A$2:$A$180,0)))</x:f>
        <x:v>Not started — no completion claimed</x:v>
      </x:c>
      <x:c r="N119" s="194" t="str">
        <x:f>IF(INDEX(Backlog!$AN$2:$AN$180,MATCH($D119,Backlog!$A$2:$A$180,0))="","",INDEX(Backlog!$AN$2:$AN$180,MATCH($D119,Backlog!$A$2:$A$180,0)))</x:f>
      </x:c>
    </x:row>
    <x:row r="120" ht="26" customHeight="1">
      <x:c r="A120" s="206" t="str">
        <x:f>IF(INDEX(Backlog!$L$2:$L$180,MATCH($D120,Backlog!$A$2:$A$180,0))="","",INDEX(Backlog!$L$2:$L$180,MATCH($D120,Backlog!$A$2:$A$180,0)))</x:f>
        <x:v>Worker 2</x:v>
      </x:c>
      <x:c r="B120" s="206" t="str">
        <x:f>IF(INDEX(Backlog!$B$2:$B$180,MATCH($D120,Backlog!$A$2:$A$180,0))="","",INDEX(Backlog!$B$2:$B$180,MATCH($D120,Backlog!$A$2:$A$180,0)))</x:f>
        <x:v>M3</x:v>
      </x:c>
      <x:c r="C120" s="206" t="str">
        <x:f>IF(INDEX(Backlog!$C$2:$C$180,MATCH($D120,Backlog!$A$2:$A$180,0))="","",INDEX(Backlog!$C$2:$C$180,MATCH($D120,Backlog!$A$2:$A$180,0)))</x:f>
        <x:v>P3</x:v>
      </x:c>
      <x:c r="D120" s="206" t="str">
        <x:v>T-267</x:v>
      </x:c>
      <x:c r="E120" s="206" t="str">
        <x:f>IF(INDEX(Backlog!$D$2:$D$180,MATCH($D120,Backlog!$A$2:$A$180,0))="","",INDEX(Backlog!$D$2:$D$180,MATCH($D120,Backlog!$A$2:$A$180,0)))</x:f>
        <x:v>Release-2 interface depth and enterprise BI/authoring parity design</x:v>
      </x:c>
      <x:c r="F120" s="206" t="str">
        <x:f>IF(INDEX(Backlog!$K$2:$K$180,MATCH($D120,Backlog!$A$2:$A$180,0))="","",INDEX(Backlog!$K$2:$K$180,MATCH($D120,Backlog!$A$2:$A$180,0)))</x:f>
        <x:v>Not Started</x:v>
      </x:c>
      <x:c r="G120" s="206" t="str">
        <x:f>IF(ISNUMBER(INDEX(Backlog!$J$2:$J$180,MATCH($D120,Backlog!$A$2:$A$180,0))),INDEX(Backlog!$J$2:$J$180,MATCH($D120,Backlog!$A$2:$A$180,0)),"")</x:f>
      </x:c>
      <x:c r="H120" s="206" t="str">
        <x:f>IF(ISNUMBER(INDEX(Backlog!$R$2:$R$180,MATCH($D120,Backlog!$A$2:$A$180,0))),INDEX(Backlog!$R$2:$R$180,MATCH($D120,Backlog!$A$2:$A$180,0)),"")</x:f>
      </x:c>
      <x:c r="I120" s="206" t="str">
        <x:f>IF(INDEX(Backlog!$M$2:$M$180,MATCH($D120,Backlog!$A$2:$A$180,0))="","",INDEX(Backlog!$M$2:$M$180,MATCH($D120,Backlog!$A$2:$A$180,0)))</x:f>
        <x:v>T-265</x:v>
      </x:c>
      <x:c r="J120" s="206" t="str">
        <x:f>IF(INDEX(Backlog!$T$2:$T$180,MATCH($D120,Backlog!$A$2:$A$180,0))="","",INDEX(Backlog!$T$2:$T$180,MATCH($D120,Backlog!$A$2:$A$180,0)))</x:f>
        <x:v>Read v4.10.3 and frozen producer contracts. Contract-ready does not require producer completion; final design acceptance requires recorded walkthrough evidence.</x:v>
      </x:c>
      <x:c r="K120" s="206" t="str">
        <x:f>IF(INDEX(Backlog!$U$2:$U$180,MATCH($D120,Backlog!$A$2:$A$180,0))="","",INDEX(Backlog!$U$2:$U$180,MATCH($D120,Backlog!$A$2:$A$180,0)))</x:f>
        <x:v>UI companion M3 subset; shared token/atlas/Word merge owned by CENTRAL; no duplicate functional authority.</x:v>
      </x:c>
      <x:c r="L120" s="206" t="str">
        <x:f>IF(INDEX(Backlog!$V$2:$V$180,MATCH($D120,Backlog!$A$2:$A$180,0))="","",INDEX(Backlog!$V$2:$V$180,MATCH($D120,Backlog!$A$2:$A$180,0)))</x:f>
        <x:v>UI design completion is not product implementation completion. Reuse the current authorities/components; use per-surface handoffs and no shared-file concurrent writes.</x:v>
      </x:c>
      <x:c r="M120" s="194" t="str">
        <x:f>IF(INDEX(Backlog!$AO$2:$AO$180,MATCH($D120,Backlog!$A$2:$A$180,0))="","",INDEX(Backlog!$AO$2:$AO$180,MATCH($D120,Backlog!$A$2:$A$180,0)))</x:f>
        <x:v>NOT STARTED — DESIGN DELIVERY</x:v>
      </x:c>
      <x:c r="N120" s="194" t="str">
        <x:f>IF(INDEX(Backlog!$AN$2:$AN$180,MATCH($D120,Backlog!$A$2:$A$180,0))="","",INDEX(Backlog!$AN$2:$AN$180,MATCH($D120,Backlog!$A$2:$A$180,0)))</x:f>
        <x:v>T-248; T-263; T-264; T-196; T-197; T-198; T-199; T-200</x:v>
      </x:c>
    </x:row>
    <x:row r="121" ht="26" customHeight="1">
      <x:c r="A121" s="206" t="str">
        <x:f>IF(INDEX(Backlog!$L$2:$L$180,MATCH($D121,Backlog!$A$2:$A$180,0))="","",INDEX(Backlog!$L$2:$L$180,MATCH($D121,Backlog!$A$2:$A$180,0)))</x:f>
        <x:v>Worker 2</x:v>
      </x:c>
      <x:c r="B121" s="206" t="str">
        <x:f>IF(INDEX(Backlog!$B$2:$B$180,MATCH($D121,Backlog!$A$2:$A$180,0))="","",INDEX(Backlog!$B$2:$B$180,MATCH($D121,Backlog!$A$2:$A$180,0)))</x:f>
        <x:v>M3</x:v>
      </x:c>
      <x:c r="C121" s="206" t="str">
        <x:f>IF(INDEX(Backlog!$C$2:$C$180,MATCH($D121,Backlog!$A$2:$A$180,0))="","",INDEX(Backlog!$C$2:$C$180,MATCH($D121,Backlog!$A$2:$A$180,0)))</x:f>
        <x:v>P4</x:v>
      </x:c>
      <x:c r="D121" s="206" t="str">
        <x:v>T-246</x:v>
      </x:c>
      <x:c r="E121" s="206" t="str">
        <x:f>IF(INDEX(Backlog!$D$2:$D$180,MATCH($D121,Backlog!$A$2:$A$180,0))="","",INDEX(Backlog!$D$2:$D$180,MATCH($D121,Backlog!$A$2:$A$180,0)))</x:f>
        <x:v>Canvas governed model/intelligence block invocation</x:v>
      </x:c>
      <x:c r="F121" s="206" t="str">
        <x:f>IF(INDEX(Backlog!$K$2:$K$180,MATCH($D121,Backlog!$A$2:$A$180,0))="","",INDEX(Backlog!$K$2:$K$180,MATCH($D121,Backlog!$A$2:$A$180,0)))</x:f>
        <x:v>Not Started</x:v>
      </x:c>
      <x:c r="G121" s="206" t="n">
        <x:f>IF(ISNUMBER(INDEX(Backlog!$J$2:$J$180,MATCH($D121,Backlog!$A$2:$A$180,0))),INDEX(Backlog!$J$2:$J$180,MATCH($D121,Backlog!$A$2:$A$180,0)),"")</x:f>
        <x:v>11</x:v>
      </x:c>
      <x:c r="H121" s="206" t="n">
        <x:f>IF(ISNUMBER(INDEX(Backlog!$R$2:$R$180,MATCH($D121,Backlog!$A$2:$A$180,0))),INDEX(Backlog!$R$2:$R$180,MATCH($D121,Backlog!$A$2:$A$180,0)),"")</x:f>
        <x:v>4.7</x:v>
      </x:c>
      <x:c r="I121" s="206" t="str">
        <x:f>IF(INDEX(Backlog!$M$2:$M$180,MATCH($D121,Backlog!$A$2:$A$180,0))="","",INDEX(Backlog!$M$2:$M$180,MATCH($D121,Backlog!$A$2:$A$180,0)))</x:f>
        <x:v>T-243; T-130; T-137; T-187</x:v>
      </x:c>
      <x:c r="J121" s="206" t="str">
        <x:f>IF(INDEX(Backlog!$T$2:$T$180,MATCH($D121,Backlog!$A$2:$A$180,0))="","",INDEX(Backlog!$T$2:$T$180,MATCH($D121,Backlog!$A$2:$A$180,0)))</x:f>
        <x:v>Consume accepted producer contracts; remaining dependencies: T-243; T-130; T-137; T-187. No private scheduler/definition authority. Source-present is not closure proof.</x:v>
      </x:c>
      <x:c r="K121" s="206" t="str">
        <x:f>IF(INDEX(Backlog!$U$2:$U$180,MATCH($D121,Backlog!$A$2:$A$180,0))="","",INDEX(Backlog!$U$2:$U$180,MATCH($D121,Backlog!$A$2:$A$180,0)))</x:f>
        <x:v>Canvas model/intelligence block adapters only.</x:v>
      </x:c>
      <x:c r="L121" s="206" t="str">
        <x:f>IF(INDEX(Backlog!$V$2:$V$180,MATCH($D121,Backlog!$A$2:$A$180,0))="","",INDEX(Backlog!$V$2:$V$180,MATCH($D121,Backlog!$A$2:$A$180,0)))</x:f>
        <x:v>T-130/model registry and T-137 serving runtime remain authorities.</x:v>
      </x:c>
      <x:c r="M121" s="194" t="str">
        <x:f>IF(INDEX(Backlog!$AO$2:$AO$180,MATCH($D121,Backlog!$A$2:$A$180,0))="","",INDEX(Backlog!$AO$2:$AO$180,MATCH($D121,Backlog!$A$2:$A$180,0)))</x:f>
        <x:v>Not started — no completion claimed</x:v>
      </x:c>
      <x:c r="N121" s="194" t="str">
        <x:f>IF(INDEX(Backlog!$AN$2:$AN$180,MATCH($D121,Backlog!$A$2:$A$180,0))="","",INDEX(Backlog!$AN$2:$AN$180,MATCH($D121,Backlog!$A$2:$A$180,0)))</x:f>
      </x:c>
    </x:row>
    <x:row r="122" ht="26" customHeight="1">
      <x:c r="A122" s="206" t="str">
        <x:f>IF(INDEX(Backlog!$L$2:$L$180,MATCH($D122,Backlog!$A$2:$A$180,0))="","",INDEX(Backlog!$L$2:$L$180,MATCH($D122,Backlog!$A$2:$A$180,0)))</x:f>
        <x:v>Worker 2</x:v>
      </x:c>
      <x:c r="B122" s="206" t="str">
        <x:f>IF(INDEX(Backlog!$B$2:$B$180,MATCH($D122,Backlog!$A$2:$A$180,0))="","",INDEX(Backlog!$B$2:$B$180,MATCH($D122,Backlog!$A$2:$A$180,0)))</x:f>
        <x:v>M3</x:v>
      </x:c>
      <x:c r="C122" s="206" t="str">
        <x:f>IF(INDEX(Backlog!$C$2:$C$180,MATCH($D122,Backlog!$A$2:$A$180,0))="","",INDEX(Backlog!$C$2:$C$180,MATCH($D122,Backlog!$A$2:$A$180,0)))</x:f>
        <x:v>P5</x:v>
      </x:c>
      <x:c r="D122" s="206" t="str">
        <x:v>T-167</x:v>
      </x:c>
      <x:c r="E122" s="206" t="str">
        <x:f>IF(INDEX(Backlog!$D$2:$D$180,MATCH($D122,Backlog!$A$2:$A$180,0))="","",INDEX(Backlog!$D$2:$D$180,MATCH($D122,Backlog!$A$2:$A$180,0)))</x:f>
        <x:v>Documentation, training and production acceptance</x:v>
      </x:c>
      <x:c r="F122" s="206" t="str">
        <x:f>IF(INDEX(Backlog!$K$2:$K$180,MATCH($D122,Backlog!$A$2:$A$180,0))="","",INDEX(Backlog!$K$2:$K$180,MATCH($D122,Backlog!$A$2:$A$180,0)))</x:f>
        <x:v>Not Started</x:v>
      </x:c>
      <x:c r="G122" s="206" t="n">
        <x:f>IF(ISNUMBER(INDEX(Backlog!$J$2:$J$180,MATCH($D122,Backlog!$A$2:$A$180,0))),INDEX(Backlog!$J$2:$J$180,MATCH($D122,Backlog!$A$2:$A$180,0)),"")</x:f>
        <x:v>12</x:v>
      </x:c>
      <x:c r="H122" s="206" t="n">
        <x:f>IF(ISNUMBER(INDEX(Backlog!$R$2:$R$180,MATCH($D122,Backlog!$A$2:$A$180,0))),INDEX(Backlog!$R$2:$R$180,MATCH($D122,Backlog!$A$2:$A$180,0)),"")</x:f>
        <x:v>7.2</x:v>
      </x:c>
      <x:c r="I122" s="206" t="str">
        <x:f>IF(INDEX(Backlog!$M$2:$M$180,MATCH($D122,Backlog!$A$2:$A$180,0))="","",INDEX(Backlog!$M$2:$M$180,MATCH($D122,Backlog!$A$2:$A$180,0)))</x:f>
      </x:c>
      <x:c r="J122" s="206" t="str">
        <x:f>IF(INDEX(Backlog!$T$2:$T$180,MATCH($D122,Backlog!$A$2:$A$180,0))="","",INDEX(Backlog!$T$2:$T$180,MATCH($D122,Backlog!$A$2:$A$180,0)))</x:f>
        <x:v>WAIT for deployed Release 1 + real customer/site evidence. M3 sequence</x:v>
      </x:c>
      <x:c r="K122" s="206" t="str">
        <x:f>IF(INDEX(Backlog!$U$2:$U$180,MATCH($D122,Backlog!$A$2:$A$180,0))="","",INDEX(Backlog!$U$2:$U$180,MATCH($D122,Backlog!$A$2:$A$180,0)))</x:f>
        <x:v>Own customer-facing UX/docs/website only.</x:v>
      </x:c>
      <x:c r="L122" s="206" t="str">
        <x:f>IF(INDEX(Backlog!$V$2:$V$180,MATCH($D122,Backlog!$A$2:$A$180,0))="","",INDEX(Backlog!$V$2:$V$180,MATCH($D122,Backlog!$A$2:$A$180,0)))</x:f>
        <x:v>Commit before downstream consumer starts; consumer must use the contract, not redesign producer-owned semantics.</x:v>
      </x:c>
      <x:c r="M122" s="194" t="str">
        <x:f>IF(INDEX(Backlog!$AO$2:$AO$180,MATCH($D122,Backlog!$A$2:$A$180,0))="","",INDEX(Backlog!$AO$2:$AO$180,MATCH($D122,Backlog!$A$2:$A$180,0)))</x:f>
        <x:v>Not started — no completion claimed</x:v>
      </x:c>
      <x:c r="N122" s="194" t="str">
        <x:f>IF(INDEX(Backlog!$AN$2:$AN$180,MATCH($D122,Backlog!$A$2:$A$180,0))="","",INDEX(Backlog!$AN$2:$AN$180,MATCH($D122,Backlog!$A$2:$A$180,0)))</x:f>
      </x:c>
    </x:row>
    <x:row r="123" ht="26" customHeight="1">
      <x:c r="A123" s="206" t="str">
        <x:f>IF(INDEX(Backlog!$L$2:$L$180,MATCH($D123,Backlog!$A$2:$A$180,0))="","",INDEX(Backlog!$L$2:$L$180,MATCH($D123,Backlog!$A$2:$A$180,0)))</x:f>
        <x:v>Worker 3</x:v>
      </x:c>
      <x:c r="B123" s="206" t="str">
        <x:f>IF(INDEX(Backlog!$B$2:$B$180,MATCH($D123,Backlog!$A$2:$A$180,0))="","",INDEX(Backlog!$B$2:$B$180,MATCH($D123,Backlog!$A$2:$A$180,0)))</x:f>
        <x:v>M2</x:v>
      </x:c>
      <x:c r="C123" s="206" t="str">
        <x:f>IF(INDEX(Backlog!$C$2:$C$180,MATCH($D123,Backlog!$A$2:$A$180,0))="","",INDEX(Backlog!$C$2:$C$180,MATCH($D123,Backlog!$A$2:$A$180,0)))</x:f>
        <x:v>P1</x:v>
      </x:c>
      <x:c r="D123" s="206" t="str">
        <x:v>T-206</x:v>
      </x:c>
      <x:c r="E123" s="206" t="str">
        <x:f>IF(INDEX(Backlog!$D$2:$D$180,MATCH($D123,Backlog!$A$2:$A$180,0))="","",INDEX(Backlog!$D$2:$D$180,MATCH($D123,Backlog!$A$2:$A$180,0)))</x:f>
        <x:v>Scope-aware genericity architecture gate</x:v>
      </x:c>
      <x:c r="F123" s="206" t="str">
        <x:f>IF(INDEX(Backlog!$K$2:$K$180,MATCH($D123,Backlog!$A$2:$A$180,0))="","",INDEX(Backlog!$K$2:$K$180,MATCH($D123,Backlog!$A$2:$A$180,0)))</x:f>
        <x:v>Done</x:v>
      </x:c>
      <x:c r="G123" s="206" t="n">
        <x:f>IF(ISNUMBER(INDEX(Backlog!$J$2:$J$180,MATCH($D123,Backlog!$A$2:$A$180,0))),INDEX(Backlog!$J$2:$J$180,MATCH($D123,Backlog!$A$2:$A$180,0)),"")</x:f>
        <x:v>8</x:v>
      </x:c>
      <x:c r="H123" s="206" t="n">
        <x:f>IF(ISNUMBER(INDEX(Backlog!$R$2:$R$180,MATCH($D123,Backlog!$A$2:$A$180,0))),INDEX(Backlog!$R$2:$R$180,MATCH($D123,Backlog!$A$2:$A$180,0)),"")</x:f>
        <x:v>2</x:v>
      </x:c>
      <x:c r="I123" s="206" t="str">
        <x:f>IF(INDEX(Backlog!$M$2:$M$180,MATCH($D123,Backlog!$A$2:$A$180,0))="","",INDEX(Backlog!$M$2:$M$180,MATCH($D123,Backlog!$A$2:$A$180,0)))</x:f>
        <x:v>T-201</x:v>
      </x:c>
      <x:c r="J123" s="206" t="str">
        <x:f>IF(INDEX(Backlog!$T$2:$T$180,MATCH($D123,Backlog!$A$2:$A$180,0))="","",INDEX(Backlog!$T$2:$T$180,MATCH($D123,Backlog!$A$2:$A$180,0)))</x:f>
        <x:v>T-201. Isolated architecture test files only until each product owner consumes findings.</x:v>
      </x:c>
      <x:c r="K123" s="206" t="str">
        <x:f>IF(INDEX(Backlog!$U$2:$U$180,MATCH($D123,Backlog!$A$2:$A$180,0))="","",INDEX(Backlog!$U$2:$U$180,MATCH($D123,Backlog!$A$2:$A$180,0)))</x:f>
        <x:v>Architecture/genericity tests only; no W1 schema or W2 UI mutation.</x:v>
      </x:c>
      <x:c r="L123" s="206" t="str">
        <x:f>IF(INDEX(Backlog!$V$2:$V$180,MATCH($D123,Backlog!$A$2:$A$180,0))="","",INDEX(Backlog!$V$2:$V$180,MATCH($D123,Backlog!$A$2:$A$180,0)))</x:f>
        <x:v>Violations are routed to the owning task/file; Worker 3 does not fix foreign files.</x:v>
      </x:c>
      <x:c r="M123" s="194" t="str">
        <x:f>IF(INDEX(Backlog!$AO$2:$AO$180,MATCH($D123,Backlog!$A$2:$A$180,0))="","",INDEX(Backlog!$AO$2:$AO$180,MATCH($D123,Backlog!$A$2:$A$180,0)))</x:f>
        <x:v>Recorded closed — inherited evidence</x:v>
      </x:c>
      <x:c r="N123" s="194" t="str">
        <x:f>IF(INDEX(Backlog!$AN$2:$AN$180,MATCH($D123,Backlog!$A$2:$A$180,0))="","",INDEX(Backlog!$AN$2:$AN$180,MATCH($D123,Backlog!$A$2:$A$180,0)))</x:f>
      </x:c>
    </x:row>
    <x:row r="124" ht="26" customHeight="1">
      <x:c r="A124" s="206" t="str">
        <x:f>IF(INDEX(Backlog!$L$2:$L$180,MATCH($D124,Backlog!$A$2:$A$180,0))="","",INDEX(Backlog!$L$2:$L$180,MATCH($D124,Backlog!$A$2:$A$180,0)))</x:f>
        <x:v>Worker 3</x:v>
      </x:c>
      <x:c r="B124" s="206" t="str">
        <x:f>IF(INDEX(Backlog!$B$2:$B$180,MATCH($D124,Backlog!$A$2:$A$180,0))="","",INDEX(Backlog!$B$2:$B$180,MATCH($D124,Backlog!$A$2:$A$180,0)))</x:f>
        <x:v>M2</x:v>
      </x:c>
      <x:c r="C124" s="206" t="str">
        <x:f>IF(INDEX(Backlog!$C$2:$C$180,MATCH($D124,Backlog!$A$2:$A$180,0))="","",INDEX(Backlog!$C$2:$C$180,MATCH($D124,Backlog!$A$2:$A$180,0)))</x:f>
        <x:v>P1</x:v>
      </x:c>
      <x:c r="D124" s="206" t="str">
        <x:v>T-208</x:v>
      </x:c>
      <x:c r="E124" s="206" t="str">
        <x:f>IF(INDEX(Backlog!$D$2:$D$180,MATCH($D124,Backlog!$A$2:$A$180,0))="","",INDEX(Backlog!$D$2:$D$180,MATCH($D124,Backlog!$A$2:$A$180,0)))</x:f>
        <x:v>Generic controlled validation fixture authority and continuous-process known-answer pack</x:v>
      </x:c>
      <x:c r="F124" s="206" t="str">
        <x:f>IF(INDEX(Backlog!$K$2:$K$180,MATCH($D124,Backlog!$A$2:$A$180,0))="","",INDEX(Backlog!$K$2:$K$180,MATCH($D124,Backlog!$A$2:$A$180,0)))</x:f>
        <x:v>Done</x:v>
      </x:c>
      <x:c r="G124" s="206" t="n">
        <x:f>IF(ISNUMBER(INDEX(Backlog!$J$2:$J$180,MATCH($D124,Backlog!$A$2:$A$180,0))),INDEX(Backlog!$J$2:$J$180,MATCH($D124,Backlog!$A$2:$A$180,0)),"")</x:f>
        <x:v>10</x:v>
      </x:c>
      <x:c r="H124" s="206" t="n">
        <x:f>IF(ISNUMBER(INDEX(Backlog!$R$2:$R$180,MATCH($D124,Backlog!$A$2:$A$180,0))),INDEX(Backlog!$R$2:$R$180,MATCH($D124,Backlog!$A$2:$A$180,0)),"")</x:f>
        <x:v>2.5</x:v>
      </x:c>
      <x:c r="I124" s="206" t="str">
        <x:f>IF(INDEX(Backlog!$M$2:$M$180,MATCH($D124,Backlog!$A$2:$A$180,0))="","",INDEX(Backlog!$M$2:$M$180,MATCH($D124,Backlog!$A$2:$A$180,0)))</x:f>
        <x:v>T-201</x:v>
      </x:c>
      <x:c r="J124" s="206" t="str">
        <x:f>IF(INDEX(Backlog!$T$2:$T$180,MATCH($D124,Backlog!$A$2:$A$180,0))="","",INDEX(Backlog!$T$2:$T$180,MATCH($D124,Backlog!$A$2:$A$180,0)))</x:f>
        <x:v>T-201. May run in parallel with T-206; no production DB migration/DI.</x:v>
      </x:c>
      <x:c r="K124" s="206" t="str">
        <x:f>IF(INDEX(Backlog!$U$2:$U$180,MATCH($D124,Backlog!$A$2:$A$180,0))="","",INDEX(Backlog!$U$2:$U$180,MATCH($D124,Backlog!$A$2:$A$180,0)))</x:f>
        <x:v>New generic fixture/test assets only.</x:v>
      </x:c>
      <x:c r="L124" s="206" t="str">
        <x:f>IF(INDEX(Backlog!$V$2:$V$180,MATCH($D124,Backlog!$A$2:$A$180,0))="","",INDEX(Backlog!$V$2:$V$180,MATCH($D124,Backlog!$A$2:$A$180,0)))</x:f>
        <x:v>T-211/T-217/T-219 consume this fixture; they never read planted expected answers at runtime.</x:v>
      </x:c>
      <x:c r="M124" s="194" t="str">
        <x:f>IF(INDEX(Backlog!$AO$2:$AO$180,MATCH($D124,Backlog!$A$2:$A$180,0))="","",INDEX(Backlog!$AO$2:$AO$180,MATCH($D124,Backlog!$A$2:$A$180,0)))</x:f>
        <x:v>Recorded closed — inherited evidence</x:v>
      </x:c>
      <x:c r="N124" s="194" t="str">
        <x:f>IF(INDEX(Backlog!$AN$2:$AN$180,MATCH($D124,Backlog!$A$2:$A$180,0))="","",INDEX(Backlog!$AN$2:$AN$180,MATCH($D124,Backlog!$A$2:$A$180,0)))</x:f>
      </x:c>
    </x:row>
    <x:row r="125" ht="26" customHeight="1">
      <x:c r="A125" s="206" t="str">
        <x:f>IF(INDEX(Backlog!$L$2:$L$180,MATCH($D125,Backlog!$A$2:$A$180,0))="","",INDEX(Backlog!$L$2:$L$180,MATCH($D125,Backlog!$A$2:$A$180,0)))</x:f>
        <x:v>Worker 3</x:v>
      </x:c>
      <x:c r="B125" s="206" t="str">
        <x:f>IF(INDEX(Backlog!$B$2:$B$180,MATCH($D125,Backlog!$A$2:$A$180,0))="","",INDEX(Backlog!$B$2:$B$180,MATCH($D125,Backlog!$A$2:$A$180,0)))</x:f>
        <x:v>M2</x:v>
      </x:c>
      <x:c r="C125" s="206" t="str">
        <x:f>IF(INDEX(Backlog!$C$2:$C$180,MATCH($D125,Backlog!$A$2:$A$180,0))="","",INDEX(Backlog!$C$2:$C$180,MATCH($D125,Backlog!$A$2:$A$180,0)))</x:f>
        <x:v>P1</x:v>
      </x:c>
      <x:c r="D125" s="206" t="str">
        <x:v>T-209</x:v>
      </x:c>
      <x:c r="E125" s="206" t="str">
        <x:f>IF(INDEX(Backlog!$D$2:$D$180,MATCH($D125,Backlog!$A$2:$A$180,0))="","",INDEX(Backlog!$D$2:$D$180,MATCH($D125,Backlog!$A$2:$A$180,0)))</x:f>
        <x:v>Analysis Subject and Grain contract + schema-independent resolution kernel</x:v>
      </x:c>
      <x:c r="F125" s="206" t="str">
        <x:f>IF(INDEX(Backlog!$K$2:$K$180,MATCH($D125,Backlog!$A$2:$A$180,0))="","",INDEX(Backlog!$K$2:$K$180,MATCH($D125,Backlog!$A$2:$A$180,0)))</x:f>
        <x:v>Done</x:v>
      </x:c>
      <x:c r="G125" s="206" t="n">
        <x:f>IF(ISNUMBER(INDEX(Backlog!$J$2:$J$180,MATCH($D125,Backlog!$A$2:$A$180,0))),INDEX(Backlog!$J$2:$J$180,MATCH($D125,Backlog!$A$2:$A$180,0)),"")</x:f>
        <x:v>6</x:v>
      </x:c>
      <x:c r="H125" s="206" t="n">
        <x:f>IF(ISNUMBER(INDEX(Backlog!$R$2:$R$180,MATCH($D125,Backlog!$A$2:$A$180,0))),INDEX(Backlog!$R$2:$R$180,MATCH($D125,Backlog!$A$2:$A$180,0)),"")</x:f>
        <x:v>1.5</x:v>
      </x:c>
      <x:c r="I125" s="206" t="str">
        <x:f>IF(INDEX(Backlog!$M$2:$M$180,MATCH($D125,Backlog!$A$2:$A$180,0))="","",INDEX(Backlog!$M$2:$M$180,MATCH($D125,Backlog!$A$2:$A$180,0)))</x:f>
        <x:v>T-208</x:v>
      </x:c>
      <x:c r="J125" s="206" t="str">
        <x:f>IF(INDEX(Backlog!$T$2:$T$180,MATCH($D125,Backlog!$A$2:$A$180,0))="","",INDEX(Backlog!$T$2:$T$180,MATCH($D125,Backlog!$A$2:$A$180,0)))</x:f>
        <x:v>T-208 only; no production DB dependency.</x:v>
      </x:c>
      <x:c r="K125" s="206" t="str">
        <x:f>IF(INDEX(Backlog!$U$2:$U$180,MATCH($D125,Backlog!$A$2:$A$180,0))="","",INDEX(Backlog!$U$2:$U$180,MATCH($D125,Backlog!$A$2:$A$180,0)))</x:f>
        <x:v>New generic contract/kernel/tests only.</x:v>
      </x:c>
      <x:c r="L125" s="206" t="str">
        <x:f>IF(INDEX(Backlog!$V$2:$V$180,MATCH($D125,Backlog!$A$2:$A$180,0))="","",INDEX(Backlog!$V$2:$V$180,MATCH($D125,Backlog!$A$2:$A$180,0)))</x:f>
        <x:v>T-231 persists this contract; downstream consumers bind to contract, not table shape.</x:v>
      </x:c>
      <x:c r="M125" s="194" t="str">
        <x:f>IF(INDEX(Backlog!$AO$2:$AO$180,MATCH($D125,Backlog!$A$2:$A$180,0))="","",INDEX(Backlog!$AO$2:$AO$180,MATCH($D125,Backlog!$A$2:$A$180,0)))</x:f>
        <x:v>Recorded closed — inherited evidence</x:v>
      </x:c>
      <x:c r="N125" s="194" t="str">
        <x:f>IF(INDEX(Backlog!$AN$2:$AN$180,MATCH($D125,Backlog!$A$2:$A$180,0))="","",INDEX(Backlog!$AN$2:$AN$180,MATCH($D125,Backlog!$A$2:$A$180,0)))</x:f>
      </x:c>
    </x:row>
    <x:row r="126" ht="26" customHeight="1">
      <x:c r="A126" s="206" t="str">
        <x:f>IF(INDEX(Backlog!$L$2:$L$180,MATCH($D126,Backlog!$A$2:$A$180,0))="","",INDEX(Backlog!$L$2:$L$180,MATCH($D126,Backlog!$A$2:$A$180,0)))</x:f>
        <x:v>Worker 3</x:v>
      </x:c>
      <x:c r="B126" s="206" t="str">
        <x:f>IF(INDEX(Backlog!$B$2:$B$180,MATCH($D126,Backlog!$A$2:$A$180,0))="","",INDEX(Backlog!$B$2:$B$180,MATCH($D126,Backlog!$A$2:$A$180,0)))</x:f>
        <x:v>M2</x:v>
      </x:c>
      <x:c r="C126" s="206" t="str">
        <x:f>IF(INDEX(Backlog!$C$2:$C$180,MATCH($D126,Backlog!$A$2:$A$180,0))="","",INDEX(Backlog!$C$2:$C$180,MATCH($D126,Backlog!$A$2:$A$180,0)))</x:f>
        <x:v>P1</x:v>
      </x:c>
      <x:c r="D126" s="206" t="str">
        <x:v>T-216</x:v>
      </x:c>
      <x:c r="E126" s="206" t="str">
        <x:f>IF(INDEX(Backlog!$D$2:$D$180,MATCH($D126,Backlog!$A$2:$A$180,0))="","",INDEX(Backlog!$D$2:$D$180,MATCH($D126,Backlog!$A$2:$A$180,0)))</x:f>
        <x:v>Source Time Authority contract and timestamp-semantics kernel</x:v>
      </x:c>
      <x:c r="F126" s="206" t="str">
        <x:f>IF(INDEX(Backlog!$K$2:$K$180,MATCH($D126,Backlog!$A$2:$A$180,0))="","",INDEX(Backlog!$K$2:$K$180,MATCH($D126,Backlog!$A$2:$A$180,0)))</x:f>
        <x:v>Done</x:v>
      </x:c>
      <x:c r="G126" s="206" t="n">
        <x:f>IF(ISNUMBER(INDEX(Backlog!$J$2:$J$180,MATCH($D126,Backlog!$A$2:$A$180,0))),INDEX(Backlog!$J$2:$J$180,MATCH($D126,Backlog!$A$2:$A$180,0)),"")</x:f>
        <x:v>5</x:v>
      </x:c>
      <x:c r="H126" s="206" t="n">
        <x:f>IF(ISNUMBER(INDEX(Backlog!$R$2:$R$180,MATCH($D126,Backlog!$A$2:$A$180,0))),INDEX(Backlog!$R$2:$R$180,MATCH($D126,Backlog!$A$2:$A$180,0)),"")</x:f>
        <x:v>1.25</x:v>
      </x:c>
      <x:c r="I126" s="206" t="str">
        <x:f>IF(INDEX(Backlog!$M$2:$M$180,MATCH($D126,Backlog!$A$2:$A$180,0))="","",INDEX(Backlog!$M$2:$M$180,MATCH($D126,Backlog!$A$2:$A$180,0)))</x:f>
        <x:v>T-208</x:v>
      </x:c>
      <x:c r="J126" s="206" t="str">
        <x:f>IF(INDEX(Backlog!$T$2:$T$180,MATCH($D126,Backlog!$A$2:$A$180,0))="","",INDEX(Backlog!$T$2:$T$180,MATCH($D126,Backlog!$A$2:$A$180,0)))</x:f>
        <x:v>T-208 fixture; no canonical DB dependency.</x:v>
      </x:c>
      <x:c r="K126" s="206" t="str">
        <x:f>IF(INDEX(Backlog!$U$2:$U$180,MATCH($D126,Backlog!$A$2:$A$180,0))="","",INDEX(Backlog!$U$2:$U$180,MATCH($D126,Backlog!$A$2:$A$180,0)))</x:f>
        <x:v>Temporal contract/tests only.</x:v>
      </x:c>
      <x:c r="L126" s="206" t="str">
        <x:f>IF(INDEX(Backlog!$V$2:$V$180,MATCH($D126,Backlog!$A$2:$A$180,0))="","",INDEX(Backlog!$V$2:$V$180,MATCH($D126,Backlog!$A$2:$A$180,0)))</x:f>
        <x:v>T-233 persists source-time authority; T-217 consumes contract without waiting for persistence.</x:v>
      </x:c>
      <x:c r="M126" s="194" t="str">
        <x:f>IF(INDEX(Backlog!$AO$2:$AO$180,MATCH($D126,Backlog!$A$2:$A$180,0))="","",INDEX(Backlog!$AO$2:$AO$180,MATCH($D126,Backlog!$A$2:$A$180,0)))</x:f>
        <x:v>Recorded closed — inherited evidence</x:v>
      </x:c>
      <x:c r="N126" s="194" t="str">
        <x:f>IF(INDEX(Backlog!$AN$2:$AN$180,MATCH($D126,Backlog!$A$2:$A$180,0))="","",INDEX(Backlog!$AN$2:$AN$180,MATCH($D126,Backlog!$A$2:$A$180,0)))</x:f>
      </x:c>
    </x:row>
    <x:row r="127" ht="26" customHeight="1">
      <x:c r="A127" s="206" t="str">
        <x:f>IF(INDEX(Backlog!$L$2:$L$180,MATCH($D127,Backlog!$A$2:$A$180,0))="","",INDEX(Backlog!$L$2:$L$180,MATCH($D127,Backlog!$A$2:$A$180,0)))</x:f>
        <x:v>Worker 3</x:v>
      </x:c>
      <x:c r="B127" s="206" t="str">
        <x:f>IF(INDEX(Backlog!$B$2:$B$180,MATCH($D127,Backlog!$A$2:$A$180,0))="","",INDEX(Backlog!$B$2:$B$180,MATCH($D127,Backlog!$A$2:$A$180,0)))</x:f>
        <x:v>M2</x:v>
      </x:c>
      <x:c r="C127" s="206" t="str">
        <x:f>IF(INDEX(Backlog!$C$2:$C$180,MATCH($D127,Backlog!$A$2:$A$180,0))="","",INDEX(Backlog!$C$2:$C$180,MATCH($D127,Backlog!$A$2:$A$180,0)))</x:f>
        <x:v>P2</x:v>
      </x:c>
      <x:c r="D127" s="206" t="str">
        <x:v>T-106</x:v>
      </x:c>
      <x:c r="E127" s="206" t="str">
        <x:f>IF(INDEX(Backlog!$D$2:$D$180,MATCH($D127,Backlog!$A$2:$A$180,0))="","",INDEX(Backlog!$D$2:$D$180,MATCH($D127,Backlog!$A$2:$A$180,0)))</x:f>
        <x:v>Canonical jobs: target/version, scheduling, dependencies, cancellation and outcome truth</x:v>
      </x:c>
      <x:c r="F127" s="206" t="str">
        <x:f>IF(INDEX(Backlog!$K$2:$K$180,MATCH($D127,Backlog!$A$2:$A$180,0))="","",INDEX(Backlog!$K$2:$K$180,MATCH($D127,Backlog!$A$2:$A$180,0)))</x:f>
        <x:v>In Progress</x:v>
      </x:c>
      <x:c r="G127" s="206" t="str">
        <x:f>IF(ISNUMBER(INDEX(Backlog!$J$2:$J$180,MATCH($D127,Backlog!$A$2:$A$180,0))),INDEX(Backlog!$J$2:$J$180,MATCH($D127,Backlog!$A$2:$A$180,0)),"")</x:f>
      </x:c>
      <x:c r="H127" s="206" t="str">
        <x:f>IF(ISNUMBER(INDEX(Backlog!$R$2:$R$180,MATCH($D127,Backlog!$A$2:$A$180,0))),INDEX(Backlog!$R$2:$R$180,MATCH($D127,Backlog!$A$2:$A$180,0)),"")</x:f>
      </x:c>
      <x:c r="I127" s="206" t="str">
        <x:f>IF(INDEX(Backlog!$M$2:$M$180,MATCH($D127,Backlog!$A$2:$A$180,0))="","",INDEX(Backlog!$M$2:$M$180,MATCH($D127,Backlog!$A$2:$A$180,0)))</x:f>
        <x:v>T-064; T-089; T-090; T-252</x:v>
      </x:c>
      <x:c r="J127" s="206" t="str">
        <x:f>IF(INDEX(Backlog!$T$2:$T$180,MATCH($D127,Backlog!$A$2:$A$180,0))="","",INDEX(Backlog!$T$2:$T$180,MATCH($D127,Backlog!$A$2:$A$180,0)))</x:f>
        <x:v>Consume accepted producer contracts; remaining dependencies: T-064; T-089; T-090; T-252. No private scheduler/definition authority. Source-present is not closure proof.</x:v>
      </x:c>
      <x:c r="K127" s="206" t="str">
        <x:f>IF(INDEX(Backlog!$U$2:$U$180,MATCH($D127,Backlog!$A$2:$A$180,0))="","",INDEX(Backlog!$U$2:$U$180,MATCH($D127,Backlog!$A$2:$A$180,0)))</x:f>
        <x:v>Own T-106/T-107/T-109 only after W1 producer contracts; no schema authority rewrites.</x:v>
      </x:c>
      <x:c r="L127" s="206" t="str">
        <x:f>IF(INDEX(Backlog!$V$2:$V$180,MATCH($D127,Backlog!$A$2:$A$180,0))="","",INDEX(Backlog!$V$2:$V$180,MATCH($D127,Backlog!$A$2:$A$180,0)))</x:f>
        <x:v>Commit before downstream consumer starts; consumer must use the contract, not redesign producer-owned semantics.</x:v>
      </x:c>
      <x:c r="M127" s="194" t="str">
        <x:f>IF(INDEX(Backlog!$AO$2:$AO$180,MATCH($D127,Backlog!$A$2:$A$180,0))="","",INDEX(Backlog!$AO$2:$AO$180,MATCH($D127,Backlog!$A$2:$A$180,0)))</x:f>
        <x:v>In progress — closure not recorded</x:v>
      </x:c>
      <x:c r="N127" s="194" t="str">
        <x:f>IF(INDEX(Backlog!$AN$2:$AN$180,MATCH($D127,Backlog!$A$2:$A$180,0))="","",INDEX(Backlog!$AN$2:$AN$180,MATCH($D127,Backlog!$A$2:$A$180,0)))</x:f>
      </x:c>
    </x:row>
    <x:row r="128" ht="26" customHeight="1">
      <x:c r="A128" s="206" t="str">
        <x:f>IF(INDEX(Backlog!$L$2:$L$180,MATCH($D128,Backlog!$A$2:$A$180,0))="","",INDEX(Backlog!$L$2:$L$180,MATCH($D128,Backlog!$A$2:$A$180,0)))</x:f>
        <x:v>Worker 3</x:v>
      </x:c>
      <x:c r="B128" s="206" t="str">
        <x:f>IF(INDEX(Backlog!$B$2:$B$180,MATCH($D128,Backlog!$A$2:$A$180,0))="","",INDEX(Backlog!$B$2:$B$180,MATCH($D128,Backlog!$A$2:$A$180,0)))</x:f>
        <x:v>M2</x:v>
      </x:c>
      <x:c r="C128" s="206" t="str">
        <x:f>IF(INDEX(Backlog!$C$2:$C$180,MATCH($D128,Backlog!$A$2:$A$180,0))="","",INDEX(Backlog!$C$2:$C$180,MATCH($D128,Backlog!$A$2:$A$180,0)))</x:f>
        <x:v>P2</x:v>
      </x:c>
      <x:c r="D128" s="206" t="str">
        <x:v>T-107</x:v>
      </x:c>
      <x:c r="E128" s="206" t="str">
        <x:f>IF(INDEX(Backlog!$D$2:$D$180,MATCH($D128,Backlog!$A$2:$A$180,0))="","",INDEX(Backlog!$D$2:$D$180,MATCH($D128,Backlog!$A$2:$A$180,0)))</x:f>
        <x:v>Dual-predicate admission, bounded worker pools and the three ML execution lanes</x:v>
      </x:c>
      <x:c r="F128" s="206" t="str">
        <x:f>IF(INDEX(Backlog!$K$2:$K$180,MATCH($D128,Backlog!$A$2:$A$180,0))="","",INDEX(Backlog!$K$2:$K$180,MATCH($D128,Backlog!$A$2:$A$180,0)))</x:f>
        <x:v>Not Started</x:v>
      </x:c>
      <x:c r="G128" s="206" t="n">
        <x:f>IF(ISNUMBER(INDEX(Backlog!$J$2:$J$180,MATCH($D128,Backlog!$A$2:$A$180,0))),INDEX(Backlog!$J$2:$J$180,MATCH($D128,Backlog!$A$2:$A$180,0)),"")</x:f>
        <x:v>16</x:v>
      </x:c>
      <x:c r="H128" s="206" t="n">
        <x:f>IF(ISNUMBER(INDEX(Backlog!$R$2:$R$180,MATCH($D128,Backlog!$A$2:$A$180,0))),INDEX(Backlog!$R$2:$R$180,MATCH($D128,Backlog!$A$2:$A$180,0)),"")</x:f>
        <x:v>1.7999999999999998</x:v>
      </x:c>
      <x:c r="I128" s="206" t="str">
        <x:f>IF(INDEX(Backlog!$M$2:$M$180,MATCH($D128,Backlog!$A$2:$A$180,0))="","",INDEX(Backlog!$M$2:$M$180,MATCH($D128,Backlog!$A$2:$A$180,0)))</x:f>
        <x:v>T-095; T-096; T-097; T-098; T-099; T-100; T-101; T-102; T-103; T-104; T-106</x:v>
      </x:c>
      <x:c r="J128" s="206" t="str">
        <x:f>IF(INDEX(Backlog!$T$2:$T$180,MATCH($D128,Backlog!$A$2:$A$180,0))="","",INDEX(Backlog!$T$2:$T$180,MATCH($D128,Backlog!$A$2:$A$180,0)))</x:f>
        <x:v>WAIT for Presentation RC freeze/tag + clean index/worktree. Then: T-106 canonical job contract + T-095..T-105 canonical data/relationship path;...</x:v>
      </x:c>
      <x:c r="K128" s="206" t="str">
        <x:f>IF(INDEX(Backlog!$U$2:$U$180,MATCH($D128,Backlog!$A$2:$A$180,0))="","",INDEX(Backlog!$U$2:$U$180,MATCH($D128,Backlog!$A$2:$A$180,0)))</x:f>
        <x:v>Own T-106/T-107/T-109 only after W1 producer contracts; no schema authority rewrites.</x:v>
      </x:c>
      <x:c r="L128" s="206" t="str">
        <x:f>IF(INDEX(Backlog!$V$2:$V$180,MATCH($D128,Backlog!$A$2:$A$180,0))="","",INDEX(Backlog!$V$2:$V$180,MATCH($D128,Backlog!$A$2:$A$180,0)))</x:f>
        <x:v>Commit before downstream consumer starts; consumer must use the contract, not redesign producer-owned semantics.</x:v>
      </x:c>
      <x:c r="M128" s="194" t="str">
        <x:f>IF(INDEX(Backlog!$AO$2:$AO$180,MATCH($D128,Backlog!$A$2:$A$180,0))="","",INDEX(Backlog!$AO$2:$AO$180,MATCH($D128,Backlog!$A$2:$A$180,0)))</x:f>
        <x:v>Not started — no completion claimed</x:v>
      </x:c>
      <x:c r="N128" s="194" t="str">
        <x:f>IF(INDEX(Backlog!$AN$2:$AN$180,MATCH($D128,Backlog!$A$2:$A$180,0))="","",INDEX(Backlog!$AN$2:$AN$180,MATCH($D128,Backlog!$A$2:$A$180,0)))</x:f>
      </x:c>
    </x:row>
    <x:row r="129" ht="26" customHeight="1">
      <x:c r="A129" s="206" t="str">
        <x:f>IF(INDEX(Backlog!$L$2:$L$180,MATCH($D129,Backlog!$A$2:$A$180,0))="","",INDEX(Backlog!$L$2:$L$180,MATCH($D129,Backlog!$A$2:$A$180,0)))</x:f>
        <x:v>Worker 3</x:v>
      </x:c>
      <x:c r="B129" s="206" t="str">
        <x:f>IF(INDEX(Backlog!$B$2:$B$180,MATCH($D129,Backlog!$A$2:$A$180,0))="","",INDEX(Backlog!$B$2:$B$180,MATCH($D129,Backlog!$A$2:$A$180,0)))</x:f>
        <x:v>M2</x:v>
      </x:c>
      <x:c r="C129" s="206" t="str">
        <x:f>IF(INDEX(Backlog!$C$2:$C$180,MATCH($D129,Backlog!$A$2:$A$180,0))="","",INDEX(Backlog!$C$2:$C$180,MATCH($D129,Backlog!$A$2:$A$180,0)))</x:f>
        <x:v>P2</x:v>
      </x:c>
      <x:c r="D129" s="206" t="str">
        <x:v>T-109</x:v>
      </x:c>
      <x:c r="E129" s="206" t="str">
        <x:f>IF(INDEX(Backlog!$D$2:$D$180,MATCH($D129,Backlog!$A$2:$A$180,0))="","",INDEX(Backlog!$D$2:$D$180,MATCH($D129,Backlog!$A$2:$A$180,0)))</x:f>
        <x:v>Delta-scoped feature refresh and analysis, with telemetry and ML hand-off</x:v>
      </x:c>
      <x:c r="F129" s="206" t="str">
        <x:f>IF(INDEX(Backlog!$K$2:$K$180,MATCH($D129,Backlog!$A$2:$A$180,0))="","",INDEX(Backlog!$K$2:$K$180,MATCH($D129,Backlog!$A$2:$A$180,0)))</x:f>
        <x:v>Not Started</x:v>
      </x:c>
      <x:c r="G129" s="206" t="n">
        <x:f>IF(ISNUMBER(INDEX(Backlog!$J$2:$J$180,MATCH($D129,Backlog!$A$2:$A$180,0))),INDEX(Backlog!$J$2:$J$180,MATCH($D129,Backlog!$A$2:$A$180,0)),"")</x:f>
        <x:v>6</x:v>
      </x:c>
      <x:c r="H129" s="206" t="n">
        <x:f>IF(ISNUMBER(INDEX(Backlog!$R$2:$R$180,MATCH($D129,Backlog!$A$2:$A$180,0))),INDEX(Backlog!$R$2:$R$180,MATCH($D129,Backlog!$A$2:$A$180,0)),"")</x:f>
        <x:v>0.8999999999999999</x:v>
      </x:c>
      <x:c r="I129" s="206" t="str">
        <x:f>IF(INDEX(Backlog!$M$2:$M$180,MATCH($D129,Backlog!$A$2:$A$180,0))="","",INDEX(Backlog!$M$2:$M$180,MATCH($D129,Backlog!$A$2:$A$180,0)))</x:f>
        <x:v>T-095; T-096; T-097; T-098; T-099; T-100; T-101; T-102; T-103; T-104; T-108</x:v>
      </x:c>
      <x:c r="J129" s="206" t="str">
        <x:f>IF(INDEX(Backlog!$T$2:$T$180,MATCH($D129,Backlog!$A$2:$A$180,0))="","",INDEX(Backlog!$T$2:$T$180,MATCH($D129,Backlog!$A$2:$A$180,0)))</x:f>
        <x:v>WAIT for Presentation RC freeze/tag + clean index/worktree. Then: T-095..T-105; T-108</x:v>
      </x:c>
      <x:c r="K129" s="206" t="str">
        <x:f>IF(INDEX(Backlog!$U$2:$U$180,MATCH($D129,Backlog!$A$2:$A$180,0))="","",INDEX(Backlog!$U$2:$U$180,MATCH($D129,Backlog!$A$2:$A$180,0)))</x:f>
        <x:v>Own T-106/T-107/T-109 only after W1 producer contracts; no schema authority rewrites.</x:v>
      </x:c>
      <x:c r="L129" s="206" t="str">
        <x:f>IF(INDEX(Backlog!$V$2:$V$180,MATCH($D129,Backlog!$A$2:$A$180,0))="","",INDEX(Backlog!$V$2:$V$180,MATCH($D129,Backlog!$A$2:$A$180,0)))</x:f>
        <x:v>Commit before downstream consumer starts; consumer must use the contract, not redesign producer-owned semantics.</x:v>
      </x:c>
      <x:c r="M129" s="194" t="str">
        <x:f>IF(INDEX(Backlog!$AO$2:$AO$180,MATCH($D129,Backlog!$A$2:$A$180,0))="","",INDEX(Backlog!$AO$2:$AO$180,MATCH($D129,Backlog!$A$2:$A$180,0)))</x:f>
        <x:v>Not started — no completion claimed</x:v>
      </x:c>
      <x:c r="N129" s="194" t="str">
        <x:f>IF(INDEX(Backlog!$AN$2:$AN$180,MATCH($D129,Backlog!$A$2:$A$180,0))="","",INDEX(Backlog!$AN$2:$AN$180,MATCH($D129,Backlog!$A$2:$A$180,0)))</x:f>
      </x:c>
    </x:row>
    <x:row r="130" ht="26" customHeight="1">
      <x:c r="A130" s="206" t="str">
        <x:f>IF(INDEX(Backlog!$L$2:$L$180,MATCH($D130,Backlog!$A$2:$A$180,0))="","",INDEX(Backlog!$L$2:$L$180,MATCH($D130,Backlog!$A$2:$A$180,0)))</x:f>
        <x:v>Worker 3</x:v>
      </x:c>
      <x:c r="B130" s="206" t="str">
        <x:f>IF(INDEX(Backlog!$B$2:$B$180,MATCH($D130,Backlog!$A$2:$A$180,0))="","",INDEX(Backlog!$B$2:$B$180,MATCH($D130,Backlog!$A$2:$A$180,0)))</x:f>
        <x:v>M2</x:v>
      </x:c>
      <x:c r="C130" s="206" t="str">
        <x:f>IF(INDEX(Backlog!$C$2:$C$180,MATCH($D130,Backlog!$A$2:$A$180,0))="","",INDEX(Backlog!$C$2:$C$180,MATCH($D130,Backlog!$A$2:$A$180,0)))</x:f>
        <x:v>P4</x:v>
      </x:c>
      <x:c r="D130" s="206" t="str">
        <x:v>T-211</x:v>
      </x:c>
      <x:c r="E130" s="206" t="str">
        <x:f>IF(INDEX(Backlog!$D$2:$D$180,MATCH($D130,Backlog!$A$2:$A$180,0))="","",INDEX(Backlog!$D$2:$D$180,MATCH($D130,Backlog!$A$2:$A$180,0)))</x:f>
        <x:v>Aggregation semantics execution kernel with continuous known answers</x:v>
      </x:c>
      <x:c r="F130" s="206" t="str">
        <x:f>IF(INDEX(Backlog!$K$2:$K$180,MATCH($D130,Backlog!$A$2:$A$180,0))="","",INDEX(Backlog!$K$2:$K$180,MATCH($D130,Backlog!$A$2:$A$180,0)))</x:f>
        <x:v>Not Started</x:v>
      </x:c>
      <x:c r="G130" s="206" t="n">
        <x:f>IF(ISNUMBER(INDEX(Backlog!$J$2:$J$180,MATCH($D130,Backlog!$A$2:$A$180,0))),INDEX(Backlog!$J$2:$J$180,MATCH($D130,Backlog!$A$2:$A$180,0)),"")</x:f>
        <x:v>10</x:v>
      </x:c>
      <x:c r="H130" s="206" t="n">
        <x:f>IF(ISNUMBER(INDEX(Backlog!$R$2:$R$180,MATCH($D130,Backlog!$A$2:$A$180,0))),INDEX(Backlog!$R$2:$R$180,MATCH($D130,Backlog!$A$2:$A$180,0)),"")</x:f>
        <x:v>2.5</x:v>
      </x:c>
      <x:c r="I130" s="206" t="str">
        <x:f>IF(INDEX(Backlog!$M$2:$M$180,MATCH($D130,Backlog!$A$2:$A$180,0))="","",INDEX(Backlog!$M$2:$M$180,MATCH($D130,Backlog!$A$2:$A$180,0)))</x:f>
        <x:v>T-208; T-210</x:v>
      </x:c>
      <x:c r="J130" s="206" t="str">
        <x:f>IF(INDEX(Backlog!$T$2:$T$180,MATCH($D130,Backlog!$A$2:$A$180,0))="","",INDEX(Backlog!$T$2:$T$180,MATCH($D130,Backlog!$A$2:$A$180,0)))</x:f>
        <x:v>T-208 fixture + T-210 frozen contract. No production DI/persistence until consumer hand-off.</x:v>
      </x:c>
      <x:c r="K130" s="206" t="str">
        <x:f>IF(INDEX(Backlog!$U$2:$U$180,MATCH($D130,Backlog!$A$2:$A$180,0))="","",INDEX(Backlog!$U$2:$U$180,MATCH($D130,Backlog!$A$2:$A$180,0)))</x:f>
        <x:v>New analytics kernel/tests only.</x:v>
      </x:c>
      <x:c r="L130" s="206" t="str">
        <x:f>IF(INDEX(Backlog!$V$2:$V$180,MATCH($D130,Backlog!$A$2:$A$180,0))="","",INDEX(Backlog!$V$2:$V$180,MATCH($D130,Backlog!$A$2:$A$180,0)))</x:f>
        <x:v>T-212 consumes this kernel unchanged; W3 does not edit dashboard query files.</x:v>
      </x:c>
      <x:c r="M130" s="194" t="str">
        <x:f>IF(INDEX(Backlog!$AO$2:$AO$180,MATCH($D130,Backlog!$A$2:$A$180,0))="","",INDEX(Backlog!$AO$2:$AO$180,MATCH($D130,Backlog!$A$2:$A$180,0)))</x:f>
        <x:v>Not started — no completion claimed</x:v>
      </x:c>
      <x:c r="N130" s="194" t="str">
        <x:f>IF(INDEX(Backlog!$AN$2:$AN$180,MATCH($D130,Backlog!$A$2:$A$180,0))="","",INDEX(Backlog!$AN$2:$AN$180,MATCH($D130,Backlog!$A$2:$A$180,0)))</x:f>
      </x:c>
    </x:row>
    <x:row r="131" ht="26" customHeight="1">
      <x:c r="A131" s="206" t="str">
        <x:f>IF(INDEX(Backlog!$L$2:$L$180,MATCH($D131,Backlog!$A$2:$A$180,0))="","",INDEX(Backlog!$L$2:$L$180,MATCH($D131,Backlog!$A$2:$A$180,0)))</x:f>
        <x:v>Worker 3</x:v>
      </x:c>
      <x:c r="B131" s="206" t="str">
        <x:f>IF(INDEX(Backlog!$B$2:$B$180,MATCH($D131,Backlog!$A$2:$A$180,0))="","",INDEX(Backlog!$B$2:$B$180,MATCH($D131,Backlog!$A$2:$A$180,0)))</x:f>
        <x:v>M2</x:v>
      </x:c>
      <x:c r="C131" s="206" t="str">
        <x:f>IF(INDEX(Backlog!$C$2:$C$180,MATCH($D131,Backlog!$A$2:$A$180,0))="","",INDEX(Backlog!$C$2:$C$180,MATCH($D131,Backlog!$A$2:$A$180,0)))</x:f>
        <x:v>P4</x:v>
      </x:c>
      <x:c r="D131" s="206" t="str">
        <x:v>T-214</x:v>
      </x:c>
      <x:c r="E131" s="206" t="str">
        <x:f>IF(INDEX(Backlog!$D$2:$D$180,MATCH($D131,Backlog!$A$2:$A$180,0))="","",INDEX(Backlog!$D$2:$D$180,MATCH($D131,Backlog!$A$2:$A$180,0)))</x:f>
        <x:v>Performance Reference contract, precedence and scoring-semantics kernel</x:v>
      </x:c>
      <x:c r="F131" s="206" t="str">
        <x:f>IF(INDEX(Backlog!$K$2:$K$180,MATCH($D131,Backlog!$A$2:$A$180,0))="","",INDEX(Backlog!$K$2:$K$180,MATCH($D131,Backlog!$A$2:$A$180,0)))</x:f>
        <x:v>Not Started</x:v>
      </x:c>
      <x:c r="G131" s="206" t="n">
        <x:f>IF(ISNUMBER(INDEX(Backlog!$J$2:$J$180,MATCH($D131,Backlog!$A$2:$A$180,0))),INDEX(Backlog!$J$2:$J$180,MATCH($D131,Backlog!$A$2:$A$180,0)),"")</x:f>
        <x:v>6</x:v>
      </x:c>
      <x:c r="H131" s="206" t="n">
        <x:f>IF(ISNUMBER(INDEX(Backlog!$R$2:$R$180,MATCH($D131,Backlog!$A$2:$A$180,0))),INDEX(Backlog!$R$2:$R$180,MATCH($D131,Backlog!$A$2:$A$180,0)),"")</x:f>
        <x:v>1.5</x:v>
      </x:c>
      <x:c r="I131" s="206" t="str">
        <x:f>IF(INDEX(Backlog!$M$2:$M$180,MATCH($D131,Backlog!$A$2:$A$180,0))="","",INDEX(Backlog!$M$2:$M$180,MATCH($D131,Backlog!$A$2:$A$180,0)))</x:f>
        <x:v>T-209</x:v>
      </x:c>
      <x:c r="J131" s="206" t="str">
        <x:f>IF(INDEX(Backlog!$T$2:$T$180,MATCH($D131,Backlog!$A$2:$A$180,0))="","",INDEX(Backlog!$T$2:$T$180,MATCH($D131,Backlog!$A$2:$A$180,0)))</x:f>
        <x:v>T-209 frozen generic subject contract.</x:v>
      </x:c>
      <x:c r="K131" s="206" t="str">
        <x:f>IF(INDEX(Backlog!$U$2:$U$180,MATCH($D131,Backlog!$A$2:$A$180,0))="","",INDEX(Backlog!$U$2:$U$180,MATCH($D131,Backlog!$A$2:$A$180,0)))</x:f>
        <x:v>Reference contract/resolver tests only.</x:v>
      </x:c>
      <x:c r="L131" s="206" t="str">
        <x:f>IF(INDEX(Backlog!$V$2:$V$180,MATCH($D131,Backlog!$A$2:$A$180,0))="","",INDEX(Backlog!$V$2:$V$180,MATCH($D131,Backlog!$A$2:$A$180,0)))</x:f>
        <x:v>T-232 persists reference authority; consumers do not redefine scoring semantics.</x:v>
      </x:c>
      <x:c r="M131" s="194" t="str">
        <x:f>IF(INDEX(Backlog!$AO$2:$AO$180,MATCH($D131,Backlog!$A$2:$A$180,0))="","",INDEX(Backlog!$AO$2:$AO$180,MATCH($D131,Backlog!$A$2:$A$180,0)))</x:f>
        <x:v>Not started — no completion claimed</x:v>
      </x:c>
      <x:c r="N131" s="194" t="str">
        <x:f>IF(INDEX(Backlog!$AN$2:$AN$180,MATCH($D131,Backlog!$A$2:$A$180,0))="","",INDEX(Backlog!$AN$2:$AN$180,MATCH($D131,Backlog!$A$2:$A$180,0)))</x:f>
      </x:c>
    </x:row>
    <x:row r="132" ht="26" customHeight="1">
      <x:c r="A132" s="206" t="str">
        <x:f>IF(INDEX(Backlog!$L$2:$L$180,MATCH($D132,Backlog!$A$2:$A$180,0))="","",INDEX(Backlog!$L$2:$L$180,MATCH($D132,Backlog!$A$2:$A$180,0)))</x:f>
        <x:v>Worker 3</x:v>
      </x:c>
      <x:c r="B132" s="206" t="str">
        <x:f>IF(INDEX(Backlog!$B$2:$B$180,MATCH($D132,Backlog!$A$2:$A$180,0))="","",INDEX(Backlog!$B$2:$B$180,MATCH($D132,Backlog!$A$2:$A$180,0)))</x:f>
        <x:v>M2</x:v>
      </x:c>
      <x:c r="C132" s="206" t="str">
        <x:f>IF(INDEX(Backlog!$C$2:$C$180,MATCH($D132,Backlog!$A$2:$A$180,0))="","",INDEX(Backlog!$C$2:$C$180,MATCH($D132,Backlog!$A$2:$A$180,0)))</x:f>
        <x:v>P4</x:v>
      </x:c>
      <x:c r="D132" s="206" t="str">
        <x:v>T-217</x:v>
      </x:c>
      <x:c r="E132" s="206" t="str">
        <x:f>IF(INDEX(Backlog!$D$2:$D$180,MATCH($D132,Backlog!$A$2:$A$180,0))="","",INDEX(Backlog!$D$2:$D$180,MATCH($D132,Backlog!$A$2:$A$180,0)))</x:f>
        <x:v>Temporal evidence alignment kernel</x:v>
      </x:c>
      <x:c r="F132" s="206" t="str">
        <x:f>IF(INDEX(Backlog!$K$2:$K$180,MATCH($D132,Backlog!$A$2:$A$180,0))="","",INDEX(Backlog!$K$2:$K$180,MATCH($D132,Backlog!$A$2:$A$180,0)))</x:f>
        <x:v>Done</x:v>
      </x:c>
      <x:c r="G132" s="206" t="n">
        <x:f>IF(ISNUMBER(INDEX(Backlog!$J$2:$J$180,MATCH($D132,Backlog!$A$2:$A$180,0))),INDEX(Backlog!$J$2:$J$180,MATCH($D132,Backlog!$A$2:$A$180,0)),"")</x:f>
        <x:v>10</x:v>
      </x:c>
      <x:c r="H132" s="206" t="n">
        <x:f>IF(ISNUMBER(INDEX(Backlog!$R$2:$R$180,MATCH($D132,Backlog!$A$2:$A$180,0))),INDEX(Backlog!$R$2:$R$180,MATCH($D132,Backlog!$A$2:$A$180,0)),"")</x:f>
        <x:v>2.5</x:v>
      </x:c>
      <x:c r="I132" s="206" t="str">
        <x:f>IF(INDEX(Backlog!$M$2:$M$180,MATCH($D132,Backlog!$A$2:$A$180,0))="","",INDEX(Backlog!$M$2:$M$180,MATCH($D132,Backlog!$A$2:$A$180,0)))</x:f>
        <x:v>T-208; T-216</x:v>
      </x:c>
      <x:c r="J132" s="206" t="str">
        <x:f>IF(INDEX(Backlog!$T$2:$T$180,MATCH($D132,Backlog!$A$2:$A$180,0))="","",INDEX(Backlog!$T$2:$T$180,MATCH($D132,Backlog!$A$2:$A$180,0)))</x:f>
        <x:v>T-208 fixture + T-216 frozen contract.</x:v>
      </x:c>
      <x:c r="K132" s="206" t="str">
        <x:f>IF(INDEX(Backlog!$U$2:$U$180,MATCH($D132,Backlog!$A$2:$A$180,0))="","",INDEX(Backlog!$U$2:$U$180,MATCH($D132,Backlog!$A$2:$A$180,0)))</x:f>
        <x:v>New temporal kernel/tests only.</x:v>
      </x:c>
      <x:c r="L132" s="206" t="str">
        <x:f>IF(INDEX(Backlog!$V$2:$V$180,MATCH($D132,Backlog!$A$2:$A$180,0))="","",INDEX(Backlog!$V$2:$V$180,MATCH($D132,Backlog!$A$2:$A$180,0)))</x:f>
        <x:v>T-219 consumes alignment output; does not reimplement clock logic.</x:v>
      </x:c>
      <x:c r="M132" s="194" t="str">
        <x:f>IF(INDEX(Backlog!$AO$2:$AO$180,MATCH($D132,Backlog!$A$2:$A$180,0))="","",INDEX(Backlog!$AO$2:$AO$180,MATCH($D132,Backlog!$A$2:$A$180,0)))</x:f>
        <x:v>Recorded closed — inherited evidence</x:v>
      </x:c>
      <x:c r="N132" s="194" t="str">
        <x:f>IF(INDEX(Backlog!$AN$2:$AN$180,MATCH($D132,Backlog!$A$2:$A$180,0))="","",INDEX(Backlog!$AN$2:$AN$180,MATCH($D132,Backlog!$A$2:$A$180,0)))</x:f>
      </x:c>
    </x:row>
    <x:row r="133" ht="26" customHeight="1">
      <x:c r="A133" s="206" t="str">
        <x:f>IF(INDEX(Backlog!$L$2:$L$180,MATCH($D133,Backlog!$A$2:$A$180,0))="","",INDEX(Backlog!$L$2:$L$180,MATCH($D133,Backlog!$A$2:$A$180,0)))</x:f>
        <x:v>Worker 3</x:v>
      </x:c>
      <x:c r="B133" s="206" t="str">
        <x:f>IF(INDEX(Backlog!$B$2:$B$180,MATCH($D133,Backlog!$A$2:$A$180,0))="","",INDEX(Backlog!$B$2:$B$180,MATCH($D133,Backlog!$A$2:$A$180,0)))</x:f>
        <x:v>M2</x:v>
      </x:c>
      <x:c r="C133" s="206" t="str">
        <x:f>IF(INDEX(Backlog!$C$2:$C$180,MATCH($D133,Backlog!$A$2:$A$180,0))="","",INDEX(Backlog!$C$2:$C$180,MATCH($D133,Backlog!$A$2:$A$180,0)))</x:f>
        <x:v>P4</x:v>
      </x:c>
      <x:c r="D133" s="206" t="str">
        <x:v>T-218</x:v>
      </x:c>
      <x:c r="E133" s="206" t="str">
        <x:f>IF(INDEX(Backlog!$D$2:$D$180,MATCH($D133,Backlog!$A$2:$A$180,0))="","",INDEX(Backlog!$D$2:$D$180,MATCH($D133,Backlog!$A$2:$A$180,0)))</x:f>
        <x:v>Fact Evidence Authority resolution kernel</x:v>
      </x:c>
      <x:c r="F133" s="206" t="str">
        <x:f>IF(INDEX(Backlog!$K$2:$K$180,MATCH($D133,Backlog!$A$2:$A$180,0))="","",INDEX(Backlog!$K$2:$K$180,MATCH($D133,Backlog!$A$2:$A$180,0)))</x:f>
        <x:v>Done</x:v>
      </x:c>
      <x:c r="G133" s="206" t="n">
        <x:f>IF(ISNUMBER(INDEX(Backlog!$J$2:$J$180,MATCH($D133,Backlog!$A$2:$A$180,0))),INDEX(Backlog!$J$2:$J$180,MATCH($D133,Backlog!$A$2:$A$180,0)),"")</x:f>
        <x:v>8</x:v>
      </x:c>
      <x:c r="H133" s="206" t="n">
        <x:f>IF(ISNUMBER(INDEX(Backlog!$R$2:$R$180,MATCH($D133,Backlog!$A$2:$A$180,0))),INDEX(Backlog!$R$2:$R$180,MATCH($D133,Backlog!$A$2:$A$180,0)),"")</x:f>
        <x:v>2</x:v>
      </x:c>
      <x:c r="I133" s="206" t="str">
        <x:f>IF(INDEX(Backlog!$M$2:$M$180,MATCH($D133,Backlog!$A$2:$A$180,0))="","",INDEX(Backlog!$M$2:$M$180,MATCH($D133,Backlog!$A$2:$A$180,0)))</x:f>
        <x:v>T-208</x:v>
      </x:c>
      <x:c r="J133" s="206" t="str">
        <x:f>IF(INDEX(Backlog!$T$2:$T$180,MATCH($D133,Backlog!$A$2:$A$180,0))="","",INDEX(Backlog!$T$2:$T$180,MATCH($D133,Backlog!$A$2:$A$180,0)))</x:f>
        <x:v>T-090 semantic definitions + T-208 fixture. Persistence waits for T-112/T-114; pure kernel may start earlier.</x:v>
      </x:c>
      <x:c r="K133" s="206" t="str">
        <x:f>IF(INDEX(Backlog!$U$2:$U$180,MATCH($D133,Backlog!$A$2:$A$180,0))="","",INDEX(Backlog!$U$2:$U$180,MATCH($D133,Backlog!$A$2:$A$180,0)))</x:f>
        <x:v>New evidence-authority contracts/kernel/tests.</x:v>
      </x:c>
      <x:c r="L133" s="206" t="str">
        <x:f>IF(INDEX(Backlog!$V$2:$V$180,MATCH($D133,Backlog!$A$2:$A$180,0))="","",INDEX(Backlog!$V$2:$V$180,MATCH($D133,Backlog!$A$2:$A$180,0)))</x:f>
        <x:v>T-219 consumes authority result; no source priority duplicated elsewhere.</x:v>
      </x:c>
      <x:c r="M133" s="194" t="str">
        <x:f>IF(INDEX(Backlog!$AO$2:$AO$180,MATCH($D133,Backlog!$A$2:$A$180,0))="","",INDEX(Backlog!$AO$2:$AO$180,MATCH($D133,Backlog!$A$2:$A$180,0)))</x:f>
        <x:v>Recorded closed — inherited evidence</x:v>
      </x:c>
      <x:c r="N133" s="194" t="str">
        <x:f>IF(INDEX(Backlog!$AN$2:$AN$180,MATCH($D133,Backlog!$A$2:$A$180,0))="","",INDEX(Backlog!$AN$2:$AN$180,MATCH($D133,Backlog!$A$2:$A$180,0)))</x:f>
      </x:c>
    </x:row>
    <x:row r="134" ht="26" customHeight="1">
      <x:c r="A134" s="206" t="str">
        <x:f>IF(INDEX(Backlog!$L$2:$L$180,MATCH($D134,Backlog!$A$2:$A$180,0))="","",INDEX(Backlog!$L$2:$L$180,MATCH($D134,Backlog!$A$2:$A$180,0)))</x:f>
        <x:v>Worker 3</x:v>
      </x:c>
      <x:c r="B134" s="206" t="str">
        <x:f>IF(INDEX(Backlog!$B$2:$B$180,MATCH($D134,Backlog!$A$2:$A$180,0))="","",INDEX(Backlog!$B$2:$B$180,MATCH($D134,Backlog!$A$2:$A$180,0)))</x:f>
        <x:v>M2</x:v>
      </x:c>
      <x:c r="C134" s="206" t="str">
        <x:f>IF(INDEX(Backlog!$C$2:$C$180,MATCH($D134,Backlog!$A$2:$A$180,0))="","",INDEX(Backlog!$C$2:$C$180,MATCH($D134,Backlog!$A$2:$A$180,0)))</x:f>
        <x:v>P4</x:v>
      </x:c>
      <x:c r="D134" s="206" t="str">
        <x:v>T-219</x:v>
      </x:c>
      <x:c r="E134" s="206" t="str">
        <x:f>IF(INDEX(Backlog!$D$2:$D$180,MATCH($D134,Backlog!$A$2:$A$180,0))="","",INDEX(Backlog!$D$2:$D$180,MATCH($D134,Backlog!$A$2:$A$180,0)))</x:f>
        <x:v>Operational Evidence Reconciliation kernel and seven-state taxonomy</x:v>
      </x:c>
      <x:c r="F134" s="206" t="str">
        <x:f>IF(INDEX(Backlog!$K$2:$K$180,MATCH($D134,Backlog!$A$2:$A$180,0))="","",INDEX(Backlog!$K$2:$K$180,MATCH($D134,Backlog!$A$2:$A$180,0)))</x:f>
        <x:v>Done</x:v>
      </x:c>
      <x:c r="G134" s="206" t="n">
        <x:f>IF(ISNUMBER(INDEX(Backlog!$J$2:$J$180,MATCH($D134,Backlog!$A$2:$A$180,0))),INDEX(Backlog!$J$2:$J$180,MATCH($D134,Backlog!$A$2:$A$180,0)),"")</x:f>
        <x:v>12</x:v>
      </x:c>
      <x:c r="H134" s="206" t="n">
        <x:f>IF(ISNUMBER(INDEX(Backlog!$R$2:$R$180,MATCH($D134,Backlog!$A$2:$A$180,0))),INDEX(Backlog!$R$2:$R$180,MATCH($D134,Backlog!$A$2:$A$180,0)),"")</x:f>
        <x:v>3.2</x:v>
      </x:c>
      <x:c r="I134" s="206" t="str">
        <x:f>IF(INDEX(Backlog!$M$2:$M$180,MATCH($D134,Backlog!$A$2:$A$180,0))="","",INDEX(Backlog!$M$2:$M$180,MATCH($D134,Backlog!$A$2:$A$180,0)))</x:f>
        <x:v>T-217; T-218; T-236</x:v>
      </x:c>
      <x:c r="J134" s="206" t="str">
        <x:f>IF(INDEX(Backlog!$T$2:$T$180,MATCH($D134,Backlog!$A$2:$A$180,0))="","",INDEX(Backlog!$T$2:$T$180,MATCH($D134,Backlog!$A$2:$A$180,0)))</x:f>
        <x:v>T-217 + T-218 + T-236.</x:v>
      </x:c>
      <x:c r="K134" s="206" t="str">
        <x:f>IF(INDEX(Backlog!$U$2:$U$180,MATCH($D134,Backlog!$A$2:$A$180,0))="","",INDEX(Backlog!$U$2:$U$180,MATCH($D134,Backlog!$A$2:$A$180,0)))</x:f>
        <x:v>New reconciliation kernel/tests only.</x:v>
      </x:c>
      <x:c r="L134" s="206" t="str">
        <x:f>IF(INDEX(Backlog!$V$2:$V$180,MATCH($D134,Backlog!$A$2:$A$180,0))="","",INDEX(Backlog!$V$2:$V$180,MATCH($D134,Backlog!$A$2:$A$180,0)))</x:f>
        <x:v>T-220 adds claim confidence; T-221 persists output after canonical/security hand-off.</x:v>
      </x:c>
      <x:c r="M134" s="194" t="str">
        <x:f>IF(INDEX(Backlog!$AO$2:$AO$180,MATCH($D134,Backlog!$A$2:$A$180,0))="","",INDEX(Backlog!$AO$2:$AO$180,MATCH($D134,Backlog!$A$2:$A$180,0)))</x:f>
        <x:v>Recorded closed — inherited evidence</x:v>
      </x:c>
      <x:c r="N134" s="194" t="str">
        <x:f>IF(INDEX(Backlog!$AN$2:$AN$180,MATCH($D134,Backlog!$A$2:$A$180,0))="","",INDEX(Backlog!$AN$2:$AN$180,MATCH($D134,Backlog!$A$2:$A$180,0)))</x:f>
      </x:c>
    </x:row>
    <x:row r="135" ht="26" customHeight="1">
      <x:c r="A135" s="206" t="str">
        <x:f>IF(INDEX(Backlog!$L$2:$L$180,MATCH($D135,Backlog!$A$2:$A$180,0))="","",INDEX(Backlog!$L$2:$L$180,MATCH($D135,Backlog!$A$2:$A$180,0)))</x:f>
        <x:v>Worker 3</x:v>
      </x:c>
      <x:c r="B135" s="206" t="str">
        <x:f>IF(INDEX(Backlog!$B$2:$B$180,MATCH($D135,Backlog!$A$2:$A$180,0))="","",INDEX(Backlog!$B$2:$B$180,MATCH($D135,Backlog!$A$2:$A$180,0)))</x:f>
        <x:v>M2</x:v>
      </x:c>
      <x:c r="C135" s="206" t="str">
        <x:f>IF(INDEX(Backlog!$C$2:$C$180,MATCH($D135,Backlog!$A$2:$A$180,0))="","",INDEX(Backlog!$C$2:$C$180,MATCH($D135,Backlog!$A$2:$A$180,0)))</x:f>
        <x:v>P4</x:v>
      </x:c>
      <x:c r="D135" s="206" t="str">
        <x:v>T-220</x:v>
      </x:c>
      <x:c r="E135" s="206" t="str">
        <x:f>IF(INDEX(Backlog!$D$2:$D$180,MATCH($D135,Backlog!$A$2:$A$180,0))="","",INDEX(Backlog!$D$2:$D$180,MATCH($D135,Backlog!$A$2:$A$180,0)))</x:f>
        <x:v>Causal Confidence Ladder and root-cause hypothesis evaluator</x:v>
      </x:c>
      <x:c r="F135" s="206" t="str">
        <x:f>IF(INDEX(Backlog!$K$2:$K$180,MATCH($D135,Backlog!$A$2:$A$180,0))="","",INDEX(Backlog!$K$2:$K$180,MATCH($D135,Backlog!$A$2:$A$180,0)))</x:f>
        <x:v>Done</x:v>
      </x:c>
      <x:c r="G135" s="206" t="n">
        <x:f>IF(ISNUMBER(INDEX(Backlog!$J$2:$J$180,MATCH($D135,Backlog!$A$2:$A$180,0))),INDEX(Backlog!$J$2:$J$180,MATCH($D135,Backlog!$A$2:$A$180,0)),"")</x:f>
        <x:v>8</x:v>
      </x:c>
      <x:c r="H135" s="206" t="n">
        <x:f>IF(ISNUMBER(INDEX(Backlog!$R$2:$R$180,MATCH($D135,Backlog!$A$2:$A$180,0))),INDEX(Backlog!$R$2:$R$180,MATCH($D135,Backlog!$A$2:$A$180,0)),"")</x:f>
        <x:v>2</x:v>
      </x:c>
      <x:c r="I135" s="206" t="str">
        <x:f>IF(INDEX(Backlog!$M$2:$M$180,MATCH($D135,Backlog!$A$2:$A$180,0))="","",INDEX(Backlog!$M$2:$M$180,MATCH($D135,Backlog!$A$2:$A$180,0)))</x:f>
        <x:v>T-219</x:v>
      </x:c>
      <x:c r="J135" s="206" t="str">
        <x:f>IF(INDEX(Backlog!$T$2:$T$180,MATCH($D135,Backlog!$A$2:$A$180,0))="","",INDEX(Backlog!$T$2:$T$180,MATCH($D135,Backlog!$A$2:$A$180,0)))</x:f>
        <x:v>T-219 + existing claim-class rules.</x:v>
      </x:c>
      <x:c r="K135" s="206" t="str">
        <x:f>IF(INDEX(Backlog!$U$2:$U$180,MATCH($D135,Backlog!$A$2:$A$180,0))="","",INDEX(Backlog!$U$2:$U$180,MATCH($D135,Backlog!$A$2:$A$180,0)))</x:f>
        <x:v>Claim-confidence kernel/tests only.</x:v>
      </x:c>
      <x:c r="L135" s="206" t="str">
        <x:f>IF(INDEX(Backlog!$V$2:$V$180,MATCH($D135,Backlog!$A$2:$A$180,0))="","",INDEX(Backlog!$V$2:$V$180,MATCH($D135,Backlog!$A$2:$A$180,0)))</x:f>
        <x:v>T-221/T-223 consume stored level; UI/LLM never re-derive it.</x:v>
      </x:c>
      <x:c r="M135" s="194" t="str">
        <x:f>IF(INDEX(Backlog!$AO$2:$AO$180,MATCH($D135,Backlog!$A$2:$A$180,0))="","",INDEX(Backlog!$AO$2:$AO$180,MATCH($D135,Backlog!$A$2:$A$180,0)))</x:f>
        <x:v>Recorded closed — inherited evidence</x:v>
      </x:c>
      <x:c r="N135" s="194" t="str">
        <x:f>IF(INDEX(Backlog!$AN$2:$AN$180,MATCH($D135,Backlog!$A$2:$A$180,0))="","",INDEX(Backlog!$AN$2:$AN$180,MATCH($D135,Backlog!$A$2:$A$180,0)))</x:f>
      </x:c>
    </x:row>
    <x:row r="136" ht="26" customHeight="1">
      <x:c r="A136" s="206" t="str">
        <x:f>IF(INDEX(Backlog!$L$2:$L$180,MATCH($D136,Backlog!$A$2:$A$180,0))="","",INDEX(Backlog!$L$2:$L$180,MATCH($D136,Backlog!$A$2:$A$180,0)))</x:f>
        <x:v>Worker 3</x:v>
      </x:c>
      <x:c r="B136" s="206" t="str">
        <x:f>IF(INDEX(Backlog!$B$2:$B$180,MATCH($D136,Backlog!$A$2:$A$180,0))="","",INDEX(Backlog!$B$2:$B$180,MATCH($D136,Backlog!$A$2:$A$180,0)))</x:f>
        <x:v>M2</x:v>
      </x:c>
      <x:c r="C136" s="206" t="str">
        <x:f>IF(INDEX(Backlog!$C$2:$C$180,MATCH($D136,Backlog!$A$2:$A$180,0))="","",INDEX(Backlog!$C$2:$C$180,MATCH($D136,Backlog!$A$2:$A$180,0)))</x:f>
        <x:v>P4</x:v>
      </x:c>
      <x:c r="D136" s="206" t="str">
        <x:v>T-221</x:v>
      </x:c>
      <x:c r="E136" s="206" t="str">
        <x:f>IF(INDEX(Backlog!$D$2:$D$180,MATCH($D136,Backlog!$A$2:$A$180,0))="","",INDEX(Backlog!$D$2:$D$180,MATCH($D136,Backlog!$A$2:$A$180,0)))</x:f>
        <x:v>Canonical reconciliation persistence, evidence handles and bindable source</x:v>
      </x:c>
      <x:c r="F136" s="206" t="str">
        <x:f>IF(INDEX(Backlog!$K$2:$K$180,MATCH($D136,Backlog!$A$2:$A$180,0))="","",INDEX(Backlog!$K$2:$K$180,MATCH($D136,Backlog!$A$2:$A$180,0)))</x:f>
        <x:v>Not Started</x:v>
      </x:c>
      <x:c r="G136" s="206" t="n">
        <x:f>IF(ISNUMBER(INDEX(Backlog!$J$2:$J$180,MATCH($D136,Backlog!$A$2:$A$180,0))),INDEX(Backlog!$J$2:$J$180,MATCH($D136,Backlog!$A$2:$A$180,0)),"")</x:f>
        <x:v>12</x:v>
      </x:c>
      <x:c r="H136" s="206" t="n">
        <x:f>IF(ISNUMBER(INDEX(Backlog!$R$2:$R$180,MATCH($D136,Backlog!$A$2:$A$180,0))),INDEX(Backlog!$R$2:$R$180,MATCH($D136,Backlog!$A$2:$A$180,0)),"")</x:f>
        <x:v>5.4</x:v>
      </x:c>
      <x:c r="I136" s="206" t="str">
        <x:f>IF(INDEX(Backlog!$M$2:$M$180,MATCH($D136,Backlog!$A$2:$A$180,0))="","",INDEX(Backlog!$M$2:$M$180,MATCH($D136,Backlog!$A$2:$A$180,0)))</x:f>
        <x:v>T-112; T-114; T-090; T-095; T-096; T-219; T-220; T-233</x:v>
      </x:c>
      <x:c r="J136" s="206" t="str">
        <x:f>IF(INDEX(Backlog!$T$2:$T$180,MATCH($D136,Backlog!$A$2:$A$180,0))="","",INDEX(Backlog!$T$2:$T$180,MATCH($D136,Backlog!$A$2:$A$180,0)))</x:f>
        <x:v>T-112 + T-114 + T-090 + T-095/T-096 + T-219 + T-220. If security hand-off is not green, remain on pure-kernel evidence and do not create insecure tables.</x:v>
      </x:c>
      <x:c r="K136" s="206" t="str">
        <x:f>IF(INDEX(Backlog!$U$2:$U$180,MATCH($D136,Backlog!$A$2:$A$180,0))="","",INDEX(Backlog!$U$2:$U$180,MATCH($D136,Backlog!$A$2:$A$180,0)))</x:f>
        <x:v>Reconciliation persistence/registry/evidence only.</x:v>
      </x:c>
      <x:c r="L136" s="206" t="str">
        <x:f>IF(INDEX(Backlog!$V$2:$V$180,MATCH($D136,Backlog!$A$2:$A$180,0))="","",INDEX(Backlog!$V$2:$V$180,MATCH($D136,Backlog!$A$2:$A$180,0)))</x:f>
        <x:v>Post-demo canonical convergence. T-222/T-223 must not wait for this table and must not invent a temporary persistence schema.</x:v>
      </x:c>
      <x:c r="M136" s="194" t="str">
        <x:f>IF(INDEX(Backlog!$AO$2:$AO$180,MATCH($D136,Backlog!$A$2:$A$180,0))="","",INDEX(Backlog!$AO$2:$AO$180,MATCH($D136,Backlog!$A$2:$A$180,0)))</x:f>
        <x:v>Not started — no completion claimed</x:v>
      </x:c>
      <x:c r="N136" s="194" t="str">
        <x:f>IF(INDEX(Backlog!$AN$2:$AN$180,MATCH($D136,Backlog!$A$2:$A$180,0))="","",INDEX(Backlog!$AN$2:$AN$180,MATCH($D136,Backlog!$A$2:$A$180,0)))</x:f>
      </x:c>
    </x:row>
    <x:row r="137" ht="26" customHeight="1">
      <x:c r="A137" s="206" t="str">
        <x:f>IF(INDEX(Backlog!$L$2:$L$180,MATCH($D137,Backlog!$A$2:$A$180,0))="","",INDEX(Backlog!$L$2:$L$180,MATCH($D137,Backlog!$A$2:$A$180,0)))</x:f>
        <x:v>Worker 3</x:v>
      </x:c>
      <x:c r="B137" s="206" t="str">
        <x:f>IF(INDEX(Backlog!$B$2:$B$180,MATCH($D137,Backlog!$A$2:$A$180,0))="","",INDEX(Backlog!$B$2:$B$180,MATCH($D137,Backlog!$A$2:$A$180,0)))</x:f>
        <x:v>M2</x:v>
      </x:c>
      <x:c r="C137" s="206" t="str">
        <x:f>IF(INDEX(Backlog!$C$2:$C$180,MATCH($D137,Backlog!$A$2:$A$180,0))="","",INDEX(Backlog!$C$2:$C$180,MATCH($D137,Backlog!$A$2:$A$180,0)))</x:f>
        <x:v>P4</x:v>
      </x:c>
      <x:c r="D137" s="206" t="str">
        <x:v>T-223</x:v>
      </x:c>
      <x:c r="E137" s="206" t="str">
        <x:f>IF(INDEX(Backlog!$D$2:$D$180,MATCH($D137,Backlog!$A$2:$A$180,0))="","",INDEX(Backlog!$D$2:$D$180,MATCH($D137,Backlog!$A$2:$A$180,0)))</x:f>
        <x:v>Grounded Assistant tool for reconciliation and Performance Reference explanation</x:v>
      </x:c>
      <x:c r="F137" s="206" t="str">
        <x:f>IF(INDEX(Backlog!$K$2:$K$180,MATCH($D137,Backlog!$A$2:$A$180,0))="","",INDEX(Backlog!$K$2:$K$180,MATCH($D137,Backlog!$A$2:$A$180,0)))</x:f>
        <x:v>Not Started</x:v>
      </x:c>
      <x:c r="G137" s="206" t="n">
        <x:f>IF(ISNUMBER(INDEX(Backlog!$J$2:$J$180,MATCH($D137,Backlog!$A$2:$A$180,0))),INDEX(Backlog!$J$2:$J$180,MATCH($D137,Backlog!$A$2:$A$180,0)),"")</x:f>
        <x:v>10</x:v>
      </x:c>
      <x:c r="H137" s="206" t="n">
        <x:f>IF(ISNUMBER(INDEX(Backlog!$R$2:$R$180,MATCH($D137,Backlog!$A$2:$A$180,0))),INDEX(Backlog!$R$2:$R$180,MATCH($D137,Backlog!$A$2:$A$180,0)),"")</x:f>
        <x:v>4.25</x:v>
      </x:c>
      <x:c r="I137" s="206" t="str">
        <x:f>IF(INDEX(Backlog!$M$2:$M$180,MATCH($D137,Backlog!$A$2:$A$180,0))="","",INDEX(Backlog!$M$2:$M$180,MATCH($D137,Backlog!$A$2:$A$180,0)))</x:f>
        <x:v>T-179; T-180; T-181; T-214; T-219; T-220</x:v>
      </x:c>
      <x:c r="J137" s="206" t="str">
        <x:f>IF(INDEX(Backlog!$T$2:$T$180,MATCH($D137,Backlog!$A$2:$A$180,0))="","",INDEX(Backlog!$T$2:$T$180,MATCH($D137,Backlog!$A$2:$A$180,0)))</x:f>
        <x:v>T-179/T-180/T-181 CLOSED + T-214 + T-219/T-220. No canonical persistence dependency for September explanation.</x:v>
      </x:c>
      <x:c r="K137" s="206" t="str">
        <x:f>IF(INDEX(Backlog!$U$2:$U$180,MATCH($D137,Backlog!$A$2:$A$180,0))="","",INDEX(Backlog!$U$2:$U$180,MATCH($D137,Backlog!$A$2:$A$180,0)))</x:f>
        <x:v>Assistant tool/evidence pack/verifier only; current dock UI remains Worker-2 owned.</x:v>
      </x:c>
      <x:c r="L137" s="206" t="str">
        <x:f>IF(INDEX(Backlog!$V$2:$V$180,MATCH($D137,Backlog!$A$2:$A$180,0))="","",INDEX(Backlog!$V$2:$V$180,MATCH($D137,Backlog!$A$2:$A$180,0)))</x:f>
        <x:v>T-221 later swaps persistence behind the same evidence contract; Assistant tool does not redesign.</x:v>
      </x:c>
      <x:c r="M137" s="194" t="str">
        <x:f>IF(INDEX(Backlog!$AO$2:$AO$180,MATCH($D137,Backlog!$A$2:$A$180,0))="","",INDEX(Backlog!$AO$2:$AO$180,MATCH($D137,Backlog!$A$2:$A$180,0)))</x:f>
        <x:v>Not started — no completion claimed</x:v>
      </x:c>
      <x:c r="N137" s="194" t="str">
        <x:f>IF(INDEX(Backlog!$AN$2:$AN$180,MATCH($D137,Backlog!$A$2:$A$180,0))="","",INDEX(Backlog!$AN$2:$AN$180,MATCH($D137,Backlog!$A$2:$A$180,0)))</x:f>
      </x:c>
    </x:row>
    <x:row r="138" ht="26" customHeight="1">
      <x:c r="A138" s="206" t="str">
        <x:f>IF(INDEX(Backlog!$L$2:$L$180,MATCH($D138,Backlog!$A$2:$A$180,0))="","",INDEX(Backlog!$L$2:$L$180,MATCH($D138,Backlog!$A$2:$A$180,0)))</x:f>
        <x:v>Worker 3</x:v>
      </x:c>
      <x:c r="B138" s="206" t="str">
        <x:f>IF(INDEX(Backlog!$B$2:$B$180,MATCH($D138,Backlog!$A$2:$A$180,0))="","",INDEX(Backlog!$B$2:$B$180,MATCH($D138,Backlog!$A$2:$A$180,0)))</x:f>
        <x:v>M2</x:v>
      </x:c>
      <x:c r="C138" s="206" t="str">
        <x:f>IF(INDEX(Backlog!$C$2:$C$180,MATCH($D138,Backlog!$A$2:$A$180,0))="","",INDEX(Backlog!$C$2:$C$180,MATCH($D138,Backlog!$A$2:$A$180,0)))</x:f>
        <x:v>P4</x:v>
      </x:c>
      <x:c r="D138" s="206" t="str">
        <x:v>T-234</x:v>
      </x:c>
      <x:c r="E138" s="206" t="str">
        <x:f>IF(INDEX(Backlog!$D$2:$D$180,MATCH($D138,Backlog!$A$2:$A$180,0))="","",INDEX(Backlog!$D$2:$D$180,MATCH($D138,Backlog!$A$2:$A$180,0)))</x:f>
        <x:v>Operational Transition and Stabilisation contract/kernel</x:v>
      </x:c>
      <x:c r="F138" s="206" t="str">
        <x:f>IF(INDEX(Backlog!$K$2:$K$180,MATCH($D138,Backlog!$A$2:$A$180,0))="","",INDEX(Backlog!$K$2:$K$180,MATCH($D138,Backlog!$A$2:$A$180,0)))</x:f>
        <x:v>Done</x:v>
      </x:c>
      <x:c r="G138" s="206" t="n">
        <x:f>IF(ISNUMBER(INDEX(Backlog!$J$2:$J$180,MATCH($D138,Backlog!$A$2:$A$180,0))),INDEX(Backlog!$J$2:$J$180,MATCH($D138,Backlog!$A$2:$A$180,0)),"")</x:f>
        <x:v>8</x:v>
      </x:c>
      <x:c r="H138" s="206" t="n">
        <x:f>IF(ISNUMBER(INDEX(Backlog!$R$2:$R$180,MATCH($D138,Backlog!$A$2:$A$180,0))),INDEX(Backlog!$R$2:$R$180,MATCH($D138,Backlog!$A$2:$A$180,0)),"")</x:f>
        <x:v>2</x:v>
      </x:c>
      <x:c r="I138" s="206" t="str">
        <x:f>IF(INDEX(Backlog!$M$2:$M$180,MATCH($D138,Backlog!$A$2:$A$180,0))="","",INDEX(Backlog!$M$2:$M$180,MATCH($D138,Backlog!$A$2:$A$180,0)))</x:f>
        <x:v>T-208; T-209</x:v>
      </x:c>
      <x:c r="J138" s="206" t="str">
        <x:f>IF(INDEX(Backlog!$T$2:$T$180,MATCH($D138,Backlog!$A$2:$A$180,0))="","",INDEX(Backlog!$T$2:$T$180,MATCH($D138,Backlog!$A$2:$A$180,0)))</x:f>
        <x:v>T-208 + T-209; may run in parallel with W1 canonical chain.</x:v>
      </x:c>
      <x:c r="K138" s="206" t="str">
        <x:f>IF(INDEX(Backlog!$U$2:$U$180,MATCH($D138,Backlog!$A$2:$A$180,0))="","",INDEX(Backlog!$U$2:$U$180,MATCH($D138,Backlog!$A$2:$A$180,0)))</x:f>
        <x:v>New generic transition/stabilisation contract/tests only.</x:v>
      </x:c>
      <x:c r="L138" s="206" t="str">
        <x:f>IF(INDEX(Backlog!$V$2:$V$180,MATCH($D138,Backlog!$A$2:$A$180,0))="","",INDEX(Backlog!$V$2:$V$180,MATCH($D138,Backlog!$A$2:$A$180,0)))</x:f>
        <x:v>T-235 persists unchanged contract; T-236 consumes it without redefining semantics.</x:v>
      </x:c>
      <x:c r="M138" s="194" t="str">
        <x:f>IF(INDEX(Backlog!$AO$2:$AO$180,MATCH($D138,Backlog!$A$2:$A$180,0))="","",INDEX(Backlog!$AO$2:$AO$180,MATCH($D138,Backlog!$A$2:$A$180,0)))</x:f>
        <x:v>Recorded closed — inherited evidence</x:v>
      </x:c>
      <x:c r="N138" s="194" t="str">
        <x:f>IF(INDEX(Backlog!$AN$2:$AN$180,MATCH($D138,Backlog!$A$2:$A$180,0))="","",INDEX(Backlog!$AN$2:$AN$180,MATCH($D138,Backlog!$A$2:$A$180,0)))</x:f>
      </x:c>
    </x:row>
    <x:row r="139" ht="26" customHeight="1">
      <x:c r="A139" s="206" t="str">
        <x:f>IF(INDEX(Backlog!$L$2:$L$180,MATCH($D139,Backlog!$A$2:$A$180,0))="","",INDEX(Backlog!$L$2:$L$180,MATCH($D139,Backlog!$A$2:$A$180,0)))</x:f>
        <x:v>Worker 3</x:v>
      </x:c>
      <x:c r="B139" s="206" t="str">
        <x:f>IF(INDEX(Backlog!$B$2:$B$180,MATCH($D139,Backlog!$A$2:$A$180,0))="","",INDEX(Backlog!$B$2:$B$180,MATCH($D139,Backlog!$A$2:$A$180,0)))</x:f>
        <x:v>M2</x:v>
      </x:c>
      <x:c r="C139" s="206" t="str">
        <x:f>IF(INDEX(Backlog!$C$2:$C$180,MATCH($D139,Backlog!$A$2:$A$180,0))="","",INDEX(Backlog!$C$2:$C$180,MATCH($D139,Backlog!$A$2:$A$180,0)))</x:f>
        <x:v>P4</x:v>
      </x:c>
      <x:c r="D139" s="206" t="str">
        <x:v>T-236</x:v>
      </x:c>
      <x:c r="E139" s="206" t="str">
        <x:f>IF(INDEX(Backlog!$D$2:$D$180,MATCH($D139,Backlog!$A$2:$A$180,0))="","",INDEX(Backlog!$D$2:$D$180,MATCH($D139,Backlog!$A$2:$A$180,0)))</x:f>
        <x:v>Transition-aware aggregation, statistics and reconciliation guard</x:v>
      </x:c>
      <x:c r="F139" s="206" t="str">
        <x:f>IF(INDEX(Backlog!$K$2:$K$180,MATCH($D139,Backlog!$A$2:$A$180,0))="","",INDEX(Backlog!$K$2:$K$180,MATCH($D139,Backlog!$A$2:$A$180,0)))</x:f>
        <x:v>Done</x:v>
      </x:c>
      <x:c r="G139" s="206" t="n">
        <x:f>IF(ISNUMBER(INDEX(Backlog!$J$2:$J$180,MATCH($D139,Backlog!$A$2:$A$180,0))),INDEX(Backlog!$J$2:$J$180,MATCH($D139,Backlog!$A$2:$A$180,0)),"")</x:f>
        <x:v>10</x:v>
      </x:c>
      <x:c r="H139" s="206" t="n">
        <x:f>IF(ISNUMBER(INDEX(Backlog!$R$2:$R$180,MATCH($D139,Backlog!$A$2:$A$180,0))),INDEX(Backlog!$R$2:$R$180,MATCH($D139,Backlog!$A$2:$A$180,0)),"")</x:f>
        <x:v>2.666666666666667</x:v>
      </x:c>
      <x:c r="I139" s="206" t="str">
        <x:f>IF(INDEX(Backlog!$M$2:$M$180,MATCH($D139,Backlog!$A$2:$A$180,0))="","",INDEX(Backlog!$M$2:$M$180,MATCH($D139,Backlog!$A$2:$A$180,0)))</x:f>
        <x:v>T-217; T-234</x:v>
      </x:c>
      <x:c r="J139" s="206" t="str">
        <x:f>IF(INDEX(Backlog!$T$2:$T$180,MATCH($D139,Backlog!$A$2:$A$180,0))="","",INDEX(Backlog!$T$2:$T$180,MATCH($D139,Backlog!$A$2:$A$180,0)))</x:f>
        <x:v>T-217 + T-234; may run while W1 canonical chain proceeds.</x:v>
      </x:c>
      <x:c r="K139" s="206" t="str">
        <x:f>IF(INDEX(Backlog!$U$2:$U$180,MATCH($D139,Backlog!$A$2:$A$180,0))="","",INDEX(Backlog!$U$2:$U$180,MATCH($D139,Backlog!$A$2:$A$180,0)))</x:f>
        <x:v>Analytics/reconciliation kernels only.</x:v>
      </x:c>
      <x:c r="L139" s="206" t="str">
        <x:f>IF(INDEX(Backlog!$V$2:$V$180,MATCH($D139,Backlog!$A$2:$A$180,0))="","",INDEX(Backlog!$V$2:$V$180,MATCH($D139,Backlog!$A$2:$A$180,0)))</x:f>
        <x:v>T-219 consumes the guard; consumers must not bypass RG01.</x:v>
      </x:c>
      <x:c r="M139" s="194" t="str">
        <x:f>IF(INDEX(Backlog!$AO$2:$AO$180,MATCH($D139,Backlog!$A$2:$A$180,0))="","",INDEX(Backlog!$AO$2:$AO$180,MATCH($D139,Backlog!$A$2:$A$180,0)))</x:f>
        <x:v>Recorded closed — inherited evidence</x:v>
      </x:c>
      <x:c r="N139" s="194" t="str">
        <x:f>IF(INDEX(Backlog!$AN$2:$AN$180,MATCH($D139,Backlog!$A$2:$A$180,0))="","",INDEX(Backlog!$AN$2:$AN$180,MATCH($D139,Backlog!$A$2:$A$180,0)))</x:f>
      </x:c>
    </x:row>
    <x:row r="140" ht="26" customHeight="1">
      <x:c r="A140" s="206" t="str">
        <x:f>IF(INDEX(Backlog!$L$2:$L$180,MATCH($D140,Backlog!$A$2:$A$180,0))="","",INDEX(Backlog!$L$2:$L$180,MATCH($D140,Backlog!$A$2:$A$180,0)))</x:f>
        <x:v>Worker 3</x:v>
      </x:c>
      <x:c r="B140" s="206" t="str">
        <x:f>IF(INDEX(Backlog!$B$2:$B$180,MATCH($D140,Backlog!$A$2:$A$180,0))="","",INDEX(Backlog!$B$2:$B$180,MATCH($D140,Backlog!$A$2:$A$180,0)))</x:f>
        <x:v>M2</x:v>
      </x:c>
      <x:c r="C140" s="206" t="str">
        <x:f>IF(INDEX(Backlog!$C$2:$C$180,MATCH($D140,Backlog!$A$2:$A$180,0))="","",INDEX(Backlog!$C$2:$C$180,MATCH($D140,Backlog!$A$2:$A$180,0)))</x:f>
        <x:v>P5</x:v>
      </x:c>
      <x:c r="D140" s="206" t="str">
        <x:v>T-255</x:v>
      </x:c>
      <x:c r="E140" s="206" t="str">
        <x:f>IF(INDEX(Backlog!$D$2:$D$180,MATCH($D140,Backlog!$A$2:$A$180,0))="","",INDEX(Backlog!$D$2:$D$180,MATCH($D140,Backlog!$A$2:$A$180,0)))</x:f>
        <x:v>Repository authority and audit-truth hygiene ratchet</x:v>
      </x:c>
      <x:c r="F140" s="206" t="str">
        <x:f>IF(INDEX(Backlog!$K$2:$K$180,MATCH($D140,Backlog!$A$2:$A$180,0))="","",INDEX(Backlog!$K$2:$K$180,MATCH($D140,Backlog!$A$2:$A$180,0)))</x:f>
        <x:v>Not Started</x:v>
      </x:c>
      <x:c r="G140" s="206" t="n">
        <x:f>IF(ISNUMBER(INDEX(Backlog!$J$2:$J$180,MATCH($D140,Backlog!$A$2:$A$180,0))),INDEX(Backlog!$J$2:$J$180,MATCH($D140,Backlog!$A$2:$A$180,0)),"")</x:f>
        <x:v>8</x:v>
      </x:c>
      <x:c r="H140" s="206" t="n">
        <x:f>IF(ISNUMBER(INDEX(Backlog!$R$2:$R$180,MATCH($D140,Backlog!$A$2:$A$180,0))),INDEX(Backlog!$R$2:$R$180,MATCH($D140,Backlog!$A$2:$A$180,0)),"")</x:f>
        <x:v>1.2</x:v>
      </x:c>
      <x:c r="I140" s="206" t="str">
        <x:f>IF(INDEX(Backlog!$M$2:$M$180,MATCH($D140,Backlog!$A$2:$A$180,0))="","",INDEX(Backlog!$M$2:$M$180,MATCH($D140,Backlog!$A$2:$A$180,0)))</x:f>
        <x:v>T-205; T-250</x:v>
      </x:c>
      <x:c r="J140" s="206" t="str">
        <x:f>IF(INDEX(Backlog!$T$2:$T$180,MATCH($D140,Backlog!$A$2:$A$180,0))="","",INDEX(Backlog!$T$2:$T$180,MATCH($D140,Backlog!$A$2:$A$180,0)))</x:f>
        <x:v>Run after T-106 or on a disjoint tooling-only lane; no runtime feature mutation.</x:v>
      </x:c>
      <x:c r="K140" s="206" t="str">
        <x:f>IF(INDEX(Backlog!$U$2:$U$180,MATCH($D140,Backlog!$A$2:$A$180,0))="","",INDEX(Backlog!$U$2:$U$180,MATCH($D140,Backlog!$A$2:$A$180,0)))</x:f>
        <x:v>Root/tooling/audit generator/architecture hygiene tests only. Do not rename or edit Worker-1/2 runtime feature files.</x:v>
      </x:c>
      <x:c r="L140" s="206" t="str">
        <x:f>IF(INDEX(Backlog!$V$2:$V$180,MATCH($D140,Backlog!$A$2:$A$180,0))="","",INDEX(Backlog!$V$2:$V$180,MATCH($D140,Backlog!$A$2:$A$180,0)))</x:f>
        <x:v>Legacy task-ID filenames are grandfathered, not mass-renamed. Future tasks consume the forward gate.</x:v>
      </x:c>
      <x:c r="M140" s="194" t="str">
        <x:f>IF(INDEX(Backlog!$AO$2:$AO$180,MATCH($D140,Backlog!$A$2:$A$180,0))="","",INDEX(Backlog!$AO$2:$AO$180,MATCH($D140,Backlog!$A$2:$A$180,0)))</x:f>
        <x:v>Not started — no completion claimed</x:v>
      </x:c>
      <x:c r="N140" s="194" t="str">
        <x:f>IF(INDEX(Backlog!$AN$2:$AN$180,MATCH($D140,Backlog!$A$2:$A$180,0))="","",INDEX(Backlog!$AN$2:$AN$180,MATCH($D140,Backlog!$A$2:$A$180,0)))</x:f>
      </x:c>
    </x:row>
    <x:row r="141" ht="26" customHeight="1">
      <x:c r="A141" s="206" t="str">
        <x:f>IF(INDEX(Backlog!$L$2:$L$180,MATCH($D141,Backlog!$A$2:$A$180,0))="","",INDEX(Backlog!$L$2:$L$180,MATCH($D141,Backlog!$A$2:$A$180,0)))</x:f>
        <x:v>Worker 3</x:v>
      </x:c>
      <x:c r="B141" s="206" t="str">
        <x:f>IF(INDEX(Backlog!$B$2:$B$180,MATCH($D141,Backlog!$A$2:$A$180,0))="","",INDEX(Backlog!$B$2:$B$180,MATCH($D141,Backlog!$A$2:$A$180,0)))</x:f>
        <x:v>M3</x:v>
      </x:c>
      <x:c r="C141" s="206" t="str">
        <x:f>IF(INDEX(Backlog!$C$2:$C$180,MATCH($D141,Backlog!$A$2:$A$180,0))="","",INDEX(Backlog!$C$2:$C$180,MATCH($D141,Backlog!$A$2:$A$180,0)))</x:f>
        <x:v>P1</x:v>
      </x:c>
      <x:c r="D141" s="206" t="str">
        <x:v>T-155</x:v>
      </x:c>
      <x:c r="E141" s="206" t="str">
        <x:f>IF(INDEX(Backlog!$D$2:$D$180,MATCH($D141,Backlog!$A$2:$A$180,0))="","",INDEX(Backlog!$D$2:$D$180,MATCH($D141,Backlog!$A$2:$A$180,0)))</x:f>
        <x:v>B-01/B-02 capacity tuning, scan amplification and model-serving memory</x:v>
      </x:c>
      <x:c r="F141" s="206" t="str">
        <x:f>IF(INDEX(Backlog!$K$2:$K$180,MATCH($D141,Backlog!$A$2:$A$180,0))="","",INDEX(Backlog!$K$2:$K$180,MATCH($D141,Backlog!$A$2:$A$180,0)))</x:f>
        <x:v>Not Started</x:v>
      </x:c>
      <x:c r="G141" s="206" t="n">
        <x:f>IF(ISNUMBER(INDEX(Backlog!$J$2:$J$180,MATCH($D141,Backlog!$A$2:$A$180,0))),INDEX(Backlog!$J$2:$J$180,MATCH($D141,Backlog!$A$2:$A$180,0)),"")</x:f>
        <x:v>12</x:v>
      </x:c>
      <x:c r="H141" s="206" t="n">
        <x:f>IF(ISNUMBER(INDEX(Backlog!$R$2:$R$180,MATCH($D141,Backlog!$A$2:$A$180,0))),INDEX(Backlog!$R$2:$R$180,MATCH($D141,Backlog!$A$2:$A$180,0)),"")</x:f>
        <x:v>4.32</x:v>
      </x:c>
      <x:c r="I141" s="206" t="str">
        <x:f>IF(INDEX(Backlog!$M$2:$M$180,MATCH($D141,Backlog!$A$2:$A$180,0))="","",INDEX(Backlog!$M$2:$M$180,MATCH($D141,Backlog!$A$2:$A$180,0)))</x:f>
      </x:c>
      <x:c r="J141" s="206" t="str">
        <x:f>IF(INDEX(Backlog!$T$2:$T$180,MATCH($D141,Backlog!$A$2:$A$180,0))="","",INDEX(Backlog!$T$2:$T$180,MATCH($D141,Backlog!$A$2:$A$180,0)))</x:f>
        <x:v>WAIT for deployed Release 1 + real customer/site evidence. Release 2 accepted + site hardware</x:v>
      </x:c>
      <x:c r="K141" s="206" t="str">
        <x:f>IF(INDEX(Backlog!$U$2:$U$180,MATCH($D141,Backlog!$A$2:$A$180,0))="","",INDEX(Backlog!$U$2:$U$180,MATCH($D141,Backlog!$A$2:$A$180,0)))</x:f>
        <x:v>Own AI/ML calibration/capacity evidence only.</x:v>
      </x:c>
      <x:c r="L141" s="206" t="str">
        <x:f>IF(INDEX(Backlog!$V$2:$V$180,MATCH($D141,Backlog!$A$2:$A$180,0))="","",INDEX(Backlog!$V$2:$V$180,MATCH($D141,Backlog!$A$2:$A$180,0)))</x:f>
        <x:v>Commit before downstream consumer starts; consumer must use the contract, not redesign producer-owned semantics.</x:v>
      </x:c>
      <x:c r="M141" s="194" t="str">
        <x:f>IF(INDEX(Backlog!$AO$2:$AO$180,MATCH($D141,Backlog!$A$2:$A$180,0))="","",INDEX(Backlog!$AO$2:$AO$180,MATCH($D141,Backlog!$A$2:$A$180,0)))</x:f>
        <x:v>Not started — no completion claimed</x:v>
      </x:c>
      <x:c r="N141" s="194" t="str">
        <x:f>IF(INDEX(Backlog!$AN$2:$AN$180,MATCH($D141,Backlog!$A$2:$A$180,0))="","",INDEX(Backlog!$AN$2:$AN$180,MATCH($D141,Backlog!$A$2:$A$180,0)))</x:f>
      </x:c>
    </x:row>
    <x:row r="142" ht="26" customHeight="1">
      <x:c r="A142" s="206" t="str">
        <x:f>IF(INDEX(Backlog!$L$2:$L$180,MATCH($D142,Backlog!$A$2:$A$180,0))="","",INDEX(Backlog!$L$2:$L$180,MATCH($D142,Backlog!$A$2:$A$180,0)))</x:f>
        <x:v>Worker 3</x:v>
      </x:c>
      <x:c r="B142" s="206" t="str">
        <x:f>IF(INDEX(Backlog!$B$2:$B$180,MATCH($D142,Backlog!$A$2:$A$180,0))="","",INDEX(Backlog!$B$2:$B$180,MATCH($D142,Backlog!$A$2:$A$180,0)))</x:f>
        <x:v>M3</x:v>
      </x:c>
      <x:c r="C142" s="206" t="str">
        <x:f>IF(INDEX(Backlog!$C$2:$C$180,MATCH($D142,Backlog!$A$2:$A$180,0))="","",INDEX(Backlog!$C$2:$C$180,MATCH($D142,Backlog!$A$2:$A$180,0)))</x:f>
        <x:v>P1</x:v>
      </x:c>
      <x:c r="D142" s="206" t="str">
        <x:v>T-159</x:v>
      </x:c>
      <x:c r="E142" s="206" t="str">
        <x:f>IF(INDEX(Backlog!$D$2:$D$180,MATCH($D142,Backlog!$A$2:$A$180,0))="","",INDEX(Backlog!$D$2:$D$180,MATCH($D142,Backlog!$A$2:$A$180,0)))</x:f>
        <x:v>C1 to C4 capacity certification</x:v>
      </x:c>
      <x:c r="F142" s="206" t="str">
        <x:f>IF(INDEX(Backlog!$K$2:$K$180,MATCH($D142,Backlog!$A$2:$A$180,0))="","",INDEX(Backlog!$K$2:$K$180,MATCH($D142,Backlog!$A$2:$A$180,0)))</x:f>
        <x:v>Not Started</x:v>
      </x:c>
      <x:c r="G142" s="206" t="n">
        <x:f>IF(ISNUMBER(INDEX(Backlog!$J$2:$J$180,MATCH($D142,Backlog!$A$2:$A$180,0))),INDEX(Backlog!$J$2:$J$180,MATCH($D142,Backlog!$A$2:$A$180,0)),"")</x:f>
        <x:v>12</x:v>
      </x:c>
      <x:c r="H142" s="206" t="n">
        <x:f>IF(ISNUMBER(INDEX(Backlog!$R$2:$R$180,MATCH($D142,Backlog!$A$2:$A$180,0))),INDEX(Backlog!$R$2:$R$180,MATCH($D142,Backlog!$A$2:$A$180,0)),"")</x:f>
        <x:v>4.32</x:v>
      </x:c>
      <x:c r="I142" s="206" t="str">
        <x:f>IF(INDEX(Backlog!$M$2:$M$180,MATCH($D142,Backlog!$A$2:$A$180,0))="","",INDEX(Backlog!$M$2:$M$180,MATCH($D142,Backlog!$A$2:$A$180,0)))</x:f>
      </x:c>
      <x:c r="J142" s="206" t="str">
        <x:f>IF(INDEX(Backlog!$T$2:$T$180,MATCH($D142,Backlog!$A$2:$A$180,0))="","",INDEX(Backlog!$T$2:$T$180,MATCH($D142,Backlog!$A$2:$A$180,0)))</x:f>
        <x:v>WAIT for deployed Release 1 + real customer/site evidence. Release 2 accepted + site hardware</x:v>
      </x:c>
      <x:c r="K142" s="206" t="str">
        <x:f>IF(INDEX(Backlog!$U$2:$U$180,MATCH($D142,Backlog!$A$2:$A$180,0))="","",INDEX(Backlog!$U$2:$U$180,MATCH($D142,Backlog!$A$2:$A$180,0)))</x:f>
        <x:v>Own AI/ML calibration/capacity evidence only.</x:v>
      </x:c>
      <x:c r="L142" s="206" t="str">
        <x:f>IF(INDEX(Backlog!$V$2:$V$180,MATCH($D142,Backlog!$A$2:$A$180,0))="","",INDEX(Backlog!$V$2:$V$180,MATCH($D142,Backlog!$A$2:$A$180,0)))</x:f>
        <x:v>Commit before downstream consumer starts; consumer must use the contract, not redesign producer-owned semantics.</x:v>
      </x:c>
      <x:c r="M142" s="194" t="str">
        <x:f>IF(INDEX(Backlog!$AO$2:$AO$180,MATCH($D142,Backlog!$A$2:$A$180,0))="","",INDEX(Backlog!$AO$2:$AO$180,MATCH($D142,Backlog!$A$2:$A$180,0)))</x:f>
        <x:v>Not started — no completion claimed</x:v>
      </x:c>
      <x:c r="N142" s="194" t="str">
        <x:f>IF(INDEX(Backlog!$AN$2:$AN$180,MATCH($D142,Backlog!$A$2:$A$180,0))="","",INDEX(Backlog!$AN$2:$AN$180,MATCH($D142,Backlog!$A$2:$A$180,0)))</x:f>
      </x:c>
    </x:row>
    <x:row r="143" ht="26" customHeight="1">
      <x:c r="A143" s="206" t="str">
        <x:f>IF(INDEX(Backlog!$L$2:$L$180,MATCH($D143,Backlog!$A$2:$A$180,0))="","",INDEX(Backlog!$L$2:$L$180,MATCH($D143,Backlog!$A$2:$A$180,0)))</x:f>
        <x:v>Worker 3</x:v>
      </x:c>
      <x:c r="B143" s="206" t="str">
        <x:f>IF(INDEX(Backlog!$B$2:$B$180,MATCH($D143,Backlog!$A$2:$A$180,0))="","",INDEX(Backlog!$B$2:$B$180,MATCH($D143,Backlog!$A$2:$A$180,0)))</x:f>
        <x:v>M3</x:v>
      </x:c>
      <x:c r="C143" s="206" t="str">
        <x:f>IF(INDEX(Backlog!$C$2:$C$180,MATCH($D143,Backlog!$A$2:$A$180,0))="","",INDEX(Backlog!$C$2:$C$180,MATCH($D143,Backlog!$A$2:$A$180,0)))</x:f>
        <x:v>P3</x:v>
      </x:c>
      <x:c r="D143" s="206" t="str">
        <x:v>T-228</x:v>
      </x:c>
      <x:c r="E143" s="206" t="str">
        <x:f>IF(INDEX(Backlog!$D$2:$D$180,MATCH($D143,Backlog!$A$2:$A$180,0))="","",INDEX(Backlog!$D$2:$D$180,MATCH($D143,Backlog!$A$2:$A$180,0)))</x:f>
        <x:v>Versioned InsightBoardPlan contract and deterministic validator</x:v>
      </x:c>
      <x:c r="F143" s="206" t="str">
        <x:f>IF(INDEX(Backlog!$K$2:$K$180,MATCH($D143,Backlog!$A$2:$A$180,0))="","",INDEX(Backlog!$K$2:$K$180,MATCH($D143,Backlog!$A$2:$A$180,0)))</x:f>
        <x:v>Not Started</x:v>
      </x:c>
      <x:c r="G143" s="206" t="n">
        <x:f>IF(ISNUMBER(INDEX(Backlog!$J$2:$J$180,MATCH($D143,Backlog!$A$2:$A$180,0))),INDEX(Backlog!$J$2:$J$180,MATCH($D143,Backlog!$A$2:$A$180,0)),"")</x:f>
        <x:v>10</x:v>
      </x:c>
      <x:c r="H143" s="206" t="n">
        <x:f>IF(ISNUMBER(INDEX(Backlog!$R$2:$R$180,MATCH($D143,Backlog!$A$2:$A$180,0))),INDEX(Backlog!$R$2:$R$180,MATCH($D143,Backlog!$A$2:$A$180,0)),"")</x:f>
        <x:v>3.2</x:v>
      </x:c>
      <x:c r="I143" s="206" t="str">
        <x:f>IF(INDEX(Backlog!$M$2:$M$180,MATCH($D143,Backlog!$A$2:$A$180,0))="","",INDEX(Backlog!$M$2:$M$180,MATCH($D143,Backlog!$A$2:$A$180,0)))</x:f>
        <x:v>T-090; T-092; T-134; T-179; T-180; T-181</x:v>
      </x:c>
      <x:c r="J143" s="206" t="str">
        <x:f>IF(INDEX(Backlog!$T$2:$T$180,MATCH($D143,Backlog!$A$2:$A$180,0))="","",INDEX(Backlog!$T$2:$T$180,MATCH($D143,Backlog!$A$2:$A$180,0)))</x:f>
        <x:v>After September customer RC; T-090/T-092 + T-134 + T-179..181.</x:v>
      </x:c>
      <x:c r="K143" s="206" t="str">
        <x:f>IF(INDEX(Backlog!$U$2:$U$180,MATCH($D143,Backlog!$A$2:$A$180,0))="","",INDEX(Backlog!$U$2:$U$180,MATCH($D143,Backlog!$A$2:$A$180,0)))</x:f>
        <x:v>New Assistant plan contract/tests only.</x:v>
      </x:c>
      <x:c r="L143" s="206" t="str">
        <x:f>IF(INDEX(Backlog!$V$2:$V$180,MATCH($D143,Backlog!$A$2:$A$180,0))="","",INDEX(Backlog!$V$2:$V$180,MATCH($D143,Backlog!$A$2:$A$180,0)))</x:f>
        <x:v>T-229 consumes validator; no direct UI generation.</x:v>
      </x:c>
      <x:c r="M143" s="194" t="str">
        <x:f>IF(INDEX(Backlog!$AO$2:$AO$180,MATCH($D143,Backlog!$A$2:$A$180,0))="","",INDEX(Backlog!$AO$2:$AO$180,MATCH($D143,Backlog!$A$2:$A$180,0)))</x:f>
        <x:v>Not started — no completion claimed</x:v>
      </x:c>
      <x:c r="N143" s="194" t="str">
        <x:f>IF(INDEX(Backlog!$AN$2:$AN$180,MATCH($D143,Backlog!$A$2:$A$180,0))="","",INDEX(Backlog!$AN$2:$AN$180,MATCH($D143,Backlog!$A$2:$A$180,0)))</x:f>
      </x:c>
    </x:row>
    <x:row r="144" ht="26" customHeight="1">
      <x:c r="A144" s="206" t="str">
        <x:f>IF(INDEX(Backlog!$L$2:$L$180,MATCH($D144,Backlog!$A$2:$A$180,0))="","",INDEX(Backlog!$L$2:$L$180,MATCH($D144,Backlog!$A$2:$A$180,0)))</x:f>
        <x:v>Worker 3</x:v>
      </x:c>
      <x:c r="B144" s="206" t="str">
        <x:f>IF(INDEX(Backlog!$B$2:$B$180,MATCH($D144,Backlog!$A$2:$A$180,0))="","",INDEX(Backlog!$B$2:$B$180,MATCH($D144,Backlog!$A$2:$A$180,0)))</x:f>
        <x:v>M3</x:v>
      </x:c>
      <x:c r="C144" s="206" t="str">
        <x:f>IF(INDEX(Backlog!$C$2:$C$180,MATCH($D144,Backlog!$A$2:$A$180,0))="","",INDEX(Backlog!$C$2:$C$180,MATCH($D144,Backlog!$A$2:$A$180,0)))</x:f>
        <x:v>P3</x:v>
      </x:c>
      <x:c r="D144" s="206" t="str">
        <x:v>T-229</x:v>
      </x:c>
      <x:c r="E144" s="206" t="str">
        <x:f>IF(INDEX(Backlog!$D$2:$D$180,MATCH($D144,Backlog!$A$2:$A$180,0))="","",INDEX(Backlog!$D$2:$D$180,MATCH($D144,Backlog!$A$2:$A$180,0)))</x:f>
        <x:v>Governed Assistant plan-to-widget Investigation Board composition</x:v>
      </x:c>
      <x:c r="F144" s="206" t="str">
        <x:f>IF(INDEX(Backlog!$K$2:$K$180,MATCH($D144,Backlog!$A$2:$A$180,0))="","",INDEX(Backlog!$K$2:$K$180,MATCH($D144,Backlog!$A$2:$A$180,0)))</x:f>
        <x:v>Not Started</x:v>
      </x:c>
      <x:c r="G144" s="206" t="n">
        <x:f>IF(ISNUMBER(INDEX(Backlog!$J$2:$J$180,MATCH($D144,Backlog!$A$2:$A$180,0))),INDEX(Backlog!$J$2:$J$180,MATCH($D144,Backlog!$A$2:$A$180,0)),"")</x:f>
        <x:v>12</x:v>
      </x:c>
      <x:c r="H144" s="206" t="n">
        <x:f>IF(ISNUMBER(INDEX(Backlog!$R$2:$R$180,MATCH($D144,Backlog!$A$2:$A$180,0))),INDEX(Backlog!$R$2:$R$180,MATCH($D144,Backlog!$A$2:$A$180,0)),"")</x:f>
        <x:v>6.171428571428571</x:v>
      </x:c>
      <x:c r="I144" s="206" t="str">
        <x:f>IF(INDEX(Backlog!$M$2:$M$180,MATCH($D144,Backlog!$A$2:$A$180,0))="","",INDEX(Backlog!$M$2:$M$180,MATCH($D144,Backlog!$A$2:$A$180,0)))</x:f>
        <x:v>T-228; T-134</x:v>
      </x:c>
      <x:c r="J144" s="206" t="str">
        <x:f>IF(INDEX(Backlog!$T$2:$T$180,MATCH($D144,Backlog!$A$2:$A$180,0))="","",INDEX(Backlog!$T$2:$T$180,MATCH($D144,Backlog!$A$2:$A$180,0)))</x:f>
        <x:v>T-228 + T-134 + stable Page Builder contract; coordinate UI consumption with Worker 2.</x:v>
      </x:c>
      <x:c r="K144" s="206" t="str">
        <x:f>IF(INDEX(Backlog!$U$2:$U$180,MATCH($D144,Backlog!$A$2:$A$180,0))="","",INDEX(Backlog!$U$2:$U$180,MATCH($D144,Backlog!$A$2:$A$180,0)))</x:f>
        <x:v>Assistant composition service; UI host changes require explicit W2 hand-off.</x:v>
      </x:c>
      <x:c r="L144" s="206" t="str">
        <x:f>IF(INDEX(Backlog!$V$2:$V$180,MATCH($D144,Backlog!$A$2:$A$180,0))="","",INDEX(Backlog!$V$2:$V$180,MATCH($D144,Backlog!$A$2:$A$180,0)))</x:f>
        <x:v>T-230 adds persistence; no separate rendering engine.</x:v>
      </x:c>
      <x:c r="M144" s="194" t="str">
        <x:f>IF(INDEX(Backlog!$AO$2:$AO$180,MATCH($D144,Backlog!$A$2:$A$180,0))="","",INDEX(Backlog!$AO$2:$AO$180,MATCH($D144,Backlog!$A$2:$A$180,0)))</x:f>
        <x:v>Not started — no completion claimed</x:v>
      </x:c>
      <x:c r="N144" s="194" t="str">
        <x:f>IF(INDEX(Backlog!$AN$2:$AN$180,MATCH($D144,Backlog!$A$2:$A$180,0))="","",INDEX(Backlog!$AN$2:$AN$180,MATCH($D144,Backlog!$A$2:$A$180,0)))</x:f>
      </x:c>
    </x:row>
    <x:row r="145" ht="26" customHeight="1">
      <x:c r="A145" s="206" t="str">
        <x:f>IF(INDEX(Backlog!$L$2:$L$180,MATCH($D145,Backlog!$A$2:$A$180,0))="","",INDEX(Backlog!$L$2:$L$180,MATCH($D145,Backlog!$A$2:$A$180,0)))</x:f>
        <x:v>Worker 3</x:v>
      </x:c>
      <x:c r="B145" s="206" t="str">
        <x:f>IF(INDEX(Backlog!$B$2:$B$180,MATCH($D145,Backlog!$A$2:$A$180,0))="","",INDEX(Backlog!$B$2:$B$180,MATCH($D145,Backlog!$A$2:$A$180,0)))</x:f>
        <x:v>M3</x:v>
      </x:c>
      <x:c r="C145" s="206" t="str">
        <x:f>IF(INDEX(Backlog!$C$2:$C$180,MATCH($D145,Backlog!$A$2:$A$180,0))="","",INDEX(Backlog!$C$2:$C$180,MATCH($D145,Backlog!$A$2:$A$180,0)))</x:f>
        <x:v>P3</x:v>
      </x:c>
      <x:c r="D145" s="206" t="str">
        <x:v>T-230</x:v>
      </x:c>
      <x:c r="E145" s="206" t="str">
        <x:f>IF(INDEX(Backlog!$D$2:$D$180,MATCH($D145,Backlog!$A$2:$A$180,0))="","",INDEX(Backlog!$D$2:$D$180,MATCH($D145,Backlog!$A$2:$A$180,0)))</x:f>
        <x:v>Persisted Investigation Board version, replay and Save-as-Page handoff</x:v>
      </x:c>
      <x:c r="F145" s="206" t="str">
        <x:f>IF(INDEX(Backlog!$K$2:$K$180,MATCH($D145,Backlog!$A$2:$A$180,0))="","",INDEX(Backlog!$K$2:$K$180,MATCH($D145,Backlog!$A$2:$A$180,0)))</x:f>
        <x:v>Not Started</x:v>
      </x:c>
      <x:c r="G145" s="206" t="n">
        <x:f>IF(ISNUMBER(INDEX(Backlog!$J$2:$J$180,MATCH($D145,Backlog!$A$2:$A$180,0))),INDEX(Backlog!$J$2:$J$180,MATCH($D145,Backlog!$A$2:$A$180,0)),"")</x:f>
        <x:v>12</x:v>
      </x:c>
      <x:c r="H145" s="206" t="n">
        <x:f>IF(ISNUMBER(INDEX(Backlog!$R$2:$R$180,MATCH($D145,Backlog!$A$2:$A$180,0))),INDEX(Backlog!$R$2:$R$180,MATCH($D145,Backlog!$A$2:$A$180,0)),"")</x:f>
        <x:v>5.1</x:v>
      </x:c>
      <x:c r="I145" s="206" t="str">
        <x:f>IF(INDEX(Backlog!$M$2:$M$180,MATCH($D145,Backlog!$A$2:$A$180,0))="","",INDEX(Backlog!$M$2:$M$180,MATCH($D145,Backlog!$A$2:$A$180,0)))</x:f>
        <x:v>T-229; T-112; T-114</x:v>
      </x:c>
      <x:c r="J145" s="206" t="str">
        <x:f>IF(INDEX(Backlog!$T$2:$T$180,MATCH($D145,Backlog!$A$2:$A$180,0))="","",INDEX(Backlog!$T$2:$T$180,MATCH($D145,Backlog!$A$2:$A$180,0)))</x:f>
        <x:v>T-229 + canonical definition/evidence persistence + T-112/T-114.</x:v>
      </x:c>
      <x:c r="K145" s="206" t="str">
        <x:f>IF(INDEX(Backlog!$U$2:$U$180,MATCH($D145,Backlog!$A$2:$A$180,0))="","",INDEX(Backlog!$U$2:$U$180,MATCH($D145,Backlog!$A$2:$A$180,0)))</x:f>
        <x:v>Investigation board persistence and conversion contract.</x:v>
      </x:c>
      <x:c r="L145" s="206" t="str">
        <x:f>IF(INDEX(Backlog!$V$2:$V$180,MATCH($D145,Backlog!$A$2:$A$180,0))="","",INDEX(Backlog!$V$2:$V$180,MATCH($D145,Backlog!$A$2:$A$180,0)))</x:f>
        <x:v>Page Builder owns resulting page definitions; Assistant owns historical investigation artifact only.</x:v>
      </x:c>
      <x:c r="M145" s="194" t="str">
        <x:f>IF(INDEX(Backlog!$AO$2:$AO$180,MATCH($D145,Backlog!$A$2:$A$180,0))="","",INDEX(Backlog!$AO$2:$AO$180,MATCH($D145,Backlog!$A$2:$A$180,0)))</x:f>
        <x:v>Not started — no completion claimed</x:v>
      </x:c>
      <x:c r="N145" s="194" t="str">
        <x:f>IF(INDEX(Backlog!$AN$2:$AN$180,MATCH($D145,Backlog!$A$2:$A$180,0))="","",INDEX(Backlog!$AN$2:$AN$180,MATCH($D145,Backlog!$A$2:$A$180,0)))</x:f>
      </x:c>
    </x:row>
    <x:row r="146" ht="26" customHeight="1">
      <x:c r="A146" s="206" t="str">
        <x:f>IF(INDEX(Backlog!$L$2:$L$180,MATCH($D146,Backlog!$A$2:$A$180,0))="","",INDEX(Backlog!$L$2:$L$180,MATCH($D146,Backlog!$A$2:$A$180,0)))</x:f>
        <x:v>Worker 3</x:v>
      </x:c>
      <x:c r="B146" s="206" t="str">
        <x:f>IF(INDEX(Backlog!$B$2:$B$180,MATCH($D146,Backlog!$A$2:$A$180,0))="","",INDEX(Backlog!$B$2:$B$180,MATCH($D146,Backlog!$A$2:$A$180,0)))</x:f>
        <x:v>M3</x:v>
      </x:c>
      <x:c r="C146" s="206" t="str">
        <x:f>IF(INDEX(Backlog!$C$2:$C$180,MATCH($D146,Backlog!$A$2:$A$180,0))="","",INDEX(Backlog!$C$2:$C$180,MATCH($D146,Backlog!$A$2:$A$180,0)))</x:f>
        <x:v>P4</x:v>
      </x:c>
      <x:c r="D146" s="206" t="str">
        <x:v>T-128</x:v>
      </x:c>
      <x:c r="E146" s="206" t="str">
        <x:f>IF(INDEX(Backlog!$D$2:$D$180,MATCH($D146,Backlog!$A$2:$A$180,0))="","",INDEX(Backlog!$D$2:$D$180,MATCH($D146,Backlog!$A$2:$A$180,0)))</x:f>
        <x:v>Feature store, outcome store and immutable snapshot metadata</x:v>
      </x:c>
      <x:c r="F146" s="206" t="str">
        <x:f>IF(INDEX(Backlog!$K$2:$K$180,MATCH($D146,Backlog!$A$2:$A$180,0))="","",INDEX(Backlog!$K$2:$K$180,MATCH($D146,Backlog!$A$2:$A$180,0)))</x:f>
        <x:v>Not Started</x:v>
      </x:c>
      <x:c r="G146" s="206" t="n">
        <x:f>IF(ISNUMBER(INDEX(Backlog!$J$2:$J$180,MATCH($D146,Backlog!$A$2:$A$180,0))),INDEX(Backlog!$J$2:$J$180,MATCH($D146,Backlog!$A$2:$A$180,0)),"")</x:f>
        <x:v>10</x:v>
      </x:c>
      <x:c r="H146" s="206" t="n">
        <x:f>IF(ISNUMBER(INDEX(Backlog!$R$2:$R$180,MATCH($D146,Backlog!$A$2:$A$180,0))),INDEX(Backlog!$R$2:$R$180,MATCH($D146,Backlog!$A$2:$A$180,0)),"")</x:f>
        <x:v>1.5</x:v>
      </x:c>
      <x:c r="I146" s="206" t="str">
        <x:f>IF(INDEX(Backlog!$M$2:$M$180,MATCH($D146,Backlog!$A$2:$A$180,0))="","",INDEX(Backlog!$M$2:$M$180,MATCH($D146,Backlog!$A$2:$A$180,0)))</x:f>
        <x:v>T-087; T-088; T-089; T-090; T-091; T-092; T-093; T-094; T-095; T-096; T-097; T-098; T-099; T-100; T-101; T-102; T-103; T-104; T-112; T-114; T-231; T-210</x:v>
      </x:c>
      <x:c r="J146" s="206" t="str">
        <x:f>IF(INDEX(Backlog!$T$2:$T$180,MATCH($D146,Backlog!$A$2:$A$180,0))="","",INDEX(Backlog!$T$2:$T$180,MATCH($D146,Backlog!$A$2:$A$180,0)))</x:f>
        <x:v>T-087..T-105 + T-112 + T-114 security/tenant hand-off. Outcome semantics from...</x:v>
      </x:c>
      <x:c r="K146" s="206" t="str">
        <x:f>IF(INDEX(Backlog!$U$2:$U$180,MATCH($D146,Backlog!$A$2:$A$180,0))="","",INDEX(Backlog!$U$2:$U$180,MATCH($D146,Backlog!$A$2:$A$180,0)))</x:f>
        <x:v>Own intelligence/ML/Assistant and named intelligence surfaces. W1/W2 forbidden after hand-off.</x:v>
      </x:c>
      <x:c r="L146" s="206" t="str">
        <x:f>IF(INDEX(Backlog!$V$2:$V$180,MATCH($D146,Backlog!$A$2:$A$180,0))="","",INDEX(Backlog!$V$2:$V$180,MATCH($D146,Backlog!$A$2:$A$180,0)))</x:f>
        <x:v>Commit before downstream consumer starts; consumer must use the contract, not redesign producer-owned semantics.</x:v>
      </x:c>
      <x:c r="M146" s="194" t="str">
        <x:f>IF(INDEX(Backlog!$AO$2:$AO$180,MATCH($D146,Backlog!$A$2:$A$180,0))="","",INDEX(Backlog!$AO$2:$AO$180,MATCH($D146,Backlog!$A$2:$A$180,0)))</x:f>
        <x:v>Not started — no completion claimed</x:v>
      </x:c>
      <x:c r="N146" s="194" t="str">
        <x:f>IF(INDEX(Backlog!$AN$2:$AN$180,MATCH($D146,Backlog!$A$2:$A$180,0))="","",INDEX(Backlog!$AN$2:$AN$180,MATCH($D146,Backlog!$A$2:$A$180,0)))</x:f>
      </x:c>
    </x:row>
    <x:row r="147" ht="26" customHeight="1">
      <x:c r="A147" s="206" t="str">
        <x:f>IF(INDEX(Backlog!$L$2:$L$180,MATCH($D147,Backlog!$A$2:$A$180,0))="","",INDEX(Backlog!$L$2:$L$180,MATCH($D147,Backlog!$A$2:$A$180,0)))</x:f>
        <x:v>Worker 3</x:v>
      </x:c>
      <x:c r="B147" s="206" t="str">
        <x:f>IF(INDEX(Backlog!$B$2:$B$180,MATCH($D147,Backlog!$A$2:$A$180,0))="","",INDEX(Backlog!$B$2:$B$180,MATCH($D147,Backlog!$A$2:$A$180,0)))</x:f>
        <x:v>M3</x:v>
      </x:c>
      <x:c r="C147" s="206" t="str">
        <x:f>IF(INDEX(Backlog!$C$2:$C$180,MATCH($D147,Backlog!$A$2:$A$180,0))="","",INDEX(Backlog!$C$2:$C$180,MATCH($D147,Backlog!$A$2:$A$180,0)))</x:f>
        <x:v>P4</x:v>
      </x:c>
      <x:c r="D147" s="206" t="str">
        <x:v>T-129</x:v>
      </x:c>
      <x:c r="E147" s="206" t="str">
        <x:f>IF(INDEX(Backlog!$D$2:$D$180,MATCH($D147,Backlog!$A$2:$A$180,0))="","",INDEX(Backlog!$D$2:$D$180,MATCH($D147,Backlog!$A$2:$A$180,0)))</x:f>
        <x:v>Compute runs, findings and common evidence persistence</x:v>
      </x:c>
      <x:c r="F147" s="206" t="str">
        <x:f>IF(INDEX(Backlog!$K$2:$K$180,MATCH($D147,Backlog!$A$2:$A$180,0))="","",INDEX(Backlog!$K$2:$K$180,MATCH($D147,Backlog!$A$2:$A$180,0)))</x:f>
        <x:v>Not Started</x:v>
      </x:c>
      <x:c r="G147" s="206" t="n">
        <x:f>IF(ISNUMBER(INDEX(Backlog!$J$2:$J$180,MATCH($D147,Backlog!$A$2:$A$180,0))),INDEX(Backlog!$J$2:$J$180,MATCH($D147,Backlog!$A$2:$A$180,0)),"")</x:f>
        <x:v>12</x:v>
      </x:c>
      <x:c r="H147" s="206" t="n">
        <x:f>IF(ISNUMBER(INDEX(Backlog!$R$2:$R$180,MATCH($D147,Backlog!$A$2:$A$180,0))),INDEX(Backlog!$R$2:$R$180,MATCH($D147,Backlog!$A$2:$A$180,0)),"")</x:f>
        <x:v>1.7999999999999998</x:v>
      </x:c>
      <x:c r="I147" s="206" t="str">
        <x:f>IF(INDEX(Backlog!$M$2:$M$180,MATCH($D147,Backlog!$A$2:$A$180,0))="","",INDEX(Backlog!$M$2:$M$180,MATCH($D147,Backlog!$A$2:$A$180,0)))</x:f>
        <x:v>T-128; T-183; T-112; T-114</x:v>
      </x:c>
      <x:c r="J147" s="206" t="str">
        <x:f>IF(INDEX(Backlog!$T$2:$T$180,MATCH($D147,Backlog!$A$2:$A$180,0))="","",INDEX(Backlog!$T$2:$T$180,MATCH($D147,Backlog!$A$2:$A$180,0)))</x:f>
        <x:v>T-128 + T-183 + T-112 + T-114.</x:v>
      </x:c>
      <x:c r="K147" s="206" t="str">
        <x:f>IF(INDEX(Backlog!$U$2:$U$180,MATCH($D147,Backlog!$A$2:$A$180,0))="","",INDEX(Backlog!$U$2:$U$180,MATCH($D147,Backlog!$A$2:$A$180,0)))</x:f>
        <x:v>Own intelligence/ML/Assistant and named intelligence surfaces. W1/W2 forbidden after hand-off.</x:v>
      </x:c>
      <x:c r="L147" s="206" t="str">
        <x:f>IF(INDEX(Backlog!$V$2:$V$180,MATCH($D147,Backlog!$A$2:$A$180,0))="","",INDEX(Backlog!$V$2:$V$180,MATCH($D147,Backlog!$A$2:$A$180,0)))</x:f>
        <x:v>Commit before downstream consumer starts; consumer must use the contract, not redesign producer-owned semantics.</x:v>
      </x:c>
      <x:c r="M147" s="194" t="str">
        <x:f>IF(INDEX(Backlog!$AO$2:$AO$180,MATCH($D147,Backlog!$A$2:$A$180,0))="","",INDEX(Backlog!$AO$2:$AO$180,MATCH($D147,Backlog!$A$2:$A$180,0)))</x:f>
        <x:v>Not started — no completion claimed</x:v>
      </x:c>
      <x:c r="N147" s="194" t="str">
        <x:f>IF(INDEX(Backlog!$AN$2:$AN$180,MATCH($D147,Backlog!$A$2:$A$180,0))="","",INDEX(Backlog!$AN$2:$AN$180,MATCH($D147,Backlog!$A$2:$A$180,0)))</x:f>
      </x:c>
    </x:row>
    <x:row r="148" ht="26" customHeight="1">
      <x:c r="A148" s="206" t="str">
        <x:f>IF(INDEX(Backlog!$L$2:$L$180,MATCH($D148,Backlog!$A$2:$A$180,0))="","",INDEX(Backlog!$L$2:$L$180,MATCH($D148,Backlog!$A$2:$A$180,0)))</x:f>
        <x:v>Worker 3</x:v>
      </x:c>
      <x:c r="B148" s="206" t="str">
        <x:f>IF(INDEX(Backlog!$B$2:$B$180,MATCH($D148,Backlog!$A$2:$A$180,0))="","",INDEX(Backlog!$B$2:$B$180,MATCH($D148,Backlog!$A$2:$A$180,0)))</x:f>
        <x:v>M3</x:v>
      </x:c>
      <x:c r="C148" s="206" t="str">
        <x:f>IF(INDEX(Backlog!$C$2:$C$180,MATCH($D148,Backlog!$A$2:$A$180,0))="","",INDEX(Backlog!$C$2:$C$180,MATCH($D148,Backlog!$A$2:$A$180,0)))</x:f>
        <x:v>P4</x:v>
      </x:c>
      <x:c r="D148" s="206" t="str">
        <x:v>T-130</x:v>
      </x:c>
      <x:c r="E148" s="206" t="str">
        <x:f>IF(INDEX(Backlog!$D$2:$D$180,MATCH($D148,Backlog!$A$2:$A$180,0))="","",INDEX(Backlog!$D$2:$D$180,MATCH($D148,Backlog!$A$2:$A$180,0)))</x:f>
        <x:v>Model registry, serving identity, activation and fallback</x:v>
      </x:c>
      <x:c r="F148" s="206" t="str">
        <x:f>IF(INDEX(Backlog!$K$2:$K$180,MATCH($D148,Backlog!$A$2:$A$180,0))="","",INDEX(Backlog!$K$2:$K$180,MATCH($D148,Backlog!$A$2:$A$180,0)))</x:f>
        <x:v>Not Started</x:v>
      </x:c>
      <x:c r="G148" s="206" t="n">
        <x:f>IF(ISNUMBER(INDEX(Backlog!$J$2:$J$180,MATCH($D148,Backlog!$A$2:$A$180,0))),INDEX(Backlog!$J$2:$J$180,MATCH($D148,Backlog!$A$2:$A$180,0)),"")</x:f>
        <x:v>12</x:v>
      </x:c>
      <x:c r="H148" s="206" t="n">
        <x:f>IF(ISNUMBER(INDEX(Backlog!$R$2:$R$180,MATCH($D148,Backlog!$A$2:$A$180,0))),INDEX(Backlog!$R$2:$R$180,MATCH($D148,Backlog!$A$2:$A$180,0)),"")</x:f>
        <x:v>1.7999999999999998</x:v>
      </x:c>
      <x:c r="I148" s="206" t="str">
        <x:f>IF(INDEX(Backlog!$M$2:$M$180,MATCH($D148,Backlog!$A$2:$A$180,0))="","",INDEX(Backlog!$M$2:$M$180,MATCH($D148,Backlog!$A$2:$A$180,0)))</x:f>
        <x:v>T-128; T-183; T-112; T-114</x:v>
      </x:c>
      <x:c r="J148" s="206" t="str">
        <x:f>IF(INDEX(Backlog!$T$2:$T$180,MATCH($D148,Backlog!$A$2:$A$180,0))="","",INDEX(Backlog!$T$2:$T$180,MATCH($D148,Backlog!$A$2:$A$180,0)))</x:f>
        <x:v>T-128 + T-183 + T-112 + T-114.</x:v>
      </x:c>
      <x:c r="K148" s="206" t="str">
        <x:f>IF(INDEX(Backlog!$U$2:$U$180,MATCH($D148,Backlog!$A$2:$A$180,0))="","",INDEX(Backlog!$U$2:$U$180,MATCH($D148,Backlog!$A$2:$A$180,0)))</x:f>
        <x:v>Own intelligence/ML/Assistant and named intelligence surfaces. W1/W2 forbidden after hand-off.</x:v>
      </x:c>
      <x:c r="L148" s="206" t="str">
        <x:f>IF(INDEX(Backlog!$V$2:$V$180,MATCH($D148,Backlog!$A$2:$A$180,0))="","",INDEX(Backlog!$V$2:$V$180,MATCH($D148,Backlog!$A$2:$A$180,0)))</x:f>
        <x:v>Commit before downstream consumer starts; consumer must use the contract, not redesign producer-owned semantics.</x:v>
      </x:c>
      <x:c r="M148" s="194" t="str">
        <x:f>IF(INDEX(Backlog!$AO$2:$AO$180,MATCH($D148,Backlog!$A$2:$A$180,0))="","",INDEX(Backlog!$AO$2:$AO$180,MATCH($D148,Backlog!$A$2:$A$180,0)))</x:f>
        <x:v>Not started — no completion claimed</x:v>
      </x:c>
      <x:c r="N148" s="194" t="str">
        <x:f>IF(INDEX(Backlog!$AN$2:$AN$180,MATCH($D148,Backlog!$A$2:$A$180,0))="","",INDEX(Backlog!$AN$2:$AN$180,MATCH($D148,Backlog!$A$2:$A$180,0)))</x:f>
      </x:c>
    </x:row>
    <x:row r="149" ht="26" customHeight="1">
      <x:c r="A149" s="206" t="str">
        <x:f>IF(INDEX(Backlog!$L$2:$L$180,MATCH($D149,Backlog!$A$2:$A$180,0))="","",INDEX(Backlog!$L$2:$L$180,MATCH($D149,Backlog!$A$2:$A$180,0)))</x:f>
        <x:v>Worker 3</x:v>
      </x:c>
      <x:c r="B149" s="206" t="str">
        <x:f>IF(INDEX(Backlog!$B$2:$B$180,MATCH($D149,Backlog!$A$2:$A$180,0))="","",INDEX(Backlog!$B$2:$B$180,MATCH($D149,Backlog!$A$2:$A$180,0)))</x:f>
        <x:v>M3</x:v>
      </x:c>
      <x:c r="C149" s="206" t="str">
        <x:f>IF(INDEX(Backlog!$C$2:$C$180,MATCH($D149,Backlog!$A$2:$A$180,0))="","",INDEX(Backlog!$C$2:$C$180,MATCH($D149,Backlog!$A$2:$A$180,0)))</x:f>
        <x:v>P4</x:v>
      </x:c>
      <x:c r="D149" s="206" t="str">
        <x:v>T-131</x:v>
      </x:c>
      <x:c r="E149" s="206" t="str">
        <x:f>IF(INDEX(Backlog!$D$2:$D$180,MATCH($D149,Backlog!$A$2:$A$180,0))="","",INDEX(Backlog!$D$2:$D$180,MATCH($D149,Backlog!$A$2:$A$180,0)))</x:f>
        <x:v>Practice signature, windowing, context and cohorts</x:v>
      </x:c>
      <x:c r="F149" s="206" t="str">
        <x:f>IF(INDEX(Backlog!$K$2:$K$180,MATCH($D149,Backlog!$A$2:$A$180,0))="","",INDEX(Backlog!$K$2:$K$180,MATCH($D149,Backlog!$A$2:$A$180,0)))</x:f>
        <x:v>Not Started</x:v>
      </x:c>
      <x:c r="G149" s="206" t="n">
        <x:f>IF(ISNUMBER(INDEX(Backlog!$J$2:$J$180,MATCH($D149,Backlog!$A$2:$A$180,0))),INDEX(Backlog!$J$2:$J$180,MATCH($D149,Backlog!$A$2:$A$180,0)),"")</x:f>
        <x:v>12</x:v>
      </x:c>
      <x:c r="H149" s="206" t="n">
        <x:f>IF(ISNUMBER(INDEX(Backlog!$R$2:$R$180,MATCH($D149,Backlog!$A$2:$A$180,0))),INDEX(Backlog!$R$2:$R$180,MATCH($D149,Backlog!$A$2:$A$180,0)),"")</x:f>
        <x:v>1.7999999999999998</x:v>
      </x:c>
      <x:c r="I149" s="206" t="str">
        <x:f>IF(INDEX(Backlog!$M$2:$M$180,MATCH($D149,Backlog!$A$2:$A$180,0))="","",INDEX(Backlog!$M$2:$M$180,MATCH($D149,Backlog!$A$2:$A$180,0)))</x:f>
        <x:v>T-086; T-128; T-171</x:v>
      </x:c>
      <x:c r="J149" s="206" t="str">
        <x:f>IF(INDEX(Backlog!$T$2:$T$180,MATCH($D149,Backlog!$A$2:$A$180,0))="","",INDEX(Backlog!$T$2:$T$180,MATCH($D149,Backlog!$A$2:$A$180,0)))</x:f>
        <x:v>T-086 + T-128 + T-171</x:v>
      </x:c>
      <x:c r="K149" s="206" t="str">
        <x:f>IF(INDEX(Backlog!$U$2:$U$180,MATCH($D149,Backlog!$A$2:$A$180,0))="","",INDEX(Backlog!$U$2:$U$180,MATCH($D149,Backlog!$A$2:$A$180,0)))</x:f>
        <x:v>Own intelligence/ML/Assistant and named intelligence surfaces. W1/W2 forbidden after hand-off.</x:v>
      </x:c>
      <x:c r="L149" s="206" t="str">
        <x:f>IF(INDEX(Backlog!$V$2:$V$180,MATCH($D149,Backlog!$A$2:$A$180,0))="","",INDEX(Backlog!$V$2:$V$180,MATCH($D149,Backlog!$A$2:$A$180,0)))</x:f>
        <x:v>Commit before downstream consumer starts; consumer must use the contract, not redesign producer-owned semantics.</x:v>
      </x:c>
      <x:c r="M149" s="194" t="str">
        <x:f>IF(INDEX(Backlog!$AO$2:$AO$180,MATCH($D149,Backlog!$A$2:$A$180,0))="","",INDEX(Backlog!$AO$2:$AO$180,MATCH($D149,Backlog!$A$2:$A$180,0)))</x:f>
        <x:v>Not started — no completion claimed</x:v>
      </x:c>
      <x:c r="N149" s="194" t="str">
        <x:f>IF(INDEX(Backlog!$AN$2:$AN$180,MATCH($D149,Backlog!$A$2:$A$180,0))="","",INDEX(Backlog!$AN$2:$AN$180,MATCH($D149,Backlog!$A$2:$A$180,0)))</x:f>
      </x:c>
    </x:row>
    <x:row r="150" ht="26" customHeight="1">
      <x:c r="A150" s="206" t="str">
        <x:f>IF(INDEX(Backlog!$L$2:$L$180,MATCH($D150,Backlog!$A$2:$A$180,0))="","",INDEX(Backlog!$L$2:$L$180,MATCH($D150,Backlog!$A$2:$A$180,0)))</x:f>
        <x:v>Worker 3</x:v>
      </x:c>
      <x:c r="B150" s="206" t="str">
        <x:f>IF(INDEX(Backlog!$B$2:$B$180,MATCH($D150,Backlog!$A$2:$A$180,0))="","",INDEX(Backlog!$B$2:$B$180,MATCH($D150,Backlog!$A$2:$A$180,0)))</x:f>
        <x:v>M3</x:v>
      </x:c>
      <x:c r="C150" s="206" t="str">
        <x:f>IF(INDEX(Backlog!$C$2:$C$180,MATCH($D150,Backlog!$A$2:$A$180,0))="","",INDEX(Backlog!$C$2:$C$180,MATCH($D150,Backlog!$A$2:$A$180,0)))</x:f>
        <x:v>P4</x:v>
      </x:c>
      <x:c r="D150" s="206" t="str">
        <x:v>T-132</x:v>
      </x:c>
      <x:c r="E150" s="206" t="str">
        <x:f>IF(INDEX(Backlog!$D$2:$D$180,MATCH($D150,Backlog!$A$2:$A$180,0))="","",INDEX(Backlog!$D$2:$D$180,MATCH($D150,Backlog!$A$2:$A$180,0)))</x:f>
        <x:v>Support, confidence, back-off ladder and tolerance sensitivity</x:v>
      </x:c>
      <x:c r="F150" s="206" t="str">
        <x:f>IF(INDEX(Backlog!$K$2:$K$180,MATCH($D150,Backlog!$A$2:$A$180,0))="","",INDEX(Backlog!$K$2:$K$180,MATCH($D150,Backlog!$A$2:$A$180,0)))</x:f>
        <x:v>Not Started</x:v>
      </x:c>
      <x:c r="G150" s="206" t="n">
        <x:f>IF(ISNUMBER(INDEX(Backlog!$J$2:$J$180,MATCH($D150,Backlog!$A$2:$A$180,0))),INDEX(Backlog!$J$2:$J$180,MATCH($D150,Backlog!$A$2:$A$180,0)),"")</x:f>
        <x:v>12</x:v>
      </x:c>
      <x:c r="H150" s="206" t="n">
        <x:f>IF(ISNUMBER(INDEX(Backlog!$R$2:$R$180,MATCH($D150,Backlog!$A$2:$A$180,0))),INDEX(Backlog!$R$2:$R$180,MATCH($D150,Backlog!$A$2:$A$180,0)),"")</x:f>
        <x:v>1.7999999999999998</x:v>
      </x:c>
      <x:c r="I150" s="206" t="str">
        <x:f>IF(INDEX(Backlog!$M$2:$M$180,MATCH($D150,Backlog!$A$2:$A$180,0))="","",INDEX(Backlog!$M$2:$M$180,MATCH($D150,Backlog!$A$2:$A$180,0)))</x:f>
        <x:v>T-131</x:v>
      </x:c>
      <x:c r="J150" s="206" t="str">
        <x:f>IF(INDEX(Backlog!$T$2:$T$180,MATCH($D150,Backlog!$A$2:$A$180,0))="","",INDEX(Backlog!$T$2:$T$180,MATCH($D150,Backlog!$A$2:$A$180,0)))</x:f>
        <x:v>T-131</x:v>
      </x:c>
      <x:c r="K150" s="206" t="str">
        <x:f>IF(INDEX(Backlog!$U$2:$U$180,MATCH($D150,Backlog!$A$2:$A$180,0))="","",INDEX(Backlog!$U$2:$U$180,MATCH($D150,Backlog!$A$2:$A$180,0)))</x:f>
        <x:v>Own intelligence/ML/Assistant and named intelligence surfaces. W1/W2 forbidden after hand-off.</x:v>
      </x:c>
      <x:c r="L150" s="206" t="str">
        <x:f>IF(INDEX(Backlog!$V$2:$V$180,MATCH($D150,Backlog!$A$2:$A$180,0))="","",INDEX(Backlog!$V$2:$V$180,MATCH($D150,Backlog!$A$2:$A$180,0)))</x:f>
        <x:v>Commit before downstream consumer starts; consumer must use the contract, not redesign producer-owned semantics.</x:v>
      </x:c>
      <x:c r="M150" s="194" t="str">
        <x:f>IF(INDEX(Backlog!$AO$2:$AO$180,MATCH($D150,Backlog!$A$2:$A$180,0))="","",INDEX(Backlog!$AO$2:$AO$180,MATCH($D150,Backlog!$A$2:$A$180,0)))</x:f>
        <x:v>Not started — no completion claimed</x:v>
      </x:c>
      <x:c r="N150" s="194" t="str">
        <x:f>IF(INDEX(Backlog!$AN$2:$AN$180,MATCH($D150,Backlog!$A$2:$A$180,0))="","",INDEX(Backlog!$AN$2:$AN$180,MATCH($D150,Backlog!$A$2:$A$180,0)))</x:f>
      </x:c>
    </x:row>
    <x:row r="151" ht="26" customHeight="1">
      <x:c r="A151" s="206" t="str">
        <x:f>IF(INDEX(Backlog!$L$2:$L$180,MATCH($D151,Backlog!$A$2:$A$180,0))="","",INDEX(Backlog!$L$2:$L$180,MATCH($D151,Backlog!$A$2:$A$180,0)))</x:f>
        <x:v>Worker 3</x:v>
      </x:c>
      <x:c r="B151" s="206" t="str">
        <x:f>IF(INDEX(Backlog!$B$2:$B$180,MATCH($D151,Backlog!$A$2:$A$180,0))="","",INDEX(Backlog!$B$2:$B$180,MATCH($D151,Backlog!$A$2:$A$180,0)))</x:f>
        <x:v>M3</x:v>
      </x:c>
      <x:c r="C151" s="206" t="str">
        <x:f>IF(INDEX(Backlog!$C$2:$C$180,MATCH($D151,Backlog!$A$2:$A$180,0))="","",INDEX(Backlog!$C$2:$C$180,MATCH($D151,Backlog!$A$2:$A$180,0)))</x:f>
        <x:v>P4</x:v>
      </x:c>
      <x:c r="D151" s="206" t="str">
        <x:v>T-133</x:v>
      </x:c>
      <x:c r="E151" s="206" t="str">
        <x:f>IF(INDEX(Backlog!$D$2:$D$180,MATCH($D151,Backlog!$A$2:$A$180,0))="","",INDEX(Backlog!$D$2:$D$180,MATCH($D151,Backlog!$A$2:$A$180,0)))</x:f>
        <x:v>Practice persistence, drift and canonical D10 Practice Insights</x:v>
      </x:c>
      <x:c r="F151" s="206" t="str">
        <x:f>IF(INDEX(Backlog!$K$2:$K$180,MATCH($D151,Backlog!$A$2:$A$180,0))="","",INDEX(Backlog!$K$2:$K$180,MATCH($D151,Backlog!$A$2:$A$180,0)))</x:f>
        <x:v>Not Started</x:v>
      </x:c>
      <x:c r="G151" s="206" t="n">
        <x:f>IF(ISNUMBER(INDEX(Backlog!$J$2:$J$180,MATCH($D151,Backlog!$A$2:$A$180,0))),INDEX(Backlog!$J$2:$J$180,MATCH($D151,Backlog!$A$2:$A$180,0)),"")</x:f>
        <x:v>12</x:v>
      </x:c>
      <x:c r="H151" s="206" t="n">
        <x:f>IF(ISNUMBER(INDEX(Backlog!$R$2:$R$180,MATCH($D151,Backlog!$A$2:$A$180,0))),INDEX(Backlog!$R$2:$R$180,MATCH($D151,Backlog!$A$2:$A$180,0)),"")</x:f>
        <x:v>1.7999999999999998</x:v>
      </x:c>
      <x:c r="I151" s="206" t="str">
        <x:f>IF(INDEX(Backlog!$M$2:$M$180,MATCH($D151,Backlog!$A$2:$A$180,0))="","",INDEX(Backlog!$M$2:$M$180,MATCH($D151,Backlog!$A$2:$A$180,0)))</x:f>
        <x:v>T-131; T-132; T-183</x:v>
      </x:c>
      <x:c r="J151" s="206" t="str">
        <x:f>IF(INDEX(Backlog!$T$2:$T$180,MATCH($D151,Backlog!$A$2:$A$180,0))="","",INDEX(Backlog!$T$2:$T$180,MATCH($D151,Backlog!$A$2:$A$180,0)))</x:f>
        <x:v>T-131 + T-132 + T-183</x:v>
      </x:c>
      <x:c r="K151" s="206" t="str">
        <x:f>IF(INDEX(Backlog!$U$2:$U$180,MATCH($D151,Backlog!$A$2:$A$180,0))="","",INDEX(Backlog!$U$2:$U$180,MATCH($D151,Backlog!$A$2:$A$180,0)))</x:f>
        <x:v>Own intelligence/ML/Assistant and named intelligence surfaces. W1/W2 forbidden after hand-off.</x:v>
      </x:c>
      <x:c r="L151" s="206" t="str">
        <x:f>IF(INDEX(Backlog!$V$2:$V$180,MATCH($D151,Backlog!$A$2:$A$180,0))="","",INDEX(Backlog!$V$2:$V$180,MATCH($D151,Backlog!$A$2:$A$180,0)))</x:f>
        <x:v>Commit before downstream consumer starts; consumer must use the contract, not redesign producer-owned semantics.</x:v>
      </x:c>
      <x:c r="M151" s="194" t="str">
        <x:f>IF(INDEX(Backlog!$AO$2:$AO$180,MATCH($D151,Backlog!$A$2:$A$180,0))="","",INDEX(Backlog!$AO$2:$AO$180,MATCH($D151,Backlog!$A$2:$A$180,0)))</x:f>
        <x:v>Not started — no completion claimed</x:v>
      </x:c>
      <x:c r="N151" s="194" t="str">
        <x:f>IF(INDEX(Backlog!$AN$2:$AN$180,MATCH($D151,Backlog!$A$2:$A$180,0))="","",INDEX(Backlog!$AN$2:$AN$180,MATCH($D151,Backlog!$A$2:$A$180,0)))</x:f>
      </x:c>
    </x:row>
    <x:row r="152" ht="26" customHeight="1">
      <x:c r="A152" s="206" t="str">
        <x:f>IF(INDEX(Backlog!$L$2:$L$180,MATCH($D152,Backlog!$A$2:$A$180,0))="","",INDEX(Backlog!$L$2:$L$180,MATCH($D152,Backlog!$A$2:$A$180,0)))</x:f>
        <x:v>Worker 3</x:v>
      </x:c>
      <x:c r="B152" s="206" t="str">
        <x:f>IF(INDEX(Backlog!$B$2:$B$180,MATCH($D152,Backlog!$A$2:$A$180,0))="","",INDEX(Backlog!$B$2:$B$180,MATCH($D152,Backlog!$A$2:$A$180,0)))</x:f>
        <x:v>M3</x:v>
      </x:c>
      <x:c r="C152" s="206" t="str">
        <x:f>IF(INDEX(Backlog!$C$2:$C$180,MATCH($D152,Backlog!$A$2:$A$180,0))="","",INDEX(Backlog!$C$2:$C$180,MATCH($D152,Backlog!$A$2:$A$180,0)))</x:f>
        <x:v>P4</x:v>
      </x:c>
      <x:c r="D152" s="206" t="str">
        <x:v>T-134</x:v>
      </x:c>
      <x:c r="E152" s="206" t="str">
        <x:f>IF(INDEX(Backlog!$D$2:$D$180,MATCH($D152,Backlog!$A$2:$A$180,0))="","",INDEX(Backlog!$D$2:$D$180,MATCH($D152,Backlog!$A$2:$A$180,0)))</x:f>
        <x:v>Bindable intelligence registry and evidence handles</x:v>
      </x:c>
      <x:c r="F152" s="206" t="str">
        <x:f>IF(INDEX(Backlog!$K$2:$K$180,MATCH($D152,Backlog!$A$2:$A$180,0))="","",INDEX(Backlog!$K$2:$K$180,MATCH($D152,Backlog!$A$2:$A$180,0)))</x:f>
        <x:v>Not Started</x:v>
      </x:c>
      <x:c r="G152" s="206" t="n">
        <x:f>IF(ISNUMBER(INDEX(Backlog!$J$2:$J$180,MATCH($D152,Backlog!$A$2:$A$180,0))),INDEX(Backlog!$J$2:$J$180,MATCH($D152,Backlog!$A$2:$A$180,0)),"")</x:f>
        <x:v>12</x:v>
      </x:c>
      <x:c r="H152" s="206" t="n">
        <x:f>IF(ISNUMBER(INDEX(Backlog!$R$2:$R$180,MATCH($D152,Backlog!$A$2:$A$180,0))),INDEX(Backlog!$R$2:$R$180,MATCH($D152,Backlog!$A$2:$A$180,0)),"")</x:f>
        <x:v>1.7999999999999998</x:v>
      </x:c>
      <x:c r="I152" s="206" t="str">
        <x:f>IF(INDEX(Backlog!$M$2:$M$180,MATCH($D152,Backlog!$A$2:$A$180,0))="","",INDEX(Backlog!$M$2:$M$180,MATCH($D152,Backlog!$A$2:$A$180,0)))</x:f>
        <x:v>T-090; T-095; T-096; T-129; T-130; T-133; T-186; T-139</x:v>
      </x:c>
      <x:c r="J152" s="206" t="str">
        <x:f>IF(INDEX(Backlog!$T$2:$T$180,MATCH($D152,Backlog!$A$2:$A$180,0))="","",INDEX(Backlog!$T$2:$T$180,MATCH($D152,Backlog!$A$2:$A$180,0)))</x:f>
        <x:v>T-090 definition authority + T-095/T-096 relationship resolver + available ca...</x:v>
      </x:c>
      <x:c r="K152" s="206" t="str">
        <x:f>IF(INDEX(Backlog!$U$2:$U$180,MATCH($D152,Backlog!$A$2:$A$180,0))="","",INDEX(Backlog!$U$2:$U$180,MATCH($D152,Backlog!$A$2:$A$180,0)))</x:f>
        <x:v>Own intelligence/ML/Assistant and named intelligence surfaces. W1/W2 forbidden after hand-off.</x:v>
      </x:c>
      <x:c r="L152" s="206" t="str">
        <x:f>IF(INDEX(Backlog!$V$2:$V$180,MATCH($D152,Backlog!$A$2:$A$180,0))="","",INDEX(Backlog!$V$2:$V$180,MATCH($D152,Backlog!$A$2:$A$180,0)))</x:f>
        <x:v>Commit before downstream consumer starts; consumer must use the contract, not redesign producer-owned semantics.</x:v>
      </x:c>
      <x:c r="M152" s="194" t="str">
        <x:f>IF(INDEX(Backlog!$AO$2:$AO$180,MATCH($D152,Backlog!$A$2:$A$180,0))="","",INDEX(Backlog!$AO$2:$AO$180,MATCH($D152,Backlog!$A$2:$A$180,0)))</x:f>
        <x:v>Not started — no completion claimed</x:v>
      </x:c>
      <x:c r="N152" s="194" t="str">
        <x:f>IF(INDEX(Backlog!$AN$2:$AN$180,MATCH($D152,Backlog!$A$2:$A$180,0))="","",INDEX(Backlog!$AN$2:$AN$180,MATCH($D152,Backlog!$A$2:$A$180,0)))</x:f>
      </x:c>
    </x:row>
    <x:row r="153" ht="26" customHeight="1">
      <x:c r="A153" s="206" t="str">
        <x:f>IF(INDEX(Backlog!$L$2:$L$180,MATCH($D153,Backlog!$A$2:$A$180,0))="","",INDEX(Backlog!$L$2:$L$180,MATCH($D153,Backlog!$A$2:$A$180,0)))</x:f>
        <x:v>Worker 3</x:v>
      </x:c>
      <x:c r="B153" s="206" t="str">
        <x:f>IF(INDEX(Backlog!$B$2:$B$180,MATCH($D153,Backlog!$A$2:$A$180,0))="","",INDEX(Backlog!$B$2:$B$180,MATCH($D153,Backlog!$A$2:$A$180,0)))</x:f>
        <x:v>M3</x:v>
      </x:c>
      <x:c r="C153" s="206" t="str">
        <x:f>IF(INDEX(Backlog!$C$2:$C$180,MATCH($D153,Backlog!$A$2:$A$180,0))="","",INDEX(Backlog!$C$2:$C$180,MATCH($D153,Backlog!$A$2:$A$180,0)))</x:f>
        <x:v>P4</x:v>
      </x:c>
      <x:c r="D153" s="206" t="str">
        <x:v>T-135</x:v>
      </x:c>
      <x:c r="E153" s="206" t="str">
        <x:f>IF(INDEX(Backlog!$D$2:$D$180,MATCH($D153,Backlog!$A$2:$A$180,0))="","",INDEX(Backlog!$D$2:$D$180,MATCH($D153,Backlog!$A$2:$A$180,0)))</x:f>
        <x:v>Tenant-aware uniqueness across the intelligence tables</x:v>
      </x:c>
      <x:c r="F153" s="206" t="str">
        <x:f>IF(INDEX(Backlog!$K$2:$K$180,MATCH($D153,Backlog!$A$2:$A$180,0))="","",INDEX(Backlog!$K$2:$K$180,MATCH($D153,Backlog!$A$2:$A$180,0)))</x:f>
        <x:v>Not Started</x:v>
      </x:c>
      <x:c r="G153" s="206" t="n">
        <x:f>IF(ISNUMBER(INDEX(Backlog!$J$2:$J$180,MATCH($D153,Backlog!$A$2:$A$180,0))),INDEX(Backlog!$J$2:$J$180,MATCH($D153,Backlog!$A$2:$A$180,0)),"")</x:f>
        <x:v>10</x:v>
      </x:c>
      <x:c r="H153" s="206" t="n">
        <x:f>IF(ISNUMBER(INDEX(Backlog!$R$2:$R$180,MATCH($D153,Backlog!$A$2:$A$180,0))),INDEX(Backlog!$R$2:$R$180,MATCH($D153,Backlog!$A$2:$A$180,0)),"")</x:f>
        <x:v>1.9375</x:v>
      </x:c>
      <x:c r="I153" s="206" t="str">
        <x:f>IF(INDEX(Backlog!$M$2:$M$180,MATCH($D153,Backlog!$A$2:$A$180,0))="","",INDEX(Backlog!$M$2:$M$180,MATCH($D153,Backlog!$A$2:$A$180,0)))</x:f>
        <x:v>T-112; T-114; T-128; T-129; T-130; T-183</x:v>
      </x:c>
      <x:c r="J153" s="206" t="str">
        <x:f>IF(INDEX(Backlog!$T$2:$T$180,MATCH($D153,Backlog!$A$2:$A$180,0))="","",INDEX(Backlog!$T$2:$T$180,MATCH($D153,Backlog!$A$2:$A$180,0)))</x:f>
        <x:v>T-112 + T-114 + current Release 2 persistence tables (including T-128/T-129/T-130/T...</x:v>
      </x:c>
      <x:c r="K153" s="206" t="str">
        <x:f>IF(INDEX(Backlog!$U$2:$U$180,MATCH($D153,Backlog!$A$2:$A$180,0))="","",INDEX(Backlog!$U$2:$U$180,MATCH($D153,Backlog!$A$2:$A$180,0)))</x:f>
        <x:v>Own intelligence/ML/Assistant and named intelligence surfaces. W1/W2 forbidden after hand-off.</x:v>
      </x:c>
      <x:c r="L153" s="206" t="str">
        <x:f>IF(INDEX(Backlog!$V$2:$V$180,MATCH($D153,Backlog!$A$2:$A$180,0))="","",INDEX(Backlog!$V$2:$V$180,MATCH($D153,Backlog!$A$2:$A$180,0)))</x:f>
        <x:v>Commit before downstream consumer starts; consumer must use the contract, not redesign producer-owned semantics.</x:v>
      </x:c>
      <x:c r="M153" s="194" t="str">
        <x:f>IF(INDEX(Backlog!$AO$2:$AO$180,MATCH($D153,Backlog!$A$2:$A$180,0))="","",INDEX(Backlog!$AO$2:$AO$180,MATCH($D153,Backlog!$A$2:$A$180,0)))</x:f>
        <x:v>Not started — no completion claimed</x:v>
      </x:c>
      <x:c r="N153" s="194" t="str">
        <x:f>IF(INDEX(Backlog!$AN$2:$AN$180,MATCH($D153,Backlog!$A$2:$A$180,0))="","",INDEX(Backlog!$AN$2:$AN$180,MATCH($D153,Backlog!$A$2:$A$180,0)))</x:f>
      </x:c>
    </x:row>
    <x:row r="154" ht="26" customHeight="1">
      <x:c r="A154" s="206" t="str">
        <x:f>IF(INDEX(Backlog!$L$2:$L$180,MATCH($D154,Backlog!$A$2:$A$180,0))="","",INDEX(Backlog!$L$2:$L$180,MATCH($D154,Backlog!$A$2:$A$180,0)))</x:f>
        <x:v>Worker 3</x:v>
      </x:c>
      <x:c r="B154" s="206" t="str">
        <x:f>IF(INDEX(Backlog!$B$2:$B$180,MATCH($D154,Backlog!$A$2:$A$180,0))="","",INDEX(Backlog!$B$2:$B$180,MATCH($D154,Backlog!$A$2:$A$180,0)))</x:f>
        <x:v>M3</x:v>
      </x:c>
      <x:c r="C154" s="206" t="str">
        <x:f>IF(INDEX(Backlog!$C$2:$C$180,MATCH($D154,Backlog!$A$2:$A$180,0))="","",INDEX(Backlog!$C$2:$C$180,MATCH($D154,Backlog!$A$2:$A$180,0)))</x:f>
        <x:v>P4</x:v>
      </x:c>
      <x:c r="D154" s="206" t="str">
        <x:v>T-136</x:v>
      </x:c>
      <x:c r="E154" s="206" t="str">
        <x:f>IF(INDEX(Backlog!$D$2:$D$180,MATCH($D154,Backlog!$A$2:$A$180,0))="","",INDEX(Backlog!$D$2:$D$180,MATCH($D154,Backlog!$A$2:$A$180,0)))</x:f>
        <x:v>Incremental practice recomputation</x:v>
      </x:c>
      <x:c r="F154" s="206" t="str">
        <x:f>IF(INDEX(Backlog!$K$2:$K$180,MATCH($D154,Backlog!$A$2:$A$180,0))="","",INDEX(Backlog!$K$2:$K$180,MATCH($D154,Backlog!$A$2:$A$180,0)))</x:f>
        <x:v>Not Started</x:v>
      </x:c>
      <x:c r="G154" s="206" t="n">
        <x:f>IF(ISNUMBER(INDEX(Backlog!$J$2:$J$180,MATCH($D154,Backlog!$A$2:$A$180,0))),INDEX(Backlog!$J$2:$J$180,MATCH($D154,Backlog!$A$2:$A$180,0)),"")</x:f>
        <x:v>10</x:v>
      </x:c>
      <x:c r="H154" s="206" t="n">
        <x:f>IF(ISNUMBER(INDEX(Backlog!$R$2:$R$180,MATCH($D154,Backlog!$A$2:$A$180,0))),INDEX(Backlog!$R$2:$R$180,MATCH($D154,Backlog!$A$2:$A$180,0)),"")</x:f>
        <x:v>1.5</x:v>
      </x:c>
      <x:c r="I154" s="206" t="str">
        <x:f>IF(INDEX(Backlog!$M$2:$M$180,MATCH($D154,Backlog!$A$2:$A$180,0))="","",INDEX(Backlog!$M$2:$M$180,MATCH($D154,Backlog!$A$2:$A$180,0)))</x:f>
        <x:v>T-131; T-132; T-133; T-109</x:v>
      </x:c>
      <x:c r="J154" s="206" t="str">
        <x:f>IF(INDEX(Backlog!$T$2:$T$180,MATCH($D154,Backlog!$A$2:$A$180,0))="","",INDEX(Backlog!$T$2:$T$180,MATCH($D154,Backlog!$A$2:$A$180,0)))</x:f>
        <x:v>T-109 + T-131..T-133</x:v>
      </x:c>
      <x:c r="K154" s="206" t="str">
        <x:f>IF(INDEX(Backlog!$U$2:$U$180,MATCH($D154,Backlog!$A$2:$A$180,0))="","",INDEX(Backlog!$U$2:$U$180,MATCH($D154,Backlog!$A$2:$A$180,0)))</x:f>
        <x:v>Own intelligence/ML/Assistant and named intelligence surfaces. W1/W2 forbidden after hand-off.</x:v>
      </x:c>
      <x:c r="L154" s="206" t="str">
        <x:f>IF(INDEX(Backlog!$V$2:$V$180,MATCH($D154,Backlog!$A$2:$A$180,0))="","",INDEX(Backlog!$V$2:$V$180,MATCH($D154,Backlog!$A$2:$A$180,0)))</x:f>
        <x:v>Commit before downstream consumer starts; consumer must use the contract, not redesign producer-owned semantics.</x:v>
      </x:c>
      <x:c r="M154" s="194" t="str">
        <x:f>IF(INDEX(Backlog!$AO$2:$AO$180,MATCH($D154,Backlog!$A$2:$A$180,0))="","",INDEX(Backlog!$AO$2:$AO$180,MATCH($D154,Backlog!$A$2:$A$180,0)))</x:f>
        <x:v>Not started — no completion claimed</x:v>
      </x:c>
      <x:c r="N154" s="194" t="str">
        <x:f>IF(INDEX(Backlog!$AN$2:$AN$180,MATCH($D154,Backlog!$A$2:$A$180,0))="","",INDEX(Backlog!$AN$2:$AN$180,MATCH($D154,Backlog!$A$2:$A$180,0)))</x:f>
      </x:c>
    </x:row>
    <x:row r="155" ht="26" customHeight="1">
      <x:c r="A155" s="206" t="str">
        <x:f>IF(INDEX(Backlog!$L$2:$L$180,MATCH($D155,Backlog!$A$2:$A$180,0))="","",INDEX(Backlog!$L$2:$L$180,MATCH($D155,Backlog!$A$2:$A$180,0)))</x:f>
        <x:v>Worker 3</x:v>
      </x:c>
      <x:c r="B155" s="206" t="str">
        <x:f>IF(INDEX(Backlog!$B$2:$B$180,MATCH($D155,Backlog!$A$2:$A$180,0))="","",INDEX(Backlog!$B$2:$B$180,MATCH($D155,Backlog!$A$2:$A$180,0)))</x:f>
        <x:v>M3</x:v>
      </x:c>
      <x:c r="C155" s="206" t="str">
        <x:f>IF(INDEX(Backlog!$C$2:$C$180,MATCH($D155,Backlog!$A$2:$A$180,0))="","",INDEX(Backlog!$C$2:$C$180,MATCH($D155,Backlog!$A$2:$A$180,0)))</x:f>
        <x:v>P4</x:v>
      </x:c>
      <x:c r="D155" s="206" t="str">
        <x:v>T-138</x:v>
      </x:c>
      <x:c r="E155" s="206" t="str">
        <x:f>IF(INDEX(Backlog!$D$2:$D$180,MATCH($D155,Backlog!$A$2:$A$180,0))="","",INDEX(Backlog!$D$2:$D$180,MATCH($D155,Backlog!$A$2:$A$180,0)))</x:f>
        <x:v>Canonical Assistant runtime cutover: planner, retrieval, evidence packing, serving and verifier</x:v>
      </x:c>
      <x:c r="F155" s="206" t="str">
        <x:f>IF(INDEX(Backlog!$K$2:$K$180,MATCH($D155,Backlog!$A$2:$A$180,0))="","",INDEX(Backlog!$K$2:$K$180,MATCH($D155,Backlog!$A$2:$A$180,0)))</x:f>
        <x:v>Not Started</x:v>
      </x:c>
      <x:c r="G155" s="206" t="n">
        <x:f>IF(ISNUMBER(INDEX(Backlog!$J$2:$J$180,MATCH($D155,Backlog!$A$2:$A$180,0))),INDEX(Backlog!$J$2:$J$180,MATCH($D155,Backlog!$A$2:$A$180,0)),"")</x:f>
        <x:v>12</x:v>
      </x:c>
      <x:c r="H155" s="206" t="n">
        <x:f>IF(ISNUMBER(INDEX(Backlog!$R$2:$R$180,MATCH($D155,Backlog!$A$2:$A$180,0))),INDEX(Backlog!$R$2:$R$180,MATCH($D155,Backlog!$A$2:$A$180,0)),"")</x:f>
        <x:v>1.7999999999999998</x:v>
      </x:c>
      <x:c r="I155" s="206" t="str">
        <x:f>IF(INDEX(Backlog!$M$2:$M$180,MATCH($D155,Backlog!$A$2:$A$180,0))="","",INDEX(Backlog!$M$2:$M$180,MATCH($D155,Backlog!$A$2:$A$180,0)))</x:f>
        <x:v>T-179; T-180; T-181; T-137; T-134; T-188</x:v>
      </x:c>
      <x:c r="J155" s="206" t="str">
        <x:f>IF(INDEX(Backlog!$T$2:$T$180,MATCH($D155,Backlog!$A$2:$A$180,0))="","",INDEX(Backlog!$T$2:$T$180,MATCH($D155,Backlog!$A$2:$A$180,0)))</x:f>
        <x:v>T-137 + T-179..T-181 + T-134 + T-188</x:v>
      </x:c>
      <x:c r="K155" s="206" t="str">
        <x:f>IF(INDEX(Backlog!$U$2:$U$180,MATCH($D155,Backlog!$A$2:$A$180,0))="","",INDEX(Backlog!$U$2:$U$180,MATCH($D155,Backlog!$A$2:$A$180,0)))</x:f>
        <x:v>Own intelligence/ML/Assistant and named intelligence surfaces. W1/W2 forbidden after hand-off.</x:v>
      </x:c>
      <x:c r="L155" s="206" t="str">
        <x:f>IF(INDEX(Backlog!$V$2:$V$180,MATCH($D155,Backlog!$A$2:$A$180,0))="","",INDEX(Backlog!$V$2:$V$180,MATCH($D155,Backlog!$A$2:$A$180,0)))</x:f>
        <x:v>Commit before downstream consumer starts; consumer must use the contract, not redesign producer-owned semantics.</x:v>
      </x:c>
      <x:c r="M155" s="194" t="str">
        <x:f>IF(INDEX(Backlog!$AO$2:$AO$180,MATCH($D155,Backlog!$A$2:$A$180,0))="","",INDEX(Backlog!$AO$2:$AO$180,MATCH($D155,Backlog!$A$2:$A$180,0)))</x:f>
        <x:v>Not started — no completion claimed</x:v>
      </x:c>
      <x:c r="N155" s="194" t="str">
        <x:f>IF(INDEX(Backlog!$AN$2:$AN$180,MATCH($D155,Backlog!$A$2:$A$180,0))="","",INDEX(Backlog!$AN$2:$AN$180,MATCH($D155,Backlog!$A$2:$A$180,0)))</x:f>
      </x:c>
    </x:row>
    <x:row r="156" ht="26" customHeight="1">
      <x:c r="A156" s="206" t="str">
        <x:f>IF(INDEX(Backlog!$L$2:$L$180,MATCH($D156,Backlog!$A$2:$A$180,0))="","",INDEX(Backlog!$L$2:$L$180,MATCH($D156,Backlog!$A$2:$A$180,0)))</x:f>
        <x:v>Worker 3</x:v>
      </x:c>
      <x:c r="B156" s="206" t="str">
        <x:f>IF(INDEX(Backlog!$B$2:$B$180,MATCH($D156,Backlog!$A$2:$A$180,0))="","",INDEX(Backlog!$B$2:$B$180,MATCH($D156,Backlog!$A$2:$A$180,0)))</x:f>
        <x:v>M3</x:v>
      </x:c>
      <x:c r="C156" s="206" t="str">
        <x:f>IF(INDEX(Backlog!$C$2:$C$180,MATCH($D156,Backlog!$A$2:$A$180,0))="","",INDEX(Backlog!$C$2:$C$180,MATCH($D156,Backlog!$A$2:$A$180,0)))</x:f>
        <x:v>P4</x:v>
      </x:c>
      <x:c r="D156" s="206" t="str">
        <x:v>T-139</x:v>
      </x:c>
      <x:c r="E156" s="206" t="str">
        <x:f>IF(INDEX(Backlog!$D$2:$D$180,MATCH($D156,Backlog!$A$2:$A$180,0))="","",INDEX(Backlog!$D$2:$D$180,MATCH($D156,Backlog!$A$2:$A$180,0)))</x:f>
        <x:v>prediction_runs, predictions and prediction_current</x:v>
      </x:c>
      <x:c r="F156" s="206" t="str">
        <x:f>IF(INDEX(Backlog!$K$2:$K$180,MATCH($D156,Backlog!$A$2:$A$180,0))="","",INDEX(Backlog!$K$2:$K$180,MATCH($D156,Backlog!$A$2:$A$180,0)))</x:f>
        <x:v>Not Started</x:v>
      </x:c>
      <x:c r="G156" s="206" t="n">
        <x:f>IF(ISNUMBER(INDEX(Backlog!$J$2:$J$180,MATCH($D156,Backlog!$A$2:$A$180,0))),INDEX(Backlog!$J$2:$J$180,MATCH($D156,Backlog!$A$2:$A$180,0)),"")</x:f>
        <x:v>12</x:v>
      </x:c>
      <x:c r="H156" s="206" t="n">
        <x:f>IF(ISNUMBER(INDEX(Backlog!$R$2:$R$180,MATCH($D156,Backlog!$A$2:$A$180,0))),INDEX(Backlog!$R$2:$R$180,MATCH($D156,Backlog!$A$2:$A$180,0)),"")</x:f>
        <x:v>1.7999999999999998</x:v>
      </x:c>
      <x:c r="I156" s="206" t="str">
        <x:f>IF(INDEX(Backlog!$M$2:$M$180,MATCH($D156,Backlog!$A$2:$A$180,0))="","",INDEX(Backlog!$M$2:$M$180,MATCH($D156,Backlog!$A$2:$A$180,0)))</x:f>
        <x:v>T-130; T-187; T-231</x:v>
      </x:c>
      <x:c r="J156" s="206" t="str">
        <x:f>IF(INDEX(Backlog!$T$2:$T$180,MATCH($D156,Backlog!$A$2:$A$180,0))="","",INDEX(Backlog!$T$2:$T$180,MATCH($D156,Backlog!$A$2:$A$180,0)))</x:f>
        <x:v>T-130 + T-187</x:v>
      </x:c>
      <x:c r="K156" s="206" t="str">
        <x:f>IF(INDEX(Backlog!$U$2:$U$180,MATCH($D156,Backlog!$A$2:$A$180,0))="","",INDEX(Backlog!$U$2:$U$180,MATCH($D156,Backlog!$A$2:$A$180,0)))</x:f>
        <x:v>Own intelligence/ML/Assistant and named intelligence surfaces. W1/W2 forbidden after hand-off.</x:v>
      </x:c>
      <x:c r="L156" s="206" t="str">
        <x:f>IF(INDEX(Backlog!$V$2:$V$180,MATCH($D156,Backlog!$A$2:$A$180,0))="","",INDEX(Backlog!$V$2:$V$180,MATCH($D156,Backlog!$A$2:$A$180,0)))</x:f>
        <x:v>Commit before downstream consumer starts; consumer must use the contract, not redesign producer-owned semantics.</x:v>
      </x:c>
      <x:c r="M156" s="194" t="str">
        <x:f>IF(INDEX(Backlog!$AO$2:$AO$180,MATCH($D156,Backlog!$A$2:$A$180,0))="","",INDEX(Backlog!$AO$2:$AO$180,MATCH($D156,Backlog!$A$2:$A$180,0)))</x:f>
        <x:v>Not started — no completion claimed</x:v>
      </x:c>
      <x:c r="N156" s="194" t="str">
        <x:f>IF(INDEX(Backlog!$AN$2:$AN$180,MATCH($D156,Backlog!$A$2:$A$180,0))="","",INDEX(Backlog!$AN$2:$AN$180,MATCH($D156,Backlog!$A$2:$A$180,0)))</x:f>
      </x:c>
    </x:row>
    <x:row r="157" ht="26" customHeight="1">
      <x:c r="A157" s="206" t="str">
        <x:f>IF(INDEX(Backlog!$L$2:$L$180,MATCH($D157,Backlog!$A$2:$A$180,0))="","",INDEX(Backlog!$L$2:$L$180,MATCH($D157,Backlog!$A$2:$A$180,0)))</x:f>
        <x:v>Worker 3</x:v>
      </x:c>
      <x:c r="B157" s="206" t="str">
        <x:f>IF(INDEX(Backlog!$B$2:$B$180,MATCH($D157,Backlog!$A$2:$A$180,0))="","",INDEX(Backlog!$B$2:$B$180,MATCH($D157,Backlog!$A$2:$A$180,0)))</x:f>
        <x:v>M3</x:v>
      </x:c>
      <x:c r="C157" s="206" t="str">
        <x:f>IF(INDEX(Backlog!$C$2:$C$180,MATCH($D157,Backlog!$A$2:$A$180,0))="","",INDEX(Backlog!$C$2:$C$180,MATCH($D157,Backlog!$A$2:$A$180,0)))</x:f>
        <x:v>P4</x:v>
      </x:c>
      <x:c r="D157" s="206" t="str">
        <x:v>T-140</x:v>
      </x:c>
      <x:c r="E157" s="206" t="str">
        <x:f>IF(INDEX(Backlog!$D$2:$D$180,MATCH($D157,Backlog!$A$2:$A$180,0))="","",INDEX(Backlog!$D$2:$D$180,MATCH($D157,Backlog!$A$2:$A$180,0)))</x:f>
        <x:v>Prediction drivers and comparables, persisted</x:v>
      </x:c>
      <x:c r="F157" s="206" t="str">
        <x:f>IF(INDEX(Backlog!$K$2:$K$180,MATCH($D157,Backlog!$A$2:$A$180,0))="","",INDEX(Backlog!$K$2:$K$180,MATCH($D157,Backlog!$A$2:$A$180,0)))</x:f>
        <x:v>Not Started</x:v>
      </x:c>
      <x:c r="G157" s="206" t="n">
        <x:f>IF(ISNUMBER(INDEX(Backlog!$J$2:$J$180,MATCH($D157,Backlog!$A$2:$A$180,0))),INDEX(Backlog!$J$2:$J$180,MATCH($D157,Backlog!$A$2:$A$180,0)),"")</x:f>
        <x:v>12</x:v>
      </x:c>
      <x:c r="H157" s="206" t="n">
        <x:f>IF(ISNUMBER(INDEX(Backlog!$R$2:$R$180,MATCH($D157,Backlog!$A$2:$A$180,0))),INDEX(Backlog!$R$2:$R$180,MATCH($D157,Backlog!$A$2:$A$180,0)),"")</x:f>
        <x:v>1.7999999999999998</x:v>
      </x:c>
      <x:c r="I157" s="206" t="str">
        <x:f>IF(INDEX(Backlog!$M$2:$M$180,MATCH($D157,Backlog!$A$2:$A$180,0))="","",INDEX(Backlog!$M$2:$M$180,MATCH($D157,Backlog!$A$2:$A$180,0)))</x:f>
        <x:v>T-139; T-173; T-176</x:v>
      </x:c>
      <x:c r="J157" s="206" t="str">
        <x:f>IF(INDEX(Backlog!$T$2:$T$180,MATCH($D157,Backlog!$A$2:$A$180,0))="","",INDEX(Backlog!$T$2:$T$180,MATCH($D157,Backlog!$A$2:$A$180,0)))</x:f>
        <x:v>T-139 + T-173/T-176</x:v>
      </x:c>
      <x:c r="K157" s="206" t="str">
        <x:f>IF(INDEX(Backlog!$U$2:$U$180,MATCH($D157,Backlog!$A$2:$A$180,0))="","",INDEX(Backlog!$U$2:$U$180,MATCH($D157,Backlog!$A$2:$A$180,0)))</x:f>
        <x:v>Own intelligence/ML/Assistant and named intelligence surfaces. W1/W2 forbidden after hand-off.</x:v>
      </x:c>
      <x:c r="L157" s="206" t="str">
        <x:f>IF(INDEX(Backlog!$V$2:$V$180,MATCH($D157,Backlog!$A$2:$A$180,0))="","",INDEX(Backlog!$V$2:$V$180,MATCH($D157,Backlog!$A$2:$A$180,0)))</x:f>
        <x:v>Commit before downstream consumer starts; consumer must use the contract, not redesign producer-owned semantics.</x:v>
      </x:c>
      <x:c r="M157" s="194" t="str">
        <x:f>IF(INDEX(Backlog!$AO$2:$AO$180,MATCH($D157,Backlog!$A$2:$A$180,0))="","",INDEX(Backlog!$AO$2:$AO$180,MATCH($D157,Backlog!$A$2:$A$180,0)))</x:f>
        <x:v>Not started — no completion claimed</x:v>
      </x:c>
      <x:c r="N157" s="194" t="str">
        <x:f>IF(INDEX(Backlog!$AN$2:$AN$180,MATCH($D157,Backlog!$A$2:$A$180,0))="","",INDEX(Backlog!$AN$2:$AN$180,MATCH($D157,Backlog!$A$2:$A$180,0)))</x:f>
      </x:c>
    </x:row>
    <x:row r="158" ht="26" customHeight="1">
      <x:c r="A158" s="206" t="str">
        <x:f>IF(INDEX(Backlog!$L$2:$L$180,MATCH($D158,Backlog!$A$2:$A$180,0))="","",INDEX(Backlog!$L$2:$L$180,MATCH($D158,Backlog!$A$2:$A$180,0)))</x:f>
        <x:v>Worker 3</x:v>
      </x:c>
      <x:c r="B158" s="206" t="str">
        <x:f>IF(INDEX(Backlog!$B$2:$B$180,MATCH($D158,Backlog!$A$2:$A$180,0))="","",INDEX(Backlog!$B$2:$B$180,MATCH($D158,Backlog!$A$2:$A$180,0)))</x:f>
        <x:v>M3</x:v>
      </x:c>
      <x:c r="C158" s="206" t="str">
        <x:f>IF(INDEX(Backlog!$C$2:$C$180,MATCH($D158,Backlog!$A$2:$A$180,0))="","",INDEX(Backlog!$C$2:$C$180,MATCH($D158,Backlog!$A$2:$A$180,0)))</x:f>
        <x:v>P4</x:v>
      </x:c>
      <x:c r="D158" s="206" t="str">
        <x:v>T-141</x:v>
      </x:c>
      <x:c r="E158" s="206" t="str">
        <x:f>IF(INDEX(Backlog!$D$2:$D$180,MATCH($D158,Backlog!$A$2:$A$180,0))="","",INDEX(Backlog!$D$2:$D$180,MATCH($D158,Backlog!$A$2:$A$180,0)))</x:f>
        <x:v>Actionable deadline and latency health</x:v>
      </x:c>
      <x:c r="F158" s="206" t="str">
        <x:f>IF(INDEX(Backlog!$K$2:$K$180,MATCH($D158,Backlog!$A$2:$A$180,0))="","",INDEX(Backlog!$K$2:$K$180,MATCH($D158,Backlog!$A$2:$A$180,0)))</x:f>
        <x:v>Not Started</x:v>
      </x:c>
      <x:c r="G158" s="206" t="n">
        <x:f>IF(ISNUMBER(INDEX(Backlog!$J$2:$J$180,MATCH($D158,Backlog!$A$2:$A$180,0))),INDEX(Backlog!$J$2:$J$180,MATCH($D158,Backlog!$A$2:$A$180,0)),"")</x:f>
        <x:v>12</x:v>
      </x:c>
      <x:c r="H158" s="206" t="n">
        <x:f>IF(ISNUMBER(INDEX(Backlog!$R$2:$R$180,MATCH($D158,Backlog!$A$2:$A$180,0))),INDEX(Backlog!$R$2:$R$180,MATCH($D158,Backlog!$A$2:$A$180,0)),"")</x:f>
        <x:v>1.7999999999999998</x:v>
      </x:c>
      <x:c r="I158" s="206" t="str">
        <x:f>IF(INDEX(Backlog!$M$2:$M$180,MATCH($D158,Backlog!$A$2:$A$180,0))="","",INDEX(Backlog!$M$2:$M$180,MATCH($D158,Backlog!$A$2:$A$180,0)))</x:f>
        <x:v>T-107; T-122; T-139; T-187</x:v>
      </x:c>
      <x:c r="J158" s="206" t="str">
        <x:f>IF(INDEX(Backlog!$T$2:$T$180,MATCH($D158,Backlog!$A$2:$A$180,0))="","",INDEX(Backlog!$T$2:$T$180,MATCH($D158,Backlog!$A$2:$A$180,0)))</x:f>
        <x:v>T-107 + T-122 + T-139 + T-187</x:v>
      </x:c>
      <x:c r="K158" s="206" t="str">
        <x:f>IF(INDEX(Backlog!$U$2:$U$180,MATCH($D158,Backlog!$A$2:$A$180,0))="","",INDEX(Backlog!$U$2:$U$180,MATCH($D158,Backlog!$A$2:$A$180,0)))</x:f>
        <x:v>Own intelligence/ML/Assistant and named intelligence surfaces. W1/W2 forbidden after hand-off.</x:v>
      </x:c>
      <x:c r="L158" s="206" t="str">
        <x:f>IF(INDEX(Backlog!$V$2:$V$180,MATCH($D158,Backlog!$A$2:$A$180,0))="","",INDEX(Backlog!$V$2:$V$180,MATCH($D158,Backlog!$A$2:$A$180,0)))</x:f>
        <x:v>Commit before downstream consumer starts; consumer must use the contract, not redesign producer-owned semantics.</x:v>
      </x:c>
      <x:c r="M158" s="194" t="str">
        <x:f>IF(INDEX(Backlog!$AO$2:$AO$180,MATCH($D158,Backlog!$A$2:$A$180,0))="","",INDEX(Backlog!$AO$2:$AO$180,MATCH($D158,Backlog!$A$2:$A$180,0)))</x:f>
        <x:v>Not started — no completion claimed</x:v>
      </x:c>
      <x:c r="N158" s="194" t="str">
        <x:f>IF(INDEX(Backlog!$AN$2:$AN$180,MATCH($D158,Backlog!$A$2:$A$180,0))="","",INDEX(Backlog!$AN$2:$AN$180,MATCH($D158,Backlog!$A$2:$A$180,0)))</x:f>
      </x:c>
    </x:row>
    <x:row r="159" ht="26" customHeight="1">
      <x:c r="A159" s="206" t="str">
        <x:f>IF(INDEX(Backlog!$L$2:$L$180,MATCH($D159,Backlog!$A$2:$A$180,0))="","",INDEX(Backlog!$L$2:$L$180,MATCH($D159,Backlog!$A$2:$A$180,0)))</x:f>
        <x:v>Worker 3</x:v>
      </x:c>
      <x:c r="B159" s="206" t="str">
        <x:f>IF(INDEX(Backlog!$B$2:$B$180,MATCH($D159,Backlog!$A$2:$A$180,0))="","",INDEX(Backlog!$B$2:$B$180,MATCH($D159,Backlog!$A$2:$A$180,0)))</x:f>
        <x:v>M3</x:v>
      </x:c>
      <x:c r="C159" s="206" t="str">
        <x:f>IF(INDEX(Backlog!$C$2:$C$180,MATCH($D159,Backlog!$A$2:$A$180,0))="","",INDEX(Backlog!$C$2:$C$180,MATCH($D159,Backlog!$A$2:$A$180,0)))</x:f>
        <x:v>P4</x:v>
      </x:c>
      <x:c r="D159" s="206" t="str">
        <x:v>T-142</x:v>
      </x:c>
      <x:c r="E159" s="206" t="str">
        <x:f>IF(INDEX(Backlog!$D$2:$D$180,MATCH($D159,Backlog!$A$2:$A$180,0))="","",INDEX(Backlog!$D$2:$D$180,MATCH($D159,Backlog!$A$2:$A$180,0)))</x:f>
        <x:v>Remediation candidate generation from the customer's own history</x:v>
      </x:c>
      <x:c r="F159" s="206" t="str">
        <x:f>IF(INDEX(Backlog!$K$2:$K$180,MATCH($D159,Backlog!$A$2:$A$180,0))="","",INDEX(Backlog!$K$2:$K$180,MATCH($D159,Backlog!$A$2:$A$180,0)))</x:f>
        <x:v>Not Started</x:v>
      </x:c>
      <x:c r="G159" s="206" t="n">
        <x:f>IF(ISNUMBER(INDEX(Backlog!$J$2:$J$180,MATCH($D159,Backlog!$A$2:$A$180,0))),INDEX(Backlog!$J$2:$J$180,MATCH($D159,Backlog!$A$2:$A$180,0)),"")</x:f>
        <x:v>8</x:v>
      </x:c>
      <x:c r="H159" s="206" t="n">
        <x:f>IF(ISNUMBER(INDEX(Backlog!$R$2:$R$180,MATCH($D159,Backlog!$A$2:$A$180,0))),INDEX(Backlog!$R$2:$R$180,MATCH($D159,Backlog!$A$2:$A$180,0)),"")</x:f>
        <x:v>1.2000000000000002</x:v>
      </x:c>
      <x:c r="I159" s="206" t="str">
        <x:f>IF(INDEX(Backlog!$M$2:$M$180,MATCH($D159,Backlog!$A$2:$A$180,0))="","",INDEX(Backlog!$M$2:$M$180,MATCH($D159,Backlog!$A$2:$A$180,0)))</x:f>
        <x:v>T-131; T-132; T-139; T-140</x:v>
      </x:c>
      <x:c r="J159" s="206" t="str">
        <x:f>IF(INDEX(Backlog!$T$2:$T$180,MATCH($D159,Backlog!$A$2:$A$180,0))="","",INDEX(Backlog!$T$2:$T$180,MATCH($D159,Backlog!$A$2:$A$180,0)))</x:f>
        <x:v>T-131/T-132 + T-139/T-140</x:v>
      </x:c>
      <x:c r="K159" s="206" t="str">
        <x:f>IF(INDEX(Backlog!$U$2:$U$180,MATCH($D159,Backlog!$A$2:$A$180,0))="","",INDEX(Backlog!$U$2:$U$180,MATCH($D159,Backlog!$A$2:$A$180,0)))</x:f>
        <x:v>Own intelligence/ML/Assistant and named intelligence surfaces. W1/W2 forbidden after hand-off.</x:v>
      </x:c>
      <x:c r="L159" s="206" t="str">
        <x:f>IF(INDEX(Backlog!$V$2:$V$180,MATCH($D159,Backlog!$A$2:$A$180,0))="","",INDEX(Backlog!$V$2:$V$180,MATCH($D159,Backlog!$A$2:$A$180,0)))</x:f>
        <x:v>Commit before downstream consumer starts; consumer must use the contract, not redesign producer-owned semantics.</x:v>
      </x:c>
      <x:c r="M159" s="194" t="str">
        <x:f>IF(INDEX(Backlog!$AO$2:$AO$180,MATCH($D159,Backlog!$A$2:$A$180,0))="","",INDEX(Backlog!$AO$2:$AO$180,MATCH($D159,Backlog!$A$2:$A$180,0)))</x:f>
        <x:v>Not started — no completion claimed</x:v>
      </x:c>
      <x:c r="N159" s="194" t="str">
        <x:f>IF(INDEX(Backlog!$AN$2:$AN$180,MATCH($D159,Backlog!$A$2:$A$180,0))="","",INDEX(Backlog!$AN$2:$AN$180,MATCH($D159,Backlog!$A$2:$A$180,0)))</x:f>
      </x:c>
    </x:row>
    <x:row r="160" ht="26" customHeight="1">
      <x:c r="A160" s="206" t="str">
        <x:f>IF(INDEX(Backlog!$L$2:$L$180,MATCH($D160,Backlog!$A$2:$A$180,0))="","",INDEX(Backlog!$L$2:$L$180,MATCH($D160,Backlog!$A$2:$A$180,0)))</x:f>
        <x:v>Worker 3</x:v>
      </x:c>
      <x:c r="B160" s="206" t="str">
        <x:f>IF(INDEX(Backlog!$B$2:$B$180,MATCH($D160,Backlog!$A$2:$A$180,0))="","",INDEX(Backlog!$B$2:$B$180,MATCH($D160,Backlog!$A$2:$A$180,0)))</x:f>
        <x:v>M3</x:v>
      </x:c>
      <x:c r="C160" s="206" t="str">
        <x:f>IF(INDEX(Backlog!$C$2:$C$180,MATCH($D160,Backlog!$A$2:$A$180,0))="","",INDEX(Backlog!$C$2:$C$180,MATCH($D160,Backlog!$A$2:$A$180,0)))</x:f>
        <x:v>P4</x:v>
      </x:c>
      <x:c r="D160" s="206" t="str">
        <x:v>T-143</x:v>
      </x:c>
      <x:c r="E160" s="206" t="str">
        <x:f>IF(INDEX(Backlog!$D$2:$D$180,MATCH($D160,Backlog!$A$2:$A$180,0))="","",INDEX(Backlog!$D$2:$D$180,MATCH($D160,Backlog!$A$2:$A$180,0)))</x:f>
        <x:v>Integrate the nine-check remediation gate, can_accept and suppression</x:v>
      </x:c>
      <x:c r="F160" s="206" t="str">
        <x:f>IF(INDEX(Backlog!$K$2:$K$180,MATCH($D160,Backlog!$A$2:$A$180,0))="","",INDEX(Backlog!$K$2:$K$180,MATCH($D160,Backlog!$A$2:$A$180,0)))</x:f>
        <x:v>Not Started</x:v>
      </x:c>
      <x:c r="G160" s="206" t="n">
        <x:f>IF(ISNUMBER(INDEX(Backlog!$J$2:$J$180,MATCH($D160,Backlog!$A$2:$A$180,0))),INDEX(Backlog!$J$2:$J$180,MATCH($D160,Backlog!$A$2:$A$180,0)),"")</x:f>
        <x:v>8</x:v>
      </x:c>
      <x:c r="H160" s="206" t="n">
        <x:f>IF(ISNUMBER(INDEX(Backlog!$R$2:$R$180,MATCH($D160,Backlog!$A$2:$A$180,0))),INDEX(Backlog!$R$2:$R$180,MATCH($D160,Backlog!$A$2:$A$180,0)),"")</x:f>
        <x:v>1.2000000000000002</x:v>
      </x:c>
      <x:c r="I160" s="206" t="str">
        <x:f>IF(INDEX(Backlog!$M$2:$M$180,MATCH($D160,Backlog!$A$2:$A$180,0))="","",INDEX(Backlog!$M$2:$M$180,MATCH($D160,Backlog!$A$2:$A$180,0)))</x:f>
        <x:v>T-178; T-142</x:v>
      </x:c>
      <x:c r="J160" s="206" t="str">
        <x:f>IF(INDEX(Backlog!$T$2:$T$180,MATCH($D160,Backlog!$A$2:$A$180,0))="","",INDEX(Backlog!$T$2:$T$180,MATCH($D160,Backlog!$A$2:$A$180,0)))</x:f>
        <x:v>T-178 + T-142</x:v>
      </x:c>
      <x:c r="K160" s="206" t="str">
        <x:f>IF(INDEX(Backlog!$U$2:$U$180,MATCH($D160,Backlog!$A$2:$A$180,0))="","",INDEX(Backlog!$U$2:$U$180,MATCH($D160,Backlog!$A$2:$A$180,0)))</x:f>
        <x:v>Own intelligence/ML/Assistant and named intelligence surfaces. W1/W2 forbidden after hand-off.</x:v>
      </x:c>
      <x:c r="L160" s="206" t="str">
        <x:f>IF(INDEX(Backlog!$V$2:$V$180,MATCH($D160,Backlog!$A$2:$A$180,0))="","",INDEX(Backlog!$V$2:$V$180,MATCH($D160,Backlog!$A$2:$A$180,0)))</x:f>
        <x:v>Commit before downstream consumer starts; consumer must use the contract, not redesign producer-owned semantics.</x:v>
      </x:c>
      <x:c r="M160" s="194" t="str">
        <x:f>IF(INDEX(Backlog!$AO$2:$AO$180,MATCH($D160,Backlog!$A$2:$A$180,0))="","",INDEX(Backlog!$AO$2:$AO$180,MATCH($D160,Backlog!$A$2:$A$180,0)))</x:f>
        <x:v>Not started — no completion claimed</x:v>
      </x:c>
      <x:c r="N160" s="194" t="str">
        <x:f>IF(INDEX(Backlog!$AN$2:$AN$180,MATCH($D160,Backlog!$A$2:$A$180,0))="","",INDEX(Backlog!$AN$2:$AN$180,MATCH($D160,Backlog!$A$2:$A$180,0)))</x:f>
      </x:c>
    </x:row>
    <x:row r="161" ht="26" customHeight="1">
      <x:c r="A161" s="206" t="str">
        <x:f>IF(INDEX(Backlog!$L$2:$L$180,MATCH($D161,Backlog!$A$2:$A$180,0))="","",INDEX(Backlog!$L$2:$L$180,MATCH($D161,Backlog!$A$2:$A$180,0)))</x:f>
        <x:v>Worker 3</x:v>
      </x:c>
      <x:c r="B161" s="206" t="str">
        <x:f>IF(INDEX(Backlog!$B$2:$B$180,MATCH($D161,Backlog!$A$2:$A$180,0))="","",INDEX(Backlog!$B$2:$B$180,MATCH($D161,Backlog!$A$2:$A$180,0)))</x:f>
        <x:v>M3</x:v>
      </x:c>
      <x:c r="C161" s="206" t="str">
        <x:f>IF(INDEX(Backlog!$C$2:$C$180,MATCH($D161,Backlog!$A$2:$A$180,0))="","",INDEX(Backlog!$C$2:$C$180,MATCH($D161,Backlog!$A$2:$A$180,0)))</x:f>
        <x:v>P4</x:v>
      </x:c>
      <x:c r="D161" s="206" t="str">
        <x:v>T-144</x:v>
      </x:c>
      <x:c r="E161" s="206" t="str">
        <x:f>IF(INDEX(Backlog!$D$2:$D$180,MATCH($D161,Backlog!$A$2:$A$180,0))="","",INDEX(Backlog!$D$2:$D$180,MATCH($D161,Backlog!$A$2:$A$180,0)))</x:f>
        <x:v>Accept, Reject and Defer with action recording</x:v>
      </x:c>
      <x:c r="F161" s="206" t="str">
        <x:f>IF(INDEX(Backlog!$K$2:$K$180,MATCH($D161,Backlog!$A$2:$A$180,0))="","",INDEX(Backlog!$K$2:$K$180,MATCH($D161,Backlog!$A$2:$A$180,0)))</x:f>
        <x:v>Not Started</x:v>
      </x:c>
      <x:c r="G161" s="206" t="n">
        <x:f>IF(ISNUMBER(INDEX(Backlog!$J$2:$J$180,MATCH($D161,Backlog!$A$2:$A$180,0))),INDEX(Backlog!$J$2:$J$180,MATCH($D161,Backlog!$A$2:$A$180,0)),"")</x:f>
        <x:v>8</x:v>
      </x:c>
      <x:c r="H161" s="206" t="n">
        <x:f>IF(ISNUMBER(INDEX(Backlog!$R$2:$R$180,MATCH($D161,Backlog!$A$2:$A$180,0))),INDEX(Backlog!$R$2:$R$180,MATCH($D161,Backlog!$A$2:$A$180,0)),"")</x:f>
        <x:v>1.2000000000000002</x:v>
      </x:c>
      <x:c r="I161" s="206" t="str">
        <x:f>IF(INDEX(Backlog!$M$2:$M$180,MATCH($D161,Backlog!$A$2:$A$180,0))="","",INDEX(Backlog!$M$2:$M$180,MATCH($D161,Backlog!$A$2:$A$180,0)))</x:f>
        <x:v>T-143</x:v>
      </x:c>
      <x:c r="J161" s="206" t="str">
        <x:f>IF(INDEX(Backlog!$T$2:$T$180,MATCH($D161,Backlog!$A$2:$A$180,0))="","",INDEX(Backlog!$T$2:$T$180,MATCH($D161,Backlog!$A$2:$A$180,0)))</x:f>
        <x:v>T-143</x:v>
      </x:c>
      <x:c r="K161" s="206" t="str">
        <x:f>IF(INDEX(Backlog!$U$2:$U$180,MATCH($D161,Backlog!$A$2:$A$180,0))="","",INDEX(Backlog!$U$2:$U$180,MATCH($D161,Backlog!$A$2:$A$180,0)))</x:f>
        <x:v>Own intelligence/ML/Assistant and named intelligence surfaces. W1/W2 forbidden after hand-off.</x:v>
      </x:c>
      <x:c r="L161" s="206" t="str">
        <x:f>IF(INDEX(Backlog!$V$2:$V$180,MATCH($D161,Backlog!$A$2:$A$180,0))="","",INDEX(Backlog!$V$2:$V$180,MATCH($D161,Backlog!$A$2:$A$180,0)))</x:f>
        <x:v>Commit before downstream consumer starts; consumer must use the contract, not redesign producer-owned semantics.</x:v>
      </x:c>
      <x:c r="M161" s="194" t="str">
        <x:f>IF(INDEX(Backlog!$AO$2:$AO$180,MATCH($D161,Backlog!$A$2:$A$180,0))="","",INDEX(Backlog!$AO$2:$AO$180,MATCH($D161,Backlog!$A$2:$A$180,0)))</x:f>
        <x:v>Not started — no completion claimed</x:v>
      </x:c>
      <x:c r="N161" s="194" t="str">
        <x:f>IF(INDEX(Backlog!$AN$2:$AN$180,MATCH($D161,Backlog!$A$2:$A$180,0))="","",INDEX(Backlog!$AN$2:$AN$180,MATCH($D161,Backlog!$A$2:$A$180,0)))</x:f>
      </x:c>
    </x:row>
    <x:row r="162" ht="26" customHeight="1">
      <x:c r="A162" s="206" t="str">
        <x:f>IF(INDEX(Backlog!$L$2:$L$180,MATCH($D162,Backlog!$A$2:$A$180,0))="","",INDEX(Backlog!$L$2:$L$180,MATCH($D162,Backlog!$A$2:$A$180,0)))</x:f>
        <x:v>Worker 3</x:v>
      </x:c>
      <x:c r="B162" s="206" t="str">
        <x:f>IF(INDEX(Backlog!$B$2:$B$180,MATCH($D162,Backlog!$A$2:$A$180,0))="","",INDEX(Backlog!$B$2:$B$180,MATCH($D162,Backlog!$A$2:$A$180,0)))</x:f>
        <x:v>M3</x:v>
      </x:c>
      <x:c r="C162" s="206" t="str">
        <x:f>IF(INDEX(Backlog!$C$2:$C$180,MATCH($D162,Backlog!$A$2:$A$180,0))="","",INDEX(Backlog!$C$2:$C$180,MATCH($D162,Backlog!$A$2:$A$180,0)))</x:f>
        <x:v>P4</x:v>
      </x:c>
      <x:c r="D162" s="206" t="str">
        <x:v>T-145</x:v>
      </x:c>
      <x:c r="E162" s="206" t="str">
        <x:f>IF(INDEX(Backlog!$D$2:$D$180,MATCH($D162,Backlog!$A$2:$A$180,0))="","",INDEX(Backlog!$D$2:$D$180,MATCH($D162,Backlog!$A$2:$A$180,0)))</x:f>
        <x:v>Outcome capture, evaluation and escalation</x:v>
      </x:c>
      <x:c r="F162" s="206" t="str">
        <x:f>IF(INDEX(Backlog!$K$2:$K$180,MATCH($D162,Backlog!$A$2:$A$180,0))="","",INDEX(Backlog!$K$2:$K$180,MATCH($D162,Backlog!$A$2:$A$180,0)))</x:f>
        <x:v>Not Started</x:v>
      </x:c>
      <x:c r="G162" s="206" t="n">
        <x:f>IF(ISNUMBER(INDEX(Backlog!$J$2:$J$180,MATCH($D162,Backlog!$A$2:$A$180,0))),INDEX(Backlog!$J$2:$J$180,MATCH($D162,Backlog!$A$2:$A$180,0)),"")</x:f>
        <x:v>8</x:v>
      </x:c>
      <x:c r="H162" s="206" t="n">
        <x:f>IF(ISNUMBER(INDEX(Backlog!$R$2:$R$180,MATCH($D162,Backlog!$A$2:$A$180,0))),INDEX(Backlog!$R$2:$R$180,MATCH($D162,Backlog!$A$2:$A$180,0)),"")</x:f>
        <x:v>1.2000000000000002</x:v>
      </x:c>
      <x:c r="I162" s="206" t="str">
        <x:f>IF(INDEX(Backlog!$M$2:$M$180,MATCH($D162,Backlog!$A$2:$A$180,0))="","",INDEX(Backlog!$M$2:$M$180,MATCH($D162,Backlog!$A$2:$A$180,0)))</x:f>
        <x:v>T-144</x:v>
      </x:c>
      <x:c r="J162" s="206" t="str">
        <x:f>IF(INDEX(Backlog!$T$2:$T$180,MATCH($D162,Backlog!$A$2:$A$180,0))="","",INDEX(Backlog!$T$2:$T$180,MATCH($D162,Backlog!$A$2:$A$180,0)))</x:f>
        <x:v>T-144</x:v>
      </x:c>
      <x:c r="K162" s="206" t="str">
        <x:f>IF(INDEX(Backlog!$U$2:$U$180,MATCH($D162,Backlog!$A$2:$A$180,0))="","",INDEX(Backlog!$U$2:$U$180,MATCH($D162,Backlog!$A$2:$A$180,0)))</x:f>
        <x:v>Own intelligence/ML/Assistant and named intelligence surfaces. W1/W2 forbidden after hand-off.</x:v>
      </x:c>
      <x:c r="L162" s="206" t="str">
        <x:f>IF(INDEX(Backlog!$V$2:$V$180,MATCH($D162,Backlog!$A$2:$A$180,0))="","",INDEX(Backlog!$V$2:$V$180,MATCH($D162,Backlog!$A$2:$A$180,0)))</x:f>
        <x:v>Commit before downstream consumer starts; consumer must use the contract, not redesign producer-owned semantics.</x:v>
      </x:c>
      <x:c r="M162" s="194" t="str">
        <x:f>IF(INDEX(Backlog!$AO$2:$AO$180,MATCH($D162,Backlog!$A$2:$A$180,0))="","",INDEX(Backlog!$AO$2:$AO$180,MATCH($D162,Backlog!$A$2:$A$180,0)))</x:f>
        <x:v>Not started — no completion claimed</x:v>
      </x:c>
      <x:c r="N162" s="194" t="str">
        <x:f>IF(INDEX(Backlog!$AN$2:$AN$180,MATCH($D162,Backlog!$A$2:$A$180,0))="","",INDEX(Backlog!$AN$2:$AN$180,MATCH($D162,Backlog!$A$2:$A$180,0)))</x:f>
      </x:c>
    </x:row>
    <x:row r="163" ht="26" customHeight="1">
      <x:c r="A163" s="206" t="str">
        <x:f>IF(INDEX(Backlog!$L$2:$L$180,MATCH($D163,Backlog!$A$2:$A$180,0))="","",INDEX(Backlog!$L$2:$L$180,MATCH($D163,Backlog!$A$2:$A$180,0)))</x:f>
        <x:v>Worker 3</x:v>
      </x:c>
      <x:c r="B163" s="206" t="str">
        <x:f>IF(INDEX(Backlog!$B$2:$B$180,MATCH($D163,Backlog!$A$2:$A$180,0))="","",INDEX(Backlog!$B$2:$B$180,MATCH($D163,Backlog!$A$2:$A$180,0)))</x:f>
        <x:v>M3</x:v>
      </x:c>
      <x:c r="C163" s="206" t="str">
        <x:f>IF(INDEX(Backlog!$C$2:$C$180,MATCH($D163,Backlog!$A$2:$A$180,0))="","",INDEX(Backlog!$C$2:$C$180,MATCH($D163,Backlog!$A$2:$A$180,0)))</x:f>
        <x:v>P4</x:v>
      </x:c>
      <x:c r="D163" s="206" t="str">
        <x:v>T-146</x:v>
      </x:c>
      <x:c r="E163" s="206" t="str">
        <x:f>IF(INDEX(Backlog!$D$2:$D$180,MATCH($D163,Backlog!$A$2:$A$180,0))="","",INDEX(Backlog!$D$2:$D$180,MATCH($D163,Backlog!$A$2:$A$180,0)))</x:f>
        <x:v>Converge the production statistical engine onto the certified method kernel</x:v>
      </x:c>
      <x:c r="F163" s="206" t="str">
        <x:f>IF(INDEX(Backlog!$K$2:$K$180,MATCH($D163,Backlog!$A$2:$A$180,0))="","",INDEX(Backlog!$K$2:$K$180,MATCH($D163,Backlog!$A$2:$A$180,0)))</x:f>
        <x:v>Not Started</x:v>
      </x:c>
      <x:c r="G163" s="206" t="n">
        <x:f>IF(ISNUMBER(INDEX(Backlog!$J$2:$J$180,MATCH($D163,Backlog!$A$2:$A$180,0))),INDEX(Backlog!$J$2:$J$180,MATCH($D163,Backlog!$A$2:$A$180,0)),"")</x:f>
        <x:v>10</x:v>
      </x:c>
      <x:c r="H163" s="206" t="n">
        <x:f>IF(ISNUMBER(INDEX(Backlog!$R$2:$R$180,MATCH($D163,Backlog!$A$2:$A$180,0))),INDEX(Backlog!$R$2:$R$180,MATCH($D163,Backlog!$A$2:$A$180,0)),"")</x:f>
        <x:v>1.5</x:v>
      </x:c>
      <x:c r="I163" s="206" t="str">
        <x:f>IF(INDEX(Backlog!$M$2:$M$180,MATCH($D163,Backlog!$A$2:$A$180,0))="","",INDEX(Backlog!$M$2:$M$180,MATCH($D163,Backlog!$A$2:$A$180,0)))</x:f>
        <x:v>T-147; T-177; T-128; T-129</x:v>
      </x:c>
      <x:c r="J163" s="206" t="str">
        <x:f>IF(INDEX(Backlog!$T$2:$T$180,MATCH($D163,Backlog!$A$2:$A$180,0))="","",INDEX(Backlog!$T$2:$T$180,MATCH($D163,Backlog!$A$2:$A$180,0)))</x:f>
        <x:v>T-147 COMPLETE + T-177 + T-128/T-129; M1 presentation continuity frozen.</x:v>
      </x:c>
      <x:c r="K163" s="206" t="str">
        <x:f>IF(INDEX(Backlog!$U$2:$U$180,MATCH($D163,Backlog!$A$2:$A$180,0))="","",INDEX(Backlog!$U$2:$U$180,MATCH($D163,Backlog!$A$2:$A$180,0)))</x:f>
        <x:v>Own intelligence/ML/Assistant and named intelligence surfaces. W1/W2 forbidden after hand-off.</x:v>
      </x:c>
      <x:c r="L163" s="206" t="str">
        <x:f>IF(INDEX(Backlog!$V$2:$V$180,MATCH($D163,Backlog!$A$2:$A$180,0))="","",INDEX(Backlog!$V$2:$V$180,MATCH($D163,Backlog!$A$2:$A$180,0)))</x:f>
        <x:v>Commit before downstream consumer starts; consumer must use the contract, not redesign producer-owned semantics.</x:v>
      </x:c>
      <x:c r="M163" s="194" t="str">
        <x:f>IF(INDEX(Backlog!$AO$2:$AO$180,MATCH($D163,Backlog!$A$2:$A$180,0))="","",INDEX(Backlog!$AO$2:$AO$180,MATCH($D163,Backlog!$A$2:$A$180,0)))</x:f>
        <x:v>Not started — no completion claimed</x:v>
      </x:c>
      <x:c r="N163" s="194" t="str">
        <x:f>IF(INDEX(Backlog!$AN$2:$AN$180,MATCH($D163,Backlog!$A$2:$A$180,0))="","",INDEX(Backlog!$AN$2:$AN$180,MATCH($D163,Backlog!$A$2:$A$180,0)))</x:f>
      </x:c>
    </x:row>
    <x:row r="164" ht="26" customHeight="1">
      <x:c r="A164" s="206" t="str">
        <x:f>IF(INDEX(Backlog!$L$2:$L$180,MATCH($D164,Backlog!$A$2:$A$180,0))="","",INDEX(Backlog!$L$2:$L$180,MATCH($D164,Backlog!$A$2:$A$180,0)))</x:f>
        <x:v>Worker 3</x:v>
      </x:c>
      <x:c r="B164" s="206" t="str">
        <x:f>IF(INDEX(Backlog!$B$2:$B$180,MATCH($D164,Backlog!$A$2:$A$180,0))="","",INDEX(Backlog!$B$2:$B$180,MATCH($D164,Backlog!$A$2:$A$180,0)))</x:f>
        <x:v>M3</x:v>
      </x:c>
      <x:c r="C164" s="206" t="str">
        <x:f>IF(INDEX(Backlog!$C$2:$C$180,MATCH($D164,Backlog!$A$2:$A$180,0))="","",INDEX(Backlog!$C$2:$C$180,MATCH($D164,Backlog!$A$2:$A$180,0)))</x:f>
        <x:v>P4</x:v>
      </x:c>
      <x:c r="D164" s="206" t="str">
        <x:v>T-147</x:v>
      </x:c>
      <x:c r="E164" s="206" t="str">
        <x:f>IF(INDEX(Backlog!$D$2:$D$180,MATCH($D164,Backlog!$A$2:$A$180,0))="","",INDEX(Backlog!$D$2:$D$180,MATCH($D164,Backlog!$A$2:$A$180,0)))</x:f>
        <x:v>Fix the outcome namespace, grain assignment and ordinal loader</x:v>
      </x:c>
      <x:c r="F164" s="206" t="str">
        <x:f>IF(INDEX(Backlog!$K$2:$K$180,MATCH($D164,Backlog!$A$2:$A$180,0))="","",INDEX(Backlog!$K$2:$K$180,MATCH($D164,Backlog!$A$2:$A$180,0)))</x:f>
        <x:v>Not Started</x:v>
      </x:c>
      <x:c r="G164" s="206" t="n">
        <x:f>IF(ISNUMBER(INDEX(Backlog!$J$2:$J$180,MATCH($D164,Backlog!$A$2:$A$180,0))),INDEX(Backlog!$J$2:$J$180,MATCH($D164,Backlog!$A$2:$A$180,0)),"")</x:f>
        <x:v>12</x:v>
      </x:c>
      <x:c r="H164" s="206" t="n">
        <x:f>IF(ISNUMBER(INDEX(Backlog!$R$2:$R$180,MATCH($D164,Backlog!$A$2:$A$180,0))),INDEX(Backlog!$R$2:$R$180,MATCH($D164,Backlog!$A$2:$A$180,0)),"")</x:f>
        <x:v>1.7999999999999998</x:v>
      </x:c>
      <x:c r="I164" s="206" t="str">
        <x:f>IF(INDEX(Backlog!$M$2:$M$180,MATCH($D164,Backlog!$A$2:$A$180,0))="","",INDEX(Backlog!$M$2:$M$180,MATCH($D164,Backlog!$A$2:$A$180,0)))</x:f>
        <x:v>T-090; T-128; T-129; T-177</x:v>
      </x:c>
      <x:c r="J164" s="206" t="str">
        <x:f>IF(INDEX(Backlog!$T$2:$T$180,MATCH($D164,Backlog!$A$2:$A$180,0))="","",INDEX(Backlog!$T$2:$T$180,MATCH($D164,Backlog!$A$2:$A$180,0)))</x:f>
        <x:v>T-090 canonical SM-06 binding + T-128/T-129 + T-177; complete BEFORE T-146 fi...</x:v>
      </x:c>
      <x:c r="K164" s="206" t="str">
        <x:f>IF(INDEX(Backlog!$U$2:$U$180,MATCH($D164,Backlog!$A$2:$A$180,0))="","",INDEX(Backlog!$U$2:$U$180,MATCH($D164,Backlog!$A$2:$A$180,0)))</x:f>
        <x:v>Own intelligence/ML/Assistant and named intelligence surfaces. W1/W2 forbidden after hand-off.</x:v>
      </x:c>
      <x:c r="L164" s="206" t="str">
        <x:f>IF(INDEX(Backlog!$V$2:$V$180,MATCH($D164,Backlog!$A$2:$A$180,0))="","",INDEX(Backlog!$V$2:$V$180,MATCH($D164,Backlog!$A$2:$A$180,0)))</x:f>
        <x:v>Commit before downstream consumer starts; consumer must use the contract, not redesign producer-owned semantics.</x:v>
      </x:c>
      <x:c r="M164" s="194" t="str">
        <x:f>IF(INDEX(Backlog!$AO$2:$AO$180,MATCH($D164,Backlog!$A$2:$A$180,0))="","",INDEX(Backlog!$AO$2:$AO$180,MATCH($D164,Backlog!$A$2:$A$180,0)))</x:f>
        <x:v>Not started — no completion claimed</x:v>
      </x:c>
      <x:c r="N164" s="194" t="str">
        <x:f>IF(INDEX(Backlog!$AN$2:$AN$180,MATCH($D164,Backlog!$A$2:$A$180,0))="","",INDEX(Backlog!$AN$2:$AN$180,MATCH($D164,Backlog!$A$2:$A$180,0)))</x:f>
      </x:c>
    </x:row>
    <x:row r="165" ht="26" customHeight="1">
      <x:c r="A165" s="206" t="str">
        <x:f>IF(INDEX(Backlog!$L$2:$L$180,MATCH($D165,Backlog!$A$2:$A$180,0))="","",INDEX(Backlog!$L$2:$L$180,MATCH($D165,Backlog!$A$2:$A$180,0)))</x:f>
        <x:v>Worker 3</x:v>
      </x:c>
      <x:c r="B165" s="206" t="str">
        <x:f>IF(INDEX(Backlog!$B$2:$B$180,MATCH($D165,Backlog!$A$2:$A$180,0))="","",INDEX(Backlog!$B$2:$B$180,MATCH($D165,Backlog!$A$2:$A$180,0)))</x:f>
        <x:v>M3</x:v>
      </x:c>
      <x:c r="C165" s="206" t="str">
        <x:f>IF(INDEX(Backlog!$C$2:$C$180,MATCH($D165,Backlog!$A$2:$A$180,0))="","",INDEX(Backlog!$C$2:$C$180,MATCH($D165,Backlog!$A$2:$A$180,0)))</x:f>
        <x:v>P4</x:v>
      </x:c>
      <x:c r="D165" s="206" t="str">
        <x:v>T-157</x:v>
      </x:c>
      <x:c r="E165" s="206" t="str">
        <x:f>IF(INDEX(Backlog!$D$2:$D$180,MATCH($D165,Backlog!$A$2:$A$180,0))="","",INDEX(Backlog!$D$2:$D$180,MATCH($D165,Backlog!$A$2:$A$180,0)))</x:f>
        <x:v>Practice, prediction and model calibration on real data</x:v>
      </x:c>
      <x:c r="F165" s="206" t="str">
        <x:f>IF(INDEX(Backlog!$K$2:$K$180,MATCH($D165,Backlog!$A$2:$A$180,0))="","",INDEX(Backlog!$K$2:$K$180,MATCH($D165,Backlog!$A$2:$A$180,0)))</x:f>
        <x:v>Not Started</x:v>
      </x:c>
      <x:c r="G165" s="206" t="n">
        <x:f>IF(ISNUMBER(INDEX(Backlog!$J$2:$J$180,MATCH($D165,Backlog!$A$2:$A$180,0))),INDEX(Backlog!$J$2:$J$180,MATCH($D165,Backlog!$A$2:$A$180,0)),"")</x:f>
        <x:v>12</x:v>
      </x:c>
      <x:c r="H165" s="206" t="n">
        <x:f>IF(ISNUMBER(INDEX(Backlog!$R$2:$R$180,MATCH($D165,Backlog!$A$2:$A$180,0))),INDEX(Backlog!$R$2:$R$180,MATCH($D165,Backlog!$A$2:$A$180,0)),"")</x:f>
        <x:v>4.32</x:v>
      </x:c>
      <x:c r="I165" s="206" t="str">
        <x:f>IF(INDEX(Backlog!$M$2:$M$180,MATCH($D165,Backlog!$A$2:$A$180,0))="","",INDEX(Backlog!$M$2:$M$180,MATCH($D165,Backlog!$A$2:$A$180,0)))</x:f>
      </x:c>
      <x:c r="J165" s="206" t="str">
        <x:f>IF(INDEX(Backlog!$T$2:$T$180,MATCH($D165,Backlog!$A$2:$A$180,0))="","",INDEX(Backlog!$T$2:$T$180,MATCH($D165,Backlog!$A$2:$A$180,0)))</x:f>
        <x:v>WAIT for deployed Release 1 + real customer/site evidence. Release 2 accepted + customer data window</x:v>
      </x:c>
      <x:c r="K165" s="206" t="str">
        <x:f>IF(INDEX(Backlog!$U$2:$U$180,MATCH($D165,Backlog!$A$2:$A$180,0))="","",INDEX(Backlog!$U$2:$U$180,MATCH($D165,Backlog!$A$2:$A$180,0)))</x:f>
        <x:v>Own AI/ML calibration/capacity evidence only.</x:v>
      </x:c>
      <x:c r="L165" s="206" t="str">
        <x:f>IF(INDEX(Backlog!$V$2:$V$180,MATCH($D165,Backlog!$A$2:$A$180,0))="","",INDEX(Backlog!$V$2:$V$180,MATCH($D165,Backlog!$A$2:$A$180,0)))</x:f>
        <x:v>Commit before downstream consumer starts; consumer must use the contract, not redesign producer-owned semantics.</x:v>
      </x:c>
      <x:c r="M165" s="194" t="str">
        <x:f>IF(INDEX(Backlog!$AO$2:$AO$180,MATCH($D165,Backlog!$A$2:$A$180,0))="","",INDEX(Backlog!$AO$2:$AO$180,MATCH($D165,Backlog!$A$2:$A$180,0)))</x:f>
        <x:v>Not started — no completion claimed</x:v>
      </x:c>
      <x:c r="N165" s="194" t="str">
        <x:f>IF(INDEX(Backlog!$AN$2:$AN$180,MATCH($D165,Backlog!$A$2:$A$180,0))="","",INDEX(Backlog!$AN$2:$AN$180,MATCH($D165,Backlog!$A$2:$A$180,0)))</x:f>
      </x:c>
    </x:row>
    <x:row r="166" ht="26" customHeight="1">
      <x:c r="A166" s="206" t="str">
        <x:f>IF(INDEX(Backlog!$L$2:$L$180,MATCH($D166,Backlog!$A$2:$A$180,0))="","",INDEX(Backlog!$L$2:$L$180,MATCH($D166,Backlog!$A$2:$A$180,0)))</x:f>
        <x:v>Worker 3</x:v>
      </x:c>
      <x:c r="B166" s="206" t="str">
        <x:f>IF(INDEX(Backlog!$B$2:$B$180,MATCH($D166,Backlog!$A$2:$A$180,0))="","",INDEX(Backlog!$B$2:$B$180,MATCH($D166,Backlog!$A$2:$A$180,0)))</x:f>
        <x:v>M3</x:v>
      </x:c>
      <x:c r="C166" s="206" t="str">
        <x:f>IF(INDEX(Backlog!$C$2:$C$180,MATCH($D166,Backlog!$A$2:$A$180,0))="","",INDEX(Backlog!$C$2:$C$180,MATCH($D166,Backlog!$A$2:$A$180,0)))</x:f>
        <x:v>P4</x:v>
      </x:c>
      <x:c r="D166" s="206" t="str">
        <x:v>T-158</x:v>
      </x:c>
      <x:c r="E166" s="206" t="str">
        <x:f>IF(INDEX(Backlog!$D$2:$D$180,MATCH($D166,Backlog!$A$2:$A$180,0))="","",INDEX(Backlog!$D$2:$D$180,MATCH($D166,Backlog!$A$2:$A$180,0)))</x:f>
        <x:v>Remediation validation against real process constraints</x:v>
      </x:c>
      <x:c r="F166" s="206" t="str">
        <x:f>IF(INDEX(Backlog!$K$2:$K$180,MATCH($D166,Backlog!$A$2:$A$180,0))="","",INDEX(Backlog!$K$2:$K$180,MATCH($D166,Backlog!$A$2:$A$180,0)))</x:f>
        <x:v>Not Started</x:v>
      </x:c>
      <x:c r="G166" s="206" t="n">
        <x:f>IF(ISNUMBER(INDEX(Backlog!$J$2:$J$180,MATCH($D166,Backlog!$A$2:$A$180,0))),INDEX(Backlog!$J$2:$J$180,MATCH($D166,Backlog!$A$2:$A$180,0)),"")</x:f>
        <x:v>12</x:v>
      </x:c>
      <x:c r="H166" s="206" t="n">
        <x:f>IF(ISNUMBER(INDEX(Backlog!$R$2:$R$180,MATCH($D166,Backlog!$A$2:$A$180,0))),INDEX(Backlog!$R$2:$R$180,MATCH($D166,Backlog!$A$2:$A$180,0)),"")</x:f>
        <x:v>4.32</x:v>
      </x:c>
      <x:c r="I166" s="206" t="str">
        <x:f>IF(INDEX(Backlog!$M$2:$M$180,MATCH($D166,Backlog!$A$2:$A$180,0))="","",INDEX(Backlog!$M$2:$M$180,MATCH($D166,Backlog!$A$2:$A$180,0)))</x:f>
      </x:c>
      <x:c r="J166" s="206" t="str">
        <x:f>IF(INDEX(Backlog!$T$2:$T$180,MATCH($D166,Backlog!$A$2:$A$180,0))="","",INDEX(Backlog!$T$2:$T$180,MATCH($D166,Backlog!$A$2:$A$180,0)))</x:f>
        <x:v>WAIT for deployed Release 1 + real customer/site evidence. Release 2 accepted + customer data window</x:v>
      </x:c>
      <x:c r="K166" s="206" t="str">
        <x:f>IF(INDEX(Backlog!$U$2:$U$180,MATCH($D166,Backlog!$A$2:$A$180,0))="","",INDEX(Backlog!$U$2:$U$180,MATCH($D166,Backlog!$A$2:$A$180,0)))</x:f>
        <x:v>Own AI/ML calibration/capacity evidence only.</x:v>
      </x:c>
      <x:c r="L166" s="206" t="str">
        <x:f>IF(INDEX(Backlog!$V$2:$V$180,MATCH($D166,Backlog!$A$2:$A$180,0))="","",INDEX(Backlog!$V$2:$V$180,MATCH($D166,Backlog!$A$2:$A$180,0)))</x:f>
        <x:v>Commit before downstream consumer starts; consumer must use the contract, not redesign producer-owned semantics.</x:v>
      </x:c>
      <x:c r="M166" s="194" t="str">
        <x:f>IF(INDEX(Backlog!$AO$2:$AO$180,MATCH($D166,Backlog!$A$2:$A$180,0))="","",INDEX(Backlog!$AO$2:$AO$180,MATCH($D166,Backlog!$A$2:$A$180,0)))</x:f>
        <x:v>Not started — no completion claimed</x:v>
      </x:c>
      <x:c r="N166" s="194" t="str">
        <x:f>IF(INDEX(Backlog!$AN$2:$AN$180,MATCH($D166,Backlog!$A$2:$A$180,0))="","",INDEX(Backlog!$AN$2:$AN$180,MATCH($D166,Backlog!$A$2:$A$180,0)))</x:f>
      </x:c>
    </x:row>
    <x:row r="167" ht="26" customHeight="1">
      <x:c r="A167" s="206" t="str">
        <x:f>IF(INDEX(Backlog!$L$2:$L$180,MATCH($D167,Backlog!$A$2:$A$180,0))="","",INDEX(Backlog!$L$2:$L$180,MATCH($D167,Backlog!$A$2:$A$180,0)))</x:f>
        <x:v>Worker 3</x:v>
      </x:c>
      <x:c r="B167" s="206" t="str">
        <x:f>IF(INDEX(Backlog!$B$2:$B$180,MATCH($D167,Backlog!$A$2:$A$180,0))="","",INDEX(Backlog!$B$2:$B$180,MATCH($D167,Backlog!$A$2:$A$180,0)))</x:f>
        <x:v>M3</x:v>
      </x:c>
      <x:c r="C167" s="206" t="str">
        <x:f>IF(INDEX(Backlog!$C$2:$C$180,MATCH($D167,Backlog!$A$2:$A$180,0))="","",INDEX(Backlog!$C$2:$C$180,MATCH($D167,Backlog!$A$2:$A$180,0)))</x:f>
        <x:v>P4</x:v>
      </x:c>
      <x:c r="D167" s="206" t="str">
        <x:v>T-183</x:v>
      </x:c>
      <x:c r="E167" s="206" t="str">
        <x:f>IF(INDEX(Backlog!$D$2:$D$180,MATCH($D167,Backlog!$A$2:$A$180,0))="","",INDEX(Backlog!$D$2:$D$180,MATCH($D167,Backlog!$A$2:$A$180,0)))</x:f>
        <x:v>Semantic Contract Manifest persistence, resolver and G-55 coverage</x:v>
      </x:c>
      <x:c r="F167" s="206" t="str">
        <x:f>IF(INDEX(Backlog!$K$2:$K$180,MATCH($D167,Backlog!$A$2:$A$180,0))="","",INDEX(Backlog!$K$2:$K$180,MATCH($D167,Backlog!$A$2:$A$180,0)))</x:f>
        <x:v>Not Started</x:v>
      </x:c>
      <x:c r="G167" s="206" t="n">
        <x:f>IF(ISNUMBER(INDEX(Backlog!$J$2:$J$180,MATCH($D167,Backlog!$A$2:$A$180,0))),INDEX(Backlog!$J$2:$J$180,MATCH($D167,Backlog!$A$2:$A$180,0)),"")</x:f>
        <x:v>12</x:v>
      </x:c>
      <x:c r="H167" s="206" t="n">
        <x:f>IF(ISNUMBER(INDEX(Backlog!$R$2:$R$180,MATCH($D167,Backlog!$A$2:$A$180,0))),INDEX(Backlog!$R$2:$R$180,MATCH($D167,Backlog!$A$2:$A$180,0)),"")</x:f>
        <x:v>1.7999999999999998</x:v>
      </x:c>
      <x:c r="I167" s="206" t="str">
        <x:f>IF(INDEX(Backlog!$M$2:$M$180,MATCH($D167,Backlog!$A$2:$A$180,0))="","",INDEX(Backlog!$M$2:$M$180,MATCH($D167,Backlog!$A$2:$A$180,0)))</x:f>
        <x:v>T-089; T-090; T-091; T-092; T-093; T-094; T-095; T-096; T-097; T-098; T-099; T-100; T-101; T-102; T-103; T-104; T-112; T-114</x:v>
      </x:c>
      <x:c r="J167" s="206" t="str">
        <x:f>IF(INDEX(Backlog!$T$2:$T$180,MATCH($D167,Backlog!$A$2:$A$180,0))="","",INDEX(Backlog!$T$2:$T$180,MATCH($D167,Backlog!$A$2:$A$180,0)))</x:f>
        <x:v>T-089..T-105 canonical definition/relationship authority + T-112 + T-114 secu...</x:v>
      </x:c>
      <x:c r="K167" s="206" t="str">
        <x:f>IF(INDEX(Backlog!$U$2:$U$180,MATCH($D167,Backlog!$A$2:$A$180,0))="","",INDEX(Backlog!$U$2:$U$180,MATCH($D167,Backlog!$A$2:$A$180,0)))</x:f>
        <x:v>Own intelligence/ML/Assistant and named intelligence surfaces. W1/W2 forbidden after hand-off.</x:v>
      </x:c>
      <x:c r="L167" s="206" t="str">
        <x:f>IF(INDEX(Backlog!$V$2:$V$180,MATCH($D167,Backlog!$A$2:$A$180,0))="","",INDEX(Backlog!$V$2:$V$180,MATCH($D167,Backlog!$A$2:$A$180,0)))</x:f>
        <x:v>Commit before downstream consumer starts; consumer must use the contract, not redesign producer-owned semantics.</x:v>
      </x:c>
      <x:c r="M167" s="194" t="str">
        <x:f>IF(INDEX(Backlog!$AO$2:$AO$180,MATCH($D167,Backlog!$A$2:$A$180,0))="","",INDEX(Backlog!$AO$2:$AO$180,MATCH($D167,Backlog!$A$2:$A$180,0)))</x:f>
        <x:v>Not started — no completion claimed</x:v>
      </x:c>
      <x:c r="N167" s="194" t="str">
        <x:f>IF(INDEX(Backlog!$AN$2:$AN$180,MATCH($D167,Backlog!$A$2:$A$180,0))="","",INDEX(Backlog!$AN$2:$AN$180,MATCH($D167,Backlog!$A$2:$A$180,0)))</x:f>
      </x:c>
    </x:row>
    <x:row r="168" ht="26" customHeight="1">
      <x:c r="A168" s="206" t="str">
        <x:f>IF(INDEX(Backlog!$L$2:$L$180,MATCH($D168,Backlog!$A$2:$A$180,0))="","",INDEX(Backlog!$L$2:$L$180,MATCH($D168,Backlog!$A$2:$A$180,0)))</x:f>
        <x:v>Worker 3</x:v>
      </x:c>
      <x:c r="B168" s="206" t="str">
        <x:f>IF(INDEX(Backlog!$B$2:$B$180,MATCH($D168,Backlog!$A$2:$A$180,0))="","",INDEX(Backlog!$B$2:$B$180,MATCH($D168,Backlog!$A$2:$A$180,0)))</x:f>
        <x:v>M3</x:v>
      </x:c>
      <x:c r="C168" s="206" t="str">
        <x:f>IF(INDEX(Backlog!$C$2:$C$180,MATCH($D168,Backlog!$A$2:$A$180,0))="","",INDEX(Backlog!$C$2:$C$180,MATCH($D168,Backlog!$A$2:$A$180,0)))</x:f>
        <x:v>P4</x:v>
      </x:c>
      <x:c r="D168" s="206" t="str">
        <x:v>T-184</x:v>
      </x:c>
      <x:c r="E168" s="206" t="str">
        <x:f>IF(INDEX(Backlog!$D$2:$D$180,MATCH($D168,Backlog!$A$2:$A$180,0))="","",INDEX(Backlog!$D$2:$D$180,MATCH($D168,Backlog!$A$2:$A$180,0)))</x:f>
        <x:v>Snapshot Materialiser: seal feature state into typed artifacts and enforce G-48</x:v>
      </x:c>
      <x:c r="F168" s="206" t="str">
        <x:f>IF(INDEX(Backlog!$K$2:$K$180,MATCH($D168,Backlog!$A$2:$A$180,0))="","",INDEX(Backlog!$K$2:$K$180,MATCH($D168,Backlog!$A$2:$A$180,0)))</x:f>
        <x:v>Not Started</x:v>
      </x:c>
      <x:c r="G168" s="206" t="n">
        <x:f>IF(ISNUMBER(INDEX(Backlog!$J$2:$J$180,MATCH($D168,Backlog!$A$2:$A$180,0))),INDEX(Backlog!$J$2:$J$180,MATCH($D168,Backlog!$A$2:$A$180,0)),"")</x:f>
        <x:v>12</x:v>
      </x:c>
      <x:c r="H168" s="206" t="n">
        <x:f>IF(ISNUMBER(INDEX(Backlog!$R$2:$R$180,MATCH($D168,Backlog!$A$2:$A$180,0))),INDEX(Backlog!$R$2:$R$180,MATCH($D168,Backlog!$A$2:$A$180,0)),"")</x:f>
        <x:v>1.7999999999999998</x:v>
      </x:c>
      <x:c r="I168" s="206" t="str">
        <x:f>IF(INDEX(Backlog!$M$2:$M$180,MATCH($D168,Backlog!$A$2:$A$180,0))="","",INDEX(Backlog!$M$2:$M$180,MATCH($D168,Backlog!$A$2:$A$180,0)))</x:f>
        <x:v>T-128; T-169; T-183; T-112; T-114; T-135</x:v>
      </x:c>
      <x:c r="J168" s="206" t="str">
        <x:f>IF(INDEX(Backlog!$T$2:$T$180,MATCH($D168,Backlog!$A$2:$A$180,0))="","",INDEX(Backlog!$T$2:$T$180,MATCH($D168,Backlog!$A$2:$A$180,0)))</x:f>
        <x:v>T-128 + T-169 + T-183 + T-112/T-114/T-135 security ratchet.</x:v>
      </x:c>
      <x:c r="K168" s="206" t="str">
        <x:f>IF(INDEX(Backlog!$U$2:$U$180,MATCH($D168,Backlog!$A$2:$A$180,0))="","",INDEX(Backlog!$U$2:$U$180,MATCH($D168,Backlog!$A$2:$A$180,0)))</x:f>
        <x:v>Own intelligence/ML/Assistant and named intelligence surfaces. W1/W2 forbidden after hand-off.</x:v>
      </x:c>
      <x:c r="L168" s="206" t="str">
        <x:f>IF(INDEX(Backlog!$V$2:$V$180,MATCH($D168,Backlog!$A$2:$A$180,0))="","",INDEX(Backlog!$V$2:$V$180,MATCH($D168,Backlog!$A$2:$A$180,0)))</x:f>
        <x:v>Commit before downstream consumer starts; consumer must use the contract, not redesign producer-owned semantics.</x:v>
      </x:c>
      <x:c r="M168" s="194" t="str">
        <x:f>IF(INDEX(Backlog!$AO$2:$AO$180,MATCH($D168,Backlog!$A$2:$A$180,0))="","",INDEX(Backlog!$AO$2:$AO$180,MATCH($D168,Backlog!$A$2:$A$180,0)))</x:f>
        <x:v>Not started — no completion claimed</x:v>
      </x:c>
      <x:c r="N168" s="194" t="str">
        <x:f>IF(INDEX(Backlog!$AN$2:$AN$180,MATCH($D168,Backlog!$A$2:$A$180,0))="","",INDEX(Backlog!$AN$2:$AN$180,MATCH($D168,Backlog!$A$2:$A$180,0)))</x:f>
      </x:c>
    </x:row>
    <x:row r="169" ht="26" customHeight="1">
      <x:c r="A169" s="206" t="str">
        <x:f>IF(INDEX(Backlog!$L$2:$L$180,MATCH($D169,Backlog!$A$2:$A$180,0))="","",INDEX(Backlog!$L$2:$L$180,MATCH($D169,Backlog!$A$2:$A$180,0)))</x:f>
        <x:v>Worker 3</x:v>
      </x:c>
      <x:c r="B169" s="206" t="str">
        <x:f>IF(INDEX(Backlog!$B$2:$B$180,MATCH($D169,Backlog!$A$2:$A$180,0))="","",INDEX(Backlog!$B$2:$B$180,MATCH($D169,Backlog!$A$2:$A$180,0)))</x:f>
        <x:v>M3</x:v>
      </x:c>
      <x:c r="C169" s="206" t="str">
        <x:f>IF(INDEX(Backlog!$C$2:$C$180,MATCH($D169,Backlog!$A$2:$A$180,0))="","",INDEX(Backlog!$C$2:$C$180,MATCH($D169,Backlog!$A$2:$A$180,0)))</x:f>
        <x:v>P4</x:v>
      </x:c>
      <x:c r="D169" s="206" t="str">
        <x:v>T-185</x:v>
      </x:c>
      <x:c r="E169" s="206" t="str">
        <x:f>IF(INDEX(Backlog!$D$2:$D$180,MATCH($D169,Backlog!$A$2:$A$180,0))="","",INDEX(Backlog!$D$2:$D$180,MATCH($D169,Backlog!$A$2:$A$180,0)))</x:f>
        <x:v>sequence_manifests persistence and object-storage sequence path</x:v>
      </x:c>
      <x:c r="F169" s="206" t="str">
        <x:f>IF(INDEX(Backlog!$K$2:$K$180,MATCH($D169,Backlog!$A$2:$A$180,0))="","",INDEX(Backlog!$K$2:$K$180,MATCH($D169,Backlog!$A$2:$A$180,0)))</x:f>
        <x:v>Not Started</x:v>
      </x:c>
      <x:c r="G169" s="206" t="n">
        <x:f>IF(ISNUMBER(INDEX(Backlog!$J$2:$J$180,MATCH($D169,Backlog!$A$2:$A$180,0))),INDEX(Backlog!$J$2:$J$180,MATCH($D169,Backlog!$A$2:$A$180,0)),"")</x:f>
        <x:v>12</x:v>
      </x:c>
      <x:c r="H169" s="206" t="n">
        <x:f>IF(ISNUMBER(INDEX(Backlog!$R$2:$R$180,MATCH($D169,Backlog!$A$2:$A$180,0))),INDEX(Backlog!$R$2:$R$180,MATCH($D169,Backlog!$A$2:$A$180,0)),"")</x:f>
        <x:v>1.7999999999999998</x:v>
      </x:c>
      <x:c r="I169" s="206" t="str">
        <x:f>IF(INDEX(Backlog!$M$2:$M$180,MATCH($D169,Backlog!$A$2:$A$180,0))="","",INDEX(Backlog!$M$2:$M$180,MATCH($D169,Backlog!$A$2:$A$180,0)))</x:f>
        <x:v>T-170; T-183; T-122; T-112; T-114; T-135</x:v>
      </x:c>
      <x:c r="J169" s="206" t="str">
        <x:f>IF(INDEX(Backlog!$T$2:$T$180,MATCH($D169,Backlog!$A$2:$A$180,0))="","",INDEX(Backlog!$T$2:$T$180,MATCH($D169,Backlog!$A$2:$A$180,0)))</x:f>
        <x:v>T-170 + T-183 + T-122 final object-storage/container path + T-112/T-114/T-135...</x:v>
      </x:c>
      <x:c r="K169" s="206" t="str">
        <x:f>IF(INDEX(Backlog!$U$2:$U$180,MATCH($D169,Backlog!$A$2:$A$180,0))="","",INDEX(Backlog!$U$2:$U$180,MATCH($D169,Backlog!$A$2:$A$180,0)))</x:f>
        <x:v>Own intelligence/ML/Assistant and named intelligence surfaces. W1/W2 forbidden after hand-off.</x:v>
      </x:c>
      <x:c r="L169" s="206" t="str">
        <x:f>IF(INDEX(Backlog!$V$2:$V$180,MATCH($D169,Backlog!$A$2:$A$180,0))="","",INDEX(Backlog!$V$2:$V$180,MATCH($D169,Backlog!$A$2:$A$180,0)))</x:f>
        <x:v>Commit before downstream consumer starts; consumer must use the contract, not redesign producer-owned semantics.</x:v>
      </x:c>
      <x:c r="M169" s="194" t="str">
        <x:f>IF(INDEX(Backlog!$AO$2:$AO$180,MATCH($D169,Backlog!$A$2:$A$180,0))="","",INDEX(Backlog!$AO$2:$AO$180,MATCH($D169,Backlog!$A$2:$A$180,0)))</x:f>
        <x:v>Not started — no completion claimed</x:v>
      </x:c>
      <x:c r="N169" s="194" t="str">
        <x:f>IF(INDEX(Backlog!$AN$2:$AN$180,MATCH($D169,Backlog!$A$2:$A$180,0))="","",INDEX(Backlog!$AN$2:$AN$180,MATCH($D169,Backlog!$A$2:$A$180,0)))</x:f>
      </x:c>
    </x:row>
    <x:row r="170" ht="26" customHeight="1">
      <x:c r="A170" s="206" t="str">
        <x:f>IF(INDEX(Backlog!$L$2:$L$180,MATCH($D170,Backlog!$A$2:$A$180,0))="","",INDEX(Backlog!$L$2:$L$180,MATCH($D170,Backlog!$A$2:$A$180,0)))</x:f>
        <x:v>Worker 3</x:v>
      </x:c>
      <x:c r="B170" s="206" t="str">
        <x:f>IF(INDEX(Backlog!$B$2:$B$180,MATCH($D170,Backlog!$A$2:$A$180,0))="","",INDEX(Backlog!$B$2:$B$180,MATCH($D170,Backlog!$A$2:$A$180,0)))</x:f>
        <x:v>M3</x:v>
      </x:c>
      <x:c r="C170" s="206" t="str">
        <x:f>IF(INDEX(Backlog!$C$2:$C$180,MATCH($D170,Backlog!$A$2:$A$180,0))="","",INDEX(Backlog!$C$2:$C$180,MATCH($D170,Backlog!$A$2:$A$180,0)))</x:f>
        <x:v>P4</x:v>
      </x:c>
      <x:c r="D170" s="206" t="str">
        <x:v>T-186</x:v>
      </x:c>
      <x:c r="E170" s="206" t="str">
        <x:f>IF(INDEX(Backlog!$D$2:$D$180,MATCH($D170,Backlog!$A$2:$A$180,0))="","",INDEX(Backlog!$D$2:$D$180,MATCH($D170,Backlog!$A$2:$A$180,0)))</x:f>
        <x:v>Persist capability profiles, prediction points and the model-count governor</x:v>
      </x:c>
      <x:c r="F170" s="206" t="str">
        <x:f>IF(INDEX(Backlog!$K$2:$K$180,MATCH($D170,Backlog!$A$2:$A$180,0))="","",INDEX(Backlog!$K$2:$K$180,MATCH($D170,Backlog!$A$2:$A$180,0)))</x:f>
        <x:v>Not Started</x:v>
      </x:c>
      <x:c r="G170" s="206" t="n">
        <x:f>IF(ISNUMBER(INDEX(Backlog!$J$2:$J$180,MATCH($D170,Backlog!$A$2:$A$180,0))),INDEX(Backlog!$J$2:$J$180,MATCH($D170,Backlog!$A$2:$A$180,0)),"")</x:f>
        <x:v>12</x:v>
      </x:c>
      <x:c r="H170" s="206" t="n">
        <x:f>IF(ISNUMBER(INDEX(Backlog!$R$2:$R$180,MATCH($D170,Backlog!$A$2:$A$180,0))),INDEX(Backlog!$R$2:$R$180,MATCH($D170,Backlog!$A$2:$A$180,0)),"")</x:f>
        <x:v>1.7999999999999998</x:v>
      </x:c>
      <x:c r="I170" s="206" t="str">
        <x:f>IF(INDEX(Backlog!$M$2:$M$180,MATCH($D170,Backlog!$A$2:$A$180,0))="","",INDEX(Backlog!$M$2:$M$180,MATCH($D170,Backlog!$A$2:$A$180,0)))</x:f>
        <x:v>T-171; T-183; T-128; T-129; T-195; T-135</x:v>
      </x:c>
      <x:c r="J170" s="206" t="str">
        <x:f>IF(INDEX(Backlog!$T$2:$T$180,MATCH($D170,Backlog!$A$2:$A$180,0))="","",INDEX(Backlog!$T$2:$T$180,MATCH($D170,Backlog!$A$2:$A$180,0)))</x:f>
        <x:v>T-171 + T-183 + T-128/T-129 + T-195 canonical readiness thresholds + T-135 se...</x:v>
      </x:c>
      <x:c r="K170" s="206" t="str">
        <x:f>IF(INDEX(Backlog!$U$2:$U$180,MATCH($D170,Backlog!$A$2:$A$180,0))="","",INDEX(Backlog!$U$2:$U$180,MATCH($D170,Backlog!$A$2:$A$180,0)))</x:f>
        <x:v>Own intelligence/ML/Assistant and named intelligence surfaces. W1/W2 forbidden after hand-off.</x:v>
      </x:c>
      <x:c r="L170" s="206" t="str">
        <x:f>IF(INDEX(Backlog!$V$2:$V$180,MATCH($D170,Backlog!$A$2:$A$180,0))="","",INDEX(Backlog!$V$2:$V$180,MATCH($D170,Backlog!$A$2:$A$180,0)))</x:f>
        <x:v>Commit before downstream consumer starts; consumer must use the contract, not redesign producer-owned semantics.</x:v>
      </x:c>
      <x:c r="M170" s="194" t="str">
        <x:f>IF(INDEX(Backlog!$AO$2:$AO$180,MATCH($D170,Backlog!$A$2:$A$180,0))="","",INDEX(Backlog!$AO$2:$AO$180,MATCH($D170,Backlog!$A$2:$A$180,0)))</x:f>
        <x:v>Not started — no completion claimed</x:v>
      </x:c>
      <x:c r="N170" s="194" t="str">
        <x:f>IF(INDEX(Backlog!$AN$2:$AN$180,MATCH($D170,Backlog!$A$2:$A$180,0))="","",INDEX(Backlog!$AN$2:$AN$180,MATCH($D170,Backlog!$A$2:$A$180,0)))</x:f>
      </x:c>
    </x:row>
    <x:row r="171" ht="26" customHeight="1">
      <x:c r="A171" s="206" t="str">
        <x:f>IF(INDEX(Backlog!$L$2:$L$180,MATCH($D171,Backlog!$A$2:$A$180,0))="","",INDEX(Backlog!$L$2:$L$180,MATCH($D171,Backlog!$A$2:$A$180,0)))</x:f>
        <x:v>Worker 3</x:v>
      </x:c>
      <x:c r="B171" s="206" t="str">
        <x:f>IF(INDEX(Backlog!$B$2:$B$180,MATCH($D171,Backlog!$A$2:$A$180,0))="","",INDEX(Backlog!$B$2:$B$180,MATCH($D171,Backlog!$A$2:$A$180,0)))</x:f>
        <x:v>M3</x:v>
      </x:c>
      <x:c r="C171" s="206" t="str">
        <x:f>IF(INDEX(Backlog!$C$2:$C$180,MATCH($D171,Backlog!$A$2:$A$180,0))="","",INDEX(Backlog!$C$2:$C$180,MATCH($D171,Backlog!$A$2:$A$180,0)))</x:f>
        <x:v>P4</x:v>
      </x:c>
      <x:c r="D171" s="206" t="str">
        <x:v>T-187</x:v>
      </x:c>
      <x:c r="E171" s="206" t="str">
        <x:f>IF(INDEX(Backlog!$D$2:$D$180,MATCH($D171,Backlog!$A$2:$A$180,0))="","",INDEX(Backlog!$D$2:$D$180,MATCH($D171,Backlog!$A$2:$A$180,0)))</x:f>
        <x:v>Production training/index integration: snapshots → ML lanes → registry activation</x:v>
      </x:c>
      <x:c r="F171" s="206" t="str">
        <x:f>IF(INDEX(Backlog!$K$2:$K$180,MATCH($D171,Backlog!$A$2:$A$180,0))="","",INDEX(Backlog!$K$2:$K$180,MATCH($D171,Backlog!$A$2:$A$180,0)))</x:f>
        <x:v>Not Started</x:v>
      </x:c>
      <x:c r="G171" s="206" t="n">
        <x:f>IF(ISNUMBER(INDEX(Backlog!$J$2:$J$180,MATCH($D171,Backlog!$A$2:$A$180,0))),INDEX(Backlog!$J$2:$J$180,MATCH($D171,Backlog!$A$2:$A$180,0)),"")</x:f>
        <x:v>12</x:v>
      </x:c>
      <x:c r="H171" s="206" t="n">
        <x:f>IF(ISNUMBER(INDEX(Backlog!$R$2:$R$180,MATCH($D171,Backlog!$A$2:$A$180,0))),INDEX(Backlog!$R$2:$R$180,MATCH($D171,Backlog!$A$2:$A$180,0)),"")</x:f>
        <x:v>1.7999999999999998</x:v>
      </x:c>
      <x:c r="I171" s="206" t="str">
        <x:f>IF(INDEX(Backlog!$M$2:$M$180,MATCH($D171,Backlog!$A$2:$A$180,0))="","",INDEX(Backlog!$M$2:$M$180,MATCH($D171,Backlog!$A$2:$A$180,0)))</x:f>
        <x:v>T-168; T-169; T-170; T-171; T-172; T-173; T-174; T-175; T-176; T-183; T-184; T-185; T-186; T-107; T-109; T-112; T-114; T-135; T-195</x:v>
      </x:c>
      <x:c r="J171" s="206" t="str">
        <x:f>IF(INDEX(Backlog!$T$2:$T$180,MATCH($D171,Backlog!$A$2:$A$180,0))="","",INDEX(Backlog!$T$2:$T$180,MATCH($D171,Backlog!$A$2:$A$180,0)))</x:f>
        <x:v>T-107 + T-109 + T-168..T-176 + T-183..T-186 + T-112/T-114/T-135 + T-195.</x:v>
      </x:c>
      <x:c r="K171" s="206" t="str">
        <x:f>IF(INDEX(Backlog!$U$2:$U$180,MATCH($D171,Backlog!$A$2:$A$180,0))="","",INDEX(Backlog!$U$2:$U$180,MATCH($D171,Backlog!$A$2:$A$180,0)))</x:f>
        <x:v>Own intelligence/ML/Assistant and named intelligence surfaces. W1/W2 forbidden after hand-off.</x:v>
      </x:c>
      <x:c r="L171" s="206" t="str">
        <x:f>IF(INDEX(Backlog!$V$2:$V$180,MATCH($D171,Backlog!$A$2:$A$180,0))="","",INDEX(Backlog!$V$2:$V$180,MATCH($D171,Backlog!$A$2:$A$180,0)))</x:f>
        <x:v>Commit before downstream consumer starts; consumer must use the contract, not redesign producer-owned semantics.</x:v>
      </x:c>
      <x:c r="M171" s="194" t="str">
        <x:f>IF(INDEX(Backlog!$AO$2:$AO$180,MATCH($D171,Backlog!$A$2:$A$180,0))="","",INDEX(Backlog!$AO$2:$AO$180,MATCH($D171,Backlog!$A$2:$A$180,0)))</x:f>
        <x:v>Not started — no completion claimed</x:v>
      </x:c>
      <x:c r="N171" s="194" t="str">
        <x:f>IF(INDEX(Backlog!$AN$2:$AN$180,MATCH($D171,Backlog!$A$2:$A$180,0))="","",INDEX(Backlog!$AN$2:$AN$180,MATCH($D171,Backlog!$A$2:$A$180,0)))</x:f>
      </x:c>
    </x:row>
    <x:row r="172" ht="26" customHeight="1">
      <x:c r="A172" s="206" t="str">
        <x:f>IF(INDEX(Backlog!$L$2:$L$180,MATCH($D172,Backlog!$A$2:$A$180,0))="","",INDEX(Backlog!$L$2:$L$180,MATCH($D172,Backlog!$A$2:$A$180,0)))</x:f>
        <x:v>Worker 3</x:v>
      </x:c>
      <x:c r="B172" s="206" t="str">
        <x:f>IF(INDEX(Backlog!$B$2:$B$180,MATCH($D172,Backlog!$A$2:$A$180,0))="","",INDEX(Backlog!$B$2:$B$180,MATCH($D172,Backlog!$A$2:$A$180,0)))</x:f>
        <x:v>M3</x:v>
      </x:c>
      <x:c r="C172" s="206" t="str">
        <x:f>IF(INDEX(Backlog!$C$2:$C$180,MATCH($D172,Backlog!$A$2:$A$180,0))="","",INDEX(Backlog!$C$2:$C$180,MATCH($D172,Backlog!$A$2:$A$180,0)))</x:f>
        <x:v>P4</x:v>
      </x:c>
      <x:c r="D172" s="206" t="str">
        <x:v>T-188</x:v>
      </x:c>
      <x:c r="E172" s="206" t="str">
        <x:f>IF(INDEX(Backlog!$D$2:$D$180,MATCH($D172,Backlog!$A$2:$A$180,0))="","",INDEX(Backlog!$D$2:$D$180,MATCH($D172,Backlog!$A$2:$A$180,0)))</x:f>
        <x:v>Canonical D4 Findings and D8 ML Readiness/Models cutover</x:v>
      </x:c>
      <x:c r="F172" s="206" t="str">
        <x:f>IF(INDEX(Backlog!$K$2:$K$180,MATCH($D172,Backlog!$A$2:$A$180,0))="","",INDEX(Backlog!$K$2:$K$180,MATCH($D172,Backlog!$A$2:$A$180,0)))</x:f>
        <x:v>Not Started</x:v>
      </x:c>
      <x:c r="G172" s="206" t="n">
        <x:f>IF(ISNUMBER(INDEX(Backlog!$J$2:$J$180,MATCH($D172,Backlog!$A$2:$A$180,0))),INDEX(Backlog!$J$2:$J$180,MATCH($D172,Backlog!$A$2:$A$180,0)),"")</x:f>
        <x:v>10</x:v>
      </x:c>
      <x:c r="H172" s="206" t="n">
        <x:f>IF(ISNUMBER(INDEX(Backlog!$R$2:$R$180,MATCH($D172,Backlog!$A$2:$A$180,0))),INDEX(Backlog!$R$2:$R$180,MATCH($D172,Backlog!$A$2:$A$180,0)),"")</x:f>
        <x:v>1.6666666666666667</x:v>
      </x:c>
      <x:c r="I172" s="206" t="str">
        <x:f>IF(INDEX(Backlog!$M$2:$M$180,MATCH($D172,Backlog!$A$2:$A$180,0))="","",INDEX(Backlog!$M$2:$M$180,MATCH($D172,Backlog!$A$2:$A$180,0)))</x:f>
        <x:v>T-129; T-130; T-186; T-195</x:v>
      </x:c>
      <x:c r="J172" s="206" t="str">
        <x:f>IF(INDEX(Backlog!$T$2:$T$180,MATCH($D172,Backlog!$A$2:$A$180,0))="","",INDEX(Backlog!$T$2:$T$180,MATCH($D172,Backlog!$A$2:$A$180,0)))</x:f>
        <x:v>T-129 + T-130 + T-186 + T-195 + M1 continuity snapshots.</x:v>
      </x:c>
      <x:c r="K172" s="206" t="str">
        <x:f>IF(INDEX(Backlog!$U$2:$U$180,MATCH($D172,Backlog!$A$2:$A$180,0))="","",INDEX(Backlog!$U$2:$U$180,MATCH($D172,Backlog!$A$2:$A$180,0)))</x:f>
        <x:v>Own intelligence/ML/Assistant and named intelligence surfaces. W1/W2 forbidden after hand-off.</x:v>
      </x:c>
      <x:c r="L172" s="206" t="str">
        <x:f>IF(INDEX(Backlog!$V$2:$V$180,MATCH($D172,Backlog!$A$2:$A$180,0))="","",INDEX(Backlog!$V$2:$V$180,MATCH($D172,Backlog!$A$2:$A$180,0)))</x:f>
        <x:v>Commit before downstream consumer starts; consumer must use the contract, not redesign producer-owned semantics.</x:v>
      </x:c>
      <x:c r="M172" s="194" t="str">
        <x:f>IF(INDEX(Backlog!$AO$2:$AO$180,MATCH($D172,Backlog!$A$2:$A$180,0))="","",INDEX(Backlog!$AO$2:$AO$180,MATCH($D172,Backlog!$A$2:$A$180,0)))</x:f>
        <x:v>Not started — no completion claimed</x:v>
      </x:c>
      <x:c r="N172" s="194" t="str">
        <x:f>IF(INDEX(Backlog!$AN$2:$AN$180,MATCH($D172,Backlog!$A$2:$A$180,0))="","",INDEX(Backlog!$AN$2:$AN$180,MATCH($D172,Backlog!$A$2:$A$180,0)))</x:f>
      </x:c>
    </x:row>
    <x:row r="173" ht="26" customHeight="1">
      <x:c r="A173" s="206" t="str">
        <x:f>IF(INDEX(Backlog!$L$2:$L$180,MATCH($D173,Backlog!$A$2:$A$180,0))="","",INDEX(Backlog!$L$2:$L$180,MATCH($D173,Backlog!$A$2:$A$180,0)))</x:f>
        <x:v>Worker 3</x:v>
      </x:c>
      <x:c r="B173" s="206" t="str">
        <x:f>IF(INDEX(Backlog!$B$2:$B$180,MATCH($D173,Backlog!$A$2:$A$180,0))="","",INDEX(Backlog!$B$2:$B$180,MATCH($D173,Backlog!$A$2:$A$180,0)))</x:f>
        <x:v>M3</x:v>
      </x:c>
      <x:c r="C173" s="206" t="str">
        <x:f>IF(INDEX(Backlog!$C$2:$C$180,MATCH($D173,Backlog!$A$2:$A$180,0))="","",INDEX(Backlog!$C$2:$C$180,MATCH($D173,Backlog!$A$2:$A$180,0)))</x:f>
        <x:v>P4</x:v>
      </x:c>
      <x:c r="D173" s="206" t="str">
        <x:v>T-189</x:v>
      </x:c>
      <x:c r="E173" s="206" t="str">
        <x:f>IF(INDEX(Backlog!$D$2:$D$180,MATCH($D173,Backlog!$A$2:$A$180,0))="","",INDEX(Backlog!$D$2:$D$180,MATCH($D173,Backlog!$A$2:$A$180,0)))</x:f>
        <x:v>Canonical D5 Risk and D9 Early Warning cutover</x:v>
      </x:c>
      <x:c r="F173" s="206" t="str">
        <x:f>IF(INDEX(Backlog!$K$2:$K$180,MATCH($D173,Backlog!$A$2:$A$180,0))="","",INDEX(Backlog!$K$2:$K$180,MATCH($D173,Backlog!$A$2:$A$180,0)))</x:f>
        <x:v>Not Started</x:v>
      </x:c>
      <x:c r="G173" s="206" t="n">
        <x:f>IF(ISNUMBER(INDEX(Backlog!$J$2:$J$180,MATCH($D173,Backlog!$A$2:$A$180,0))),INDEX(Backlog!$J$2:$J$180,MATCH($D173,Backlog!$A$2:$A$180,0)),"")</x:f>
        <x:v>12</x:v>
      </x:c>
      <x:c r="H173" s="206" t="n">
        <x:f>IF(ISNUMBER(INDEX(Backlog!$R$2:$R$180,MATCH($D173,Backlog!$A$2:$A$180,0))),INDEX(Backlog!$R$2:$R$180,MATCH($D173,Backlog!$A$2:$A$180,0)),"")</x:f>
        <x:v>2</x:v>
      </x:c>
      <x:c r="I173" s="206" t="str">
        <x:f>IF(INDEX(Backlog!$M$2:$M$180,MATCH($D173,Backlog!$A$2:$A$180,0))="","",INDEX(Backlog!$M$2:$M$180,MATCH($D173,Backlog!$A$2:$A$180,0)))</x:f>
        <x:v>T-139; T-140; T-141; T-142; T-143</x:v>
      </x:c>
      <x:c r="J173" s="206" t="str">
        <x:f>IF(INDEX(Backlog!$T$2:$T$180,MATCH($D173,Backlog!$A$2:$A$180,0))="","",INDEX(Backlog!$T$2:$T$180,MATCH($D173,Backlog!$A$2:$A$180,0)))</x:f>
        <x:v>T-139..T-143 + M1 continuity snapshots</x:v>
      </x:c>
      <x:c r="K173" s="206" t="str">
        <x:f>IF(INDEX(Backlog!$U$2:$U$180,MATCH($D173,Backlog!$A$2:$A$180,0))="","",INDEX(Backlog!$U$2:$U$180,MATCH($D173,Backlog!$A$2:$A$180,0)))</x:f>
        <x:v>Own intelligence/ML/Assistant and named intelligence surfaces. W1/W2 forbidden after hand-off.</x:v>
      </x:c>
      <x:c r="L173" s="206" t="str">
        <x:f>IF(INDEX(Backlog!$V$2:$V$180,MATCH($D173,Backlog!$A$2:$A$180,0))="","",INDEX(Backlog!$V$2:$V$180,MATCH($D173,Backlog!$A$2:$A$180,0)))</x:f>
        <x:v>Commit before downstream consumer starts; consumer must use the contract, not redesign producer-owned semantics.</x:v>
      </x:c>
      <x:c r="M173" s="194" t="str">
        <x:f>IF(INDEX(Backlog!$AO$2:$AO$180,MATCH($D173,Backlog!$A$2:$A$180,0))="","",INDEX(Backlog!$AO$2:$AO$180,MATCH($D173,Backlog!$A$2:$A$180,0)))</x:f>
        <x:v>Not started — no completion claimed</x:v>
      </x:c>
      <x:c r="N173" s="194" t="str">
        <x:f>IF(INDEX(Backlog!$AN$2:$AN$180,MATCH($D173,Backlog!$A$2:$A$180,0))="","",INDEX(Backlog!$AN$2:$AN$180,MATCH($D173,Backlog!$A$2:$A$180,0)))</x:f>
      </x:c>
    </x:row>
    <x:row r="174" ht="26" customHeight="1">
      <x:c r="A174" s="206" t="str">
        <x:f>IF(INDEX(Backlog!$L$2:$L$180,MATCH($D174,Backlog!$A$2:$A$180,0))="","",INDEX(Backlog!$L$2:$L$180,MATCH($D174,Backlog!$A$2:$A$180,0)))</x:f>
        <x:v>Worker 3</x:v>
      </x:c>
      <x:c r="B174" s="206" t="str">
        <x:f>IF(INDEX(Backlog!$B$2:$B$180,MATCH($D174,Backlog!$A$2:$A$180,0))="","",INDEX(Backlog!$B$2:$B$180,MATCH($D174,Backlog!$A$2:$A$180,0)))</x:f>
        <x:v>M3</x:v>
      </x:c>
      <x:c r="C174" s="206" t="str">
        <x:f>IF(INDEX(Backlog!$C$2:$C$180,MATCH($D174,Backlog!$A$2:$A$180,0))="","",INDEX(Backlog!$C$2:$C$180,MATCH($D174,Backlog!$A$2:$A$180,0)))</x:f>
        <x:v>P4</x:v>
      </x:c>
      <x:c r="D174" s="206" t="str">
        <x:v>T-190</x:v>
      </x:c>
      <x:c r="E174" s="206" t="str">
        <x:f>IF(INDEX(Backlog!$D$2:$D$180,MATCH($D174,Backlog!$A$2:$A$180,0))="","",INDEX(Backlog!$D$2:$D$180,MATCH($D174,Backlog!$A$2:$A$180,0)))</x:f>
        <x:v>Canonical D6 Suggestions and decision-action cutover</x:v>
      </x:c>
      <x:c r="F174" s="206" t="str">
        <x:f>IF(INDEX(Backlog!$K$2:$K$180,MATCH($D174,Backlog!$A$2:$A$180,0))="","",INDEX(Backlog!$K$2:$K$180,MATCH($D174,Backlog!$A$2:$A$180,0)))</x:f>
        <x:v>Not Started</x:v>
      </x:c>
      <x:c r="G174" s="206" t="n">
        <x:f>IF(ISNUMBER(INDEX(Backlog!$J$2:$J$180,MATCH($D174,Backlog!$A$2:$A$180,0))),INDEX(Backlog!$J$2:$J$180,MATCH($D174,Backlog!$A$2:$A$180,0)),"")</x:f>
        <x:v>12</x:v>
      </x:c>
      <x:c r="H174" s="206" t="n">
        <x:f>IF(ISNUMBER(INDEX(Backlog!$R$2:$R$180,MATCH($D174,Backlog!$A$2:$A$180,0))),INDEX(Backlog!$R$2:$R$180,MATCH($D174,Backlog!$A$2:$A$180,0)),"")</x:f>
        <x:v>2</x:v>
      </x:c>
      <x:c r="I174" s="206" t="str">
        <x:f>IF(INDEX(Backlog!$M$2:$M$180,MATCH($D174,Backlog!$A$2:$A$180,0))="","",INDEX(Backlog!$M$2:$M$180,MATCH($D174,Backlog!$A$2:$A$180,0)))</x:f>
        <x:v>T-142; T-143; T-144; T-145</x:v>
      </x:c>
      <x:c r="J174" s="206" t="str">
        <x:f>IF(INDEX(Backlog!$T$2:$T$180,MATCH($D174,Backlog!$A$2:$A$180,0))="","",INDEX(Backlog!$T$2:$T$180,MATCH($D174,Backlog!$A$2:$A$180,0)))</x:f>
        <x:v>T-142..T-145 + M1 continuity snapshots</x:v>
      </x:c>
      <x:c r="K174" s="206" t="str">
        <x:f>IF(INDEX(Backlog!$U$2:$U$180,MATCH($D174,Backlog!$A$2:$A$180,0))="","",INDEX(Backlog!$U$2:$U$180,MATCH($D174,Backlog!$A$2:$A$180,0)))</x:f>
        <x:v>Own intelligence/ML/Assistant and named intelligence surfaces. W1/W2 forbidden after hand-off.</x:v>
      </x:c>
      <x:c r="L174" s="206" t="str">
        <x:f>IF(INDEX(Backlog!$V$2:$V$180,MATCH($D174,Backlog!$A$2:$A$180,0))="","",INDEX(Backlog!$V$2:$V$180,MATCH($D174,Backlog!$A$2:$A$180,0)))</x:f>
        <x:v>Commit before downstream consumer starts; consumer must use the contract, not redesign producer-owned semantics.</x:v>
      </x:c>
      <x:c r="M174" s="194" t="str">
        <x:f>IF(INDEX(Backlog!$AO$2:$AO$180,MATCH($D174,Backlog!$A$2:$A$180,0))="","",INDEX(Backlog!$AO$2:$AO$180,MATCH($D174,Backlog!$A$2:$A$180,0)))</x:f>
        <x:v>Not started — no completion claimed</x:v>
      </x:c>
      <x:c r="N174" s="194" t="str">
        <x:f>IF(INDEX(Backlog!$AN$2:$AN$180,MATCH($D174,Backlog!$A$2:$A$180,0))="","",INDEX(Backlog!$AN$2:$AN$180,MATCH($D174,Backlog!$A$2:$A$180,0)))</x:f>
      </x:c>
    </x:row>
    <x:row r="175" ht="26" customHeight="1">
      <x:c r="A175" s="206" t="str">
        <x:f>IF(INDEX(Backlog!$L$2:$L$180,MATCH($D175,Backlog!$A$2:$A$180,0))="","",INDEX(Backlog!$L$2:$L$180,MATCH($D175,Backlog!$A$2:$A$180,0)))</x:f>
        <x:v>Worker 3</x:v>
      </x:c>
      <x:c r="B175" s="206" t="str">
        <x:f>IF(INDEX(Backlog!$B$2:$B$180,MATCH($D175,Backlog!$A$2:$A$180,0))="","",INDEX(Backlog!$B$2:$B$180,MATCH($D175,Backlog!$A$2:$A$180,0)))</x:f>
        <x:v>M3</x:v>
      </x:c>
      <x:c r="C175" s="206" t="str">
        <x:f>IF(INDEX(Backlog!$C$2:$C$180,MATCH($D175,Backlog!$A$2:$A$180,0))="","",INDEX(Backlog!$C$2:$C$180,MATCH($D175,Backlog!$A$2:$A$180,0)))</x:f>
        <x:v>P4</x:v>
      </x:c>
      <x:c r="D175" s="206" t="str">
        <x:v>T-191</x:v>
      </x:c>
      <x:c r="E175" s="206" t="str">
        <x:f>IF(INDEX(Backlog!$D$2:$D$180,MATCH($D175,Backlog!$A$2:$A$180,0))="","",INDEX(Backlog!$D$2:$D$180,MATCH($D175,Backlog!$A$2:$A$180,0)))</x:f>
        <x:v>D11 Scenario Simulation: governed read-only modelled comparison</x:v>
      </x:c>
      <x:c r="F175" s="206" t="str">
        <x:f>IF(INDEX(Backlog!$K$2:$K$180,MATCH($D175,Backlog!$A$2:$A$180,0))="","",INDEX(Backlog!$K$2:$K$180,MATCH($D175,Backlog!$A$2:$A$180,0)))</x:f>
        <x:v>Not Started</x:v>
      </x:c>
      <x:c r="G175" s="206" t="n">
        <x:f>IF(ISNUMBER(INDEX(Backlog!$J$2:$J$180,MATCH($D175,Backlog!$A$2:$A$180,0))),INDEX(Backlog!$J$2:$J$180,MATCH($D175,Backlog!$A$2:$A$180,0)),"")</x:f>
        <x:v>12</x:v>
      </x:c>
      <x:c r="H175" s="206" t="n">
        <x:f>IF(ISNUMBER(INDEX(Backlog!$R$2:$R$180,MATCH($D175,Backlog!$A$2:$A$180,0))),INDEX(Backlog!$R$2:$R$180,MATCH($D175,Backlog!$A$2:$A$180,0)),"")</x:f>
        <x:v>1.7999999999999998</x:v>
      </x:c>
      <x:c r="I175" s="206" t="str">
        <x:f>IF(INDEX(Backlog!$M$2:$M$180,MATCH($D175,Backlog!$A$2:$A$180,0))="","",INDEX(Backlog!$M$2:$M$180,MATCH($D175,Backlog!$A$2:$A$180,0)))</x:f>
        <x:v>T-130; T-176; T-187</x:v>
      </x:c>
      <x:c r="J175" s="206" t="str">
        <x:f>IF(INDEX(Backlog!$T$2:$T$180,MATCH($D175,Backlog!$A$2:$A$180,0))="","",INDEX(Backlog!$T$2:$T$180,MATCH($D175,Backlog!$A$2:$A$180,0)))</x:f>
        <x:v>T-130 + T-176 + T-187</x:v>
      </x:c>
      <x:c r="K175" s="206" t="str">
        <x:f>IF(INDEX(Backlog!$U$2:$U$180,MATCH($D175,Backlog!$A$2:$A$180,0))="","",INDEX(Backlog!$U$2:$U$180,MATCH($D175,Backlog!$A$2:$A$180,0)))</x:f>
        <x:v>Own intelligence/ML/Assistant and named intelligence surfaces. W1/W2 forbidden after hand-off.</x:v>
      </x:c>
      <x:c r="L175" s="206" t="str">
        <x:f>IF(INDEX(Backlog!$V$2:$V$180,MATCH($D175,Backlog!$A$2:$A$180,0))="","",INDEX(Backlog!$V$2:$V$180,MATCH($D175,Backlog!$A$2:$A$180,0)))</x:f>
        <x:v>Commit before downstream consumer starts; consumer must use the contract, not redesign producer-owned semantics.</x:v>
      </x:c>
      <x:c r="M175" s="194" t="str">
        <x:f>IF(INDEX(Backlog!$AO$2:$AO$180,MATCH($D175,Backlog!$A$2:$A$180,0))="","",INDEX(Backlog!$AO$2:$AO$180,MATCH($D175,Backlog!$A$2:$A$180,0)))</x:f>
        <x:v>Not started — no completion claimed</x:v>
      </x:c>
      <x:c r="N175" s="194" t="str">
        <x:f>IF(INDEX(Backlog!$AN$2:$AN$180,MATCH($D175,Backlog!$A$2:$A$180,0))="","",INDEX(Backlog!$AN$2:$AN$180,MATCH($D175,Backlog!$A$2:$A$180,0)))</x:f>
      </x:c>
    </x:row>
    <x:row r="176" ht="26" customHeight="1">
      <x:c r="A176" s="206" t="str">
        <x:f>IF(INDEX(Backlog!$L$2:$L$180,MATCH($D176,Backlog!$A$2:$A$180,0))="","",INDEX(Backlog!$L$2:$L$180,MATCH($D176,Backlog!$A$2:$A$180,0)))</x:f>
        <x:v>Worker 3</x:v>
      </x:c>
      <x:c r="B176" s="206" t="str">
        <x:f>IF(INDEX(Backlog!$B$2:$B$180,MATCH($D176,Backlog!$A$2:$A$180,0))="","",INDEX(Backlog!$B$2:$B$180,MATCH($D176,Backlog!$A$2:$A$180,0)))</x:f>
        <x:v>M3</x:v>
      </x:c>
      <x:c r="C176" s="206" t="str">
        <x:f>IF(INDEX(Backlog!$C$2:$C$180,MATCH($D176,Backlog!$A$2:$A$180,0))="","",INDEX(Backlog!$C$2:$C$180,MATCH($D176,Backlog!$A$2:$A$180,0)))</x:f>
        <x:v>P4</x:v>
      </x:c>
      <x:c r="D176" s="206" t="str">
        <x:v>T-192</x:v>
      </x:c>
      <x:c r="E176" s="206" t="str">
        <x:f>IF(INDEX(Backlog!$D$2:$D$180,MATCH($D176,Backlog!$A$2:$A$180,0))="","",INDEX(Backlog!$D$2:$D$180,MATCH($D176,Backlog!$A$2:$A$180,0)))</x:f>
        <x:v>Target-architecture gate pack G-48..G-55</x:v>
      </x:c>
      <x:c r="F176" s="206" t="str">
        <x:f>IF(INDEX(Backlog!$K$2:$K$180,MATCH($D176,Backlog!$A$2:$A$180,0))="","",INDEX(Backlog!$K$2:$K$180,MATCH($D176,Backlog!$A$2:$A$180,0)))</x:f>
        <x:v>Not Started</x:v>
      </x:c>
      <x:c r="G176" s="206" t="n">
        <x:f>IF(ISNUMBER(INDEX(Backlog!$J$2:$J$180,MATCH($D176,Backlog!$A$2:$A$180,0))),INDEX(Backlog!$J$2:$J$180,MATCH($D176,Backlog!$A$2:$A$180,0)),"")</x:f>
        <x:v>10</x:v>
      </x:c>
      <x:c r="H176" s="206" t="n">
        <x:f>IF(ISNUMBER(INDEX(Backlog!$R$2:$R$180,MATCH($D176,Backlog!$A$2:$A$180,0))),INDEX(Backlog!$R$2:$R$180,MATCH($D176,Backlog!$A$2:$A$180,0)),"")</x:f>
        <x:v>1.7</x:v>
      </x:c>
      <x:c r="I176" s="206" t="str">
        <x:f>IF(INDEX(Backlog!$M$2:$M$180,MATCH($D176,Backlog!$A$2:$A$180,0))="","",INDEX(Backlog!$M$2:$M$180,MATCH($D176,Backlog!$A$2:$A$180,0)))</x:f>
        <x:v>T-183; T-184; T-185; T-186; T-187; T-188; T-189; T-190; T-191; T-107; T-122</x:v>
      </x:c>
      <x:c r="J176" s="206" t="str">
        <x:f>IF(INDEX(Backlog!$T$2:$T$180,MATCH($D176,Backlog!$A$2:$A$180,0))="","",INDEX(Backlog!$T$2:$T$180,MATCH($D176,Backlog!$A$2:$A$180,0)))</x:f>
        <x:v>T-183..T-191 + T-107/T-122 as applicable</x:v>
      </x:c>
      <x:c r="K176" s="206" t="str">
        <x:f>IF(INDEX(Backlog!$U$2:$U$180,MATCH($D176,Backlog!$A$2:$A$180,0))="","",INDEX(Backlog!$U$2:$U$180,MATCH($D176,Backlog!$A$2:$A$180,0)))</x:f>
        <x:v>Own intelligence/ML/Assistant and named intelligence surfaces. W1/W2 forbidden after hand-off.</x:v>
      </x:c>
      <x:c r="L176" s="206" t="str">
        <x:f>IF(INDEX(Backlog!$V$2:$V$180,MATCH($D176,Backlog!$A$2:$A$180,0))="","",INDEX(Backlog!$V$2:$V$180,MATCH($D176,Backlog!$A$2:$A$180,0)))</x:f>
        <x:v>Commit before downstream consumer starts; consumer must use the contract, not redesign producer-owned semantics.</x:v>
      </x:c>
      <x:c r="M176" s="194" t="str">
        <x:f>IF(INDEX(Backlog!$AO$2:$AO$180,MATCH($D176,Backlog!$A$2:$A$180,0))="","",INDEX(Backlog!$AO$2:$AO$180,MATCH($D176,Backlog!$A$2:$A$180,0)))</x:f>
        <x:v>Not started — no completion claimed</x:v>
      </x:c>
      <x:c r="N176" s="194" t="str">
        <x:f>IF(INDEX(Backlog!$AN$2:$AN$180,MATCH($D176,Backlog!$A$2:$A$180,0))="","",INDEX(Backlog!$AN$2:$AN$180,MATCH($D176,Backlog!$A$2:$A$180,0)))</x:f>
      </x:c>
    </x:row>
    <x:row r="177" ht="26" customHeight="1">
      <x:c r="A177" s="206" t="str">
        <x:f>IF(INDEX(Backlog!$L$2:$L$180,MATCH($D177,Backlog!$A$2:$A$180,0))="","",INDEX(Backlog!$L$2:$L$180,MATCH($D177,Backlog!$A$2:$A$180,0)))</x:f>
        <x:v>Worker 3</x:v>
      </x:c>
      <x:c r="B177" s="206" t="str">
        <x:f>IF(INDEX(Backlog!$B$2:$B$180,MATCH($D177,Backlog!$A$2:$A$180,0))="","",INDEX(Backlog!$B$2:$B$180,MATCH($D177,Backlog!$A$2:$A$180,0)))</x:f>
        <x:v>M3</x:v>
      </x:c>
      <x:c r="C177" s="206" t="str">
        <x:f>IF(INDEX(Backlog!$C$2:$C$180,MATCH($D177,Backlog!$A$2:$A$180,0))="","",INDEX(Backlog!$C$2:$C$180,MATCH($D177,Backlog!$A$2:$A$180,0)))</x:f>
        <x:v>P4</x:v>
      </x:c>
      <x:c r="D177" s="206" t="str">
        <x:v>T-193</x:v>
      </x:c>
      <x:c r="E177" s="206" t="str">
        <x:f>IF(INDEX(Backlog!$D$2:$D$180,MATCH($D177,Backlog!$A$2:$A$180,0))="","",INDEX(Backlog!$D$2:$D$180,MATCH($D177,Backlog!$A$2:$A$180,0)))</x:f>
        <x:v>Drift Supervisor and governed model-action proposals</x:v>
      </x:c>
      <x:c r="F177" s="206" t="str">
        <x:f>IF(INDEX(Backlog!$K$2:$K$180,MATCH($D177,Backlog!$A$2:$A$180,0))="","",INDEX(Backlog!$K$2:$K$180,MATCH($D177,Backlog!$A$2:$A$180,0)))</x:f>
        <x:v>Not Started</x:v>
      </x:c>
      <x:c r="G177" s="206" t="n">
        <x:f>IF(ISNUMBER(INDEX(Backlog!$J$2:$J$180,MATCH($D177,Backlog!$A$2:$A$180,0))),INDEX(Backlog!$J$2:$J$180,MATCH($D177,Backlog!$A$2:$A$180,0)),"")</x:f>
        <x:v>10</x:v>
      </x:c>
      <x:c r="H177" s="206" t="n">
        <x:f>IF(ISNUMBER(INDEX(Backlog!$R$2:$R$180,MATCH($D177,Backlog!$A$2:$A$180,0))),INDEX(Backlog!$R$2:$R$180,MATCH($D177,Backlog!$A$2:$A$180,0)),"")</x:f>
        <x:v>1.5</x:v>
      </x:c>
      <x:c r="I177" s="206" t="str">
        <x:f>IF(INDEX(Backlog!$M$2:$M$180,MATCH($D177,Backlog!$A$2:$A$180,0))="","",INDEX(Backlog!$M$2:$M$180,MATCH($D177,Backlog!$A$2:$A$180,0)))</x:f>
        <x:v>T-130; T-187; T-139; T-145</x:v>
      </x:c>
      <x:c r="J177" s="206" t="str">
        <x:f>IF(INDEX(Backlog!$T$2:$T$180,MATCH($D177,Backlog!$A$2:$A$180,0))="","",INDEX(Backlog!$T$2:$T$180,MATCH($D177,Backlog!$A$2:$A$180,0)))</x:f>
        <x:v>T-130 + T-187 + T-139/T-145</x:v>
      </x:c>
      <x:c r="K177" s="206" t="str">
        <x:f>IF(INDEX(Backlog!$U$2:$U$180,MATCH($D177,Backlog!$A$2:$A$180,0))="","",INDEX(Backlog!$U$2:$U$180,MATCH($D177,Backlog!$A$2:$A$180,0)))</x:f>
        <x:v>Own intelligence/ML/Assistant and named intelligence surfaces. W1/W2 forbidden after hand-off.</x:v>
      </x:c>
      <x:c r="L177" s="206" t="str">
        <x:f>IF(INDEX(Backlog!$V$2:$V$180,MATCH($D177,Backlog!$A$2:$A$180,0))="","",INDEX(Backlog!$V$2:$V$180,MATCH($D177,Backlog!$A$2:$A$180,0)))</x:f>
        <x:v>Commit before downstream consumer starts; consumer must use the contract, not redesign producer-owned semantics.</x:v>
      </x:c>
      <x:c r="M177" s="194" t="str">
        <x:f>IF(INDEX(Backlog!$AO$2:$AO$180,MATCH($D177,Backlog!$A$2:$A$180,0))="","",INDEX(Backlog!$AO$2:$AO$180,MATCH($D177,Backlog!$A$2:$A$180,0)))</x:f>
        <x:v>Not started — no completion claimed</x:v>
      </x:c>
      <x:c r="N177" s="194" t="str">
        <x:f>IF(INDEX(Backlog!$AN$2:$AN$180,MATCH($D177,Backlog!$A$2:$A$180,0))="","",INDEX(Backlog!$AN$2:$AN$180,MATCH($D177,Backlog!$A$2:$A$180,0)))</x:f>
      </x:c>
    </x:row>
    <x:row r="178" ht="26" customHeight="1">
      <x:c r="A178" s="206" t="str">
        <x:f>IF(INDEX(Backlog!$L$2:$L$180,MATCH($D178,Backlog!$A$2:$A$180,0))="","",INDEX(Backlog!$L$2:$L$180,MATCH($D178,Backlog!$A$2:$A$180,0)))</x:f>
        <x:v>Worker 3</x:v>
      </x:c>
      <x:c r="B178" s="206" t="str">
        <x:f>IF(INDEX(Backlog!$B$2:$B$180,MATCH($D178,Backlog!$A$2:$A$180,0))="","",INDEX(Backlog!$B$2:$B$180,MATCH($D178,Backlog!$A$2:$A$180,0)))</x:f>
        <x:v>M3</x:v>
      </x:c>
      <x:c r="C178" s="206" t="str">
        <x:f>IF(INDEX(Backlog!$C$2:$C$180,MATCH($D178,Backlog!$A$2:$A$180,0))="","",INDEX(Backlog!$C$2:$C$180,MATCH($D178,Backlog!$A$2:$A$180,0)))</x:f>
        <x:v>P4</x:v>
      </x:c>
      <x:c r="D178" s="206" t="str">
        <x:v>T-195</x:v>
      </x:c>
      <x:c r="E178" s="206" t="str">
        <x:f>IF(INDEX(Backlog!$D$2:$D$180,MATCH($D178,Backlog!$A$2:$A$180,0))="","",INDEX(Backlog!$D$2:$D$180,MATCH($D178,Backlog!$A$2:$A$180,0)))</x:f>
        <x:v>Canonical readiness thresholds, governed change history and fail-closed readiness API</x:v>
      </x:c>
      <x:c r="F178" s="206" t="str">
        <x:f>IF(INDEX(Backlog!$K$2:$K$180,MATCH($D178,Backlog!$A$2:$A$180,0))="","",INDEX(Backlog!$K$2:$K$180,MATCH($D178,Backlog!$A$2:$A$180,0)))</x:f>
        <x:v>Not Started</x:v>
      </x:c>
      <x:c r="G178" s="206" t="n">
        <x:f>IF(ISNUMBER(INDEX(Backlog!$J$2:$J$180,MATCH($D178,Backlog!$A$2:$A$180,0))),INDEX(Backlog!$J$2:$J$180,MATCH($D178,Backlog!$A$2:$A$180,0)),"")</x:f>
        <x:v>10</x:v>
      </x:c>
      <x:c r="H178" s="206" t="n">
        <x:f>IF(ISNUMBER(INDEX(Backlog!$R$2:$R$180,MATCH($D178,Backlog!$A$2:$A$180,0))),INDEX(Backlog!$R$2:$R$180,MATCH($D178,Backlog!$A$2:$A$180,0)),"")</x:f>
        <x:v>1.5</x:v>
      </x:c>
      <x:c r="I178" s="206" t="str">
        <x:f>IF(INDEX(Backlog!$M$2:$M$180,MATCH($D178,Backlog!$A$2:$A$180,0))="","",INDEX(Backlog!$M$2:$M$180,MATCH($D178,Backlog!$A$2:$A$180,0)))</x:f>
        <x:v>T-090; T-112; T-114</x:v>
      </x:c>
      <x:c r="J178" s="206" t="str">
        <x:f>IF(INDEX(Backlog!$T$2:$T$180,MATCH($D178,Backlog!$A$2:$A$180,0))="","",INDEX(Backlog!$T$2:$T$180,MATCH($D178,Backlog!$A$2:$A$180,0)))</x:f>
        <x:v>T-090 + T-112 + T-114</x:v>
      </x:c>
      <x:c r="K178" s="206" t="str">
        <x:f>IF(INDEX(Backlog!$U$2:$U$180,MATCH($D178,Backlog!$A$2:$A$180,0))="","",INDEX(Backlog!$U$2:$U$180,MATCH($D178,Backlog!$A$2:$A$180,0)))</x:f>
        <x:v>Own intelligence/ML/Assistant and named intelligence surfaces. W1/W2 forbidden after hand-off.</x:v>
      </x:c>
      <x:c r="L178" s="206" t="str">
        <x:f>IF(INDEX(Backlog!$V$2:$V$180,MATCH($D178,Backlog!$A$2:$A$180,0))="","",INDEX(Backlog!$V$2:$V$180,MATCH($D178,Backlog!$A$2:$A$180,0)))</x:f>
        <x:v>Commit before downstream consumer starts; consumer must use the contract, not redesign producer-owned semantics.</x:v>
      </x:c>
      <x:c r="M178" s="194" t="str">
        <x:f>IF(INDEX(Backlog!$AO$2:$AO$180,MATCH($D178,Backlog!$A$2:$A$180,0))="","",INDEX(Backlog!$AO$2:$AO$180,MATCH($D178,Backlog!$A$2:$A$180,0)))</x:f>
        <x:v>Not started — no completion claimed</x:v>
      </x:c>
      <x:c r="N178" s="194" t="str">
        <x:f>IF(INDEX(Backlog!$AN$2:$AN$180,MATCH($D178,Backlog!$A$2:$A$180,0))="","",INDEX(Backlog!$AN$2:$AN$180,MATCH($D178,Backlog!$A$2:$A$180,0)))</x:f>
      </x:c>
    </x:row>
    <x:row r="179">
      <x:c r="A179" t="str">
        <x:f>IF(INDEX(Backlog!$L$2:$L$180,MATCH($D179,Backlog!$A$2:$A$180,0))="","",INDEX(Backlog!$L$2:$L$180,MATCH($D179,Backlog!$A$2:$A$180,0)))</x:f>
        <x:v>Worker 3</x:v>
      </x:c>
      <x:c r="B179" t="str">
        <x:f>IF(INDEX(Backlog!$B$2:$B$180,MATCH($D179,Backlog!$A$2:$A$180,0))="","",INDEX(Backlog!$B$2:$B$180,MATCH($D179,Backlog!$A$2:$A$180,0)))</x:f>
        <x:v>M3</x:v>
      </x:c>
      <x:c r="C179" t="str">
        <x:f>IF(INDEX(Backlog!$C$2:$C$180,MATCH($D179,Backlog!$A$2:$A$180,0))="","",INDEX(Backlog!$C$2:$C$180,MATCH($D179,Backlog!$A$2:$A$180,0)))</x:f>
        <x:v>P4</x:v>
      </x:c>
      <x:c r="D179" t="str">
        <x:v>T-238</x:v>
      </x:c>
      <x:c r="E179" t="str">
        <x:f>IF(INDEX(Backlog!$D$2:$D$180,MATCH($D179,Backlog!$A$2:$A$180,0))="","",INDEX(Backlog!$D$2:$D$180,MATCH($D179,Backlog!$A$2:$A$180,0)))</x:f>
        <x:v>Multi-objective Objective Set and Pareto practice kernel</x:v>
      </x:c>
      <x:c r="F179" t="str">
        <x:f>IF(INDEX(Backlog!$K$2:$K$180,MATCH($D179,Backlog!$A$2:$A$180,0))="","",INDEX(Backlog!$K$2:$K$180,MATCH($D179,Backlog!$A$2:$A$180,0)))</x:f>
        <x:v>Not Started</x:v>
      </x:c>
      <x:c r="G179" t="n">
        <x:f>IF(ISNUMBER(INDEX(Backlog!$J$2:$J$180,MATCH($D179,Backlog!$A$2:$A$180,0))),INDEX(Backlog!$J$2:$J$180,MATCH($D179,Backlog!$A$2:$A$180,0)),"")</x:f>
        <x:v>12</x:v>
      </x:c>
      <x:c r="H179" t="n">
        <x:f>IF(ISNUMBER(INDEX(Backlog!$R$2:$R$180,MATCH($D179,Backlog!$A$2:$A$180,0))),INDEX(Backlog!$R$2:$R$180,MATCH($D179,Backlog!$A$2:$A$180,0)),"")</x:f>
        <x:v>3.2</x:v>
      </x:c>
      <x:c r="I179" t="str">
        <x:f>IF(INDEX(Backlog!$M$2:$M$180,MATCH($D179,Backlog!$A$2:$A$180,0))="","",INDEX(Backlog!$M$2:$M$180,MATCH($D179,Backlog!$A$2:$A$180,0)))</x:f>
        <x:v>T-208; T-214</x:v>
      </x:c>
      <x:c r="J179" t="str">
        <x:f>IF(INDEX(Backlog!$T$2:$T$180,MATCH($D179,Backlog!$A$2:$A$180,0))="","",INDEX(Backlog!$T$2:$T$180,MATCH($D179,Backlog!$A$2:$A$180,0)))</x:f>
        <x:v>May start after T-214 contract; does not block September demo.</x:v>
      </x:c>
      <x:c r="K179" t="str">
        <x:f>IF(INDEX(Backlog!$U$2:$U$180,MATCH($D179,Backlog!$A$2:$A$180,0))="","",INDEX(Backlog!$U$2:$U$180,MATCH($D179,Backlog!$A$2:$A$180,0)))</x:f>
        <x:v>New objective/Pareto kernel/tests only.</x:v>
      </x:c>
      <x:c r="L179" t="str">
        <x:f>IF(INDEX(Backlog!$V$2:$V$180,MATCH($D179,Backlog!$A$2:$A$180,0))="","",INDEX(Backlog!$V$2:$V$180,MATCH($D179,Backlog!$A$2:$A$180,0)))</x:f>
        <x:v>T-239 persists objective authority; T-240 integrates practice family.</x:v>
      </x:c>
      <x:c r="M179" t="str">
        <x:f>IF(INDEX(Backlog!$AO$2:$AO$180,MATCH($D179,Backlog!$A$2:$A$180,0))="","",INDEX(Backlog!$AO$2:$AO$180,MATCH($D179,Backlog!$A$2:$A$180,0)))</x:f>
        <x:v>Not started — no completion claimed</x:v>
      </x:c>
      <x:c r="N179" t="str">
        <x:f>IF(INDEX(Backlog!$AN$2:$AN$180,MATCH($D179,Backlog!$A$2:$A$180,0))="","",INDEX(Backlog!$AN$2:$AN$180,MATCH($D179,Backlog!$A$2:$A$180,0)))</x:f>
      </x:c>
    </x:row>
    <x:row r="180">
      <x:c r="A180" t="str">
        <x:f>IF(INDEX(Backlog!$L$2:$L$180,MATCH($D180,Backlog!$A$2:$A$180,0))="","",INDEX(Backlog!$L$2:$L$180,MATCH($D180,Backlog!$A$2:$A$180,0)))</x:f>
        <x:v>Worker 3</x:v>
      </x:c>
      <x:c r="B180" t="str">
        <x:f>IF(INDEX(Backlog!$B$2:$B$180,MATCH($D180,Backlog!$A$2:$A$180,0))="","",INDEX(Backlog!$B$2:$B$180,MATCH($D180,Backlog!$A$2:$A$180,0)))</x:f>
        <x:v>M3</x:v>
      </x:c>
      <x:c r="C180" t="str">
        <x:f>IF(INDEX(Backlog!$C$2:$C$180,MATCH($D180,Backlog!$A$2:$A$180,0))="","",INDEX(Backlog!$C$2:$C$180,MATCH($D180,Backlog!$A$2:$A$180,0)))</x:f>
        <x:v>P4</x:v>
      </x:c>
      <x:c r="D180" t="str">
        <x:v>T-240</x:v>
      </x:c>
      <x:c r="E180" t="str">
        <x:f>IF(INDEX(Backlog!$D$2:$D$180,MATCH($D180,Backlog!$A$2:$A$180,0))="","",INDEX(Backlog!$D$2:$D$180,MATCH($D180,Backlog!$A$2:$A$180,0)))</x:f>
        <x:v>Composite practice results, trade-off explanation and Assistant tool integration</x:v>
      </x:c>
      <x:c r="F180" t="str">
        <x:f>IF(INDEX(Backlog!$K$2:$K$180,MATCH($D180,Backlog!$A$2:$A$180,0))="","",INDEX(Backlog!$K$2:$K$180,MATCH($D180,Backlog!$A$2:$A$180,0)))</x:f>
        <x:v>Not Started</x:v>
      </x:c>
      <x:c r="G180" t="n">
        <x:f>IF(ISNUMBER(INDEX(Backlog!$J$2:$J$180,MATCH($D180,Backlog!$A$2:$A$180,0))),INDEX(Backlog!$J$2:$J$180,MATCH($D180,Backlog!$A$2:$A$180,0)),"")</x:f>
        <x:v>12</x:v>
      </x:c>
      <x:c r="H180" t="n">
        <x:f>IF(ISNUMBER(INDEX(Backlog!$R$2:$R$180,MATCH($D180,Backlog!$A$2:$A$180,0))),INDEX(Backlog!$R$2:$R$180,MATCH($D180,Backlog!$A$2:$A$180,0)),"")</x:f>
        <x:v>5.1</x:v>
      </x:c>
      <x:c r="I180" t="str">
        <x:f>IF(INDEX(Backlog!$M$2:$M$180,MATCH($D180,Backlog!$A$2:$A$180,0))="","",INDEX(Backlog!$M$2:$M$180,MATCH($D180,Backlog!$A$2:$A$180,0)))</x:f>
        <x:v>T-131; T-132; T-133; T-238; T-239</x:v>
      </x:c>
      <x:c r="J180" t="str">
        <x:f>IF(INDEX(Backlog!$T$2:$T$180,MATCH($D180,Backlog!$A$2:$A$180,0))="","",INDEX(Backlog!$T$2:$T$180,MATCH($D180,Backlog!$A$2:$A$180,0)))</x:f>
        <x:v>After practice core + objective persistence.</x:v>
      </x:c>
      <x:c r="K180" t="str">
        <x:f>IF(INDEX(Backlog!$U$2:$U$180,MATCH($D180,Backlog!$A$2:$A$180,0))="","",INDEX(Backlog!$U$2:$U$180,MATCH($D180,Backlog!$A$2:$A$180,0)))</x:f>
        <x:v>Practice intelligence/Assistant tool only.</x:v>
      </x:c>
      <x:c r="L180" t="str">
        <x:f>IF(INDEX(Backlog!$V$2:$V$180,MATCH($D180,Backlog!$A$2:$A$180,0))="","",INDEX(Backlog!$V$2:$V$180,MATCH($D180,Backlog!$A$2:$A$180,0)))</x:f>
        <x:v>T-138 may expose this tool after completion; no Assistant redesign.</x:v>
      </x:c>
      <x:c r="M180" t="str">
        <x:f>IF(INDEX(Backlog!$AO$2:$AO$180,MATCH($D180,Backlog!$A$2:$A$180,0))="","",INDEX(Backlog!$AO$2:$AO$180,MATCH($D180,Backlog!$A$2:$A$180,0)))</x:f>
        <x:v>Not started — no completion claimed</x:v>
      </x:c>
      <x:c r="N180" t="str">
        <x:f>IF(INDEX(Backlog!$AN$2:$AN$180,MATCH($D180,Backlog!$A$2:$A$180,0))="","",INDEX(Backlog!$AN$2:$AN$180,MATCH($D180,Backlog!$A$2:$A$180,0)))</x:f>
      </x:c>
    </x:row>
    <x:row r="181">
      <x:c r="A181" t="str">
        <x:f>IF(INDEX(Backlog!$L$2:$L$180,MATCH($D181,Backlog!$A$2:$A$180,0))="","",INDEX(Backlog!$L$2:$L$180,MATCH($D181,Backlog!$A$2:$A$180,0)))</x:f>
        <x:v>Worker 3</x:v>
      </x:c>
      <x:c r="B181" t="str">
        <x:f>IF(INDEX(Backlog!$B$2:$B$180,MATCH($D181,Backlog!$A$2:$A$180,0))="","",INDEX(Backlog!$B$2:$B$180,MATCH($D181,Backlog!$A$2:$A$180,0)))</x:f>
        <x:v>M3</x:v>
      </x:c>
      <x:c r="C181" t="str">
        <x:f>IF(INDEX(Backlog!$C$2:$C$180,MATCH($D181,Backlog!$A$2:$A$180,0))="","",INDEX(Backlog!$C$2:$C$180,MATCH($D181,Backlog!$A$2:$A$180,0)))</x:f>
        <x:v>P4</x:v>
      </x:c>
      <x:c r="D181" t="str">
        <x:v>T-264</x:v>
      </x:c>
      <x:c r="E181" t="str">
        <x:f>IF(INDEX(Backlog!$D$2:$D$180,MATCH($D181,Backlog!$A$2:$A$180,0))="","",INDEX(Backlog!$D$2:$D$180,MATCH($D181,Backlog!$A$2:$A$180,0)))</x:f>
        <x:v>Registry-driven internal benchmarking</x:v>
      </x:c>
      <x:c r="F181" t="str">
        <x:f>IF(INDEX(Backlog!$K$2:$K$180,MATCH($D181,Backlog!$A$2:$A$180,0))="","",INDEX(Backlog!$K$2:$K$180,MATCH($D181,Backlog!$A$2:$A$180,0)))</x:f>
        <x:v>Not Started</x:v>
      </x:c>
      <x:c r="G181" t="str">
        <x:f>IF(ISNUMBER(INDEX(Backlog!$J$2:$J$180,MATCH($D181,Backlog!$A$2:$A$180,0))),INDEX(Backlog!$J$2:$J$180,MATCH($D181,Backlog!$A$2:$A$180,0)),"")</x:f>
      </x:c>
      <x:c r="H181" t="str">
        <x:f>IF(ISNUMBER(INDEX(Backlog!$R$2:$R$180,MATCH($D181,Backlog!$A$2:$A$180,0))),INDEX(Backlog!$R$2:$R$180,MATCH($D181,Backlog!$A$2:$A$180,0)),"")</x:f>
      </x:c>
      <x:c r="I181" t="str">
        <x:f>IF(INDEX(Backlog!$M$2:$M$180,MATCH($D181,Backlog!$A$2:$A$180,0))="","",INDEX(Backlog!$M$2:$M$180,MATCH($D181,Backlog!$A$2:$A$180,0)))</x:f>
        <x:v>T-214; T-240</x:v>
      </x:c>
      <x:c r="J181" t="str">
        <x:f>IF(INDEX(Backlog!$T$2:$T$180,MATCH($D181,Backlog!$A$2:$A$180,0))="","",INDEX(Backlog!$T$2:$T$180,MATCH($D181,Backlog!$A$2:$A$180,0)))</x:f>
        <x:v>Consume accepted producer contracts; remaining dependencies: T-214; T-240. No private scheduler/definition authority. Source-present is not closure proof.</x:v>
      </x:c>
      <x:c r="K181" t="str">
        <x:f>IF(INDEX(Backlog!$U$2:$U$180,MATCH($D181,Backlog!$A$2:$A$180,0))="","",INDEX(Backlog!$U$2:$U$180,MATCH($D181,Backlog!$A$2:$A$180,0)))</x:f>
        <x:v>Semantic product filenames only. CENTRAL assigns shared file locks before overlapping worker writes.</x:v>
      </x:c>
      <x:c r="L181" t="str">
        <x:f>IF(INDEX(Backlog!$V$2:$V$180,MATCH($D181,Backlog!$A$2:$A$180,0))="","",INDEX(Backlog!$V$2:$V$180,MATCH($D181,Backlog!$A$2:$A$180,0)))</x:f>
        <x:v>Reuse current canonical authorities; no shadow lifecycle/registry/scheduler.</x:v>
      </x:c>
      <x:c r="M181" t="str">
        <x:f>IF(INDEX(Backlog!$AO$2:$AO$180,MATCH($D181,Backlog!$A$2:$A$180,0))="","",INDEX(Backlog!$AO$2:$AO$180,MATCH($D181,Backlog!$A$2:$A$180,0)))</x:f>
        <x:v>Not started — no completion claimed</x:v>
      </x:c>
      <x:c r="N181" t="str">
        <x:f>IF(INDEX(Backlog!$AN$2:$AN$180,MATCH($D181,Backlog!$A$2:$A$180,0))="","",INDEX(Backlog!$AN$2:$AN$180,MATCH($D181,Backlog!$A$2:$A$180,0)))</x:f>
      </x:c>
    </x:row>
    <x:row r="182">
      <x:c r="A182"/>
      <x:c r="B182"/>
      <x:c r="C182"/>
      <x:c r="D182"/>
      <x:c r="E182"/>
      <x:c r="F182"/>
      <x:c r="G182"/>
      <x:c r="H182"/>
      <x:c r="I182"/>
      <x:c r="J182"/>
      <x:c r="K182"/>
      <x:c r="L182"/>
    </x:row>
    <x:row r="183">
      <x:c r="A183"/>
      <x:c r="B183"/>
      <x:c r="C183"/>
      <x:c r="D183"/>
      <x:c r="E183"/>
      <x:c r="F183"/>
      <x:c r="G183"/>
      <x:c r="H183"/>
      <x:c r="I183"/>
      <x:c r="J183"/>
      <x:c r="K183"/>
      <x:c r="L183"/>
    </x:row>
    <x:row r="184">
      <x:c r="A184"/>
      <x:c r="B184"/>
      <x:c r="C184"/>
      <x:c r="D184"/>
      <x:c r="E184"/>
      <x:c r="F184"/>
      <x:c r="G184"/>
      <x:c r="H184"/>
      <x:c r="I184"/>
      <x:c r="J184"/>
      <x:c r="K184"/>
      <x:c r="L184"/>
    </x:row>
    <x:row r="185">
      <x:c r="A185"/>
      <x:c r="B185"/>
      <x:c r="C185"/>
      <x:c r="D185"/>
      <x:c r="E185"/>
      <x:c r="F185"/>
      <x:c r="G185"/>
      <x:c r="H185"/>
      <x:c r="I185"/>
      <x:c r="J185"/>
      <x:c r="K185"/>
      <x:c r="L185"/>
    </x:row>
    <x:row r="186">
      <x:c r="A186"/>
      <x:c r="B186"/>
      <x:c r="C186"/>
      <x:c r="D186"/>
      <x:c r="E186"/>
      <x:c r="F186"/>
      <x:c r="G186"/>
      <x:c r="H186"/>
      <x:c r="I186"/>
      <x:c r="J186"/>
      <x:c r="K186"/>
      <x:c r="L186"/>
    </x:row>
    <x:row r="187">
      <x:c r="A187"/>
      <x:c r="B187"/>
      <x:c r="C187"/>
      <x:c r="D187"/>
      <x:c r="E187"/>
      <x:c r="F187"/>
      <x:c r="G187"/>
      <x:c r="H187"/>
      <x:c r="I187"/>
      <x:c r="J187"/>
      <x:c r="K187"/>
      <x:c r="L187"/>
    </x:row>
    <x:row r="188">
      <x:c r="A188"/>
      <x:c r="B188"/>
      <x:c r="C188"/>
      <x:c r="D188"/>
      <x:c r="E188"/>
      <x:c r="F188"/>
      <x:c r="G188"/>
      <x:c r="H188"/>
      <x:c r="I188"/>
      <x:c r="J188"/>
      <x:c r="K188"/>
      <x:c r="L188"/>
    </x:row>
    <x:row r="189">
      <x:c r="A189"/>
      <x:c r="B189"/>
      <x:c r="C189"/>
      <x:c r="D189"/>
      <x:c r="E189"/>
      <x:c r="F189"/>
      <x:c r="G189"/>
      <x:c r="H189"/>
      <x:c r="I189"/>
      <x:c r="J189"/>
      <x:c r="K189"/>
      <x:c r="L189"/>
    </x:row>
    <x:row r="190">
      <x:c r="A190"/>
      <x:c r="B190"/>
      <x:c r="C190"/>
      <x:c r="D190"/>
      <x:c r="E190"/>
      <x:c r="F190"/>
      <x:c r="G190"/>
      <x:c r="H190"/>
      <x:c r="I190"/>
      <x:c r="J190"/>
      <x:c r="K190"/>
      <x:c r="L190"/>
    </x:row>
  </x:sheetData>
  <x:mergeCells>
    <x:mergeCell ref="A1:L1"/>
  </x:mergeCells>
  <x:pageMargins left="0.7" right="0.7" top="0.75" bottom="0.75" header="0.3" footer="0.3"/>
  <x:tableParts count="1">
    <x:tablePart xmlns:r="http://schemas.openxmlformats.org/officeDocument/2006/relationships" r:id="R4b82758fa4ed4e2f"/>
  </x:tableParts>
</x:worksheet>
</file>

<file path=xl/worksheets/sheet5.xml><?xml version="1.0" encoding="utf-8"?>
<x:worksheet xmlns:x="http://schemas.openxmlformats.org/spreadsheetml/2006/main">
  <x:sheetFormatPr defaultRowHeight="14.25"/>
  <x:cols>
    <x:col min="1" max="1" width="25" customWidth="1"/>
    <x:col min="2" max="2" width="30" customWidth="1"/>
    <x:col min="3" max="4" width="24" customWidth="1"/>
    <x:col min="5" max="5" width="28" customWidth="1"/>
    <x:col min="6" max="7" width="52" customWidth="1"/>
    <x:col min="8" max="8" width="26" customWidth="1"/>
    <x:col min="9" max="9" width="14" customWidth="1"/>
    <x:col min="10" max="10" width="42" customWidth="1"/>
  </x:cols>
  <x:sheetData>
    <x:row r="1" ht="20.25">
      <x:c r="A1" s="29" t="str">
        <x:v>Requirement Traceability — v2.22.1 | mapping from current Backlog; unchanged Design v4.10.3</x:v>
      </x:c>
      <x:c r="B1" s="29"/>
      <x:c r="C1" s="29"/>
      <x:c r="D1" s="29"/>
      <x:c r="E1" s="29"/>
      <x:c r="F1" s="29"/>
      <x:c r="G1" s="29"/>
      <x:c r="H1" s="29"/>
      <x:c r="I1" s="29"/>
      <x:c r="J1" s="29"/>
    </x:row>
    <x:row r="2">
      <x:c r="A2" s="2"/>
      <x:c r="B2" s="2"/>
      <x:c r="C2" s="2"/>
      <x:c r="D2" s="2"/>
      <x:c r="E2" s="2"/>
      <x:c r="F2" s="2"/>
      <x:c r="G2" s="2"/>
      <x:c r="H2" s="2"/>
      <x:c r="I2" s="2"/>
      <x:c r="J2" s="2"/>
    </x:row>
    <x:row r="3" ht="15">
      <x:c r="A3" s="1" t="s">
        <x:v>0</x:v>
      </x:c>
      <x:c r="B3" s="1" t="s">
        <x:v>1</x:v>
      </x:c>
      <x:c r="C3" s="1" t="s">
        <x:v>2</x:v>
      </x:c>
      <x:c r="D3" s="1" t="s">
        <x:v>3</x:v>
      </x:c>
      <x:c r="E3" s="1" t="s">
        <x:v>4</x:v>
      </x:c>
      <x:c r="F3" s="1" t="s">
        <x:v>5</x:v>
      </x:c>
      <x:c r="G3" s="1" t="s">
        <x:v>6</x:v>
      </x:c>
      <x:c r="H3" s="1" t="s">
        <x:v>7</x:v>
      </x:c>
      <x:c r="I3" s="1" t="s">
        <x:v>8</x:v>
      </x:c>
      <x:c r="J3" s="1" t="s">
        <x:v>9</x:v>
      </x:c>
    </x:row>
    <x:row r="4" ht="43.5">
      <x:c r="A4" s="2" t="s">
        <x:v>10</x:v>
      </x:c>
      <x:c r="B4" s="2" t="s">
        <x:v>11</x:v>
      </x:c>
      <x:c r="C4" s="2" t="s">
        <x:v>12</x:v>
      </x:c>
      <x:c r="D4" s="2" t="s">
        <x:v>13</x:v>
      </x:c>
      <x:c r="E4" s="2" t="s">
        <x:v>14</x:v>
      </x:c>
      <x:c r="F4" s="2" t="s">
        <x:v>15</x:v>
      </x:c>
      <x:c r="G4" s="2" t="s">
        <x:v>16</x:v>
      </x:c>
      <x:c r="H4" s="2" t="s">
        <x:v>17</x:v>
      </x:c>
      <x:c r="I4" s="2" t="s">
        <x:v>18</x:v>
      </x:c>
      <x:c r="J4" s="2" t="s">
        <x:v>19</x:v>
      </x:c>
    </x:row>
    <x:row r="5" ht="43.5">
      <x:c r="A5" s="2" t="s">
        <x:v>20</x:v>
      </x:c>
      <x:c r="B5" s="2" t="s">
        <x:v>21</x:v>
      </x:c>
      <x:c r="C5" s="2" t="s">
        <x:v>22</x:v>
      </x:c>
      <x:c r="D5" s="2" t="s">
        <x:v>23</x:v>
      </x:c>
      <x:c r="E5" s="2" t="s">
        <x:v>24</x:v>
      </x:c>
      <x:c r="F5" s="2" t="s">
        <x:v>25</x:v>
      </x:c>
      <x:c r="G5" s="2" t="s">
        <x:v>26</x:v>
      </x:c>
      <x:c r="H5" s="2" t="s">
        <x:v>17</x:v>
      </x:c>
      <x:c r="I5" s="2" t="s">
        <x:v>18</x:v>
      </x:c>
      <x:c r="J5" s="2" t="s">
        <x:v>27</x:v>
      </x:c>
    </x:row>
    <x:row r="6" ht="43.5">
      <x:c r="A6" s="2" t="s">
        <x:v>28</x:v>
      </x:c>
      <x:c r="B6" s="2" t="s">
        <x:v>29</x:v>
      </x:c>
      <x:c r="C6" s="2" t="s">
        <x:v>30</x:v>
      </x:c>
      <x:c r="D6" s="2" t="s">
        <x:v>31</x:v>
      </x:c>
      <x:c r="E6" s="2" t="s">
        <x:v>32</x:v>
      </x:c>
      <x:c r="F6" s="2" t="s">
        <x:v>33</x:v>
      </x:c>
      <x:c r="G6" s="2" t="s">
        <x:v>34</x:v>
      </x:c>
      <x:c r="H6" s="2" t="s">
        <x:v>17</x:v>
      </x:c>
      <x:c r="I6" s="2" t="s">
        <x:v>18</x:v>
      </x:c>
      <x:c r="J6" s="2" t="s">
        <x:v>35</x:v>
      </x:c>
    </x:row>
    <x:row r="7" ht="57.75">
      <x:c r="A7" s="2" t="s">
        <x:v>36</x:v>
      </x:c>
      <x:c r="B7" s="2" t="s">
        <x:v>37</x:v>
      </x:c>
      <x:c r="C7" s="2" t="s">
        <x:v>38</x:v>
      </x:c>
      <x:c r="D7" s="2" t="s">
        <x:v>39</x:v>
      </x:c>
      <x:c r="E7" s="2" t="s">
        <x:v>40</x:v>
      </x:c>
      <x:c r="F7" s="2" t="s">
        <x:v>41</x:v>
      </x:c>
      <x:c r="G7" s="2" t="s">
        <x:v>42</x:v>
      </x:c>
      <x:c r="H7" s="2" t="s">
        <x:v>43</x:v>
      </x:c>
      <x:c r="I7" s="2" t="s">
        <x:v>18</x:v>
      </x:c>
      <x:c r="J7" s="2" t="s">
        <x:v>44</x:v>
      </x:c>
    </x:row>
    <x:row r="8" ht="29.25">
      <x:c r="A8" s="2" t="s">
        <x:v>45</x:v>
      </x:c>
      <x:c r="B8" s="2" t="s">
        <x:v>46</x:v>
      </x:c>
      <x:c r="C8" s="2" t="s">
        <x:v>47</x:v>
      </x:c>
      <x:c r="D8" s="2" t="s">
        <x:v>48</x:v>
      </x:c>
      <x:c r="E8" s="2" t="s">
        <x:v>49</x:v>
      </x:c>
      <x:c r="F8" s="2" t="s">
        <x:v>50</x:v>
      </x:c>
      <x:c r="G8" s="2" t="s">
        <x:v>51</x:v>
      </x:c>
      <x:c r="H8" s="2" t="s">
        <x:v>52</x:v>
      </x:c>
      <x:c r="I8" s="2" t="s">
        <x:v>18</x:v>
      </x:c>
      <x:c r="J8" s="2" t="s">
        <x:v>53</x:v>
      </x:c>
    </x:row>
    <x:row r="9" ht="29.25">
      <x:c r="A9" s="2" t="s">
        <x:v>54</x:v>
      </x:c>
      <x:c r="B9" s="2" t="s">
        <x:v>55</x:v>
      </x:c>
      <x:c r="C9" s="2" t="s">
        <x:v>56</x:v>
      </x:c>
      <x:c r="D9" s="2" t="s">
        <x:v>57</x:v>
      </x:c>
      <x:c r="E9" s="2" t="s">
        <x:v>58</x:v>
      </x:c>
      <x:c r="F9" s="2" t="s">
        <x:v>59</x:v>
      </x:c>
      <x:c r="G9" s="2" t="s">
        <x:v>60</x:v>
      </x:c>
      <x:c r="H9" s="2" t="s">
        <x:v>61</x:v>
      </x:c>
      <x:c r="I9" s="2" t="s">
        <x:v>18</x:v>
      </x:c>
      <x:c r="J9" s="2" t="s">
        <x:v>62</x:v>
      </x:c>
    </x:row>
    <x:row r="10" ht="29.25">
      <x:c r="A10" s="2" t="s">
        <x:v>63</x:v>
      </x:c>
      <x:c r="B10" s="2" t="s">
        <x:v>64</x:v>
      </x:c>
      <x:c r="C10" s="2" t="s">
        <x:v>65</x:v>
      </x:c>
      <x:c r="D10" s="2" t="s">
        <x:v>66</x:v>
      </x:c>
      <x:c r="E10" s="2" t="s">
        <x:v>67</x:v>
      </x:c>
      <x:c r="F10" s="2" t="s">
        <x:v>68</x:v>
      </x:c>
      <x:c r="G10" s="2" t="s">
        <x:v>69</x:v>
      </x:c>
      <x:c r="H10" s="2" t="s">
        <x:v>61</x:v>
      </x:c>
      <x:c r="I10" s="2" t="s">
        <x:v>18</x:v>
      </x:c>
      <x:c r="J10" s="2" t="s">
        <x:v>70</x:v>
      </x:c>
    </x:row>
    <x:row r="11" ht="29.25">
      <x:c r="A11" s="2" t="s">
        <x:v>71</x:v>
      </x:c>
      <x:c r="B11" s="2" t="s">
        <x:v>72</x:v>
      </x:c>
      <x:c r="C11" s="2" t="s">
        <x:v>73</x:v>
      </x:c>
      <x:c r="D11" s="2" t="s">
        <x:v>74</x:v>
      </x:c>
      <x:c r="E11" s="2" t="s">
        <x:v>75</x:v>
      </x:c>
      <x:c r="F11" s="2" t="s">
        <x:v>76</x:v>
      </x:c>
      <x:c r="G11" s="2" t="s">
        <x:v>77</x:v>
      </x:c>
      <x:c r="H11" s="2" t="s">
        <x:v>78</x:v>
      </x:c>
      <x:c r="I11" s="2" t="s">
        <x:v>18</x:v>
      </x:c>
      <x:c r="J11" s="2" t="s">
        <x:v>79</x:v>
      </x:c>
    </x:row>
    <x:row r="12" ht="29.25">
      <x:c r="A12" s="2" t="s">
        <x:v>80</x:v>
      </x:c>
      <x:c r="B12" s="2" t="s">
        <x:v>81</x:v>
      </x:c>
      <x:c r="C12" s="2" t="s">
        <x:v>82</x:v>
      </x:c>
      <x:c r="D12" s="2" t="s">
        <x:v>83</x:v>
      </x:c>
      <x:c r="E12" s="2" t="s">
        <x:v>84</x:v>
      </x:c>
      <x:c r="F12" s="2" t="s">
        <x:v>85</x:v>
      </x:c>
      <x:c r="G12" s="2" t="s">
        <x:v>86</x:v>
      </x:c>
      <x:c r="H12" s="2" t="s">
        <x:v>87</x:v>
      </x:c>
      <x:c r="I12" s="2" t="s">
        <x:v>18</x:v>
      </x:c>
      <x:c r="J12" s="2" t="s">
        <x:v>88</x:v>
      </x:c>
    </x:row>
    <x:row r="13" ht="29.25">
      <x:c r="A13" s="2" t="s">
        <x:v>89</x:v>
      </x:c>
      <x:c r="B13" s="2" t="s">
        <x:v>90</x:v>
      </x:c>
      <x:c r="C13" s="2" t="s">
        <x:v>91</x:v>
      </x:c>
      <x:c r="D13" s="2" t="s">
        <x:v>92</x:v>
      </x:c>
      <x:c r="E13" s="2" t="s">
        <x:v>93</x:v>
      </x:c>
      <x:c r="F13" s="2" t="s">
        <x:v>94</x:v>
      </x:c>
      <x:c r="G13" s="2" t="s">
        <x:v>95</x:v>
      </x:c>
      <x:c r="H13" s="2" t="s">
        <x:v>61</x:v>
      </x:c>
      <x:c r="I13" s="2" t="s">
        <x:v>18</x:v>
      </x:c>
      <x:c r="J13" s="2" t="s">
        <x:v>96</x:v>
      </x:c>
    </x:row>
    <x:row r="14" ht="43.5">
      <x:c r="A14" s="2" t="s">
        <x:v>97</x:v>
      </x:c>
      <x:c r="B14" s="2" t="s">
        <x:v>98</x:v>
      </x:c>
      <x:c r="C14" s="2" t="s">
        <x:v>99</x:v>
      </x:c>
      <x:c r="D14" s="2" t="s">
        <x:v>100</x:v>
      </x:c>
      <x:c r="E14" s="2" t="s">
        <x:v>101</x:v>
      </x:c>
      <x:c r="F14" s="2" t="s">
        <x:v>102</x:v>
      </x:c>
      <x:c r="G14" s="2" t="s">
        <x:v>103</x:v>
      </x:c>
      <x:c r="H14" s="2" t="s">
        <x:v>104</x:v>
      </x:c>
      <x:c r="I14" s="2" t="s">
        <x:v>18</x:v>
      </x:c>
      <x:c r="J14" s="2" t="s">
        <x:v>105</x:v>
      </x:c>
    </x:row>
    <x:row r="15" ht="29.25">
      <x:c r="A15" s="2" t="s">
        <x:v>106</x:v>
      </x:c>
      <x:c r="B15" s="2" t="s">
        <x:v>107</x:v>
      </x:c>
      <x:c r="C15" s="2" t="s">
        <x:v>108</x:v>
      </x:c>
      <x:c r="D15" s="2" t="s">
        <x:v>109</x:v>
      </x:c>
      <x:c r="E15" s="2" t="s">
        <x:v>110</x:v>
      </x:c>
      <x:c r="F15" s="2" t="s">
        <x:v>111</x:v>
      </x:c>
      <x:c r="G15" s="2" t="s">
        <x:v>112</x:v>
      </x:c>
      <x:c r="H15" s="2" t="s">
        <x:v>113</x:v>
      </x:c>
      <x:c r="I15" s="2" t="s">
        <x:v>18</x:v>
      </x:c>
      <x:c r="J15" s="2" t="s">
        <x:v>114</x:v>
      </x:c>
    </x:row>
    <x:row r="16" ht="57">
      <x:c r="A16" s="2" t="s">
        <x:v>115</x:v>
      </x:c>
      <x:c r="B16" s="2" t="s">
        <x:v>116</x:v>
      </x:c>
      <x:c r="C16" s="2" t="s">
        <x:v>117</x:v>
      </x:c>
      <x:c r="D16" s="2" t="s">
        <x:v>118</x:v>
      </x:c>
      <x:c r="E16" s="2" t="s">
        <x:v>119</x:v>
      </x:c>
      <x:c r="F16" s="2" t="s">
        <x:v>120</x:v>
      </x:c>
      <x:c r="G16" s="2" t="s">
        <x:v>121</x:v>
      </x:c>
      <x:c r="H16" s="2" t="s">
        <x:v>122</x:v>
      </x:c>
      <x:c r="I16" s="2" t="s">
        <x:v>18</x:v>
      </x:c>
      <x:c r="J16" s="2" t="s">
        <x:v>123</x:v>
      </x:c>
    </x:row>
    <x:row r="17" ht="42.75">
      <x:c r="A17" s="2" t="s">
        <x:v>124</x:v>
      </x:c>
      <x:c r="B17" s="2" t="s">
        <x:v>125</x:v>
      </x:c>
      <x:c r="C17" s="2" t="s">
        <x:v>126</x:v>
      </x:c>
      <x:c r="D17" s="2" t="s">
        <x:v>127</x:v>
      </x:c>
      <x:c r="E17" s="2" t="s">
        <x:v>128</x:v>
      </x:c>
      <x:c r="F17" s="2" t="s">
        <x:v>129</x:v>
      </x:c>
      <x:c r="G17" s="2" t="s">
        <x:v>130</x:v>
      </x:c>
      <x:c r="H17" s="2" t="s">
        <x:v>131</x:v>
      </x:c>
      <x:c r="I17" s="2" t="s">
        <x:v>18</x:v>
      </x:c>
      <x:c r="J17" s="2" t="s">
        <x:v>132</x:v>
      </x:c>
    </x:row>
  </x:sheetData>
  <x:mergeCells>
    <x:mergeCell ref="A1:J1"/>
  </x:mergeCells>
  <x:conditionalFormatting sqref="I4:I15">
    <x:cfRule type="expression" dxfId="8" priority="1">
      <x:formula>I4="MIRRORED"</x:formula>
    </x:cfRule>
  </x:conditionalFormatting>
  <x:pageMargins left="0.7" right="0.7" top="0.75" bottom="0.75" header="0.3" footer="0.3"/>
  <x:tableParts count="1">
    <x:tablePart xmlns:r="http://schemas.openxmlformats.org/officeDocument/2006/relationships" r:id="Ra12f4b63336243f5"/>
  </x:tableParts>
</x:worksheet>
</file>

<file path=xl/worksheets/sheet6.xml><?xml version="1.0" encoding="utf-8"?>
<x:worksheet xmlns:x="http://schemas.openxmlformats.org/spreadsheetml/2006/main">
  <x:sheetFormatPr defaultRowHeight="14.25"/>
  <x:cols>
    <x:col min="1" max="1" width="12" hidden="0" customWidth="1"/>
    <x:col min="2" max="3" width="9" customWidth="1"/>
    <x:col min="4" max="4" width="20" hidden="0" customWidth="1"/>
    <x:col min="5" max="5" width="20" hidden="0" customWidth="1"/>
    <x:col min="6" max="6" width="20" hidden="0" customWidth="1"/>
    <x:col min="7" max="8" width="35" customWidth="1"/>
    <x:col min="9" max="9" width="38" hidden="0" customWidth="1"/>
    <x:col min="2" max="2" width="20" hidden="0" customWidth="1"/>
    <x:col min="3" max="3" width="20" hidden="0" customWidth="1"/>
    <x:col min="7" max="7" width="38" hidden="0" customWidth="1"/>
    <x:col min="8" max="8" width="38" hidden="0" customWidth="1"/>
    <x:col min="10" max="10" width="38" hidden="0" customWidth="1"/>
  </x:cols>
  <x:sheetData>
    <x:row r="1" ht="36" customHeight="1">
      <x:c r="A1" s="203" t="str">
        <x:v>Task Id</x:v>
      </x:c>
      <x:c r="B1" s="203" t="str">
        <x:v>Release</x:v>
      </x:c>
      <x:c r="C1" s="203" t="str">
        <x:v>Phase</x:v>
      </x:c>
      <x:c r="D1" s="203" t="str">
        <x:v>Owner</x:v>
      </x:c>
      <x:c r="E1" s="203" t="str">
        <x:v>Status</x:v>
      </x:c>
      <x:c r="F1" s="203" t="str">
        <x:v>AI P80 h</x:v>
      </x:c>
      <x:c r="G1" s="203" t="str">
        <x:v>Depends On</x:v>
      </x:c>
      <x:c r="H1" s="203" t="str">
        <x:v>Must Precede</x:v>
      </x:c>
      <x:c r="I1" s="203" t="str">
        <x:v>Gate</x:v>
      </x:c>
      <x:c r="J1" s="205" t="str">
        <x:v>Contract-ready predecessors</x:v>
      </x:c>
      <x:c r="K1"/>
      <x:c r="L1"/>
    </x:row>
    <x:row r="2" ht="26" customHeight="1">
      <x:c r="A2" s="206" t="str">
        <x:v>T-086</x:v>
      </x:c>
      <x:c r="B2" s="206" t="str">
        <x:f>IF(INDEX(Backlog!$B$2:$B$180,MATCH($A2,Backlog!$A$2:$A$180,0))="","",INDEX(Backlog!$B$2:$B$180,MATCH($A2,Backlog!$A$2:$A$180,0)))</x:f>
        <x:v>M2</x:v>
      </x:c>
      <x:c r="C2" s="206" t="str">
        <x:f>IF(INDEX(Backlog!$C$2:$C$180,MATCH($A2,Backlog!$A$2:$A$180,0))="","",INDEX(Backlog!$C$2:$C$180,MATCH($A2,Backlog!$A$2:$A$180,0)))</x:f>
        <x:v>P1</x:v>
      </x:c>
      <x:c r="D2" s="206" t="str">
        <x:f>IF(INDEX(Backlog!$L$2:$L$180,MATCH($A2,Backlog!$A$2:$A$180,0))="","",INDEX(Backlog!$L$2:$L$180,MATCH($A2,Backlog!$A$2:$A$180,0)))</x:f>
        <x:v>Worker 1</x:v>
      </x:c>
      <x:c r="E2" s="206" t="str">
        <x:f>IF(INDEX(Backlog!$K$2:$K$180,MATCH($A2,Backlog!$A$2:$A$180,0))="","",INDEX(Backlog!$K$2:$K$180,MATCH($A2,Backlog!$A$2:$A$180,0)))</x:f>
        <x:v>Done</x:v>
      </x:c>
      <x:c r="F2" s="206" t="n">
        <x:f>IF(ISNUMBER(INDEX(Backlog!$R$2:$R$180,MATCH($A2,Backlog!$A$2:$A$180,0))),INDEX(Backlog!$R$2:$R$180,MATCH($A2,Backlog!$A$2:$A$180,0)),"")</x:f>
        <x:v>2.72</x:v>
      </x:c>
      <x:c r="G2" s="206" t="str">
        <x:f>IF(INDEX(Backlog!$M$2:$M$180,MATCH($A2,Backlog!$A$2:$A$180,0))="","",INDEX(Backlog!$M$2:$M$180,MATCH($A2,Backlog!$A$2:$A$180,0)))</x:f>
        <x:v>T-201</x:v>
      </x:c>
      <x:c r="H2" s="206" t="str">
        <x:f>IF(INDEX(Backlog!$N$2:$N$180,MATCH($A2,Backlog!$A$2:$A$180,0))="","",INDEX(Backlog!$N$2:$N$180,MATCH($A2,Backlog!$A$2:$A$180,0)))</x:f>
        <x:v>T-087; T-088; T-131</x:v>
      </x:c>
      <x:c r="I2" s="206" t="str">
        <x:f>IF(INDEX(Backlog!$T$2:$T$180,MATCH($A2,Backlog!$A$2:$A$180,0))="","",INDEX(Backlog!$T$2:$T$180,MATCH($A2,Backlog!$A$2:$A$180,0)))</x:f>
        <x:v>WAIT for Presentation RC freeze/tag + clean index/worktree. Then: Release 1 dependency order</x:v>
      </x:c>
      <x:c r="J2" s="194" t="str">
        <x:f>IF(INDEX(Backlog!$AN$2:$AN$180,MATCH($A2,Backlog!$A$2:$A$180,0))="","",INDEX(Backlog!$AN$2:$AN$180,MATCH($A2,Backlog!$A$2:$A$180,0)))</x:f>
      </x:c>
      <x:c r="K2"/>
      <x:c r="L2"/>
    </x:row>
    <x:row r="3" ht="26" customHeight="1">
      <x:c r="A3" s="206" t="str">
        <x:v>T-087</x:v>
      </x:c>
      <x:c r="B3" s="206" t="str">
        <x:f>IF(INDEX(Backlog!$B$2:$B$180,MATCH($A3,Backlog!$A$2:$A$180,0))="","",INDEX(Backlog!$B$2:$B$180,MATCH($A3,Backlog!$A$2:$A$180,0)))</x:f>
        <x:v>M2</x:v>
      </x:c>
      <x:c r="C3" s="206" t="str">
        <x:f>IF(INDEX(Backlog!$C$2:$C$180,MATCH($A3,Backlog!$A$2:$A$180,0))="","",INDEX(Backlog!$C$2:$C$180,MATCH($A3,Backlog!$A$2:$A$180,0)))</x:f>
        <x:v>P1</x:v>
      </x:c>
      <x:c r="D3" s="206" t="str">
        <x:f>IF(INDEX(Backlog!$L$2:$L$180,MATCH($A3,Backlog!$A$2:$A$180,0))="","",INDEX(Backlog!$L$2:$L$180,MATCH($A3,Backlog!$A$2:$A$180,0)))</x:f>
        <x:v>Worker 1</x:v>
      </x:c>
      <x:c r="E3" s="206" t="str">
        <x:f>IF(INDEX(Backlog!$K$2:$K$180,MATCH($A3,Backlog!$A$2:$A$180,0))="","",INDEX(Backlog!$K$2:$K$180,MATCH($A3,Backlog!$A$2:$A$180,0)))</x:f>
        <x:v>Done</x:v>
      </x:c>
      <x:c r="F3" s="206" t="n">
        <x:f>IF(ISNUMBER(INDEX(Backlog!$R$2:$R$180,MATCH($A3,Backlog!$A$2:$A$180,0))),INDEX(Backlog!$R$2:$R$180,MATCH($A3,Backlog!$A$2:$A$180,0)),"")</x:f>
        <x:v>2.325</x:v>
      </x:c>
      <x:c r="G3" s="206" t="str">
        <x:f>IF(INDEX(Backlog!$M$2:$M$180,MATCH($A3,Backlog!$A$2:$A$180,0))="","",INDEX(Backlog!$M$2:$M$180,MATCH($A3,Backlog!$A$2:$A$180,0)))</x:f>
        <x:v>T-086; T-088</x:v>
      </x:c>
      <x:c r="H3" s="206" t="str">
        <x:f>IF(INDEX(Backlog!$N$2:$N$180,MATCH($A3,Backlog!$A$2:$A$180,0))="","",INDEX(Backlog!$N$2:$N$180,MATCH($A3,Backlog!$A$2:$A$180,0)))</x:f>
        <x:v>T-089; T-099; T-102; T-112; T-114; T-128; T-196; T-233; T-251; T-252</x:v>
      </x:c>
      <x:c r="I3" s="206" t="str">
        <x:f>IF(INDEX(Backlog!$T$2:$T$180,MATCH($A3,Backlog!$A$2:$A$180,0))="","",INDEX(Backlog!$T$2:$T$180,MATCH($A3,Backlog!$A$2:$A$180,0)))</x:f>
        <x:v>WAIT for Presentation RC freeze/tag + clean index/worktree. Then: T-086 + T-088 canonical migration order/runner/truth gate established FIRST.</x:v>
      </x:c>
      <x:c r="J3" s="194" t="str">
        <x:f>IF(INDEX(Backlog!$AN$2:$AN$180,MATCH($A3,Backlog!$A$2:$A$180,0))="","",INDEX(Backlog!$AN$2:$AN$180,MATCH($A3,Backlog!$A$2:$A$180,0)))</x:f>
      </x:c>
      <x:c r="K3"/>
      <x:c r="L3"/>
    </x:row>
    <x:row r="4" ht="26" customHeight="1">
      <x:c r="A4" s="206" t="str">
        <x:v>T-088</x:v>
      </x:c>
      <x:c r="B4" s="206" t="str">
        <x:f>IF(INDEX(Backlog!$B$2:$B$180,MATCH($A4,Backlog!$A$2:$A$180,0))="","",INDEX(Backlog!$B$2:$B$180,MATCH($A4,Backlog!$A$2:$A$180,0)))</x:f>
        <x:v>M2</x:v>
      </x:c>
      <x:c r="C4" s="206" t="str">
        <x:f>IF(INDEX(Backlog!$C$2:$C$180,MATCH($A4,Backlog!$A$2:$A$180,0))="","",INDEX(Backlog!$C$2:$C$180,MATCH($A4,Backlog!$A$2:$A$180,0)))</x:f>
        <x:v>P1</x:v>
      </x:c>
      <x:c r="D4" s="206" t="str">
        <x:f>IF(INDEX(Backlog!$L$2:$L$180,MATCH($A4,Backlog!$A$2:$A$180,0))="","",INDEX(Backlog!$L$2:$L$180,MATCH($A4,Backlog!$A$2:$A$180,0)))</x:f>
        <x:v>Worker 1</x:v>
      </x:c>
      <x:c r="E4" s="206" t="str">
        <x:f>IF(INDEX(Backlog!$K$2:$K$180,MATCH($A4,Backlog!$A$2:$A$180,0))="","",INDEX(Backlog!$K$2:$K$180,MATCH($A4,Backlog!$A$2:$A$180,0)))</x:f>
        <x:v>Done</x:v>
      </x:c>
      <x:c r="F4" s="206" t="n">
        <x:f>IF(ISNUMBER(INDEX(Backlog!$R$2:$R$180,MATCH($A4,Backlog!$A$2:$A$180,0))),INDEX(Backlog!$R$2:$R$180,MATCH($A4,Backlog!$A$2:$A$180,0)),"")</x:f>
        <x:v>2.325</x:v>
      </x:c>
      <x:c r="G4" s="206" t="str">
        <x:f>IF(INDEX(Backlog!$M$2:$M$180,MATCH($A4,Backlog!$A$2:$A$180,0))="","",INDEX(Backlog!$M$2:$M$180,MATCH($A4,Backlog!$A$2:$A$180,0)))</x:f>
        <x:v>T-086</x:v>
      </x:c>
      <x:c r="H4" s="206" t="str">
        <x:f>IF(INDEX(Backlog!$N$2:$N$180,MATCH($A4,Backlog!$A$2:$A$180,0))="","",INDEX(Backlog!$N$2:$N$180,MATCH($A4,Backlog!$A$2:$A$180,0)))</x:f>
        <x:v>T-087; T-089; T-112; T-128; T-251; T-252; T-256; T-260</x:v>
      </x:c>
      <x:c r="I4" s="206" t="str">
        <x:f>IF(INDEX(Backlog!$T$2:$T$180,MATCH($A4,Backlog!$A$2:$A$180,0))="","",INDEX(Backlog!$T$2:$T$180,MATCH($A4,Backlog!$A$2:$A$180,0)))</x:f>
        <x:v>WAIT for Presentation RC freeze/tag + clean index/worktree. Then: T-086 frozen M2 reference dataset; define canonical migration order before T-...</x:v>
      </x:c>
      <x:c r="J4" s="194" t="str">
        <x:f>IF(INDEX(Backlog!$AN$2:$AN$180,MATCH($A4,Backlog!$A$2:$A$180,0))="","",INDEX(Backlog!$AN$2:$AN$180,MATCH($A4,Backlog!$A$2:$A$180,0)))</x:f>
      </x:c>
      <x:c r="K4"/>
      <x:c r="L4"/>
    </x:row>
    <x:row r="5" ht="26" customHeight="1">
      <x:c r="A5" s="206" t="str">
        <x:v>T-089</x:v>
      </x:c>
      <x:c r="B5" s="206" t="str">
        <x:f>IF(INDEX(Backlog!$B$2:$B$180,MATCH($A5,Backlog!$A$2:$A$180,0))="","",INDEX(Backlog!$B$2:$B$180,MATCH($A5,Backlog!$A$2:$A$180,0)))</x:f>
        <x:v>M2</x:v>
      </x:c>
      <x:c r="C5" s="206" t="str">
        <x:f>IF(INDEX(Backlog!$C$2:$C$180,MATCH($A5,Backlog!$A$2:$A$180,0))="","",INDEX(Backlog!$C$2:$C$180,MATCH($A5,Backlog!$A$2:$A$180,0)))</x:f>
        <x:v>P1</x:v>
      </x:c>
      <x:c r="D5" s="206" t="str">
        <x:f>IF(INDEX(Backlog!$L$2:$L$180,MATCH($A5,Backlog!$A$2:$A$180,0))="","",INDEX(Backlog!$L$2:$L$180,MATCH($A5,Backlog!$A$2:$A$180,0)))</x:f>
        <x:v>Worker 1</x:v>
      </x:c>
      <x:c r="E5" s="206" t="str">
        <x:f>IF(INDEX(Backlog!$K$2:$K$180,MATCH($A5,Backlog!$A$2:$A$180,0))="","",INDEX(Backlog!$K$2:$K$180,MATCH($A5,Backlog!$A$2:$A$180,0)))</x:f>
        <x:v>Done</x:v>
      </x:c>
      <x:c r="F5" s="206" t="n">
        <x:f>IF(ISNUMBER(INDEX(Backlog!$R$2:$R$180,MATCH($A5,Backlog!$A$2:$A$180,0))),INDEX(Backlog!$R$2:$R$180,MATCH($A5,Backlog!$A$2:$A$180,0)),"")</x:f>
        <x:v>2.325</x:v>
      </x:c>
      <x:c r="G5" s="206" t="str">
        <x:f>IF(INDEX(Backlog!$M$2:$M$180,MATCH($A5,Backlog!$A$2:$A$180,0))="","",INDEX(Backlog!$M$2:$M$180,MATCH($A5,Backlog!$A$2:$A$180,0)))</x:f>
        <x:v>T-087; T-088</x:v>
      </x:c>
      <x:c r="H5" s="206" t="str">
        <x:f>IF(INDEX(Backlog!$N$2:$N$180,MATCH($A5,Backlog!$A$2:$A$180,0))="","",INDEX(Backlog!$N$2:$N$180,MATCH($A5,Backlog!$A$2:$A$180,0)))</x:f>
        <x:v>T-090; T-092; T-095; T-099; T-106; T-114; T-128; T-183; T-243; T-244</x:v>
      </x:c>
      <x:c r="I5" s="206" t="str">
        <x:f>IF(INDEX(Backlog!$T$2:$T$180,MATCH($A5,Backlog!$A$2:$A$180,0))="","",INDEX(Backlog!$T$2:$T$180,MATCH($A5,Backlog!$A$2:$A$180,0)))</x:f>
        <x:v>WAIT for Presentation RC freeze/tag + clean index/worktree. Then: T-087 + T-088 canonical three-schema/migration authority green.</x:v>
      </x:c>
      <x:c r="J5" s="194" t="str">
        <x:f>IF(INDEX(Backlog!$AN$2:$AN$180,MATCH($A5,Backlog!$A$2:$A$180,0))="","",INDEX(Backlog!$AN$2:$AN$180,MATCH($A5,Backlog!$A$2:$A$180,0)))</x:f>
      </x:c>
      <x:c r="K5"/>
      <x:c r="L5"/>
    </x:row>
    <x:row r="6" ht="26" customHeight="1">
      <x:c r="A6" s="206" t="str">
        <x:v>T-090</x:v>
      </x:c>
      <x:c r="B6" s="206" t="str">
        <x:f>IF(INDEX(Backlog!$B$2:$B$180,MATCH($A6,Backlog!$A$2:$A$180,0))="","",INDEX(Backlog!$B$2:$B$180,MATCH($A6,Backlog!$A$2:$A$180,0)))</x:f>
        <x:v>M2</x:v>
      </x:c>
      <x:c r="C6" s="206" t="str">
        <x:f>IF(INDEX(Backlog!$C$2:$C$180,MATCH($A6,Backlog!$A$2:$A$180,0))="","",INDEX(Backlog!$C$2:$C$180,MATCH($A6,Backlog!$A$2:$A$180,0)))</x:f>
        <x:v>P1</x:v>
      </x:c>
      <x:c r="D6" s="206" t="str">
        <x:f>IF(INDEX(Backlog!$L$2:$L$180,MATCH($A6,Backlog!$A$2:$A$180,0))="","",INDEX(Backlog!$L$2:$L$180,MATCH($A6,Backlog!$A$2:$A$180,0)))</x:f>
        <x:v>Worker 1</x:v>
      </x:c>
      <x:c r="E6" s="206" t="str">
        <x:f>IF(INDEX(Backlog!$K$2:$K$180,MATCH($A6,Backlog!$A$2:$A$180,0))="","",INDEX(Backlog!$K$2:$K$180,MATCH($A6,Backlog!$A$2:$A$180,0)))</x:f>
        <x:v>Done</x:v>
      </x:c>
      <x:c r="F6" s="206" t="n">
        <x:f>IF(ISNUMBER(INDEX(Backlog!$R$2:$R$180,MATCH($A6,Backlog!$A$2:$A$180,0))),INDEX(Backlog!$R$2:$R$180,MATCH($A6,Backlog!$A$2:$A$180,0)),"")</x:f>
        <x:v>1.7999999999999998</x:v>
      </x:c>
      <x:c r="G6" s="206" t="str">
        <x:f>IF(INDEX(Backlog!$M$2:$M$180,MATCH($A6,Backlog!$A$2:$A$180,0))="","",INDEX(Backlog!$M$2:$M$180,MATCH($A6,Backlog!$A$2:$A$180,0)))</x:f>
        <x:v>T-089</x:v>
      </x:c>
      <x:c r="H6" s="206" t="str">
        <x:f>IF(INDEX(Backlog!$N$2:$N$180,MATCH($A6,Backlog!$A$2:$A$180,0))="","",INDEX(Backlog!$N$2:$N$180,MATCH($A6,Backlog!$A$2:$A$180,0)))</x:f>
        <x:v>T-091; T-092; T-095; T-099; T-104; T-106; T-114; T-128; T-134; T-147; T-183; T-195; T-210; T-221; T-228; T-231; T-232; T-233; T-235; T-239; T-243; T-244</x:v>
      </x:c>
      <x:c r="I6" s="206" t="str">
        <x:f>IF(INDEX(Backlog!$T$2:$T$180,MATCH($A6,Backlog!$A$2:$A$180,0))="","",INDEX(Backlog!$T$2:$T$180,MATCH($A6,Backlog!$A$2:$A$180,0)))</x:f>
        <x:v>IN PROGRESS — T-089 complete. Full T-090 remains one task and one final commit. Worker 1 must deliver one self-contained standard PowerShell apply pack; no scope split and no manual .cs/SQL installation.</x:v>
      </x:c>
      <x:c r="J6" s="194" t="str">
        <x:f>IF(INDEX(Backlog!$AN$2:$AN$180,MATCH($A6,Backlog!$A$2:$A$180,0))="","",INDEX(Backlog!$AN$2:$AN$180,MATCH($A6,Backlog!$A$2:$A$180,0)))</x:f>
      </x:c>
      <x:c r="K6"/>
      <x:c r="L6"/>
    </x:row>
    <x:row r="7" ht="26" customHeight="1">
      <x:c r="A7" s="206" t="str">
        <x:v>T-091</x:v>
      </x:c>
      <x:c r="B7" s="206" t="str">
        <x:f>IF(INDEX(Backlog!$B$2:$B$180,MATCH($A7,Backlog!$A$2:$A$180,0))="","",INDEX(Backlog!$B$2:$B$180,MATCH($A7,Backlog!$A$2:$A$180,0)))</x:f>
        <x:v>M2</x:v>
      </x:c>
      <x:c r="C7" s="206" t="str">
        <x:f>IF(INDEX(Backlog!$C$2:$C$180,MATCH($A7,Backlog!$A$2:$A$180,0))="","",INDEX(Backlog!$C$2:$C$180,MATCH($A7,Backlog!$A$2:$A$180,0)))</x:f>
        <x:v>P1</x:v>
      </x:c>
      <x:c r="D7" s="206" t="str">
        <x:f>IF(INDEX(Backlog!$L$2:$L$180,MATCH($A7,Backlog!$A$2:$A$180,0))="","",INDEX(Backlog!$L$2:$L$180,MATCH($A7,Backlog!$A$2:$A$180,0)))</x:f>
        <x:v>Worker 1</x:v>
      </x:c>
      <x:c r="E7" s="206" t="str">
        <x:f>IF(INDEX(Backlog!$K$2:$K$180,MATCH($A7,Backlog!$A$2:$A$180,0))="","",INDEX(Backlog!$K$2:$K$180,MATCH($A7,Backlog!$A$2:$A$180,0)))</x:f>
        <x:v>Done</x:v>
      </x:c>
      <x:c r="F7" s="206" t="n">
        <x:f>IF(ISNUMBER(INDEX(Backlog!$R$2:$R$180,MATCH($A7,Backlog!$A$2:$A$180,0))),INDEX(Backlog!$R$2:$R$180,MATCH($A7,Backlog!$A$2:$A$180,0)),"")</x:f>
        <x:v>1.7999999999999998</x:v>
      </x:c>
      <x:c r="G7" s="206" t="str">
        <x:f>IF(INDEX(Backlog!$M$2:$M$180,MATCH($A7,Backlog!$A$2:$A$180,0))="","",INDEX(Backlog!$M$2:$M$180,MATCH($A7,Backlog!$A$2:$A$180,0)))</x:f>
        <x:v>T-090</x:v>
      </x:c>
      <x:c r="H7" s="206" t="str">
        <x:f>IF(INDEX(Backlog!$N$2:$N$180,MATCH($A7,Backlog!$A$2:$A$180,0))="","",INDEX(Backlog!$N$2:$N$180,MATCH($A7,Backlog!$A$2:$A$180,0)))</x:f>
        <x:v>T-128; T-183</x:v>
      </x:c>
      <x:c r="I7" s="206" t="str">
        <x:f>IF(INDEX(Backlog!$T$2:$T$180,MATCH($A7,Backlog!$A$2:$A$180,0))="","",INDEX(Backlog!$T$2:$T$180,MATCH($A7,Backlog!$A$2:$A$180,0)))</x:f>
        <x:v>WAIT for Presentation RC freeze/tag + clean index/worktree. Then: T-090 all definition kinds bound to the canonical store.</x:v>
      </x:c>
      <x:c r="J7" s="194" t="str">
        <x:f>IF(INDEX(Backlog!$AN$2:$AN$180,MATCH($A7,Backlog!$A$2:$A$180,0))="","",INDEX(Backlog!$AN$2:$AN$180,MATCH($A7,Backlog!$A$2:$A$180,0)))</x:f>
      </x:c>
      <x:c r="K7"/>
      <x:c r="L7"/>
    </x:row>
    <x:row r="8" ht="26" customHeight="1">
      <x:c r="A8" s="206" t="str">
        <x:v>T-092</x:v>
      </x:c>
      <x:c r="B8" s="206" t="str">
        <x:f>IF(INDEX(Backlog!$B$2:$B$180,MATCH($A8,Backlog!$A$2:$A$180,0))="","",INDEX(Backlog!$B$2:$B$180,MATCH($A8,Backlog!$A$2:$A$180,0)))</x:f>
        <x:v>M2</x:v>
      </x:c>
      <x:c r="C8" s="206" t="str">
        <x:f>IF(INDEX(Backlog!$C$2:$C$180,MATCH($A8,Backlog!$A$2:$A$180,0))="","",INDEX(Backlog!$C$2:$C$180,MATCH($A8,Backlog!$A$2:$A$180,0)))</x:f>
        <x:v>P1</x:v>
      </x:c>
      <x:c r="D8" s="206" t="str">
        <x:f>IF(INDEX(Backlog!$L$2:$L$180,MATCH($A8,Backlog!$A$2:$A$180,0))="","",INDEX(Backlog!$L$2:$L$180,MATCH($A8,Backlog!$A$2:$A$180,0)))</x:f>
        <x:v>Worker 1</x:v>
      </x:c>
      <x:c r="E8" s="206" t="str">
        <x:f>IF(INDEX(Backlog!$K$2:$K$180,MATCH($A8,Backlog!$A$2:$A$180,0))="","",INDEX(Backlog!$K$2:$K$180,MATCH($A8,Backlog!$A$2:$A$180,0)))</x:f>
        <x:v>Done</x:v>
      </x:c>
      <x:c r="F8" s="206" t="n">
        <x:f>IF(ISNUMBER(INDEX(Backlog!$R$2:$R$180,MATCH($A8,Backlog!$A$2:$A$180,0))),INDEX(Backlog!$R$2:$R$180,MATCH($A8,Backlog!$A$2:$A$180,0)),"")</x:f>
        <x:v>1.7999999999999998</x:v>
      </x:c>
      <x:c r="G8" s="206" t="str">
        <x:f>IF(INDEX(Backlog!$M$2:$M$180,MATCH($A8,Backlog!$A$2:$A$180,0))="","",INDEX(Backlog!$M$2:$M$180,MATCH($A8,Backlog!$A$2:$A$180,0)))</x:f>
        <x:v>T-089; T-090; T-210; T-231</x:v>
      </x:c>
      <x:c r="H8" s="206" t="str">
        <x:f>IF(INDEX(Backlog!$N$2:$N$180,MATCH($A8,Backlog!$A$2:$A$180,0))="","",INDEX(Backlog!$N$2:$N$180,MATCH($A8,Backlog!$A$2:$A$180,0)))</x:f>
        <x:v>T-093; T-094; T-128; T-183; T-212; T-215; T-228; T-237; T-247</x:v>
      </x:c>
      <x:c r="I8" s="206" t="str">
        <x:f>IF(INDEX(Backlog!$T$2:$T$180,MATCH($A8,Backlog!$A$2:$A$180,0))="","",INDEX(Backlog!$T$2:$T$180,MATCH($A8,Backlog!$A$2:$A$180,0)))</x:f>
        <x:v>WAIT for Presentation RC freeze/tag + clean index/worktree. Then: T-089 + T-090 canonical definition authority.</x:v>
      </x:c>
      <x:c r="J8" s="194" t="str">
        <x:f>IF(INDEX(Backlog!$AN$2:$AN$180,MATCH($A8,Backlog!$A$2:$A$180,0))="","",INDEX(Backlog!$AN$2:$AN$180,MATCH($A8,Backlog!$A$2:$A$180,0)))</x:f>
      </x:c>
      <x:c r="K8"/>
      <x:c r="L8"/>
    </x:row>
    <x:row r="9" ht="26" customHeight="1">
      <x:c r="A9" s="206" t="str">
        <x:v>T-093</x:v>
      </x:c>
      <x:c r="B9" s="206" t="str">
        <x:f>IF(INDEX(Backlog!$B$2:$B$180,MATCH($A9,Backlog!$A$2:$A$180,0))="","",INDEX(Backlog!$B$2:$B$180,MATCH($A9,Backlog!$A$2:$A$180,0)))</x:f>
        <x:v>M2</x:v>
      </x:c>
      <x:c r="C9" s="206" t="str">
        <x:f>IF(INDEX(Backlog!$C$2:$C$180,MATCH($A9,Backlog!$A$2:$A$180,0))="","",INDEX(Backlog!$C$2:$C$180,MATCH($A9,Backlog!$A$2:$A$180,0)))</x:f>
        <x:v>P1</x:v>
      </x:c>
      <x:c r="D9" s="206" t="str">
        <x:f>IF(INDEX(Backlog!$L$2:$L$180,MATCH($A9,Backlog!$A$2:$A$180,0))="","",INDEX(Backlog!$L$2:$L$180,MATCH($A9,Backlog!$A$2:$A$180,0)))</x:f>
        <x:v>Worker 1</x:v>
      </x:c>
      <x:c r="E9" s="206" t="str">
        <x:f>IF(INDEX(Backlog!$K$2:$K$180,MATCH($A9,Backlog!$A$2:$A$180,0))="","",INDEX(Backlog!$K$2:$K$180,MATCH($A9,Backlog!$A$2:$A$180,0)))</x:f>
        <x:v>Done</x:v>
      </x:c>
      <x:c r="F9" s="206" t="n">
        <x:f>IF(ISNUMBER(INDEX(Backlog!$R$2:$R$180,MATCH($A9,Backlog!$A$2:$A$180,0))),INDEX(Backlog!$R$2:$R$180,MATCH($A9,Backlog!$A$2:$A$180,0)),"")</x:f>
        <x:v>0.8999999999999999</x:v>
      </x:c>
      <x:c r="G9" s="206" t="str">
        <x:f>IF(INDEX(Backlog!$M$2:$M$180,MATCH($A9,Backlog!$A$2:$A$180,0))="","",INDEX(Backlog!$M$2:$M$180,MATCH($A9,Backlog!$A$2:$A$180,0)))</x:f>
        <x:v>T-092; T-206</x:v>
      </x:c>
      <x:c r="H9" s="206" t="str">
        <x:f>IF(INDEX(Backlog!$N$2:$N$180,MATCH($A9,Backlog!$A$2:$A$180,0))="","",INDEX(Backlog!$N$2:$N$180,MATCH($A9,Backlog!$A$2:$A$180,0)))</x:f>
        <x:v>T-094; T-128; T-183</x:v>
      </x:c>
      <x:c r="I9" s="206" t="str">
        <x:f>IF(INDEX(Backlog!$T$2:$T$180,MATCH($A9,Backlog!$A$2:$A$180,0))="","",INDEX(Backlog!$T$2:$T$180,MATCH($A9,Backlog!$A$2:$A$180,0)))</x:f>
        <x:v>WAIT for Presentation RC freeze/tag + clean index/worktree. Then: T-092 registry/definition authority available; architecture term list is comm...</x:v>
      </x:c>
      <x:c r="J9" s="194" t="str">
        <x:f>IF(INDEX(Backlog!$AN$2:$AN$180,MATCH($A9,Backlog!$A$2:$A$180,0))="","",INDEX(Backlog!$AN$2:$AN$180,MATCH($A9,Backlog!$A$2:$A$180,0)))</x:f>
      </x:c>
      <x:c r="K9"/>
      <x:c r="L9"/>
    </x:row>
    <x:row r="10" ht="26" customHeight="1">
      <x:c r="A10" s="206" t="str">
        <x:v>T-094</x:v>
      </x:c>
      <x:c r="B10" s="206" t="str">
        <x:f>IF(INDEX(Backlog!$B$2:$B$180,MATCH($A10,Backlog!$A$2:$A$180,0))="","",INDEX(Backlog!$B$2:$B$180,MATCH($A10,Backlog!$A$2:$A$180,0)))</x:f>
        <x:v>M2</x:v>
      </x:c>
      <x:c r="C10" s="206" t="str">
        <x:f>IF(INDEX(Backlog!$C$2:$C$180,MATCH($A10,Backlog!$A$2:$A$180,0))="","",INDEX(Backlog!$C$2:$C$180,MATCH($A10,Backlog!$A$2:$A$180,0)))</x:f>
        <x:v>P1</x:v>
      </x:c>
      <x:c r="D10" s="206" t="str">
        <x:f>IF(INDEX(Backlog!$L$2:$L$180,MATCH($A10,Backlog!$A$2:$A$180,0))="","",INDEX(Backlog!$L$2:$L$180,MATCH($A10,Backlog!$A$2:$A$180,0)))</x:f>
        <x:v>Worker 1</x:v>
      </x:c>
      <x:c r="E10" s="206" t="str">
        <x:f>IF(INDEX(Backlog!$K$2:$K$180,MATCH($A10,Backlog!$A$2:$A$180,0))="","",INDEX(Backlog!$K$2:$K$180,MATCH($A10,Backlog!$A$2:$A$180,0)))</x:f>
        <x:v>Done</x:v>
      </x:c>
      <x:c r="F10" s="206" t="n">
        <x:f>IF(ISNUMBER(INDEX(Backlog!$R$2:$R$180,MATCH($A10,Backlog!$A$2:$A$180,0))),INDEX(Backlog!$R$2:$R$180,MATCH($A10,Backlog!$A$2:$A$180,0)),"")</x:f>
        <x:v>3.6</x:v>
      </x:c>
      <x:c r="G10" s="206" t="str">
        <x:f>IF(INDEX(Backlog!$M$2:$M$180,MATCH($A10,Backlog!$A$2:$A$180,0))="","",INDEX(Backlog!$M$2:$M$180,MATCH($A10,Backlog!$A$2:$A$180,0)))</x:f>
        <x:v>T-092; T-093; T-209</x:v>
      </x:c>
      <x:c r="H10" s="206" t="str">
        <x:f>IF(INDEX(Backlog!$N$2:$N$180,MATCH($A10,Backlog!$A$2:$A$180,0))="","",INDEX(Backlog!$N$2:$N$180,MATCH($A10,Backlog!$A$2:$A$180,0)))</x:f>
        <x:v>T-095; T-128; T-183; T-196; T-253; T-256; T-258</x:v>
      </x:c>
      <x:c r="I10" s="206" t="str">
        <x:f>IF(INDEX(Backlog!$T$2:$T$180,MATCH($A10,Backlog!$A$2:$A$180,0))="","",INDEX(Backlog!$T$2:$T$180,MATCH($A10,Backlog!$A$2:$A$180,0)))</x:f>
        <x:v>IN PROGRESS — T-092/T-093/T-209 authorities are green. Three part-commits exist but no closure. Finish the second wire, frontend consumers and Wave-C proof under the same T-094 scope; do not reopen after closure.</x:v>
      </x:c>
      <x:c r="J10" s="194" t="str">
        <x:f>IF(INDEX(Backlog!$AN$2:$AN$180,MATCH($A10,Backlog!$A$2:$A$180,0))="","",INDEX(Backlog!$AN$2:$AN$180,MATCH($A10,Backlog!$A$2:$A$180,0)))</x:f>
      </x:c>
      <x:c r="K10"/>
      <x:c r="L10"/>
    </x:row>
    <x:row r="11" ht="26" customHeight="1">
      <x:c r="A11" s="206" t="str">
        <x:v>T-201</x:v>
      </x:c>
      <x:c r="B11" s="206" t="str">
        <x:f>IF(INDEX(Backlog!$B$2:$B$180,MATCH($A11,Backlog!$A$2:$A$180,0))="","",INDEX(Backlog!$B$2:$B$180,MATCH($A11,Backlog!$A$2:$A$180,0)))</x:f>
        <x:v>M2</x:v>
      </x:c>
      <x:c r="C11" s="206" t="str">
        <x:f>IF(INDEX(Backlog!$C$2:$C$180,MATCH($A11,Backlog!$A$2:$A$180,0))="","",INDEX(Backlog!$C$2:$C$180,MATCH($A11,Backlog!$A$2:$A$180,0)))</x:f>
        <x:v>P1</x:v>
      </x:c>
      <x:c r="D11" s="206" t="str">
        <x:f>IF(INDEX(Backlog!$L$2:$L$180,MATCH($A11,Backlog!$A$2:$A$180,0))="","",INDEX(Backlog!$L$2:$L$180,MATCH($A11,Backlog!$A$2:$A$180,0)))</x:f>
        <x:v>Worker 1</x:v>
      </x:c>
      <x:c r="E11" s="206" t="str">
        <x:f>IF(INDEX(Backlog!$K$2:$K$180,MATCH($A11,Backlog!$A$2:$A$180,0))="","",INDEX(Backlog!$K$2:$K$180,MATCH($A11,Backlog!$A$2:$A$180,0)))</x:f>
        <x:v>Done</x:v>
      </x:c>
      <x:c r="F11" s="206" t="n">
        <x:f>IF(ISNUMBER(INDEX(Backlog!$R$2:$R$180,MATCH($A11,Backlog!$A$2:$A$180,0))),INDEX(Backlog!$R$2:$R$180,MATCH($A11,Backlog!$A$2:$A$180,0)),"")</x:f>
        <x:v>1.5</x:v>
      </x:c>
      <x:c r="G11" s="206" t="str">
        <x:f>IF(INDEX(Backlog!$M$2:$M$180,MATCH($A11,Backlog!$A$2:$A$180,0))="","",INDEX(Backlog!$M$2:$M$180,MATCH($A11,Backlog!$A$2:$A$180,0)))</x:f>
      </x:c>
      <x:c r="H11" s="206" t="str">
        <x:f>IF(INDEX(Backlog!$N$2:$N$180,MATCH($A11,Backlog!$A$2:$A$180,0))="","",INDEX(Backlog!$N$2:$N$180,MATCH($A11,Backlog!$A$2:$A$180,0)))</x:f>
        <x:v>T-086; T-202; T-203; T-204; T-205; T-206; T-207; T-208; T-213; T-241</x:v>
      </x:c>
      <x:c r="I11" s="206" t="str">
        <x:f>IF(INDEX(Backlog!$T$2:$T$180,MATCH($A11,Backlog!$A$2:$A$180,0))="","",INDEX(Backlog!$T$2:$T$180,MATCH($A11,Backlog!$A$2:$A$180,0)))</x:f>
        <x:v>Start immediately. No later M2 mutating work begins on the shared tree before this close.</x:v>
      </x:c>
      <x:c r="J11" s="194" t="str">
        <x:f>IF(INDEX(Backlog!$AN$2:$AN$180,MATCH($A11,Backlog!$A$2:$A$180,0))="","",INDEX(Backlog!$AN$2:$AN$180,MATCH($A11,Backlog!$A$2:$A$180,0)))</x:f>
      </x:c>
      <x:c r="K11"/>
      <x:c r="L11"/>
    </x:row>
    <x:row r="12" ht="26" customHeight="1">
      <x:c r="A12" s="206" t="str">
        <x:v>T-202</x:v>
      </x:c>
      <x:c r="B12" s="206" t="str">
        <x:f>IF(INDEX(Backlog!$B$2:$B$180,MATCH($A12,Backlog!$A$2:$A$180,0))="","",INDEX(Backlog!$B$2:$B$180,MATCH($A12,Backlog!$A$2:$A$180,0)))</x:f>
        <x:v>M2</x:v>
      </x:c>
      <x:c r="C12" s="206" t="str">
        <x:f>IF(INDEX(Backlog!$C$2:$C$180,MATCH($A12,Backlog!$A$2:$A$180,0))="","",INDEX(Backlog!$C$2:$C$180,MATCH($A12,Backlog!$A$2:$A$180,0)))</x:f>
        <x:v>P1</x:v>
      </x:c>
      <x:c r="D12" s="206" t="str">
        <x:f>IF(INDEX(Backlog!$L$2:$L$180,MATCH($A12,Backlog!$A$2:$A$180,0))="","",INDEX(Backlog!$L$2:$L$180,MATCH($A12,Backlog!$A$2:$A$180,0)))</x:f>
        <x:v>Worker 2</x:v>
      </x:c>
      <x:c r="E12" s="206" t="str">
        <x:f>IF(INDEX(Backlog!$K$2:$K$180,MATCH($A12,Backlog!$A$2:$A$180,0))="","",INDEX(Backlog!$K$2:$K$180,MATCH($A12,Backlog!$A$2:$A$180,0)))</x:f>
        <x:v>Done</x:v>
      </x:c>
      <x:c r="F12" s="206" t="n">
        <x:f>IF(ISNUMBER(INDEX(Backlog!$R$2:$R$180,MATCH($A12,Backlog!$A$2:$A$180,0))),INDEX(Backlog!$R$2:$R$180,MATCH($A12,Backlog!$A$2:$A$180,0)),"")</x:f>
        <x:v>4</x:v>
      </x:c>
      <x:c r="G12" s="206" t="str">
        <x:f>IF(INDEX(Backlog!$M$2:$M$180,MATCH($A12,Backlog!$A$2:$A$180,0))="","",INDEX(Backlog!$M$2:$M$180,MATCH($A12,Backlog!$A$2:$A$180,0)))</x:f>
        <x:v>T-201</x:v>
      </x:c>
      <x:c r="H12" s="206" t="str">
        <x:f>IF(INDEX(Backlog!$N$2:$N$180,MATCH($A12,Backlog!$A$2:$A$180,0))="","",INDEX(Backlog!$N$2:$N$180,MATCH($A12,Backlog!$A$2:$A$180,0)))</x:f>
        <x:v>T-212; T-248</x:v>
      </x:c>
      <x:c r="I12" s="206" t="str">
        <x:f>IF(INDEX(Backlog!$T$2:$T$180,MATCH($A12,Backlog!$A$2:$A$180,0))="","",INDEX(Backlog!$T$2:$T$180,MATCH($A12,Backlog!$A$2:$A$180,0)))</x:f>
        <x:v>T-201 committed/frozen baseline.</x:v>
      </x:c>
      <x:c r="J12" s="194" t="str">
        <x:f>IF(INDEX(Backlog!$AN$2:$AN$180,MATCH($A12,Backlog!$A$2:$A$180,0))="","",INDEX(Backlog!$AN$2:$AN$180,MATCH($A12,Backlog!$A$2:$A$180,0)))</x:f>
      </x:c>
      <x:c r="K12"/>
      <x:c r="L12"/>
    </x:row>
    <x:row r="13" ht="26" customHeight="1">
      <x:c r="A13" s="206" t="str">
        <x:v>T-203</x:v>
      </x:c>
      <x:c r="B13" s="206" t="str">
        <x:f>IF(INDEX(Backlog!$B$2:$B$180,MATCH($A13,Backlog!$A$2:$A$180,0))="","",INDEX(Backlog!$B$2:$B$180,MATCH($A13,Backlog!$A$2:$A$180,0)))</x:f>
        <x:v>M2</x:v>
      </x:c>
      <x:c r="C13" s="206" t="str">
        <x:f>IF(INDEX(Backlog!$C$2:$C$180,MATCH($A13,Backlog!$A$2:$A$180,0))="","",INDEX(Backlog!$C$2:$C$180,MATCH($A13,Backlog!$A$2:$A$180,0)))</x:f>
        <x:v>P1</x:v>
      </x:c>
      <x:c r="D13" s="206" t="str">
        <x:f>IF(INDEX(Backlog!$L$2:$L$180,MATCH($A13,Backlog!$A$2:$A$180,0))="","",INDEX(Backlog!$L$2:$L$180,MATCH($A13,Backlog!$A$2:$A$180,0)))</x:f>
        <x:v>Worker 2</x:v>
      </x:c>
      <x:c r="E13" s="206" t="str">
        <x:f>IF(INDEX(Backlog!$K$2:$K$180,MATCH($A13,Backlog!$A$2:$A$180,0))="","",INDEX(Backlog!$K$2:$K$180,MATCH($A13,Backlog!$A$2:$A$180,0)))</x:f>
        <x:v>Done</x:v>
      </x:c>
      <x:c r="F13" s="206" t="n">
        <x:f>IF(ISNUMBER(INDEX(Backlog!$R$2:$R$180,MATCH($A13,Backlog!$A$2:$A$180,0))),INDEX(Backlog!$R$2:$R$180,MATCH($A13,Backlog!$A$2:$A$180,0)),"")</x:f>
        <x:v>4</x:v>
      </x:c>
      <x:c r="G13" s="206" t="str">
        <x:f>IF(INDEX(Backlog!$M$2:$M$180,MATCH($A13,Backlog!$A$2:$A$180,0))="","",INDEX(Backlog!$M$2:$M$180,MATCH($A13,Backlog!$A$2:$A$180,0)))</x:f>
        <x:v>T-201</x:v>
      </x:c>
      <x:c r="H13" s="206" t="str">
        <x:f>IF(INDEX(Backlog!$N$2:$N$180,MATCH($A13,Backlog!$A$2:$A$180,0))="","",INDEX(Backlog!$N$2:$N$180,MATCH($A13,Backlog!$A$2:$A$180,0)))</x:f>
        <x:v>T-222; T-248</x:v>
      </x:c>
      <x:c r="I13" s="206" t="str">
        <x:f>IF(INDEX(Backlog!$T$2:$T$180,MATCH($A13,Backlog!$A$2:$A$180,0))="","",INDEX(Backlog!$T$2:$T$180,MATCH($A13,Backlog!$A$2:$A$180,0)))</x:f>
        <x:v>T-201; may run in parallel with T-202 on non-overlapping test files.</x:v>
      </x:c>
      <x:c r="J13" s="194" t="str">
        <x:f>IF(INDEX(Backlog!$AN$2:$AN$180,MATCH($A13,Backlog!$A$2:$A$180,0))="","",INDEX(Backlog!$AN$2:$AN$180,MATCH($A13,Backlog!$A$2:$A$180,0)))</x:f>
      </x:c>
      <x:c r="K13"/>
      <x:c r="L13"/>
    </x:row>
    <x:row r="14" ht="26" customHeight="1">
      <x:c r="A14" s="206" t="str">
        <x:v>T-204</x:v>
      </x:c>
      <x:c r="B14" s="206" t="str">
        <x:f>IF(INDEX(Backlog!$B$2:$B$180,MATCH($A14,Backlog!$A$2:$A$180,0))="","",INDEX(Backlog!$B$2:$B$180,MATCH($A14,Backlog!$A$2:$A$180,0)))</x:f>
        <x:v>M2</x:v>
      </x:c>
      <x:c r="C14" s="206" t="str">
        <x:f>IF(INDEX(Backlog!$C$2:$C$180,MATCH($A14,Backlog!$A$2:$A$180,0))="","",INDEX(Backlog!$C$2:$C$180,MATCH($A14,Backlog!$A$2:$A$180,0)))</x:f>
        <x:v>P1</x:v>
      </x:c>
      <x:c r="D14" s="206" t="str">
        <x:f>IF(INDEX(Backlog!$L$2:$L$180,MATCH($A14,Backlog!$A$2:$A$180,0))="","",INDEX(Backlog!$L$2:$L$180,MATCH($A14,Backlog!$A$2:$A$180,0)))</x:f>
        <x:v>Worker 2</x:v>
      </x:c>
      <x:c r="E14" s="206" t="str">
        <x:f>IF(INDEX(Backlog!$K$2:$K$180,MATCH($A14,Backlog!$A$2:$A$180,0))="","",INDEX(Backlog!$K$2:$K$180,MATCH($A14,Backlog!$A$2:$A$180,0)))</x:f>
        <x:v>Done</x:v>
      </x:c>
      <x:c r="F14" s="206" t="n">
        <x:f>IF(ISNUMBER(INDEX(Backlog!$R$2:$R$180,MATCH($A14,Backlog!$A$2:$A$180,0))),INDEX(Backlog!$R$2:$R$180,MATCH($A14,Backlog!$A$2:$A$180,0)),"")</x:f>
        <x:v>4.25</x:v>
      </x:c>
      <x:c r="G14" s="206" t="str">
        <x:f>IF(INDEX(Backlog!$M$2:$M$180,MATCH($A14,Backlog!$A$2:$A$180,0))="","",INDEX(Backlog!$M$2:$M$180,MATCH($A14,Backlog!$A$2:$A$180,0)))</x:f>
        <x:v>T-201</x:v>
      </x:c>
      <x:c r="H14" s="206" t="str">
        <x:f>IF(INDEX(Backlog!$N$2:$N$180,MATCH($A14,Backlog!$A$2:$A$180,0))="","",INDEX(Backlog!$N$2:$N$180,MATCH($A14,Backlog!$A$2:$A$180,0)))</x:f>
        <x:v>T-222; T-248</x:v>
      </x:c>
      <x:c r="I14" s="206" t="str">
        <x:f>IF(INDEX(Backlog!$T$2:$T$180,MATCH($A14,Backlog!$A$2:$A$180,0))="","",INDEX(Backlog!$T$2:$T$180,MATCH($A14,Backlog!$A$2:$A$180,0)))</x:f>
        <x:v>T-201; resolve current associative ownership first.</x:v>
      </x:c>
      <x:c r="J14" s="194" t="str">
        <x:f>IF(INDEX(Backlog!$AN$2:$AN$180,MATCH($A14,Backlog!$A$2:$A$180,0))="","",INDEX(Backlog!$AN$2:$AN$180,MATCH($A14,Backlog!$A$2:$A$180,0)))</x:f>
      </x:c>
      <x:c r="K14"/>
      <x:c r="L14"/>
    </x:row>
    <x:row r="15" ht="26" customHeight="1">
      <x:c r="A15" s="206" t="str">
        <x:v>T-205</x:v>
      </x:c>
      <x:c r="B15" s="206" t="str">
        <x:f>IF(INDEX(Backlog!$B$2:$B$180,MATCH($A15,Backlog!$A$2:$A$180,0))="","",INDEX(Backlog!$B$2:$B$180,MATCH($A15,Backlog!$A$2:$A$180,0)))</x:f>
        <x:v>M2</x:v>
      </x:c>
      <x:c r="C15" s="206" t="str">
        <x:f>IF(INDEX(Backlog!$C$2:$C$180,MATCH($A15,Backlog!$A$2:$A$180,0))="","",INDEX(Backlog!$C$2:$C$180,MATCH($A15,Backlog!$A$2:$A$180,0)))</x:f>
        <x:v>P1</x:v>
      </x:c>
      <x:c r="D15" s="206" t="str">
        <x:f>IF(INDEX(Backlog!$L$2:$L$180,MATCH($A15,Backlog!$A$2:$A$180,0))="","",INDEX(Backlog!$L$2:$L$180,MATCH($A15,Backlog!$A$2:$A$180,0)))</x:f>
        <x:v>Worker 2</x:v>
      </x:c>
      <x:c r="E15" s="206" t="str">
        <x:f>IF(INDEX(Backlog!$K$2:$K$180,MATCH($A15,Backlog!$A$2:$A$180,0))="","",INDEX(Backlog!$K$2:$K$180,MATCH($A15,Backlog!$A$2:$A$180,0)))</x:f>
        <x:v>Done</x:v>
      </x:c>
      <x:c r="F15" s="206" t="n">
        <x:f>IF(ISNUMBER(INDEX(Backlog!$R$2:$R$180,MATCH($A15,Backlog!$A$2:$A$180,0))),INDEX(Backlog!$R$2:$R$180,MATCH($A15,Backlog!$A$2:$A$180,0)),"")</x:f>
        <x:v>3.2</x:v>
      </x:c>
      <x:c r="G15" s="206" t="str">
        <x:f>IF(INDEX(Backlog!$M$2:$M$180,MATCH($A15,Backlog!$A$2:$A$180,0))="","",INDEX(Backlog!$M$2:$M$180,MATCH($A15,Backlog!$A$2:$A$180,0)))</x:f>
        <x:v>T-201</x:v>
      </x:c>
      <x:c r="H15" s="206" t="str">
        <x:f>IF(INDEX(Backlog!$N$2:$N$180,MATCH($A15,Backlog!$A$2:$A$180,0))="","",INDEX(Backlog!$N$2:$N$180,MATCH($A15,Backlog!$A$2:$A$180,0)))</x:f>
        <x:v>T-150; T-248; T-250; T-255; T-257</x:v>
      </x:c>
      <x:c r="I15" s="206" t="str">
        <x:f>IF(INDEX(Backlog!$T$2:$T$180,MATCH($A15,Backlog!$A$2:$A$180,0))="","",INDEX(Backlog!$T$2:$T$180,MATCH($A15,Backlog!$A$2:$A$180,0)))</x:f>
        <x:v>CLOSED GREEN 2026-08-30 at b7fcc890. Infrastructure gate certified. Do not rerun full T-205 Certify unless the T-205 gate/validator/watchdog/reaper/evidence contract itself changes.</x:v>
      </x:c>
      <x:c r="J15" s="194" t="str">
        <x:f>IF(INDEX(Backlog!$AN$2:$AN$180,MATCH($A15,Backlog!$A$2:$A$180,0))="","",INDEX(Backlog!$AN$2:$AN$180,MATCH($A15,Backlog!$A$2:$A$180,0)))</x:f>
      </x:c>
      <x:c r="K15"/>
      <x:c r="L15"/>
    </x:row>
    <x:row r="16" ht="26" customHeight="1">
      <x:c r="A16" s="206" t="str">
        <x:v>T-206</x:v>
      </x:c>
      <x:c r="B16" s="206" t="str">
        <x:f>IF(INDEX(Backlog!$B$2:$B$180,MATCH($A16,Backlog!$A$2:$A$180,0))="","",INDEX(Backlog!$B$2:$B$180,MATCH($A16,Backlog!$A$2:$A$180,0)))</x:f>
        <x:v>M2</x:v>
      </x:c>
      <x:c r="C16" s="206" t="str">
        <x:f>IF(INDEX(Backlog!$C$2:$C$180,MATCH($A16,Backlog!$A$2:$A$180,0))="","",INDEX(Backlog!$C$2:$C$180,MATCH($A16,Backlog!$A$2:$A$180,0)))</x:f>
        <x:v>P1</x:v>
      </x:c>
      <x:c r="D16" s="206" t="str">
        <x:f>IF(INDEX(Backlog!$L$2:$L$180,MATCH($A16,Backlog!$A$2:$A$180,0))="","",INDEX(Backlog!$L$2:$L$180,MATCH($A16,Backlog!$A$2:$A$180,0)))</x:f>
        <x:v>Worker 3</x:v>
      </x:c>
      <x:c r="E16" s="206" t="str">
        <x:f>IF(INDEX(Backlog!$K$2:$K$180,MATCH($A16,Backlog!$A$2:$A$180,0))="","",INDEX(Backlog!$K$2:$K$180,MATCH($A16,Backlog!$A$2:$A$180,0)))</x:f>
        <x:v>Done</x:v>
      </x:c>
      <x:c r="F16" s="206" t="n">
        <x:f>IF(ISNUMBER(INDEX(Backlog!$R$2:$R$180,MATCH($A16,Backlog!$A$2:$A$180,0))),INDEX(Backlog!$R$2:$R$180,MATCH($A16,Backlog!$A$2:$A$180,0)),"")</x:f>
        <x:v>2</x:v>
      </x:c>
      <x:c r="G16" s="206" t="str">
        <x:f>IF(INDEX(Backlog!$M$2:$M$180,MATCH($A16,Backlog!$A$2:$A$180,0))="","",INDEX(Backlog!$M$2:$M$180,MATCH($A16,Backlog!$A$2:$A$180,0)))</x:f>
        <x:v>T-201</x:v>
      </x:c>
      <x:c r="H16" s="206" t="str">
        <x:f>IF(INDEX(Backlog!$N$2:$N$180,MATCH($A16,Backlog!$A$2:$A$180,0))="","",INDEX(Backlog!$N$2:$N$180,MATCH($A16,Backlog!$A$2:$A$180,0)))</x:f>
        <x:v>T-093; T-213</x:v>
      </x:c>
      <x:c r="I16" s="206" t="str">
        <x:f>IF(INDEX(Backlog!$T$2:$T$180,MATCH($A16,Backlog!$A$2:$A$180,0))="","",INDEX(Backlog!$T$2:$T$180,MATCH($A16,Backlog!$A$2:$A$180,0)))</x:f>
        <x:v>T-201. Isolated architecture test files only until each product owner consumes findings.</x:v>
      </x:c>
      <x:c r="J16" s="194" t="str">
        <x:f>IF(INDEX(Backlog!$AN$2:$AN$180,MATCH($A16,Backlog!$A$2:$A$180,0))="","",INDEX(Backlog!$AN$2:$AN$180,MATCH($A16,Backlog!$A$2:$A$180,0)))</x:f>
      </x:c>
      <x:c r="K16"/>
      <x:c r="L16"/>
    </x:row>
    <x:row r="17" ht="26" customHeight="1">
      <x:c r="A17" s="206" t="str">
        <x:v>T-208</x:v>
      </x:c>
      <x:c r="B17" s="206" t="str">
        <x:f>IF(INDEX(Backlog!$B$2:$B$180,MATCH($A17,Backlog!$A$2:$A$180,0))="","",INDEX(Backlog!$B$2:$B$180,MATCH($A17,Backlog!$A$2:$A$180,0)))</x:f>
        <x:v>M2</x:v>
      </x:c>
      <x:c r="C17" s="206" t="str">
        <x:f>IF(INDEX(Backlog!$C$2:$C$180,MATCH($A17,Backlog!$A$2:$A$180,0))="","",INDEX(Backlog!$C$2:$C$180,MATCH($A17,Backlog!$A$2:$A$180,0)))</x:f>
        <x:v>P1</x:v>
      </x:c>
      <x:c r="D17" s="206" t="str">
        <x:f>IF(INDEX(Backlog!$L$2:$L$180,MATCH($A17,Backlog!$A$2:$A$180,0))="","",INDEX(Backlog!$L$2:$L$180,MATCH($A17,Backlog!$A$2:$A$180,0)))</x:f>
        <x:v>Worker 3</x:v>
      </x:c>
      <x:c r="E17" s="206" t="str">
        <x:f>IF(INDEX(Backlog!$K$2:$K$180,MATCH($A17,Backlog!$A$2:$A$180,0))="","",INDEX(Backlog!$K$2:$K$180,MATCH($A17,Backlog!$A$2:$A$180,0)))</x:f>
        <x:v>Done</x:v>
      </x:c>
      <x:c r="F17" s="206" t="n">
        <x:f>IF(ISNUMBER(INDEX(Backlog!$R$2:$R$180,MATCH($A17,Backlog!$A$2:$A$180,0))),INDEX(Backlog!$R$2:$R$180,MATCH($A17,Backlog!$A$2:$A$180,0)),"")</x:f>
        <x:v>2.5</x:v>
      </x:c>
      <x:c r="G17" s="206" t="str">
        <x:f>IF(INDEX(Backlog!$M$2:$M$180,MATCH($A17,Backlog!$A$2:$A$180,0))="","",INDEX(Backlog!$M$2:$M$180,MATCH($A17,Backlog!$A$2:$A$180,0)))</x:f>
        <x:v>T-201</x:v>
      </x:c>
      <x:c r="H17" s="206" t="str">
        <x:f>IF(INDEX(Backlog!$N$2:$N$180,MATCH($A17,Backlog!$A$2:$A$180,0))="","",INDEX(Backlog!$N$2:$N$180,MATCH($A17,Backlog!$A$2:$A$180,0)))</x:f>
        <x:v>T-209; T-211; T-216; T-217; T-218; T-234; T-238</x:v>
      </x:c>
      <x:c r="I17" s="206" t="str">
        <x:f>IF(INDEX(Backlog!$T$2:$T$180,MATCH($A17,Backlog!$A$2:$A$180,0))="","",INDEX(Backlog!$T$2:$T$180,MATCH($A17,Backlog!$A$2:$A$180,0)))</x:f>
        <x:v>T-201. May run in parallel with T-206; no production DB migration/DI.</x:v>
      </x:c>
      <x:c r="J17" s="194" t="str">
        <x:f>IF(INDEX(Backlog!$AN$2:$AN$180,MATCH($A17,Backlog!$A$2:$A$180,0))="","",INDEX(Backlog!$AN$2:$AN$180,MATCH($A17,Backlog!$A$2:$A$180,0)))</x:f>
      </x:c>
      <x:c r="K17"/>
      <x:c r="L17"/>
    </x:row>
    <x:row r="18" ht="26" customHeight="1">
      <x:c r="A18" s="206" t="str">
        <x:v>T-209</x:v>
      </x:c>
      <x:c r="B18" s="206" t="str">
        <x:f>IF(INDEX(Backlog!$B$2:$B$180,MATCH($A18,Backlog!$A$2:$A$180,0))="","",INDEX(Backlog!$B$2:$B$180,MATCH($A18,Backlog!$A$2:$A$180,0)))</x:f>
        <x:v>M2</x:v>
      </x:c>
      <x:c r="C18" s="206" t="str">
        <x:f>IF(INDEX(Backlog!$C$2:$C$180,MATCH($A18,Backlog!$A$2:$A$180,0))="","",INDEX(Backlog!$C$2:$C$180,MATCH($A18,Backlog!$A$2:$A$180,0)))</x:f>
        <x:v>P1</x:v>
      </x:c>
      <x:c r="D18" s="206" t="str">
        <x:f>IF(INDEX(Backlog!$L$2:$L$180,MATCH($A18,Backlog!$A$2:$A$180,0))="","",INDEX(Backlog!$L$2:$L$180,MATCH($A18,Backlog!$A$2:$A$180,0)))</x:f>
        <x:v>Worker 3</x:v>
      </x:c>
      <x:c r="E18" s="206" t="str">
        <x:f>IF(INDEX(Backlog!$K$2:$K$180,MATCH($A18,Backlog!$A$2:$A$180,0))="","",INDEX(Backlog!$K$2:$K$180,MATCH($A18,Backlog!$A$2:$A$180,0)))</x:f>
        <x:v>Done</x:v>
      </x:c>
      <x:c r="F18" s="206" t="n">
        <x:f>IF(ISNUMBER(INDEX(Backlog!$R$2:$R$180,MATCH($A18,Backlog!$A$2:$A$180,0))),INDEX(Backlog!$R$2:$R$180,MATCH($A18,Backlog!$A$2:$A$180,0)),"")</x:f>
        <x:v>1.5</x:v>
      </x:c>
      <x:c r="G18" s="206" t="str">
        <x:f>IF(INDEX(Backlog!$M$2:$M$180,MATCH($A18,Backlog!$A$2:$A$180,0))="","",INDEX(Backlog!$M$2:$M$180,MATCH($A18,Backlog!$A$2:$A$180,0)))</x:f>
        <x:v>T-208</x:v>
      </x:c>
      <x:c r="H18" s="206" t="str">
        <x:f>IF(INDEX(Backlog!$N$2:$N$180,MATCH($A18,Backlog!$A$2:$A$180,0))="","",INDEX(Backlog!$N$2:$N$180,MATCH($A18,Backlog!$A$2:$A$180,0)))</x:f>
        <x:v>T-094; T-210; T-214; T-231; T-234; T-253</x:v>
      </x:c>
      <x:c r="I18" s="206" t="str">
        <x:f>IF(INDEX(Backlog!$T$2:$T$180,MATCH($A18,Backlog!$A$2:$A$180,0))="","",INDEX(Backlog!$T$2:$T$180,MATCH($A18,Backlog!$A$2:$A$180,0)))</x:f>
        <x:v>T-208 only; no production DB dependency.</x:v>
      </x:c>
      <x:c r="J18" s="194" t="str">
        <x:f>IF(INDEX(Backlog!$AN$2:$AN$180,MATCH($A18,Backlog!$A$2:$A$180,0))="","",INDEX(Backlog!$AN$2:$AN$180,MATCH($A18,Backlog!$A$2:$A$180,0)))</x:f>
      </x:c>
      <x:c r="K18"/>
      <x:c r="L18"/>
    </x:row>
    <x:row r="19" ht="26" customHeight="1">
      <x:c r="A19" s="206" t="str">
        <x:v>T-210</x:v>
      </x:c>
      <x:c r="B19" s="206" t="str">
        <x:f>IF(INDEX(Backlog!$B$2:$B$180,MATCH($A19,Backlog!$A$2:$A$180,0))="","",INDEX(Backlog!$B$2:$B$180,MATCH($A19,Backlog!$A$2:$A$180,0)))</x:f>
        <x:v>M2</x:v>
      </x:c>
      <x:c r="C19" s="206" t="str">
        <x:f>IF(INDEX(Backlog!$C$2:$C$180,MATCH($A19,Backlog!$A$2:$A$180,0))="","",INDEX(Backlog!$C$2:$C$180,MATCH($A19,Backlog!$A$2:$A$180,0)))</x:f>
        <x:v>P1</x:v>
      </x:c>
      <x:c r="D19" s="206" t="str">
        <x:f>IF(INDEX(Backlog!$L$2:$L$180,MATCH($A19,Backlog!$A$2:$A$180,0))="","",INDEX(Backlog!$L$2:$L$180,MATCH($A19,Backlog!$A$2:$A$180,0)))</x:f>
        <x:v>Worker 1</x:v>
      </x:c>
      <x:c r="E19" s="206" t="str">
        <x:f>IF(INDEX(Backlog!$K$2:$K$180,MATCH($A19,Backlog!$A$2:$A$180,0))="","",INDEX(Backlog!$K$2:$K$180,MATCH($A19,Backlog!$A$2:$A$180,0)))</x:f>
        <x:v>Done</x:v>
      </x:c>
      <x:c r="F19" s="206" t="n">
        <x:f>IF(ISNUMBER(INDEX(Backlog!$R$2:$R$180,MATCH($A19,Backlog!$A$2:$A$180,0))),INDEX(Backlog!$R$2:$R$180,MATCH($A19,Backlog!$A$2:$A$180,0)),"")</x:f>
        <x:v>5.1</x:v>
      </x:c>
      <x:c r="G19" s="206" t="str">
        <x:f>IF(INDEX(Backlog!$M$2:$M$180,MATCH($A19,Backlog!$A$2:$A$180,0))="","",INDEX(Backlog!$M$2:$M$180,MATCH($A19,Backlog!$A$2:$A$180,0)))</x:f>
        <x:v>T-090; T-209</x:v>
      </x:c>
      <x:c r="H19" s="206" t="str">
        <x:f>IF(INDEX(Backlog!$N$2:$N$180,MATCH($A19,Backlog!$A$2:$A$180,0))="","",INDEX(Backlog!$N$2:$N$180,MATCH($A19,Backlog!$A$2:$A$180,0)))</x:f>
        <x:v>T-092; T-128; T-211; T-212; T-242</x:v>
      </x:c>
      <x:c r="I19" s="206" t="str">
        <x:f>IF(INDEX(Backlog!$T$2:$T$180,MATCH($A19,Backlog!$A$2:$A$180,0))="","",INDEX(Backlog!$T$2:$T$180,MATCH($A19,Backlog!$A$2:$A$180,0)))</x:f>
        <x:v>T-209 + T-090. Complete before T-092 exposes measures and before T-211 integration.</x:v>
      </x:c>
      <x:c r="J19" s="194" t="str">
        <x:f>IF(INDEX(Backlog!$AN$2:$AN$180,MATCH($A19,Backlog!$A$2:$A$180,0))="","",INDEX(Backlog!$AN$2:$AN$180,MATCH($A19,Backlog!$A$2:$A$180,0)))</x:f>
      </x:c>
      <x:c r="K19"/>
      <x:c r="L19"/>
    </x:row>
    <x:row r="20" ht="26" customHeight="1">
      <x:c r="A20" s="206" t="str">
        <x:v>T-216</x:v>
      </x:c>
      <x:c r="B20" s="206" t="str">
        <x:f>IF(INDEX(Backlog!$B$2:$B$180,MATCH($A20,Backlog!$A$2:$A$180,0))="","",INDEX(Backlog!$B$2:$B$180,MATCH($A20,Backlog!$A$2:$A$180,0)))</x:f>
        <x:v>M2</x:v>
      </x:c>
      <x:c r="C20" s="206" t="str">
        <x:f>IF(INDEX(Backlog!$C$2:$C$180,MATCH($A20,Backlog!$A$2:$A$180,0))="","",INDEX(Backlog!$C$2:$C$180,MATCH($A20,Backlog!$A$2:$A$180,0)))</x:f>
        <x:v>P1</x:v>
      </x:c>
      <x:c r="D20" s="206" t="str">
        <x:f>IF(INDEX(Backlog!$L$2:$L$180,MATCH($A20,Backlog!$A$2:$A$180,0))="","",INDEX(Backlog!$L$2:$L$180,MATCH($A20,Backlog!$A$2:$A$180,0)))</x:f>
        <x:v>Worker 3</x:v>
      </x:c>
      <x:c r="E20" s="206" t="str">
        <x:f>IF(INDEX(Backlog!$K$2:$K$180,MATCH($A20,Backlog!$A$2:$A$180,0))="","",INDEX(Backlog!$K$2:$K$180,MATCH($A20,Backlog!$A$2:$A$180,0)))</x:f>
        <x:v>Done</x:v>
      </x:c>
      <x:c r="F20" s="206" t="n">
        <x:f>IF(ISNUMBER(INDEX(Backlog!$R$2:$R$180,MATCH($A20,Backlog!$A$2:$A$180,0))),INDEX(Backlog!$R$2:$R$180,MATCH($A20,Backlog!$A$2:$A$180,0)),"")</x:f>
        <x:v>1.25</x:v>
      </x:c>
      <x:c r="G20" s="206" t="str">
        <x:f>IF(INDEX(Backlog!$M$2:$M$180,MATCH($A20,Backlog!$A$2:$A$180,0))="","",INDEX(Backlog!$M$2:$M$180,MATCH($A20,Backlog!$A$2:$A$180,0)))</x:f>
        <x:v>T-208</x:v>
      </x:c>
      <x:c r="H20" s="206" t="str">
        <x:f>IF(INDEX(Backlog!$N$2:$N$180,MATCH($A20,Backlog!$A$2:$A$180,0))="","",INDEX(Backlog!$N$2:$N$180,MATCH($A20,Backlog!$A$2:$A$180,0)))</x:f>
        <x:v>T-200; T-217; T-233</x:v>
      </x:c>
      <x:c r="I20" s="206" t="str">
        <x:f>IF(INDEX(Backlog!$T$2:$T$180,MATCH($A20,Backlog!$A$2:$A$180,0))="","",INDEX(Backlog!$T$2:$T$180,MATCH($A20,Backlog!$A$2:$A$180,0)))</x:f>
        <x:v>T-208 fixture; no canonical DB dependency.</x:v>
      </x:c>
      <x:c r="J20" s="194" t="str">
        <x:f>IF(INDEX(Backlog!$AN$2:$AN$180,MATCH($A20,Backlog!$A$2:$A$180,0))="","",INDEX(Backlog!$AN$2:$AN$180,MATCH($A20,Backlog!$A$2:$A$180,0)))</x:f>
      </x:c>
      <x:c r="K20"/>
      <x:c r="L20"/>
    </x:row>
    <x:row r="21" ht="26" customHeight="1">
      <x:c r="A21" s="206" t="str">
        <x:v>T-231</x:v>
      </x:c>
      <x:c r="B21" s="206" t="str">
        <x:f>IF(INDEX(Backlog!$B$2:$B$180,MATCH($A21,Backlog!$A$2:$A$180,0))="","",INDEX(Backlog!$B$2:$B$180,MATCH($A21,Backlog!$A$2:$A$180,0)))</x:f>
        <x:v>M2</x:v>
      </x:c>
      <x:c r="C21" s="206" t="str">
        <x:f>IF(INDEX(Backlog!$C$2:$C$180,MATCH($A21,Backlog!$A$2:$A$180,0))="","",INDEX(Backlog!$C$2:$C$180,MATCH($A21,Backlog!$A$2:$A$180,0)))</x:f>
        <x:v>P1</x:v>
      </x:c>
      <x:c r="D21" s="206" t="str">
        <x:f>IF(INDEX(Backlog!$L$2:$L$180,MATCH($A21,Backlog!$A$2:$A$180,0))="","",INDEX(Backlog!$L$2:$L$180,MATCH($A21,Backlog!$A$2:$A$180,0)))</x:f>
        <x:v>Worker 1</x:v>
      </x:c>
      <x:c r="E21" s="206" t="str">
        <x:f>IF(INDEX(Backlog!$K$2:$K$180,MATCH($A21,Backlog!$A$2:$A$180,0))="","",INDEX(Backlog!$K$2:$K$180,MATCH($A21,Backlog!$A$2:$A$180,0)))</x:f>
        <x:v>Done</x:v>
      </x:c>
      <x:c r="F21" s="206" t="n">
        <x:f>IF(ISNUMBER(INDEX(Backlog!$R$2:$R$180,MATCH($A21,Backlog!$A$2:$A$180,0))),INDEX(Backlog!$R$2:$R$180,MATCH($A21,Backlog!$A$2:$A$180,0)),"")</x:f>
        <x:v>2.55</x:v>
      </x:c>
      <x:c r="G21" s="206" t="str">
        <x:f>IF(INDEX(Backlog!$M$2:$M$180,MATCH($A21,Backlog!$A$2:$A$180,0))="","",INDEX(Backlog!$M$2:$M$180,MATCH($A21,Backlog!$A$2:$A$180,0)))</x:f>
        <x:v>T-090; T-209</x:v>
      </x:c>
      <x:c r="H21" s="206" t="str">
        <x:f>IF(INDEX(Backlog!$N$2:$N$180,MATCH($A21,Backlog!$A$2:$A$180,0))="","",INDEX(Backlog!$N$2:$N$180,MATCH($A21,Backlog!$A$2:$A$180,0)))</x:f>
        <x:v>T-092; T-128; T-139; T-232; T-235</x:v>
      </x:c>
      <x:c r="I21" s="206" t="str">
        <x:f>IF(INDEX(Backlog!$T$2:$T$180,MATCH($A21,Backlog!$A$2:$A$180,0))="","",INDEX(Backlog!$T$2:$T$180,MATCH($A21,Backlog!$A$2:$A$180,0)))</x:f>
        <x:v>T-090 + committed T-209 contract.</x:v>
      </x:c>
      <x:c r="J21" s="194" t="str">
        <x:f>IF(INDEX(Backlog!$AN$2:$AN$180,MATCH($A21,Backlog!$A$2:$A$180,0))="","",INDEX(Backlog!$AN$2:$AN$180,MATCH($A21,Backlog!$A$2:$A$180,0)))</x:f>
      </x:c>
      <x:c r="K21"/>
      <x:c r="L21"/>
    </x:row>
    <x:row r="22" ht="26" customHeight="1">
      <x:c r="A22" s="206" t="str">
        <x:v>T-250</x:v>
      </x:c>
      <x:c r="B22" s="206" t="str">
        <x:f>IF(INDEX(Backlog!$B$2:$B$180,MATCH($A22,Backlog!$A$2:$A$180,0))="","",INDEX(Backlog!$B$2:$B$180,MATCH($A22,Backlog!$A$2:$A$180,0)))</x:f>
        <x:v>M2</x:v>
      </x:c>
      <x:c r="C22" s="206" t="str">
        <x:f>IF(INDEX(Backlog!$C$2:$C$180,MATCH($A22,Backlog!$A$2:$A$180,0))="","",INDEX(Backlog!$C$2:$C$180,MATCH($A22,Backlog!$A$2:$A$180,0)))</x:f>
        <x:v>P1</x:v>
      </x:c>
      <x:c r="D22" s="206" t="str">
        <x:f>IF(INDEX(Backlog!$L$2:$L$180,MATCH($A22,Backlog!$A$2:$A$180,0))="","",INDEX(Backlog!$L$2:$L$180,MATCH($A22,Backlog!$A$2:$A$180,0)))</x:f>
        <x:v>Worker 2</x:v>
      </x:c>
      <x:c r="E22" s="206" t="str">
        <x:f>IF(INDEX(Backlog!$K$2:$K$180,MATCH($A22,Backlog!$A$2:$A$180,0))="","",INDEX(Backlog!$K$2:$K$180,MATCH($A22,Backlog!$A$2:$A$180,0)))</x:f>
        <x:v>Done</x:v>
      </x:c>
      <x:c r="F22" s="206" t="n">
        <x:f>IF(ISNUMBER(INDEX(Backlog!$R$2:$R$180,MATCH($A22,Backlog!$A$2:$A$180,0))),INDEX(Backlog!$R$2:$R$180,MATCH($A22,Backlog!$A$2:$A$180,0)),"")</x:f>
        <x:v>2.5</x:v>
      </x:c>
      <x:c r="G22" s="206" t="str">
        <x:f>IF(INDEX(Backlog!$M$2:$M$180,MATCH($A22,Backlog!$A$2:$A$180,0))="","",INDEX(Backlog!$M$2:$M$180,MATCH($A22,Backlog!$A$2:$A$180,0)))</x:f>
        <x:v>T-205</x:v>
      </x:c>
      <x:c r="H22" s="206" t="str">
        <x:f>IF(INDEX(Backlog!$N$2:$N$180,MATCH($A22,Backlog!$A$2:$A$180,0))="","",INDEX(Backlog!$N$2:$N$180,MATCH($A22,Backlog!$A$2:$A$180,0)))</x:f>
        <x:v>T-150; T-255; T-257; T-258</x:v>
      </x:c>
      <x:c r="I22" s="206" t="str">
        <x:f>IF(INDEX(Backlog!$T$2:$T$180,MATCH($A22,Backlog!$A$2:$A$180,0))="","",INDEX(Backlog!$T$2:$T$180,MATCH($A22,Backlog!$A$2:$A$180,0)))</x:f>
        <x:v>T-205 CLOSED GREEN at b7fcc890. Two read-only adjudication extracts are sufficient; no third diagnostic runner. Build one corrective pack, run narrow tests, then one normal full frontend suite.</x:v>
      </x:c>
      <x:c r="J22" s="194" t="str">
        <x:f>IF(INDEX(Backlog!$AN$2:$AN$180,MATCH($A22,Backlog!$A$2:$A$180,0))="","",INDEX(Backlog!$AN$2:$AN$180,MATCH($A22,Backlog!$A$2:$A$180,0)))</x:f>
      </x:c>
      <x:c r="K22"/>
      <x:c r="L22"/>
    </x:row>
    <x:row r="23" ht="26" customHeight="1">
      <x:c r="A23" s="206" t="str">
        <x:v>T-251</x:v>
      </x:c>
      <x:c r="B23" s="206" t="str">
        <x:f>IF(INDEX(Backlog!$B$2:$B$180,MATCH($A23,Backlog!$A$2:$A$180,0))="","",INDEX(Backlog!$B$2:$B$180,MATCH($A23,Backlog!$A$2:$A$180,0)))</x:f>
        <x:v>M2</x:v>
      </x:c>
      <x:c r="C23" s="206" t="str">
        <x:f>IF(INDEX(Backlog!$C$2:$C$180,MATCH($A23,Backlog!$A$2:$A$180,0))="","",INDEX(Backlog!$C$2:$C$180,MATCH($A23,Backlog!$A$2:$A$180,0)))</x:f>
        <x:v>P1</x:v>
      </x:c>
      <x:c r="D23" s="206" t="str">
        <x:f>IF(INDEX(Backlog!$L$2:$L$180,MATCH($A23,Backlog!$A$2:$A$180,0))="","",INDEX(Backlog!$L$2:$L$180,MATCH($A23,Backlog!$A$2:$A$180,0)))</x:f>
        <x:v>Worker 1</x:v>
      </x:c>
      <x:c r="E23" s="206" t="str">
        <x:f>IF(INDEX(Backlog!$K$2:$K$180,MATCH($A23,Backlog!$A$2:$A$180,0))="","",INDEX(Backlog!$K$2:$K$180,MATCH($A23,Backlog!$A$2:$A$180,0)))</x:f>
        <x:v>Done</x:v>
      </x:c>
      <x:c r="F23" s="206" t="n">
        <x:f>IF(ISNUMBER(INDEX(Backlog!$R$2:$R$180,MATCH($A23,Backlog!$A$2:$A$180,0))),INDEX(Backlog!$R$2:$R$180,MATCH($A23,Backlog!$A$2:$A$180,0)),"")</x:f>
        <x:v>1.8</x:v>
      </x:c>
      <x:c r="G23" s="206" t="str">
        <x:f>IF(INDEX(Backlog!$M$2:$M$180,MATCH($A23,Backlog!$A$2:$A$180,0))="","",INDEX(Backlog!$M$2:$M$180,MATCH($A23,Backlog!$A$2:$A$180,0)))</x:f>
        <x:v>T-087; T-088; T-260</x:v>
      </x:c>
      <x:c r="H23" s="206" t="str">
        <x:f>IF(INDEX(Backlog!$N$2:$N$180,MATCH($A23,Backlog!$A$2:$A$180,0))="","",INDEX(Backlog!$N$2:$N$180,MATCH($A23,Backlog!$A$2:$A$180,0)))</x:f>
        <x:v>T-112; T-150; T-252; T-256; T-259</x:v>
      </x:c>
      <x:c r="I23" s="206" t="str">
        <x:f>IF(INDEX(Backlog!$T$2:$T$180,MATCH($A23,Backlog!$A$2:$A$180,0))="","",INDEX(Backlog!$T$2:$T$180,MATCH($A23,Backlog!$A$2:$A$180,0)))</x:f>
        <x:v>PAUSED AFTER MACHINE INSTALL/CENSUS. T-260 is the immediate blocker because the designated fresh certification DB was proven to be built from an incomplete canonical path. Do not adjudicate the current fresh-DB 106/81 queue. Resume T-251 only after T-260 rebuilds `ppiq_acceptance_empty` correctly and produces a new census.</x:v>
      </x:c>
      <x:c r="J23" s="194" t="str">
        <x:f>IF(INDEX(Backlog!$AN$2:$AN$180,MATCH($A23,Backlog!$A$2:$A$180,0))="","",INDEX(Backlog!$AN$2:$AN$180,MATCH($A23,Backlog!$A$2:$A$180,0)))</x:f>
      </x:c>
      <x:c r="K23"/>
      <x:c r="L23"/>
    </x:row>
    <x:row r="24" ht="26" customHeight="1">
      <x:c r="A24" s="206" t="str">
        <x:v>T-252</x:v>
      </x:c>
      <x:c r="B24" s="206" t="str">
        <x:f>IF(INDEX(Backlog!$B$2:$B$180,MATCH($A24,Backlog!$A$2:$A$180,0))="","",INDEX(Backlog!$B$2:$B$180,MATCH($A24,Backlog!$A$2:$A$180,0)))</x:f>
        <x:v>M2</x:v>
      </x:c>
      <x:c r="C24" s="206" t="str">
        <x:f>IF(INDEX(Backlog!$C$2:$C$180,MATCH($A24,Backlog!$A$2:$A$180,0))="","",INDEX(Backlog!$C$2:$C$180,MATCH($A24,Backlog!$A$2:$A$180,0)))</x:f>
        <x:v>P1</x:v>
      </x:c>
      <x:c r="D24" s="206" t="str">
        <x:f>IF(INDEX(Backlog!$L$2:$L$180,MATCH($A24,Backlog!$A$2:$A$180,0))="","",INDEX(Backlog!$L$2:$L$180,MATCH($A24,Backlog!$A$2:$A$180,0)))</x:f>
        <x:v>Worker 1</x:v>
      </x:c>
      <x:c r="E24" s="206" t="str">
        <x:f>IF(INDEX(Backlog!$K$2:$K$180,MATCH($A24,Backlog!$A$2:$A$180,0))="","",INDEX(Backlog!$K$2:$K$180,MATCH($A24,Backlog!$A$2:$A$180,0)))</x:f>
        <x:v>Done</x:v>
      </x:c>
      <x:c r="F24" s="206" t="n">
        <x:f>IF(ISNUMBER(INDEX(Backlog!$R$2:$R$180,MATCH($A24,Backlog!$A$2:$A$180,0))),INDEX(Backlog!$R$2:$R$180,MATCH($A24,Backlog!$A$2:$A$180,0)),"")</x:f>
        <x:v>1.2</x:v>
      </x:c>
      <x:c r="G24" s="206" t="str">
        <x:f>IF(INDEX(Backlog!$M$2:$M$180,MATCH($A24,Backlog!$A$2:$A$180,0))="","",INDEX(Backlog!$M$2:$M$180,MATCH($A24,Backlog!$A$2:$A$180,0)))</x:f>
        <x:v>T-087; T-088; T-251; T-259</x:v>
      </x:c>
      <x:c r="H24" s="206" t="str">
        <x:f>IF(INDEX(Backlog!$N$2:$N$180,MATCH($A24,Backlog!$A$2:$A$180,0))="","",INDEX(Backlog!$N$2:$N$180,MATCH($A24,Backlog!$A$2:$A$180,0)))</x:f>
        <x:v>T-106; T-112; T-150; T-256</x:v>
      </x:c>
      <x:c r="I24" s="206" t="str">
        <x:f>IF(INDEX(Backlog!$T$2:$T$180,MATCH($A24,Backlog!$A$2:$A$180,0))="","",INDEX(Backlog!$T$2:$T$180,MATCH($A24,Backlog!$A$2:$A$180,0)))</x:f>
        <x:v>P1 PROMOTION IN v2.20.0 — start immediately after T-251 closes. Certification infrastructure must stop touching shared/live databases before further database/runtime closure work. One task, one disposable-DB lifecycle; no mutation of ppiq_app/ppiq_presentation as fixtures.</x:v>
      </x:c>
      <x:c r="J24" s="194" t="str">
        <x:f>IF(INDEX(Backlog!$AN$2:$AN$180,MATCH($A24,Backlog!$A$2:$A$180,0))="","",INDEX(Backlog!$AN$2:$AN$180,MATCH($A24,Backlog!$A$2:$A$180,0)))</x:f>
      </x:c>
      <x:c r="K24"/>
      <x:c r="L24"/>
    </x:row>
    <x:row r="25" ht="26" customHeight="1">
      <x:c r="A25" s="206" t="str">
        <x:v>T-256</x:v>
      </x:c>
      <x:c r="B25" s="206" t="str">
        <x:f>IF(INDEX(Backlog!$B$2:$B$180,MATCH($A25,Backlog!$A$2:$A$180,0))="","",INDEX(Backlog!$B$2:$B$180,MATCH($A25,Backlog!$A$2:$A$180,0)))</x:f>
        <x:v>M2</x:v>
      </x:c>
      <x:c r="C25" s="206" t="str">
        <x:f>IF(INDEX(Backlog!$C$2:$C$180,MATCH($A25,Backlog!$A$2:$A$180,0))="","",INDEX(Backlog!$C$2:$C$180,MATCH($A25,Backlog!$A$2:$A$180,0)))</x:f>
        <x:v>P1</x:v>
      </x:c>
      <x:c r="D25" s="206" t="str">
        <x:f>IF(INDEX(Backlog!$L$2:$L$180,MATCH($A25,Backlog!$A$2:$A$180,0))="","",INDEX(Backlog!$L$2:$L$180,MATCH($A25,Backlog!$A$2:$A$180,0)))</x:f>
        <x:v>Worker 1</x:v>
      </x:c>
      <x:c r="E25" s="206" t="str">
        <x:f>IF(INDEX(Backlog!$K$2:$K$180,MATCH($A25,Backlog!$A$2:$A$180,0))="","",INDEX(Backlog!$K$2:$K$180,MATCH($A25,Backlog!$A$2:$A$180,0)))</x:f>
        <x:v>Done</x:v>
      </x:c>
      <x:c r="F25" s="206" t="n">
        <x:f>IF(ISNUMBER(INDEX(Backlog!$R$2:$R$180,MATCH($A25,Backlog!$A$2:$A$180,0))),INDEX(Backlog!$R$2:$R$180,MATCH($A25,Backlog!$A$2:$A$180,0)),"")</x:f>
        <x:v>3.2</x:v>
      </x:c>
      <x:c r="G25" s="206" t="str">
        <x:f>IF(INDEX(Backlog!$M$2:$M$180,MATCH($A25,Backlog!$A$2:$A$180,0))="","",INDEX(Backlog!$M$2:$M$180,MATCH($A25,Backlog!$A$2:$A$180,0)))</x:f>
        <x:v>T-088; T-094; T-251; T-252; T-253</x:v>
      </x:c>
      <x:c r="H25" s="206" t="str">
        <x:f>IF(INDEX(Backlog!$N$2:$N$180,MATCH($A25,Backlog!$A$2:$A$180,0))="","",INDEX(Backlog!$N$2:$N$180,MATCH($A25,Backlog!$A$2:$A$180,0)))</x:f>
        <x:v>T-116; T-150; T-247; T-258</x:v>
      </x:c>
      <x:c r="I25" s="206" t="str">
        <x:f>IF(INDEX(Backlog!$T$2:$T$180,MATCH($A25,Backlog!$A$2:$A$180,0))="","",INDEX(Backlog!$T$2:$T$180,MATCH($A25,Backlog!$A$2:$A$180,0)))</x:f>
        <x:v>Worker-1 local P1 sequence is T-251 → T-259 → T-252. T-256 starts only when BOTH T-252 and Worker-2 T-253 are CLOSED GREEN. If T-252 finishes first and T-253 is still open, STOP and return to CENTRAL for a disjoint Worker-1 lane; do not start T-256 partially and do not duplicate the projection-target predicate.</x:v>
      </x:c>
      <x:c r="J25" s="194" t="str">
        <x:f>IF(INDEX(Backlog!$AN$2:$AN$180,MATCH($A25,Backlog!$A$2:$A$180,0))="","",INDEX(Backlog!$AN$2:$AN$180,MATCH($A25,Backlog!$A$2:$A$180,0)))</x:f>
      </x:c>
      <x:c r="K25"/>
      <x:c r="L25"/>
    </x:row>
    <x:row r="26" ht="26" customHeight="1">
      <x:c r="A26" s="206" t="str">
        <x:v>T-259</x:v>
      </x:c>
      <x:c r="B26" s="206" t="str">
        <x:f>IF(INDEX(Backlog!$B$2:$B$180,MATCH($A26,Backlog!$A$2:$A$180,0))="","",INDEX(Backlog!$B$2:$B$180,MATCH($A26,Backlog!$A$2:$A$180,0)))</x:f>
        <x:v>M2</x:v>
      </x:c>
      <x:c r="C26" s="206" t="str">
        <x:f>IF(INDEX(Backlog!$C$2:$C$180,MATCH($A26,Backlog!$A$2:$A$180,0))="","",INDEX(Backlog!$C$2:$C$180,MATCH($A26,Backlog!$A$2:$A$180,0)))</x:f>
        <x:v>P1</x:v>
      </x:c>
      <x:c r="D26" s="206" t="str">
        <x:f>IF(INDEX(Backlog!$L$2:$L$180,MATCH($A26,Backlog!$A$2:$A$180,0))="","",INDEX(Backlog!$L$2:$L$180,MATCH($A26,Backlog!$A$2:$A$180,0)))</x:f>
        <x:v>Worker 1</x:v>
      </x:c>
      <x:c r="E26" s="206" t="str">
        <x:f>IF(INDEX(Backlog!$K$2:$K$180,MATCH($A26,Backlog!$A$2:$A$180,0))="","",INDEX(Backlog!$K$2:$K$180,MATCH($A26,Backlog!$A$2:$A$180,0)))</x:f>
        <x:v>Done</x:v>
      </x:c>
      <x:c r="F26" s="206" t="n">
        <x:f>IF(ISNUMBER(INDEX(Backlog!$R$2:$R$180,MATCH($A26,Backlog!$A$2:$A$180,0))),INDEX(Backlog!$R$2:$R$180,MATCH($A26,Backlog!$A$2:$A$180,0)),"")</x:f>
        <x:v>0.3</x:v>
      </x:c>
      <x:c r="G26" s="206" t="str">
        <x:f>IF(INDEX(Backlog!$M$2:$M$180,MATCH($A26,Backlog!$A$2:$A$180,0))="","",INDEX(Backlog!$M$2:$M$180,MATCH($A26,Backlog!$A$2:$A$180,0)))</x:f>
        <x:v>T-251</x:v>
      </x:c>
      <x:c r="H26" s="206" t="str">
        <x:f>IF(INDEX(Backlog!$N$2:$N$180,MATCH($A26,Backlog!$A$2:$A$180,0))="","",INDEX(Backlog!$N$2:$N$180,MATCH($A26,Backlog!$A$2:$A$180,0)))</x:f>
        <x:v>T-150; T-227; T-252; T-257</x:v>
      </x:c>
      <x:c r="I26" s="206" t="str">
        <x:f>IF(INDEX(Backlog!$T$2:$T$180,MATCH($A26,Backlog!$A$2:$A$180,0))="","",INDEX(Backlog!$T$2:$T$180,MATCH($A26,Backlog!$A$2:$A$180,0)))</x:f>
        <x:v>Worker-1 P1 sequence is now T-251 → T-259 → T-252 → T-256. Start only after T-251 closes; contract-only bounded task.</x:v>
      </x:c>
      <x:c r="J26" s="194" t="str">
        <x:f>IF(INDEX(Backlog!$AN$2:$AN$180,MATCH($A26,Backlog!$A$2:$A$180,0))="","",INDEX(Backlog!$AN$2:$AN$180,MATCH($A26,Backlog!$A$2:$A$180,0)))</x:f>
      </x:c>
      <x:c r="K26"/>
      <x:c r="L26"/>
    </x:row>
    <x:row r="27" ht="26" customHeight="1">
      <x:c r="A27" s="206" t="str">
        <x:v>T-260</x:v>
      </x:c>
      <x:c r="B27" s="206" t="str">
        <x:f>IF(INDEX(Backlog!$B$2:$B$180,MATCH($A27,Backlog!$A$2:$A$180,0))="","",INDEX(Backlog!$B$2:$B$180,MATCH($A27,Backlog!$A$2:$A$180,0)))</x:f>
        <x:v>M2</x:v>
      </x:c>
      <x:c r="C27" s="206" t="str">
        <x:f>IF(INDEX(Backlog!$C$2:$C$180,MATCH($A27,Backlog!$A$2:$A$180,0))="","",INDEX(Backlog!$C$2:$C$180,MATCH($A27,Backlog!$A$2:$A$180,0)))</x:f>
        <x:v>P1</x:v>
      </x:c>
      <x:c r="D27" s="206" t="str">
        <x:f>IF(INDEX(Backlog!$L$2:$L$180,MATCH($A27,Backlog!$A$2:$A$180,0))="","",INDEX(Backlog!$L$2:$L$180,MATCH($A27,Backlog!$A$2:$A$180,0)))</x:f>
        <x:v>Worker 1</x:v>
      </x:c>
      <x:c r="E27" s="206" t="str">
        <x:f>IF(INDEX(Backlog!$K$2:$K$180,MATCH($A27,Backlog!$A$2:$A$180,0))="","",INDEX(Backlog!$K$2:$K$180,MATCH($A27,Backlog!$A$2:$A$180,0)))</x:f>
        <x:v>Done</x:v>
      </x:c>
      <x:c r="F27" s="206" t="n">
        <x:f>IF(ISNUMBER(INDEX(Backlog!$R$2:$R$180,MATCH($A27,Backlog!$A$2:$A$180,0))),INDEX(Backlog!$R$2:$R$180,MATCH($A27,Backlog!$A$2:$A$180,0)),"")</x:f>
        <x:v>1.8</x:v>
      </x:c>
      <x:c r="G27" s="206" t="str">
        <x:f>IF(INDEX(Backlog!$M$2:$M$180,MATCH($A27,Backlog!$A$2:$A$180,0))="","",INDEX(Backlog!$M$2:$M$180,MATCH($A27,Backlog!$A$2:$A$180,0)))</x:f>
        <x:v>T-088</x:v>
      </x:c>
      <x:c r="H27" s="206" t="str">
        <x:f>IF(INDEX(Backlog!$N$2:$N$180,MATCH($A27,Backlog!$A$2:$A$180,0))="","",INDEX(Backlog!$N$2:$N$180,MATCH($A27,Backlog!$A$2:$A$180,0)))</x:f>
        <x:v>T-251</x:v>
      </x:c>
      <x:c r="I27" s="206" t="str">
        <x:f>IF(INDEX(Backlog!$T$2:$T$180,MATCH($A27,Backlog!$A$2:$A$180,0))="","",INDEX(Backlog!$T$2:$T$180,MATCH($A27,Backlog!$A$2:$A$180,0)))</x:f>
        <x:v>START NOW as the narrow blocker discovered by T-251. Pause catalogue adjudication; do not hand-classify the current 106/81 fresh-DB queue. Build/fix the canonical acceptance DB first, then resume T-251 on the corrected census.</x:v>
      </x:c>
      <x:c r="J27" s="194" t="str">
        <x:f>IF(INDEX(Backlog!$AN$2:$AN$180,MATCH($A27,Backlog!$A$2:$A$180,0))="","",INDEX(Backlog!$AN$2:$AN$180,MATCH($A27,Backlog!$A$2:$A$180,0)))</x:f>
      </x:c>
      <x:c r="K27"/>
      <x:c r="L27"/>
    </x:row>
    <x:row r="28" ht="26" customHeight="1">
      <x:c r="A28" s="206" t="str">
        <x:v>T-095</x:v>
      </x:c>
      <x:c r="B28" s="206" t="str">
        <x:f>IF(INDEX(Backlog!$B$2:$B$180,MATCH($A28,Backlog!$A$2:$A$180,0))="","",INDEX(Backlog!$B$2:$B$180,MATCH($A28,Backlog!$A$2:$A$180,0)))</x:f>
        <x:v>M2</x:v>
      </x:c>
      <x:c r="C28" s="206" t="str">
        <x:f>IF(INDEX(Backlog!$C$2:$C$180,MATCH($A28,Backlog!$A$2:$A$180,0))="","",INDEX(Backlog!$C$2:$C$180,MATCH($A28,Backlog!$A$2:$A$180,0)))</x:f>
        <x:v>P2</x:v>
      </x:c>
      <x:c r="D28" s="206" t="str">
        <x:f>IF(INDEX(Backlog!$L$2:$L$180,MATCH($A28,Backlog!$A$2:$A$180,0))="","",INDEX(Backlog!$L$2:$L$180,MATCH($A28,Backlog!$A$2:$A$180,0)))</x:f>
        <x:v>Worker 1</x:v>
      </x:c>
      <x:c r="E28" s="206" t="str">
        <x:f>IF(INDEX(Backlog!$K$2:$K$180,MATCH($A28,Backlog!$A$2:$A$180,0))="","",INDEX(Backlog!$K$2:$K$180,MATCH($A28,Backlog!$A$2:$A$180,0)))</x:f>
        <x:v>Done</x:v>
      </x:c>
      <x:c r="F28" s="206" t="n">
        <x:f>IF(ISNUMBER(INDEX(Backlog!$R$2:$R$180,MATCH($A28,Backlog!$A$2:$A$180,0))),INDEX(Backlog!$R$2:$R$180,MATCH($A28,Backlog!$A$2:$A$180,0)),"")</x:f>
        <x:v>1.7999999999999998</x:v>
      </x:c>
      <x:c r="G28" s="206" t="str">
        <x:f>IF(INDEX(Backlog!$M$2:$M$180,MATCH($A28,Backlog!$A$2:$A$180,0))="","",INDEX(Backlog!$M$2:$M$180,MATCH($A28,Backlog!$A$2:$A$180,0)))</x:f>
        <x:v>T-057; T-089; T-090; T-094</x:v>
      </x:c>
      <x:c r="H28" s="206" t="str">
        <x:f>IF(INDEX(Backlog!$N$2:$N$180,MATCH($A28,Backlog!$A$2:$A$180,0))="","",INDEX(Backlog!$N$2:$N$180,MATCH($A28,Backlog!$A$2:$A$180,0)))</x:f>
        <x:v>T-096; T-098; T-102; T-103; T-104; T-107; T-109; T-114; T-128; T-134; T-183; T-196; T-221</x:v>
      </x:c>
      <x:c r="I28" s="206" t="str">
        <x:f>IF(INDEX(Backlog!$T$2:$T$180,MATCH($A28,Backlog!$A$2:$A$180,0))="","",INDEX(Backlog!$T$2:$T$180,MATCH($A28,Backlog!$A$2:$A$180,0)))</x:f>
        <x:v>WAIT for Presentation RC freeze/tag + clean index/worktree. Then: T-057 M1 relationship contract + T-089 + T-090 + T-094.</x:v>
      </x:c>
      <x:c r="J28" s="194" t="str">
        <x:f>IF(INDEX(Backlog!$AN$2:$AN$180,MATCH($A28,Backlog!$A$2:$A$180,0))="","",INDEX(Backlog!$AN$2:$AN$180,MATCH($A28,Backlog!$A$2:$A$180,0)))</x:f>
      </x:c>
      <x:c r="K28"/>
      <x:c r="L28"/>
    </x:row>
    <x:row r="29" ht="26" customHeight="1">
      <x:c r="A29" s="206" t="str">
        <x:v>T-096</x:v>
      </x:c>
      <x:c r="B29" s="206" t="str">
        <x:f>IF(INDEX(Backlog!$B$2:$B$180,MATCH($A29,Backlog!$A$2:$A$180,0))="","",INDEX(Backlog!$B$2:$B$180,MATCH($A29,Backlog!$A$2:$A$180,0)))</x:f>
        <x:v>M2</x:v>
      </x:c>
      <x:c r="C29" s="206" t="str">
        <x:f>IF(INDEX(Backlog!$C$2:$C$180,MATCH($A29,Backlog!$A$2:$A$180,0))="","",INDEX(Backlog!$C$2:$C$180,MATCH($A29,Backlog!$A$2:$A$180,0)))</x:f>
        <x:v>P2</x:v>
      </x:c>
      <x:c r="D29" s="206" t="str">
        <x:f>IF(INDEX(Backlog!$L$2:$L$180,MATCH($A29,Backlog!$A$2:$A$180,0))="","",INDEX(Backlog!$L$2:$L$180,MATCH($A29,Backlog!$A$2:$A$180,0)))</x:f>
        <x:v>Worker 1</x:v>
      </x:c>
      <x:c r="E29" s="206" t="str">
        <x:f>IF(INDEX(Backlog!$K$2:$K$180,MATCH($A29,Backlog!$A$2:$A$180,0))="","",INDEX(Backlog!$K$2:$K$180,MATCH($A29,Backlog!$A$2:$A$180,0)))</x:f>
        <x:v>Done</x:v>
      </x:c>
      <x:c r="F29" s="206" t="n">
        <x:f>IF(ISNUMBER(INDEX(Backlog!$R$2:$R$180,MATCH($A29,Backlog!$A$2:$A$180,0))),INDEX(Backlog!$R$2:$R$180,MATCH($A29,Backlog!$A$2:$A$180,0)),"")</x:f>
        <x:v>1.2000000000000002</x:v>
      </x:c>
      <x:c r="G29" s="206" t="str">
        <x:f>IF(INDEX(Backlog!$M$2:$M$180,MATCH($A29,Backlog!$A$2:$A$180,0))="","",INDEX(Backlog!$M$2:$M$180,MATCH($A29,Backlog!$A$2:$A$180,0)))</x:f>
        <x:v>T-095</x:v>
      </x:c>
      <x:c r="H29" s="206" t="str">
        <x:f>IF(INDEX(Backlog!$N$2:$N$180,MATCH($A29,Backlog!$A$2:$A$180,0))="","",INDEX(Backlog!$N$2:$N$180,MATCH($A29,Backlog!$A$2:$A$180,0)))</x:f>
        <x:v>T-097; T-098; T-107; T-109; T-128; T-134; T-183; T-221</x:v>
      </x:c>
      <x:c r="I29" s="206" t="str">
        <x:f>IF(INDEX(Backlog!$T$2:$T$180,MATCH($A29,Backlog!$A$2:$A$180,0))="","",INDEX(Backlog!$T$2:$T$180,MATCH($A29,Backlog!$A$2:$A$180,0)))</x:f>
        <x:v>WAIT for Presentation RC freeze/tag + clean index/worktree. Then: T-095 canonical relationship publication/model complete.</x:v>
      </x:c>
      <x:c r="J29" s="194" t="str">
        <x:f>IF(INDEX(Backlog!$AN$2:$AN$180,MATCH($A29,Backlog!$A$2:$A$180,0))="","",INDEX(Backlog!$AN$2:$AN$180,MATCH($A29,Backlog!$A$2:$A$180,0)))</x:f>
      </x:c>
      <x:c r="K29"/>
      <x:c r="L29"/>
    </x:row>
    <x:row r="30" ht="26" customHeight="1">
      <x:c r="A30" s="206" t="str">
        <x:v>T-097</x:v>
      </x:c>
      <x:c r="B30" s="206" t="str">
        <x:f>IF(INDEX(Backlog!$B$2:$B$180,MATCH($A30,Backlog!$A$2:$A$180,0))="","",INDEX(Backlog!$B$2:$B$180,MATCH($A30,Backlog!$A$2:$A$180,0)))</x:f>
        <x:v>M2</x:v>
      </x:c>
      <x:c r="C30" s="206" t="str">
        <x:f>IF(INDEX(Backlog!$C$2:$C$180,MATCH($A30,Backlog!$A$2:$A$180,0))="","",INDEX(Backlog!$C$2:$C$180,MATCH($A30,Backlog!$A$2:$A$180,0)))</x:f>
        <x:v>P2</x:v>
      </x:c>
      <x:c r="D30" s="206" t="str">
        <x:f>IF(INDEX(Backlog!$L$2:$L$180,MATCH($A30,Backlog!$A$2:$A$180,0))="","",INDEX(Backlog!$L$2:$L$180,MATCH($A30,Backlog!$A$2:$A$180,0)))</x:f>
        <x:v>Worker 1</x:v>
      </x:c>
      <x:c r="E30" s="206" t="str">
        <x:f>IF(INDEX(Backlog!$K$2:$K$180,MATCH($A30,Backlog!$A$2:$A$180,0))="","",INDEX(Backlog!$K$2:$K$180,MATCH($A30,Backlog!$A$2:$A$180,0)))</x:f>
        <x:v>Done</x:v>
      </x:c>
      <x:c r="F30" s="206" t="n">
        <x:f>IF(ISNUMBER(INDEX(Backlog!$R$2:$R$180,MATCH($A30,Backlog!$A$2:$A$180,0))),INDEX(Backlog!$R$2:$R$180,MATCH($A30,Backlog!$A$2:$A$180,0)),"")</x:f>
        <x:v>0.8999999999999999</x:v>
      </x:c>
      <x:c r="G30" s="206" t="str">
        <x:f>IF(INDEX(Backlog!$M$2:$M$180,MATCH($A30,Backlog!$A$2:$A$180,0))="","",INDEX(Backlog!$M$2:$M$180,MATCH($A30,Backlog!$A$2:$A$180,0)))</x:f>
        <x:v>T-096</x:v>
      </x:c>
      <x:c r="H30" s="206" t="str">
        <x:f>IF(INDEX(Backlog!$N$2:$N$180,MATCH($A30,Backlog!$A$2:$A$180,0))="","",INDEX(Backlog!$N$2:$N$180,MATCH($A30,Backlog!$A$2:$A$180,0)))</x:f>
        <x:v>T-098; T-107; T-109; T-128; T-183</x:v>
      </x:c>
      <x:c r="I30" s="206" t="str">
        <x:f>IF(INDEX(Backlog!$T$2:$T$180,MATCH($A30,Backlog!$A$2:$A$180,0))="","",INDEX(Backlog!$T$2:$T$180,MATCH($A30,Backlog!$A$2:$A$180,0)))</x:f>
        <x:v>WAIT for Presentation RC freeze/tag + clean index/worktree. Then: T-096 first resolver consumers green.</x:v>
      </x:c>
      <x:c r="J30" s="194" t="str">
        <x:f>IF(INDEX(Backlog!$AN$2:$AN$180,MATCH($A30,Backlog!$A$2:$A$180,0))="","",INDEX(Backlog!$AN$2:$AN$180,MATCH($A30,Backlog!$A$2:$A$180,0)))</x:f>
      </x:c>
      <x:c r="K30"/>
      <x:c r="L30"/>
    </x:row>
    <x:row r="31" ht="26" customHeight="1">
      <x:c r="A31" s="206" t="str">
        <x:v>T-098</x:v>
      </x:c>
      <x:c r="B31" s="206" t="str">
        <x:f>IF(INDEX(Backlog!$B$2:$B$180,MATCH($A31,Backlog!$A$2:$A$180,0))="","",INDEX(Backlog!$B$2:$B$180,MATCH($A31,Backlog!$A$2:$A$180,0)))</x:f>
        <x:v>M2</x:v>
      </x:c>
      <x:c r="C31" s="206" t="str">
        <x:f>IF(INDEX(Backlog!$C$2:$C$180,MATCH($A31,Backlog!$A$2:$A$180,0))="","",INDEX(Backlog!$C$2:$C$180,MATCH($A31,Backlog!$A$2:$A$180,0)))</x:f>
        <x:v>P2</x:v>
      </x:c>
      <x:c r="D31" s="206" t="str">
        <x:f>IF(INDEX(Backlog!$L$2:$L$180,MATCH($A31,Backlog!$A$2:$A$180,0))="","",INDEX(Backlog!$L$2:$L$180,MATCH($A31,Backlog!$A$2:$A$180,0)))</x:f>
        <x:v>Worker 2</x:v>
      </x:c>
      <x:c r="E31" s="206" t="str">
        <x:f>IF(INDEX(Backlog!$K$2:$K$180,MATCH($A31,Backlog!$A$2:$A$180,0))="","",INDEX(Backlog!$K$2:$K$180,MATCH($A31,Backlog!$A$2:$A$180,0)))</x:f>
        <x:v>Not Started</x:v>
      </x:c>
      <x:c r="F31" s="206" t="n">
        <x:f>IF(ISNUMBER(INDEX(Backlog!$R$2:$R$180,MATCH($A31,Backlog!$A$2:$A$180,0))),INDEX(Backlog!$R$2:$R$180,MATCH($A31,Backlog!$A$2:$A$180,0)),"")</x:f>
        <x:v>2</x:v>
      </x:c>
      <x:c r="G31" s="206" t="str">
        <x:f>IF(INDEX(Backlog!$M$2:$M$180,MATCH($A31,Backlog!$A$2:$A$180,0))="","",INDEX(Backlog!$M$2:$M$180,MATCH($A31,Backlog!$A$2:$A$180,0)))</x:f>
        <x:v>T-095; T-096; T-097</x:v>
      </x:c>
      <x:c r="H31" s="206" t="str">
        <x:f>IF(INDEX(Backlog!$N$2:$N$180,MATCH($A31,Backlog!$A$2:$A$180,0))="","",INDEX(Backlog!$N$2:$N$180,MATCH($A31,Backlog!$A$2:$A$180,0)))</x:f>
        <x:v>T-107; T-109; T-128; T-183</x:v>
      </x:c>
      <x:c r="I31" s="206" t="str">
        <x:f>IF(INDEX(Backlog!$T$2:$T$180,MATCH($A31,Backlog!$A$2:$A$180,0))="","",INDEX(Backlog!$T$2:$T$180,MATCH($A31,Backlog!$A$2:$A$180,0)))</x:f>
        <x:v>WAIT for Presentation RC freeze/tag + clean index/worktree. Then: T-060 M1 C6 surface + T-095 + T-096 + T-097.</x:v>
      </x:c>
      <x:c r="J31" s="194" t="str">
        <x:f>IF(INDEX(Backlog!$AN$2:$AN$180,MATCH($A31,Backlog!$A$2:$A$180,0))="","",INDEX(Backlog!$AN$2:$AN$180,MATCH($A31,Backlog!$A$2:$A$180,0)))</x:f>
      </x:c>
      <x:c r="K31"/>
      <x:c r="L31"/>
    </x:row>
    <x:row r="32" ht="26" customHeight="1">
      <x:c r="A32" s="206" t="str">
        <x:v>T-099</x:v>
      </x:c>
      <x:c r="B32" s="206" t="str">
        <x:f>IF(INDEX(Backlog!$B$2:$B$180,MATCH($A32,Backlog!$A$2:$A$180,0))="","",INDEX(Backlog!$B$2:$B$180,MATCH($A32,Backlog!$A$2:$A$180,0)))</x:f>
        <x:v>M2</x:v>
      </x:c>
      <x:c r="C32" s="206" t="str">
        <x:f>IF(INDEX(Backlog!$C$2:$C$180,MATCH($A32,Backlog!$A$2:$A$180,0))="","",INDEX(Backlog!$C$2:$C$180,MATCH($A32,Backlog!$A$2:$A$180,0)))</x:f>
        <x:v>P2</x:v>
      </x:c>
      <x:c r="D32" s="206" t="str">
        <x:f>IF(INDEX(Backlog!$L$2:$L$180,MATCH($A32,Backlog!$A$2:$A$180,0))="","",INDEX(Backlog!$L$2:$L$180,MATCH($A32,Backlog!$A$2:$A$180,0)))</x:f>
        <x:v>Worker 1</x:v>
      </x:c>
      <x:c r="E32" s="206" t="str">
        <x:f>IF(INDEX(Backlog!$K$2:$K$180,MATCH($A32,Backlog!$A$2:$A$180,0))="","",INDEX(Backlog!$K$2:$K$180,MATCH($A32,Backlog!$A$2:$A$180,0)))</x:f>
        <x:v>Done</x:v>
      </x:c>
      <x:c r="F32" s="206" t="n">
        <x:f>IF(ISNUMBER(INDEX(Backlog!$R$2:$R$180,MATCH($A32,Backlog!$A$2:$A$180,0))),INDEX(Backlog!$R$2:$R$180,MATCH($A32,Backlog!$A$2:$A$180,0)),"")</x:f>
        <x:v>1.2000000000000002</x:v>
      </x:c>
      <x:c r="G32" s="206" t="str">
        <x:f>IF(INDEX(Backlog!$M$2:$M$180,MATCH($A32,Backlog!$A$2:$A$180,0))="","",INDEX(Backlog!$M$2:$M$180,MATCH($A32,Backlog!$A$2:$A$180,0)))</x:f>
        <x:v>T-087; T-089; T-090</x:v>
      </x:c>
      <x:c r="H32" s="206" t="str">
        <x:f>IF(INDEX(Backlog!$N$2:$N$180,MATCH($A32,Backlog!$A$2:$A$180,0))="","",INDEX(Backlog!$N$2:$N$180,MATCH($A32,Backlog!$A$2:$A$180,0)))</x:f>
        <x:v>T-100; T-101; T-104; T-107; T-108; T-109; T-114; T-128; T-183; T-261</x:v>
      </x:c>
      <x:c r="I32" s="206" t="str">
        <x:f>IF(INDEX(Backlog!$T$2:$T$180,MATCH($A32,Backlog!$A$2:$A$180,0))="","",INDEX(Backlog!$T$2:$T$180,MATCH($A32,Backlog!$A$2:$A$180,0)))</x:f>
        <x:v>WAIT for Presentation RC freeze/tag + clean index/worktree. Then: T-087 canonical staging schema + T-089/T-090 definition_versions authority.</x:v>
      </x:c>
      <x:c r="J32" s="194" t="str">
        <x:f>IF(INDEX(Backlog!$AN$2:$AN$180,MATCH($A32,Backlog!$A$2:$A$180,0))="","",INDEX(Backlog!$AN$2:$AN$180,MATCH($A32,Backlog!$A$2:$A$180,0)))</x:f>
      </x:c>
      <x:c r="K32"/>
      <x:c r="L32"/>
    </x:row>
    <x:row r="33" ht="26" customHeight="1">
      <x:c r="A33" s="206" t="str">
        <x:v>T-100</x:v>
      </x:c>
      <x:c r="B33" s="206" t="str">
        <x:f>IF(INDEX(Backlog!$B$2:$B$180,MATCH($A33,Backlog!$A$2:$A$180,0))="","",INDEX(Backlog!$B$2:$B$180,MATCH($A33,Backlog!$A$2:$A$180,0)))</x:f>
        <x:v>M2</x:v>
      </x:c>
      <x:c r="C33" s="206" t="str">
        <x:f>IF(INDEX(Backlog!$C$2:$C$180,MATCH($A33,Backlog!$A$2:$A$180,0))="","",INDEX(Backlog!$C$2:$C$180,MATCH($A33,Backlog!$A$2:$A$180,0)))</x:f>
        <x:v>P2</x:v>
      </x:c>
      <x:c r="D33" s="206" t="str">
        <x:f>IF(INDEX(Backlog!$L$2:$L$180,MATCH($A33,Backlog!$A$2:$A$180,0))="","",INDEX(Backlog!$L$2:$L$180,MATCH($A33,Backlog!$A$2:$A$180,0)))</x:f>
        <x:v>Worker 1</x:v>
      </x:c>
      <x:c r="E33" s="206" t="str">
        <x:f>IF(INDEX(Backlog!$K$2:$K$180,MATCH($A33,Backlog!$A$2:$A$180,0))="","",INDEX(Backlog!$K$2:$K$180,MATCH($A33,Backlog!$A$2:$A$180,0)))</x:f>
        <x:v>Not Started</x:v>
      </x:c>
      <x:c r="F33" s="206" t="n">
        <x:f>IF(ISNUMBER(INDEX(Backlog!$R$2:$R$180,MATCH($A33,Backlog!$A$2:$A$180,0))),INDEX(Backlog!$R$2:$R$180,MATCH($A33,Backlog!$A$2:$A$180,0)),"")</x:f>
        <x:v>0.8999999999999999</x:v>
      </x:c>
      <x:c r="G33" s="206" t="str">
        <x:f>IF(INDEX(Backlog!$M$2:$M$180,MATCH($A33,Backlog!$A$2:$A$180,0))="","",INDEX(Backlog!$M$2:$M$180,MATCH($A33,Backlog!$A$2:$A$180,0)))</x:f>
        <x:v>T-099</x:v>
      </x:c>
      <x:c r="H33" s="206" t="str">
        <x:f>IF(INDEX(Backlog!$N$2:$N$180,MATCH($A33,Backlog!$A$2:$A$180,0))="","",INDEX(Backlog!$N$2:$N$180,MATCH($A33,Backlog!$A$2:$A$180,0)))</x:f>
        <x:v>T-101; T-107; T-109; T-128; T-183</x:v>
      </x:c>
      <x:c r="I33" s="206" t="str">
        <x:f>IF(INDEX(Backlog!$T$2:$T$180,MATCH($A33,Backlog!$A$2:$A$180,0))="","",INDEX(Backlog!$T$2:$T$180,MATCH($A33,Backlog!$A$2:$A$180,0)))</x:f>
        <x:v>WAIT for Presentation RC freeze/tag + clean index/worktree. Then: T-099 canonical quarantine table/API and first eight PV classes.</x:v>
      </x:c>
      <x:c r="J33" s="194" t="str">
        <x:f>IF(INDEX(Backlog!$AN$2:$AN$180,MATCH($A33,Backlog!$A$2:$A$180,0))="","",INDEX(Backlog!$AN$2:$AN$180,MATCH($A33,Backlog!$A$2:$A$180,0)))</x:f>
      </x:c>
      <x:c r="K33"/>
      <x:c r="L33"/>
    </x:row>
    <x:row r="34" ht="26" customHeight="1">
      <x:c r="A34" s="206" t="str">
        <x:v>T-101</x:v>
      </x:c>
      <x:c r="B34" s="206" t="str">
        <x:f>IF(INDEX(Backlog!$B$2:$B$180,MATCH($A34,Backlog!$A$2:$A$180,0))="","",INDEX(Backlog!$B$2:$B$180,MATCH($A34,Backlog!$A$2:$A$180,0)))</x:f>
        <x:v>M2</x:v>
      </x:c>
      <x:c r="C34" s="206" t="str">
        <x:f>IF(INDEX(Backlog!$C$2:$C$180,MATCH($A34,Backlog!$A$2:$A$180,0))="","",INDEX(Backlog!$C$2:$C$180,MATCH($A34,Backlog!$A$2:$A$180,0)))</x:f>
        <x:v>P2</x:v>
      </x:c>
      <x:c r="D34" s="206" t="str">
        <x:f>IF(INDEX(Backlog!$L$2:$L$180,MATCH($A34,Backlog!$A$2:$A$180,0))="","",INDEX(Backlog!$L$2:$L$180,MATCH($A34,Backlog!$A$2:$A$180,0)))</x:f>
        <x:v>Worker 2</x:v>
      </x:c>
      <x:c r="E34" s="206" t="str">
        <x:f>IF(INDEX(Backlog!$K$2:$K$180,MATCH($A34,Backlog!$A$2:$A$180,0))="","",INDEX(Backlog!$K$2:$K$180,MATCH($A34,Backlog!$A$2:$A$180,0)))</x:f>
        <x:v>Not Started</x:v>
      </x:c>
      <x:c r="F34" s="206" t="n">
        <x:f>IF(ISNUMBER(INDEX(Backlog!$R$2:$R$180,MATCH($A34,Backlog!$A$2:$A$180,0))),INDEX(Backlog!$R$2:$R$180,MATCH($A34,Backlog!$A$2:$A$180,0)),"")</x:f>
        <x:v>2</x:v>
      </x:c>
      <x:c r="G34" s="206" t="str">
        <x:f>IF(INDEX(Backlog!$M$2:$M$180,MATCH($A34,Backlog!$A$2:$A$180,0))="","",INDEX(Backlog!$M$2:$M$180,MATCH($A34,Backlog!$A$2:$A$180,0)))</x:f>
        <x:v>T-099; T-100</x:v>
      </x:c>
      <x:c r="H34" s="206" t="str">
        <x:f>IF(INDEX(Backlog!$N$2:$N$180,MATCH($A34,Backlog!$A$2:$A$180,0))="","",INDEX(Backlog!$N$2:$N$180,MATCH($A34,Backlog!$A$2:$A$180,0)))</x:f>
        <x:v>T-107; T-109; T-128; T-183</x:v>
      </x:c>
      <x:c r="I34" s="206" t="str">
        <x:f>IF(INDEX(Backlog!$T$2:$T$180,MATCH($A34,Backlog!$A$2:$A$180,0))="","",INDEX(Backlog!$T$2:$T$180,MATCH($A34,Backlog!$A$2:$A$180,0)))</x:f>
        <x:v>WAIT for Presentation RC freeze/tag + clean index/worktree. Then: T-061 final M1 API/page contract + T-099 + T-100 canonical quarantine impleme...</x:v>
      </x:c>
      <x:c r="J34" s="194" t="str">
        <x:f>IF(INDEX(Backlog!$AN$2:$AN$180,MATCH($A34,Backlog!$A$2:$A$180,0))="","",INDEX(Backlog!$AN$2:$AN$180,MATCH($A34,Backlog!$A$2:$A$180,0)))</x:f>
      </x:c>
      <x:c r="K34"/>
      <x:c r="L34"/>
    </x:row>
    <x:row r="35" ht="26" customHeight="1">
      <x:c r="A35" s="206" t="str">
        <x:v>T-102</x:v>
      </x:c>
      <x:c r="B35" s="206" t="str">
        <x:f>IF(INDEX(Backlog!$B$2:$B$180,MATCH($A35,Backlog!$A$2:$A$180,0))="","",INDEX(Backlog!$B$2:$B$180,MATCH($A35,Backlog!$A$2:$A$180,0)))</x:f>
        <x:v>M2</x:v>
      </x:c>
      <x:c r="C35" s="206" t="str">
        <x:f>IF(INDEX(Backlog!$C$2:$C$180,MATCH($A35,Backlog!$A$2:$A$180,0))="","",INDEX(Backlog!$C$2:$C$180,MATCH($A35,Backlog!$A$2:$A$180,0)))</x:f>
        <x:v>P2</x:v>
      </x:c>
      <x:c r="D35" s="206" t="str">
        <x:f>IF(INDEX(Backlog!$L$2:$L$180,MATCH($A35,Backlog!$A$2:$A$180,0))="","",INDEX(Backlog!$L$2:$L$180,MATCH($A35,Backlog!$A$2:$A$180,0)))</x:f>
        <x:v>Worker 1</x:v>
      </x:c>
      <x:c r="E35" s="206" t="str">
        <x:f>IF(INDEX(Backlog!$K$2:$K$180,MATCH($A35,Backlog!$A$2:$A$180,0))="","",INDEX(Backlog!$K$2:$K$180,MATCH($A35,Backlog!$A$2:$A$180,0)))</x:f>
        <x:v>Not Started</x:v>
      </x:c>
      <x:c r="F35" s="206" t="n">
        <x:f>IF(ISNUMBER(INDEX(Backlog!$R$2:$R$180,MATCH($A35,Backlog!$A$2:$A$180,0))),INDEX(Backlog!$R$2:$R$180,MATCH($A35,Backlog!$A$2:$A$180,0)),"")</x:f>
        <x:v>1.2000000000000002</x:v>
      </x:c>
      <x:c r="G35" s="206" t="str">
        <x:f>IF(INDEX(Backlog!$M$2:$M$180,MATCH($A35,Backlog!$A$2:$A$180,0))="","",INDEX(Backlog!$M$2:$M$180,MATCH($A35,Backlog!$A$2:$A$180,0)))</x:f>
        <x:v>T-087; T-095</x:v>
      </x:c>
      <x:c r="H35" s="206" t="str">
        <x:f>IF(INDEX(Backlog!$N$2:$N$180,MATCH($A35,Backlog!$A$2:$A$180,0))="","",INDEX(Backlog!$N$2:$N$180,MATCH($A35,Backlog!$A$2:$A$180,0)))</x:f>
        <x:v>T-103; T-107; T-109; T-128; T-183</x:v>
      </x:c>
      <x:c r="I35" s="206" t="str">
        <x:f>IF(INDEX(Backlog!$T$2:$T$180,MATCH($A35,Backlog!$A$2:$A$180,0))="","",INDEX(Backlog!$T$2:$T$180,MATCH($A35,Backlog!$A$2:$A$180,0)))</x:f>
        <x:v>WAIT for Presentation RC freeze/tag + clean index/worktree. Then: T-087 canonical plant schema + T-095 relationship/material identity authority.</x:v>
      </x:c>
      <x:c r="J35" s="194" t="str">
        <x:f>IF(INDEX(Backlog!$AN$2:$AN$180,MATCH($A35,Backlog!$A$2:$A$180,0))="","",INDEX(Backlog!$AN$2:$AN$180,MATCH($A35,Backlog!$A$2:$A$180,0)))</x:f>
      </x:c>
      <x:c r="K35"/>
      <x:c r="L35"/>
    </x:row>
    <x:row r="36" ht="26" customHeight="1">
      <x:c r="A36" s="206" t="str">
        <x:v>T-103</x:v>
      </x:c>
      <x:c r="B36" s="206" t="str">
        <x:f>IF(INDEX(Backlog!$B$2:$B$180,MATCH($A36,Backlog!$A$2:$A$180,0))="","",INDEX(Backlog!$B$2:$B$180,MATCH($A36,Backlog!$A$2:$A$180,0)))</x:f>
        <x:v>M2</x:v>
      </x:c>
      <x:c r="C36" s="206" t="str">
        <x:f>IF(INDEX(Backlog!$C$2:$C$180,MATCH($A36,Backlog!$A$2:$A$180,0))="","",INDEX(Backlog!$C$2:$C$180,MATCH($A36,Backlog!$A$2:$A$180,0)))</x:f>
        <x:v>P2</x:v>
      </x:c>
      <x:c r="D36" s="206" t="str">
        <x:f>IF(INDEX(Backlog!$L$2:$L$180,MATCH($A36,Backlog!$A$2:$A$180,0))="","",INDEX(Backlog!$L$2:$L$180,MATCH($A36,Backlog!$A$2:$A$180,0)))</x:f>
        <x:v>Worker 1</x:v>
      </x:c>
      <x:c r="E36" s="206" t="str">
        <x:f>IF(INDEX(Backlog!$K$2:$K$180,MATCH($A36,Backlog!$A$2:$A$180,0))="","",INDEX(Backlog!$K$2:$K$180,MATCH($A36,Backlog!$A$2:$A$180,0)))</x:f>
        <x:v>Not Started</x:v>
      </x:c>
      <x:c r="F36" s="206" t="n">
        <x:f>IF(ISNUMBER(INDEX(Backlog!$R$2:$R$180,MATCH($A36,Backlog!$A$2:$A$180,0))),INDEX(Backlog!$R$2:$R$180,MATCH($A36,Backlog!$A$2:$A$180,0)),"")</x:f>
        <x:v>0.8999999999999999</x:v>
      </x:c>
      <x:c r="G36" s="206" t="str">
        <x:f>IF(INDEX(Backlog!$M$2:$M$180,MATCH($A36,Backlog!$A$2:$A$180,0))="","",INDEX(Backlog!$M$2:$M$180,MATCH($A36,Backlog!$A$2:$A$180,0)))</x:f>
        <x:v>T-095; T-102</x:v>
      </x:c>
      <x:c r="H36" s="206" t="str">
        <x:f>IF(INDEX(Backlog!$N$2:$N$180,MATCH($A36,Backlog!$A$2:$A$180,0))="","",INDEX(Backlog!$N$2:$N$180,MATCH($A36,Backlog!$A$2:$A$180,0)))</x:f>
        <x:v>T-107; T-109; T-128; T-183</x:v>
      </x:c>
      <x:c r="I36" s="206" t="str">
        <x:f>IF(INDEX(Backlog!$T$2:$T$180,MATCH($A36,Backlog!$A$2:$A$180,0))="","",INDEX(Backlog!$T$2:$T$180,MATCH($A36,Backlog!$A$2:$A$180,0)))</x:f>
        <x:v>WAIT for Presentation RC freeze/tag + clean index/worktree. Then: T-095 + T-102 canonical relationship/identity authority.</x:v>
      </x:c>
      <x:c r="J36" s="194" t="str">
        <x:f>IF(INDEX(Backlog!$AN$2:$AN$180,MATCH($A36,Backlog!$A$2:$A$180,0))="","",INDEX(Backlog!$AN$2:$AN$180,MATCH($A36,Backlog!$A$2:$A$180,0)))</x:f>
      </x:c>
      <x:c r="K36"/>
      <x:c r="L36"/>
    </x:row>
    <x:row r="37" ht="26" customHeight="1">
      <x:c r="A37" s="206" t="str">
        <x:v>T-104</x:v>
      </x:c>
      <x:c r="B37" s="206" t="str">
        <x:f>IF(INDEX(Backlog!$B$2:$B$180,MATCH($A37,Backlog!$A$2:$A$180,0))="","",INDEX(Backlog!$B$2:$B$180,MATCH($A37,Backlog!$A$2:$A$180,0)))</x:f>
        <x:v>M2</x:v>
      </x:c>
      <x:c r="C37" s="206" t="str">
        <x:f>IF(INDEX(Backlog!$C$2:$C$180,MATCH($A37,Backlog!$A$2:$A$180,0))="","",INDEX(Backlog!$C$2:$C$180,MATCH($A37,Backlog!$A$2:$A$180,0)))</x:f>
        <x:v>P2</x:v>
      </x:c>
      <x:c r="D37" s="206" t="str">
        <x:f>IF(INDEX(Backlog!$L$2:$L$180,MATCH($A37,Backlog!$A$2:$A$180,0))="","",INDEX(Backlog!$L$2:$L$180,MATCH($A37,Backlog!$A$2:$A$180,0)))</x:f>
        <x:v>Worker 1</x:v>
      </x:c>
      <x:c r="E37" s="206" t="str">
        <x:f>IF(INDEX(Backlog!$K$2:$K$180,MATCH($A37,Backlog!$A$2:$A$180,0))="","",INDEX(Backlog!$K$2:$K$180,MATCH($A37,Backlog!$A$2:$A$180,0)))</x:f>
        <x:v>Not Started</x:v>
      </x:c>
      <x:c r="F37" s="206" t="n">
        <x:f>IF(ISNUMBER(INDEX(Backlog!$R$2:$R$180,MATCH($A37,Backlog!$A$2:$A$180,0))),INDEX(Backlog!$R$2:$R$180,MATCH($A37,Backlog!$A$2:$A$180,0)),"")</x:f>
        <x:v>1.2000000000000002</x:v>
      </x:c>
      <x:c r="G37" s="206" t="str">
        <x:f>IF(INDEX(Backlog!$M$2:$M$180,MATCH($A37,Backlog!$A$2:$A$180,0))="","",INDEX(Backlog!$M$2:$M$180,MATCH($A37,Backlog!$A$2:$A$180,0)))</x:f>
        <x:v>T-090; T-095; T-099; T-261</x:v>
      </x:c>
      <x:c r="H37" s="206" t="str">
        <x:f>IF(INDEX(Backlog!$N$2:$N$180,MATCH($A37,Backlog!$A$2:$A$180,0))="","",INDEX(Backlog!$N$2:$N$180,MATCH($A37,Backlog!$A$2:$A$180,0)))</x:f>
        <x:v>T-107; T-108; T-109; T-128; T-183; T-247</x:v>
      </x:c>
      <x:c r="I37" s="206" t="str">
        <x:f>IF(INDEX(Backlog!$T$2:$T$180,MATCH($A37,Backlog!$A$2:$A$180,0))="","",INDEX(Backlog!$T$2:$T$180,MATCH($A37,Backlog!$A$2:$A$180,0)))</x:f>
        <x:v>WAIT for Presentation RC freeze/tag + clean index/worktree. Then: T-090 canonical versioned mapping definitions + T-095 relationship authority ...</x:v>
      </x:c>
      <x:c r="J37" s="194" t="str">
        <x:f>IF(INDEX(Backlog!$AN$2:$AN$180,MATCH($A37,Backlog!$A$2:$A$180,0))="","",INDEX(Backlog!$AN$2:$AN$180,MATCH($A37,Backlog!$A$2:$A$180,0)))</x:f>
      </x:c>
      <x:c r="K37"/>
      <x:c r="L37"/>
    </x:row>
    <x:row r="38" ht="26" customHeight="1">
      <x:c r="A38" s="206" t="str">
        <x:v>T-106</x:v>
      </x:c>
      <x:c r="B38" s="206" t="str">
        <x:f>IF(INDEX(Backlog!$B$2:$B$180,MATCH($A38,Backlog!$A$2:$A$180,0))="","",INDEX(Backlog!$B$2:$B$180,MATCH($A38,Backlog!$A$2:$A$180,0)))</x:f>
        <x:v>M2</x:v>
      </x:c>
      <x:c r="C38" s="206" t="str">
        <x:f>IF(INDEX(Backlog!$C$2:$C$180,MATCH($A38,Backlog!$A$2:$A$180,0))="","",INDEX(Backlog!$C$2:$C$180,MATCH($A38,Backlog!$A$2:$A$180,0)))</x:f>
        <x:v>P2</x:v>
      </x:c>
      <x:c r="D38" s="206" t="str">
        <x:f>IF(INDEX(Backlog!$L$2:$L$180,MATCH($A38,Backlog!$A$2:$A$180,0))="","",INDEX(Backlog!$L$2:$L$180,MATCH($A38,Backlog!$A$2:$A$180,0)))</x:f>
        <x:v>Worker 3</x:v>
      </x:c>
      <x:c r="E38" s="206" t="str">
        <x:f>IF(INDEX(Backlog!$K$2:$K$180,MATCH($A38,Backlog!$A$2:$A$180,0))="","",INDEX(Backlog!$K$2:$K$180,MATCH($A38,Backlog!$A$2:$A$180,0)))</x:f>
        <x:v>In Progress</x:v>
      </x:c>
      <x:c r="F38" s="206" t="str">
        <x:f>IF(ISNUMBER(INDEX(Backlog!$R$2:$R$180,MATCH($A38,Backlog!$A$2:$A$180,0))),INDEX(Backlog!$R$2:$R$180,MATCH($A38,Backlog!$A$2:$A$180,0)),"")</x:f>
      </x:c>
      <x:c r="G38" s="206" t="str">
        <x:f>IF(INDEX(Backlog!$M$2:$M$180,MATCH($A38,Backlog!$A$2:$A$180,0))="","",INDEX(Backlog!$M$2:$M$180,MATCH($A38,Backlog!$A$2:$A$180,0)))</x:f>
        <x:v>T-064; T-089; T-090; T-252</x:v>
      </x:c>
      <x:c r="H38" s="206" t="str">
        <x:f>IF(INDEX(Backlog!$N$2:$N$180,MATCH($A38,Backlog!$A$2:$A$180,0))="","",INDEX(Backlog!$N$2:$N$180,MATCH($A38,Backlog!$A$2:$A$180,0)))</x:f>
        <x:v>T-107; T-122; T-125; T-245; T-261; T-263</x:v>
      </x:c>
      <x:c r="I38" s="206" t="str">
        <x:f>IF(INDEX(Backlog!$T$2:$T$180,MATCH($A38,Backlog!$A$2:$A$180,0))="","",INDEX(Backlog!$T$2:$T$180,MATCH($A38,Backlog!$A$2:$A$180,0)))</x:f>
        <x:v>Consume accepted producer contracts; remaining dependencies: T-064; T-089; T-090; T-252. No private scheduler/definition authority. Source-present is not closure proof.</x:v>
      </x:c>
      <x:c r="J38" s="194" t="str">
        <x:f>IF(INDEX(Backlog!$AN$2:$AN$180,MATCH($A38,Backlog!$A$2:$A$180,0))="","",INDEX(Backlog!$AN$2:$AN$180,MATCH($A38,Backlog!$A$2:$A$180,0)))</x:f>
      </x:c>
      <x:c r="K38"/>
      <x:c r="L38"/>
    </x:row>
    <x:row r="39" ht="26" customHeight="1">
      <x:c r="A39" s="206" t="str">
        <x:v>T-107</x:v>
      </x:c>
      <x:c r="B39" s="206" t="str">
        <x:f>IF(INDEX(Backlog!$B$2:$B$180,MATCH($A39,Backlog!$A$2:$A$180,0))="","",INDEX(Backlog!$B$2:$B$180,MATCH($A39,Backlog!$A$2:$A$180,0)))</x:f>
        <x:v>M2</x:v>
      </x:c>
      <x:c r="C39" s="206" t="str">
        <x:f>IF(INDEX(Backlog!$C$2:$C$180,MATCH($A39,Backlog!$A$2:$A$180,0))="","",INDEX(Backlog!$C$2:$C$180,MATCH($A39,Backlog!$A$2:$A$180,0)))</x:f>
        <x:v>P2</x:v>
      </x:c>
      <x:c r="D39" s="206" t="str">
        <x:f>IF(INDEX(Backlog!$L$2:$L$180,MATCH($A39,Backlog!$A$2:$A$180,0))="","",INDEX(Backlog!$L$2:$L$180,MATCH($A39,Backlog!$A$2:$A$180,0)))</x:f>
        <x:v>Worker 3</x:v>
      </x:c>
      <x:c r="E39" s="206" t="str">
        <x:f>IF(INDEX(Backlog!$K$2:$K$180,MATCH($A39,Backlog!$A$2:$A$180,0))="","",INDEX(Backlog!$K$2:$K$180,MATCH($A39,Backlog!$A$2:$A$180,0)))</x:f>
        <x:v>Not Started</x:v>
      </x:c>
      <x:c r="F39" s="206" t="n">
        <x:f>IF(ISNUMBER(INDEX(Backlog!$R$2:$R$180,MATCH($A39,Backlog!$A$2:$A$180,0))),INDEX(Backlog!$R$2:$R$180,MATCH($A39,Backlog!$A$2:$A$180,0)),"")</x:f>
        <x:v>1.7999999999999998</x:v>
      </x:c>
      <x:c r="G39" s="206" t="str">
        <x:f>IF(INDEX(Backlog!$M$2:$M$180,MATCH($A39,Backlog!$A$2:$A$180,0))="","",INDEX(Backlog!$M$2:$M$180,MATCH($A39,Backlog!$A$2:$A$180,0)))</x:f>
        <x:v>T-095; T-096; T-097; T-098; T-099; T-100; T-101; T-102; T-103; T-104; T-106</x:v>
      </x:c>
      <x:c r="H39" s="206" t="str">
        <x:f>IF(INDEX(Backlog!$N$2:$N$180,MATCH($A39,Backlog!$A$2:$A$180,0))="","",INDEX(Backlog!$N$2:$N$180,MATCH($A39,Backlog!$A$2:$A$180,0)))</x:f>
        <x:v>T-122; T-125; T-141; T-187; T-192</x:v>
      </x:c>
      <x:c r="I39" s="206" t="str">
        <x:f>IF(INDEX(Backlog!$T$2:$T$180,MATCH($A39,Backlog!$A$2:$A$180,0))="","",INDEX(Backlog!$T$2:$T$180,MATCH($A39,Backlog!$A$2:$A$180,0)))</x:f>
        <x:v>WAIT for Presentation RC freeze/tag + clean index/worktree. Then: T-106 canonical job contract + T-095..T-105 canonical data/relationship path;...</x:v>
      </x:c>
      <x:c r="J39" s="194" t="str">
        <x:f>IF(INDEX(Backlog!$AN$2:$AN$180,MATCH($A39,Backlog!$A$2:$A$180,0))="","",INDEX(Backlog!$AN$2:$AN$180,MATCH($A39,Backlog!$A$2:$A$180,0)))</x:f>
      </x:c>
      <x:c r="K39"/>
      <x:c r="L39"/>
    </x:row>
    <x:row r="40" ht="26" customHeight="1">
      <x:c r="A40" s="206" t="str">
        <x:v>T-108</x:v>
      </x:c>
      <x:c r="B40" s="206" t="str">
        <x:f>IF(INDEX(Backlog!$B$2:$B$180,MATCH($A40,Backlog!$A$2:$A$180,0))="","",INDEX(Backlog!$B$2:$B$180,MATCH($A40,Backlog!$A$2:$A$180,0)))</x:f>
        <x:v>M2</x:v>
      </x:c>
      <x:c r="C40" s="206" t="str">
        <x:f>IF(INDEX(Backlog!$C$2:$C$180,MATCH($A40,Backlog!$A$2:$A$180,0))="","",INDEX(Backlog!$C$2:$C$180,MATCH($A40,Backlog!$A$2:$A$180,0)))</x:f>
        <x:v>P2</x:v>
      </x:c>
      <x:c r="D40" s="206" t="str">
        <x:f>IF(INDEX(Backlog!$L$2:$L$180,MATCH($A40,Backlog!$A$2:$A$180,0))="","",INDEX(Backlog!$L$2:$L$180,MATCH($A40,Backlog!$A$2:$A$180,0)))</x:f>
        <x:v>Worker 1</x:v>
      </x:c>
      <x:c r="E40" s="206" t="str">
        <x:f>IF(INDEX(Backlog!$K$2:$K$180,MATCH($A40,Backlog!$A$2:$A$180,0))="","",INDEX(Backlog!$K$2:$K$180,MATCH($A40,Backlog!$A$2:$A$180,0)))</x:f>
        <x:v>Not Started</x:v>
      </x:c>
      <x:c r="F40" s="206" t="str">
        <x:f>IF(ISNUMBER(INDEX(Backlog!$R$2:$R$180,MATCH($A40,Backlog!$A$2:$A$180,0))),INDEX(Backlog!$R$2:$R$180,MATCH($A40,Backlog!$A$2:$A$180,0)),"")</x:f>
      </x:c>
      <x:c r="G40" s="206" t="str">
        <x:f>IF(INDEX(Backlog!$M$2:$M$180,MATCH($A40,Backlog!$A$2:$A$180,0))="","",INDEX(Backlog!$M$2:$M$180,MATCH($A40,Backlog!$A$2:$A$180,0)))</x:f>
        <x:v>T-099; T-104</x:v>
      </x:c>
      <x:c r="H40" s="206" t="str">
        <x:f>IF(INDEX(Backlog!$N$2:$N$180,MATCH($A40,Backlog!$A$2:$A$180,0))="","",INDEX(Backlog!$N$2:$N$180,MATCH($A40,Backlog!$A$2:$A$180,0)))</x:f>
        <x:v>T-109; T-110; T-247</x:v>
      </x:c>
      <x:c r="I40" s="206" t="str">
        <x:f>IF(INDEX(Backlog!$T$2:$T$180,MATCH($A40,Backlog!$A$2:$A$180,0))="","",INDEX(Backlog!$T$2:$T$180,MATCH($A40,Backlog!$A$2:$A$180,0)))</x:f>
        <x:v>Consume accepted producer contracts; remaining dependencies: T-099; T-104. No private scheduler/definition authority. Source-present is not closure proof.</x:v>
      </x:c>
      <x:c r="J40" s="194" t="str">
        <x:f>IF(INDEX(Backlog!$AN$2:$AN$180,MATCH($A40,Backlog!$A$2:$A$180,0))="","",INDEX(Backlog!$AN$2:$AN$180,MATCH($A40,Backlog!$A$2:$A$180,0)))</x:f>
      </x:c>
      <x:c r="K40"/>
      <x:c r="L40"/>
    </x:row>
    <x:row r="41" ht="26" customHeight="1">
      <x:c r="A41" s="206" t="str">
        <x:v>T-109</x:v>
      </x:c>
      <x:c r="B41" s="206" t="str">
        <x:f>IF(INDEX(Backlog!$B$2:$B$180,MATCH($A41,Backlog!$A$2:$A$180,0))="","",INDEX(Backlog!$B$2:$B$180,MATCH($A41,Backlog!$A$2:$A$180,0)))</x:f>
        <x:v>M2</x:v>
      </x:c>
      <x:c r="C41" s="206" t="str">
        <x:f>IF(INDEX(Backlog!$C$2:$C$180,MATCH($A41,Backlog!$A$2:$A$180,0))="","",INDEX(Backlog!$C$2:$C$180,MATCH($A41,Backlog!$A$2:$A$180,0)))</x:f>
        <x:v>P2</x:v>
      </x:c>
      <x:c r="D41" s="206" t="str">
        <x:f>IF(INDEX(Backlog!$L$2:$L$180,MATCH($A41,Backlog!$A$2:$A$180,0))="","",INDEX(Backlog!$L$2:$L$180,MATCH($A41,Backlog!$A$2:$A$180,0)))</x:f>
        <x:v>Worker 3</x:v>
      </x:c>
      <x:c r="E41" s="206" t="str">
        <x:f>IF(INDEX(Backlog!$K$2:$K$180,MATCH($A41,Backlog!$A$2:$A$180,0))="","",INDEX(Backlog!$K$2:$K$180,MATCH($A41,Backlog!$A$2:$A$180,0)))</x:f>
        <x:v>Not Started</x:v>
      </x:c>
      <x:c r="F41" s="206" t="n">
        <x:f>IF(ISNUMBER(INDEX(Backlog!$R$2:$R$180,MATCH($A41,Backlog!$A$2:$A$180,0))),INDEX(Backlog!$R$2:$R$180,MATCH($A41,Backlog!$A$2:$A$180,0)),"")</x:f>
        <x:v>0.8999999999999999</x:v>
      </x:c>
      <x:c r="G41" s="206" t="str">
        <x:f>IF(INDEX(Backlog!$M$2:$M$180,MATCH($A41,Backlog!$A$2:$A$180,0))="","",INDEX(Backlog!$M$2:$M$180,MATCH($A41,Backlog!$A$2:$A$180,0)))</x:f>
        <x:v>T-095; T-096; T-097; T-098; T-099; T-100; T-101; T-102; T-103; T-104; T-108</x:v>
      </x:c>
      <x:c r="H41" s="206" t="str">
        <x:f>IF(INDEX(Backlog!$N$2:$N$180,MATCH($A41,Backlog!$A$2:$A$180,0))="","",INDEX(Backlog!$N$2:$N$180,MATCH($A41,Backlog!$A$2:$A$180,0)))</x:f>
        <x:v>T-110; T-136; T-187</x:v>
      </x:c>
      <x:c r="I41" s="206" t="str">
        <x:f>IF(INDEX(Backlog!$T$2:$T$180,MATCH($A41,Backlog!$A$2:$A$180,0))="","",INDEX(Backlog!$T$2:$T$180,MATCH($A41,Backlog!$A$2:$A$180,0)))</x:f>
        <x:v>WAIT for Presentation RC freeze/tag + clean index/worktree. Then: T-095..T-105; T-108</x:v>
      </x:c>
      <x:c r="J41" s="194" t="str">
        <x:f>IF(INDEX(Backlog!$AN$2:$AN$180,MATCH($A41,Backlog!$A$2:$A$180,0))="","",INDEX(Backlog!$AN$2:$AN$180,MATCH($A41,Backlog!$A$2:$A$180,0)))</x:f>
      </x:c>
      <x:c r="K41"/>
      <x:c r="L41"/>
    </x:row>
    <x:row r="42" ht="26" customHeight="1">
      <x:c r="A42" s="206" t="str">
        <x:v>T-207</x:v>
      </x:c>
      <x:c r="B42" s="206" t="str">
        <x:f>IF(INDEX(Backlog!$B$2:$B$180,MATCH($A42,Backlog!$A$2:$A$180,0))="","",INDEX(Backlog!$B$2:$B$180,MATCH($A42,Backlog!$A$2:$A$180,0)))</x:f>
        <x:v>M2</x:v>
      </x:c>
      <x:c r="C42" s="206" t="str">
        <x:f>IF(INDEX(Backlog!$C$2:$C$180,MATCH($A42,Backlog!$A$2:$A$180,0))="","",INDEX(Backlog!$C$2:$C$180,MATCH($A42,Backlog!$A$2:$A$180,0)))</x:f>
        <x:v>P2</x:v>
      </x:c>
      <x:c r="D42" s="206" t="str">
        <x:f>IF(INDEX(Backlog!$L$2:$L$180,MATCH($A42,Backlog!$A$2:$A$180,0))="","",INDEX(Backlog!$L$2:$L$180,MATCH($A42,Backlog!$A$2:$A$180,0)))</x:f>
        <x:v>Worker 1</x:v>
      </x:c>
      <x:c r="E42" s="206" t="str">
        <x:f>IF(INDEX(Backlog!$K$2:$K$180,MATCH($A42,Backlog!$A$2:$A$180,0))="","",INDEX(Backlog!$K$2:$K$180,MATCH($A42,Backlog!$A$2:$A$180,0)))</x:f>
        <x:v>Done</x:v>
      </x:c>
      <x:c r="F42" s="206" t="n">
        <x:f>IF(ISNUMBER(INDEX(Backlog!$R$2:$R$180,MATCH($A42,Backlog!$A$2:$A$180,0))),INDEX(Backlog!$R$2:$R$180,MATCH($A42,Backlog!$A$2:$A$180,0)),"")</x:f>
        <x:v>2.25</x:v>
      </x:c>
      <x:c r="G42" s="206" t="str">
        <x:f>IF(INDEX(Backlog!$M$2:$M$180,MATCH($A42,Backlog!$A$2:$A$180,0))="","",INDEX(Backlog!$M$2:$M$180,MATCH($A42,Backlog!$A$2:$A$180,0)))</x:f>
        <x:v>T-201</x:v>
      </x:c>
      <x:c r="H42" s="206" t="str">
        <x:f>IF(INDEX(Backlog!$N$2:$N$180,MATCH($A42,Backlog!$A$2:$A$180,0))="","",INDEX(Backlog!$N$2:$N$180,MATCH($A42,Backlog!$A$2:$A$180,0)))</x:f>
        <x:v>T-150; T-224; T-247; T-254; T-266</x:v>
      </x:c>
      <x:c r="I42" s="206" t="str">
        <x:f>IF(INDEX(Backlog!$T$2:$T$180,MATCH($A42,Backlog!$A$2:$A$180,0))="","",INDEX(Backlog!$T$2:$T$180,MATCH($A42,Backlog!$A$2:$A$180,0)))</x:f>
        <x:v>T-201. Does not implement production OPC; truth-corrects the current connector contract only.</x:v>
      </x:c>
      <x:c r="J42" s="194" t="str">
        <x:f>IF(INDEX(Backlog!$AN$2:$AN$180,MATCH($A42,Backlog!$A$2:$A$180,0))="","",INDEX(Backlog!$AN$2:$AN$180,MATCH($A42,Backlog!$A$2:$A$180,0)))</x:f>
      </x:c>
      <x:c r="K42"/>
      <x:c r="L42"/>
    </x:row>
    <x:row r="43" ht="26" customHeight="1">
      <x:c r="A43" s="206" t="str">
        <x:v>T-212</x:v>
      </x:c>
      <x:c r="B43" s="206" t="str">
        <x:f>IF(INDEX(Backlog!$B$2:$B$180,MATCH($A43,Backlog!$A$2:$A$180,0))="","",INDEX(Backlog!$B$2:$B$180,MATCH($A43,Backlog!$A$2:$A$180,0)))</x:f>
        <x:v>M2</x:v>
      </x:c>
      <x:c r="C43" s="206" t="str">
        <x:f>IF(INDEX(Backlog!$C$2:$C$180,MATCH($A43,Backlog!$A$2:$A$180,0))="","",INDEX(Backlog!$C$2:$C$180,MATCH($A43,Backlog!$A$2:$A$180,0)))</x:f>
        <x:v>P2</x:v>
      </x:c>
      <x:c r="D43" s="206" t="str">
        <x:f>IF(INDEX(Backlog!$L$2:$L$180,MATCH($A43,Backlog!$A$2:$A$180,0))="","",INDEX(Backlog!$L$2:$L$180,MATCH($A43,Backlog!$A$2:$A$180,0)))</x:f>
        <x:v>Worker 2</x:v>
      </x:c>
      <x:c r="E43" s="206" t="str">
        <x:f>IF(INDEX(Backlog!$K$2:$K$180,MATCH($A43,Backlog!$A$2:$A$180,0))="","",INDEX(Backlog!$K$2:$K$180,MATCH($A43,Backlog!$A$2:$A$180,0)))</x:f>
        <x:v>Not Started</x:v>
      </x:c>
      <x:c r="F43" s="206" t="n">
        <x:f>IF(ISNUMBER(INDEX(Backlog!$R$2:$R$180,MATCH($A43,Backlog!$A$2:$A$180,0))),INDEX(Backlog!$R$2:$R$180,MATCH($A43,Backlog!$A$2:$A$180,0)),"")</x:f>
        <x:v>5.142857142857143</x:v>
      </x:c>
      <x:c r="G43" s="206" t="str">
        <x:f>IF(INDEX(Backlog!$M$2:$M$180,MATCH($A43,Backlog!$A$2:$A$180,0))="","",INDEX(Backlog!$M$2:$M$180,MATCH($A43,Backlog!$A$2:$A$180,0)))</x:f>
        <x:v>T-202; T-210; T-211; T-092; T-234; T-235; T-236</x:v>
      </x:c>
      <x:c r="H43" s="206" t="str">
        <x:f>IF(INDEX(Backlog!$N$2:$N$180,MATCH($A43,Backlog!$A$2:$A$180,0))="","",INDEX(Backlog!$N$2:$N$180,MATCH($A43,Backlog!$A$2:$A$180,0)))</x:f>
        <x:v>T-150; T-247</x:v>
      </x:c>
      <x:c r="I43" s="206" t="str">
        <x:f>IF(INDEX(Backlog!$T$2:$T$180,MATCH($A43,Backlog!$A$2:$A$180,0))="","",INDEX(Backlog!$T$2:$T$180,MATCH($A43,Backlog!$A$2:$A$180,0)))</x:f>
        <x:v>T-202 + T-210/T-211 + T-092 + committed T-234/T-235/T-236.</x:v>
      </x:c>
      <x:c r="J43" s="194" t="str">
        <x:f>IF(INDEX(Backlog!$AN$2:$AN$180,MATCH($A43,Backlog!$A$2:$A$180,0))="","",INDEX(Backlog!$AN$2:$AN$180,MATCH($A43,Backlog!$A$2:$A$180,0)))</x:f>
      </x:c>
      <x:c r="K43"/>
      <x:c r="L43"/>
    </x:row>
    <x:row r="44" ht="26" customHeight="1">
      <x:c r="A44" s="206" t="str">
        <x:v>T-213</x:v>
      </x:c>
      <x:c r="B44" s="206" t="str">
        <x:f>IF(INDEX(Backlog!$B$2:$B$180,MATCH($A44,Backlog!$A$2:$A$180,0))="","",INDEX(Backlog!$B$2:$B$180,MATCH($A44,Backlog!$A$2:$A$180,0)))</x:f>
        <x:v>M2</x:v>
      </x:c>
      <x:c r="C44" s="206" t="str">
        <x:f>IF(INDEX(Backlog!$C$2:$C$180,MATCH($A44,Backlog!$A$2:$A$180,0))="","",INDEX(Backlog!$C$2:$C$180,MATCH($A44,Backlog!$A$2:$A$180,0)))</x:f>
        <x:v>P2</x:v>
      </x:c>
      <x:c r="D44" s="206" t="str">
        <x:f>IF(INDEX(Backlog!$L$2:$L$180,MATCH($A44,Backlog!$A$2:$A$180,0))="","",INDEX(Backlog!$L$2:$L$180,MATCH($A44,Backlog!$A$2:$A$180,0)))</x:f>
        <x:v>Worker 2</x:v>
      </x:c>
      <x:c r="E44" s="206" t="str">
        <x:f>IF(INDEX(Backlog!$K$2:$K$180,MATCH($A44,Backlog!$A$2:$A$180,0))="","",INDEX(Backlog!$K$2:$K$180,MATCH($A44,Backlog!$A$2:$A$180,0)))</x:f>
        <x:v>Done</x:v>
      </x:c>
      <x:c r="F44" s="206" t="n">
        <x:f>IF(ISNUMBER(INDEX(Backlog!$R$2:$R$180,MATCH($A44,Backlog!$A$2:$A$180,0))),INDEX(Backlog!$R$2:$R$180,MATCH($A44,Backlog!$A$2:$A$180,0)),"")</x:f>
        <x:v>3.2</x:v>
      </x:c>
      <x:c r="G44" s="206" t="str">
        <x:f>IF(INDEX(Backlog!$M$2:$M$180,MATCH($A44,Backlog!$A$2:$A$180,0))="","",INDEX(Backlog!$M$2:$M$180,MATCH($A44,Backlog!$A$2:$A$180,0)))</x:f>
        <x:v>T-201; T-206</x:v>
      </x:c>
      <x:c r="H44" s="206" t="str">
        <x:f>IF(INDEX(Backlog!$N$2:$N$180,MATCH($A44,Backlog!$A$2:$A$180,0))="","",INDEX(Backlog!$N$2:$N$180,MATCH($A44,Backlog!$A$2:$A$180,0)))</x:f>
        <x:v>T-227; T-247</x:v>
      </x:c>
      <x:c r="I44" s="206" t="str">
        <x:f>IF(INDEX(Backlog!$T$2:$T$180,MATCH($A44,Backlog!$A$2:$A$180,0))="","",INDEX(Backlog!$T$2:$T$180,MATCH($A44,Backlog!$A$2:$A$180,0)))</x:f>
        <x:v>External gate: customer data structure received (expected 2-Sep-2026) + T-201/T-206 green.</x:v>
      </x:c>
      <x:c r="J44" s="194" t="str">
        <x:f>IF(INDEX(Backlog!$AN$2:$AN$180,MATCH($A44,Backlog!$A$2:$A$180,0))="","",INDEX(Backlog!$AN$2:$AN$180,MATCH($A44,Backlog!$A$2:$A$180,0)))</x:f>
      </x:c>
      <x:c r="K44"/>
      <x:c r="L44"/>
    </x:row>
    <x:row r="45" ht="26" customHeight="1">
      <x:c r="A45" s="206" t="str">
        <x:v>T-224</x:v>
      </x:c>
      <x:c r="B45" s="206" t="str">
        <x:f>IF(INDEX(Backlog!$B$2:$B$180,MATCH($A45,Backlog!$A$2:$A$180,0))="","",INDEX(Backlog!$B$2:$B$180,MATCH($A45,Backlog!$A$2:$A$180,0)))</x:f>
        <x:v>M2</x:v>
      </x:c>
      <x:c r="C45" s="206" t="str">
        <x:f>IF(INDEX(Backlog!$C$2:$C$180,MATCH($A45,Backlog!$A$2:$A$180,0))="","",INDEX(Backlog!$C$2:$C$180,MATCH($A45,Backlog!$A$2:$A$180,0)))</x:f>
        <x:v>P2</x:v>
      </x:c>
      <x:c r="D45" s="206" t="str">
        <x:f>IF(INDEX(Backlog!$L$2:$L$180,MATCH($A45,Backlog!$A$2:$A$180,0))="","",INDEX(Backlog!$L$2:$L$180,MATCH($A45,Backlog!$A$2:$A$180,0)))</x:f>
        <x:v>Worker 1</x:v>
      </x:c>
      <x:c r="E45" s="206" t="str">
        <x:f>IF(INDEX(Backlog!$K$2:$K$180,MATCH($A45,Backlog!$A$2:$A$180,0))="","",INDEX(Backlog!$K$2:$K$180,MATCH($A45,Backlog!$A$2:$A$180,0)))</x:f>
        <x:v>Not Started</x:v>
      </x:c>
      <x:c r="F45" s="206" t="n">
        <x:f>IF(ISNUMBER(INDEX(Backlog!$R$2:$R$180,MATCH($A45,Backlog!$A$2:$A$180,0))),INDEX(Backlog!$R$2:$R$180,MATCH($A45,Backlog!$A$2:$A$180,0)),"")</x:f>
        <x:v>7.2</x:v>
      </x:c>
      <x:c r="G45" s="206" t="str">
        <x:f>IF(INDEX(Backlog!$M$2:$M$180,MATCH($A45,Backlog!$A$2:$A$180,0))="","",INDEX(Backlog!$M$2:$M$180,MATCH($A45,Backlog!$A$2:$A$180,0)))</x:f>
        <x:v>T-207</x:v>
      </x:c>
      <x:c r="H45" s="206" t="str">
        <x:f>IF(INDEX(Backlog!$N$2:$N$180,MATCH($A45,Backlog!$A$2:$A$180,0))="","",INDEX(Backlog!$N$2:$N$180,MATCH($A45,Backlog!$A$2:$A$180,0)))</x:f>
        <x:v>T-153; T-225</x:v>
      </x:c>
      <x:c r="I45" s="206" t="str">
        <x:f>IF(INDEX(Backlog!$T$2:$T$180,MATCH($A45,Backlog!$A$2:$A$180,0))="","",INDEX(Backlog!$T$2:$T$180,MATCH($A45,Backlog!$A$2:$A$180,0)))</x:f>
        <x:v>Release 1 MUST — start after T-207 connector-truth authority. Site/customer OT certification may require customer access, but the executable production OPC UA runtime itself cannot be deferred past M2.</x:v>
      </x:c>
      <x:c r="J45" s="194" t="str">
        <x:f>IF(INDEX(Backlog!$AN$2:$AN$180,MATCH($A45,Backlog!$A$2:$A$180,0))="","",INDEX(Backlog!$AN$2:$AN$180,MATCH($A45,Backlog!$A$2:$A$180,0)))</x:f>
      </x:c>
      <x:c r="K45"/>
      <x:c r="L45"/>
    </x:row>
    <x:row r="46" ht="26" customHeight="1">
      <x:c r="A46" s="206" t="str">
        <x:v>T-225</x:v>
      </x:c>
      <x:c r="B46" s="206" t="str">
        <x:f>IF(INDEX(Backlog!$B$2:$B$180,MATCH($A46,Backlog!$A$2:$A$180,0))="","",INDEX(Backlog!$B$2:$B$180,MATCH($A46,Backlog!$A$2:$A$180,0)))</x:f>
        <x:v>M2</x:v>
      </x:c>
      <x:c r="C46" s="206" t="str">
        <x:f>IF(INDEX(Backlog!$C$2:$C$180,MATCH($A46,Backlog!$A$2:$A$180,0))="","",INDEX(Backlog!$C$2:$C$180,MATCH($A46,Backlog!$A$2:$A$180,0)))</x:f>
        <x:v>P2</x:v>
      </x:c>
      <x:c r="D46" s="206" t="str">
        <x:f>IF(INDEX(Backlog!$L$2:$L$180,MATCH($A46,Backlog!$A$2:$A$180,0))="","",INDEX(Backlog!$L$2:$L$180,MATCH($A46,Backlog!$A$2:$A$180,0)))</x:f>
        <x:v>Worker 1</x:v>
      </x:c>
      <x:c r="E46" s="206" t="str">
        <x:f>IF(INDEX(Backlog!$K$2:$K$180,MATCH($A46,Backlog!$A$2:$A$180,0))="","",INDEX(Backlog!$K$2:$K$180,MATCH($A46,Backlog!$A$2:$A$180,0)))</x:f>
        <x:v>Not Started</x:v>
      </x:c>
      <x:c r="F46" s="206" t="n">
        <x:f>IF(ISNUMBER(INDEX(Backlog!$R$2:$R$180,MATCH($A46,Backlog!$A$2:$A$180,0))),INDEX(Backlog!$R$2:$R$180,MATCH($A46,Backlog!$A$2:$A$180,0)),"")</x:f>
        <x:v>7.2</x:v>
      </x:c>
      <x:c r="G46" s="206" t="str">
        <x:f>IF(INDEX(Backlog!$M$2:$M$180,MATCH($A46,Backlog!$A$2:$A$180,0))="","",INDEX(Backlog!$M$2:$M$180,MATCH($A46,Backlog!$A$2:$A$180,0)))</x:f>
        <x:v>T-224</x:v>
      </x:c>
      <x:c r="H46" s="206" t="str">
        <x:f>IF(INDEX(Backlog!$N$2:$N$180,MATCH($A46,Backlog!$A$2:$A$180,0))="","",INDEX(Backlog!$N$2:$N$180,MATCH($A46,Backlog!$A$2:$A$180,0)))</x:f>
        <x:v>T-153; T-226</x:v>
      </x:c>
      <x:c r="I46" s="206" t="str">
        <x:f>IF(INDEX(Backlog!$T$2:$T$180,MATCH($A46,Backlog!$A$2:$A$180,0))="","",INDEX(Backlog!$T$2:$T$180,MATCH($A46,Backlog!$A$2:$A$180,0)))</x:f>
        <x:v>T-224.</x:v>
      </x:c>
      <x:c r="J46" s="194" t="str">
        <x:f>IF(INDEX(Backlog!$AN$2:$AN$180,MATCH($A46,Backlog!$A$2:$A$180,0))="","",INDEX(Backlog!$AN$2:$AN$180,MATCH($A46,Backlog!$A$2:$A$180,0)))</x:f>
      </x:c>
      <x:c r="K46"/>
      <x:c r="L46"/>
    </x:row>
    <x:row r="47" ht="26" customHeight="1">
      <x:c r="A47" s="206" t="str">
        <x:v>T-226</x:v>
      </x:c>
      <x:c r="B47" s="206" t="str">
        <x:f>IF(INDEX(Backlog!$B$2:$B$180,MATCH($A47,Backlog!$A$2:$A$180,0))="","",INDEX(Backlog!$B$2:$B$180,MATCH($A47,Backlog!$A$2:$A$180,0)))</x:f>
        <x:v>M2</x:v>
      </x:c>
      <x:c r="C47" s="206" t="str">
        <x:f>IF(INDEX(Backlog!$C$2:$C$180,MATCH($A47,Backlog!$A$2:$A$180,0))="","",INDEX(Backlog!$C$2:$C$180,MATCH($A47,Backlog!$A$2:$A$180,0)))</x:f>
        <x:v>P2</x:v>
      </x:c>
      <x:c r="D47" s="206" t="str">
        <x:f>IF(INDEX(Backlog!$L$2:$L$180,MATCH($A47,Backlog!$A$2:$A$180,0))="","",INDEX(Backlog!$L$2:$L$180,MATCH($A47,Backlog!$A$2:$A$180,0)))</x:f>
        <x:v>Worker 1</x:v>
      </x:c>
      <x:c r="E47" s="206" t="str">
        <x:f>IF(INDEX(Backlog!$K$2:$K$180,MATCH($A47,Backlog!$A$2:$A$180,0))="","",INDEX(Backlog!$K$2:$K$180,MATCH($A47,Backlog!$A$2:$A$180,0)))</x:f>
        <x:v>Not Started</x:v>
      </x:c>
      <x:c r="F47" s="206" t="n">
        <x:f>IF(ISNUMBER(INDEX(Backlog!$R$2:$R$180,MATCH($A47,Backlog!$A$2:$A$180,0))),INDEX(Backlog!$R$2:$R$180,MATCH($A47,Backlog!$A$2:$A$180,0)),"")</x:f>
        <x:v>7.2</x:v>
      </x:c>
      <x:c r="G47" s="206" t="str">
        <x:f>IF(INDEX(Backlog!$M$2:$M$180,MATCH($A47,Backlog!$A$2:$A$180,0))="","",INDEX(Backlog!$M$2:$M$180,MATCH($A47,Backlog!$A$2:$A$180,0)))</x:f>
        <x:v>T-225; T-233</x:v>
      </x:c>
      <x:c r="H47" s="206" t="str">
        <x:f>IF(INDEX(Backlog!$N$2:$N$180,MATCH($A47,Backlog!$A$2:$A$180,0))="","",INDEX(Backlog!$N$2:$N$180,MATCH($A47,Backlog!$A$2:$A$180,0)))</x:f>
        <x:v>T-150; T-153</x:v>
      </x:c>
      <x:c r="I47" s="206" t="str">
        <x:f>IF(INDEX(Backlog!$T$2:$T$180,MATCH($A47,Backlog!$A$2:$A$180,0))="","",INDEX(Backlog!$T$2:$T$180,MATCH($A47,Backlog!$A$2:$A$180,0)))</x:f>
        <x:v>T-225 + T-216 Source Time Authority.</x:v>
      </x:c>
      <x:c r="J47" s="194" t="str">
        <x:f>IF(INDEX(Backlog!$AN$2:$AN$180,MATCH($A47,Backlog!$A$2:$A$180,0))="","",INDEX(Backlog!$AN$2:$AN$180,MATCH($A47,Backlog!$A$2:$A$180,0)))</x:f>
      </x:c>
      <x:c r="K47"/>
      <x:c r="L47"/>
    </x:row>
    <x:row r="48" ht="26" customHeight="1">
      <x:c r="A48" s="206" t="str">
        <x:v>T-232</x:v>
      </x:c>
      <x:c r="B48" s="206" t="str">
        <x:f>IF(INDEX(Backlog!$B$2:$B$180,MATCH($A48,Backlog!$A$2:$A$180,0))="","",INDEX(Backlog!$B$2:$B$180,MATCH($A48,Backlog!$A$2:$A$180,0)))</x:f>
        <x:v>M2</x:v>
      </x:c>
      <x:c r="C48" s="206" t="str">
        <x:f>IF(INDEX(Backlog!$C$2:$C$180,MATCH($A48,Backlog!$A$2:$A$180,0))="","",INDEX(Backlog!$C$2:$C$180,MATCH($A48,Backlog!$A$2:$A$180,0)))</x:f>
        <x:v>P2</x:v>
      </x:c>
      <x:c r="D48" s="206" t="str">
        <x:f>IF(INDEX(Backlog!$L$2:$L$180,MATCH($A48,Backlog!$A$2:$A$180,0))="","",INDEX(Backlog!$L$2:$L$180,MATCH($A48,Backlog!$A$2:$A$180,0)))</x:f>
        <x:v>Worker 1</x:v>
      </x:c>
      <x:c r="E48" s="206" t="str">
        <x:f>IF(INDEX(Backlog!$K$2:$K$180,MATCH($A48,Backlog!$A$2:$A$180,0))="","",INDEX(Backlog!$K$2:$K$180,MATCH($A48,Backlog!$A$2:$A$180,0)))</x:f>
        <x:v>Not Started</x:v>
      </x:c>
      <x:c r="F48" s="206" t="n">
        <x:f>IF(ISNUMBER(INDEX(Backlog!$R$2:$R$180,MATCH($A48,Backlog!$A$2:$A$180,0))),INDEX(Backlog!$R$2:$R$180,MATCH($A48,Backlog!$A$2:$A$180,0)),"")</x:f>
        <x:v>2.55</x:v>
      </x:c>
      <x:c r="G48" s="206" t="str">
        <x:f>IF(INDEX(Backlog!$M$2:$M$180,MATCH($A48,Backlog!$A$2:$A$180,0))="","",INDEX(Backlog!$M$2:$M$180,MATCH($A48,Backlog!$A$2:$A$180,0)))</x:f>
        <x:v>T-090; T-231; T-214</x:v>
      </x:c>
      <x:c r="H48" s="206" t="str">
        <x:f>IF(INDEX(Backlog!$N$2:$N$180,MATCH($A48,Backlog!$A$2:$A$180,0))="","",INDEX(Backlog!$N$2:$N$180,MATCH($A48,Backlog!$A$2:$A$180,0)))</x:f>
        <x:v>T-215</x:v>
      </x:c>
      <x:c r="I48" s="206" t="str">
        <x:f>IF(INDEX(Backlog!$T$2:$T$180,MATCH($A48,Backlog!$A$2:$A$180,0))="","",INDEX(Backlog!$T$2:$T$180,MATCH($A48,Backlog!$A$2:$A$180,0)))</x:f>
        <x:v>T-090 + T-231 + committed T-214 contract.</x:v>
      </x:c>
      <x:c r="J48" s="194" t="str">
        <x:f>IF(INDEX(Backlog!$AN$2:$AN$180,MATCH($A48,Backlog!$A$2:$A$180,0))="","",INDEX(Backlog!$AN$2:$AN$180,MATCH($A48,Backlog!$A$2:$A$180,0)))</x:f>
      </x:c>
      <x:c r="K48"/>
      <x:c r="L48"/>
    </x:row>
    <x:row r="49" ht="26" customHeight="1">
      <x:c r="A49" s="206" t="str">
        <x:v>T-233</x:v>
      </x:c>
      <x:c r="B49" s="206" t="str">
        <x:f>IF(INDEX(Backlog!$B$2:$B$180,MATCH($A49,Backlog!$A$2:$A$180,0))="","",INDEX(Backlog!$B$2:$B$180,MATCH($A49,Backlog!$A$2:$A$180,0)))</x:f>
        <x:v>M2</x:v>
      </x:c>
      <x:c r="C49" s="206" t="str">
        <x:f>IF(INDEX(Backlog!$C$2:$C$180,MATCH($A49,Backlog!$A$2:$A$180,0))="","",INDEX(Backlog!$C$2:$C$180,MATCH($A49,Backlog!$A$2:$A$180,0)))</x:f>
        <x:v>P2</x:v>
      </x:c>
      <x:c r="D49" s="206" t="str">
        <x:f>IF(INDEX(Backlog!$L$2:$L$180,MATCH($A49,Backlog!$A$2:$A$180,0))="","",INDEX(Backlog!$L$2:$L$180,MATCH($A49,Backlog!$A$2:$A$180,0)))</x:f>
        <x:v>Worker 1</x:v>
      </x:c>
      <x:c r="E49" s="206" t="str">
        <x:f>IF(INDEX(Backlog!$K$2:$K$180,MATCH($A49,Backlog!$A$2:$A$180,0))="","",INDEX(Backlog!$K$2:$K$180,MATCH($A49,Backlog!$A$2:$A$180,0)))</x:f>
        <x:v>Not Started</x:v>
      </x:c>
      <x:c r="F49" s="206" t="n">
        <x:f>IF(ISNUMBER(INDEX(Backlog!$R$2:$R$180,MATCH($A49,Backlog!$A$2:$A$180,0))),INDEX(Backlog!$R$2:$R$180,MATCH($A49,Backlog!$A$2:$A$180,0)),"")</x:f>
        <x:v>2.125</x:v>
      </x:c>
      <x:c r="G49" s="206" t="str">
        <x:f>IF(INDEX(Backlog!$M$2:$M$180,MATCH($A49,Backlog!$A$2:$A$180,0))="","",INDEX(Backlog!$M$2:$M$180,MATCH($A49,Backlog!$A$2:$A$180,0)))</x:f>
        <x:v>T-087; T-090; T-216</x:v>
      </x:c>
      <x:c r="H49" s="206" t="str">
        <x:f>IF(INDEX(Backlog!$N$2:$N$180,MATCH($A49,Backlog!$A$2:$A$180,0))="","",INDEX(Backlog!$N$2:$N$180,MATCH($A49,Backlog!$A$2:$A$180,0)))</x:f>
        <x:v>T-221; T-226</x:v>
      </x:c>
      <x:c r="I49" s="206" t="str">
        <x:f>IF(INDEX(Backlog!$T$2:$T$180,MATCH($A49,Backlog!$A$2:$A$180,0))="","",INDEX(Backlog!$T$2:$T$180,MATCH($A49,Backlog!$A$2:$A$180,0)))</x:f>
        <x:v>T-087 + T-090 + committed T-216 contract.</x:v>
      </x:c>
      <x:c r="J49" s="194" t="str">
        <x:f>IF(INDEX(Backlog!$AN$2:$AN$180,MATCH($A49,Backlog!$A$2:$A$180,0))="","",INDEX(Backlog!$AN$2:$AN$180,MATCH($A49,Backlog!$A$2:$A$180,0)))</x:f>
      </x:c>
      <x:c r="K49"/>
      <x:c r="L49"/>
    </x:row>
    <x:row r="50" ht="26" customHeight="1">
      <x:c r="A50" s="206" t="str">
        <x:v>T-235</x:v>
      </x:c>
      <x:c r="B50" s="206" t="str">
        <x:f>IF(INDEX(Backlog!$B$2:$B$180,MATCH($A50,Backlog!$A$2:$A$180,0))="","",INDEX(Backlog!$B$2:$B$180,MATCH($A50,Backlog!$A$2:$A$180,0)))</x:f>
        <x:v>M2</x:v>
      </x:c>
      <x:c r="C50" s="206" t="str">
        <x:f>IF(INDEX(Backlog!$C$2:$C$180,MATCH($A50,Backlog!$A$2:$A$180,0))="","",INDEX(Backlog!$C$2:$C$180,MATCH($A50,Backlog!$A$2:$A$180,0)))</x:f>
        <x:v>P2</x:v>
      </x:c>
      <x:c r="D50" s="206" t="str">
        <x:f>IF(INDEX(Backlog!$L$2:$L$180,MATCH($A50,Backlog!$A$2:$A$180,0))="","",INDEX(Backlog!$L$2:$L$180,MATCH($A50,Backlog!$A$2:$A$180,0)))</x:f>
        <x:v>Worker 1</x:v>
      </x:c>
      <x:c r="E50" s="206" t="str">
        <x:f>IF(INDEX(Backlog!$K$2:$K$180,MATCH($A50,Backlog!$A$2:$A$180,0))="","",INDEX(Backlog!$K$2:$K$180,MATCH($A50,Backlog!$A$2:$A$180,0)))</x:f>
        <x:v>Not Started</x:v>
      </x:c>
      <x:c r="F50" s="206" t="n">
        <x:f>IF(ISNUMBER(INDEX(Backlog!$R$2:$R$180,MATCH($A50,Backlog!$A$2:$A$180,0))),INDEX(Backlog!$R$2:$R$180,MATCH($A50,Backlog!$A$2:$A$180,0)),"")</x:f>
        <x:v>3.4</x:v>
      </x:c>
      <x:c r="G50" s="206" t="str">
        <x:f>IF(INDEX(Backlog!$M$2:$M$180,MATCH($A50,Backlog!$A$2:$A$180,0))="","",INDEX(Backlog!$M$2:$M$180,MATCH($A50,Backlog!$A$2:$A$180,0)))</x:f>
        <x:v>T-090; T-231; T-234</x:v>
      </x:c>
      <x:c r="H50" s="206" t="str">
        <x:f>IF(INDEX(Backlog!$N$2:$N$180,MATCH($A50,Backlog!$A$2:$A$180,0))="","",INDEX(Backlog!$N$2:$N$180,MATCH($A50,Backlog!$A$2:$A$180,0)))</x:f>
        <x:v>T-164; T-212; T-237; T-247</x:v>
      </x:c>
      <x:c r="I50" s="206" t="str">
        <x:f>IF(INDEX(Backlog!$T$2:$T$180,MATCH($A50,Backlog!$A$2:$A$180,0))="","",INDEX(Backlog!$T$2:$T$180,MATCH($A50,Backlog!$A$2:$A$180,0)))</x:f>
        <x:v>T-090 + T-231 + committed T-234 contract.</x:v>
      </x:c>
      <x:c r="J50" s="194" t="str">
        <x:f>IF(INDEX(Backlog!$AN$2:$AN$180,MATCH($A50,Backlog!$A$2:$A$180,0))="","",INDEX(Backlog!$AN$2:$AN$180,MATCH($A50,Backlog!$A$2:$A$180,0)))</x:f>
      </x:c>
      <x:c r="K50"/>
      <x:c r="L50"/>
    </x:row>
    <x:row r="51" ht="26" customHeight="1">
      <x:c r="A51" s="206" t="str">
        <x:v>T-241</x:v>
      </x:c>
      <x:c r="B51" s="206" t="str">
        <x:f>IF(INDEX(Backlog!$B$2:$B$180,MATCH($A51,Backlog!$A$2:$A$180,0))="","",INDEX(Backlog!$B$2:$B$180,MATCH($A51,Backlog!$A$2:$A$180,0)))</x:f>
        <x:v>M2</x:v>
      </x:c>
      <x:c r="C51" s="206" t="str">
        <x:f>IF(INDEX(Backlog!$C$2:$C$180,MATCH($A51,Backlog!$A$2:$A$180,0))="","",INDEX(Backlog!$C$2:$C$180,MATCH($A51,Backlog!$A$2:$A$180,0)))</x:f>
        <x:v>P2</x:v>
      </x:c>
      <x:c r="D51" s="206" t="str">
        <x:f>IF(INDEX(Backlog!$L$2:$L$180,MATCH($A51,Backlog!$A$2:$A$180,0))="","",INDEX(Backlog!$L$2:$L$180,MATCH($A51,Backlog!$A$2:$A$180,0)))</x:f>
        <x:v>Worker 2</x:v>
      </x:c>
      <x:c r="E51" s="206" t="str">
        <x:f>IF(INDEX(Backlog!$K$2:$K$180,MATCH($A51,Backlog!$A$2:$A$180,0))="","",INDEX(Backlog!$K$2:$K$180,MATCH($A51,Backlog!$A$2:$A$180,0)))</x:f>
        <x:v>Done</x:v>
      </x:c>
      <x:c r="F51" s="206" t="str">
        <x:f>IF(ISNUMBER(INDEX(Backlog!$R$2:$R$180,MATCH($A51,Backlog!$A$2:$A$180,0))),INDEX(Backlog!$R$2:$R$180,MATCH($A51,Backlog!$A$2:$A$180,0)),"")</x:f>
      </x:c>
      <x:c r="G51" s="206" t="str">
        <x:f>IF(INDEX(Backlog!$M$2:$M$180,MATCH($A51,Backlog!$A$2:$A$180,0))="","",INDEX(Backlog!$M$2:$M$180,MATCH($A51,Backlog!$A$2:$A$180,0)))</x:f>
        <x:v>T-032; T-201</x:v>
      </x:c>
      <x:c r="H51" s="206" t="str">
        <x:f>IF(INDEX(Backlog!$N$2:$N$180,MATCH($A51,Backlog!$A$2:$A$180,0))="","",INDEX(Backlog!$N$2:$N$180,MATCH($A51,Backlog!$A$2:$A$180,0)))</x:f>
        <x:v>T-242; T-243; T-247; T-248; T-253; T-261</x:v>
      </x:c>
      <x:c r="I51" s="206" t="str">
        <x:f>IF(INDEX(Backlog!$T$2:$T$180,MATCH($A51,Backlog!$A$2:$A$180,0))="","",INDEX(Backlog!$T$2:$T$180,MATCH($A51,Backlog!$A$2:$A$180,0)))</x:f>
        <x:v>CLOSED — Release-1 Canvas prerequisite. Preserve evidence; do not reopen absent contradictory regression evidence.</x:v>
      </x:c>
      <x:c r="J51" s="194" t="str">
        <x:f>IF(INDEX(Backlog!$AN$2:$AN$180,MATCH($A51,Backlog!$A$2:$A$180,0))="","",INDEX(Backlog!$AN$2:$AN$180,MATCH($A51,Backlog!$A$2:$A$180,0)))</x:f>
      </x:c>
      <x:c r="K51"/>
      <x:c r="L51"/>
    </x:row>
    <x:row r="52" ht="26" customHeight="1">
      <x:c r="A52" s="206" t="str">
        <x:v>T-242</x:v>
      </x:c>
      <x:c r="B52" s="206" t="str">
        <x:f>IF(INDEX(Backlog!$B$2:$B$180,MATCH($A52,Backlog!$A$2:$A$180,0))="","",INDEX(Backlog!$B$2:$B$180,MATCH($A52,Backlog!$A$2:$A$180,0)))</x:f>
        <x:v>M2</x:v>
      </x:c>
      <x:c r="C52" s="206" t="str">
        <x:f>IF(INDEX(Backlog!$C$2:$C$180,MATCH($A52,Backlog!$A$2:$A$180,0))="","",INDEX(Backlog!$C$2:$C$180,MATCH($A52,Backlog!$A$2:$A$180,0)))</x:f>
        <x:v>P2</x:v>
      </x:c>
      <x:c r="D52" s="206" t="str">
        <x:f>IF(INDEX(Backlog!$L$2:$L$180,MATCH($A52,Backlog!$A$2:$A$180,0))="","",INDEX(Backlog!$L$2:$L$180,MATCH($A52,Backlog!$A$2:$A$180,0)))</x:f>
        <x:v>Worker 2</x:v>
      </x:c>
      <x:c r="E52" s="206" t="str">
        <x:f>IF(INDEX(Backlog!$K$2:$K$180,MATCH($A52,Backlog!$A$2:$A$180,0))="","",INDEX(Backlog!$K$2:$K$180,MATCH($A52,Backlog!$A$2:$A$180,0)))</x:f>
        <x:v>Done</x:v>
      </x:c>
      <x:c r="F52" s="206" t="str">
        <x:f>IF(ISNUMBER(INDEX(Backlog!$R$2:$R$180,MATCH($A52,Backlog!$A$2:$A$180,0))),INDEX(Backlog!$R$2:$R$180,MATCH($A52,Backlog!$A$2:$A$180,0)),"")</x:f>
      </x:c>
      <x:c r="G52" s="206" t="str">
        <x:f>IF(INDEX(Backlog!$M$2:$M$180,MATCH($A52,Backlog!$A$2:$A$180,0))="","",INDEX(Backlog!$M$2:$M$180,MATCH($A52,Backlog!$A$2:$A$180,0)))</x:f>
        <x:v>T-241; T-210</x:v>
      </x:c>
      <x:c r="H52" s="206" t="str">
        <x:f>IF(INDEX(Backlog!$N$2:$N$180,MATCH($A52,Backlog!$A$2:$A$180,0))="","",INDEX(Backlog!$N$2:$N$180,MATCH($A52,Backlog!$A$2:$A$180,0)))</x:f>
        <x:v>T-243; T-247; T-261</x:v>
      </x:c>
      <x:c r="I52" s="206" t="str">
        <x:f>IF(INDEX(Backlog!$T$2:$T$180,MATCH($A52,Backlog!$A$2:$A$180,0))="","",INDEX(Backlog!$T$2:$T$180,MATCH($A52,Backlog!$A$2:$A$180,0)))</x:f>
        <x:v>Release 1 MUST — execute after T-241 and T-210; must close before T-243/T-247.</x:v>
      </x:c>
      <x:c r="J52" s="194" t="str">
        <x:f>IF(INDEX(Backlog!$AN$2:$AN$180,MATCH($A52,Backlog!$A$2:$A$180,0))="","",INDEX(Backlog!$AN$2:$AN$180,MATCH($A52,Backlog!$A$2:$A$180,0)))</x:f>
      </x:c>
      <x:c r="K52"/>
      <x:c r="L52"/>
    </x:row>
    <x:row r="53" ht="26" customHeight="1">
      <x:c r="A53" s="206" t="str">
        <x:v>T-243</x:v>
      </x:c>
      <x:c r="B53" s="206" t="str">
        <x:f>IF(INDEX(Backlog!$B$2:$B$180,MATCH($A53,Backlog!$A$2:$A$180,0))="","",INDEX(Backlog!$B$2:$B$180,MATCH($A53,Backlog!$A$2:$A$180,0)))</x:f>
        <x:v>M2</x:v>
      </x:c>
      <x:c r="C53" s="206" t="str">
        <x:f>IF(INDEX(Backlog!$C$2:$C$180,MATCH($A53,Backlog!$A$2:$A$180,0))="","",INDEX(Backlog!$C$2:$C$180,MATCH($A53,Backlog!$A$2:$A$180,0)))</x:f>
        <x:v>P2</x:v>
      </x:c>
      <x:c r="D53" s="206" t="str">
        <x:f>IF(INDEX(Backlog!$L$2:$L$180,MATCH($A53,Backlog!$A$2:$A$180,0))="","",INDEX(Backlog!$L$2:$L$180,MATCH($A53,Backlog!$A$2:$A$180,0)))</x:f>
        <x:v>Worker 2</x:v>
      </x:c>
      <x:c r="E53" s="206" t="str">
        <x:f>IF(INDEX(Backlog!$K$2:$K$180,MATCH($A53,Backlog!$A$2:$A$180,0))="","",INDEX(Backlog!$K$2:$K$180,MATCH($A53,Backlog!$A$2:$A$180,0)))</x:f>
        <x:v>In Progress</x:v>
      </x:c>
      <x:c r="F53" s="206" t="n">
        <x:f>IF(ISNUMBER(INDEX(Backlog!$R$2:$R$180,MATCH($A53,Backlog!$A$2:$A$180,0))),INDEX(Backlog!$R$2:$R$180,MATCH($A53,Backlog!$A$2:$A$180,0)),"")</x:f>
        <x:v>4.8</x:v>
      </x:c>
      <x:c r="G53" s="206" t="str">
        <x:f>IF(INDEX(Backlog!$M$2:$M$180,MATCH($A53,Backlog!$A$2:$A$180,0))="","",INDEX(Backlog!$M$2:$M$180,MATCH($A53,Backlog!$A$2:$A$180,0)))</x:f>
        <x:v>T-241; T-242; T-089; T-090; T-253</x:v>
      </x:c>
      <x:c r="H53" s="206" t="str">
        <x:f>IF(INDEX(Backlog!$N$2:$N$180,MATCH($A53,Backlog!$A$2:$A$180,0))="","",INDEX(Backlog!$N$2:$N$180,MATCH($A53,Backlog!$A$2:$A$180,0)))</x:f>
        <x:v>T-245; T-246; T-247; T-248; T-261; T-262</x:v>
      </x:c>
      <x:c r="I53" s="206" t="str">
        <x:f>IF(INDEX(Backlog!$T$2:$T$180,MATCH($A53,Backlog!$A$2:$A$180,0))="","",INDEX(Backlog!$T$2:$T$180,MATCH($A53,Backlog!$A$2:$A$180,0)))</x:f>
        <x:v>Consume accepted producer contracts; remaining dependencies: T-241; T-242; T-089; T-090; T-253. No private scheduler/definition authority. Source-present is not closure proof.</x:v>
      </x:c>
      <x:c r="J53" s="194" t="str">
        <x:f>IF(INDEX(Backlog!$AN$2:$AN$180,MATCH($A53,Backlog!$A$2:$A$180,0))="","",INDEX(Backlog!$AN$2:$AN$180,MATCH($A53,Backlog!$A$2:$A$180,0)))</x:f>
      </x:c>
      <x:c r="K53"/>
      <x:c r="L53"/>
    </x:row>
    <x:row r="54" ht="26" customHeight="1">
      <x:c r="A54" s="206" t="str">
        <x:v>T-244</x:v>
      </x:c>
      <x:c r="B54" s="206" t="str">
        <x:f>IF(INDEX(Backlog!$B$2:$B$180,MATCH($A54,Backlog!$A$2:$A$180,0))="","",INDEX(Backlog!$B$2:$B$180,MATCH($A54,Backlog!$A$2:$A$180,0)))</x:f>
        <x:v>M2</x:v>
      </x:c>
      <x:c r="C54" s="206" t="str">
        <x:f>IF(INDEX(Backlog!$C$2:$C$180,MATCH($A54,Backlog!$A$2:$A$180,0))="","",INDEX(Backlog!$C$2:$C$180,MATCH($A54,Backlog!$A$2:$A$180,0)))</x:f>
        <x:v>P2</x:v>
      </x:c>
      <x:c r="D54" s="206" t="str">
        <x:f>IF(INDEX(Backlog!$L$2:$L$180,MATCH($A54,Backlog!$A$2:$A$180,0))="","",INDEX(Backlog!$L$2:$L$180,MATCH($A54,Backlog!$A$2:$A$180,0)))</x:f>
        <x:v>Worker 2</x:v>
      </x:c>
      <x:c r="E54" s="206" t="str">
        <x:f>IF(INDEX(Backlog!$K$2:$K$180,MATCH($A54,Backlog!$A$2:$A$180,0))="","",INDEX(Backlog!$K$2:$K$180,MATCH($A54,Backlog!$A$2:$A$180,0)))</x:f>
        <x:v>Done</x:v>
      </x:c>
      <x:c r="F54" s="206" t="str">
        <x:f>IF(ISNUMBER(INDEX(Backlog!$R$2:$R$180,MATCH($A54,Backlog!$A$2:$A$180,0))),INDEX(Backlog!$R$2:$R$180,MATCH($A54,Backlog!$A$2:$A$180,0)),"")</x:f>
      </x:c>
      <x:c r="G54" s="206" t="str">
        <x:f>IF(INDEX(Backlog!$M$2:$M$180,MATCH($A54,Backlog!$A$2:$A$180,0))="","",INDEX(Backlog!$M$2:$M$180,MATCH($A54,Backlog!$A$2:$A$180,0)))</x:f>
        <x:v>T-035; T-036; T-089; T-090</x:v>
      </x:c>
      <x:c r="H54" s="206" t="str">
        <x:f>IF(INDEX(Backlog!$N$2:$N$180,MATCH($A54,Backlog!$A$2:$A$180,0))="","",INDEX(Backlog!$N$2:$N$180,MATCH($A54,Backlog!$A$2:$A$180,0)))</x:f>
        <x:v>T-245; T-247; T-248; T-253</x:v>
      </x:c>
      <x:c r="I54" s="206" t="str">
        <x:f>IF(INDEX(Backlog!$T$2:$T$180,MATCH($A54,Backlog!$A$2:$A$180,0))="","",INDEX(Backlog!$T$2:$T$180,MATCH($A54,Backlog!$A$2:$A$180,0)))</x:f>
        <x:v>CLOSED — Release-1 Canvas prerequisite. Preserve evidence; do not reopen absent contradictory regression evidence.</x:v>
      </x:c>
      <x:c r="J54" s="194" t="str">
        <x:f>IF(INDEX(Backlog!$AN$2:$AN$180,MATCH($A54,Backlog!$A$2:$A$180,0))="","",INDEX(Backlog!$AN$2:$AN$180,MATCH($A54,Backlog!$A$2:$A$180,0)))</x:f>
      </x:c>
      <x:c r="K54"/>
      <x:c r="L54"/>
    </x:row>
    <x:row r="55" ht="26" customHeight="1">
      <x:c r="A55" s="206" t="str">
        <x:v>T-245</x:v>
      </x:c>
      <x:c r="B55" s="206" t="str">
        <x:f>IF(INDEX(Backlog!$B$2:$B$180,MATCH($A55,Backlog!$A$2:$A$180,0))="","",INDEX(Backlog!$B$2:$B$180,MATCH($A55,Backlog!$A$2:$A$180,0)))</x:f>
        <x:v>M2</x:v>
      </x:c>
      <x:c r="C55" s="206" t="str">
        <x:f>IF(INDEX(Backlog!$C$2:$C$180,MATCH($A55,Backlog!$A$2:$A$180,0))="","",INDEX(Backlog!$C$2:$C$180,MATCH($A55,Backlog!$A$2:$A$180,0)))</x:f>
        <x:v>P2</x:v>
      </x:c>
      <x:c r="D55" s="206" t="str">
        <x:f>IF(INDEX(Backlog!$L$2:$L$180,MATCH($A55,Backlog!$A$2:$A$180,0))="","",INDEX(Backlog!$L$2:$L$180,MATCH($A55,Backlog!$A$2:$A$180,0)))</x:f>
        <x:v>Worker 2</x:v>
      </x:c>
      <x:c r="E55" s="206" t="str">
        <x:f>IF(INDEX(Backlog!$K$2:$K$180,MATCH($A55,Backlog!$A$2:$A$180,0))="","",INDEX(Backlog!$K$2:$K$180,MATCH($A55,Backlog!$A$2:$A$180,0)))</x:f>
        <x:v>Not Started</x:v>
      </x:c>
      <x:c r="F55" s="206" t="n">
        <x:f>IF(ISNUMBER(INDEX(Backlog!$R$2:$R$180,MATCH($A55,Backlog!$A$2:$A$180,0))),INDEX(Backlog!$R$2:$R$180,MATCH($A55,Backlog!$A$2:$A$180,0)),"")</x:f>
        <x:v>5.1</x:v>
      </x:c>
      <x:c r="G55" s="206" t="str">
        <x:f>IF(INDEX(Backlog!$M$2:$M$180,MATCH($A55,Backlog!$A$2:$A$180,0))="","",INDEX(Backlog!$M$2:$M$180,MATCH($A55,Backlog!$A$2:$A$180,0)))</x:f>
        <x:v>T-243; T-244; T-106; T-261; T-262</x:v>
      </x:c>
      <x:c r="H55" s="206" t="str">
        <x:f>IF(INDEX(Backlog!$N$2:$N$180,MATCH($A55,Backlog!$A$2:$A$180,0))="","",INDEX(Backlog!$N$2:$N$180,MATCH($A55,Backlog!$A$2:$A$180,0)))</x:f>
        <x:v>T-247; T-248</x:v>
      </x:c>
      <x:c r="I55" s="206" t="str">
        <x:f>IF(INDEX(Backlog!$T$2:$T$180,MATCH($A55,Backlog!$A$2:$A$180,0))="","",INDEX(Backlog!$T$2:$T$180,MATCH($A55,Backlog!$A$2:$A$180,0)))</x:f>
        <x:v>Consume accepted producer contracts; remaining dependencies: T-243; T-244; T-106; T-261. No private scheduler/definition authority. Source-present is not closure proof.
v2.22.1 — Completion prerequisites are the task IDs in column M; contract-only predecessors, if any, are exclusively in column AN. Do not use the rejected v2.22.0 positional columns.</x:v>
      </x:c>
      <x:c r="J55" s="194" t="str">
        <x:f>IF(INDEX(Backlog!$AN$2:$AN$180,MATCH($A55,Backlog!$A$2:$A$180,0))="","",INDEX(Backlog!$AN$2:$AN$180,MATCH($A55,Backlog!$A$2:$A$180,0)))</x:f>
      </x:c>
      <x:c r="K55"/>
      <x:c r="L55"/>
    </x:row>
    <x:row r="56" ht="26" customHeight="1">
      <x:c r="A56" s="206" t="str">
        <x:v>T-247</x:v>
      </x:c>
      <x:c r="B56" s="206" t="str">
        <x:f>IF(INDEX(Backlog!$B$2:$B$180,MATCH($A56,Backlog!$A$2:$A$180,0))="","",INDEX(Backlog!$B$2:$B$180,MATCH($A56,Backlog!$A$2:$A$180,0)))</x:f>
        <x:v>M2</x:v>
      </x:c>
      <x:c r="C56" s="206" t="str">
        <x:f>IF(INDEX(Backlog!$C$2:$C$180,MATCH($A56,Backlog!$A$2:$A$180,0))="","",INDEX(Backlog!$C$2:$C$180,MATCH($A56,Backlog!$A$2:$A$180,0)))</x:f>
        <x:v>P2</x:v>
      </x:c>
      <x:c r="D56" s="206" t="str">
        <x:f>IF(INDEX(Backlog!$L$2:$L$180,MATCH($A56,Backlog!$A$2:$A$180,0))="","",INDEX(Backlog!$L$2:$L$180,MATCH($A56,Backlog!$A$2:$A$180,0)))</x:f>
        <x:v>Worker 2</x:v>
      </x:c>
      <x:c r="E56" s="206" t="str">
        <x:f>IF(INDEX(Backlog!$K$2:$K$180,MATCH($A56,Backlog!$A$2:$A$180,0))="","",INDEX(Backlog!$K$2:$K$180,MATCH($A56,Backlog!$A$2:$A$180,0)))</x:f>
        <x:v>Not Started</x:v>
      </x:c>
      <x:c r="F56" s="206" t="n">
        <x:f>IF(ISNUMBER(INDEX(Backlog!$R$2:$R$180,MATCH($A56,Backlog!$A$2:$A$180,0))),INDEX(Backlog!$R$2:$R$180,MATCH($A56,Backlog!$A$2:$A$180,0)),"")</x:f>
        <x:v>5.1</x:v>
      </x:c>
      <x:c r="G56" s="206" t="str">
        <x:f>IF(INDEX(Backlog!$M$2:$M$180,MATCH($A56,Backlog!$A$2:$A$180,0))="","",INDEX(Backlog!$M$2:$M$180,MATCH($A56,Backlog!$A$2:$A$180,0)))</x:f>
        <x:v>T-092; T-207; T-212; T-213; T-241; T-242; T-243; T-244; T-245; T-253; T-254; T-256; T-258; T-104; T-108; T-211; T-235; T-262; T-125; T-265; T-266</x:v>
      </x:c>
      <x:c r="H56" s="206" t="str">
        <x:f>IF(INDEX(Backlog!$N$2:$N$180,MATCH($A56,Backlog!$A$2:$A$180,0))="","",INDEX(Backlog!$N$2:$N$180,MATCH($A56,Backlog!$A$2:$A$180,0)))</x:f>
        <x:v>T-150</x:v>
      </x:c>
      <x:c r="I56" s="206" t="str">
        <x:f>IF(INDEX(Backlog!$T$2:$T$180,MATCH($A56,Backlog!$A$2:$A$180,0))="","",INDEX(Backlog!$T$2:$T$180,MATCH($A56,Backlog!$A$2:$A$180,0)))</x:f>
        <x:v>T-213 complete + T-092 green.
v2.22.1 — Completion prerequisites are the task IDs in column M; contract-only predecessors, if any, are exclusively in column AN. Do not use the rejected v2.22.0 positional columns.</x:v>
      </x:c>
      <x:c r="J56" s="194" t="str">
        <x:f>IF(INDEX(Backlog!$AN$2:$AN$180,MATCH($A56,Backlog!$A$2:$A$180,0))="","",INDEX(Backlog!$AN$2:$AN$180,MATCH($A56,Backlog!$A$2:$A$180,0)))</x:f>
      </x:c>
      <x:c r="K56"/>
      <x:c r="L56"/>
    </x:row>
    <x:row r="57" ht="26" customHeight="1">
      <x:c r="A57" s="206" t="str">
        <x:v>T-253</x:v>
      </x:c>
      <x:c r="B57" s="206" t="str">
        <x:f>IF(INDEX(Backlog!$B$2:$B$180,MATCH($A57,Backlog!$A$2:$A$180,0))="","",INDEX(Backlog!$B$2:$B$180,MATCH($A57,Backlog!$A$2:$A$180,0)))</x:f>
        <x:v>M2</x:v>
      </x:c>
      <x:c r="C57" s="206" t="str">
        <x:f>IF(INDEX(Backlog!$C$2:$C$180,MATCH($A57,Backlog!$A$2:$A$180,0))="","",INDEX(Backlog!$C$2:$C$180,MATCH($A57,Backlog!$A$2:$A$180,0)))</x:f>
        <x:v>P2</x:v>
      </x:c>
      <x:c r="D57" s="206" t="str">
        <x:f>IF(INDEX(Backlog!$L$2:$L$180,MATCH($A57,Backlog!$A$2:$A$180,0))="","",INDEX(Backlog!$L$2:$L$180,MATCH($A57,Backlog!$A$2:$A$180,0)))</x:f>
        <x:v>Worker 2</x:v>
      </x:c>
      <x:c r="E57" s="206" t="str">
        <x:f>IF(INDEX(Backlog!$K$2:$K$180,MATCH($A57,Backlog!$A$2:$A$180,0))="","",INDEX(Backlog!$K$2:$K$180,MATCH($A57,Backlog!$A$2:$A$180,0)))</x:f>
        <x:v>Done</x:v>
      </x:c>
      <x:c r="F57" s="206" t="n">
        <x:f>IF(ISNUMBER(INDEX(Backlog!$R$2:$R$180,MATCH($A57,Backlog!$A$2:$A$180,0))),INDEX(Backlog!$R$2:$R$180,MATCH($A57,Backlog!$A$2:$A$180,0)),"")</x:f>
        <x:v>4.8</x:v>
      </x:c>
      <x:c r="G57" s="206" t="str">
        <x:f>IF(INDEX(Backlog!$M$2:$M$180,MATCH($A57,Backlog!$A$2:$A$180,0))="","",INDEX(Backlog!$M$2:$M$180,MATCH($A57,Backlog!$A$2:$A$180,0)))</x:f>
        <x:v>T-094; T-209; T-241; T-244</x:v>
      </x:c>
      <x:c r="H57" s="206" t="str">
        <x:f>IF(INDEX(Backlog!$N$2:$N$180,MATCH($A57,Backlog!$A$2:$A$180,0))="","",INDEX(Backlog!$N$2:$N$180,MATCH($A57,Backlog!$A$2:$A$180,0)))</x:f>
        <x:v>T-150; T-243; T-247; T-256; T-262</x:v>
      </x:c>
      <x:c r="I57" s="206" t="str">
        <x:f>IF(INDEX(Backlog!$T$2:$T$180,MATCH($A57,Backlog!$A$2:$A$180,0))="","",INDEX(Backlog!$T$2:$T$180,MATCH($A57,Backlog!$A$2:$A$180,0)))</x:f>
        <x:v>CURRENT / IN PROGRESS. Measured current main HEAD is `aa57a503` (T-242) and there is zero T-243 product-source work. T-243 is therefore reset to Not Started and will begin fresh after T-253. Before authoring, run `git merge-base --is-ancestor 4d32c6b10b4605aeb6e0705ad03537d563125652 HEAD`; continue only on exit 0. Unrelated Documentation/audit dirt may remain unstaged, but all T-253 owned product paths must be clean and the commit must stage only owned paths. Rename the untracked task-number preflight script to a semantic filename before any commit.</x:v>
      </x:c>
      <x:c r="J57" s="194" t="str">
        <x:f>IF(INDEX(Backlog!$AN$2:$AN$180,MATCH($A57,Backlog!$A$2:$A$180,0))="","",INDEX(Backlog!$AN$2:$AN$180,MATCH($A57,Backlog!$A$2:$A$180,0)))</x:f>
      </x:c>
      <x:c r="K57"/>
      <x:c r="L57"/>
    </x:row>
    <x:row r="58" ht="26" customHeight="1">
      <x:c r="A58" s="206" t="str">
        <x:v>T-254</x:v>
      </x:c>
      <x:c r="B58" s="206" t="str">
        <x:f>IF(INDEX(Backlog!$B$2:$B$180,MATCH($A58,Backlog!$A$2:$A$180,0))="","",INDEX(Backlog!$B$2:$B$180,MATCH($A58,Backlog!$A$2:$A$180,0)))</x:f>
        <x:v>M2</x:v>
      </x:c>
      <x:c r="C58" s="206" t="str">
        <x:f>IF(INDEX(Backlog!$C$2:$C$180,MATCH($A58,Backlog!$A$2:$A$180,0))="","",INDEX(Backlog!$C$2:$C$180,MATCH($A58,Backlog!$A$2:$A$180,0)))</x:f>
        <x:v>P2</x:v>
      </x:c>
      <x:c r="D58" s="206" t="str">
        <x:f>IF(INDEX(Backlog!$L$2:$L$180,MATCH($A58,Backlog!$A$2:$A$180,0))="","",INDEX(Backlog!$L$2:$L$180,MATCH($A58,Backlog!$A$2:$A$180,0)))</x:f>
        <x:v>Worker 2</x:v>
      </x:c>
      <x:c r="E58" s="206" t="str">
        <x:f>IF(INDEX(Backlog!$K$2:$K$180,MATCH($A58,Backlog!$A$2:$A$180,0))="","",INDEX(Backlog!$K$2:$K$180,MATCH($A58,Backlog!$A$2:$A$180,0)))</x:f>
        <x:v>Not Started</x:v>
      </x:c>
      <x:c r="F58" s="206" t="n">
        <x:f>IF(ISNUMBER(INDEX(Backlog!$R$2:$R$180,MATCH($A58,Backlog!$A$2:$A$180,0))),INDEX(Backlog!$R$2:$R$180,MATCH($A58,Backlog!$A$2:$A$180,0)),"")</x:f>
        <x:v>2.55</x:v>
      </x:c>
      <x:c r="G58" s="206" t="str">
        <x:f>IF(INDEX(Backlog!$M$2:$M$180,MATCH($A58,Backlog!$A$2:$A$180,0))="","",INDEX(Backlog!$M$2:$M$180,MATCH($A58,Backlog!$A$2:$A$180,0)))</x:f>
        <x:v>T-207</x:v>
      </x:c>
      <x:c r="H58" s="206" t="str">
        <x:f>IF(INDEX(Backlog!$N$2:$N$180,MATCH($A58,Backlog!$A$2:$A$180,0))="","",INDEX(Backlog!$N$2:$N$180,MATCH($A58,Backlog!$A$2:$A$180,0)))</x:f>
        <x:v>T-150; T-153; T-247</x:v>
      </x:c>
      <x:c r="I58" s="206" t="str">
        <x:f>IF(INDEX(Backlog!$T$2:$T$180,MATCH($A58,Backlog!$A$2:$A$180,0))="","",INDEX(Backlog!$T$2:$T$180,MATCH($A58,Backlog!$A$2:$A$180,0)))</x:f>
        <x:v>Start after T-253/T-243 checkpoint or while waiting for T-106, on disjoint DB-configuration/website truth files.</x:v>
      </x:c>
      <x:c r="J58" s="194" t="str">
        <x:f>IF(INDEX(Backlog!$AN$2:$AN$180,MATCH($A58,Backlog!$A$2:$A$180,0))="","",INDEX(Backlog!$AN$2:$AN$180,MATCH($A58,Backlog!$A$2:$A$180,0)))</x:f>
      </x:c>
      <x:c r="K58"/>
      <x:c r="L58"/>
    </x:row>
    <x:row r="59" ht="26" customHeight="1">
      <x:c r="A59" s="206" t="str">
        <x:v>T-261</x:v>
      </x:c>
      <x:c r="B59" s="206" t="str">
        <x:f>IF(INDEX(Backlog!$B$2:$B$180,MATCH($A59,Backlog!$A$2:$A$180,0))="","",INDEX(Backlog!$B$2:$B$180,MATCH($A59,Backlog!$A$2:$A$180,0)))</x:f>
        <x:v>M2</x:v>
      </x:c>
      <x:c r="C59" s="206" t="str">
        <x:f>IF(INDEX(Backlog!$C$2:$C$180,MATCH($A59,Backlog!$A$2:$A$180,0))="","",INDEX(Backlog!$C$2:$C$180,MATCH($A59,Backlog!$A$2:$A$180,0)))</x:f>
        <x:v>P2</x:v>
      </x:c>
      <x:c r="D59" s="206" t="str">
        <x:f>IF(INDEX(Backlog!$L$2:$L$180,MATCH($A59,Backlog!$A$2:$A$180,0))="","",INDEX(Backlog!$L$2:$L$180,MATCH($A59,Backlog!$A$2:$A$180,0)))</x:f>
        <x:v>Worker 2</x:v>
      </x:c>
      <x:c r="E59" s="206" t="str">
        <x:f>IF(INDEX(Backlog!$K$2:$K$180,MATCH($A59,Backlog!$A$2:$A$180,0))="","",INDEX(Backlog!$K$2:$K$180,MATCH($A59,Backlog!$A$2:$A$180,0)))</x:f>
        <x:v>In Progress</x:v>
      </x:c>
      <x:c r="F59" s="206" t="n">
        <x:f>IF(ISNUMBER(INDEX(Backlog!$R$2:$R$180,MATCH($A59,Backlog!$A$2:$A$180,0))),INDEX(Backlog!$R$2:$R$180,MATCH($A59,Backlog!$A$2:$A$180,0)),"")</x:f>
        <x:v>5.1</x:v>
      </x:c>
      <x:c r="G59" s="206" t="str">
        <x:f>IF(INDEX(Backlog!$M$2:$M$180,MATCH($A59,Backlog!$A$2:$A$180,0))="","",INDEX(Backlog!$M$2:$M$180,MATCH($A59,Backlog!$A$2:$A$180,0)))</x:f>
        <x:v>T-106; T-241; T-242; T-243; T-099; T-262</x:v>
      </x:c>
      <x:c r="H59" s="206" t="str">
        <x:f>IF(INDEX(Backlog!$N$2:$N$180,MATCH($A59,Backlog!$A$2:$A$180,0))="","",INDEX(Backlog!$N$2:$N$180,MATCH($A59,Backlog!$A$2:$A$180,0)))</x:f>
        <x:v>T-104; T-245</x:v>
      </x:c>
      <x:c r="I59" s="206" t="str">
        <x:f>IF(INDEX(Backlog!$T$2:$T$180,MATCH($A59,Backlog!$A$2:$A$180,0))="","",INDEX(Backlog!$T$2:$T$180,MATCH($A59,Backlog!$A$2:$A$180,0)))</x:f>
        <x:v>Consume accepted producer contracts; remaining dependencies: T-106; T-241; T-242; T-243; T-099; T-262. No private scheduler/definition authority. Source-present is not closure proof.
v2.22.1 — Completion prerequisites are the task IDs in column M; contract-only predecessors, if any, are exclusively in column AN. Do not use the rejected v2.22.0 positional columns.</x:v>
      </x:c>
      <x:c r="J59" s="194" t="str">
        <x:f>IF(INDEX(Backlog!$AN$2:$AN$180,MATCH($A59,Backlog!$A$2:$A$180,0))="","",INDEX(Backlog!$AN$2:$AN$180,MATCH($A59,Backlog!$A$2:$A$180,0)))</x:f>
      </x:c>
      <x:c r="K59"/>
      <x:c r="L59"/>
    </x:row>
    <x:row r="60" ht="26" customHeight="1">
      <x:c r="A60" s="206" t="str">
        <x:v>T-262</x:v>
      </x:c>
      <x:c r="B60" s="206" t="str">
        <x:f>IF(INDEX(Backlog!$B$2:$B$180,MATCH($A60,Backlog!$A$2:$A$180,0))="","",INDEX(Backlog!$B$2:$B$180,MATCH($A60,Backlog!$A$2:$A$180,0)))</x:f>
        <x:v>M2</x:v>
      </x:c>
      <x:c r="C60" s="206" t="str">
        <x:f>IF(INDEX(Backlog!$C$2:$C$180,MATCH($A60,Backlog!$A$2:$A$180,0))="","",INDEX(Backlog!$C$2:$C$180,MATCH($A60,Backlog!$A$2:$A$180,0)))</x:f>
        <x:v>P2</x:v>
      </x:c>
      <x:c r="D60" s="206" t="str">
        <x:f>IF(INDEX(Backlog!$L$2:$L$180,MATCH($A60,Backlog!$A$2:$A$180,0))="","",INDEX(Backlog!$L$2:$L$180,MATCH($A60,Backlog!$A$2:$A$180,0)))</x:f>
        <x:v>Worker 2</x:v>
      </x:c>
      <x:c r="E60" s="206" t="str">
        <x:f>IF(INDEX(Backlog!$K$2:$K$180,MATCH($A60,Backlog!$A$2:$A$180,0))="","",INDEX(Backlog!$K$2:$K$180,MATCH($A60,Backlog!$A$2:$A$180,0)))</x:f>
        <x:v>In Progress</x:v>
      </x:c>
      <x:c r="F60" s="206" t="str">
        <x:f>IF(ISNUMBER(INDEX(Backlog!$R$2:$R$180,MATCH($A60,Backlog!$A$2:$A$180,0))),INDEX(Backlog!$R$2:$R$180,MATCH($A60,Backlog!$A$2:$A$180,0)),"")</x:f>
      </x:c>
      <x:c r="G60" s="206" t="str">
        <x:f>IF(INDEX(Backlog!$M$2:$M$180,MATCH($A60,Backlog!$A$2:$A$180,0))="","",INDEX(Backlog!$M$2:$M$180,MATCH($A60,Backlog!$A$2:$A$180,0)))</x:f>
        <x:v>T-253; T-243</x:v>
      </x:c>
      <x:c r="H60" s="206" t="str">
        <x:f>IF(INDEX(Backlog!$N$2:$N$180,MATCH($A60,Backlog!$A$2:$A$180,0))="","",INDEX(Backlog!$N$2:$N$180,MATCH($A60,Backlog!$A$2:$A$180,0)))</x:f>
        <x:v>T-245; T-247; T-261</x:v>
      </x:c>
      <x:c r="I60" s="206" t="str">
        <x:f>IF(INDEX(Backlog!$T$2:$T$180,MATCH($A60,Backlog!$A$2:$A$180,0))="","",INDEX(Backlog!$T$2:$T$180,MATCH($A60,Backlog!$A$2:$A$180,0)))</x:f>
        <x:v>Consume accepted producer contracts; remaining dependencies: T-253; T-243. No private scheduler/definition authority. Source-present is not closure proof.
v2.22.1 — Completion prerequisites are the task IDs in column M; contract-only predecessors, if any, are exclusively in column AN. Do not use the rejected v2.22.0 positional columns.</x:v>
      </x:c>
      <x:c r="J60" s="194" t="str">
        <x:f>IF(INDEX(Backlog!$AN$2:$AN$180,MATCH($A60,Backlog!$A$2:$A$180,0))="","",INDEX(Backlog!$AN$2:$AN$180,MATCH($A60,Backlog!$A$2:$A$180,0)))</x:f>
      </x:c>
      <x:c r="K60"/>
      <x:c r="L60"/>
    </x:row>
    <x:row r="61" ht="26" customHeight="1">
      <x:c r="A61" s="206" t="str">
        <x:v>T-148</x:v>
      </x:c>
      <x:c r="B61" s="206" t="str">
        <x:f>IF(INDEX(Backlog!$B$2:$B$180,MATCH($A61,Backlog!$A$2:$A$180,0))="","",INDEX(Backlog!$B$2:$B$180,MATCH($A61,Backlog!$A$2:$A$180,0)))</x:f>
        <x:v>M2</x:v>
      </x:c>
      <x:c r="C61" s="206" t="str">
        <x:f>IF(INDEX(Backlog!$C$2:$C$180,MATCH($A61,Backlog!$A$2:$A$180,0))="","",INDEX(Backlog!$C$2:$C$180,MATCH($A61,Backlog!$A$2:$A$180,0)))</x:f>
        <x:v>P3</x:v>
      </x:c>
      <x:c r="D61" s="206" t="str">
        <x:f>IF(INDEX(Backlog!$L$2:$L$180,MATCH($A61,Backlog!$A$2:$A$180,0))="","",INDEX(Backlog!$L$2:$L$180,MATCH($A61,Backlog!$A$2:$A$180,0)))</x:f>
        <x:v>Worker 2</x:v>
      </x:c>
      <x:c r="E61" s="206" t="str">
        <x:f>IF(INDEX(Backlog!$K$2:$K$180,MATCH($A61,Backlog!$A$2:$A$180,0))="","",INDEX(Backlog!$K$2:$K$180,MATCH($A61,Backlog!$A$2:$A$180,0)))</x:f>
        <x:v>Not Started</x:v>
      </x:c>
      <x:c r="F61" s="206" t="n">
        <x:f>IF(ISNUMBER(INDEX(Backlog!$R$2:$R$180,MATCH($A61,Backlog!$A$2:$A$180,0))),INDEX(Backlog!$R$2:$R$180,MATCH($A61,Backlog!$A$2:$A$180,0)),"")</x:f>
        <x:v>1.3333333333333333</x:v>
      </x:c>
      <x:c r="G61" s="206" t="str">
        <x:f>IF(INDEX(Backlog!$M$2:$M$180,MATCH($A61,Backlog!$A$2:$A$180,0))="","",INDEX(Backlog!$M$2:$M$180,MATCH($A61,Backlog!$A$2:$A$180,0)))</x:f>
      </x:c>
      <x:c r="H61" s="206" t="str">
        <x:f>IF(INDEX(Backlog!$N$2:$N$180,MATCH($A61,Backlog!$A$2:$A$180,0))="","",INDEX(Backlog!$N$2:$N$180,MATCH($A61,Backlog!$A$2:$A$180,0)))</x:f>
        <x:v>T-248</x:v>
      </x:c>
      <x:c r="I61" s="206" t="str">
        <x:f>IF(INDEX(Backlog!$T$2:$T$180,MATCH($A61,Backlog!$A$2:$A$180,0))="","",INDEX(Backlog!$T$2:$T$180,MATCH($A61,Backlog!$A$2:$A$180,0)))</x:f>
        <x:v>R1 route inventory and six shell contracts frozen. Contract-ready handoffs from T-196/T-197/T-198/T-199/T-200 are recorded separately in column AN. Do not wait for the entire M3 implementation or ship a simulated M3 page.</x:v>
      </x:c>
      <x:c r="J61" s="194" t="str">
        <x:f>IF(INDEX(Backlog!$AN$2:$AN$180,MATCH($A61,Backlog!$A$2:$A$180,0))="","",INDEX(Backlog!$AN$2:$AN$180,MATCH($A61,Backlog!$A$2:$A$180,0)))</x:f>
        <x:v>T-196; T-197; T-198; T-199; T-200; T-265; T-266</x:v>
      </x:c>
      <x:c r="K61"/>
      <x:c r="L61"/>
    </x:row>
    <x:row r="62" ht="26" customHeight="1">
      <x:c r="A62" s="206" t="str">
        <x:v>T-215</x:v>
      </x:c>
      <x:c r="B62" s="206" t="str">
        <x:f>IF(INDEX(Backlog!$B$2:$B$180,MATCH($A62,Backlog!$A$2:$A$180,0))="","",INDEX(Backlog!$B$2:$B$180,MATCH($A62,Backlog!$A$2:$A$180,0)))</x:f>
        <x:v>M2</x:v>
      </x:c>
      <x:c r="C62" s="206" t="str">
        <x:f>IF(INDEX(Backlog!$C$2:$C$180,MATCH($A62,Backlog!$A$2:$A$180,0))="","",INDEX(Backlog!$C$2:$C$180,MATCH($A62,Backlog!$A$2:$A$180,0)))</x:f>
        <x:v>P3</x:v>
      </x:c>
      <x:c r="D62" s="206" t="str">
        <x:f>IF(INDEX(Backlog!$L$2:$L$180,MATCH($A62,Backlog!$A$2:$A$180,0))="","",INDEX(Backlog!$L$2:$L$180,MATCH($A62,Backlog!$A$2:$A$180,0)))</x:f>
        <x:v>Worker 2</x:v>
      </x:c>
      <x:c r="E62" s="206" t="str">
        <x:f>IF(INDEX(Backlog!$K$2:$K$180,MATCH($A62,Backlog!$A$2:$A$180,0))="","",INDEX(Backlog!$K$2:$K$180,MATCH($A62,Backlog!$A$2:$A$180,0)))</x:f>
        <x:v>Not Started</x:v>
      </x:c>
      <x:c r="F62" s="206" t="n">
        <x:f>IF(ISNUMBER(INDEX(Backlog!$R$2:$R$180,MATCH($A62,Backlog!$A$2:$A$180,0))),INDEX(Backlog!$R$2:$R$180,MATCH($A62,Backlog!$A$2:$A$180,0)),"")</x:f>
        <x:v>4</x:v>
      </x:c>
      <x:c r="G62" s="206" t="str">
        <x:f>IF(INDEX(Backlog!$M$2:$M$180,MATCH($A62,Backlog!$A$2:$A$180,0))="","",INDEX(Backlog!$M$2:$M$180,MATCH($A62,Backlog!$A$2:$A$180,0)))</x:f>
        <x:v>T-092; T-214; T-232</x:v>
      </x:c>
      <x:c r="H62" s="206" t="str">
        <x:f>IF(INDEX(Backlog!$N$2:$N$180,MATCH($A62,Backlog!$A$2:$A$180,0))="","",INDEX(Backlog!$N$2:$N$180,MATCH($A62,Backlog!$A$2:$A$180,0)))</x:f>
        <x:v>T-150; T-222</x:v>
      </x:c>
      <x:c r="I62" s="206" t="str">
        <x:f>IF(INDEX(Backlog!$T$2:$T$180,MATCH($A62,Backlog!$A$2:$A$180,0))="","",INDEX(Backlog!$T$2:$T$180,MATCH($A62,Backlog!$A$2:$A$180,0)))</x:f>
        <x:v>T-092 + T-214.</x:v>
      </x:c>
      <x:c r="J62" s="194" t="str">
        <x:f>IF(INDEX(Backlog!$AN$2:$AN$180,MATCH($A62,Backlog!$A$2:$A$180,0))="","",INDEX(Backlog!$AN$2:$AN$180,MATCH($A62,Backlog!$A$2:$A$180,0)))</x:f>
      </x:c>
      <x:c r="K62"/>
      <x:c r="L62"/>
    </x:row>
    <x:row r="63" ht="26" customHeight="1">
      <x:c r="A63" s="206" t="str">
        <x:v>T-222</x:v>
      </x:c>
      <x:c r="B63" s="206" t="str">
        <x:f>IF(INDEX(Backlog!$B$2:$B$180,MATCH($A63,Backlog!$A$2:$A$180,0))="","",INDEX(Backlog!$B$2:$B$180,MATCH($A63,Backlog!$A$2:$A$180,0)))</x:f>
        <x:v>M2</x:v>
      </x:c>
      <x:c r="C63" s="206" t="str">
        <x:f>IF(INDEX(Backlog!$C$2:$C$180,MATCH($A63,Backlog!$A$2:$A$180,0))="","",INDEX(Backlog!$C$2:$C$180,MATCH($A63,Backlog!$A$2:$A$180,0)))</x:f>
        <x:v>P3</x:v>
      </x:c>
      <x:c r="D63" s="206" t="str">
        <x:f>IF(INDEX(Backlog!$L$2:$L$180,MATCH($A63,Backlog!$A$2:$A$180,0))="","",INDEX(Backlog!$L$2:$L$180,MATCH($A63,Backlog!$A$2:$A$180,0)))</x:f>
        <x:v>Worker 2</x:v>
      </x:c>
      <x:c r="E63" s="206" t="str">
        <x:f>IF(INDEX(Backlog!$K$2:$K$180,MATCH($A63,Backlog!$A$2:$A$180,0))="","",INDEX(Backlog!$K$2:$K$180,MATCH($A63,Backlog!$A$2:$A$180,0)))</x:f>
        <x:v>Not Started</x:v>
      </x:c>
      <x:c r="F63" s="206" t="n">
        <x:f>IF(ISNUMBER(INDEX(Backlog!$R$2:$R$180,MATCH($A63,Backlog!$A$2:$A$180,0))),INDEX(Backlog!$R$2:$R$180,MATCH($A63,Backlog!$A$2:$A$180,0)),"")</x:f>
        <x:v>4.25</x:v>
      </x:c>
      <x:c r="G63" s="206" t="str">
        <x:f>IF(INDEX(Backlog!$M$2:$M$180,MATCH($A63,Backlog!$A$2:$A$180,0))="","",INDEX(Backlog!$M$2:$M$180,MATCH($A63,Backlog!$A$2:$A$180,0)))</x:f>
        <x:v>T-219; T-220; T-215; T-203; T-204</x:v>
      </x:c>
      <x:c r="H63" s="206" t="str">
        <x:f>IF(INDEX(Backlog!$N$2:$N$180,MATCH($A63,Backlog!$A$2:$A$180,0))="","",INDEX(Backlog!$N$2:$N$180,MATCH($A63,Backlog!$A$2:$A$180,0)))</x:f>
        <x:v>T-150</x:v>
      </x:c>
      <x:c r="I63" s="206" t="str">
        <x:f>IF(INDEX(Backlog!$T$2:$T$180,MATCH($A63,Backlog!$A$2:$A$180,0))="","",INDEX(Backlog!$T$2:$T$180,MATCH($A63,Backlog!$A$2:$A$180,0)))</x:f>
        <x:v>T-219/T-220 result contract + T-215 + T-203/T-204. Do not create a demo-only store.</x:v>
      </x:c>
      <x:c r="J63" s="194" t="str">
        <x:f>IF(INDEX(Backlog!$AN$2:$AN$180,MATCH($A63,Backlog!$A$2:$A$180,0))="","",INDEX(Backlog!$AN$2:$AN$180,MATCH($A63,Backlog!$A$2:$A$180,0)))</x:f>
      </x:c>
      <x:c r="K63"/>
      <x:c r="L63"/>
    </x:row>
    <x:row r="64" ht="26" customHeight="1">
      <x:c r="A64" s="206" t="str">
        <x:v>T-258</x:v>
      </x:c>
      <x:c r="B64" s="206" t="str">
        <x:f>IF(INDEX(Backlog!$B$2:$B$180,MATCH($A64,Backlog!$A$2:$A$180,0))="","",INDEX(Backlog!$B$2:$B$180,MATCH($A64,Backlog!$A$2:$A$180,0)))</x:f>
        <x:v>M2</x:v>
      </x:c>
      <x:c r="C64" s="206" t="str">
        <x:f>IF(INDEX(Backlog!$C$2:$C$180,MATCH($A64,Backlog!$A$2:$A$180,0))="","",INDEX(Backlog!$C$2:$C$180,MATCH($A64,Backlog!$A$2:$A$180,0)))</x:f>
        <x:v>P3</x:v>
      </x:c>
      <x:c r="D64" s="206" t="str">
        <x:f>IF(INDEX(Backlog!$L$2:$L$180,MATCH($A64,Backlog!$A$2:$A$180,0))="","",INDEX(Backlog!$L$2:$L$180,MATCH($A64,Backlog!$A$2:$A$180,0)))</x:f>
        <x:v>Worker 2</x:v>
      </x:c>
      <x:c r="E64" s="206" t="str">
        <x:f>IF(INDEX(Backlog!$K$2:$K$180,MATCH($A64,Backlog!$A$2:$A$180,0))="","",INDEX(Backlog!$K$2:$K$180,MATCH($A64,Backlog!$A$2:$A$180,0)))</x:f>
        <x:v>Not Started</x:v>
      </x:c>
      <x:c r="F64" s="206" t="n">
        <x:f>IF(ISNUMBER(INDEX(Backlog!$R$2:$R$180,MATCH($A64,Backlog!$A$2:$A$180,0))),INDEX(Backlog!$R$2:$R$180,MATCH($A64,Backlog!$A$2:$A$180,0)),"")</x:f>
        <x:v>3.4</x:v>
      </x:c>
      <x:c r="G64" s="206" t="str">
        <x:f>IF(INDEX(Backlog!$M$2:$M$180,MATCH($A64,Backlog!$A$2:$A$180,0))="","",INDEX(Backlog!$M$2:$M$180,MATCH($A64,Backlog!$A$2:$A$180,0)))</x:f>
        <x:v>T-094; T-250; T-256</x:v>
      </x:c>
      <x:c r="H64" s="206" t="str">
        <x:f>IF(INDEX(Backlog!$N$2:$N$180,MATCH($A64,Backlog!$A$2:$A$180,0))="","",INDEX(Backlog!$N$2:$N$180,MATCH($A64,Backlog!$A$2:$A$180,0)))</x:f>
        <x:v>T-150; T-247</x:v>
      </x:c>
      <x:c r="I64" s="206" t="str">
        <x:f>IF(INDEX(Backlog!$T$2:$T$180,MATCH($A64,Backlog!$A$2:$A$180,0))="","",INDEX(Backlog!$T$2:$T$180,MATCH($A64,Backlog!$A$2:$A$180,0)))</x:f>
        <x:v>WAIT for T-256 CLOSED and its frontend-consumer handoff manifest. Then perform bounded frontend-only convergence; do not re-investigate backend genericity.</x:v>
      </x:c>
      <x:c r="J64" s="194" t="str">
        <x:f>IF(INDEX(Backlog!$AN$2:$AN$180,MATCH($A64,Backlog!$A$2:$A$180,0))="","",INDEX(Backlog!$AN$2:$AN$180,MATCH($A64,Backlog!$A$2:$A$180,0)))</x:f>
      </x:c>
      <x:c r="K64"/>
      <x:c r="L64"/>
    </x:row>
    <x:row r="65" ht="26" customHeight="1">
      <x:c r="A65" s="206" t="str">
        <x:v>T-137</x:v>
      </x:c>
      <x:c r="B65" s="206" t="str">
        <x:f>IF(INDEX(Backlog!$B$2:$B$180,MATCH($A65,Backlog!$A$2:$A$180,0))="","",INDEX(Backlog!$B$2:$B$180,MATCH($A65,Backlog!$A$2:$A$180,0)))</x:f>
        <x:v>M2</x:v>
      </x:c>
      <x:c r="C65" s="206" t="str">
        <x:f>IF(INDEX(Backlog!$C$2:$C$180,MATCH($A65,Backlog!$A$2:$A$180,0))="","",INDEX(Backlog!$C$2:$C$180,MATCH($A65,Backlog!$A$2:$A$180,0)))</x:f>
        <x:v>P4</x:v>
      </x:c>
      <x:c r="D65" s="206" t="str">
        <x:f>IF(INDEX(Backlog!$L$2:$L$180,MATCH($A65,Backlog!$A$2:$A$180,0))="","",INDEX(Backlog!$L$2:$L$180,MATCH($A65,Backlog!$A$2:$A$180,0)))</x:f>
        <x:v>CLOSED</x:v>
      </x:c>
      <x:c r="E65" s="206" t="str">
        <x:f>IF(INDEX(Backlog!$K$2:$K$180,MATCH($A65,Backlog!$A$2:$A$180,0))="","",INDEX(Backlog!$K$2:$K$180,MATCH($A65,Backlog!$A$2:$A$180,0)))</x:f>
        <x:v>Done</x:v>
      </x:c>
      <x:c r="F65" s="206" t="n">
        <x:f>IF(ISNUMBER(INDEX(Backlog!$R$2:$R$180,MATCH($A65,Backlog!$A$2:$A$180,0))),INDEX(Backlog!$R$2:$R$180,MATCH($A65,Backlog!$A$2:$A$180,0)),"")</x:f>
        <x:v>0</x:v>
      </x:c>
      <x:c r="G65" s="206" t="str">
        <x:f>IF(INDEX(Backlog!$M$2:$M$180,MATCH($A65,Backlog!$A$2:$A$180,0))="","",INDEX(Backlog!$M$2:$M$180,MATCH($A65,Backlog!$A$2:$A$180,0)))</x:f>
      </x:c>
      <x:c r="H65" s="206" t="str">
        <x:f>IF(INDEX(Backlog!$N$2:$N$180,MATCH($A65,Backlog!$A$2:$A$180,0))="","",INDEX(Backlog!$N$2:$N$180,MATCH($A65,Backlog!$A$2:$A$180,0)))</x:f>
        <x:v>T-122; T-138; T-246</x:v>
      </x:c>
      <x:c r="I65" s="206" t="str">
        <x:f>IF(INDEX(Backlog!$T$2:$T$180,MATCH($A65,Backlog!$A$2:$A$180,0))="","",INDEX(Backlog!$T$2:$T$180,MATCH($A65,Backlog!$A$2:$A$180,0)))</x:f>
        <x:v>Closed — do not reopen without contradictory regression evidence.</x:v>
      </x:c>
      <x:c r="J65" s="194" t="str">
        <x:f>IF(INDEX(Backlog!$AN$2:$AN$180,MATCH($A65,Backlog!$A$2:$A$180,0))="","",INDEX(Backlog!$AN$2:$AN$180,MATCH($A65,Backlog!$A$2:$A$180,0)))</x:f>
      </x:c>
      <x:c r="K65"/>
      <x:c r="L65"/>
    </x:row>
    <x:row r="66" ht="26" customHeight="1">
      <x:c r="A66" s="206" t="str">
        <x:v>T-168</x:v>
      </x:c>
      <x:c r="B66" s="206" t="str">
        <x:f>IF(INDEX(Backlog!$B$2:$B$180,MATCH($A66,Backlog!$A$2:$A$180,0))="","",INDEX(Backlog!$B$2:$B$180,MATCH($A66,Backlog!$A$2:$A$180,0)))</x:f>
        <x:v>M2</x:v>
      </x:c>
      <x:c r="C66" s="206" t="str">
        <x:f>IF(INDEX(Backlog!$C$2:$C$180,MATCH($A66,Backlog!$A$2:$A$180,0))="","",INDEX(Backlog!$C$2:$C$180,MATCH($A66,Backlog!$A$2:$A$180,0)))</x:f>
        <x:v>P4</x:v>
      </x:c>
      <x:c r="D66" s="206" t="str">
        <x:f>IF(INDEX(Backlog!$L$2:$L$180,MATCH($A66,Backlog!$A$2:$A$180,0))="","",INDEX(Backlog!$L$2:$L$180,MATCH($A66,Backlog!$A$2:$A$180,0)))</x:f>
        <x:v>CLOSED</x:v>
      </x:c>
      <x:c r="E66" s="206" t="str">
        <x:f>IF(INDEX(Backlog!$K$2:$K$180,MATCH($A66,Backlog!$A$2:$A$180,0))="","",INDEX(Backlog!$K$2:$K$180,MATCH($A66,Backlog!$A$2:$A$180,0)))</x:f>
        <x:v>Done</x:v>
      </x:c>
      <x:c r="F66" s="206" t="n">
        <x:f>IF(ISNUMBER(INDEX(Backlog!$R$2:$R$180,MATCH($A66,Backlog!$A$2:$A$180,0))),INDEX(Backlog!$R$2:$R$180,MATCH($A66,Backlog!$A$2:$A$180,0)),"")</x:f>
        <x:v>0</x:v>
      </x:c>
      <x:c r="G66" s="206" t="str">
        <x:f>IF(INDEX(Backlog!$M$2:$M$180,MATCH($A66,Backlog!$A$2:$A$180,0))="","",INDEX(Backlog!$M$2:$M$180,MATCH($A66,Backlog!$A$2:$A$180,0)))</x:f>
      </x:c>
      <x:c r="H66" s="206" t="str">
        <x:f>IF(INDEX(Backlog!$N$2:$N$180,MATCH($A66,Backlog!$A$2:$A$180,0))="","",INDEX(Backlog!$N$2:$N$180,MATCH($A66,Backlog!$A$2:$A$180,0)))</x:f>
        <x:v>T-122; T-175; T-187</x:v>
      </x:c>
      <x:c r="I66" s="206" t="str">
        <x:f>IF(INDEX(Backlog!$T$2:$T$180,MATCH($A66,Backlog!$A$2:$A$180,0))="","",INDEX(Backlog!$T$2:$T$180,MATCH($A66,Backlog!$A$2:$A$180,0)))</x:f>
        <x:v>Closed — do not reopen without contradictory regression evidence.</x:v>
      </x:c>
      <x:c r="J66" s="194" t="str">
        <x:f>IF(INDEX(Backlog!$AN$2:$AN$180,MATCH($A66,Backlog!$A$2:$A$180,0))="","",INDEX(Backlog!$AN$2:$AN$180,MATCH($A66,Backlog!$A$2:$A$180,0)))</x:f>
      </x:c>
      <x:c r="K66"/>
      <x:c r="L66"/>
    </x:row>
    <x:row r="67" ht="26" customHeight="1">
      <x:c r="A67" s="206" t="str">
        <x:v>T-169</x:v>
      </x:c>
      <x:c r="B67" s="206" t="str">
        <x:f>IF(INDEX(Backlog!$B$2:$B$180,MATCH($A67,Backlog!$A$2:$A$180,0))="","",INDEX(Backlog!$B$2:$B$180,MATCH($A67,Backlog!$A$2:$A$180,0)))</x:f>
        <x:v>M2</x:v>
      </x:c>
      <x:c r="C67" s="206" t="str">
        <x:f>IF(INDEX(Backlog!$C$2:$C$180,MATCH($A67,Backlog!$A$2:$A$180,0))="","",INDEX(Backlog!$C$2:$C$180,MATCH($A67,Backlog!$A$2:$A$180,0)))</x:f>
        <x:v>P4</x:v>
      </x:c>
      <x:c r="D67" s="206" t="str">
        <x:f>IF(INDEX(Backlog!$L$2:$L$180,MATCH($A67,Backlog!$A$2:$A$180,0))="","",INDEX(Backlog!$L$2:$L$180,MATCH($A67,Backlog!$A$2:$A$180,0)))</x:f>
        <x:v>CLOSED</x:v>
      </x:c>
      <x:c r="E67" s="206" t="str">
        <x:f>IF(INDEX(Backlog!$K$2:$K$180,MATCH($A67,Backlog!$A$2:$A$180,0))="","",INDEX(Backlog!$K$2:$K$180,MATCH($A67,Backlog!$A$2:$A$180,0)))</x:f>
        <x:v>Done</x:v>
      </x:c>
      <x:c r="F67" s="206" t="n">
        <x:f>IF(ISNUMBER(INDEX(Backlog!$R$2:$R$180,MATCH($A67,Backlog!$A$2:$A$180,0))),INDEX(Backlog!$R$2:$R$180,MATCH($A67,Backlog!$A$2:$A$180,0)),"")</x:f>
        <x:v>0</x:v>
      </x:c>
      <x:c r="G67" s="206" t="str">
        <x:f>IF(INDEX(Backlog!$M$2:$M$180,MATCH($A67,Backlog!$A$2:$A$180,0))="","",INDEX(Backlog!$M$2:$M$180,MATCH($A67,Backlog!$A$2:$A$180,0)))</x:f>
      </x:c>
      <x:c r="H67" s="206" t="str">
        <x:f>IF(INDEX(Backlog!$N$2:$N$180,MATCH($A67,Backlog!$A$2:$A$180,0))="","",INDEX(Backlog!$N$2:$N$180,MATCH($A67,Backlog!$A$2:$A$180,0)))</x:f>
        <x:v>T-175; T-184; T-187</x:v>
      </x:c>
      <x:c r="I67" s="206" t="str">
        <x:f>IF(INDEX(Backlog!$T$2:$T$180,MATCH($A67,Backlog!$A$2:$A$180,0))="","",INDEX(Backlog!$T$2:$T$180,MATCH($A67,Backlog!$A$2:$A$180,0)))</x:f>
        <x:v>Closed — do not reopen without contradictory regression evidence.</x:v>
      </x:c>
      <x:c r="J67" s="194" t="str">
        <x:f>IF(INDEX(Backlog!$AN$2:$AN$180,MATCH($A67,Backlog!$A$2:$A$180,0))="","",INDEX(Backlog!$AN$2:$AN$180,MATCH($A67,Backlog!$A$2:$A$180,0)))</x:f>
      </x:c>
      <x:c r="K67"/>
      <x:c r="L67"/>
    </x:row>
    <x:row r="68" ht="26" customHeight="1">
      <x:c r="A68" s="206" t="str">
        <x:v>T-170</x:v>
      </x:c>
      <x:c r="B68" s="206" t="str">
        <x:f>IF(INDEX(Backlog!$B$2:$B$180,MATCH($A68,Backlog!$A$2:$A$180,0))="","",INDEX(Backlog!$B$2:$B$180,MATCH($A68,Backlog!$A$2:$A$180,0)))</x:f>
        <x:v>M2</x:v>
      </x:c>
      <x:c r="C68" s="206" t="str">
        <x:f>IF(INDEX(Backlog!$C$2:$C$180,MATCH($A68,Backlog!$A$2:$A$180,0))="","",INDEX(Backlog!$C$2:$C$180,MATCH($A68,Backlog!$A$2:$A$180,0)))</x:f>
        <x:v>P4</x:v>
      </x:c>
      <x:c r="D68" s="206" t="str">
        <x:f>IF(INDEX(Backlog!$L$2:$L$180,MATCH($A68,Backlog!$A$2:$A$180,0))="","",INDEX(Backlog!$L$2:$L$180,MATCH($A68,Backlog!$A$2:$A$180,0)))</x:f>
        <x:v>CLOSED</x:v>
      </x:c>
      <x:c r="E68" s="206" t="str">
        <x:f>IF(INDEX(Backlog!$K$2:$K$180,MATCH($A68,Backlog!$A$2:$A$180,0))="","",INDEX(Backlog!$K$2:$K$180,MATCH($A68,Backlog!$A$2:$A$180,0)))</x:f>
        <x:v>Done</x:v>
      </x:c>
      <x:c r="F68" s="206" t="n">
        <x:f>IF(ISNUMBER(INDEX(Backlog!$R$2:$R$180,MATCH($A68,Backlog!$A$2:$A$180,0))),INDEX(Backlog!$R$2:$R$180,MATCH($A68,Backlog!$A$2:$A$180,0)),"")</x:f>
        <x:v>0</x:v>
      </x:c>
      <x:c r="G68" s="206" t="str">
        <x:f>IF(INDEX(Backlog!$M$2:$M$180,MATCH($A68,Backlog!$A$2:$A$180,0))="","",INDEX(Backlog!$M$2:$M$180,MATCH($A68,Backlog!$A$2:$A$180,0)))</x:f>
      </x:c>
      <x:c r="H68" s="206" t="str">
        <x:f>IF(INDEX(Backlog!$N$2:$N$180,MATCH($A68,Backlog!$A$2:$A$180,0))="","",INDEX(Backlog!$N$2:$N$180,MATCH($A68,Backlog!$A$2:$A$180,0)))</x:f>
        <x:v>T-185; T-187</x:v>
      </x:c>
      <x:c r="I68" s="206" t="str">
        <x:f>IF(INDEX(Backlog!$T$2:$T$180,MATCH($A68,Backlog!$A$2:$A$180,0))="","",INDEX(Backlog!$T$2:$T$180,MATCH($A68,Backlog!$A$2:$A$180,0)))</x:f>
        <x:v>Closed — do not reopen without contradictory regression evidence.</x:v>
      </x:c>
      <x:c r="J68" s="194" t="str">
        <x:f>IF(INDEX(Backlog!$AN$2:$AN$180,MATCH($A68,Backlog!$A$2:$A$180,0))="","",INDEX(Backlog!$AN$2:$AN$180,MATCH($A68,Backlog!$A$2:$A$180,0)))</x:f>
      </x:c>
      <x:c r="K68"/>
      <x:c r="L68"/>
    </x:row>
    <x:row r="69" ht="26" customHeight="1">
      <x:c r="A69" s="206" t="str">
        <x:v>T-171</x:v>
      </x:c>
      <x:c r="B69" s="206" t="str">
        <x:f>IF(INDEX(Backlog!$B$2:$B$180,MATCH($A69,Backlog!$A$2:$A$180,0))="","",INDEX(Backlog!$B$2:$B$180,MATCH($A69,Backlog!$A$2:$A$180,0)))</x:f>
        <x:v>M2</x:v>
      </x:c>
      <x:c r="C69" s="206" t="str">
        <x:f>IF(INDEX(Backlog!$C$2:$C$180,MATCH($A69,Backlog!$A$2:$A$180,0))="","",INDEX(Backlog!$C$2:$C$180,MATCH($A69,Backlog!$A$2:$A$180,0)))</x:f>
        <x:v>P4</x:v>
      </x:c>
      <x:c r="D69" s="206" t="str">
        <x:f>IF(INDEX(Backlog!$L$2:$L$180,MATCH($A69,Backlog!$A$2:$A$180,0))="","",INDEX(Backlog!$L$2:$L$180,MATCH($A69,Backlog!$A$2:$A$180,0)))</x:f>
        <x:v>CLOSED</x:v>
      </x:c>
      <x:c r="E69" s="206" t="str">
        <x:f>IF(INDEX(Backlog!$K$2:$K$180,MATCH($A69,Backlog!$A$2:$A$180,0))="","",INDEX(Backlog!$K$2:$K$180,MATCH($A69,Backlog!$A$2:$A$180,0)))</x:f>
        <x:v>Done</x:v>
      </x:c>
      <x:c r="F69" s="206" t="n">
        <x:f>IF(ISNUMBER(INDEX(Backlog!$R$2:$R$180,MATCH($A69,Backlog!$A$2:$A$180,0))),INDEX(Backlog!$R$2:$R$180,MATCH($A69,Backlog!$A$2:$A$180,0)),"")</x:f>
        <x:v>0</x:v>
      </x:c>
      <x:c r="G69" s="206" t="str">
        <x:f>IF(INDEX(Backlog!$M$2:$M$180,MATCH($A69,Backlog!$A$2:$A$180,0))="","",INDEX(Backlog!$M$2:$M$180,MATCH($A69,Backlog!$A$2:$A$180,0)))</x:f>
      </x:c>
      <x:c r="H69" s="206" t="str">
        <x:f>IF(INDEX(Backlog!$N$2:$N$180,MATCH($A69,Backlog!$A$2:$A$180,0))="","",INDEX(Backlog!$N$2:$N$180,MATCH($A69,Backlog!$A$2:$A$180,0)))</x:f>
        <x:v>T-131; T-186; T-187</x:v>
      </x:c>
      <x:c r="I69" s="206" t="str">
        <x:f>IF(INDEX(Backlog!$T$2:$T$180,MATCH($A69,Backlog!$A$2:$A$180,0))="","",INDEX(Backlog!$T$2:$T$180,MATCH($A69,Backlog!$A$2:$A$180,0)))</x:f>
        <x:v>Closed — do not reopen without contradictory regression evidence.</x:v>
      </x:c>
      <x:c r="J69" s="194" t="str">
        <x:f>IF(INDEX(Backlog!$AN$2:$AN$180,MATCH($A69,Backlog!$A$2:$A$180,0))="","",INDEX(Backlog!$AN$2:$AN$180,MATCH($A69,Backlog!$A$2:$A$180,0)))</x:f>
      </x:c>
      <x:c r="K69"/>
      <x:c r="L69"/>
    </x:row>
    <x:row r="70" ht="26" customHeight="1">
      <x:c r="A70" s="206" t="str">
        <x:v>T-172</x:v>
      </x:c>
      <x:c r="B70" s="206" t="str">
        <x:f>IF(INDEX(Backlog!$B$2:$B$180,MATCH($A70,Backlog!$A$2:$A$180,0))="","",INDEX(Backlog!$B$2:$B$180,MATCH($A70,Backlog!$A$2:$A$180,0)))</x:f>
        <x:v>M2</x:v>
      </x:c>
      <x:c r="C70" s="206" t="str">
        <x:f>IF(INDEX(Backlog!$C$2:$C$180,MATCH($A70,Backlog!$A$2:$A$180,0))="","",INDEX(Backlog!$C$2:$C$180,MATCH($A70,Backlog!$A$2:$A$180,0)))</x:f>
        <x:v>P4</x:v>
      </x:c>
      <x:c r="D70" s="206" t="str">
        <x:f>IF(INDEX(Backlog!$L$2:$L$180,MATCH($A70,Backlog!$A$2:$A$180,0))="","",INDEX(Backlog!$L$2:$L$180,MATCH($A70,Backlog!$A$2:$A$180,0)))</x:f>
        <x:v>CLOSED</x:v>
      </x:c>
      <x:c r="E70" s="206" t="str">
        <x:f>IF(INDEX(Backlog!$K$2:$K$180,MATCH($A70,Backlog!$A$2:$A$180,0))="","",INDEX(Backlog!$K$2:$K$180,MATCH($A70,Backlog!$A$2:$A$180,0)))</x:f>
        <x:v>Done</x:v>
      </x:c>
      <x:c r="F70" s="206" t="n">
        <x:f>IF(ISNUMBER(INDEX(Backlog!$R$2:$R$180,MATCH($A70,Backlog!$A$2:$A$180,0))),INDEX(Backlog!$R$2:$R$180,MATCH($A70,Backlog!$A$2:$A$180,0)),"")</x:f>
        <x:v>0</x:v>
      </x:c>
      <x:c r="G70" s="206" t="str">
        <x:f>IF(INDEX(Backlog!$M$2:$M$180,MATCH($A70,Backlog!$A$2:$A$180,0))="","",INDEX(Backlog!$M$2:$M$180,MATCH($A70,Backlog!$A$2:$A$180,0)))</x:f>
      </x:c>
      <x:c r="H70" s="206" t="str">
        <x:f>IF(INDEX(Backlog!$N$2:$N$180,MATCH($A70,Backlog!$A$2:$A$180,0))="","",INDEX(Backlog!$N$2:$N$180,MATCH($A70,Backlog!$A$2:$A$180,0)))</x:f>
        <x:v>T-187</x:v>
      </x:c>
      <x:c r="I70" s="206" t="str">
        <x:f>IF(INDEX(Backlog!$T$2:$T$180,MATCH($A70,Backlog!$A$2:$A$180,0))="","",INDEX(Backlog!$T$2:$T$180,MATCH($A70,Backlog!$A$2:$A$180,0)))</x:f>
        <x:v>Closed — do not reopen without contradictory regression evidence.</x:v>
      </x:c>
      <x:c r="J70" s="194" t="str">
        <x:f>IF(INDEX(Backlog!$AN$2:$AN$180,MATCH($A70,Backlog!$A$2:$A$180,0))="","",INDEX(Backlog!$AN$2:$AN$180,MATCH($A70,Backlog!$A$2:$A$180,0)))</x:f>
      </x:c>
      <x:c r="K70"/>
      <x:c r="L70"/>
    </x:row>
    <x:row r="71" ht="26" customHeight="1">
      <x:c r="A71" s="206" t="str">
        <x:v>T-173</x:v>
      </x:c>
      <x:c r="B71" s="206" t="str">
        <x:f>IF(INDEX(Backlog!$B$2:$B$180,MATCH($A71,Backlog!$A$2:$A$180,0))="","",INDEX(Backlog!$B$2:$B$180,MATCH($A71,Backlog!$A$2:$A$180,0)))</x:f>
        <x:v>M2</x:v>
      </x:c>
      <x:c r="C71" s="206" t="str">
        <x:f>IF(INDEX(Backlog!$C$2:$C$180,MATCH($A71,Backlog!$A$2:$A$180,0))="","",INDEX(Backlog!$C$2:$C$180,MATCH($A71,Backlog!$A$2:$A$180,0)))</x:f>
        <x:v>P4</x:v>
      </x:c>
      <x:c r="D71" s="206" t="str">
        <x:f>IF(INDEX(Backlog!$L$2:$L$180,MATCH($A71,Backlog!$A$2:$A$180,0))="","",INDEX(Backlog!$L$2:$L$180,MATCH($A71,Backlog!$A$2:$A$180,0)))</x:f>
        <x:v>CLOSED</x:v>
      </x:c>
      <x:c r="E71" s="206" t="str">
        <x:f>IF(INDEX(Backlog!$K$2:$K$180,MATCH($A71,Backlog!$A$2:$A$180,0))="","",INDEX(Backlog!$K$2:$K$180,MATCH($A71,Backlog!$A$2:$A$180,0)))</x:f>
        <x:v>Done</x:v>
      </x:c>
      <x:c r="F71" s="206" t="n">
        <x:f>IF(ISNUMBER(INDEX(Backlog!$R$2:$R$180,MATCH($A71,Backlog!$A$2:$A$180,0))),INDEX(Backlog!$R$2:$R$180,MATCH($A71,Backlog!$A$2:$A$180,0)),"")</x:f>
        <x:v>0</x:v>
      </x:c>
      <x:c r="G71" s="206" t="str">
        <x:f>IF(INDEX(Backlog!$M$2:$M$180,MATCH($A71,Backlog!$A$2:$A$180,0))="","",INDEX(Backlog!$M$2:$M$180,MATCH($A71,Backlog!$A$2:$A$180,0)))</x:f>
      </x:c>
      <x:c r="H71" s="206" t="str">
        <x:f>IF(INDEX(Backlog!$N$2:$N$180,MATCH($A71,Backlog!$A$2:$A$180,0))="","",INDEX(Backlog!$N$2:$N$180,MATCH($A71,Backlog!$A$2:$A$180,0)))</x:f>
        <x:v>T-140; T-187</x:v>
      </x:c>
      <x:c r="I71" s="206" t="str">
        <x:f>IF(INDEX(Backlog!$T$2:$T$180,MATCH($A71,Backlog!$A$2:$A$180,0))="","",INDEX(Backlog!$T$2:$T$180,MATCH($A71,Backlog!$A$2:$A$180,0)))</x:f>
        <x:v>Closed — do not reopen without contradictory regression evidence.</x:v>
      </x:c>
      <x:c r="J71" s="194" t="str">
        <x:f>IF(INDEX(Backlog!$AN$2:$AN$180,MATCH($A71,Backlog!$A$2:$A$180,0))="","",INDEX(Backlog!$AN$2:$AN$180,MATCH($A71,Backlog!$A$2:$A$180,0)))</x:f>
      </x:c>
      <x:c r="K71"/>
      <x:c r="L71"/>
    </x:row>
    <x:row r="72" ht="26" customHeight="1">
      <x:c r="A72" s="206" t="str">
        <x:v>T-174</x:v>
      </x:c>
      <x:c r="B72" s="206" t="str">
        <x:f>IF(INDEX(Backlog!$B$2:$B$180,MATCH($A72,Backlog!$A$2:$A$180,0))="","",INDEX(Backlog!$B$2:$B$180,MATCH($A72,Backlog!$A$2:$A$180,0)))</x:f>
        <x:v>M2</x:v>
      </x:c>
      <x:c r="C72" s="206" t="str">
        <x:f>IF(INDEX(Backlog!$C$2:$C$180,MATCH($A72,Backlog!$A$2:$A$180,0))="","",INDEX(Backlog!$C$2:$C$180,MATCH($A72,Backlog!$A$2:$A$180,0)))</x:f>
        <x:v>P4</x:v>
      </x:c>
      <x:c r="D72" s="206" t="str">
        <x:f>IF(INDEX(Backlog!$L$2:$L$180,MATCH($A72,Backlog!$A$2:$A$180,0))="","",INDEX(Backlog!$L$2:$L$180,MATCH($A72,Backlog!$A$2:$A$180,0)))</x:f>
        <x:v>CLOSED</x:v>
      </x:c>
      <x:c r="E72" s="206" t="str">
        <x:f>IF(INDEX(Backlog!$K$2:$K$180,MATCH($A72,Backlog!$A$2:$A$180,0))="","",INDEX(Backlog!$K$2:$K$180,MATCH($A72,Backlog!$A$2:$A$180,0)))</x:f>
        <x:v>Done</x:v>
      </x:c>
      <x:c r="F72" s="206" t="n">
        <x:f>IF(ISNUMBER(INDEX(Backlog!$R$2:$R$180,MATCH($A72,Backlog!$A$2:$A$180,0))),INDEX(Backlog!$R$2:$R$180,MATCH($A72,Backlog!$A$2:$A$180,0)),"")</x:f>
        <x:v>0</x:v>
      </x:c>
      <x:c r="G72" s="206" t="str">
        <x:f>IF(INDEX(Backlog!$M$2:$M$180,MATCH($A72,Backlog!$A$2:$A$180,0))="","",INDEX(Backlog!$M$2:$M$180,MATCH($A72,Backlog!$A$2:$A$180,0)))</x:f>
      </x:c>
      <x:c r="H72" s="206" t="str">
        <x:f>IF(INDEX(Backlog!$N$2:$N$180,MATCH($A72,Backlog!$A$2:$A$180,0))="","",INDEX(Backlog!$N$2:$N$180,MATCH($A72,Backlog!$A$2:$A$180,0)))</x:f>
        <x:v>T-187</x:v>
      </x:c>
      <x:c r="I72" s="206" t="str">
        <x:f>IF(INDEX(Backlog!$T$2:$T$180,MATCH($A72,Backlog!$A$2:$A$180,0))="","",INDEX(Backlog!$T$2:$T$180,MATCH($A72,Backlog!$A$2:$A$180,0)))</x:f>
        <x:v>Closed — do not reopen without contradictory regression evidence.</x:v>
      </x:c>
      <x:c r="J72" s="194" t="str">
        <x:f>IF(INDEX(Backlog!$AN$2:$AN$180,MATCH($A72,Backlog!$A$2:$A$180,0))="","",INDEX(Backlog!$AN$2:$AN$180,MATCH($A72,Backlog!$A$2:$A$180,0)))</x:f>
      </x:c>
      <x:c r="K72"/>
      <x:c r="L72"/>
    </x:row>
    <x:row r="73" ht="26" customHeight="1">
      <x:c r="A73" s="206" t="str">
        <x:v>T-175</x:v>
      </x:c>
      <x:c r="B73" s="206" t="str">
        <x:f>IF(INDEX(Backlog!$B$2:$B$180,MATCH($A73,Backlog!$A$2:$A$180,0))="","",INDEX(Backlog!$B$2:$B$180,MATCH($A73,Backlog!$A$2:$A$180,0)))</x:f>
        <x:v>M2</x:v>
      </x:c>
      <x:c r="C73" s="206" t="str">
        <x:f>IF(INDEX(Backlog!$C$2:$C$180,MATCH($A73,Backlog!$A$2:$A$180,0))="","",INDEX(Backlog!$C$2:$C$180,MATCH($A73,Backlog!$A$2:$A$180,0)))</x:f>
        <x:v>P4</x:v>
      </x:c>
      <x:c r="D73" s="206" t="str">
        <x:f>IF(INDEX(Backlog!$L$2:$L$180,MATCH($A73,Backlog!$A$2:$A$180,0))="","",INDEX(Backlog!$L$2:$L$180,MATCH($A73,Backlog!$A$2:$A$180,0)))</x:f>
        <x:v>CLOSED</x:v>
      </x:c>
      <x:c r="E73" s="206" t="str">
        <x:f>IF(INDEX(Backlog!$K$2:$K$180,MATCH($A73,Backlog!$A$2:$A$180,0))="","",INDEX(Backlog!$K$2:$K$180,MATCH($A73,Backlog!$A$2:$A$180,0)))</x:f>
        <x:v>Done</x:v>
      </x:c>
      <x:c r="F73" s="206" t="n">
        <x:f>IF(ISNUMBER(INDEX(Backlog!$R$2:$R$180,MATCH($A73,Backlog!$A$2:$A$180,0))),INDEX(Backlog!$R$2:$R$180,MATCH($A73,Backlog!$A$2:$A$180,0)),"")</x:f>
        <x:v>0</x:v>
      </x:c>
      <x:c r="G73" s="206" t="str">
        <x:f>IF(INDEX(Backlog!$M$2:$M$180,MATCH($A73,Backlog!$A$2:$A$180,0))="","",INDEX(Backlog!$M$2:$M$180,MATCH($A73,Backlog!$A$2:$A$180,0)))</x:f>
        <x:v>T-168; T-169</x:v>
      </x:c>
      <x:c r="H73" s="206" t="str">
        <x:f>IF(INDEX(Backlog!$N$2:$N$180,MATCH($A73,Backlog!$A$2:$A$180,0))="","",INDEX(Backlog!$N$2:$N$180,MATCH($A73,Backlog!$A$2:$A$180,0)))</x:f>
        <x:v>T-187</x:v>
      </x:c>
      <x:c r="I73" s="206" t="str">
        <x:f>IF(INDEX(Backlog!$T$2:$T$180,MATCH($A73,Backlog!$A$2:$A$180,0))="","",INDEX(Backlog!$T$2:$T$180,MATCH($A73,Backlog!$A$2:$A$180,0)))</x:f>
        <x:v>Closed — do not reopen without contradictory regression evidence.</x:v>
      </x:c>
      <x:c r="J73" s="194" t="str">
        <x:f>IF(INDEX(Backlog!$AN$2:$AN$180,MATCH($A73,Backlog!$A$2:$A$180,0))="","",INDEX(Backlog!$AN$2:$AN$180,MATCH($A73,Backlog!$A$2:$A$180,0)))</x:f>
      </x:c>
      <x:c r="K73"/>
      <x:c r="L73"/>
    </x:row>
    <x:row r="74" ht="26" customHeight="1">
      <x:c r="A74" s="206" t="str">
        <x:v>T-176</x:v>
      </x:c>
      <x:c r="B74" s="206" t="str">
        <x:f>IF(INDEX(Backlog!$B$2:$B$180,MATCH($A74,Backlog!$A$2:$A$180,0))="","",INDEX(Backlog!$B$2:$B$180,MATCH($A74,Backlog!$A$2:$A$180,0)))</x:f>
        <x:v>M2</x:v>
      </x:c>
      <x:c r="C74" s="206" t="str">
        <x:f>IF(INDEX(Backlog!$C$2:$C$180,MATCH($A74,Backlog!$A$2:$A$180,0))="","",INDEX(Backlog!$C$2:$C$180,MATCH($A74,Backlog!$A$2:$A$180,0)))</x:f>
        <x:v>P4</x:v>
      </x:c>
      <x:c r="D74" s="206" t="str">
        <x:f>IF(INDEX(Backlog!$L$2:$L$180,MATCH($A74,Backlog!$A$2:$A$180,0))="","",INDEX(Backlog!$L$2:$L$180,MATCH($A74,Backlog!$A$2:$A$180,0)))</x:f>
        <x:v>CLOSED</x:v>
      </x:c>
      <x:c r="E74" s="206" t="str">
        <x:f>IF(INDEX(Backlog!$K$2:$K$180,MATCH($A74,Backlog!$A$2:$A$180,0))="","",INDEX(Backlog!$K$2:$K$180,MATCH($A74,Backlog!$A$2:$A$180,0)))</x:f>
        <x:v>Done</x:v>
      </x:c>
      <x:c r="F74" s="206" t="n">
        <x:f>IF(ISNUMBER(INDEX(Backlog!$R$2:$R$180,MATCH($A74,Backlog!$A$2:$A$180,0))),INDEX(Backlog!$R$2:$R$180,MATCH($A74,Backlog!$A$2:$A$180,0)),"")</x:f>
        <x:v>0</x:v>
      </x:c>
      <x:c r="G74" s="206" t="str">
        <x:f>IF(INDEX(Backlog!$M$2:$M$180,MATCH($A74,Backlog!$A$2:$A$180,0))="","",INDEX(Backlog!$M$2:$M$180,MATCH($A74,Backlog!$A$2:$A$180,0)))</x:f>
      </x:c>
      <x:c r="H74" s="206" t="str">
        <x:f>IF(INDEX(Backlog!$N$2:$N$180,MATCH($A74,Backlog!$A$2:$A$180,0))="","",INDEX(Backlog!$N$2:$N$180,MATCH($A74,Backlog!$A$2:$A$180,0)))</x:f>
        <x:v>T-140; T-187; T-191</x:v>
      </x:c>
      <x:c r="I74" s="206" t="str">
        <x:f>IF(INDEX(Backlog!$T$2:$T$180,MATCH($A74,Backlog!$A$2:$A$180,0))="","",INDEX(Backlog!$T$2:$T$180,MATCH($A74,Backlog!$A$2:$A$180,0)))</x:f>
        <x:v>Closed — do not reopen without contradictory regression evidence.</x:v>
      </x:c>
      <x:c r="J74" s="194" t="str">
        <x:f>IF(INDEX(Backlog!$AN$2:$AN$180,MATCH($A74,Backlog!$A$2:$A$180,0))="","",INDEX(Backlog!$AN$2:$AN$180,MATCH($A74,Backlog!$A$2:$A$180,0)))</x:f>
      </x:c>
      <x:c r="K74"/>
      <x:c r="L74"/>
    </x:row>
    <x:row r="75" ht="26" customHeight="1">
      <x:c r="A75" s="206" t="str">
        <x:v>T-177</x:v>
      </x:c>
      <x:c r="B75" s="206" t="str">
        <x:f>IF(INDEX(Backlog!$B$2:$B$180,MATCH($A75,Backlog!$A$2:$A$180,0))="","",INDEX(Backlog!$B$2:$B$180,MATCH($A75,Backlog!$A$2:$A$180,0)))</x:f>
        <x:v>M2</x:v>
      </x:c>
      <x:c r="C75" s="206" t="str">
        <x:f>IF(INDEX(Backlog!$C$2:$C$180,MATCH($A75,Backlog!$A$2:$A$180,0))="","",INDEX(Backlog!$C$2:$C$180,MATCH($A75,Backlog!$A$2:$A$180,0)))</x:f>
        <x:v>P4</x:v>
      </x:c>
      <x:c r="D75" s="206" t="str">
        <x:f>IF(INDEX(Backlog!$L$2:$L$180,MATCH($A75,Backlog!$A$2:$A$180,0))="","",INDEX(Backlog!$L$2:$L$180,MATCH($A75,Backlog!$A$2:$A$180,0)))</x:f>
        <x:v>CLOSED</x:v>
      </x:c>
      <x:c r="E75" s="206" t="str">
        <x:f>IF(INDEX(Backlog!$K$2:$K$180,MATCH($A75,Backlog!$A$2:$A$180,0))="","",INDEX(Backlog!$K$2:$K$180,MATCH($A75,Backlog!$A$2:$A$180,0)))</x:f>
        <x:v>Done</x:v>
      </x:c>
      <x:c r="F75" s="206" t="n">
        <x:f>IF(ISNUMBER(INDEX(Backlog!$R$2:$R$180,MATCH($A75,Backlog!$A$2:$A$180,0))),INDEX(Backlog!$R$2:$R$180,MATCH($A75,Backlog!$A$2:$A$180,0)),"")</x:f>
        <x:v>0</x:v>
      </x:c>
      <x:c r="G75" s="206" t="str">
        <x:f>IF(INDEX(Backlog!$M$2:$M$180,MATCH($A75,Backlog!$A$2:$A$180,0))="","",INDEX(Backlog!$M$2:$M$180,MATCH($A75,Backlog!$A$2:$A$180,0)))</x:f>
      </x:c>
      <x:c r="H75" s="206" t="str">
        <x:f>IF(INDEX(Backlog!$N$2:$N$180,MATCH($A75,Backlog!$A$2:$A$180,0))="","",INDEX(Backlog!$N$2:$N$180,MATCH($A75,Backlog!$A$2:$A$180,0)))</x:f>
        <x:v>T-146; T-147</x:v>
      </x:c>
      <x:c r="I75" s="206" t="str">
        <x:f>IF(INDEX(Backlog!$T$2:$T$180,MATCH($A75,Backlog!$A$2:$A$180,0))="","",INDEX(Backlog!$T$2:$T$180,MATCH($A75,Backlog!$A$2:$A$180,0)))</x:f>
        <x:v>Closed — do not reopen without contradictory regression evidence.</x:v>
      </x:c>
      <x:c r="J75" s="194" t="str">
        <x:f>IF(INDEX(Backlog!$AN$2:$AN$180,MATCH($A75,Backlog!$A$2:$A$180,0))="","",INDEX(Backlog!$AN$2:$AN$180,MATCH($A75,Backlog!$A$2:$A$180,0)))</x:f>
      </x:c>
      <x:c r="K75"/>
      <x:c r="L75"/>
    </x:row>
    <x:row r="76" ht="26" customHeight="1">
      <x:c r="A76" s="206" t="str">
        <x:v>T-178</x:v>
      </x:c>
      <x:c r="B76" s="206" t="str">
        <x:f>IF(INDEX(Backlog!$B$2:$B$180,MATCH($A76,Backlog!$A$2:$A$180,0))="","",INDEX(Backlog!$B$2:$B$180,MATCH($A76,Backlog!$A$2:$A$180,0)))</x:f>
        <x:v>M2</x:v>
      </x:c>
      <x:c r="C76" s="206" t="str">
        <x:f>IF(INDEX(Backlog!$C$2:$C$180,MATCH($A76,Backlog!$A$2:$A$180,0))="","",INDEX(Backlog!$C$2:$C$180,MATCH($A76,Backlog!$A$2:$A$180,0)))</x:f>
        <x:v>P4</x:v>
      </x:c>
      <x:c r="D76" s="206" t="str">
        <x:f>IF(INDEX(Backlog!$L$2:$L$180,MATCH($A76,Backlog!$A$2:$A$180,0))="","",INDEX(Backlog!$L$2:$L$180,MATCH($A76,Backlog!$A$2:$A$180,0)))</x:f>
        <x:v>CLOSED</x:v>
      </x:c>
      <x:c r="E76" s="206" t="str">
        <x:f>IF(INDEX(Backlog!$K$2:$K$180,MATCH($A76,Backlog!$A$2:$A$180,0))="","",INDEX(Backlog!$K$2:$K$180,MATCH($A76,Backlog!$A$2:$A$180,0)))</x:f>
        <x:v>Done</x:v>
      </x:c>
      <x:c r="F76" s="206" t="n">
        <x:f>IF(ISNUMBER(INDEX(Backlog!$R$2:$R$180,MATCH($A76,Backlog!$A$2:$A$180,0))),INDEX(Backlog!$R$2:$R$180,MATCH($A76,Backlog!$A$2:$A$180,0)),"")</x:f>
        <x:v>0</x:v>
      </x:c>
      <x:c r="G76" s="206" t="str">
        <x:f>IF(INDEX(Backlog!$M$2:$M$180,MATCH($A76,Backlog!$A$2:$A$180,0))="","",INDEX(Backlog!$M$2:$M$180,MATCH($A76,Backlog!$A$2:$A$180,0)))</x:f>
      </x:c>
      <x:c r="H76" s="206" t="str">
        <x:f>IF(INDEX(Backlog!$N$2:$N$180,MATCH($A76,Backlog!$A$2:$A$180,0))="","",INDEX(Backlog!$N$2:$N$180,MATCH($A76,Backlog!$A$2:$A$180,0)))</x:f>
        <x:v>T-143</x:v>
      </x:c>
      <x:c r="I76" s="206" t="str">
        <x:f>IF(INDEX(Backlog!$T$2:$T$180,MATCH($A76,Backlog!$A$2:$A$180,0))="","",INDEX(Backlog!$T$2:$T$180,MATCH($A76,Backlog!$A$2:$A$180,0)))</x:f>
        <x:v>Closed — do not reopen without contradictory regression evidence.</x:v>
      </x:c>
      <x:c r="J76" s="194" t="str">
        <x:f>IF(INDEX(Backlog!$AN$2:$AN$180,MATCH($A76,Backlog!$A$2:$A$180,0))="","",INDEX(Backlog!$AN$2:$AN$180,MATCH($A76,Backlog!$A$2:$A$180,0)))</x:f>
      </x:c>
      <x:c r="K76"/>
      <x:c r="L76"/>
    </x:row>
    <x:row r="77" ht="26" customHeight="1">
      <x:c r="A77" s="206" t="str">
        <x:v>T-179</x:v>
      </x:c>
      <x:c r="B77" s="206" t="str">
        <x:f>IF(INDEX(Backlog!$B$2:$B$180,MATCH($A77,Backlog!$A$2:$A$180,0))="","",INDEX(Backlog!$B$2:$B$180,MATCH($A77,Backlog!$A$2:$A$180,0)))</x:f>
        <x:v>M2</x:v>
      </x:c>
      <x:c r="C77" s="206" t="str">
        <x:f>IF(INDEX(Backlog!$C$2:$C$180,MATCH($A77,Backlog!$A$2:$A$180,0))="","",INDEX(Backlog!$C$2:$C$180,MATCH($A77,Backlog!$A$2:$A$180,0)))</x:f>
        <x:v>P4</x:v>
      </x:c>
      <x:c r="D77" s="206" t="str">
        <x:f>IF(INDEX(Backlog!$L$2:$L$180,MATCH($A77,Backlog!$A$2:$A$180,0))="","",INDEX(Backlog!$L$2:$L$180,MATCH($A77,Backlog!$A$2:$A$180,0)))</x:f>
        <x:v>CLOSED</x:v>
      </x:c>
      <x:c r="E77" s="206" t="str">
        <x:f>IF(INDEX(Backlog!$K$2:$K$180,MATCH($A77,Backlog!$A$2:$A$180,0))="","",INDEX(Backlog!$K$2:$K$180,MATCH($A77,Backlog!$A$2:$A$180,0)))</x:f>
        <x:v>Done</x:v>
      </x:c>
      <x:c r="F77" s="206" t="n">
        <x:f>IF(ISNUMBER(INDEX(Backlog!$R$2:$R$180,MATCH($A77,Backlog!$A$2:$A$180,0))),INDEX(Backlog!$R$2:$R$180,MATCH($A77,Backlog!$A$2:$A$180,0)),"")</x:f>
        <x:v>0</x:v>
      </x:c>
      <x:c r="G77" s="206" t="str">
        <x:f>IF(INDEX(Backlog!$M$2:$M$180,MATCH($A77,Backlog!$A$2:$A$180,0))="","",INDEX(Backlog!$M$2:$M$180,MATCH($A77,Backlog!$A$2:$A$180,0)))</x:f>
      </x:c>
      <x:c r="H77" s="206" t="str">
        <x:f>IF(INDEX(Backlog!$N$2:$N$180,MATCH($A77,Backlog!$A$2:$A$180,0))="","",INDEX(Backlog!$N$2:$N$180,MATCH($A77,Backlog!$A$2:$A$180,0)))</x:f>
        <x:v>T-138; T-223; T-228</x:v>
      </x:c>
      <x:c r="I77" s="206" t="str">
        <x:f>IF(INDEX(Backlog!$T$2:$T$180,MATCH($A77,Backlog!$A$2:$A$180,0))="","",INDEX(Backlog!$T$2:$T$180,MATCH($A77,Backlog!$A$2:$A$180,0)))</x:f>
        <x:v>Closed — do not reopen without contradictory regression evidence.</x:v>
      </x:c>
      <x:c r="J77" s="194" t="str">
        <x:f>IF(INDEX(Backlog!$AN$2:$AN$180,MATCH($A77,Backlog!$A$2:$A$180,0))="","",INDEX(Backlog!$AN$2:$AN$180,MATCH($A77,Backlog!$A$2:$A$180,0)))</x:f>
      </x:c>
      <x:c r="K77"/>
      <x:c r="L77"/>
    </x:row>
    <x:row r="78" ht="26" customHeight="1">
      <x:c r="A78" s="206" t="str">
        <x:v>T-180</x:v>
      </x:c>
      <x:c r="B78" s="206" t="str">
        <x:f>IF(INDEX(Backlog!$B$2:$B$180,MATCH($A78,Backlog!$A$2:$A$180,0))="","",INDEX(Backlog!$B$2:$B$180,MATCH($A78,Backlog!$A$2:$A$180,0)))</x:f>
        <x:v>M2</x:v>
      </x:c>
      <x:c r="C78" s="206" t="str">
        <x:f>IF(INDEX(Backlog!$C$2:$C$180,MATCH($A78,Backlog!$A$2:$A$180,0))="","",INDEX(Backlog!$C$2:$C$180,MATCH($A78,Backlog!$A$2:$A$180,0)))</x:f>
        <x:v>P4</x:v>
      </x:c>
      <x:c r="D78" s="206" t="str">
        <x:f>IF(INDEX(Backlog!$L$2:$L$180,MATCH($A78,Backlog!$A$2:$A$180,0))="","",INDEX(Backlog!$L$2:$L$180,MATCH($A78,Backlog!$A$2:$A$180,0)))</x:f>
        <x:v>CLOSED</x:v>
      </x:c>
      <x:c r="E78" s="206" t="str">
        <x:f>IF(INDEX(Backlog!$K$2:$K$180,MATCH($A78,Backlog!$A$2:$A$180,0))="","",INDEX(Backlog!$K$2:$K$180,MATCH($A78,Backlog!$A$2:$A$180,0)))</x:f>
        <x:v>Done</x:v>
      </x:c>
      <x:c r="F78" s="206" t="n">
        <x:f>IF(ISNUMBER(INDEX(Backlog!$R$2:$R$180,MATCH($A78,Backlog!$A$2:$A$180,0))),INDEX(Backlog!$R$2:$R$180,MATCH($A78,Backlog!$A$2:$A$180,0)),"")</x:f>
        <x:v>0</x:v>
      </x:c>
      <x:c r="G78" s="206" t="str">
        <x:f>IF(INDEX(Backlog!$M$2:$M$180,MATCH($A78,Backlog!$A$2:$A$180,0))="","",INDEX(Backlog!$M$2:$M$180,MATCH($A78,Backlog!$A$2:$A$180,0)))</x:f>
      </x:c>
      <x:c r="H78" s="206" t="str">
        <x:f>IF(INDEX(Backlog!$N$2:$N$180,MATCH($A78,Backlog!$A$2:$A$180,0))="","",INDEX(Backlog!$N$2:$N$180,MATCH($A78,Backlog!$A$2:$A$180,0)))</x:f>
        <x:v>T-138; T-223; T-228</x:v>
      </x:c>
      <x:c r="I78" s="206" t="str">
        <x:f>IF(INDEX(Backlog!$T$2:$T$180,MATCH($A78,Backlog!$A$2:$A$180,0))="","",INDEX(Backlog!$T$2:$T$180,MATCH($A78,Backlog!$A$2:$A$180,0)))</x:f>
        <x:v>Closed — do not reopen without contradictory regression evidence.</x:v>
      </x:c>
      <x:c r="J78" s="194" t="str">
        <x:f>IF(INDEX(Backlog!$AN$2:$AN$180,MATCH($A78,Backlog!$A$2:$A$180,0))="","",INDEX(Backlog!$AN$2:$AN$180,MATCH($A78,Backlog!$A$2:$A$180,0)))</x:f>
      </x:c>
      <x:c r="K78"/>
      <x:c r="L78"/>
    </x:row>
    <x:row r="79" ht="26" customHeight="1">
      <x:c r="A79" s="206" t="str">
        <x:v>T-181</x:v>
      </x:c>
      <x:c r="B79" s="206" t="str">
        <x:f>IF(INDEX(Backlog!$B$2:$B$180,MATCH($A79,Backlog!$A$2:$A$180,0))="","",INDEX(Backlog!$B$2:$B$180,MATCH($A79,Backlog!$A$2:$A$180,0)))</x:f>
        <x:v>M2</x:v>
      </x:c>
      <x:c r="C79" s="206" t="str">
        <x:f>IF(INDEX(Backlog!$C$2:$C$180,MATCH($A79,Backlog!$A$2:$A$180,0))="","",INDEX(Backlog!$C$2:$C$180,MATCH($A79,Backlog!$A$2:$A$180,0)))</x:f>
        <x:v>P4</x:v>
      </x:c>
      <x:c r="D79" s="206" t="str">
        <x:f>IF(INDEX(Backlog!$L$2:$L$180,MATCH($A79,Backlog!$A$2:$A$180,0))="","",INDEX(Backlog!$L$2:$L$180,MATCH($A79,Backlog!$A$2:$A$180,0)))</x:f>
        <x:v>CLOSED</x:v>
      </x:c>
      <x:c r="E79" s="206" t="str">
        <x:f>IF(INDEX(Backlog!$K$2:$K$180,MATCH($A79,Backlog!$A$2:$A$180,0))="","",INDEX(Backlog!$K$2:$K$180,MATCH($A79,Backlog!$A$2:$A$180,0)))</x:f>
        <x:v>Done</x:v>
      </x:c>
      <x:c r="F79" s="206" t="n">
        <x:f>IF(ISNUMBER(INDEX(Backlog!$R$2:$R$180,MATCH($A79,Backlog!$A$2:$A$180,0))),INDEX(Backlog!$R$2:$R$180,MATCH($A79,Backlog!$A$2:$A$180,0)),"")</x:f>
        <x:v>0</x:v>
      </x:c>
      <x:c r="G79" s="206" t="str">
        <x:f>IF(INDEX(Backlog!$M$2:$M$180,MATCH($A79,Backlog!$A$2:$A$180,0))="","",INDEX(Backlog!$M$2:$M$180,MATCH($A79,Backlog!$A$2:$A$180,0)))</x:f>
      </x:c>
      <x:c r="H79" s="206" t="str">
        <x:f>IF(INDEX(Backlog!$N$2:$N$180,MATCH($A79,Backlog!$A$2:$A$180,0))="","",INDEX(Backlog!$N$2:$N$180,MATCH($A79,Backlog!$A$2:$A$180,0)))</x:f>
        <x:v>T-138; T-223; T-228</x:v>
      </x:c>
      <x:c r="I79" s="206" t="str">
        <x:f>IF(INDEX(Backlog!$T$2:$T$180,MATCH($A79,Backlog!$A$2:$A$180,0))="","",INDEX(Backlog!$T$2:$T$180,MATCH($A79,Backlog!$A$2:$A$180,0)))</x:f>
        <x:v>Closed — do not reopen without contradictory regression evidence.</x:v>
      </x:c>
      <x:c r="J79" s="194" t="str">
        <x:f>IF(INDEX(Backlog!$AN$2:$AN$180,MATCH($A79,Backlog!$A$2:$A$180,0))="","",INDEX(Backlog!$AN$2:$AN$180,MATCH($A79,Backlog!$A$2:$A$180,0)))</x:f>
      </x:c>
      <x:c r="K79"/>
      <x:c r="L79"/>
    </x:row>
    <x:row r="80" ht="26" customHeight="1">
      <x:c r="A80" s="206" t="str">
        <x:v>T-182</x:v>
      </x:c>
      <x:c r="B80" s="206" t="str">
        <x:f>IF(INDEX(Backlog!$B$2:$B$180,MATCH($A80,Backlog!$A$2:$A$180,0))="","",INDEX(Backlog!$B$2:$B$180,MATCH($A80,Backlog!$A$2:$A$180,0)))</x:f>
        <x:v>M2</x:v>
      </x:c>
      <x:c r="C80" s="206" t="str">
        <x:f>IF(INDEX(Backlog!$C$2:$C$180,MATCH($A80,Backlog!$A$2:$A$180,0))="","",INDEX(Backlog!$C$2:$C$180,MATCH($A80,Backlog!$A$2:$A$180,0)))</x:f>
        <x:v>P4</x:v>
      </x:c>
      <x:c r="D80" s="206" t="str">
        <x:f>IF(INDEX(Backlog!$L$2:$L$180,MATCH($A80,Backlog!$A$2:$A$180,0))="","",INDEX(Backlog!$L$2:$L$180,MATCH($A80,Backlog!$A$2:$A$180,0)))</x:f>
        <x:v>CLOSED</x:v>
      </x:c>
      <x:c r="E80" s="206" t="str">
        <x:f>IF(INDEX(Backlog!$K$2:$K$180,MATCH($A80,Backlog!$A$2:$A$180,0))="","",INDEX(Backlog!$K$2:$K$180,MATCH($A80,Backlog!$A$2:$A$180,0)))</x:f>
        <x:v>Done</x:v>
      </x:c>
      <x:c r="F80" s="206" t="n">
        <x:f>IF(ISNUMBER(INDEX(Backlog!$R$2:$R$180,MATCH($A80,Backlog!$A$2:$A$180,0))),INDEX(Backlog!$R$2:$R$180,MATCH($A80,Backlog!$A$2:$A$180,0)),"")</x:f>
        <x:v>0</x:v>
      </x:c>
      <x:c r="G80" s="206" t="str">
        <x:f>IF(INDEX(Backlog!$M$2:$M$180,MATCH($A80,Backlog!$A$2:$A$180,0))="","",INDEX(Backlog!$M$2:$M$180,MATCH($A80,Backlog!$A$2:$A$180,0)))</x:f>
      </x:c>
      <x:c r="H80" s="206" t="str">
        <x:f>IF(INDEX(Backlog!$N$2:$N$180,MATCH($A80,Backlog!$A$2:$A$180,0))="","",INDEX(Backlog!$N$2:$N$180,MATCH($A80,Backlog!$A$2:$A$180,0)))</x:f>
      </x:c>
      <x:c r="I80" s="206" t="str">
        <x:f>IF(INDEX(Backlog!$T$2:$T$180,MATCH($A80,Backlog!$A$2:$A$180,0))="","",INDEX(Backlog!$T$2:$T$180,MATCH($A80,Backlog!$A$2:$A$180,0)))</x:f>
        <x:v>Closed — do not reopen without contradictory regression evidence.</x:v>
      </x:c>
      <x:c r="J80" s="194" t="str">
        <x:f>IF(INDEX(Backlog!$AN$2:$AN$180,MATCH($A80,Backlog!$A$2:$A$180,0))="","",INDEX(Backlog!$AN$2:$AN$180,MATCH($A80,Backlog!$A$2:$A$180,0)))</x:f>
      </x:c>
      <x:c r="K80"/>
      <x:c r="L80"/>
    </x:row>
    <x:row r="81" ht="26" customHeight="1">
      <x:c r="A81" s="206" t="str">
        <x:v>T-211</x:v>
      </x:c>
      <x:c r="B81" s="206" t="str">
        <x:f>IF(INDEX(Backlog!$B$2:$B$180,MATCH($A81,Backlog!$A$2:$A$180,0))="","",INDEX(Backlog!$B$2:$B$180,MATCH($A81,Backlog!$A$2:$A$180,0)))</x:f>
        <x:v>M2</x:v>
      </x:c>
      <x:c r="C81" s="206" t="str">
        <x:f>IF(INDEX(Backlog!$C$2:$C$180,MATCH($A81,Backlog!$A$2:$A$180,0))="","",INDEX(Backlog!$C$2:$C$180,MATCH($A81,Backlog!$A$2:$A$180,0)))</x:f>
        <x:v>P4</x:v>
      </x:c>
      <x:c r="D81" s="206" t="str">
        <x:f>IF(INDEX(Backlog!$L$2:$L$180,MATCH($A81,Backlog!$A$2:$A$180,0))="","",INDEX(Backlog!$L$2:$L$180,MATCH($A81,Backlog!$A$2:$A$180,0)))</x:f>
        <x:v>Worker 3</x:v>
      </x:c>
      <x:c r="E81" s="206" t="str">
        <x:f>IF(INDEX(Backlog!$K$2:$K$180,MATCH($A81,Backlog!$A$2:$A$180,0))="","",INDEX(Backlog!$K$2:$K$180,MATCH($A81,Backlog!$A$2:$A$180,0)))</x:f>
        <x:v>Not Started</x:v>
      </x:c>
      <x:c r="F81" s="206" t="n">
        <x:f>IF(ISNUMBER(INDEX(Backlog!$R$2:$R$180,MATCH($A81,Backlog!$A$2:$A$180,0))),INDEX(Backlog!$R$2:$R$180,MATCH($A81,Backlog!$A$2:$A$180,0)),"")</x:f>
        <x:v>2.5</x:v>
      </x:c>
      <x:c r="G81" s="206" t="str">
        <x:f>IF(INDEX(Backlog!$M$2:$M$180,MATCH($A81,Backlog!$A$2:$A$180,0))="","",INDEX(Backlog!$M$2:$M$180,MATCH($A81,Backlog!$A$2:$A$180,0)))</x:f>
        <x:v>T-208; T-210</x:v>
      </x:c>
      <x:c r="H81" s="206" t="str">
        <x:f>IF(INDEX(Backlog!$N$2:$N$180,MATCH($A81,Backlog!$A$2:$A$180,0))="","",INDEX(Backlog!$N$2:$N$180,MATCH($A81,Backlog!$A$2:$A$180,0)))</x:f>
        <x:v>T-212; T-247</x:v>
      </x:c>
      <x:c r="I81" s="206" t="str">
        <x:f>IF(INDEX(Backlog!$T$2:$T$180,MATCH($A81,Backlog!$A$2:$A$180,0))="","",INDEX(Backlog!$T$2:$T$180,MATCH($A81,Backlog!$A$2:$A$180,0)))</x:f>
        <x:v>T-208 fixture + T-210 frozen contract. No production DI/persistence until consumer hand-off.</x:v>
      </x:c>
      <x:c r="J81" s="194" t="str">
        <x:f>IF(INDEX(Backlog!$AN$2:$AN$180,MATCH($A81,Backlog!$A$2:$A$180,0))="","",INDEX(Backlog!$AN$2:$AN$180,MATCH($A81,Backlog!$A$2:$A$180,0)))</x:f>
      </x:c>
      <x:c r="K81"/>
      <x:c r="L81"/>
    </x:row>
    <x:row r="82" ht="26" customHeight="1">
      <x:c r="A82" s="206" t="str">
        <x:v>T-214</x:v>
      </x:c>
      <x:c r="B82" s="206" t="str">
        <x:f>IF(INDEX(Backlog!$B$2:$B$180,MATCH($A82,Backlog!$A$2:$A$180,0))="","",INDEX(Backlog!$B$2:$B$180,MATCH($A82,Backlog!$A$2:$A$180,0)))</x:f>
        <x:v>M2</x:v>
      </x:c>
      <x:c r="C82" s="206" t="str">
        <x:f>IF(INDEX(Backlog!$C$2:$C$180,MATCH($A82,Backlog!$A$2:$A$180,0))="","",INDEX(Backlog!$C$2:$C$180,MATCH($A82,Backlog!$A$2:$A$180,0)))</x:f>
        <x:v>P4</x:v>
      </x:c>
      <x:c r="D82" s="206" t="str">
        <x:f>IF(INDEX(Backlog!$L$2:$L$180,MATCH($A82,Backlog!$A$2:$A$180,0))="","",INDEX(Backlog!$L$2:$L$180,MATCH($A82,Backlog!$A$2:$A$180,0)))</x:f>
        <x:v>Worker 3</x:v>
      </x:c>
      <x:c r="E82" s="206" t="str">
        <x:f>IF(INDEX(Backlog!$K$2:$K$180,MATCH($A82,Backlog!$A$2:$A$180,0))="","",INDEX(Backlog!$K$2:$K$180,MATCH($A82,Backlog!$A$2:$A$180,0)))</x:f>
        <x:v>Not Started</x:v>
      </x:c>
      <x:c r="F82" s="206" t="n">
        <x:f>IF(ISNUMBER(INDEX(Backlog!$R$2:$R$180,MATCH($A82,Backlog!$A$2:$A$180,0))),INDEX(Backlog!$R$2:$R$180,MATCH($A82,Backlog!$A$2:$A$180,0)),"")</x:f>
        <x:v>1.5</x:v>
      </x:c>
      <x:c r="G82" s="206" t="str">
        <x:f>IF(INDEX(Backlog!$M$2:$M$180,MATCH($A82,Backlog!$A$2:$A$180,0))="","",INDEX(Backlog!$M$2:$M$180,MATCH($A82,Backlog!$A$2:$A$180,0)))</x:f>
        <x:v>T-209</x:v>
      </x:c>
      <x:c r="H82" s="206" t="str">
        <x:f>IF(INDEX(Backlog!$N$2:$N$180,MATCH($A82,Backlog!$A$2:$A$180,0))="","",INDEX(Backlog!$N$2:$N$180,MATCH($A82,Backlog!$A$2:$A$180,0)))</x:f>
        <x:v>T-215; T-223; T-232; T-238; T-239; T-264</x:v>
      </x:c>
      <x:c r="I82" s="206" t="str">
        <x:f>IF(INDEX(Backlog!$T$2:$T$180,MATCH($A82,Backlog!$A$2:$A$180,0))="","",INDEX(Backlog!$T$2:$T$180,MATCH($A82,Backlog!$A$2:$A$180,0)))</x:f>
        <x:v>T-209 frozen generic subject contract.</x:v>
      </x:c>
      <x:c r="J82" s="194" t="str">
        <x:f>IF(INDEX(Backlog!$AN$2:$AN$180,MATCH($A82,Backlog!$A$2:$A$180,0))="","",INDEX(Backlog!$AN$2:$AN$180,MATCH($A82,Backlog!$A$2:$A$180,0)))</x:f>
      </x:c>
      <x:c r="K82"/>
      <x:c r="L82"/>
    </x:row>
    <x:row r="83" ht="26" customHeight="1">
      <x:c r="A83" s="206" t="str">
        <x:v>T-217</x:v>
      </x:c>
      <x:c r="B83" s="206" t="str">
        <x:f>IF(INDEX(Backlog!$B$2:$B$180,MATCH($A83,Backlog!$A$2:$A$180,0))="","",INDEX(Backlog!$B$2:$B$180,MATCH($A83,Backlog!$A$2:$A$180,0)))</x:f>
        <x:v>M2</x:v>
      </x:c>
      <x:c r="C83" s="206" t="str">
        <x:f>IF(INDEX(Backlog!$C$2:$C$180,MATCH($A83,Backlog!$A$2:$A$180,0))="","",INDEX(Backlog!$C$2:$C$180,MATCH($A83,Backlog!$A$2:$A$180,0)))</x:f>
        <x:v>P4</x:v>
      </x:c>
      <x:c r="D83" s="206" t="str">
        <x:f>IF(INDEX(Backlog!$L$2:$L$180,MATCH($A83,Backlog!$A$2:$A$180,0))="","",INDEX(Backlog!$L$2:$L$180,MATCH($A83,Backlog!$A$2:$A$180,0)))</x:f>
        <x:v>Worker 3</x:v>
      </x:c>
      <x:c r="E83" s="206" t="str">
        <x:f>IF(INDEX(Backlog!$K$2:$K$180,MATCH($A83,Backlog!$A$2:$A$180,0))="","",INDEX(Backlog!$K$2:$K$180,MATCH($A83,Backlog!$A$2:$A$180,0)))</x:f>
        <x:v>Done</x:v>
      </x:c>
      <x:c r="F83" s="206" t="n">
        <x:f>IF(ISNUMBER(INDEX(Backlog!$R$2:$R$180,MATCH($A83,Backlog!$A$2:$A$180,0))),INDEX(Backlog!$R$2:$R$180,MATCH($A83,Backlog!$A$2:$A$180,0)),"")</x:f>
        <x:v>2.5</x:v>
      </x:c>
      <x:c r="G83" s="206" t="str">
        <x:f>IF(INDEX(Backlog!$M$2:$M$180,MATCH($A83,Backlog!$A$2:$A$180,0))="","",INDEX(Backlog!$M$2:$M$180,MATCH($A83,Backlog!$A$2:$A$180,0)))</x:f>
        <x:v>T-208; T-216</x:v>
      </x:c>
      <x:c r="H83" s="206" t="str">
        <x:f>IF(INDEX(Backlog!$N$2:$N$180,MATCH($A83,Backlog!$A$2:$A$180,0))="","",INDEX(Backlog!$N$2:$N$180,MATCH($A83,Backlog!$A$2:$A$180,0)))</x:f>
        <x:v>T-219; T-236</x:v>
      </x:c>
      <x:c r="I83" s="206" t="str">
        <x:f>IF(INDEX(Backlog!$T$2:$T$180,MATCH($A83,Backlog!$A$2:$A$180,0))="","",INDEX(Backlog!$T$2:$T$180,MATCH($A83,Backlog!$A$2:$A$180,0)))</x:f>
        <x:v>T-208 fixture + T-216 frozen contract.</x:v>
      </x:c>
      <x:c r="J83" s="194" t="str">
        <x:f>IF(INDEX(Backlog!$AN$2:$AN$180,MATCH($A83,Backlog!$A$2:$A$180,0))="","",INDEX(Backlog!$AN$2:$AN$180,MATCH($A83,Backlog!$A$2:$A$180,0)))</x:f>
      </x:c>
      <x:c r="K83"/>
      <x:c r="L83"/>
    </x:row>
    <x:row r="84" ht="26" customHeight="1">
      <x:c r="A84" s="206" t="str">
        <x:v>T-218</x:v>
      </x:c>
      <x:c r="B84" s="206" t="str">
        <x:f>IF(INDEX(Backlog!$B$2:$B$180,MATCH($A84,Backlog!$A$2:$A$180,0))="","",INDEX(Backlog!$B$2:$B$180,MATCH($A84,Backlog!$A$2:$A$180,0)))</x:f>
        <x:v>M2</x:v>
      </x:c>
      <x:c r="C84" s="206" t="str">
        <x:f>IF(INDEX(Backlog!$C$2:$C$180,MATCH($A84,Backlog!$A$2:$A$180,0))="","",INDEX(Backlog!$C$2:$C$180,MATCH($A84,Backlog!$A$2:$A$180,0)))</x:f>
        <x:v>P4</x:v>
      </x:c>
      <x:c r="D84" s="206" t="str">
        <x:f>IF(INDEX(Backlog!$L$2:$L$180,MATCH($A84,Backlog!$A$2:$A$180,0))="","",INDEX(Backlog!$L$2:$L$180,MATCH($A84,Backlog!$A$2:$A$180,0)))</x:f>
        <x:v>Worker 3</x:v>
      </x:c>
      <x:c r="E84" s="206" t="str">
        <x:f>IF(INDEX(Backlog!$K$2:$K$180,MATCH($A84,Backlog!$A$2:$A$180,0))="","",INDEX(Backlog!$K$2:$K$180,MATCH($A84,Backlog!$A$2:$A$180,0)))</x:f>
        <x:v>Done</x:v>
      </x:c>
      <x:c r="F84" s="206" t="n">
        <x:f>IF(ISNUMBER(INDEX(Backlog!$R$2:$R$180,MATCH($A84,Backlog!$A$2:$A$180,0))),INDEX(Backlog!$R$2:$R$180,MATCH($A84,Backlog!$A$2:$A$180,0)),"")</x:f>
        <x:v>2</x:v>
      </x:c>
      <x:c r="G84" s="206" t="str">
        <x:f>IF(INDEX(Backlog!$M$2:$M$180,MATCH($A84,Backlog!$A$2:$A$180,0))="","",INDEX(Backlog!$M$2:$M$180,MATCH($A84,Backlog!$A$2:$A$180,0)))</x:f>
        <x:v>T-208</x:v>
      </x:c>
      <x:c r="H84" s="206" t="str">
        <x:f>IF(INDEX(Backlog!$N$2:$N$180,MATCH($A84,Backlog!$A$2:$A$180,0))="","",INDEX(Backlog!$N$2:$N$180,MATCH($A84,Backlog!$A$2:$A$180,0)))</x:f>
        <x:v>T-219</x:v>
      </x:c>
      <x:c r="I84" s="206" t="str">
        <x:f>IF(INDEX(Backlog!$T$2:$T$180,MATCH($A84,Backlog!$A$2:$A$180,0))="","",INDEX(Backlog!$T$2:$T$180,MATCH($A84,Backlog!$A$2:$A$180,0)))</x:f>
        <x:v>T-090 semantic definitions + T-208 fixture. Persistence waits for T-112/T-114; pure kernel may start earlier.</x:v>
      </x:c>
      <x:c r="J84" s="194" t="str">
        <x:f>IF(INDEX(Backlog!$AN$2:$AN$180,MATCH($A84,Backlog!$A$2:$A$180,0))="","",INDEX(Backlog!$AN$2:$AN$180,MATCH($A84,Backlog!$A$2:$A$180,0)))</x:f>
      </x:c>
      <x:c r="K84"/>
      <x:c r="L84"/>
    </x:row>
    <x:row r="85" ht="26" customHeight="1">
      <x:c r="A85" s="206" t="str">
        <x:v>T-219</x:v>
      </x:c>
      <x:c r="B85" s="206" t="str">
        <x:f>IF(INDEX(Backlog!$B$2:$B$180,MATCH($A85,Backlog!$A$2:$A$180,0))="","",INDEX(Backlog!$B$2:$B$180,MATCH($A85,Backlog!$A$2:$A$180,0)))</x:f>
        <x:v>M2</x:v>
      </x:c>
      <x:c r="C85" s="206" t="str">
        <x:f>IF(INDEX(Backlog!$C$2:$C$180,MATCH($A85,Backlog!$A$2:$A$180,0))="","",INDEX(Backlog!$C$2:$C$180,MATCH($A85,Backlog!$A$2:$A$180,0)))</x:f>
        <x:v>P4</x:v>
      </x:c>
      <x:c r="D85" s="206" t="str">
        <x:f>IF(INDEX(Backlog!$L$2:$L$180,MATCH($A85,Backlog!$A$2:$A$180,0))="","",INDEX(Backlog!$L$2:$L$180,MATCH($A85,Backlog!$A$2:$A$180,0)))</x:f>
        <x:v>Worker 3</x:v>
      </x:c>
      <x:c r="E85" s="206" t="str">
        <x:f>IF(INDEX(Backlog!$K$2:$K$180,MATCH($A85,Backlog!$A$2:$A$180,0))="","",INDEX(Backlog!$K$2:$K$180,MATCH($A85,Backlog!$A$2:$A$180,0)))</x:f>
        <x:v>Done</x:v>
      </x:c>
      <x:c r="F85" s="206" t="n">
        <x:f>IF(ISNUMBER(INDEX(Backlog!$R$2:$R$180,MATCH($A85,Backlog!$A$2:$A$180,0))),INDEX(Backlog!$R$2:$R$180,MATCH($A85,Backlog!$A$2:$A$180,0)),"")</x:f>
        <x:v>3.2</x:v>
      </x:c>
      <x:c r="G85" s="206" t="str">
        <x:f>IF(INDEX(Backlog!$M$2:$M$180,MATCH($A85,Backlog!$A$2:$A$180,0))="","",INDEX(Backlog!$M$2:$M$180,MATCH($A85,Backlog!$A$2:$A$180,0)))</x:f>
        <x:v>T-217; T-218; T-236</x:v>
      </x:c>
      <x:c r="H85" s="206" t="str">
        <x:f>IF(INDEX(Backlog!$N$2:$N$180,MATCH($A85,Backlog!$A$2:$A$180,0))="","",INDEX(Backlog!$N$2:$N$180,MATCH($A85,Backlog!$A$2:$A$180,0)))</x:f>
        <x:v>T-220; T-221; T-222; T-223</x:v>
      </x:c>
      <x:c r="I85" s="206" t="str">
        <x:f>IF(INDEX(Backlog!$T$2:$T$180,MATCH($A85,Backlog!$A$2:$A$180,0))="","",INDEX(Backlog!$T$2:$T$180,MATCH($A85,Backlog!$A$2:$A$180,0)))</x:f>
        <x:v>T-217 + T-218 + T-236.</x:v>
      </x:c>
      <x:c r="J85" s="194" t="str">
        <x:f>IF(INDEX(Backlog!$AN$2:$AN$180,MATCH($A85,Backlog!$A$2:$A$180,0))="","",INDEX(Backlog!$AN$2:$AN$180,MATCH($A85,Backlog!$A$2:$A$180,0)))</x:f>
      </x:c>
      <x:c r="K85"/>
      <x:c r="L85"/>
    </x:row>
    <x:row r="86" ht="26" customHeight="1">
      <x:c r="A86" s="206" t="str">
        <x:v>T-220</x:v>
      </x:c>
      <x:c r="B86" s="206" t="str">
        <x:f>IF(INDEX(Backlog!$B$2:$B$180,MATCH($A86,Backlog!$A$2:$A$180,0))="","",INDEX(Backlog!$B$2:$B$180,MATCH($A86,Backlog!$A$2:$A$180,0)))</x:f>
        <x:v>M2</x:v>
      </x:c>
      <x:c r="C86" s="206" t="str">
        <x:f>IF(INDEX(Backlog!$C$2:$C$180,MATCH($A86,Backlog!$A$2:$A$180,0))="","",INDEX(Backlog!$C$2:$C$180,MATCH($A86,Backlog!$A$2:$A$180,0)))</x:f>
        <x:v>P4</x:v>
      </x:c>
      <x:c r="D86" s="206" t="str">
        <x:f>IF(INDEX(Backlog!$L$2:$L$180,MATCH($A86,Backlog!$A$2:$A$180,0))="","",INDEX(Backlog!$L$2:$L$180,MATCH($A86,Backlog!$A$2:$A$180,0)))</x:f>
        <x:v>Worker 3</x:v>
      </x:c>
      <x:c r="E86" s="206" t="str">
        <x:f>IF(INDEX(Backlog!$K$2:$K$180,MATCH($A86,Backlog!$A$2:$A$180,0))="","",INDEX(Backlog!$K$2:$K$180,MATCH($A86,Backlog!$A$2:$A$180,0)))</x:f>
        <x:v>Done</x:v>
      </x:c>
      <x:c r="F86" s="206" t="n">
        <x:f>IF(ISNUMBER(INDEX(Backlog!$R$2:$R$180,MATCH($A86,Backlog!$A$2:$A$180,0))),INDEX(Backlog!$R$2:$R$180,MATCH($A86,Backlog!$A$2:$A$180,0)),"")</x:f>
        <x:v>2</x:v>
      </x:c>
      <x:c r="G86" s="206" t="str">
        <x:f>IF(INDEX(Backlog!$M$2:$M$180,MATCH($A86,Backlog!$A$2:$A$180,0))="","",INDEX(Backlog!$M$2:$M$180,MATCH($A86,Backlog!$A$2:$A$180,0)))</x:f>
        <x:v>T-219</x:v>
      </x:c>
      <x:c r="H86" s="206" t="str">
        <x:f>IF(INDEX(Backlog!$N$2:$N$180,MATCH($A86,Backlog!$A$2:$A$180,0))="","",INDEX(Backlog!$N$2:$N$180,MATCH($A86,Backlog!$A$2:$A$180,0)))</x:f>
        <x:v>T-221; T-222; T-223</x:v>
      </x:c>
      <x:c r="I86" s="206" t="str">
        <x:f>IF(INDEX(Backlog!$T$2:$T$180,MATCH($A86,Backlog!$A$2:$A$180,0))="","",INDEX(Backlog!$T$2:$T$180,MATCH($A86,Backlog!$A$2:$A$180,0)))</x:f>
        <x:v>T-219 + existing claim-class rules.</x:v>
      </x:c>
      <x:c r="J86" s="194" t="str">
        <x:f>IF(INDEX(Backlog!$AN$2:$AN$180,MATCH($A86,Backlog!$A$2:$A$180,0))="","",INDEX(Backlog!$AN$2:$AN$180,MATCH($A86,Backlog!$A$2:$A$180,0)))</x:f>
      </x:c>
      <x:c r="K86"/>
      <x:c r="L86"/>
    </x:row>
    <x:row r="87" ht="26" customHeight="1">
      <x:c r="A87" s="206" t="str">
        <x:v>T-221</x:v>
      </x:c>
      <x:c r="B87" s="206" t="str">
        <x:f>IF(INDEX(Backlog!$B$2:$B$180,MATCH($A87,Backlog!$A$2:$A$180,0))="","",INDEX(Backlog!$B$2:$B$180,MATCH($A87,Backlog!$A$2:$A$180,0)))</x:f>
        <x:v>M2</x:v>
      </x:c>
      <x:c r="C87" s="206" t="str">
        <x:f>IF(INDEX(Backlog!$C$2:$C$180,MATCH($A87,Backlog!$A$2:$A$180,0))="","",INDEX(Backlog!$C$2:$C$180,MATCH($A87,Backlog!$A$2:$A$180,0)))</x:f>
        <x:v>P4</x:v>
      </x:c>
      <x:c r="D87" s="206" t="str">
        <x:f>IF(INDEX(Backlog!$L$2:$L$180,MATCH($A87,Backlog!$A$2:$A$180,0))="","",INDEX(Backlog!$L$2:$L$180,MATCH($A87,Backlog!$A$2:$A$180,0)))</x:f>
        <x:v>Worker 3</x:v>
      </x:c>
      <x:c r="E87" s="206" t="str">
        <x:f>IF(INDEX(Backlog!$K$2:$K$180,MATCH($A87,Backlog!$A$2:$A$180,0))="","",INDEX(Backlog!$K$2:$K$180,MATCH($A87,Backlog!$A$2:$A$180,0)))</x:f>
        <x:v>Not Started</x:v>
      </x:c>
      <x:c r="F87" s="206" t="n">
        <x:f>IF(ISNUMBER(INDEX(Backlog!$R$2:$R$180,MATCH($A87,Backlog!$A$2:$A$180,0))),INDEX(Backlog!$R$2:$R$180,MATCH($A87,Backlog!$A$2:$A$180,0)),"")</x:f>
        <x:v>5.4</x:v>
      </x:c>
      <x:c r="G87" s="206" t="str">
        <x:f>IF(INDEX(Backlog!$M$2:$M$180,MATCH($A87,Backlog!$A$2:$A$180,0))="","",INDEX(Backlog!$M$2:$M$180,MATCH($A87,Backlog!$A$2:$A$180,0)))</x:f>
        <x:v>T-112; T-114; T-090; T-095; T-096; T-219; T-220; T-233</x:v>
      </x:c>
      <x:c r="H87" s="206" t="str">
        <x:f>IF(INDEX(Backlog!$N$2:$N$180,MATCH($A87,Backlog!$A$2:$A$180,0))="","",INDEX(Backlog!$N$2:$N$180,MATCH($A87,Backlog!$A$2:$A$180,0)))</x:f>
      </x:c>
      <x:c r="I87" s="206" t="str">
        <x:f>IF(INDEX(Backlog!$T$2:$T$180,MATCH($A87,Backlog!$A$2:$A$180,0))="","",INDEX(Backlog!$T$2:$T$180,MATCH($A87,Backlog!$A$2:$A$180,0)))</x:f>
        <x:v>T-112 + T-114 + T-090 + T-095/T-096 + T-219 + T-220. If security hand-off is not green, remain on pure-kernel evidence and do not create insecure tables.</x:v>
      </x:c>
      <x:c r="J87" s="194" t="str">
        <x:f>IF(INDEX(Backlog!$AN$2:$AN$180,MATCH($A87,Backlog!$A$2:$A$180,0))="","",INDEX(Backlog!$AN$2:$AN$180,MATCH($A87,Backlog!$A$2:$A$180,0)))</x:f>
      </x:c>
      <x:c r="K87"/>
      <x:c r="L87"/>
    </x:row>
    <x:row r="88" ht="26" customHeight="1">
      <x:c r="A88" s="206" t="str">
        <x:v>T-223</x:v>
      </x:c>
      <x:c r="B88" s="206" t="str">
        <x:f>IF(INDEX(Backlog!$B$2:$B$180,MATCH($A88,Backlog!$A$2:$A$180,0))="","",INDEX(Backlog!$B$2:$B$180,MATCH($A88,Backlog!$A$2:$A$180,0)))</x:f>
        <x:v>M2</x:v>
      </x:c>
      <x:c r="C88" s="206" t="str">
        <x:f>IF(INDEX(Backlog!$C$2:$C$180,MATCH($A88,Backlog!$A$2:$A$180,0))="","",INDEX(Backlog!$C$2:$C$180,MATCH($A88,Backlog!$A$2:$A$180,0)))</x:f>
        <x:v>P4</x:v>
      </x:c>
      <x:c r="D88" s="206" t="str">
        <x:f>IF(INDEX(Backlog!$L$2:$L$180,MATCH($A88,Backlog!$A$2:$A$180,0))="","",INDEX(Backlog!$L$2:$L$180,MATCH($A88,Backlog!$A$2:$A$180,0)))</x:f>
        <x:v>Worker 3</x:v>
      </x:c>
      <x:c r="E88" s="206" t="str">
        <x:f>IF(INDEX(Backlog!$K$2:$K$180,MATCH($A88,Backlog!$A$2:$A$180,0))="","",INDEX(Backlog!$K$2:$K$180,MATCH($A88,Backlog!$A$2:$A$180,0)))</x:f>
        <x:v>Not Started</x:v>
      </x:c>
      <x:c r="F88" s="206" t="n">
        <x:f>IF(ISNUMBER(INDEX(Backlog!$R$2:$R$180,MATCH($A88,Backlog!$A$2:$A$180,0))),INDEX(Backlog!$R$2:$R$180,MATCH($A88,Backlog!$A$2:$A$180,0)),"")</x:f>
        <x:v>4.25</x:v>
      </x:c>
      <x:c r="G88" s="206" t="str">
        <x:f>IF(INDEX(Backlog!$M$2:$M$180,MATCH($A88,Backlog!$A$2:$A$180,0))="","",INDEX(Backlog!$M$2:$M$180,MATCH($A88,Backlog!$A$2:$A$180,0)))</x:f>
        <x:v>T-179; T-180; T-181; T-214; T-219; T-220</x:v>
      </x:c>
      <x:c r="H88" s="206" t="str">
        <x:f>IF(INDEX(Backlog!$N$2:$N$180,MATCH($A88,Backlog!$A$2:$A$180,0))="","",INDEX(Backlog!$N$2:$N$180,MATCH($A88,Backlog!$A$2:$A$180,0)))</x:f>
        <x:v>T-150</x:v>
      </x:c>
      <x:c r="I88" s="206" t="str">
        <x:f>IF(INDEX(Backlog!$T$2:$T$180,MATCH($A88,Backlog!$A$2:$A$180,0))="","",INDEX(Backlog!$T$2:$T$180,MATCH($A88,Backlog!$A$2:$A$180,0)))</x:f>
        <x:v>T-179/T-180/T-181 CLOSED + T-214 + T-219/T-220. No canonical persistence dependency for September explanation.</x:v>
      </x:c>
      <x:c r="J88" s="194" t="str">
        <x:f>IF(INDEX(Backlog!$AN$2:$AN$180,MATCH($A88,Backlog!$A$2:$A$180,0))="","",INDEX(Backlog!$AN$2:$AN$180,MATCH($A88,Backlog!$A$2:$A$180,0)))</x:f>
      </x:c>
      <x:c r="K88"/>
      <x:c r="L88"/>
    </x:row>
    <x:row r="89" ht="26" customHeight="1">
      <x:c r="A89" s="206" t="str">
        <x:v>T-234</x:v>
      </x:c>
      <x:c r="B89" s="206" t="str">
        <x:f>IF(INDEX(Backlog!$B$2:$B$180,MATCH($A89,Backlog!$A$2:$A$180,0))="","",INDEX(Backlog!$B$2:$B$180,MATCH($A89,Backlog!$A$2:$A$180,0)))</x:f>
        <x:v>M2</x:v>
      </x:c>
      <x:c r="C89" s="206" t="str">
        <x:f>IF(INDEX(Backlog!$C$2:$C$180,MATCH($A89,Backlog!$A$2:$A$180,0))="","",INDEX(Backlog!$C$2:$C$180,MATCH($A89,Backlog!$A$2:$A$180,0)))</x:f>
        <x:v>P4</x:v>
      </x:c>
      <x:c r="D89" s="206" t="str">
        <x:f>IF(INDEX(Backlog!$L$2:$L$180,MATCH($A89,Backlog!$A$2:$A$180,0))="","",INDEX(Backlog!$L$2:$L$180,MATCH($A89,Backlog!$A$2:$A$180,0)))</x:f>
        <x:v>Worker 3</x:v>
      </x:c>
      <x:c r="E89" s="206" t="str">
        <x:f>IF(INDEX(Backlog!$K$2:$K$180,MATCH($A89,Backlog!$A$2:$A$180,0))="","",INDEX(Backlog!$K$2:$K$180,MATCH($A89,Backlog!$A$2:$A$180,0)))</x:f>
        <x:v>Done</x:v>
      </x:c>
      <x:c r="F89" s="206" t="n">
        <x:f>IF(ISNUMBER(INDEX(Backlog!$R$2:$R$180,MATCH($A89,Backlog!$A$2:$A$180,0))),INDEX(Backlog!$R$2:$R$180,MATCH($A89,Backlog!$A$2:$A$180,0)),"")</x:f>
        <x:v>2</x:v>
      </x:c>
      <x:c r="G89" s="206" t="str">
        <x:f>IF(INDEX(Backlog!$M$2:$M$180,MATCH($A89,Backlog!$A$2:$A$180,0))="","",INDEX(Backlog!$M$2:$M$180,MATCH($A89,Backlog!$A$2:$A$180,0)))</x:f>
        <x:v>T-208; T-209</x:v>
      </x:c>
      <x:c r="H89" s="206" t="str">
        <x:f>IF(INDEX(Backlog!$N$2:$N$180,MATCH($A89,Backlog!$A$2:$A$180,0))="","",INDEX(Backlog!$N$2:$N$180,MATCH($A89,Backlog!$A$2:$A$180,0)))</x:f>
        <x:v>T-212; T-235; T-236</x:v>
      </x:c>
      <x:c r="I89" s="206" t="str">
        <x:f>IF(INDEX(Backlog!$T$2:$T$180,MATCH($A89,Backlog!$A$2:$A$180,0))="","",INDEX(Backlog!$T$2:$T$180,MATCH($A89,Backlog!$A$2:$A$180,0)))</x:f>
        <x:v>T-208 + T-209; may run in parallel with W1 canonical chain.</x:v>
      </x:c>
      <x:c r="J89" s="194" t="str">
        <x:f>IF(INDEX(Backlog!$AN$2:$AN$180,MATCH($A89,Backlog!$A$2:$A$180,0))="","",INDEX(Backlog!$AN$2:$AN$180,MATCH($A89,Backlog!$A$2:$A$180,0)))</x:f>
      </x:c>
      <x:c r="K89"/>
      <x:c r="L89"/>
    </x:row>
    <x:row r="90" ht="26" customHeight="1">
      <x:c r="A90" s="206" t="str">
        <x:v>T-236</x:v>
      </x:c>
      <x:c r="B90" s="206" t="str">
        <x:f>IF(INDEX(Backlog!$B$2:$B$180,MATCH($A90,Backlog!$A$2:$A$180,0))="","",INDEX(Backlog!$B$2:$B$180,MATCH($A90,Backlog!$A$2:$A$180,0)))</x:f>
        <x:v>M2</x:v>
      </x:c>
      <x:c r="C90" s="206" t="str">
        <x:f>IF(INDEX(Backlog!$C$2:$C$180,MATCH($A90,Backlog!$A$2:$A$180,0))="","",INDEX(Backlog!$C$2:$C$180,MATCH($A90,Backlog!$A$2:$A$180,0)))</x:f>
        <x:v>P4</x:v>
      </x:c>
      <x:c r="D90" s="206" t="str">
        <x:f>IF(INDEX(Backlog!$L$2:$L$180,MATCH($A90,Backlog!$A$2:$A$180,0))="","",INDEX(Backlog!$L$2:$L$180,MATCH($A90,Backlog!$A$2:$A$180,0)))</x:f>
        <x:v>Worker 3</x:v>
      </x:c>
      <x:c r="E90" s="206" t="str">
        <x:f>IF(INDEX(Backlog!$K$2:$K$180,MATCH($A90,Backlog!$A$2:$A$180,0))="","",INDEX(Backlog!$K$2:$K$180,MATCH($A90,Backlog!$A$2:$A$180,0)))</x:f>
        <x:v>Done</x:v>
      </x:c>
      <x:c r="F90" s="206" t="n">
        <x:f>IF(ISNUMBER(INDEX(Backlog!$R$2:$R$180,MATCH($A90,Backlog!$A$2:$A$180,0))),INDEX(Backlog!$R$2:$R$180,MATCH($A90,Backlog!$A$2:$A$180,0)),"")</x:f>
        <x:v>2.666666666666667</x:v>
      </x:c>
      <x:c r="G90" s="206" t="str">
        <x:f>IF(INDEX(Backlog!$M$2:$M$180,MATCH($A90,Backlog!$A$2:$A$180,0))="","",INDEX(Backlog!$M$2:$M$180,MATCH($A90,Backlog!$A$2:$A$180,0)))</x:f>
        <x:v>T-217; T-234</x:v>
      </x:c>
      <x:c r="H90" s="206" t="str">
        <x:f>IF(INDEX(Backlog!$N$2:$N$180,MATCH($A90,Backlog!$A$2:$A$180,0))="","",INDEX(Backlog!$N$2:$N$180,MATCH($A90,Backlog!$A$2:$A$180,0)))</x:f>
        <x:v>T-212; T-219</x:v>
      </x:c>
      <x:c r="I90" s="206" t="str">
        <x:f>IF(INDEX(Backlog!$T$2:$T$180,MATCH($A90,Backlog!$A$2:$A$180,0))="","",INDEX(Backlog!$T$2:$T$180,MATCH($A90,Backlog!$A$2:$A$180,0)))</x:f>
        <x:v>T-217 + T-234; may run while W1 canonical chain proceeds.</x:v>
      </x:c>
      <x:c r="J90" s="194" t="str">
        <x:f>IF(INDEX(Backlog!$AN$2:$AN$180,MATCH($A90,Backlog!$A$2:$A$180,0))="","",INDEX(Backlog!$AN$2:$AN$180,MATCH($A90,Backlog!$A$2:$A$180,0)))</x:f>
      </x:c>
      <x:c r="K90"/>
      <x:c r="L90"/>
    </x:row>
    <x:row r="91" ht="26" customHeight="1">
      <x:c r="A91" s="206" t="str">
        <x:v>T-237</x:v>
      </x:c>
      <x:c r="B91" s="206" t="str">
        <x:f>IF(INDEX(Backlog!$B$2:$B$180,MATCH($A91,Backlog!$A$2:$A$180,0))="","",INDEX(Backlog!$B$2:$B$180,MATCH($A91,Backlog!$A$2:$A$180,0)))</x:f>
        <x:v>M2</x:v>
      </x:c>
      <x:c r="C91" s="206" t="str">
        <x:f>IF(INDEX(Backlog!$C$2:$C$180,MATCH($A91,Backlog!$A$2:$A$180,0))="","",INDEX(Backlog!$C$2:$C$180,MATCH($A91,Backlog!$A$2:$A$180,0)))</x:f>
        <x:v>P4</x:v>
      </x:c>
      <x:c r="D91" s="206" t="str">
        <x:f>IF(INDEX(Backlog!$L$2:$L$180,MATCH($A91,Backlog!$A$2:$A$180,0))="","",INDEX(Backlog!$L$2:$L$180,MATCH($A91,Backlog!$A$2:$A$180,0)))</x:f>
        <x:v>Worker 2</x:v>
      </x:c>
      <x:c r="E91" s="206" t="str">
        <x:f>IF(INDEX(Backlog!$K$2:$K$180,MATCH($A91,Backlog!$A$2:$A$180,0))="","",INDEX(Backlog!$K$2:$K$180,MATCH($A91,Backlog!$A$2:$A$180,0)))</x:f>
        <x:v>Not Started</x:v>
      </x:c>
      <x:c r="F91" s="206" t="n">
        <x:f>IF(ISNUMBER(INDEX(Backlog!$R$2:$R$180,MATCH($A91,Backlog!$A$2:$A$180,0))),INDEX(Backlog!$R$2:$R$180,MATCH($A91,Backlog!$A$2:$A$180,0)),"")</x:f>
        <x:v>4.25</x:v>
      </x:c>
      <x:c r="G91" s="206" t="str">
        <x:f>IF(INDEX(Backlog!$M$2:$M$180,MATCH($A91,Backlog!$A$2:$A$180,0))="","",INDEX(Backlog!$M$2:$M$180,MATCH($A91,Backlog!$A$2:$A$180,0)))</x:f>
        <x:v>T-092; T-235</x:v>
      </x:c>
      <x:c r="H91" s="206" t="str">
        <x:f>IF(INDEX(Backlog!$N$2:$N$180,MATCH($A91,Backlog!$A$2:$A$180,0))="","",INDEX(Backlog!$N$2:$N$180,MATCH($A91,Backlog!$A$2:$A$180,0)))</x:f>
        <x:v>T-164</x:v>
      </x:c>
      <x:c r="I91" s="206" t="str">
        <x:f>IF(INDEX(Backlog!$T$2:$T$180,MATCH($A91,Backlog!$A$2:$A$180,0))="","",INDEX(Backlog!$T$2:$T$180,MATCH($A91,Backlog!$A$2:$A$180,0)))</x:f>
        <x:v>T-092 + T-235; can run in parallel with T-222 on separate files.</x:v>
      </x:c>
      <x:c r="J91" s="194" t="str">
        <x:f>IF(INDEX(Backlog!$AN$2:$AN$180,MATCH($A91,Backlog!$A$2:$A$180,0))="","",INDEX(Backlog!$AN$2:$AN$180,MATCH($A91,Backlog!$A$2:$A$180,0)))</x:f>
      </x:c>
      <x:c r="K91"/>
      <x:c r="L91"/>
    </x:row>
    <x:row r="92" ht="26" customHeight="1">
      <x:c r="A92" s="206" t="str">
        <x:v>T-112</x:v>
      </x:c>
      <x:c r="B92" s="206" t="str">
        <x:f>IF(INDEX(Backlog!$B$2:$B$180,MATCH($A92,Backlog!$A$2:$A$180,0))="","",INDEX(Backlog!$B$2:$B$180,MATCH($A92,Backlog!$A$2:$A$180,0)))</x:f>
        <x:v>M2</x:v>
      </x:c>
      <x:c r="C92" s="206" t="str">
        <x:f>IF(INDEX(Backlog!$C$2:$C$180,MATCH($A92,Backlog!$A$2:$A$180,0))="","",INDEX(Backlog!$C$2:$C$180,MATCH($A92,Backlog!$A$2:$A$180,0)))</x:f>
        <x:v>P5</x:v>
      </x:c>
      <x:c r="D92" s="206" t="str">
        <x:f>IF(INDEX(Backlog!$L$2:$L$180,MATCH($A92,Backlog!$A$2:$A$180,0))="","",INDEX(Backlog!$L$2:$L$180,MATCH($A92,Backlog!$A$2:$A$180,0)))</x:f>
        <x:v>Worker 1</x:v>
      </x:c>
      <x:c r="E92" s="206" t="str">
        <x:f>IF(INDEX(Backlog!$K$2:$K$180,MATCH($A92,Backlog!$A$2:$A$180,0))="","",INDEX(Backlog!$K$2:$K$180,MATCH($A92,Backlog!$A$2:$A$180,0)))</x:f>
        <x:v>Not Started</x:v>
      </x:c>
      <x:c r="F92" s="206" t="n">
        <x:f>IF(ISNUMBER(INDEX(Backlog!$R$2:$R$180,MATCH($A92,Backlog!$A$2:$A$180,0))),INDEX(Backlog!$R$2:$R$180,MATCH($A92,Backlog!$A$2:$A$180,0)),"")</x:f>
        <x:v>2.325</x:v>
      </x:c>
      <x:c r="G92" s="206" t="str">
        <x:f>IF(INDEX(Backlog!$M$2:$M$180,MATCH($A92,Backlog!$A$2:$A$180,0))="","",INDEX(Backlog!$M$2:$M$180,MATCH($A92,Backlog!$A$2:$A$180,0)))</x:f>
        <x:v>T-087; T-088; T-251; T-252</x:v>
      </x:c>
      <x:c r="H92" s="206" t="str">
        <x:f>IF(INDEX(Backlog!$N$2:$N$180,MATCH($A92,Backlog!$A$2:$A$180,0))="","",INDEX(Backlog!$N$2:$N$180,MATCH($A92,Backlog!$A$2:$A$180,0)))</x:f>
        <x:v>T-122; T-128; T-129; T-130; T-135; T-183; T-184; T-185; T-187; T-195; T-198; T-221; T-230</x:v>
      </x:c>
      <x:c r="I92" s="206" t="str">
        <x:f>IF(INDEX(Backlog!$T$2:$T$180,MATCH($A92,Backlog!$A$2:$A$180,0))="","",INDEX(Backlog!$T$2:$T$180,MATCH($A92,Backlog!$A$2:$A$180,0)))</x:f>
        <x:v>WAIT for Presentation RC freeze/tag + clean index/worktree. Then: T-087/T-088 canonical migration authority available; establish FORCE RLS guar...</x:v>
      </x:c>
      <x:c r="J92" s="194" t="str">
        <x:f>IF(INDEX(Backlog!$AN$2:$AN$180,MATCH($A92,Backlog!$A$2:$A$180,0))="","",INDEX(Backlog!$AN$2:$AN$180,MATCH($A92,Backlog!$A$2:$A$180,0)))</x:f>
      </x:c>
      <x:c r="K92"/>
      <x:c r="L92"/>
    </x:row>
    <x:row r="93" ht="26" customHeight="1">
      <x:c r="A93" s="206" t="str">
        <x:v>T-113</x:v>
      </x:c>
      <x:c r="B93" s="206" t="str">
        <x:f>IF(INDEX(Backlog!$B$2:$B$180,MATCH($A93,Backlog!$A$2:$A$180,0))="","",INDEX(Backlog!$B$2:$B$180,MATCH($A93,Backlog!$A$2:$A$180,0)))</x:f>
        <x:v>M2</x:v>
      </x:c>
      <x:c r="C93" s="206" t="str">
        <x:f>IF(INDEX(Backlog!$C$2:$C$180,MATCH($A93,Backlog!$A$2:$A$180,0))="","",INDEX(Backlog!$C$2:$C$180,MATCH($A93,Backlog!$A$2:$A$180,0)))</x:f>
        <x:v>P5</x:v>
      </x:c>
      <x:c r="D93" s="206" t="str">
        <x:f>IF(INDEX(Backlog!$L$2:$L$180,MATCH($A93,Backlog!$A$2:$A$180,0))="","",INDEX(Backlog!$L$2:$L$180,MATCH($A93,Backlog!$A$2:$A$180,0)))</x:f>
        <x:v>Worker 1</x:v>
      </x:c>
      <x:c r="E93" s="206" t="str">
        <x:f>IF(INDEX(Backlog!$K$2:$K$180,MATCH($A93,Backlog!$A$2:$A$180,0))="","",INDEX(Backlog!$K$2:$K$180,MATCH($A93,Backlog!$A$2:$A$180,0)))</x:f>
        <x:v>Not Started</x:v>
      </x:c>
      <x:c r="F93" s="206" t="n">
        <x:f>IF(ISNUMBER(INDEX(Backlog!$R$2:$R$180,MATCH($A93,Backlog!$A$2:$A$180,0))),INDEX(Backlog!$R$2:$R$180,MATCH($A93,Backlog!$A$2:$A$180,0)),"")</x:f>
        <x:v>1.2000000000000002</x:v>
      </x:c>
      <x:c r="G93" s="206" t="str">
        <x:f>IF(INDEX(Backlog!$M$2:$M$180,MATCH($A93,Backlog!$A$2:$A$180,0))="","",INDEX(Backlog!$M$2:$M$180,MATCH($A93,Backlog!$A$2:$A$180,0)))</x:f>
      </x:c>
      <x:c r="H93" s="206" t="str">
        <x:f>IF(INDEX(Backlog!$N$2:$N$180,MATCH($A93,Backlog!$A$2:$A$180,0))="","",INDEX(Backlog!$N$2:$N$180,MATCH($A93,Backlog!$A$2:$A$180,0)))</x:f>
        <x:v>T-122; T-200</x:v>
      </x:c>
      <x:c r="I93" s="206" t="str">
        <x:f>IF(INDEX(Backlog!$T$2:$T$180,MATCH($A93,Backlog!$A$2:$A$180,0))="","",INDEX(Backlog!$T$2:$T$180,MATCH($A93,Backlog!$A$2:$A$180,0)))</x:f>
        <x:v>WAIT for Presentation RC freeze/tag + clean index/worktree. Then: Release 1 dependency order</x:v>
      </x:c>
      <x:c r="J93" s="194" t="str">
        <x:f>IF(INDEX(Backlog!$AN$2:$AN$180,MATCH($A93,Backlog!$A$2:$A$180,0))="","",INDEX(Backlog!$AN$2:$AN$180,MATCH($A93,Backlog!$A$2:$A$180,0)))</x:f>
      </x:c>
      <x:c r="K93"/>
      <x:c r="L93"/>
    </x:row>
    <x:row r="94" ht="26" customHeight="1">
      <x:c r="A94" s="206" t="str">
        <x:v>T-114</x:v>
      </x:c>
      <x:c r="B94" s="206" t="str">
        <x:f>IF(INDEX(Backlog!$B$2:$B$180,MATCH($A94,Backlog!$A$2:$A$180,0))="","",INDEX(Backlog!$B$2:$B$180,MATCH($A94,Backlog!$A$2:$A$180,0)))</x:f>
        <x:v>M2</x:v>
      </x:c>
      <x:c r="C94" s="206" t="str">
        <x:f>IF(INDEX(Backlog!$C$2:$C$180,MATCH($A94,Backlog!$A$2:$A$180,0))="","",INDEX(Backlog!$C$2:$C$180,MATCH($A94,Backlog!$A$2:$A$180,0)))</x:f>
        <x:v>P5</x:v>
      </x:c>
      <x:c r="D94" s="206" t="str">
        <x:f>IF(INDEX(Backlog!$L$2:$L$180,MATCH($A94,Backlog!$A$2:$A$180,0))="","",INDEX(Backlog!$L$2:$L$180,MATCH($A94,Backlog!$A$2:$A$180,0)))</x:f>
        <x:v>Worker 1</x:v>
      </x:c>
      <x:c r="E94" s="206" t="str">
        <x:f>IF(INDEX(Backlog!$K$2:$K$180,MATCH($A94,Backlog!$A$2:$A$180,0))="","",INDEX(Backlog!$K$2:$K$180,MATCH($A94,Backlog!$A$2:$A$180,0)))</x:f>
        <x:v>Not Started</x:v>
      </x:c>
      <x:c r="F94" s="206" t="n">
        <x:f>IF(ISNUMBER(INDEX(Backlog!$R$2:$R$180,MATCH($A94,Backlog!$A$2:$A$180,0))),INDEX(Backlog!$R$2:$R$180,MATCH($A94,Backlog!$A$2:$A$180,0)),"")</x:f>
        <x:v>0.8999999999999999</x:v>
      </x:c>
      <x:c r="G94" s="206" t="str">
        <x:f>IF(INDEX(Backlog!$M$2:$M$180,MATCH($A94,Backlog!$A$2:$A$180,0))="","",INDEX(Backlog!$M$2:$M$180,MATCH($A94,Backlog!$A$2:$A$180,0)))</x:f>
        <x:v>T-087; T-089; T-090; T-095; T-099</x:v>
      </x:c>
      <x:c r="H94" s="206" t="str">
        <x:f>IF(INDEX(Backlog!$N$2:$N$180,MATCH($A94,Backlog!$A$2:$A$180,0))="","",INDEX(Backlog!$N$2:$N$180,MATCH($A94,Backlog!$A$2:$A$180,0)))</x:f>
        <x:v>T-122; T-128; T-129; T-130; T-135; T-183; T-184; T-185; T-187; T-195; T-198; T-221; T-230</x:v>
      </x:c>
      <x:c r="I94" s="206" t="str">
        <x:f>IF(INDEX(Backlog!$T$2:$T$180,MATCH($A94,Backlog!$A$2:$A$180,0))="","",INDEX(Backlog!$T$2:$T$180,MATCH($A94,Backlog!$A$2:$A$180,0)))</x:f>
        <x:v>WAIT for Presentation RC freeze/tag + clean index/worktree. Then: T-087 + T-089/T-090 + T-095/T-099 canonical Release 1 tables available; establish t...</x:v>
      </x:c>
      <x:c r="J94" s="194" t="str">
        <x:f>IF(INDEX(Backlog!$AN$2:$AN$180,MATCH($A94,Backlog!$A$2:$A$180,0))="","",INDEX(Backlog!$AN$2:$AN$180,MATCH($A94,Backlog!$A$2:$A$180,0)))</x:f>
      </x:c>
      <x:c r="K94"/>
      <x:c r="L94"/>
    </x:row>
    <x:row r="95" ht="26" customHeight="1">
      <x:c r="A95" s="206" t="str">
        <x:v>T-115</x:v>
      </x:c>
      <x:c r="B95" s="206" t="str">
        <x:f>IF(INDEX(Backlog!$B$2:$B$180,MATCH($A95,Backlog!$A$2:$A$180,0))="","",INDEX(Backlog!$B$2:$B$180,MATCH($A95,Backlog!$A$2:$A$180,0)))</x:f>
        <x:v>M2</x:v>
      </x:c>
      <x:c r="C95" s="206" t="str">
        <x:f>IF(INDEX(Backlog!$C$2:$C$180,MATCH($A95,Backlog!$A$2:$A$180,0))="","",INDEX(Backlog!$C$2:$C$180,MATCH($A95,Backlog!$A$2:$A$180,0)))</x:f>
        <x:v>P5</x:v>
      </x:c>
      <x:c r="D95" s="206" t="str">
        <x:f>IF(INDEX(Backlog!$L$2:$L$180,MATCH($A95,Backlog!$A$2:$A$180,0))="","",INDEX(Backlog!$L$2:$L$180,MATCH($A95,Backlog!$A$2:$A$180,0)))</x:f>
        <x:v>Worker 1</x:v>
      </x:c>
      <x:c r="E95" s="206" t="str">
        <x:f>IF(INDEX(Backlog!$K$2:$K$180,MATCH($A95,Backlog!$A$2:$A$180,0))="","",INDEX(Backlog!$K$2:$K$180,MATCH($A95,Backlog!$A$2:$A$180,0)))</x:f>
        <x:v>Not Started</x:v>
      </x:c>
      <x:c r="F95" s="206" t="n">
        <x:f>IF(ISNUMBER(INDEX(Backlog!$R$2:$R$180,MATCH($A95,Backlog!$A$2:$A$180,0))),INDEX(Backlog!$R$2:$R$180,MATCH($A95,Backlog!$A$2:$A$180,0)),"")</x:f>
        <x:v>0.775</x:v>
      </x:c>
      <x:c r="G95" s="206" t="str">
        <x:f>IF(INDEX(Backlog!$M$2:$M$180,MATCH($A95,Backlog!$A$2:$A$180,0))="","",INDEX(Backlog!$M$2:$M$180,MATCH($A95,Backlog!$A$2:$A$180,0)))</x:f>
      </x:c>
      <x:c r="H95" s="206" t="str">
        <x:f>IF(INDEX(Backlog!$N$2:$N$180,MATCH($A95,Backlog!$A$2:$A$180,0))="","",INDEX(Backlog!$N$2:$N$180,MATCH($A95,Backlog!$A$2:$A$180,0)))</x:f>
        <x:v>T-150</x:v>
      </x:c>
      <x:c r="I95" s="206" t="str">
        <x:f>IF(INDEX(Backlog!$T$2:$T$180,MATCH($A95,Backlog!$A$2:$A$180,0))="","",INDEX(Backlog!$T$2:$T$180,MATCH($A95,Backlog!$A$2:$A$180,0)))</x:f>
        <x:v>WAIT for Presentation RC freeze/tag + clean index/worktree. Then: Release 1 dependency order</x:v>
      </x:c>
      <x:c r="J95" s="194" t="str">
        <x:f>IF(INDEX(Backlog!$AN$2:$AN$180,MATCH($A95,Backlog!$A$2:$A$180,0))="","",INDEX(Backlog!$AN$2:$AN$180,MATCH($A95,Backlog!$A$2:$A$180,0)))</x:f>
      </x:c>
      <x:c r="K95"/>
      <x:c r="L95"/>
    </x:row>
    <x:row r="96" ht="26" customHeight="1">
      <x:c r="A96" s="206" t="str">
        <x:v>T-119</x:v>
      </x:c>
      <x:c r="B96" s="206" t="str">
        <x:f>IF(INDEX(Backlog!$B$2:$B$180,MATCH($A96,Backlog!$A$2:$A$180,0))="","",INDEX(Backlog!$B$2:$B$180,MATCH($A96,Backlog!$A$2:$A$180,0)))</x:f>
        <x:v>M2</x:v>
      </x:c>
      <x:c r="C96" s="206" t="str">
        <x:f>IF(INDEX(Backlog!$C$2:$C$180,MATCH($A96,Backlog!$A$2:$A$180,0))="","",INDEX(Backlog!$C$2:$C$180,MATCH($A96,Backlog!$A$2:$A$180,0)))</x:f>
        <x:v>P5</x:v>
      </x:c>
      <x:c r="D96" s="206" t="str">
        <x:f>IF(INDEX(Backlog!$L$2:$L$180,MATCH($A96,Backlog!$A$2:$A$180,0))="","",INDEX(Backlog!$L$2:$L$180,MATCH($A96,Backlog!$A$2:$A$180,0)))</x:f>
        <x:v>Worker 1</x:v>
      </x:c>
      <x:c r="E96" s="206" t="str">
        <x:f>IF(INDEX(Backlog!$K$2:$K$180,MATCH($A96,Backlog!$A$2:$A$180,0))="","",INDEX(Backlog!$K$2:$K$180,MATCH($A96,Backlog!$A$2:$A$180,0)))</x:f>
        <x:v>Not Started</x:v>
      </x:c>
      <x:c r="F96" s="206" t="n">
        <x:f>IF(ISNUMBER(INDEX(Backlog!$R$2:$R$180,MATCH($A96,Backlog!$A$2:$A$180,0))),INDEX(Backlog!$R$2:$R$180,MATCH($A96,Backlog!$A$2:$A$180,0)),"")</x:f>
        <x:v>1.7999999999999998</x:v>
      </x:c>
      <x:c r="G96" s="206" t="str">
        <x:f>IF(INDEX(Backlog!$M$2:$M$180,MATCH($A96,Backlog!$A$2:$A$180,0))="","",INDEX(Backlog!$M$2:$M$180,MATCH($A96,Backlog!$A$2:$A$180,0)))</x:f>
      </x:c>
      <x:c r="H96" s="206" t="str">
        <x:f>IF(INDEX(Backlog!$N$2:$N$180,MATCH($A96,Backlog!$A$2:$A$180,0))="","",INDEX(Backlog!$N$2:$N$180,MATCH($A96,Backlog!$A$2:$A$180,0)))</x:f>
        <x:v>T-121; T-197; T-198; T-200</x:v>
      </x:c>
      <x:c r="I96" s="206" t="str">
        <x:f>IF(INDEX(Backlog!$T$2:$T$180,MATCH($A96,Backlog!$A$2:$A$180,0))="","",INDEX(Backlog!$T$2:$T$180,MATCH($A96,Backlog!$A$2:$A$180,0)))</x:f>
        <x:v>WAIT for Presentation RC freeze/tag + clean index/worktree. Then: Release 1 dependency order</x:v>
      </x:c>
      <x:c r="J96" s="194" t="str">
        <x:f>IF(INDEX(Backlog!$AN$2:$AN$180,MATCH($A96,Backlog!$A$2:$A$180,0))="","",INDEX(Backlog!$AN$2:$AN$180,MATCH($A96,Backlog!$A$2:$A$180,0)))</x:f>
      </x:c>
      <x:c r="K96"/>
      <x:c r="L96"/>
    </x:row>
    <x:row r="97" ht="26" customHeight="1">
      <x:c r="A97" s="206" t="str">
        <x:v>T-120</x:v>
      </x:c>
      <x:c r="B97" s="206" t="str">
        <x:f>IF(INDEX(Backlog!$B$2:$B$180,MATCH($A97,Backlog!$A$2:$A$180,0))="","",INDEX(Backlog!$B$2:$B$180,MATCH($A97,Backlog!$A$2:$A$180,0)))</x:f>
        <x:v>M2</x:v>
      </x:c>
      <x:c r="C97" s="206" t="str">
        <x:f>IF(INDEX(Backlog!$C$2:$C$180,MATCH($A97,Backlog!$A$2:$A$180,0))="","",INDEX(Backlog!$C$2:$C$180,MATCH($A97,Backlog!$A$2:$A$180,0)))</x:f>
        <x:v>P5</x:v>
      </x:c>
      <x:c r="D97" s="206" t="str">
        <x:f>IF(INDEX(Backlog!$L$2:$L$180,MATCH($A97,Backlog!$A$2:$A$180,0))="","",INDEX(Backlog!$L$2:$L$180,MATCH($A97,Backlog!$A$2:$A$180,0)))</x:f>
        <x:v>Worker 2</x:v>
      </x:c>
      <x:c r="E97" s="206" t="str">
        <x:f>IF(INDEX(Backlog!$K$2:$K$180,MATCH($A97,Backlog!$A$2:$A$180,0))="","",INDEX(Backlog!$K$2:$K$180,MATCH($A97,Backlog!$A$2:$A$180,0)))</x:f>
        <x:v>Not Started</x:v>
      </x:c>
      <x:c r="F97" s="206" t="n">
        <x:f>IF(ISNUMBER(INDEX(Backlog!$R$2:$R$180,MATCH($A97,Backlog!$A$2:$A$180,0))),INDEX(Backlog!$R$2:$R$180,MATCH($A97,Backlog!$A$2:$A$180,0)),"")</x:f>
        <x:v>2</x:v>
      </x:c>
      <x:c r="G97" s="206" t="str">
        <x:f>IF(INDEX(Backlog!$M$2:$M$180,MATCH($A97,Backlog!$A$2:$A$180,0))="","",INDEX(Backlog!$M$2:$M$180,MATCH($A97,Backlog!$A$2:$A$180,0)))</x:f>
      </x:c>
      <x:c r="H97" s="206" t="str">
        <x:f>IF(INDEX(Backlog!$N$2:$N$180,MATCH($A97,Backlog!$A$2:$A$180,0))="","",INDEX(Backlog!$N$2:$N$180,MATCH($A97,Backlog!$A$2:$A$180,0)))</x:f>
      </x:c>
      <x:c r="I97" s="206" t="str">
        <x:f>IF(INDEX(Backlog!$T$2:$T$180,MATCH($A97,Backlog!$A$2:$A$180,0))="","",INDEX(Backlog!$T$2:$T$180,MATCH($A97,Backlog!$A$2:$A$180,0)))</x:f>
        <x:v>WAIT for Presentation RC freeze/tag + clean index/worktree. Then: Release 1 dependency order</x:v>
      </x:c>
      <x:c r="J97" s="194" t="str">
        <x:f>IF(INDEX(Backlog!$AN$2:$AN$180,MATCH($A97,Backlog!$A$2:$A$180,0))="","",INDEX(Backlog!$AN$2:$AN$180,MATCH($A97,Backlog!$A$2:$A$180,0)))</x:f>
      </x:c>
      <x:c r="K97"/>
      <x:c r="L97"/>
    </x:row>
    <x:row r="98" ht="26" customHeight="1">
      <x:c r="A98" s="206" t="str">
        <x:v>T-121</x:v>
      </x:c>
      <x:c r="B98" s="206" t="str">
        <x:f>IF(INDEX(Backlog!$B$2:$B$180,MATCH($A98,Backlog!$A$2:$A$180,0))="","",INDEX(Backlog!$B$2:$B$180,MATCH($A98,Backlog!$A$2:$A$180,0)))</x:f>
        <x:v>M2</x:v>
      </x:c>
      <x:c r="C98" s="206" t="str">
        <x:f>IF(INDEX(Backlog!$C$2:$C$180,MATCH($A98,Backlog!$A$2:$A$180,0))="","",INDEX(Backlog!$C$2:$C$180,MATCH($A98,Backlog!$A$2:$A$180,0)))</x:f>
        <x:v>P5</x:v>
      </x:c>
      <x:c r="D98" s="206" t="str">
        <x:f>IF(INDEX(Backlog!$L$2:$L$180,MATCH($A98,Backlog!$A$2:$A$180,0))="","",INDEX(Backlog!$L$2:$L$180,MATCH($A98,Backlog!$A$2:$A$180,0)))</x:f>
        <x:v>Worker 1</x:v>
      </x:c>
      <x:c r="E98" s="206" t="str">
        <x:f>IF(INDEX(Backlog!$K$2:$K$180,MATCH($A98,Backlog!$A$2:$A$180,0))="","",INDEX(Backlog!$K$2:$K$180,MATCH($A98,Backlog!$A$2:$A$180,0)))</x:f>
        <x:v>Not Started</x:v>
      </x:c>
      <x:c r="F98" s="206" t="n">
        <x:f>IF(ISNUMBER(INDEX(Backlog!$R$2:$R$180,MATCH($A98,Backlog!$A$2:$A$180,0))),INDEX(Backlog!$R$2:$R$180,MATCH($A98,Backlog!$A$2:$A$180,0)),"")</x:f>
        <x:v>1.7999999999999998</x:v>
      </x:c>
      <x:c r="G98" s="206" t="str">
        <x:f>IF(INDEX(Backlog!$M$2:$M$180,MATCH($A98,Backlog!$A$2:$A$180,0))="","",INDEX(Backlog!$M$2:$M$180,MATCH($A98,Backlog!$A$2:$A$180,0)))</x:f>
        <x:v>T-119</x:v>
      </x:c>
      <x:c r="H98" s="206" t="str">
        <x:f>IF(INDEX(Backlog!$N$2:$N$180,MATCH($A98,Backlog!$A$2:$A$180,0))="","",INDEX(Backlog!$N$2:$N$180,MATCH($A98,Backlog!$A$2:$A$180,0)))</x:f>
        <x:v>T-127</x:v>
      </x:c>
      <x:c r="I98" s="206" t="str">
        <x:f>IF(INDEX(Backlog!$T$2:$T$180,MATCH($A98,Backlog!$A$2:$A$180,0))="","",INDEX(Backlog!$T$2:$T$180,MATCH($A98,Backlog!$A$2:$A$180,0)))</x:f>
        <x:v>WAIT for Presentation RC freeze/tag + clean index/worktree. Then: T-119 role catalogue/enforcement + licence authority.</x:v>
      </x:c>
      <x:c r="J98" s="194" t="str">
        <x:f>IF(INDEX(Backlog!$AN$2:$AN$180,MATCH($A98,Backlog!$A$2:$A$180,0))="","",INDEX(Backlog!$AN$2:$AN$180,MATCH($A98,Backlog!$A$2:$A$180,0)))</x:f>
      </x:c>
      <x:c r="K98"/>
      <x:c r="L98"/>
    </x:row>
    <x:row r="99" ht="26" customHeight="1">
      <x:c r="A99" s="206" t="str">
        <x:v>T-123</x:v>
      </x:c>
      <x:c r="B99" s="206" t="str">
        <x:f>IF(INDEX(Backlog!$B$2:$B$180,MATCH($A99,Backlog!$A$2:$A$180,0))="","",INDEX(Backlog!$B$2:$B$180,MATCH($A99,Backlog!$A$2:$A$180,0)))</x:f>
        <x:v>M2</x:v>
      </x:c>
      <x:c r="C99" s="206" t="str">
        <x:f>IF(INDEX(Backlog!$C$2:$C$180,MATCH($A99,Backlog!$A$2:$A$180,0))="","",INDEX(Backlog!$C$2:$C$180,MATCH($A99,Backlog!$A$2:$A$180,0)))</x:f>
        <x:v>P5</x:v>
      </x:c>
      <x:c r="D99" s="206" t="str">
        <x:f>IF(INDEX(Backlog!$L$2:$L$180,MATCH($A99,Backlog!$A$2:$A$180,0))="","",INDEX(Backlog!$L$2:$L$180,MATCH($A99,Backlog!$A$2:$A$180,0)))</x:f>
        <x:v>Worker 1</x:v>
      </x:c>
      <x:c r="E99" s="206" t="str">
        <x:f>IF(INDEX(Backlog!$K$2:$K$180,MATCH($A99,Backlog!$A$2:$A$180,0))="","",INDEX(Backlog!$K$2:$K$180,MATCH($A99,Backlog!$A$2:$A$180,0)))</x:f>
        <x:v>Not Started</x:v>
      </x:c>
      <x:c r="F99" s="206" t="n">
        <x:f>IF(ISNUMBER(INDEX(Backlog!$R$2:$R$180,MATCH($A99,Backlog!$A$2:$A$180,0))),INDEX(Backlog!$R$2:$R$180,MATCH($A99,Backlog!$A$2:$A$180,0)),"")</x:f>
        <x:v>3.2</x:v>
      </x:c>
      <x:c r="G99" s="206" t="str">
        <x:f>IF(INDEX(Backlog!$M$2:$M$180,MATCH($A99,Backlog!$A$2:$A$180,0))="","",INDEX(Backlog!$M$2:$M$180,MATCH($A99,Backlog!$A$2:$A$180,0)))</x:f>
      </x:c>
      <x:c r="H99" s="206" t="str">
        <x:f>IF(INDEX(Backlog!$N$2:$N$180,MATCH($A99,Backlog!$A$2:$A$180,0))="","",INDEX(Backlog!$N$2:$N$180,MATCH($A99,Backlog!$A$2:$A$180,0)))</x:f>
        <x:v>T-122; T-150</x:v>
      </x:c>
      <x:c r="I99" s="206" t="str">
        <x:f>IF(INDEX(Backlog!$T$2:$T$180,MATCH($A99,Backlog!$A$2:$A$180,0))="","",INDEX(Backlog!$T$2:$T$180,MATCH($A99,Backlog!$A$2:$A$180,0)))</x:f>
        <x:v>WAIT for Presentation RC freeze/tag + clean index/worktree. Then: Release 1 dependency order</x:v>
      </x:c>
      <x:c r="J99" s="194" t="str">
        <x:f>IF(INDEX(Backlog!$AN$2:$AN$180,MATCH($A99,Backlog!$A$2:$A$180,0))="","",INDEX(Backlog!$AN$2:$AN$180,MATCH($A99,Backlog!$A$2:$A$180,0)))</x:f>
      </x:c>
      <x:c r="K99"/>
      <x:c r="L99"/>
    </x:row>
    <x:row r="100" ht="26" customHeight="1">
      <x:c r="A100" s="206" t="str">
        <x:v>T-124</x:v>
      </x:c>
      <x:c r="B100" s="206" t="str">
        <x:f>IF(INDEX(Backlog!$B$2:$B$180,MATCH($A100,Backlog!$A$2:$A$180,0))="","",INDEX(Backlog!$B$2:$B$180,MATCH($A100,Backlog!$A$2:$A$180,0)))</x:f>
        <x:v>M2</x:v>
      </x:c>
      <x:c r="C100" s="206" t="str">
        <x:f>IF(INDEX(Backlog!$C$2:$C$180,MATCH($A100,Backlog!$A$2:$A$180,0))="","",INDEX(Backlog!$C$2:$C$180,MATCH($A100,Backlog!$A$2:$A$180,0)))</x:f>
        <x:v>P5</x:v>
      </x:c>
      <x:c r="D100" s="206" t="str">
        <x:f>IF(INDEX(Backlog!$L$2:$L$180,MATCH($A100,Backlog!$A$2:$A$180,0))="","",INDEX(Backlog!$L$2:$L$180,MATCH($A100,Backlog!$A$2:$A$180,0)))</x:f>
        <x:v>Worker 1</x:v>
      </x:c>
      <x:c r="E100" s="206" t="str">
        <x:f>IF(INDEX(Backlog!$K$2:$K$180,MATCH($A100,Backlog!$A$2:$A$180,0))="","",INDEX(Backlog!$K$2:$K$180,MATCH($A100,Backlog!$A$2:$A$180,0)))</x:f>
        <x:v>Not Started</x:v>
      </x:c>
      <x:c r="F100" s="206" t="n">
        <x:f>IF(ISNUMBER(INDEX(Backlog!$R$2:$R$180,MATCH($A100,Backlog!$A$2:$A$180,0))),INDEX(Backlog!$R$2:$R$180,MATCH($A100,Backlog!$A$2:$A$180,0)),"")</x:f>
        <x:v>3.2</x:v>
      </x:c>
      <x:c r="G100" s="206" t="str">
        <x:f>IF(INDEX(Backlog!$M$2:$M$180,MATCH($A100,Backlog!$A$2:$A$180,0))="","",INDEX(Backlog!$M$2:$M$180,MATCH($A100,Backlog!$A$2:$A$180,0)))</x:f>
      </x:c>
      <x:c r="H100" s="206" t="str">
        <x:f>IF(INDEX(Backlog!$N$2:$N$180,MATCH($A100,Backlog!$A$2:$A$180,0))="","",INDEX(Backlog!$N$2:$N$180,MATCH($A100,Backlog!$A$2:$A$180,0)))</x:f>
        <x:v>T-150; T-199</x:v>
      </x:c>
      <x:c r="I100" s="206" t="str">
        <x:f>IF(INDEX(Backlog!$T$2:$T$180,MATCH($A100,Backlog!$A$2:$A$180,0))="","",INDEX(Backlog!$T$2:$T$180,MATCH($A100,Backlog!$A$2:$A$180,0)))</x:f>
        <x:v>WAIT for Presentation RC freeze/tag + clean index/worktree. Then: Release 1 dependency order</x:v>
      </x:c>
      <x:c r="J100" s="194" t="str">
        <x:f>IF(INDEX(Backlog!$AN$2:$AN$180,MATCH($A100,Backlog!$A$2:$A$180,0))="","",INDEX(Backlog!$AN$2:$AN$180,MATCH($A100,Backlog!$A$2:$A$180,0)))</x:f>
      </x:c>
      <x:c r="K100"/>
      <x:c r="L100"/>
    </x:row>
    <x:row r="101" ht="26" customHeight="1">
      <x:c r="A101" s="206" t="str">
        <x:v>T-125</x:v>
      </x:c>
      <x:c r="B101" s="206" t="str">
        <x:f>IF(INDEX(Backlog!$B$2:$B$180,MATCH($A101,Backlog!$A$2:$A$180,0))="","",INDEX(Backlog!$B$2:$B$180,MATCH($A101,Backlog!$A$2:$A$180,0)))</x:f>
        <x:v>M2</x:v>
      </x:c>
      <x:c r="C101" s="206" t="str">
        <x:f>IF(INDEX(Backlog!$C$2:$C$180,MATCH($A101,Backlog!$A$2:$A$180,0))="","",INDEX(Backlog!$C$2:$C$180,MATCH($A101,Backlog!$A$2:$A$180,0)))</x:f>
        <x:v>P5</x:v>
      </x:c>
      <x:c r="D101" s="206" t="str">
        <x:f>IF(INDEX(Backlog!$L$2:$L$180,MATCH($A101,Backlog!$A$2:$A$180,0))="","",INDEX(Backlog!$L$2:$L$180,MATCH($A101,Backlog!$A$2:$A$180,0)))</x:f>
        <x:v>Worker 1</x:v>
      </x:c>
      <x:c r="E101" s="206" t="str">
        <x:f>IF(INDEX(Backlog!$K$2:$K$180,MATCH($A101,Backlog!$A$2:$A$180,0))="","",INDEX(Backlog!$K$2:$K$180,MATCH($A101,Backlog!$A$2:$A$180,0)))</x:f>
        <x:v>Not Started</x:v>
      </x:c>
      <x:c r="F101" s="206" t="n">
        <x:f>IF(ISNUMBER(INDEX(Backlog!$R$2:$R$180,MATCH($A101,Backlog!$A$2:$A$180,0))),INDEX(Backlog!$R$2:$R$180,MATCH($A101,Backlog!$A$2:$A$180,0)),"")</x:f>
        <x:v>3.2</x:v>
      </x:c>
      <x:c r="G101" s="206" t="str">
        <x:f>IF(INDEX(Backlog!$M$2:$M$180,MATCH($A101,Backlog!$A$2:$A$180,0))="","",INDEX(Backlog!$M$2:$M$180,MATCH($A101,Backlog!$A$2:$A$180,0)))</x:f>
        <x:v>T-106; T-107</x:v>
      </x:c>
      <x:c r="H101" s="206" t="str">
        <x:f>IF(INDEX(Backlog!$N$2:$N$180,MATCH($A101,Backlog!$A$2:$A$180,0))="","",INDEX(Backlog!$N$2:$N$180,MATCH($A101,Backlog!$A$2:$A$180,0)))</x:f>
        <x:v>T-150; T-247</x:v>
      </x:c>
      <x:c r="I101" s="206" t="str">
        <x:f>IF(INDEX(Backlog!$T$2:$T$180,MATCH($A101,Backlog!$A$2:$A$180,0))="","",INDEX(Backlog!$T$2:$T$180,MATCH($A101,Backlog!$A$2:$A$180,0)))</x:f>
        <x:v>WAIT for Presentation RC freeze/tag + clean index/worktree. Then: Release 1 dependency order</x:v>
      </x:c>
      <x:c r="J101" s="194" t="str">
        <x:f>IF(INDEX(Backlog!$AN$2:$AN$180,MATCH($A101,Backlog!$A$2:$A$180,0))="","",INDEX(Backlog!$AN$2:$AN$180,MATCH($A101,Backlog!$A$2:$A$180,0)))</x:f>
      </x:c>
      <x:c r="K101"/>
      <x:c r="L101"/>
    </x:row>
    <x:row r="102" ht="26" customHeight="1">
      <x:c r="A102" s="206" t="str">
        <x:v>T-126</x:v>
      </x:c>
      <x:c r="B102" s="206" t="str">
        <x:f>IF(INDEX(Backlog!$B$2:$B$180,MATCH($A102,Backlog!$A$2:$A$180,0))="","",INDEX(Backlog!$B$2:$B$180,MATCH($A102,Backlog!$A$2:$A$180,0)))</x:f>
        <x:v>M2</x:v>
      </x:c>
      <x:c r="C102" s="206" t="str">
        <x:f>IF(INDEX(Backlog!$C$2:$C$180,MATCH($A102,Backlog!$A$2:$A$180,0))="","",INDEX(Backlog!$C$2:$C$180,MATCH($A102,Backlog!$A$2:$A$180,0)))</x:f>
        <x:v>P5</x:v>
      </x:c>
      <x:c r="D102" s="206" t="str">
        <x:f>IF(INDEX(Backlog!$L$2:$L$180,MATCH($A102,Backlog!$A$2:$A$180,0))="","",INDEX(Backlog!$L$2:$L$180,MATCH($A102,Backlog!$A$2:$A$180,0)))</x:f>
        <x:v>Worker 1</x:v>
      </x:c>
      <x:c r="E102" s="206" t="str">
        <x:f>IF(INDEX(Backlog!$K$2:$K$180,MATCH($A102,Backlog!$A$2:$A$180,0))="","",INDEX(Backlog!$K$2:$K$180,MATCH($A102,Backlog!$A$2:$A$180,0)))</x:f>
        <x:v>Not Started</x:v>
      </x:c>
      <x:c r="F102" s="206" t="n">
        <x:f>IF(ISNUMBER(INDEX(Backlog!$R$2:$R$180,MATCH($A102,Backlog!$A$2:$A$180,0))),INDEX(Backlog!$R$2:$R$180,MATCH($A102,Backlog!$A$2:$A$180,0)),"")</x:f>
        <x:v>0.9</x:v>
      </x:c>
      <x:c r="G102" s="206" t="str">
        <x:f>IF(INDEX(Backlog!$M$2:$M$180,MATCH($A102,Backlog!$A$2:$A$180,0))="","",INDEX(Backlog!$M$2:$M$180,MATCH($A102,Backlog!$A$2:$A$180,0)))</x:f>
      </x:c>
      <x:c r="H102" s="206" t="str">
        <x:f>IF(INDEX(Backlog!$N$2:$N$180,MATCH($A102,Backlog!$A$2:$A$180,0))="","",INDEX(Backlog!$N$2:$N$180,MATCH($A102,Backlog!$A$2:$A$180,0)))</x:f>
        <x:v>T-150</x:v>
      </x:c>
      <x:c r="I102" s="206" t="str">
        <x:f>IF(INDEX(Backlog!$T$2:$T$180,MATCH($A102,Backlog!$A$2:$A$180,0))="","",INDEX(Backlog!$T$2:$T$180,MATCH($A102,Backlog!$A$2:$A$180,0)))</x:f>
        <x:v>WAIT for Presentation RC freeze/tag + clean index/worktree. Then: Release 1 dependency order</x:v>
      </x:c>
      <x:c r="J102" s="194" t="str">
        <x:f>IF(INDEX(Backlog!$AN$2:$AN$180,MATCH($A102,Backlog!$A$2:$A$180,0))="","",INDEX(Backlog!$AN$2:$AN$180,MATCH($A102,Backlog!$A$2:$A$180,0)))</x:f>
      </x:c>
      <x:c r="K102"/>
      <x:c r="L102"/>
    </x:row>
    <x:row r="103" ht="26" customHeight="1">
      <x:c r="A103" s="206" t="str">
        <x:v>T-150</x:v>
      </x:c>
      <x:c r="B103" s="206" t="str">
        <x:f>IF(INDEX(Backlog!$B$2:$B$180,MATCH($A103,Backlog!$A$2:$A$180,0))="","",INDEX(Backlog!$B$2:$B$180,MATCH($A103,Backlog!$A$2:$A$180,0)))</x:f>
        <x:v>M2</x:v>
      </x:c>
      <x:c r="C103" s="206" t="str">
        <x:f>IF(INDEX(Backlog!$C$2:$C$180,MATCH($A103,Backlog!$A$2:$A$180,0))="","",INDEX(Backlog!$C$2:$C$180,MATCH($A103,Backlog!$A$2:$A$180,0)))</x:f>
        <x:v>P5</x:v>
      </x:c>
      <x:c r="D103" s="206" t="str">
        <x:f>IF(INDEX(Backlog!$L$2:$L$180,MATCH($A103,Backlog!$A$2:$A$180,0))="","",INDEX(Backlog!$L$2:$L$180,MATCH($A103,Backlog!$A$2:$A$180,0)))</x:f>
        <x:v>Worker 1</x:v>
      </x:c>
      <x:c r="E103" s="206" t="str">
        <x:f>IF(INDEX(Backlog!$K$2:$K$180,MATCH($A103,Backlog!$A$2:$A$180,0))="","",INDEX(Backlog!$K$2:$K$180,MATCH($A103,Backlog!$A$2:$A$180,0)))</x:f>
        <x:v>Not Started</x:v>
      </x:c>
      <x:c r="F103" s="206" t="n">
        <x:f>IF(ISNUMBER(INDEX(Backlog!$R$2:$R$180,MATCH($A103,Backlog!$A$2:$A$180,0))),INDEX(Backlog!$R$2:$R$180,MATCH($A103,Backlog!$A$2:$A$180,0)),"")</x:f>
        <x:v>4.08</x:v>
      </x:c>
      <x:c r="G103" s="206" t="str">
        <x:f>IF(INDEX(Backlog!$M$2:$M$180,MATCH($A103,Backlog!$A$2:$A$180,0))="","",INDEX(Backlog!$M$2:$M$180,MATCH($A103,Backlog!$A$2:$A$180,0)))</x:f>
        <x:v>T-115; T-123; T-124; T-125; T-126; T-205; T-207; T-212; T-215; T-222; T-223; T-226; T-227; T-247; T-250; T-251; T-252; T-253; T-254; T-255; T-256; T-257; T-258; T-259</x:v>
      </x:c>
      <x:c r="H103" s="206" t="str">
        <x:f>IF(INDEX(Backlog!$N$2:$N$180,MATCH($A103,Backlog!$A$2:$A$180,0))="","",INDEX(Backlog!$N$2:$N$180,MATCH($A103,Backlog!$A$2:$A$180,0)))</x:f>
      </x:c>
      <x:c r="I103" s="206" t="str">
        <x:f>IF(INDEX(Backlog!$T$2:$T$180,MATCH($A103,Backlog!$A$2:$A$180,0))="","",INDEX(Backlog!$T$2:$T$180,MATCH($A103,Backlog!$A$2:$A$180,0)))</x:f>
        <x:v>T-192 + T-148 exact route/shell inventory + T-194 API-alias retirement + all ...</x:v>
      </x:c>
      <x:c r="J103" s="194" t="str">
        <x:f>IF(INDEX(Backlog!$AN$2:$AN$180,MATCH($A103,Backlog!$A$2:$A$180,0))="","",INDEX(Backlog!$AN$2:$AN$180,MATCH($A103,Backlog!$A$2:$A$180,0)))</x:f>
      </x:c>
      <x:c r="K103"/>
      <x:c r="L103"/>
    </x:row>
    <x:row r="104" ht="26" customHeight="1">
      <x:c r="A104" s="206" t="str">
        <x:v>T-227</x:v>
      </x:c>
      <x:c r="B104" s="206" t="str">
        <x:f>IF(INDEX(Backlog!$B$2:$B$180,MATCH($A104,Backlog!$A$2:$A$180,0))="","",INDEX(Backlog!$B$2:$B$180,MATCH($A104,Backlog!$A$2:$A$180,0)))</x:f>
        <x:v>M2</x:v>
      </x:c>
      <x:c r="C104" s="206" t="str">
        <x:f>IF(INDEX(Backlog!$C$2:$C$180,MATCH($A104,Backlog!$A$2:$A$180,0))="","",INDEX(Backlog!$C$2:$C$180,MATCH($A104,Backlog!$A$2:$A$180,0)))</x:f>
        <x:v>P5</x:v>
      </x:c>
      <x:c r="D104" s="206" t="str">
        <x:f>IF(INDEX(Backlog!$L$2:$L$180,MATCH($A104,Backlog!$A$2:$A$180,0))="","",INDEX(Backlog!$L$2:$L$180,MATCH($A104,Backlog!$A$2:$A$180,0)))</x:f>
        <x:v>Worker 1</x:v>
      </x:c>
      <x:c r="E104" s="206" t="str">
        <x:f>IF(INDEX(Backlog!$K$2:$K$180,MATCH($A104,Backlog!$A$2:$A$180,0))="","",INDEX(Backlog!$K$2:$K$180,MATCH($A104,Backlog!$A$2:$A$180,0)))</x:f>
        <x:v>Not Started</x:v>
      </x:c>
      <x:c r="F104" s="206" t="n">
        <x:f>IF(ISNUMBER(INDEX(Backlog!$R$2:$R$180,MATCH($A104,Backlog!$A$2:$A$180,0))),INDEX(Backlog!$R$2:$R$180,MATCH($A104,Backlog!$A$2:$A$180,0)),"")</x:f>
        <x:v>2.25</x:v>
      </x:c>
      <x:c r="G104" s="206" t="str">
        <x:f>IF(INDEX(Backlog!$M$2:$M$180,MATCH($A104,Backlog!$A$2:$A$180,0))="","",INDEX(Backlog!$M$2:$M$180,MATCH($A104,Backlog!$A$2:$A$180,0)))</x:f>
        <x:v>T-213; T-259</x:v>
      </x:c>
      <x:c r="H104" s="206" t="str">
        <x:f>IF(INDEX(Backlog!$N$2:$N$180,MATCH($A104,Backlog!$A$2:$A$180,0))="","",INDEX(Backlog!$N$2:$N$180,MATCH($A104,Backlog!$A$2:$A$180,0)))</x:f>
        <x:v>T-150</x:v>
      </x:c>
      <x:c r="I104" s="206" t="str">
        <x:f>IF(INDEX(Backlog!$T$2:$T$180,MATCH($A104,Backlog!$A$2:$A$180,0))="","",INDEX(Backlog!$T$2:$T$180,MATCH($A104,Backlog!$A$2:$A$180,0)))</x:f>
        <x:v>Prepare before installation; can start after customer data assessment T-213.</x:v>
      </x:c>
      <x:c r="J104" s="194" t="str">
        <x:f>IF(INDEX(Backlog!$AN$2:$AN$180,MATCH($A104,Backlog!$A$2:$A$180,0))="","",INDEX(Backlog!$AN$2:$AN$180,MATCH($A104,Backlog!$A$2:$A$180,0)))</x:f>
      </x:c>
      <x:c r="K104"/>
      <x:c r="L104"/>
    </x:row>
    <x:row r="105" ht="26" customHeight="1">
      <x:c r="A105" s="206" t="str">
        <x:v>T-255</x:v>
      </x:c>
      <x:c r="B105" s="206" t="str">
        <x:f>IF(INDEX(Backlog!$B$2:$B$180,MATCH($A105,Backlog!$A$2:$A$180,0))="","",INDEX(Backlog!$B$2:$B$180,MATCH($A105,Backlog!$A$2:$A$180,0)))</x:f>
        <x:v>M2</x:v>
      </x:c>
      <x:c r="C105" s="206" t="str">
        <x:f>IF(INDEX(Backlog!$C$2:$C$180,MATCH($A105,Backlog!$A$2:$A$180,0))="","",INDEX(Backlog!$C$2:$C$180,MATCH($A105,Backlog!$A$2:$A$180,0)))</x:f>
        <x:v>P5</x:v>
      </x:c>
      <x:c r="D105" s="206" t="str">
        <x:f>IF(INDEX(Backlog!$L$2:$L$180,MATCH($A105,Backlog!$A$2:$A$180,0))="","",INDEX(Backlog!$L$2:$L$180,MATCH($A105,Backlog!$A$2:$A$180,0)))</x:f>
        <x:v>Worker 3</x:v>
      </x:c>
      <x:c r="E105" s="206" t="str">
        <x:f>IF(INDEX(Backlog!$K$2:$K$180,MATCH($A105,Backlog!$A$2:$A$180,0))="","",INDEX(Backlog!$K$2:$K$180,MATCH($A105,Backlog!$A$2:$A$180,0)))</x:f>
        <x:v>Not Started</x:v>
      </x:c>
      <x:c r="F105" s="206" t="n">
        <x:f>IF(ISNUMBER(INDEX(Backlog!$R$2:$R$180,MATCH($A105,Backlog!$A$2:$A$180,0))),INDEX(Backlog!$R$2:$R$180,MATCH($A105,Backlog!$A$2:$A$180,0)),"")</x:f>
        <x:v>1.2</x:v>
      </x:c>
      <x:c r="G105" s="206" t="str">
        <x:f>IF(INDEX(Backlog!$M$2:$M$180,MATCH($A105,Backlog!$A$2:$A$180,0))="","",INDEX(Backlog!$M$2:$M$180,MATCH($A105,Backlog!$A$2:$A$180,0)))</x:f>
        <x:v>T-205; T-250</x:v>
      </x:c>
      <x:c r="H105" s="206" t="str">
        <x:f>IF(INDEX(Backlog!$N$2:$N$180,MATCH($A105,Backlog!$A$2:$A$180,0))="","",INDEX(Backlog!$N$2:$N$180,MATCH($A105,Backlog!$A$2:$A$180,0)))</x:f>
        <x:v>T-150</x:v>
      </x:c>
      <x:c r="I105" s="206" t="str">
        <x:f>IF(INDEX(Backlog!$T$2:$T$180,MATCH($A105,Backlog!$A$2:$A$180,0))="","",INDEX(Backlog!$T$2:$T$180,MATCH($A105,Backlog!$A$2:$A$180,0)))</x:f>
        <x:v>Run after T-106 or on a disjoint tooling-only lane; no runtime feature mutation.</x:v>
      </x:c>
      <x:c r="J105" s="194" t="str">
        <x:f>IF(INDEX(Backlog!$AN$2:$AN$180,MATCH($A105,Backlog!$A$2:$A$180,0))="","",INDEX(Backlog!$AN$2:$AN$180,MATCH($A105,Backlog!$A$2:$A$180,0)))</x:f>
      </x:c>
      <x:c r="K105"/>
      <x:c r="L105"/>
    </x:row>
    <x:row r="106" ht="26" customHeight="1">
      <x:c r="A106" s="206" t="str">
        <x:v>T-257</x:v>
      </x:c>
      <x:c r="B106" s="206" t="str">
        <x:f>IF(INDEX(Backlog!$B$2:$B$180,MATCH($A106,Backlog!$A$2:$A$180,0))="","",INDEX(Backlog!$B$2:$B$180,MATCH($A106,Backlog!$A$2:$A$180,0)))</x:f>
        <x:v>M2</x:v>
      </x:c>
      <x:c r="C106" s="206" t="str">
        <x:f>IF(INDEX(Backlog!$C$2:$C$180,MATCH($A106,Backlog!$A$2:$A$180,0))="","",INDEX(Backlog!$C$2:$C$180,MATCH($A106,Backlog!$A$2:$A$180,0)))</x:f>
        <x:v>P5</x:v>
      </x:c>
      <x:c r="D106" s="206" t="str">
        <x:f>IF(INDEX(Backlog!$L$2:$L$180,MATCH($A106,Backlog!$A$2:$A$180,0))="","",INDEX(Backlog!$L$2:$L$180,MATCH($A106,Backlog!$A$2:$A$180,0)))</x:f>
        <x:v>Worker 2</x:v>
      </x:c>
      <x:c r="E106" s="206" t="str">
        <x:f>IF(INDEX(Backlog!$K$2:$K$180,MATCH($A106,Backlog!$A$2:$A$180,0))="","",INDEX(Backlog!$K$2:$K$180,MATCH($A106,Backlog!$A$2:$A$180,0)))</x:f>
        <x:v>Not Started</x:v>
      </x:c>
      <x:c r="F106" s="206" t="n">
        <x:f>IF(ISNUMBER(INDEX(Backlog!$R$2:$R$180,MATCH($A106,Backlog!$A$2:$A$180,0))),INDEX(Backlog!$R$2:$R$180,MATCH($A106,Backlog!$A$2:$A$180,0)),"")</x:f>
        <x:v>2.55</x:v>
      </x:c>
      <x:c r="G106" s="206" t="str">
        <x:f>IF(INDEX(Backlog!$M$2:$M$180,MATCH($A106,Backlog!$A$2:$A$180,0))="","",INDEX(Backlog!$M$2:$M$180,MATCH($A106,Backlog!$A$2:$A$180,0)))</x:f>
        <x:v>T-205; T-250; T-259</x:v>
      </x:c>
      <x:c r="H106" s="206" t="str">
        <x:f>IF(INDEX(Backlog!$N$2:$N$180,MATCH($A106,Backlog!$A$2:$A$180,0))="","",INDEX(Backlog!$N$2:$N$180,MATCH($A106,Backlog!$A$2:$A$180,0)))</x:f>
        <x:v>T-150; T-248</x:v>
      </x:c>
      <x:c r="I106" s="206" t="str">
        <x:f>IF(INDEX(Backlog!$T$2:$T$180,MATCH($A106,Backlog!$A$2:$A$180,0))="","",INDEX(Backlog!$T$2:$T$180,MATCH($A106,Backlog!$A$2:$A$180,0)))</x:f>
        <x:v>Run on frontend test/config/report files only after current authoring lane reaches a clean handoff; no product feature scope.</x:v>
      </x:c>
      <x:c r="J106" s="194" t="str">
        <x:f>IF(INDEX(Backlog!$AN$2:$AN$180,MATCH($A106,Backlog!$A$2:$A$180,0))="","",INDEX(Backlog!$AN$2:$AN$180,MATCH($A106,Backlog!$A$2:$A$180,0)))</x:f>
      </x:c>
      <x:c r="K106"/>
      <x:c r="L106"/>
    </x:row>
    <x:row r="107" ht="26" customHeight="1">
      <x:c r="A107" s="206" t="str">
        <x:v>T-110</x:v>
      </x:c>
      <x:c r="B107" s="206" t="str">
        <x:f>IF(INDEX(Backlog!$B$2:$B$180,MATCH($A107,Backlog!$A$2:$A$180,0))="","",INDEX(Backlog!$B$2:$B$180,MATCH($A107,Backlog!$A$2:$A$180,0)))</x:f>
        <x:v>M3</x:v>
      </x:c>
      <x:c r="C107" s="206" t="str">
        <x:f>IF(INDEX(Backlog!$C$2:$C$180,MATCH($A107,Backlog!$A$2:$A$180,0))="","",INDEX(Backlog!$C$2:$C$180,MATCH($A107,Backlog!$A$2:$A$180,0)))</x:f>
        <x:v>P1</x:v>
      </x:c>
      <x:c r="D107" s="206" t="str">
        <x:f>IF(INDEX(Backlog!$L$2:$L$180,MATCH($A107,Backlog!$A$2:$A$180,0))="","",INDEX(Backlog!$L$2:$L$180,MATCH($A107,Backlog!$A$2:$A$180,0)))</x:f>
        <x:v>Worker 1</x:v>
      </x:c>
      <x:c r="E107" s="206" t="str">
        <x:f>IF(INDEX(Backlog!$K$2:$K$180,MATCH($A107,Backlog!$A$2:$A$180,0))="","",INDEX(Backlog!$K$2:$K$180,MATCH($A107,Backlog!$A$2:$A$180,0)))</x:f>
        <x:v>Not Started</x:v>
      </x:c>
      <x:c r="F107" s="206" t="n">
        <x:f>IF(ISNUMBER(INDEX(Backlog!$R$2:$R$180,MATCH($A107,Backlog!$A$2:$A$180,0))),INDEX(Backlog!$R$2:$R$180,MATCH($A107,Backlog!$A$2:$A$180,0)),"")</x:f>
        <x:v>1.7999999999999998</x:v>
      </x:c>
      <x:c r="G107" s="206" t="str">
        <x:f>IF(INDEX(Backlog!$M$2:$M$180,MATCH($A107,Backlog!$A$2:$A$180,0))="","",INDEX(Backlog!$M$2:$M$180,MATCH($A107,Backlog!$A$2:$A$180,0)))</x:f>
        <x:v>T-108; T-109</x:v>
      </x:c>
      <x:c r="H107" s="206" t="str">
        <x:f>IF(INDEX(Backlog!$N$2:$N$180,MATCH($A107,Backlog!$A$2:$A$180,0))="","",INDEX(Backlog!$N$2:$N$180,MATCH($A107,Backlog!$A$2:$A$180,0)))</x:f>
        <x:v>T-249</x:v>
      </x:c>
      <x:c r="I107" s="206" t="str">
        <x:f>IF(INDEX(Backlog!$T$2:$T$180,MATCH($A107,Backlog!$A$2:$A$180,0))="","",INDEX(Backlog!$T$2:$T$180,MATCH($A107,Backlog!$A$2:$A$180,0)))</x:f>
        <x:v>Consume accepted producer contracts; remaining dependencies: T-108; T-109. No private scheduler/definition authority. Source-present is not closure proof.</x:v>
      </x:c>
      <x:c r="J107" s="194" t="str">
        <x:f>IF(INDEX(Backlog!$AN$2:$AN$180,MATCH($A107,Backlog!$A$2:$A$180,0))="","",INDEX(Backlog!$AN$2:$AN$180,MATCH($A107,Backlog!$A$2:$A$180,0)))</x:f>
      </x:c>
      <x:c r="K107"/>
      <x:c r="L107"/>
    </x:row>
    <x:row r="108" ht="26" customHeight="1">
      <x:c r="A108" s="206" t="str">
        <x:v>T-122</x:v>
      </x:c>
      <x:c r="B108" s="206" t="str">
        <x:f>IF(INDEX(Backlog!$B$2:$B$180,MATCH($A108,Backlog!$A$2:$A$180,0))="","",INDEX(Backlog!$B$2:$B$180,MATCH($A108,Backlog!$A$2:$A$180,0)))</x:f>
        <x:v>M3</x:v>
      </x:c>
      <x:c r="C108" s="206" t="str">
        <x:f>IF(INDEX(Backlog!$C$2:$C$180,MATCH($A108,Backlog!$A$2:$A$180,0))="","",INDEX(Backlog!$C$2:$C$180,MATCH($A108,Backlog!$A$2:$A$180,0)))</x:f>
        <x:v>P1</x:v>
      </x:c>
      <x:c r="D108" s="206" t="str">
        <x:f>IF(INDEX(Backlog!$L$2:$L$180,MATCH($A108,Backlog!$A$2:$A$180,0))="","",INDEX(Backlog!$L$2:$L$180,MATCH($A108,Backlog!$A$2:$A$180,0)))</x:f>
        <x:v>Worker 1</x:v>
      </x:c>
      <x:c r="E108" s="206" t="str">
        <x:f>IF(INDEX(Backlog!$K$2:$K$180,MATCH($A108,Backlog!$A$2:$A$180,0))="","",INDEX(Backlog!$K$2:$K$180,MATCH($A108,Backlog!$A$2:$A$180,0)))</x:f>
        <x:v>Not Started</x:v>
      </x:c>
      <x:c r="F108" s="206" t="n">
        <x:f>IF(ISNUMBER(INDEX(Backlog!$R$2:$R$180,MATCH($A108,Backlog!$A$2:$A$180,0))),INDEX(Backlog!$R$2:$R$180,MATCH($A108,Backlog!$A$2:$A$180,0)),"")</x:f>
        <x:v>3.2</x:v>
      </x:c>
      <x:c r="G108" s="206" t="str">
        <x:f>IF(INDEX(Backlog!$M$2:$M$180,MATCH($A108,Backlog!$A$2:$A$180,0))="","",INDEX(Backlog!$M$2:$M$180,MATCH($A108,Backlog!$A$2:$A$180,0)))</x:f>
        <x:v>T-106; T-107; T-112; T-113; T-114; T-117; T-137; T-168; T-123</x:v>
      </x:c>
      <x:c r="H108" s="206" t="str">
        <x:f>IF(INDEX(Backlog!$N$2:$N$180,MATCH($A108,Backlog!$A$2:$A$180,0))="","",INDEX(Backlog!$N$2:$N$180,MATCH($A108,Backlog!$A$2:$A$180,0)))</x:f>
        <x:v>T-141; T-185; T-192</x:v>
      </x:c>
      <x:c r="I108" s="206" t="str">
        <x:f>IF(INDEX(Backlog!$T$2:$T$180,MATCH($A108,Backlog!$A$2:$A$180,0))="","",INDEX(Backlog!$T$2:$T$180,MATCH($A108,Backlog!$A$2:$A$180,0)))</x:f>
        <x:v>WAIT for Presentation RC freeze/tag + clean index/worktree. Then: T-106 + T-107 + T-112 + T-113 + T-114 + T-117; T-137/T-168 runtime contracts ...</x:v>
      </x:c>
      <x:c r="J108" s="194" t="str">
        <x:f>IF(INDEX(Backlog!$AN$2:$AN$180,MATCH($A108,Backlog!$A$2:$A$180,0))="","",INDEX(Backlog!$AN$2:$AN$180,MATCH($A108,Backlog!$A$2:$A$180,0)))</x:f>
      </x:c>
      <x:c r="K108"/>
      <x:c r="L108"/>
    </x:row>
    <x:row r="109" ht="26" customHeight="1">
      <x:c r="A109" s="206" t="str">
        <x:v>T-151</x:v>
      </x:c>
      <x:c r="B109" s="206" t="str">
        <x:f>IF(INDEX(Backlog!$B$2:$B$180,MATCH($A109,Backlog!$A$2:$A$180,0))="","",INDEX(Backlog!$B$2:$B$180,MATCH($A109,Backlog!$A$2:$A$180,0)))</x:f>
        <x:v>M3</x:v>
      </x:c>
      <x:c r="C109" s="206" t="str">
        <x:f>IF(INDEX(Backlog!$C$2:$C$180,MATCH($A109,Backlog!$A$2:$A$180,0))="","",INDEX(Backlog!$C$2:$C$180,MATCH($A109,Backlog!$A$2:$A$180,0)))</x:f>
        <x:v>P1</x:v>
      </x:c>
      <x:c r="D109" s="206" t="str">
        <x:f>IF(INDEX(Backlog!$L$2:$L$180,MATCH($A109,Backlog!$A$2:$A$180,0))="","",INDEX(Backlog!$L$2:$L$180,MATCH($A109,Backlog!$A$2:$A$180,0)))</x:f>
        <x:v>Worker 1</x:v>
      </x:c>
      <x:c r="E109" s="206" t="str">
        <x:f>IF(INDEX(Backlog!$K$2:$K$180,MATCH($A109,Backlog!$A$2:$A$180,0))="","",INDEX(Backlog!$K$2:$K$180,MATCH($A109,Backlog!$A$2:$A$180,0)))</x:f>
        <x:v>Not Started</x:v>
      </x:c>
      <x:c r="F109" s="206" t="n">
        <x:f>IF(ISNUMBER(INDEX(Backlog!$R$2:$R$180,MATCH($A109,Backlog!$A$2:$A$180,0))),INDEX(Backlog!$R$2:$R$180,MATCH($A109,Backlog!$A$2:$A$180,0)),"")</x:f>
        <x:v>7.2</x:v>
      </x:c>
      <x:c r="G109" s="206" t="str">
        <x:f>IF(INDEX(Backlog!$M$2:$M$180,MATCH($A109,Backlog!$A$2:$A$180,0))="","",INDEX(Backlog!$M$2:$M$180,MATCH($A109,Backlog!$A$2:$A$180,0)))</x:f>
      </x:c>
      <x:c r="H109" s="206" t="str">
        <x:f>IF(INDEX(Backlog!$N$2:$N$180,MATCH($A109,Backlog!$A$2:$A$180,0))="","",INDEX(Backlog!$N$2:$N$180,MATCH($A109,Backlog!$A$2:$A$180,0)))</x:f>
      </x:c>
      <x:c r="I109" s="206" t="str">
        <x:f>IF(INDEX(Backlog!$T$2:$T$180,MATCH($A109,Backlog!$A$2:$A$180,0))="","",INDEX(Backlog!$T$2:$T$180,MATCH($A109,Backlog!$A$2:$A$180,0)))</x:f>
        <x:v>WAIT for deployed Release 1 + real customer/site evidence. M3 sequence</x:v>
      </x:c>
      <x:c r="J109" s="194" t="str">
        <x:f>IF(INDEX(Backlog!$AN$2:$AN$180,MATCH($A109,Backlog!$A$2:$A$180,0))="","",INDEX(Backlog!$AN$2:$AN$180,MATCH($A109,Backlog!$A$2:$A$180,0)))</x:f>
      </x:c>
      <x:c r="K109"/>
      <x:c r="L109"/>
    </x:row>
    <x:row r="110" ht="26" customHeight="1">
      <x:c r="A110" s="206" t="str">
        <x:v>T-152</x:v>
      </x:c>
      <x:c r="B110" s="206" t="str">
        <x:f>IF(INDEX(Backlog!$B$2:$B$180,MATCH($A110,Backlog!$A$2:$A$180,0))="","",INDEX(Backlog!$B$2:$B$180,MATCH($A110,Backlog!$A$2:$A$180,0)))</x:f>
        <x:v>M3</x:v>
      </x:c>
      <x:c r="C110" s="206" t="str">
        <x:f>IF(INDEX(Backlog!$C$2:$C$180,MATCH($A110,Backlog!$A$2:$A$180,0))="","",INDEX(Backlog!$C$2:$C$180,MATCH($A110,Backlog!$A$2:$A$180,0)))</x:f>
        <x:v>P1</x:v>
      </x:c>
      <x:c r="D110" s="206" t="str">
        <x:f>IF(INDEX(Backlog!$L$2:$L$180,MATCH($A110,Backlog!$A$2:$A$180,0))="","",INDEX(Backlog!$L$2:$L$180,MATCH($A110,Backlog!$A$2:$A$180,0)))</x:f>
        <x:v>Worker 1</x:v>
      </x:c>
      <x:c r="E110" s="206" t="str">
        <x:f>IF(INDEX(Backlog!$K$2:$K$180,MATCH($A110,Backlog!$A$2:$A$180,0))="","",INDEX(Backlog!$K$2:$K$180,MATCH($A110,Backlog!$A$2:$A$180,0)))</x:f>
        <x:v>Not Started</x:v>
      </x:c>
      <x:c r="F110" s="206" t="n">
        <x:f>IF(ISNUMBER(INDEX(Backlog!$R$2:$R$180,MATCH($A110,Backlog!$A$2:$A$180,0))),INDEX(Backlog!$R$2:$R$180,MATCH($A110,Backlog!$A$2:$A$180,0)),"")</x:f>
        <x:v>7.2</x:v>
      </x:c>
      <x:c r="G110" s="206" t="str">
        <x:f>IF(INDEX(Backlog!$M$2:$M$180,MATCH($A110,Backlog!$A$2:$A$180,0))="","",INDEX(Backlog!$M$2:$M$180,MATCH($A110,Backlog!$A$2:$A$180,0)))</x:f>
      </x:c>
      <x:c r="H110" s="206" t="str">
        <x:f>IF(INDEX(Backlog!$N$2:$N$180,MATCH($A110,Backlog!$A$2:$A$180,0))="","",INDEX(Backlog!$N$2:$N$180,MATCH($A110,Backlog!$A$2:$A$180,0)))</x:f>
      </x:c>
      <x:c r="I110" s="206" t="str">
        <x:f>IF(INDEX(Backlog!$T$2:$T$180,MATCH($A110,Backlog!$A$2:$A$180,0))="","",INDEX(Backlog!$T$2:$T$180,MATCH($A110,Backlog!$A$2:$A$180,0)))</x:f>
        <x:v>WAIT for deployed Release 1 + real customer/site evidence. M3 sequence</x:v>
      </x:c>
      <x:c r="J110" s="194" t="str">
        <x:f>IF(INDEX(Backlog!$AN$2:$AN$180,MATCH($A110,Backlog!$A$2:$A$180,0))="","",INDEX(Backlog!$AN$2:$AN$180,MATCH($A110,Backlog!$A$2:$A$180,0)))</x:f>
      </x:c>
      <x:c r="K110"/>
      <x:c r="L110"/>
    </x:row>
    <x:row r="111" ht="26" customHeight="1">
      <x:c r="A111" s="206" t="str">
        <x:v>T-153</x:v>
      </x:c>
      <x:c r="B111" s="206" t="str">
        <x:f>IF(INDEX(Backlog!$B$2:$B$180,MATCH($A111,Backlog!$A$2:$A$180,0))="","",INDEX(Backlog!$B$2:$B$180,MATCH($A111,Backlog!$A$2:$A$180,0)))</x:f>
        <x:v>M3</x:v>
      </x:c>
      <x:c r="C111" s="206" t="str">
        <x:f>IF(INDEX(Backlog!$C$2:$C$180,MATCH($A111,Backlog!$A$2:$A$180,0))="","",INDEX(Backlog!$C$2:$C$180,MATCH($A111,Backlog!$A$2:$A$180,0)))</x:f>
        <x:v>P1</x:v>
      </x:c>
      <x:c r="D111" s="206" t="str">
        <x:f>IF(INDEX(Backlog!$L$2:$L$180,MATCH($A111,Backlog!$A$2:$A$180,0))="","",INDEX(Backlog!$L$2:$L$180,MATCH($A111,Backlog!$A$2:$A$180,0)))</x:f>
        <x:v>Worker 1</x:v>
      </x:c>
      <x:c r="E111" s="206" t="str">
        <x:f>IF(INDEX(Backlog!$K$2:$K$180,MATCH($A111,Backlog!$A$2:$A$180,0))="","",INDEX(Backlog!$K$2:$K$180,MATCH($A111,Backlog!$A$2:$A$180,0)))</x:f>
        <x:v>Not Started</x:v>
      </x:c>
      <x:c r="F111" s="206" t="n">
        <x:f>IF(ISNUMBER(INDEX(Backlog!$R$2:$R$180,MATCH($A111,Backlog!$A$2:$A$180,0))),INDEX(Backlog!$R$2:$R$180,MATCH($A111,Backlog!$A$2:$A$180,0)),"")</x:f>
        <x:v>7.2</x:v>
      </x:c>
      <x:c r="G111" s="206" t="str">
        <x:f>IF(INDEX(Backlog!$M$2:$M$180,MATCH($A111,Backlog!$A$2:$A$180,0))="","",INDEX(Backlog!$M$2:$M$180,MATCH($A111,Backlog!$A$2:$A$180,0)))</x:f>
        <x:v>T-224; T-225; T-226; T-254</x:v>
      </x:c>
      <x:c r="H111" s="206" t="str">
        <x:f>IF(INDEX(Backlog!$N$2:$N$180,MATCH($A111,Backlog!$A$2:$A$180,0))="","",INDEX(Backlog!$N$2:$N$180,MATCH($A111,Backlog!$A$2:$A$180,0)))</x:f>
        <x:v>T-249</x:v>
      </x:c>
      <x:c r="I111" s="206" t="str">
        <x:f>IF(INDEX(Backlog!$T$2:$T$180,MATCH($A111,Backlog!$A$2:$A$180,0))="","",INDEX(Backlog!$T$2:$T$180,MATCH($A111,Backlog!$A$2:$A$180,0)))</x:f>
        <x:v>WAIT for deployed Release 1 + real customer/site evidence. M3 sequence</x:v>
      </x:c>
      <x:c r="J111" s="194" t="str">
        <x:f>IF(INDEX(Backlog!$AN$2:$AN$180,MATCH($A111,Backlog!$A$2:$A$180,0))="","",INDEX(Backlog!$AN$2:$AN$180,MATCH($A111,Backlog!$A$2:$A$180,0)))</x:f>
      </x:c>
      <x:c r="K111"/>
      <x:c r="L111"/>
    </x:row>
    <x:row r="112" ht="26" customHeight="1">
      <x:c r="A112" s="206" t="str">
        <x:v>T-154</x:v>
      </x:c>
      <x:c r="B112" s="206" t="str">
        <x:f>IF(INDEX(Backlog!$B$2:$B$180,MATCH($A112,Backlog!$A$2:$A$180,0))="","",INDEX(Backlog!$B$2:$B$180,MATCH($A112,Backlog!$A$2:$A$180,0)))</x:f>
        <x:v>M3</x:v>
      </x:c>
      <x:c r="C112" s="206" t="str">
        <x:f>IF(INDEX(Backlog!$C$2:$C$180,MATCH($A112,Backlog!$A$2:$A$180,0))="","",INDEX(Backlog!$C$2:$C$180,MATCH($A112,Backlog!$A$2:$A$180,0)))</x:f>
        <x:v>P1</x:v>
      </x:c>
      <x:c r="D112" s="206" t="str">
        <x:f>IF(INDEX(Backlog!$L$2:$L$180,MATCH($A112,Backlog!$A$2:$A$180,0))="","",INDEX(Backlog!$L$2:$L$180,MATCH($A112,Backlog!$A$2:$A$180,0)))</x:f>
        <x:v>Worker 1</x:v>
      </x:c>
      <x:c r="E112" s="206" t="str">
        <x:f>IF(INDEX(Backlog!$K$2:$K$180,MATCH($A112,Backlog!$A$2:$A$180,0))="","",INDEX(Backlog!$K$2:$K$180,MATCH($A112,Backlog!$A$2:$A$180,0)))</x:f>
        <x:v>Not Started</x:v>
      </x:c>
      <x:c r="F112" s="206" t="n">
        <x:f>IF(ISNUMBER(INDEX(Backlog!$R$2:$R$180,MATCH($A112,Backlog!$A$2:$A$180,0))),INDEX(Backlog!$R$2:$R$180,MATCH($A112,Backlog!$A$2:$A$180,0)),"")</x:f>
        <x:v>7.2</x:v>
      </x:c>
      <x:c r="G112" s="206" t="str">
        <x:f>IF(INDEX(Backlog!$M$2:$M$180,MATCH($A112,Backlog!$A$2:$A$180,0))="","",INDEX(Backlog!$M$2:$M$180,MATCH($A112,Backlog!$A$2:$A$180,0)))</x:f>
      </x:c>
      <x:c r="H112" s="206" t="str">
        <x:f>IF(INDEX(Backlog!$N$2:$N$180,MATCH($A112,Backlog!$A$2:$A$180,0))="","",INDEX(Backlog!$N$2:$N$180,MATCH($A112,Backlog!$A$2:$A$180,0)))</x:f>
      </x:c>
      <x:c r="I112" s="206" t="str">
        <x:f>IF(INDEX(Backlog!$T$2:$T$180,MATCH($A112,Backlog!$A$2:$A$180,0))="","",INDEX(Backlog!$T$2:$T$180,MATCH($A112,Backlog!$A$2:$A$180,0)))</x:f>
        <x:v>WAIT for deployed Release 1 + real customer/site evidence. M3 sequence</x:v>
      </x:c>
      <x:c r="J112" s="194" t="str">
        <x:f>IF(INDEX(Backlog!$AN$2:$AN$180,MATCH($A112,Backlog!$A$2:$A$180,0))="","",INDEX(Backlog!$AN$2:$AN$180,MATCH($A112,Backlog!$A$2:$A$180,0)))</x:f>
      </x:c>
      <x:c r="K112"/>
      <x:c r="L112"/>
    </x:row>
    <x:row r="113" ht="26" customHeight="1">
      <x:c r="A113" s="206" t="str">
        <x:v>T-155</x:v>
      </x:c>
      <x:c r="B113" s="206" t="str">
        <x:f>IF(INDEX(Backlog!$B$2:$B$180,MATCH($A113,Backlog!$A$2:$A$180,0))="","",INDEX(Backlog!$B$2:$B$180,MATCH($A113,Backlog!$A$2:$A$180,0)))</x:f>
        <x:v>M3</x:v>
      </x:c>
      <x:c r="C113" s="206" t="str">
        <x:f>IF(INDEX(Backlog!$C$2:$C$180,MATCH($A113,Backlog!$A$2:$A$180,0))="","",INDEX(Backlog!$C$2:$C$180,MATCH($A113,Backlog!$A$2:$A$180,0)))</x:f>
        <x:v>P1</x:v>
      </x:c>
      <x:c r="D113" s="206" t="str">
        <x:f>IF(INDEX(Backlog!$L$2:$L$180,MATCH($A113,Backlog!$A$2:$A$180,0))="","",INDEX(Backlog!$L$2:$L$180,MATCH($A113,Backlog!$A$2:$A$180,0)))</x:f>
        <x:v>Worker 3</x:v>
      </x:c>
      <x:c r="E113" s="206" t="str">
        <x:f>IF(INDEX(Backlog!$K$2:$K$180,MATCH($A113,Backlog!$A$2:$A$180,0))="","",INDEX(Backlog!$K$2:$K$180,MATCH($A113,Backlog!$A$2:$A$180,0)))</x:f>
        <x:v>Not Started</x:v>
      </x:c>
      <x:c r="F113" s="206" t="n">
        <x:f>IF(ISNUMBER(INDEX(Backlog!$R$2:$R$180,MATCH($A113,Backlog!$A$2:$A$180,0))),INDEX(Backlog!$R$2:$R$180,MATCH($A113,Backlog!$A$2:$A$180,0)),"")</x:f>
        <x:v>4.32</x:v>
      </x:c>
      <x:c r="G113" s="206" t="str">
        <x:f>IF(INDEX(Backlog!$M$2:$M$180,MATCH($A113,Backlog!$A$2:$A$180,0))="","",INDEX(Backlog!$M$2:$M$180,MATCH($A113,Backlog!$A$2:$A$180,0)))</x:f>
      </x:c>
      <x:c r="H113" s="206" t="str">
        <x:f>IF(INDEX(Backlog!$N$2:$N$180,MATCH($A113,Backlog!$A$2:$A$180,0))="","",INDEX(Backlog!$N$2:$N$180,MATCH($A113,Backlog!$A$2:$A$180,0)))</x:f>
      </x:c>
      <x:c r="I113" s="206" t="str">
        <x:f>IF(INDEX(Backlog!$T$2:$T$180,MATCH($A113,Backlog!$A$2:$A$180,0))="","",INDEX(Backlog!$T$2:$T$180,MATCH($A113,Backlog!$A$2:$A$180,0)))</x:f>
        <x:v>WAIT for deployed Release 1 + real customer/site evidence. Release 2 accepted + site hardware</x:v>
      </x:c>
      <x:c r="J113" s="194" t="str">
        <x:f>IF(INDEX(Backlog!$AN$2:$AN$180,MATCH($A113,Backlog!$A$2:$A$180,0))="","",INDEX(Backlog!$AN$2:$AN$180,MATCH($A113,Backlog!$A$2:$A$180,0)))</x:f>
      </x:c>
      <x:c r="K113"/>
      <x:c r="L113"/>
    </x:row>
    <x:row r="114" ht="26" customHeight="1">
      <x:c r="A114" s="206" t="str">
        <x:v>T-159</x:v>
      </x:c>
      <x:c r="B114" s="206" t="str">
        <x:f>IF(INDEX(Backlog!$B$2:$B$180,MATCH($A114,Backlog!$A$2:$A$180,0))="","",INDEX(Backlog!$B$2:$B$180,MATCH($A114,Backlog!$A$2:$A$180,0)))</x:f>
        <x:v>M3</x:v>
      </x:c>
      <x:c r="C114" s="206" t="str">
        <x:f>IF(INDEX(Backlog!$C$2:$C$180,MATCH($A114,Backlog!$A$2:$A$180,0))="","",INDEX(Backlog!$C$2:$C$180,MATCH($A114,Backlog!$A$2:$A$180,0)))</x:f>
        <x:v>P1</x:v>
      </x:c>
      <x:c r="D114" s="206" t="str">
        <x:f>IF(INDEX(Backlog!$L$2:$L$180,MATCH($A114,Backlog!$A$2:$A$180,0))="","",INDEX(Backlog!$L$2:$L$180,MATCH($A114,Backlog!$A$2:$A$180,0)))</x:f>
        <x:v>Worker 3</x:v>
      </x:c>
      <x:c r="E114" s="206" t="str">
        <x:f>IF(INDEX(Backlog!$K$2:$K$180,MATCH($A114,Backlog!$A$2:$A$180,0))="","",INDEX(Backlog!$K$2:$K$180,MATCH($A114,Backlog!$A$2:$A$180,0)))</x:f>
        <x:v>Not Started</x:v>
      </x:c>
      <x:c r="F114" s="206" t="n">
        <x:f>IF(ISNUMBER(INDEX(Backlog!$R$2:$R$180,MATCH($A114,Backlog!$A$2:$A$180,0))),INDEX(Backlog!$R$2:$R$180,MATCH($A114,Backlog!$A$2:$A$180,0)),"")</x:f>
        <x:v>4.32</x:v>
      </x:c>
      <x:c r="G114" s="206" t="str">
        <x:f>IF(INDEX(Backlog!$M$2:$M$180,MATCH($A114,Backlog!$A$2:$A$180,0))="","",INDEX(Backlog!$M$2:$M$180,MATCH($A114,Backlog!$A$2:$A$180,0)))</x:f>
      </x:c>
      <x:c r="H114" s="206" t="str">
        <x:f>IF(INDEX(Backlog!$N$2:$N$180,MATCH($A114,Backlog!$A$2:$A$180,0))="","",INDEX(Backlog!$N$2:$N$180,MATCH($A114,Backlog!$A$2:$A$180,0)))</x:f>
        <x:v>T-249</x:v>
      </x:c>
      <x:c r="I114" s="206" t="str">
        <x:f>IF(INDEX(Backlog!$T$2:$T$180,MATCH($A114,Backlog!$A$2:$A$180,0))="","",INDEX(Backlog!$T$2:$T$180,MATCH($A114,Backlog!$A$2:$A$180,0)))</x:f>
        <x:v>WAIT for deployed Release 1 + real customer/site evidence. Release 2 accepted + site hardware</x:v>
      </x:c>
      <x:c r="J114" s="194" t="str">
        <x:f>IF(INDEX(Backlog!$AN$2:$AN$180,MATCH($A114,Backlog!$A$2:$A$180,0))="","",INDEX(Backlog!$AN$2:$AN$180,MATCH($A114,Backlog!$A$2:$A$180,0)))</x:f>
      </x:c>
      <x:c r="K114"/>
      <x:c r="L114"/>
    </x:row>
    <x:row r="115" ht="26" customHeight="1">
      <x:c r="A115" s="206" t="str">
        <x:v>T-160</x:v>
      </x:c>
      <x:c r="B115" s="206" t="str">
        <x:f>IF(INDEX(Backlog!$B$2:$B$180,MATCH($A115,Backlog!$A$2:$A$180,0))="","",INDEX(Backlog!$B$2:$B$180,MATCH($A115,Backlog!$A$2:$A$180,0)))</x:f>
        <x:v>M3</x:v>
      </x:c>
      <x:c r="C115" s="206" t="str">
        <x:f>IF(INDEX(Backlog!$C$2:$C$180,MATCH($A115,Backlog!$A$2:$A$180,0))="","",INDEX(Backlog!$C$2:$C$180,MATCH($A115,Backlog!$A$2:$A$180,0)))</x:f>
        <x:v>P1</x:v>
      </x:c>
      <x:c r="D115" s="206" t="str">
        <x:f>IF(INDEX(Backlog!$L$2:$L$180,MATCH($A115,Backlog!$A$2:$A$180,0))="","",INDEX(Backlog!$L$2:$L$180,MATCH($A115,Backlog!$A$2:$A$180,0)))</x:f>
        <x:v>Worker 1</x:v>
      </x:c>
      <x:c r="E115" s="206" t="str">
        <x:f>IF(INDEX(Backlog!$K$2:$K$180,MATCH($A115,Backlog!$A$2:$A$180,0))="","",INDEX(Backlog!$K$2:$K$180,MATCH($A115,Backlog!$A$2:$A$180,0)))</x:f>
        <x:v>Not Started</x:v>
      </x:c>
      <x:c r="F115" s="206" t="n">
        <x:f>IF(ISNUMBER(INDEX(Backlog!$R$2:$R$180,MATCH($A115,Backlog!$A$2:$A$180,0))),INDEX(Backlog!$R$2:$R$180,MATCH($A115,Backlog!$A$2:$A$180,0)),"")</x:f>
        <x:v>7.2</x:v>
      </x:c>
      <x:c r="G115" s="206" t="str">
        <x:f>IF(INDEX(Backlog!$M$2:$M$180,MATCH($A115,Backlog!$A$2:$A$180,0))="","",INDEX(Backlog!$M$2:$M$180,MATCH($A115,Backlog!$A$2:$A$180,0)))</x:f>
      </x:c>
      <x:c r="H115" s="206" t="str">
        <x:f>IF(INDEX(Backlog!$N$2:$N$180,MATCH($A115,Backlog!$A$2:$A$180,0))="","",INDEX(Backlog!$N$2:$N$180,MATCH($A115,Backlog!$A$2:$A$180,0)))</x:f>
        <x:v>T-249</x:v>
      </x:c>
      <x:c r="I115" s="206" t="str">
        <x:f>IF(INDEX(Backlog!$T$2:$T$180,MATCH($A115,Backlog!$A$2:$A$180,0))="","",INDEX(Backlog!$T$2:$T$180,MATCH($A115,Backlog!$A$2:$A$180,0)))</x:f>
        <x:v>WAIT for deployed Release 1 + real customer/site evidence. M3 sequence</x:v>
      </x:c>
      <x:c r="J115" s="194" t="str">
        <x:f>IF(INDEX(Backlog!$AN$2:$AN$180,MATCH($A115,Backlog!$A$2:$A$180,0))="","",INDEX(Backlog!$AN$2:$AN$180,MATCH($A115,Backlog!$A$2:$A$180,0)))</x:f>
      </x:c>
      <x:c r="K115"/>
      <x:c r="L115"/>
    </x:row>
    <x:row r="116" ht="26" customHeight="1">
      <x:c r="A116" s="206" t="str">
        <x:v>T-163</x:v>
      </x:c>
      <x:c r="B116" s="206" t="str">
        <x:f>IF(INDEX(Backlog!$B$2:$B$180,MATCH($A116,Backlog!$A$2:$A$180,0))="","",INDEX(Backlog!$B$2:$B$180,MATCH($A116,Backlog!$A$2:$A$180,0)))</x:f>
        <x:v>M3</x:v>
      </x:c>
      <x:c r="C116" s="206" t="str">
        <x:f>IF(INDEX(Backlog!$C$2:$C$180,MATCH($A116,Backlog!$A$2:$A$180,0))="","",INDEX(Backlog!$C$2:$C$180,MATCH($A116,Backlog!$A$2:$A$180,0)))</x:f>
        <x:v>P1</x:v>
      </x:c>
      <x:c r="D116" s="206" t="str">
        <x:f>IF(INDEX(Backlog!$L$2:$L$180,MATCH($A116,Backlog!$A$2:$A$180,0))="","",INDEX(Backlog!$L$2:$L$180,MATCH($A116,Backlog!$A$2:$A$180,0)))</x:f>
        <x:v>Worker 1</x:v>
      </x:c>
      <x:c r="E116" s="206" t="str">
        <x:f>IF(INDEX(Backlog!$K$2:$K$180,MATCH($A116,Backlog!$A$2:$A$180,0))="","",INDEX(Backlog!$K$2:$K$180,MATCH($A116,Backlog!$A$2:$A$180,0)))</x:f>
        <x:v>Not Started</x:v>
      </x:c>
      <x:c r="F116" s="206" t="n">
        <x:f>IF(ISNUMBER(INDEX(Backlog!$R$2:$R$180,MATCH($A116,Backlog!$A$2:$A$180,0))),INDEX(Backlog!$R$2:$R$180,MATCH($A116,Backlog!$A$2:$A$180,0)),"")</x:f>
        <x:v>7.2</x:v>
      </x:c>
      <x:c r="G116" s="206" t="str">
        <x:f>IF(INDEX(Backlog!$M$2:$M$180,MATCH($A116,Backlog!$A$2:$A$180,0))="","",INDEX(Backlog!$M$2:$M$180,MATCH($A116,Backlog!$A$2:$A$180,0)))</x:f>
      </x:c>
      <x:c r="H116" s="206" t="str">
        <x:f>IF(INDEX(Backlog!$N$2:$N$180,MATCH($A116,Backlog!$A$2:$A$180,0))="","",INDEX(Backlog!$N$2:$N$180,MATCH($A116,Backlog!$A$2:$A$180,0)))</x:f>
        <x:v>T-249</x:v>
      </x:c>
      <x:c r="I116" s="206" t="str">
        <x:f>IF(INDEX(Backlog!$T$2:$T$180,MATCH($A116,Backlog!$A$2:$A$180,0))="","",INDEX(Backlog!$T$2:$T$180,MATCH($A116,Backlog!$A$2:$A$180,0)))</x:f>
        <x:v>WAIT for deployed Release 1 + real customer/site evidence. M3 sequence</x:v>
      </x:c>
      <x:c r="J116" s="194" t="str">
        <x:f>IF(INDEX(Backlog!$AN$2:$AN$180,MATCH($A116,Backlog!$A$2:$A$180,0))="","",INDEX(Backlog!$AN$2:$AN$180,MATCH($A116,Backlog!$A$2:$A$180,0)))</x:f>
      </x:c>
      <x:c r="K116"/>
      <x:c r="L116"/>
    </x:row>
    <x:row r="117" ht="26" customHeight="1">
      <x:c r="A117" s="206" t="str">
        <x:v>T-116</x:v>
      </x:c>
      <x:c r="B117" s="206" t="str">
        <x:f>IF(INDEX(Backlog!$B$2:$B$180,MATCH($A117,Backlog!$A$2:$A$180,0))="","",INDEX(Backlog!$B$2:$B$180,MATCH($A117,Backlog!$A$2:$A$180,0)))</x:f>
        <x:v>M3</x:v>
      </x:c>
      <x:c r="C117" s="206" t="str">
        <x:f>IF(INDEX(Backlog!$C$2:$C$180,MATCH($A117,Backlog!$A$2:$A$180,0))="","",INDEX(Backlog!$C$2:$C$180,MATCH($A117,Backlog!$A$2:$A$180,0)))</x:f>
        <x:v>P2</x:v>
      </x:c>
      <x:c r="D117" s="206" t="str">
        <x:f>IF(INDEX(Backlog!$L$2:$L$180,MATCH($A117,Backlog!$A$2:$A$180,0))="","",INDEX(Backlog!$L$2:$L$180,MATCH($A117,Backlog!$A$2:$A$180,0)))</x:f>
        <x:v>Worker 1</x:v>
      </x:c>
      <x:c r="E117" s="206" t="str">
        <x:f>IF(INDEX(Backlog!$K$2:$K$180,MATCH($A117,Backlog!$A$2:$A$180,0))="","",INDEX(Backlog!$K$2:$K$180,MATCH($A117,Backlog!$A$2:$A$180,0)))</x:f>
        <x:v>Not Started</x:v>
      </x:c>
      <x:c r="F117" s="206" t="n">
        <x:f>IF(ISNUMBER(INDEX(Backlog!$R$2:$R$180,MATCH($A117,Backlog!$A$2:$A$180,0))),INDEX(Backlog!$R$2:$R$180,MATCH($A117,Backlog!$A$2:$A$180,0)),"")</x:f>
        <x:v>1.2000000000000002</x:v>
      </x:c>
      <x:c r="G117" s="206" t="str">
        <x:f>IF(INDEX(Backlog!$M$2:$M$180,MATCH($A117,Backlog!$A$2:$A$180,0))="","",INDEX(Backlog!$M$2:$M$180,MATCH($A117,Backlog!$A$2:$A$180,0)))</x:f>
        <x:v>T-256</x:v>
      </x:c>
      <x:c r="H117" s="206" t="str">
        <x:f>IF(INDEX(Backlog!$N$2:$N$180,MATCH($A117,Backlog!$A$2:$A$180,0))="","",INDEX(Backlog!$N$2:$N$180,MATCH($A117,Backlog!$A$2:$A$180,0)))</x:f>
      </x:c>
      <x:c r="I117" s="206" t="str">
        <x:f>IF(INDEX(Backlog!$T$2:$T$180,MATCH($A117,Backlog!$A$2:$A$180,0))="","",INDEX(Backlog!$T$2:$T$180,MATCH($A117,Backlog!$A$2:$A$180,0)))</x:f>
        <x:v>WAIT for Presentation RC freeze/tag + clean index/worktree. Then: Release 1 dependency order</x:v>
      </x:c>
      <x:c r="J117" s="194" t="str">
        <x:f>IF(INDEX(Backlog!$AN$2:$AN$180,MATCH($A117,Backlog!$A$2:$A$180,0))="","",INDEX(Backlog!$AN$2:$AN$180,MATCH($A117,Backlog!$A$2:$A$180,0)))</x:f>
      </x:c>
      <x:c r="K117"/>
      <x:c r="L117"/>
    </x:row>
    <x:row r="118" ht="26" customHeight="1">
      <x:c r="A118" s="206" t="str">
        <x:v>T-117</x:v>
      </x:c>
      <x:c r="B118" s="206" t="str">
        <x:f>IF(INDEX(Backlog!$B$2:$B$180,MATCH($A118,Backlog!$A$2:$A$180,0))="","",INDEX(Backlog!$B$2:$B$180,MATCH($A118,Backlog!$A$2:$A$180,0)))</x:f>
        <x:v>M3</x:v>
      </x:c>
      <x:c r="C118" s="206" t="str">
        <x:f>IF(INDEX(Backlog!$C$2:$C$180,MATCH($A118,Backlog!$A$2:$A$180,0))="","",INDEX(Backlog!$C$2:$C$180,MATCH($A118,Backlog!$A$2:$A$180,0)))</x:f>
        <x:v>P2</x:v>
      </x:c>
      <x:c r="D118" s="206" t="str">
        <x:f>IF(INDEX(Backlog!$L$2:$L$180,MATCH($A118,Backlog!$A$2:$A$180,0))="","",INDEX(Backlog!$L$2:$L$180,MATCH($A118,Backlog!$A$2:$A$180,0)))</x:f>
        <x:v>Worker 1</x:v>
      </x:c>
      <x:c r="E118" s="206" t="str">
        <x:f>IF(INDEX(Backlog!$K$2:$K$180,MATCH($A118,Backlog!$A$2:$A$180,0))="","",INDEX(Backlog!$K$2:$K$180,MATCH($A118,Backlog!$A$2:$A$180,0)))</x:f>
        <x:v>Not Started</x:v>
      </x:c>
      <x:c r="F118" s="206" t="n">
        <x:f>IF(ISNUMBER(INDEX(Backlog!$R$2:$R$180,MATCH($A118,Backlog!$A$2:$A$180,0))),INDEX(Backlog!$R$2:$R$180,MATCH($A118,Backlog!$A$2:$A$180,0)),"")</x:f>
        <x:v>0.8999999999999999</x:v>
      </x:c>
      <x:c r="G118" s="206" t="str">
        <x:f>IF(INDEX(Backlog!$M$2:$M$180,MATCH($A118,Backlog!$A$2:$A$180,0))="","",INDEX(Backlog!$M$2:$M$180,MATCH($A118,Backlog!$A$2:$A$180,0)))</x:f>
      </x:c>
      <x:c r="H118" s="206" t="str">
        <x:f>IF(INDEX(Backlog!$N$2:$N$180,MATCH($A118,Backlog!$A$2:$A$180,0))="","",INDEX(Backlog!$N$2:$N$180,MATCH($A118,Backlog!$A$2:$A$180,0)))</x:f>
        <x:v>T-122; T-194</x:v>
      </x:c>
      <x:c r="I118" s="206" t="str">
        <x:f>IF(INDEX(Backlog!$T$2:$T$180,MATCH($A118,Backlog!$A$2:$A$180,0))="","",INDEX(Backlog!$T$2:$T$180,MATCH($A118,Backlog!$A$2:$A$180,0)))</x:f>
        <x:v>WAIT for Presentation RC freeze/tag + clean index/worktree. Then: Release 1 dependency order</x:v>
      </x:c>
      <x:c r="J118" s="194" t="str">
        <x:f>IF(INDEX(Backlog!$AN$2:$AN$180,MATCH($A118,Backlog!$A$2:$A$180,0))="","",INDEX(Backlog!$AN$2:$AN$180,MATCH($A118,Backlog!$A$2:$A$180,0)))</x:f>
      </x:c>
      <x:c r="K118"/>
      <x:c r="L118"/>
    </x:row>
    <x:row r="119" ht="26" customHeight="1">
      <x:c r="A119" s="206" t="str">
        <x:v>T-127</x:v>
      </x:c>
      <x:c r="B119" s="206" t="str">
        <x:f>IF(INDEX(Backlog!$B$2:$B$180,MATCH($A119,Backlog!$A$2:$A$180,0))="","",INDEX(Backlog!$B$2:$B$180,MATCH($A119,Backlog!$A$2:$A$180,0)))</x:f>
        <x:v>M3</x:v>
      </x:c>
      <x:c r="C119" s="206" t="str">
        <x:f>IF(INDEX(Backlog!$C$2:$C$180,MATCH($A119,Backlog!$A$2:$A$180,0))="","",INDEX(Backlog!$C$2:$C$180,MATCH($A119,Backlog!$A$2:$A$180,0)))</x:f>
        <x:v>P2</x:v>
      </x:c>
      <x:c r="D119" s="206" t="str">
        <x:f>IF(INDEX(Backlog!$L$2:$L$180,MATCH($A119,Backlog!$A$2:$A$180,0))="","",INDEX(Backlog!$L$2:$L$180,MATCH($A119,Backlog!$A$2:$A$180,0)))</x:f>
        <x:v>Worker 2</x:v>
      </x:c>
      <x:c r="E119" s="206" t="str">
        <x:f>IF(INDEX(Backlog!$K$2:$K$180,MATCH($A119,Backlog!$A$2:$A$180,0))="","",INDEX(Backlog!$K$2:$K$180,MATCH($A119,Backlog!$A$2:$A$180,0)))</x:f>
        <x:v>Not Started</x:v>
      </x:c>
      <x:c r="F119" s="206" t="n">
        <x:f>IF(ISNUMBER(INDEX(Backlog!$R$2:$R$180,MATCH($A119,Backlog!$A$2:$A$180,0))),INDEX(Backlog!$R$2:$R$180,MATCH($A119,Backlog!$A$2:$A$180,0)),"")</x:f>
        <x:v>4.08</x:v>
      </x:c>
      <x:c r="G119" s="206" t="str">
        <x:f>IF(INDEX(Backlog!$M$2:$M$180,MATCH($A119,Backlog!$A$2:$A$180,0))="","",INDEX(Backlog!$M$2:$M$180,MATCH($A119,Backlog!$A$2:$A$180,0)))</x:f>
        <x:v>T-196; T-197; T-198; T-199; T-200; T-121</x:v>
      </x:c>
      <x:c r="H119" s="206" t="str">
        <x:f>IF(INDEX(Backlog!$N$2:$N$180,MATCH($A119,Backlog!$A$2:$A$180,0))="","",INDEX(Backlog!$N$2:$N$180,MATCH($A119,Backlog!$A$2:$A$180,0)))</x:f>
        <x:v>T-194</x:v>
      </x:c>
      <x:c r="I119" s="206" t="str">
        <x:f>IF(INDEX(Backlog!$T$2:$T$180,MATCH($A119,Backlog!$A$2:$A$180,0))="","",INDEX(Backlog!$T$2:$T$180,MATCH($A119,Backlog!$A$2:$A$180,0)))</x:f>
        <x:v>WAIT for Presentation RC freeze/tag + clean index/worktree. Then: All Release 1 canonical-core/user-visible owners complete, including T-196/T-197/T-...</x:v>
      </x:c>
      <x:c r="J119" s="194" t="str">
        <x:f>IF(INDEX(Backlog!$AN$2:$AN$180,MATCH($A119,Backlog!$A$2:$A$180,0))="","",INDEX(Backlog!$AN$2:$AN$180,MATCH($A119,Backlog!$A$2:$A$180,0)))</x:f>
      </x:c>
      <x:c r="K119"/>
      <x:c r="L119"/>
    </x:row>
    <x:row r="120" ht="26" customHeight="1">
      <x:c r="A120" s="206" t="str">
        <x:v>T-149</x:v>
      </x:c>
      <x:c r="B120" s="206" t="str">
        <x:f>IF(INDEX(Backlog!$B$2:$B$180,MATCH($A120,Backlog!$A$2:$A$180,0))="","",INDEX(Backlog!$B$2:$B$180,MATCH($A120,Backlog!$A$2:$A$180,0)))</x:f>
        <x:v>M3</x:v>
      </x:c>
      <x:c r="C120" s="206" t="str">
        <x:f>IF(INDEX(Backlog!$C$2:$C$180,MATCH($A120,Backlog!$A$2:$A$180,0))="","",INDEX(Backlog!$C$2:$C$180,MATCH($A120,Backlog!$A$2:$A$180,0)))</x:f>
        <x:v>P2</x:v>
      </x:c>
      <x:c r="D120" s="206" t="str">
        <x:f>IF(INDEX(Backlog!$L$2:$L$180,MATCH($A120,Backlog!$A$2:$A$180,0))="","",INDEX(Backlog!$L$2:$L$180,MATCH($A120,Backlog!$A$2:$A$180,0)))</x:f>
        <x:v>Worker 2</x:v>
      </x:c>
      <x:c r="E120" s="206" t="str">
        <x:f>IF(INDEX(Backlog!$K$2:$K$180,MATCH($A120,Backlog!$A$2:$A$180,0))="","",INDEX(Backlog!$K$2:$K$180,MATCH($A120,Backlog!$A$2:$A$180,0)))</x:f>
        <x:v>Not Started</x:v>
      </x:c>
      <x:c r="F120" s="206" t="n">
        <x:f>IF(ISNUMBER(INDEX(Backlog!$R$2:$R$180,MATCH($A120,Backlog!$A$2:$A$180,0))),INDEX(Backlog!$R$2:$R$180,MATCH($A120,Backlog!$A$2:$A$180,0)),"")</x:f>
        <x:v>1</x:v>
      </x:c>
      <x:c r="G120" s="206" t="str">
        <x:f>IF(INDEX(Backlog!$M$2:$M$180,MATCH($A120,Backlog!$A$2:$A$180,0))="","",INDEX(Backlog!$M$2:$M$180,MATCH($A120,Backlog!$A$2:$A$180,0)))</x:f>
      </x:c>
      <x:c r="H120" s="206" t="str">
        <x:f>IF(INDEX(Backlog!$N$2:$N$180,MATCH($A120,Backlog!$A$2:$A$180,0))="","",INDEX(Backlog!$N$2:$N$180,MATCH($A120,Backlog!$A$2:$A$180,0)))</x:f>
      </x:c>
      <x:c r="I120" s="206" t="str">
        <x:f>IF(INDEX(Backlog!$T$2:$T$180,MATCH($A120,Backlog!$A$2:$A$180,0))="","",INDEX(Backlog!$T$2:$T$180,MATCH($A120,Backlog!$A$2:$A$180,0)))</x:f>
        <x:v>M1 continuity frozen</x:v>
      </x:c>
      <x:c r="J120" s="194" t="str">
        <x:f>IF(INDEX(Backlog!$AN$2:$AN$180,MATCH($A120,Backlog!$A$2:$A$180,0))="","",INDEX(Backlog!$AN$2:$AN$180,MATCH($A120,Backlog!$A$2:$A$180,0)))</x:f>
      </x:c>
      <x:c r="K120"/>
      <x:c r="L120"/>
    </x:row>
    <x:row r="121" ht="26" customHeight="1">
      <x:c r="A121" s="206" t="str">
        <x:v>T-161</x:v>
      </x:c>
      <x:c r="B121" s="206" t="str">
        <x:f>IF(INDEX(Backlog!$B$2:$B$180,MATCH($A121,Backlog!$A$2:$A$180,0))="","",INDEX(Backlog!$B$2:$B$180,MATCH($A121,Backlog!$A$2:$A$180,0)))</x:f>
        <x:v>M3</x:v>
      </x:c>
      <x:c r="C121" s="206" t="str">
        <x:f>IF(INDEX(Backlog!$C$2:$C$180,MATCH($A121,Backlog!$A$2:$A$180,0))="","",INDEX(Backlog!$C$2:$C$180,MATCH($A121,Backlog!$A$2:$A$180,0)))</x:f>
        <x:v>P2</x:v>
      </x:c>
      <x:c r="D121" s="206" t="str">
        <x:f>IF(INDEX(Backlog!$L$2:$L$180,MATCH($A121,Backlog!$A$2:$A$180,0))="","",INDEX(Backlog!$L$2:$L$180,MATCH($A121,Backlog!$A$2:$A$180,0)))</x:f>
        <x:v>Worker 1</x:v>
      </x:c>
      <x:c r="E121" s="206" t="str">
        <x:f>IF(INDEX(Backlog!$K$2:$K$180,MATCH($A121,Backlog!$A$2:$A$180,0))="","",INDEX(Backlog!$K$2:$K$180,MATCH($A121,Backlog!$A$2:$A$180,0)))</x:f>
        <x:v>Not Started</x:v>
      </x:c>
      <x:c r="F121" s="206" t="n">
        <x:f>IF(ISNUMBER(INDEX(Backlog!$R$2:$R$180,MATCH($A121,Backlog!$A$2:$A$180,0))),INDEX(Backlog!$R$2:$R$180,MATCH($A121,Backlog!$A$2:$A$180,0)),"")</x:f>
        <x:v>7.2</x:v>
      </x:c>
      <x:c r="G121" s="206" t="str">
        <x:f>IF(INDEX(Backlog!$M$2:$M$180,MATCH($A121,Backlog!$A$2:$A$180,0))="","",INDEX(Backlog!$M$2:$M$180,MATCH($A121,Backlog!$A$2:$A$180,0)))</x:f>
      </x:c>
      <x:c r="H121" s="206" t="str">
        <x:f>IF(INDEX(Backlog!$N$2:$N$180,MATCH($A121,Backlog!$A$2:$A$180,0))="","",INDEX(Backlog!$N$2:$N$180,MATCH($A121,Backlog!$A$2:$A$180,0)))</x:f>
        <x:v>T-249</x:v>
      </x:c>
      <x:c r="I121" s="206" t="str">
        <x:f>IF(INDEX(Backlog!$T$2:$T$180,MATCH($A121,Backlog!$A$2:$A$180,0))="","",INDEX(Backlog!$T$2:$T$180,MATCH($A121,Backlog!$A$2:$A$180,0)))</x:f>
        <x:v>WAIT for deployed Release 1 + real customer/site evidence. M3 sequence</x:v>
      </x:c>
      <x:c r="J121" s="194" t="str">
        <x:f>IF(INDEX(Backlog!$AN$2:$AN$180,MATCH($A121,Backlog!$A$2:$A$180,0))="","",INDEX(Backlog!$AN$2:$AN$180,MATCH($A121,Backlog!$A$2:$A$180,0)))</x:f>
      </x:c>
      <x:c r="K121"/>
      <x:c r="L121"/>
    </x:row>
    <x:row r="122" ht="26" customHeight="1">
      <x:c r="A122" s="206" t="str">
        <x:v>T-162</x:v>
      </x:c>
      <x:c r="B122" s="206" t="str">
        <x:f>IF(INDEX(Backlog!$B$2:$B$180,MATCH($A122,Backlog!$A$2:$A$180,0))="","",INDEX(Backlog!$B$2:$B$180,MATCH($A122,Backlog!$A$2:$A$180,0)))</x:f>
        <x:v>M3</x:v>
      </x:c>
      <x:c r="C122" s="206" t="str">
        <x:f>IF(INDEX(Backlog!$C$2:$C$180,MATCH($A122,Backlog!$A$2:$A$180,0))="","",INDEX(Backlog!$C$2:$C$180,MATCH($A122,Backlog!$A$2:$A$180,0)))</x:f>
        <x:v>P2</x:v>
      </x:c>
      <x:c r="D122" s="206" t="str">
        <x:f>IF(INDEX(Backlog!$L$2:$L$180,MATCH($A122,Backlog!$A$2:$A$180,0))="","",INDEX(Backlog!$L$2:$L$180,MATCH($A122,Backlog!$A$2:$A$180,0)))</x:f>
        <x:v>Worker 1</x:v>
      </x:c>
      <x:c r="E122" s="206" t="str">
        <x:f>IF(INDEX(Backlog!$K$2:$K$180,MATCH($A122,Backlog!$A$2:$A$180,0))="","",INDEX(Backlog!$K$2:$K$180,MATCH($A122,Backlog!$A$2:$A$180,0)))</x:f>
        <x:v>Not Started</x:v>
      </x:c>
      <x:c r="F122" s="206" t="n">
        <x:f>IF(ISNUMBER(INDEX(Backlog!$R$2:$R$180,MATCH($A122,Backlog!$A$2:$A$180,0))),INDEX(Backlog!$R$2:$R$180,MATCH($A122,Backlog!$A$2:$A$180,0)),"")</x:f>
        <x:v>7.2</x:v>
      </x:c>
      <x:c r="G122" s="206" t="str">
        <x:f>IF(INDEX(Backlog!$M$2:$M$180,MATCH($A122,Backlog!$A$2:$A$180,0))="","",INDEX(Backlog!$M$2:$M$180,MATCH($A122,Backlog!$A$2:$A$180,0)))</x:f>
      </x:c>
      <x:c r="H122" s="206" t="str">
        <x:f>IF(INDEX(Backlog!$N$2:$N$180,MATCH($A122,Backlog!$A$2:$A$180,0))="","",INDEX(Backlog!$N$2:$N$180,MATCH($A122,Backlog!$A$2:$A$180,0)))</x:f>
        <x:v>T-249</x:v>
      </x:c>
      <x:c r="I122" s="206" t="str">
        <x:f>IF(INDEX(Backlog!$T$2:$T$180,MATCH($A122,Backlog!$A$2:$A$180,0))="","",INDEX(Backlog!$T$2:$T$180,MATCH($A122,Backlog!$A$2:$A$180,0)))</x:f>
        <x:v>WAIT for deployed Release 1 + real customer/site evidence. M3 sequence</x:v>
      </x:c>
      <x:c r="J122" s="194" t="str">
        <x:f>IF(INDEX(Backlog!$AN$2:$AN$180,MATCH($A122,Backlog!$A$2:$A$180,0))="","",INDEX(Backlog!$AN$2:$AN$180,MATCH($A122,Backlog!$A$2:$A$180,0)))</x:f>
      </x:c>
      <x:c r="K122"/>
      <x:c r="L122"/>
    </x:row>
    <x:row r="123" ht="26" customHeight="1">
      <x:c r="A123" s="206" t="str">
        <x:v>T-194</x:v>
      </x:c>
      <x:c r="B123" s="206" t="str">
        <x:f>IF(INDEX(Backlog!$B$2:$B$180,MATCH($A123,Backlog!$A$2:$A$180,0))="","",INDEX(Backlog!$B$2:$B$180,MATCH($A123,Backlog!$A$2:$A$180,0)))</x:f>
        <x:v>M3</x:v>
      </x:c>
      <x:c r="C123" s="206" t="str">
        <x:f>IF(INDEX(Backlog!$C$2:$C$180,MATCH($A123,Backlog!$A$2:$A$180,0))="","",INDEX(Backlog!$C$2:$C$180,MATCH($A123,Backlog!$A$2:$A$180,0)))</x:f>
        <x:v>P2</x:v>
      </x:c>
      <x:c r="D123" s="206" t="str">
        <x:f>IF(INDEX(Backlog!$L$2:$L$180,MATCH($A123,Backlog!$A$2:$A$180,0))="","",INDEX(Backlog!$L$2:$L$180,MATCH($A123,Backlog!$A$2:$A$180,0)))</x:f>
        <x:v>Worker 1</x:v>
      </x:c>
      <x:c r="E123" s="206" t="str">
        <x:f>IF(INDEX(Backlog!$K$2:$K$180,MATCH($A123,Backlog!$A$2:$A$180,0))="","",INDEX(Backlog!$K$2:$K$180,MATCH($A123,Backlog!$A$2:$A$180,0)))</x:f>
        <x:v>Not Started</x:v>
      </x:c>
      <x:c r="F123" s="206" t="n">
        <x:f>IF(ISNUMBER(INDEX(Backlog!$R$2:$R$180,MATCH($A123,Backlog!$A$2:$A$180,0))),INDEX(Backlog!$R$2:$R$180,MATCH($A123,Backlog!$A$2:$A$180,0)),"")</x:f>
        <x:v>0.8999999999999999</x:v>
      </x:c>
      <x:c r="G123" s="206" t="str">
        <x:f>IF(INDEX(Backlog!$M$2:$M$180,MATCH($A123,Backlog!$A$2:$A$180,0))="","",INDEX(Backlog!$M$2:$M$180,MATCH($A123,Backlog!$A$2:$A$180,0)))</x:f>
        <x:v>T-117; T-127</x:v>
      </x:c>
      <x:c r="H123" s="206" t="str">
        <x:f>IF(INDEX(Backlog!$N$2:$N$180,MATCH($A123,Backlog!$A$2:$A$180,0))="","",INDEX(Backlog!$N$2:$N$180,MATCH($A123,Backlog!$A$2:$A$180,0)))</x:f>
      </x:c>
      <x:c r="I123" s="206" t="str">
        <x:f>IF(INDEX(Backlog!$T$2:$T$180,MATCH($A123,Backlog!$A$2:$A$180,0))="","",INDEX(Backlog!$T$2:$T$180,MATCH($A123,Backlog!$A$2:$A$180,0)))</x:f>
        <x:v>WAIT for Presentation RC freeze/tag + clean index/worktree. Then: T-117 + T-127</x:v>
      </x:c>
      <x:c r="J123" s="194" t="str">
        <x:f>IF(INDEX(Backlog!$AN$2:$AN$180,MATCH($A123,Backlog!$A$2:$A$180,0))="","",INDEX(Backlog!$AN$2:$AN$180,MATCH($A123,Backlog!$A$2:$A$180,0)))</x:f>
      </x:c>
      <x:c r="K123"/>
      <x:c r="L123"/>
    </x:row>
    <x:row r="124" ht="26" customHeight="1">
      <x:c r="A124" s="206" t="str">
        <x:v>T-196</x:v>
      </x:c>
      <x:c r="B124" s="206" t="str">
        <x:f>IF(INDEX(Backlog!$B$2:$B$180,MATCH($A124,Backlog!$A$2:$A$180,0))="","",INDEX(Backlog!$B$2:$B$180,MATCH($A124,Backlog!$A$2:$A$180,0)))</x:f>
        <x:v>M3</x:v>
      </x:c>
      <x:c r="C124" s="206" t="str">
        <x:f>IF(INDEX(Backlog!$C$2:$C$180,MATCH($A124,Backlog!$A$2:$A$180,0))="","",INDEX(Backlog!$C$2:$C$180,MATCH($A124,Backlog!$A$2:$A$180,0)))</x:f>
        <x:v>P2</x:v>
      </x:c>
      <x:c r="D124" s="206" t="str">
        <x:f>IF(INDEX(Backlog!$L$2:$L$180,MATCH($A124,Backlog!$A$2:$A$180,0))="","",INDEX(Backlog!$L$2:$L$180,MATCH($A124,Backlog!$A$2:$A$180,0)))</x:f>
        <x:v>Worker 2</x:v>
      </x:c>
      <x:c r="E124" s="206" t="str">
        <x:f>IF(INDEX(Backlog!$K$2:$K$180,MATCH($A124,Backlog!$A$2:$A$180,0))="","",INDEX(Backlog!$K$2:$K$180,MATCH($A124,Backlog!$A$2:$A$180,0)))</x:f>
        <x:v>Not Started</x:v>
      </x:c>
      <x:c r="F124" s="206" t="n">
        <x:f>IF(ISNUMBER(INDEX(Backlog!$R$2:$R$180,MATCH($A124,Backlog!$A$2:$A$180,0))),INDEX(Backlog!$R$2:$R$180,MATCH($A124,Backlog!$A$2:$A$180,0)),"")</x:f>
        <x:v>1.3333333333333333</x:v>
      </x:c>
      <x:c r="G124" s="206" t="str">
        <x:f>IF(INDEX(Backlog!$M$2:$M$180,MATCH($A124,Backlog!$A$2:$A$180,0))="","",INDEX(Backlog!$M$2:$M$180,MATCH($A124,Backlog!$A$2:$A$180,0)))</x:f>
        <x:v>T-087; T-094; T-095</x:v>
      </x:c>
      <x:c r="H124" s="206" t="str">
        <x:f>IF(INDEX(Backlog!$N$2:$N$180,MATCH($A124,Backlog!$A$2:$A$180,0))="","",INDEX(Backlog!$N$2:$N$180,MATCH($A124,Backlog!$A$2:$A$180,0)))</x:f>
        <x:v>T-127</x:v>
      </x:c>
      <x:c r="I124" s="206" t="str">
        <x:f>IF(INDEX(Backlog!$T$2:$T$180,MATCH($A124,Backlog!$A$2:$A$180,0))="","",INDEX(Backlog!$T$2:$T$180,MATCH($A124,Backlog!$A$2:$A$180,0)))</x:f>
        <x:v>WAIT for Presentation RC freeze/tag + clean index/worktree. Then: T-087 + T-094 + T-095</x:v>
      </x:c>
      <x:c r="J124" s="194" t="str">
        <x:f>IF(INDEX(Backlog!$AN$2:$AN$180,MATCH($A124,Backlog!$A$2:$A$180,0))="","",INDEX(Backlog!$AN$2:$AN$180,MATCH($A124,Backlog!$A$2:$A$180,0)))</x:f>
      </x:c>
      <x:c r="K124"/>
      <x:c r="L124"/>
    </x:row>
    <x:row r="125" ht="26" customHeight="1">
      <x:c r="A125" s="206" t="str">
        <x:v>T-197</x:v>
      </x:c>
      <x:c r="B125" s="206" t="str">
        <x:f>IF(INDEX(Backlog!$B$2:$B$180,MATCH($A125,Backlog!$A$2:$A$180,0))="","",INDEX(Backlog!$B$2:$B$180,MATCH($A125,Backlog!$A$2:$A$180,0)))</x:f>
        <x:v>M3</x:v>
      </x:c>
      <x:c r="C125" s="206" t="str">
        <x:f>IF(INDEX(Backlog!$C$2:$C$180,MATCH($A125,Backlog!$A$2:$A$180,0))="","",INDEX(Backlog!$C$2:$C$180,MATCH($A125,Backlog!$A$2:$A$180,0)))</x:f>
        <x:v>P2</x:v>
      </x:c>
      <x:c r="D125" s="206" t="str">
        <x:f>IF(INDEX(Backlog!$L$2:$L$180,MATCH($A125,Backlog!$A$2:$A$180,0))="","",INDEX(Backlog!$L$2:$L$180,MATCH($A125,Backlog!$A$2:$A$180,0)))</x:f>
        <x:v>Worker 2</x:v>
      </x:c>
      <x:c r="E125" s="206" t="str">
        <x:f>IF(INDEX(Backlog!$K$2:$K$180,MATCH($A125,Backlog!$A$2:$A$180,0))="","",INDEX(Backlog!$K$2:$K$180,MATCH($A125,Backlog!$A$2:$A$180,0)))</x:f>
        <x:v>Not Started</x:v>
      </x:c>
      <x:c r="F125" s="206" t="n">
        <x:f>IF(ISNUMBER(INDEX(Backlog!$R$2:$R$180,MATCH($A125,Backlog!$A$2:$A$180,0))),INDEX(Backlog!$R$2:$R$180,MATCH($A125,Backlog!$A$2:$A$180,0)),"")</x:f>
        <x:v>2.285714285714286</x:v>
      </x:c>
      <x:c r="G125" s="206" t="str">
        <x:f>IF(INDEX(Backlog!$M$2:$M$180,MATCH($A125,Backlog!$A$2:$A$180,0))="","",INDEX(Backlog!$M$2:$M$180,MATCH($A125,Backlog!$A$2:$A$180,0)))</x:f>
        <x:v>T-119; T-198</x:v>
      </x:c>
      <x:c r="H125" s="206" t="str">
        <x:f>IF(INDEX(Backlog!$N$2:$N$180,MATCH($A125,Backlog!$A$2:$A$180,0))="","",INDEX(Backlog!$N$2:$N$180,MATCH($A125,Backlog!$A$2:$A$180,0)))</x:f>
        <x:v>T-127</x:v>
      </x:c>
      <x:c r="I125" s="206" t="str">
        <x:f>IF(INDEX(Backlog!$T$2:$T$180,MATCH($A125,Backlog!$A$2:$A$180,0))="","",INDEX(Backlog!$T$2:$T$180,MATCH($A125,Backlog!$A$2:$A$180,0)))</x:f>
        <x:v>WAIT for Presentation RC freeze/tag + clean index/worktree. Then: T-119 + T-198</x:v>
      </x:c>
      <x:c r="J125" s="194" t="str">
        <x:f>IF(INDEX(Backlog!$AN$2:$AN$180,MATCH($A125,Backlog!$A$2:$A$180,0))="","",INDEX(Backlog!$AN$2:$AN$180,MATCH($A125,Backlog!$A$2:$A$180,0)))</x:f>
      </x:c>
      <x:c r="K125"/>
      <x:c r="L125"/>
    </x:row>
    <x:row r="126" ht="26" customHeight="1">
      <x:c r="A126" s="206" t="str">
        <x:v>T-198</x:v>
      </x:c>
      <x:c r="B126" s="206" t="str">
        <x:f>IF(INDEX(Backlog!$B$2:$B$180,MATCH($A126,Backlog!$A$2:$A$180,0))="","",INDEX(Backlog!$B$2:$B$180,MATCH($A126,Backlog!$A$2:$A$180,0)))</x:f>
        <x:v>M3</x:v>
      </x:c>
      <x:c r="C126" s="206" t="str">
        <x:f>IF(INDEX(Backlog!$C$2:$C$180,MATCH($A126,Backlog!$A$2:$A$180,0))="","",INDEX(Backlog!$C$2:$C$180,MATCH($A126,Backlog!$A$2:$A$180,0)))</x:f>
        <x:v>P2</x:v>
      </x:c>
      <x:c r="D126" s="206" t="str">
        <x:f>IF(INDEX(Backlog!$L$2:$L$180,MATCH($A126,Backlog!$A$2:$A$180,0))="","",INDEX(Backlog!$L$2:$L$180,MATCH($A126,Backlog!$A$2:$A$180,0)))</x:f>
        <x:v>Worker 2</x:v>
      </x:c>
      <x:c r="E126" s="206" t="str">
        <x:f>IF(INDEX(Backlog!$K$2:$K$180,MATCH($A126,Backlog!$A$2:$A$180,0))="","",INDEX(Backlog!$K$2:$K$180,MATCH($A126,Backlog!$A$2:$A$180,0)))</x:f>
        <x:v>Not Started</x:v>
      </x:c>
      <x:c r="F126" s="206" t="n">
        <x:f>IF(ISNUMBER(INDEX(Backlog!$R$2:$R$180,MATCH($A126,Backlog!$A$2:$A$180,0))),INDEX(Backlog!$R$2:$R$180,MATCH($A126,Backlog!$A$2:$A$180,0)),"")</x:f>
        <x:v>2.742857142857143</x:v>
      </x:c>
      <x:c r="G126" s="206" t="str">
        <x:f>IF(INDEX(Backlog!$M$2:$M$180,MATCH($A126,Backlog!$A$2:$A$180,0))="","",INDEX(Backlog!$M$2:$M$180,MATCH($A126,Backlog!$A$2:$A$180,0)))</x:f>
        <x:v>T-112; T-114; T-119</x:v>
      </x:c>
      <x:c r="H126" s="206" t="str">
        <x:f>IF(INDEX(Backlog!$N$2:$N$180,MATCH($A126,Backlog!$A$2:$A$180,0))="","",INDEX(Backlog!$N$2:$N$180,MATCH($A126,Backlog!$A$2:$A$180,0)))</x:f>
        <x:v>T-127; T-197; T-199</x:v>
      </x:c>
      <x:c r="I126" s="206" t="str">
        <x:f>IF(INDEX(Backlog!$T$2:$T$180,MATCH($A126,Backlog!$A$2:$A$180,0))="","",INDEX(Backlog!$T$2:$T$180,MATCH($A126,Backlog!$A$2:$A$180,0)))</x:f>
        <x:v>WAIT for Presentation RC freeze/tag + clean index/worktree. Then: T-112 + T-114 + T-119</x:v>
      </x:c>
      <x:c r="J126" s="194" t="str">
        <x:f>IF(INDEX(Backlog!$AN$2:$AN$180,MATCH($A126,Backlog!$A$2:$A$180,0))="","",INDEX(Backlog!$AN$2:$AN$180,MATCH($A126,Backlog!$A$2:$A$180,0)))</x:f>
      </x:c>
      <x:c r="K126"/>
      <x:c r="L126"/>
    </x:row>
    <x:row r="127" ht="26" customHeight="1">
      <x:c r="A127" s="206" t="str">
        <x:v>T-199</x:v>
      </x:c>
      <x:c r="B127" s="206" t="str">
        <x:f>IF(INDEX(Backlog!$B$2:$B$180,MATCH($A127,Backlog!$A$2:$A$180,0))="","",INDEX(Backlog!$B$2:$B$180,MATCH($A127,Backlog!$A$2:$A$180,0)))</x:f>
        <x:v>M3</x:v>
      </x:c>
      <x:c r="C127" s="206" t="str">
        <x:f>IF(INDEX(Backlog!$C$2:$C$180,MATCH($A127,Backlog!$A$2:$A$180,0))="","",INDEX(Backlog!$C$2:$C$180,MATCH($A127,Backlog!$A$2:$A$180,0)))</x:f>
        <x:v>P2</x:v>
      </x:c>
      <x:c r="D127" s="206" t="str">
        <x:f>IF(INDEX(Backlog!$L$2:$L$180,MATCH($A127,Backlog!$A$2:$A$180,0))="","",INDEX(Backlog!$L$2:$L$180,MATCH($A127,Backlog!$A$2:$A$180,0)))</x:f>
        <x:v>Worker 2</x:v>
      </x:c>
      <x:c r="E127" s="206" t="str">
        <x:f>IF(INDEX(Backlog!$K$2:$K$180,MATCH($A127,Backlog!$A$2:$A$180,0))="","",INDEX(Backlog!$K$2:$K$180,MATCH($A127,Backlog!$A$2:$A$180,0)))</x:f>
        <x:v>Not Started</x:v>
      </x:c>
      <x:c r="F127" s="206" t="n">
        <x:f>IF(ISNUMBER(INDEX(Backlog!$R$2:$R$180,MATCH($A127,Backlog!$A$2:$A$180,0))),INDEX(Backlog!$R$2:$R$180,MATCH($A127,Backlog!$A$2:$A$180,0)),"")</x:f>
        <x:v>2.742857142857143</x:v>
      </x:c>
      <x:c r="G127" s="206" t="str">
        <x:f>IF(INDEX(Backlog!$M$2:$M$180,MATCH($A127,Backlog!$A$2:$A$180,0))="","",INDEX(Backlog!$M$2:$M$180,MATCH($A127,Backlog!$A$2:$A$180,0)))</x:f>
        <x:v>T-124; T-198</x:v>
      </x:c>
      <x:c r="H127" s="206" t="str">
        <x:f>IF(INDEX(Backlog!$N$2:$N$180,MATCH($A127,Backlog!$A$2:$A$180,0))="","",INDEX(Backlog!$N$2:$N$180,MATCH($A127,Backlog!$A$2:$A$180,0)))</x:f>
        <x:v>T-127</x:v>
      </x:c>
      <x:c r="I127" s="206" t="str">
        <x:f>IF(INDEX(Backlog!$T$2:$T$180,MATCH($A127,Backlog!$A$2:$A$180,0))="","",INDEX(Backlog!$T$2:$T$180,MATCH($A127,Backlog!$A$2:$A$180,0)))</x:f>
        <x:v>WAIT for Presentation RC freeze/tag + clean index/worktree. Then: T-124 + T-198</x:v>
      </x:c>
      <x:c r="J127" s="194" t="str">
        <x:f>IF(INDEX(Backlog!$AN$2:$AN$180,MATCH($A127,Backlog!$A$2:$A$180,0))="","",INDEX(Backlog!$AN$2:$AN$180,MATCH($A127,Backlog!$A$2:$A$180,0)))</x:f>
      </x:c>
      <x:c r="K127"/>
      <x:c r="L127"/>
    </x:row>
    <x:row r="128" ht="26" customHeight="1">
      <x:c r="A128" s="206" t="str">
        <x:v>T-200</x:v>
      </x:c>
      <x:c r="B128" s="206" t="str">
        <x:f>IF(INDEX(Backlog!$B$2:$B$180,MATCH($A128,Backlog!$A$2:$A$180,0))="","",INDEX(Backlog!$B$2:$B$180,MATCH($A128,Backlog!$A$2:$A$180,0)))</x:f>
        <x:v>M3</x:v>
      </x:c>
      <x:c r="C128" s="206" t="str">
        <x:f>IF(INDEX(Backlog!$C$2:$C$180,MATCH($A128,Backlog!$A$2:$A$180,0))="","",INDEX(Backlog!$C$2:$C$180,MATCH($A128,Backlog!$A$2:$A$180,0)))</x:f>
        <x:v>P2</x:v>
      </x:c>
      <x:c r="D128" s="206" t="str">
        <x:f>IF(INDEX(Backlog!$L$2:$L$180,MATCH($A128,Backlog!$A$2:$A$180,0))="","",INDEX(Backlog!$L$2:$L$180,MATCH($A128,Backlog!$A$2:$A$180,0)))</x:f>
        <x:v>Worker 2</x:v>
      </x:c>
      <x:c r="E128" s="206" t="str">
        <x:f>IF(INDEX(Backlog!$K$2:$K$180,MATCH($A128,Backlog!$A$2:$A$180,0))="","",INDEX(Backlog!$K$2:$K$180,MATCH($A128,Backlog!$A$2:$A$180,0)))</x:f>
        <x:v>Not Started</x:v>
      </x:c>
      <x:c r="F128" s="206" t="n">
        <x:f>IF(ISNUMBER(INDEX(Backlog!$R$2:$R$180,MATCH($A128,Backlog!$A$2:$A$180,0))),INDEX(Backlog!$R$2:$R$180,MATCH($A128,Backlog!$A$2:$A$180,0)),"")</x:f>
        <x:v>2.285714285714286</x:v>
      </x:c>
      <x:c r="G128" s="206" t="str">
        <x:f>IF(INDEX(Backlog!$M$2:$M$180,MATCH($A128,Backlog!$A$2:$A$180,0))="","",INDEX(Backlog!$M$2:$M$180,MATCH($A128,Backlog!$A$2:$A$180,0)))</x:f>
        <x:v>T-113; T-119; T-216</x:v>
      </x:c>
      <x:c r="H128" s="206" t="str">
        <x:f>IF(INDEX(Backlog!$N$2:$N$180,MATCH($A128,Backlog!$A$2:$A$180,0))="","",INDEX(Backlog!$N$2:$N$180,MATCH($A128,Backlog!$A$2:$A$180,0)))</x:f>
        <x:v>T-127</x:v>
      </x:c>
      <x:c r="I128" s="206" t="str">
        <x:f>IF(INDEX(Backlog!$T$2:$T$180,MATCH($A128,Backlog!$A$2:$A$180,0))="","",INDEX(Backlog!$T$2:$T$180,MATCH($A128,Backlog!$A$2:$A$180,0)))</x:f>
        <x:v>WAIT for Presentation RC freeze/tag + clean index/worktree. Then: T-113 + T-119</x:v>
      </x:c>
      <x:c r="J128" s="194" t="str">
        <x:f>IF(INDEX(Backlog!$AN$2:$AN$180,MATCH($A128,Backlog!$A$2:$A$180,0))="","",INDEX(Backlog!$AN$2:$AN$180,MATCH($A128,Backlog!$A$2:$A$180,0)))</x:f>
      </x:c>
      <x:c r="K128"/>
      <x:c r="L128"/>
    </x:row>
    <x:row r="129" ht="26" customHeight="1">
      <x:c r="A129" s="206" t="str">
        <x:v>T-156</x:v>
      </x:c>
      <x:c r="B129" s="206" t="str">
        <x:f>IF(INDEX(Backlog!$B$2:$B$180,MATCH($A129,Backlog!$A$2:$A$180,0))="","",INDEX(Backlog!$B$2:$B$180,MATCH($A129,Backlog!$A$2:$A$180,0)))</x:f>
        <x:v>M3</x:v>
      </x:c>
      <x:c r="C129" s="206" t="str">
        <x:f>IF(INDEX(Backlog!$C$2:$C$180,MATCH($A129,Backlog!$A$2:$A$180,0))="","",INDEX(Backlog!$C$2:$C$180,MATCH($A129,Backlog!$A$2:$A$180,0)))</x:f>
        <x:v>P3</x:v>
      </x:c>
      <x:c r="D129" s="206" t="str">
        <x:f>IF(INDEX(Backlog!$L$2:$L$180,MATCH($A129,Backlog!$A$2:$A$180,0))="","",INDEX(Backlog!$L$2:$L$180,MATCH($A129,Backlog!$A$2:$A$180,0)))</x:f>
        <x:v>Worker 2</x:v>
      </x:c>
      <x:c r="E129" s="206" t="str">
        <x:f>IF(INDEX(Backlog!$K$2:$K$180,MATCH($A129,Backlog!$A$2:$A$180,0))="","",INDEX(Backlog!$K$2:$K$180,MATCH($A129,Backlog!$A$2:$A$180,0)))</x:f>
        <x:v>Not Started</x:v>
      </x:c>
      <x:c r="F129" s="206" t="n">
        <x:f>IF(ISNUMBER(INDEX(Backlog!$R$2:$R$180,MATCH($A129,Backlog!$A$2:$A$180,0))),INDEX(Backlog!$R$2:$R$180,MATCH($A129,Backlog!$A$2:$A$180,0)),"")</x:f>
        <x:v>7.2</x:v>
      </x:c>
      <x:c r="G129" s="206" t="str">
        <x:f>IF(INDEX(Backlog!$M$2:$M$180,MATCH($A129,Backlog!$A$2:$A$180,0))="","",INDEX(Backlog!$M$2:$M$180,MATCH($A129,Backlog!$A$2:$A$180,0)))</x:f>
      </x:c>
      <x:c r="H129" s="206" t="str">
        <x:f>IF(INDEX(Backlog!$N$2:$N$180,MATCH($A129,Backlog!$A$2:$A$180,0))="","",INDEX(Backlog!$N$2:$N$180,MATCH($A129,Backlog!$A$2:$A$180,0)))</x:f>
      </x:c>
      <x:c r="I129" s="206" t="str">
        <x:f>IF(INDEX(Backlog!$T$2:$T$180,MATCH($A129,Backlog!$A$2:$A$180,0))="","",INDEX(Backlog!$T$2:$T$180,MATCH($A129,Backlog!$A$2:$A$180,0)))</x:f>
        <x:v>WAIT for deployed Release 1 + real customer/site evidence. M3 sequence</x:v>
      </x:c>
      <x:c r="J129" s="194" t="str">
        <x:f>IF(INDEX(Backlog!$AN$2:$AN$180,MATCH($A129,Backlog!$A$2:$A$180,0))="","",INDEX(Backlog!$AN$2:$AN$180,MATCH($A129,Backlog!$A$2:$A$180,0)))</x:f>
      </x:c>
      <x:c r="K129"/>
      <x:c r="L129"/>
    </x:row>
    <x:row r="130" ht="26" customHeight="1">
      <x:c r="A130" s="206" t="str">
        <x:v>T-166</x:v>
      </x:c>
      <x:c r="B130" s="206" t="str">
        <x:f>IF(INDEX(Backlog!$B$2:$B$180,MATCH($A130,Backlog!$A$2:$A$180,0))="","",INDEX(Backlog!$B$2:$B$180,MATCH($A130,Backlog!$A$2:$A$180,0)))</x:f>
        <x:v>M3</x:v>
      </x:c>
      <x:c r="C130" s="206" t="str">
        <x:f>IF(INDEX(Backlog!$C$2:$C$180,MATCH($A130,Backlog!$A$2:$A$180,0))="","",INDEX(Backlog!$C$2:$C$180,MATCH($A130,Backlog!$A$2:$A$180,0)))</x:f>
        <x:v>P3</x:v>
      </x:c>
      <x:c r="D130" s="206" t="str">
        <x:f>IF(INDEX(Backlog!$L$2:$L$180,MATCH($A130,Backlog!$A$2:$A$180,0))="","",INDEX(Backlog!$L$2:$L$180,MATCH($A130,Backlog!$A$2:$A$180,0)))</x:f>
        <x:v>Worker 2</x:v>
      </x:c>
      <x:c r="E130" s="206" t="str">
        <x:f>IF(INDEX(Backlog!$K$2:$K$180,MATCH($A130,Backlog!$A$2:$A$180,0))="","",INDEX(Backlog!$K$2:$K$180,MATCH($A130,Backlog!$A$2:$A$180,0)))</x:f>
        <x:v>Not Started</x:v>
      </x:c>
      <x:c r="F130" s="206" t="n">
        <x:f>IF(ISNUMBER(INDEX(Backlog!$R$2:$R$180,MATCH($A130,Backlog!$A$2:$A$180,0))),INDEX(Backlog!$R$2:$R$180,MATCH($A130,Backlog!$A$2:$A$180,0)),"")</x:f>
        <x:v>7.2</x:v>
      </x:c>
      <x:c r="G130" s="206" t="str">
        <x:f>IF(INDEX(Backlog!$M$2:$M$180,MATCH($A130,Backlog!$A$2:$A$180,0))="","",INDEX(Backlog!$M$2:$M$180,MATCH($A130,Backlog!$A$2:$A$180,0)))</x:f>
      </x:c>
      <x:c r="H130" s="206" t="str">
        <x:f>IF(INDEX(Backlog!$N$2:$N$180,MATCH($A130,Backlog!$A$2:$A$180,0))="","",INDEX(Backlog!$N$2:$N$180,MATCH($A130,Backlog!$A$2:$A$180,0)))</x:f>
      </x:c>
      <x:c r="I130" s="206" t="str">
        <x:f>IF(INDEX(Backlog!$T$2:$T$180,MATCH($A130,Backlog!$A$2:$A$180,0))="","",INDEX(Backlog!$T$2:$T$180,MATCH($A130,Backlog!$A$2:$A$180,0)))</x:f>
        <x:v>WAIT for deployed Release 1 + real customer/site evidence. M3 sequence</x:v>
      </x:c>
      <x:c r="J130" s="194" t="str">
        <x:f>IF(INDEX(Backlog!$AN$2:$AN$180,MATCH($A130,Backlog!$A$2:$A$180,0))="","",INDEX(Backlog!$AN$2:$AN$180,MATCH($A130,Backlog!$A$2:$A$180,0)))</x:f>
      </x:c>
      <x:c r="K130"/>
      <x:c r="L130"/>
    </x:row>
    <x:row r="131" ht="26" customHeight="1">
      <x:c r="A131" s="206" t="str">
        <x:v>T-228</x:v>
      </x:c>
      <x:c r="B131" s="206" t="str">
        <x:f>IF(INDEX(Backlog!$B$2:$B$180,MATCH($A131,Backlog!$A$2:$A$180,0))="","",INDEX(Backlog!$B$2:$B$180,MATCH($A131,Backlog!$A$2:$A$180,0)))</x:f>
        <x:v>M3</x:v>
      </x:c>
      <x:c r="C131" s="206" t="str">
        <x:f>IF(INDEX(Backlog!$C$2:$C$180,MATCH($A131,Backlog!$A$2:$A$180,0))="","",INDEX(Backlog!$C$2:$C$180,MATCH($A131,Backlog!$A$2:$A$180,0)))</x:f>
        <x:v>P3</x:v>
      </x:c>
      <x:c r="D131" s="206" t="str">
        <x:f>IF(INDEX(Backlog!$L$2:$L$180,MATCH($A131,Backlog!$A$2:$A$180,0))="","",INDEX(Backlog!$L$2:$L$180,MATCH($A131,Backlog!$A$2:$A$180,0)))</x:f>
        <x:v>Worker 3</x:v>
      </x:c>
      <x:c r="E131" s="206" t="str">
        <x:f>IF(INDEX(Backlog!$K$2:$K$180,MATCH($A131,Backlog!$A$2:$A$180,0))="","",INDEX(Backlog!$K$2:$K$180,MATCH($A131,Backlog!$A$2:$A$180,0)))</x:f>
        <x:v>Not Started</x:v>
      </x:c>
      <x:c r="F131" s="206" t="n">
        <x:f>IF(ISNUMBER(INDEX(Backlog!$R$2:$R$180,MATCH($A131,Backlog!$A$2:$A$180,0))),INDEX(Backlog!$R$2:$R$180,MATCH($A131,Backlog!$A$2:$A$180,0)),"")</x:f>
        <x:v>3.2</x:v>
      </x:c>
      <x:c r="G131" s="206" t="str">
        <x:f>IF(INDEX(Backlog!$M$2:$M$180,MATCH($A131,Backlog!$A$2:$A$180,0))="","",INDEX(Backlog!$M$2:$M$180,MATCH($A131,Backlog!$A$2:$A$180,0)))</x:f>
        <x:v>T-090; T-092; T-134; T-179; T-180; T-181</x:v>
      </x:c>
      <x:c r="H131" s="206" t="str">
        <x:f>IF(INDEX(Backlog!$N$2:$N$180,MATCH($A131,Backlog!$A$2:$A$180,0))="","",INDEX(Backlog!$N$2:$N$180,MATCH($A131,Backlog!$A$2:$A$180,0)))</x:f>
        <x:v>T-229; T-248</x:v>
      </x:c>
      <x:c r="I131" s="206" t="str">
        <x:f>IF(INDEX(Backlog!$T$2:$T$180,MATCH($A131,Backlog!$A$2:$A$180,0))="","",INDEX(Backlog!$T$2:$T$180,MATCH($A131,Backlog!$A$2:$A$180,0)))</x:f>
        <x:v>After September customer RC; T-090/T-092 + T-134 + T-179..181.</x:v>
      </x:c>
      <x:c r="J131" s="194" t="str">
        <x:f>IF(INDEX(Backlog!$AN$2:$AN$180,MATCH($A131,Backlog!$A$2:$A$180,0))="","",INDEX(Backlog!$AN$2:$AN$180,MATCH($A131,Backlog!$A$2:$A$180,0)))</x:f>
      </x:c>
      <x:c r="K131"/>
      <x:c r="L131"/>
    </x:row>
    <x:row r="132" ht="26" customHeight="1">
      <x:c r="A132" s="206" t="str">
        <x:v>T-229</x:v>
      </x:c>
      <x:c r="B132" s="206" t="str">
        <x:f>IF(INDEX(Backlog!$B$2:$B$180,MATCH($A132,Backlog!$A$2:$A$180,0))="","",INDEX(Backlog!$B$2:$B$180,MATCH($A132,Backlog!$A$2:$A$180,0)))</x:f>
        <x:v>M3</x:v>
      </x:c>
      <x:c r="C132" s="206" t="str">
        <x:f>IF(INDEX(Backlog!$C$2:$C$180,MATCH($A132,Backlog!$A$2:$A$180,0))="","",INDEX(Backlog!$C$2:$C$180,MATCH($A132,Backlog!$A$2:$A$180,0)))</x:f>
        <x:v>P3</x:v>
      </x:c>
      <x:c r="D132" s="206" t="str">
        <x:f>IF(INDEX(Backlog!$L$2:$L$180,MATCH($A132,Backlog!$A$2:$A$180,0))="","",INDEX(Backlog!$L$2:$L$180,MATCH($A132,Backlog!$A$2:$A$180,0)))</x:f>
        <x:v>Worker 3</x:v>
      </x:c>
      <x:c r="E132" s="206" t="str">
        <x:f>IF(INDEX(Backlog!$K$2:$K$180,MATCH($A132,Backlog!$A$2:$A$180,0))="","",INDEX(Backlog!$K$2:$K$180,MATCH($A132,Backlog!$A$2:$A$180,0)))</x:f>
        <x:v>Not Started</x:v>
      </x:c>
      <x:c r="F132" s="206" t="n">
        <x:f>IF(ISNUMBER(INDEX(Backlog!$R$2:$R$180,MATCH($A132,Backlog!$A$2:$A$180,0))),INDEX(Backlog!$R$2:$R$180,MATCH($A132,Backlog!$A$2:$A$180,0)),"")</x:f>
        <x:v>6.171428571428571</x:v>
      </x:c>
      <x:c r="G132" s="206" t="str">
        <x:f>IF(INDEX(Backlog!$M$2:$M$180,MATCH($A132,Backlog!$A$2:$A$180,0))="","",INDEX(Backlog!$M$2:$M$180,MATCH($A132,Backlog!$A$2:$A$180,0)))</x:f>
        <x:v>T-228; T-134</x:v>
      </x:c>
      <x:c r="H132" s="206" t="str">
        <x:f>IF(INDEX(Backlog!$N$2:$N$180,MATCH($A132,Backlog!$A$2:$A$180,0))="","",INDEX(Backlog!$N$2:$N$180,MATCH($A132,Backlog!$A$2:$A$180,0)))</x:f>
        <x:v>T-230</x:v>
      </x:c>
      <x:c r="I132" s="206" t="str">
        <x:f>IF(INDEX(Backlog!$T$2:$T$180,MATCH($A132,Backlog!$A$2:$A$180,0))="","",INDEX(Backlog!$T$2:$T$180,MATCH($A132,Backlog!$A$2:$A$180,0)))</x:f>
        <x:v>T-228 + T-134 + stable Page Builder contract; coordinate UI consumption with Worker 2.</x:v>
      </x:c>
      <x:c r="J132" s="194" t="str">
        <x:f>IF(INDEX(Backlog!$AN$2:$AN$180,MATCH($A132,Backlog!$A$2:$A$180,0))="","",INDEX(Backlog!$AN$2:$AN$180,MATCH($A132,Backlog!$A$2:$A$180,0)))</x:f>
      </x:c>
      <x:c r="K132"/>
      <x:c r="L132"/>
    </x:row>
    <x:row r="133" ht="26" customHeight="1">
      <x:c r="A133" s="206" t="str">
        <x:v>T-230</x:v>
      </x:c>
      <x:c r="B133" s="206" t="str">
        <x:f>IF(INDEX(Backlog!$B$2:$B$180,MATCH($A133,Backlog!$A$2:$A$180,0))="","",INDEX(Backlog!$B$2:$B$180,MATCH($A133,Backlog!$A$2:$A$180,0)))</x:f>
        <x:v>M3</x:v>
      </x:c>
      <x:c r="C133" s="206" t="str">
        <x:f>IF(INDEX(Backlog!$C$2:$C$180,MATCH($A133,Backlog!$A$2:$A$180,0))="","",INDEX(Backlog!$C$2:$C$180,MATCH($A133,Backlog!$A$2:$A$180,0)))</x:f>
        <x:v>P3</x:v>
      </x:c>
      <x:c r="D133" s="206" t="str">
        <x:f>IF(INDEX(Backlog!$L$2:$L$180,MATCH($A133,Backlog!$A$2:$A$180,0))="","",INDEX(Backlog!$L$2:$L$180,MATCH($A133,Backlog!$A$2:$A$180,0)))</x:f>
        <x:v>Worker 3</x:v>
      </x:c>
      <x:c r="E133" s="206" t="str">
        <x:f>IF(INDEX(Backlog!$K$2:$K$180,MATCH($A133,Backlog!$A$2:$A$180,0))="","",INDEX(Backlog!$K$2:$K$180,MATCH($A133,Backlog!$A$2:$A$180,0)))</x:f>
        <x:v>Not Started</x:v>
      </x:c>
      <x:c r="F133" s="206" t="n">
        <x:f>IF(ISNUMBER(INDEX(Backlog!$R$2:$R$180,MATCH($A133,Backlog!$A$2:$A$180,0))),INDEX(Backlog!$R$2:$R$180,MATCH($A133,Backlog!$A$2:$A$180,0)),"")</x:f>
        <x:v>5.1</x:v>
      </x:c>
      <x:c r="G133" s="206" t="str">
        <x:f>IF(INDEX(Backlog!$M$2:$M$180,MATCH($A133,Backlog!$A$2:$A$180,0))="","",INDEX(Backlog!$M$2:$M$180,MATCH($A133,Backlog!$A$2:$A$180,0)))</x:f>
        <x:v>T-229; T-112; T-114</x:v>
      </x:c>
      <x:c r="H133" s="206" t="str">
        <x:f>IF(INDEX(Backlog!$N$2:$N$180,MATCH($A133,Backlog!$A$2:$A$180,0))="","",INDEX(Backlog!$N$2:$N$180,MATCH($A133,Backlog!$A$2:$A$180,0)))</x:f>
        <x:v>T-249</x:v>
      </x:c>
      <x:c r="I133" s="206" t="str">
        <x:f>IF(INDEX(Backlog!$T$2:$T$180,MATCH($A133,Backlog!$A$2:$A$180,0))="","",INDEX(Backlog!$T$2:$T$180,MATCH($A133,Backlog!$A$2:$A$180,0)))</x:f>
        <x:v>T-229 + canonical definition/evidence persistence + T-112/T-114.</x:v>
      </x:c>
      <x:c r="J133" s="194" t="str">
        <x:f>IF(INDEX(Backlog!$AN$2:$AN$180,MATCH($A133,Backlog!$A$2:$A$180,0))="","",INDEX(Backlog!$AN$2:$AN$180,MATCH($A133,Backlog!$A$2:$A$180,0)))</x:f>
      </x:c>
      <x:c r="K133"/>
      <x:c r="L133"/>
    </x:row>
    <x:row r="134" ht="26" customHeight="1">
      <x:c r="A134" s="206" t="str">
        <x:v>T-248</x:v>
      </x:c>
      <x:c r="B134" s="206" t="str">
        <x:f>IF(INDEX(Backlog!$B$2:$B$180,MATCH($A134,Backlog!$A$2:$A$180,0))="","",INDEX(Backlog!$B$2:$B$180,MATCH($A134,Backlog!$A$2:$A$180,0)))</x:f>
        <x:v>M3</x:v>
      </x:c>
      <x:c r="C134" s="206" t="str">
        <x:f>IF(INDEX(Backlog!$C$2:$C$180,MATCH($A134,Backlog!$A$2:$A$180,0))="","",INDEX(Backlog!$C$2:$C$180,MATCH($A134,Backlog!$A$2:$A$180,0)))</x:f>
        <x:v>P3</x:v>
      </x:c>
      <x:c r="D134" s="206" t="str">
        <x:f>IF(INDEX(Backlog!$L$2:$L$180,MATCH($A134,Backlog!$A$2:$A$180,0))="","",INDEX(Backlog!$L$2:$L$180,MATCH($A134,Backlog!$A$2:$A$180,0)))</x:f>
        <x:v>Worker 2</x:v>
      </x:c>
      <x:c r="E134" s="206" t="str">
        <x:f>IF(INDEX(Backlog!$K$2:$K$180,MATCH($A134,Backlog!$A$2:$A$180,0))="","",INDEX(Backlog!$K$2:$K$180,MATCH($A134,Backlog!$A$2:$A$180,0)))</x:f>
        <x:v>Not Started</x:v>
      </x:c>
      <x:c r="F134" s="206" t="n">
        <x:f>IF(ISNUMBER(INDEX(Backlog!$R$2:$R$180,MATCH($A134,Backlog!$A$2:$A$180,0))),INDEX(Backlog!$R$2:$R$180,MATCH($A134,Backlog!$A$2:$A$180,0)),"")</x:f>
        <x:v>11.2</x:v>
      </x:c>
      <x:c r="G134" s="206" t="str">
        <x:f>IF(INDEX(Backlog!$M$2:$M$180,MATCH($A134,Backlog!$A$2:$A$180,0))="","",INDEX(Backlog!$M$2:$M$180,MATCH($A134,Backlog!$A$2:$A$180,0)))</x:f>
        <x:v>T-148; T-202; T-203; T-204; T-205; T-228; T-241; T-243; T-244; T-245; T-257; T-267</x:v>
      </x:c>
      <x:c r="H134" s="206" t="str">
        <x:f>IF(INDEX(Backlog!$N$2:$N$180,MATCH($A134,Backlog!$A$2:$A$180,0))="","",INDEX(Backlog!$N$2:$N$180,MATCH($A134,Backlog!$A$2:$A$180,0)))</x:f>
        <x:v>T-249; T-263</x:v>
      </x:c>
      <x:c r="I134" s="206" t="str">
        <x:f>IF(INDEX(Backlog!$T$2:$T$180,MATCH($A134,Backlog!$A$2:$A$180,0))="","",INDEX(Backlog!$T$2:$T$180,MATCH($A134,Backlog!$A$2:$A$180,0)))</x:f>
        <x:v>After M2 Release 1 and InsightBoard authoring base</x:v>
      </x:c>
      <x:c r="J134" s="194" t="str">
        <x:f>IF(INDEX(Backlog!$AN$2:$AN$180,MATCH($A134,Backlog!$A$2:$A$180,0))="","",INDEX(Backlog!$AN$2:$AN$180,MATCH($A134,Backlog!$A$2:$A$180,0)))</x:f>
      </x:c>
      <x:c r="K134"/>
      <x:c r="L134"/>
    </x:row>
    <x:row r="135" ht="26" customHeight="1">
      <x:c r="A135" s="206" t="str">
        <x:v>T-263</x:v>
      </x:c>
      <x:c r="B135" s="206" t="str">
        <x:f>IF(INDEX(Backlog!$B$2:$B$180,MATCH($A135,Backlog!$A$2:$A$180,0))="","",INDEX(Backlog!$B$2:$B$180,MATCH($A135,Backlog!$A$2:$A$180,0)))</x:f>
        <x:v>M3</x:v>
      </x:c>
      <x:c r="C135" s="206" t="str">
        <x:f>IF(INDEX(Backlog!$C$2:$C$180,MATCH($A135,Backlog!$A$2:$A$180,0))="","",INDEX(Backlog!$C$2:$C$180,MATCH($A135,Backlog!$A$2:$A$180,0)))</x:f>
        <x:v>P3</x:v>
      </x:c>
      <x:c r="D135" s="206" t="str">
        <x:f>IF(INDEX(Backlog!$L$2:$L$180,MATCH($A135,Backlog!$A$2:$A$180,0))="","",INDEX(Backlog!$L$2:$L$180,MATCH($A135,Backlog!$A$2:$A$180,0)))</x:f>
        <x:v>Worker 2</x:v>
      </x:c>
      <x:c r="E135" s="206" t="str">
        <x:f>IF(INDEX(Backlog!$K$2:$K$180,MATCH($A135,Backlog!$A$2:$A$180,0))="","",INDEX(Backlog!$K$2:$K$180,MATCH($A135,Backlog!$A$2:$A$180,0)))</x:f>
        <x:v>Not Started</x:v>
      </x:c>
      <x:c r="F135" s="206" t="str">
        <x:f>IF(ISNUMBER(INDEX(Backlog!$R$2:$R$180,MATCH($A135,Backlog!$A$2:$A$180,0))),INDEX(Backlog!$R$2:$R$180,MATCH($A135,Backlog!$A$2:$A$180,0)),"")</x:f>
      </x:c>
      <x:c r="G135" s="206" t="str">
        <x:f>IF(INDEX(Backlog!$M$2:$M$180,MATCH($A135,Backlog!$A$2:$A$180,0))="","",INDEX(Backlog!$M$2:$M$180,MATCH($A135,Backlog!$A$2:$A$180,0)))</x:f>
        <x:v>T-106; T-248</x:v>
      </x:c>
      <x:c r="H135" s="206" t="str">
        <x:f>IF(INDEX(Backlog!$N$2:$N$180,MATCH($A135,Backlog!$A$2:$A$180,0))="","",INDEX(Backlog!$N$2:$N$180,MATCH($A135,Backlog!$A$2:$A$180,0)))</x:f>
        <x:v>T-249</x:v>
      </x:c>
      <x:c r="I135" s="206" t="str">
        <x:f>IF(INDEX(Backlog!$T$2:$T$180,MATCH($A135,Backlog!$A$2:$A$180,0))="","",INDEX(Backlog!$T$2:$T$180,MATCH($A135,Backlog!$A$2:$A$180,0)))</x:f>
        <x:v>Consume accepted producer contracts; remaining dependencies: T-106; T-248. No private scheduler/definition authority. Source-present is not closure proof.</x:v>
      </x:c>
      <x:c r="J135" s="194" t="str">
        <x:f>IF(INDEX(Backlog!$AN$2:$AN$180,MATCH($A135,Backlog!$A$2:$A$180,0))="","",INDEX(Backlog!$AN$2:$AN$180,MATCH($A135,Backlog!$A$2:$A$180,0)))</x:f>
      </x:c>
      <x:c r="K135"/>
      <x:c r="L135"/>
    </x:row>
    <x:row r="136" ht="26" customHeight="1">
      <x:c r="A136" s="206" t="str">
        <x:v>T-128</x:v>
      </x:c>
      <x:c r="B136" s="206" t="str">
        <x:f>IF(INDEX(Backlog!$B$2:$B$180,MATCH($A136,Backlog!$A$2:$A$180,0))="","",INDEX(Backlog!$B$2:$B$180,MATCH($A136,Backlog!$A$2:$A$180,0)))</x:f>
        <x:v>M3</x:v>
      </x:c>
      <x:c r="C136" s="206" t="str">
        <x:f>IF(INDEX(Backlog!$C$2:$C$180,MATCH($A136,Backlog!$A$2:$A$180,0))="","",INDEX(Backlog!$C$2:$C$180,MATCH($A136,Backlog!$A$2:$A$180,0)))</x:f>
        <x:v>P4</x:v>
      </x:c>
      <x:c r="D136" s="206" t="str">
        <x:f>IF(INDEX(Backlog!$L$2:$L$180,MATCH($A136,Backlog!$A$2:$A$180,0))="","",INDEX(Backlog!$L$2:$L$180,MATCH($A136,Backlog!$A$2:$A$180,0)))</x:f>
        <x:v>Worker 3</x:v>
      </x:c>
      <x:c r="E136" s="206" t="str">
        <x:f>IF(INDEX(Backlog!$K$2:$K$180,MATCH($A136,Backlog!$A$2:$A$180,0))="","",INDEX(Backlog!$K$2:$K$180,MATCH($A136,Backlog!$A$2:$A$180,0)))</x:f>
        <x:v>Not Started</x:v>
      </x:c>
      <x:c r="F136" s="206" t="n">
        <x:f>IF(ISNUMBER(INDEX(Backlog!$R$2:$R$180,MATCH($A136,Backlog!$A$2:$A$180,0))),INDEX(Backlog!$R$2:$R$180,MATCH($A136,Backlog!$A$2:$A$180,0)),"")</x:f>
        <x:v>1.5</x:v>
      </x:c>
      <x:c r="G136" s="206" t="str">
        <x:f>IF(INDEX(Backlog!$M$2:$M$180,MATCH($A136,Backlog!$A$2:$A$180,0))="","",INDEX(Backlog!$M$2:$M$180,MATCH($A136,Backlog!$A$2:$A$180,0)))</x:f>
        <x:v>T-087; T-088; T-089; T-090; T-091; T-092; T-093; T-094; T-095; T-096; T-097; T-098; T-099; T-100; T-101; T-102; T-103; T-104; T-112; T-114; T-231; T-210</x:v>
      </x:c>
      <x:c r="H136" s="206" t="str">
        <x:f>IF(INDEX(Backlog!$N$2:$N$180,MATCH($A136,Backlog!$A$2:$A$180,0))="","",INDEX(Backlog!$N$2:$N$180,MATCH($A136,Backlog!$A$2:$A$180,0)))</x:f>
        <x:v>T-129; T-130; T-131; T-135; T-146; T-147; T-184; T-186</x:v>
      </x:c>
      <x:c r="I136" s="206" t="str">
        <x:f>IF(INDEX(Backlog!$T$2:$T$180,MATCH($A136,Backlog!$A$2:$A$180,0))="","",INDEX(Backlog!$T$2:$T$180,MATCH($A136,Backlog!$A$2:$A$180,0)))</x:f>
        <x:v>T-087..T-105 + T-112 + T-114 security/tenant hand-off. Outcome semantics from...</x:v>
      </x:c>
      <x:c r="J136" s="194" t="str">
        <x:f>IF(INDEX(Backlog!$AN$2:$AN$180,MATCH($A136,Backlog!$A$2:$A$180,0))="","",INDEX(Backlog!$AN$2:$AN$180,MATCH($A136,Backlog!$A$2:$A$180,0)))</x:f>
      </x:c>
      <x:c r="K136"/>
      <x:c r="L136"/>
    </x:row>
    <x:row r="137" ht="26" customHeight="1">
      <x:c r="A137" s="206" t="str">
        <x:v>T-129</x:v>
      </x:c>
      <x:c r="B137" s="206" t="str">
        <x:f>IF(INDEX(Backlog!$B$2:$B$180,MATCH($A137,Backlog!$A$2:$A$180,0))="","",INDEX(Backlog!$B$2:$B$180,MATCH($A137,Backlog!$A$2:$A$180,0)))</x:f>
        <x:v>M3</x:v>
      </x:c>
      <x:c r="C137" s="206" t="str">
        <x:f>IF(INDEX(Backlog!$C$2:$C$180,MATCH($A137,Backlog!$A$2:$A$180,0))="","",INDEX(Backlog!$C$2:$C$180,MATCH($A137,Backlog!$A$2:$A$180,0)))</x:f>
        <x:v>P4</x:v>
      </x:c>
      <x:c r="D137" s="206" t="str">
        <x:f>IF(INDEX(Backlog!$L$2:$L$180,MATCH($A137,Backlog!$A$2:$A$180,0))="","",INDEX(Backlog!$L$2:$L$180,MATCH($A137,Backlog!$A$2:$A$180,0)))</x:f>
        <x:v>Worker 3</x:v>
      </x:c>
      <x:c r="E137" s="206" t="str">
        <x:f>IF(INDEX(Backlog!$K$2:$K$180,MATCH($A137,Backlog!$A$2:$A$180,0))="","",INDEX(Backlog!$K$2:$K$180,MATCH($A137,Backlog!$A$2:$A$180,0)))</x:f>
        <x:v>Not Started</x:v>
      </x:c>
      <x:c r="F137" s="206" t="n">
        <x:f>IF(ISNUMBER(INDEX(Backlog!$R$2:$R$180,MATCH($A137,Backlog!$A$2:$A$180,0))),INDEX(Backlog!$R$2:$R$180,MATCH($A137,Backlog!$A$2:$A$180,0)),"")</x:f>
        <x:v>1.7999999999999998</x:v>
      </x:c>
      <x:c r="G137" s="206" t="str">
        <x:f>IF(INDEX(Backlog!$M$2:$M$180,MATCH($A137,Backlog!$A$2:$A$180,0))="","",INDEX(Backlog!$M$2:$M$180,MATCH($A137,Backlog!$A$2:$A$180,0)))</x:f>
        <x:v>T-128; T-183; T-112; T-114</x:v>
      </x:c>
      <x:c r="H137" s="206" t="str">
        <x:f>IF(INDEX(Backlog!$N$2:$N$180,MATCH($A137,Backlog!$A$2:$A$180,0))="","",INDEX(Backlog!$N$2:$N$180,MATCH($A137,Backlog!$A$2:$A$180,0)))</x:f>
        <x:v>T-134; T-135; T-146; T-147; T-186; T-188</x:v>
      </x:c>
      <x:c r="I137" s="206" t="str">
        <x:f>IF(INDEX(Backlog!$T$2:$T$180,MATCH($A137,Backlog!$A$2:$A$180,0))="","",INDEX(Backlog!$T$2:$T$180,MATCH($A137,Backlog!$A$2:$A$180,0)))</x:f>
        <x:v>T-128 + T-183 + T-112 + T-114.</x:v>
      </x:c>
      <x:c r="J137" s="194" t="str">
        <x:f>IF(INDEX(Backlog!$AN$2:$AN$180,MATCH($A137,Backlog!$A$2:$A$180,0))="","",INDEX(Backlog!$AN$2:$AN$180,MATCH($A137,Backlog!$A$2:$A$180,0)))</x:f>
      </x:c>
      <x:c r="K137"/>
      <x:c r="L137"/>
    </x:row>
    <x:row r="138" ht="26" customHeight="1">
      <x:c r="A138" s="206" t="str">
        <x:v>T-130</x:v>
      </x:c>
      <x:c r="B138" s="206" t="str">
        <x:f>IF(INDEX(Backlog!$B$2:$B$180,MATCH($A138,Backlog!$A$2:$A$180,0))="","",INDEX(Backlog!$B$2:$B$180,MATCH($A138,Backlog!$A$2:$A$180,0)))</x:f>
        <x:v>M3</x:v>
      </x:c>
      <x:c r="C138" s="206" t="str">
        <x:f>IF(INDEX(Backlog!$C$2:$C$180,MATCH($A138,Backlog!$A$2:$A$180,0))="","",INDEX(Backlog!$C$2:$C$180,MATCH($A138,Backlog!$A$2:$A$180,0)))</x:f>
        <x:v>P4</x:v>
      </x:c>
      <x:c r="D138" s="206" t="str">
        <x:f>IF(INDEX(Backlog!$L$2:$L$180,MATCH($A138,Backlog!$A$2:$A$180,0))="","",INDEX(Backlog!$L$2:$L$180,MATCH($A138,Backlog!$A$2:$A$180,0)))</x:f>
        <x:v>Worker 3</x:v>
      </x:c>
      <x:c r="E138" s="206" t="str">
        <x:f>IF(INDEX(Backlog!$K$2:$K$180,MATCH($A138,Backlog!$A$2:$A$180,0))="","",INDEX(Backlog!$K$2:$K$180,MATCH($A138,Backlog!$A$2:$A$180,0)))</x:f>
        <x:v>Not Started</x:v>
      </x:c>
      <x:c r="F138" s="206" t="n">
        <x:f>IF(ISNUMBER(INDEX(Backlog!$R$2:$R$180,MATCH($A138,Backlog!$A$2:$A$180,0))),INDEX(Backlog!$R$2:$R$180,MATCH($A138,Backlog!$A$2:$A$180,0)),"")</x:f>
        <x:v>1.7999999999999998</x:v>
      </x:c>
      <x:c r="G138" s="206" t="str">
        <x:f>IF(INDEX(Backlog!$M$2:$M$180,MATCH($A138,Backlog!$A$2:$A$180,0))="","",INDEX(Backlog!$M$2:$M$180,MATCH($A138,Backlog!$A$2:$A$180,0)))</x:f>
        <x:v>T-128; T-183; T-112; T-114</x:v>
      </x:c>
      <x:c r="H138" s="206" t="str">
        <x:f>IF(INDEX(Backlog!$N$2:$N$180,MATCH($A138,Backlog!$A$2:$A$180,0))="","",INDEX(Backlog!$N$2:$N$180,MATCH($A138,Backlog!$A$2:$A$180,0)))</x:f>
        <x:v>T-134; T-135; T-139; T-188; T-191; T-193; T-246</x:v>
      </x:c>
      <x:c r="I138" s="206" t="str">
        <x:f>IF(INDEX(Backlog!$T$2:$T$180,MATCH($A138,Backlog!$A$2:$A$180,0))="","",INDEX(Backlog!$T$2:$T$180,MATCH($A138,Backlog!$A$2:$A$180,0)))</x:f>
        <x:v>T-128 + T-183 + T-112 + T-114.</x:v>
      </x:c>
      <x:c r="J138" s="194" t="str">
        <x:f>IF(INDEX(Backlog!$AN$2:$AN$180,MATCH($A138,Backlog!$A$2:$A$180,0))="","",INDEX(Backlog!$AN$2:$AN$180,MATCH($A138,Backlog!$A$2:$A$180,0)))</x:f>
      </x:c>
      <x:c r="K138"/>
      <x:c r="L138"/>
    </x:row>
    <x:row r="139" ht="26" customHeight="1">
      <x:c r="A139" s="206" t="str">
        <x:v>T-131</x:v>
      </x:c>
      <x:c r="B139" s="206" t="str">
        <x:f>IF(INDEX(Backlog!$B$2:$B$180,MATCH($A139,Backlog!$A$2:$A$180,0))="","",INDEX(Backlog!$B$2:$B$180,MATCH($A139,Backlog!$A$2:$A$180,0)))</x:f>
        <x:v>M3</x:v>
      </x:c>
      <x:c r="C139" s="206" t="str">
        <x:f>IF(INDEX(Backlog!$C$2:$C$180,MATCH($A139,Backlog!$A$2:$A$180,0))="","",INDEX(Backlog!$C$2:$C$180,MATCH($A139,Backlog!$A$2:$A$180,0)))</x:f>
        <x:v>P4</x:v>
      </x:c>
      <x:c r="D139" s="206" t="str">
        <x:f>IF(INDEX(Backlog!$L$2:$L$180,MATCH($A139,Backlog!$A$2:$A$180,0))="","",INDEX(Backlog!$L$2:$L$180,MATCH($A139,Backlog!$A$2:$A$180,0)))</x:f>
        <x:v>Worker 3</x:v>
      </x:c>
      <x:c r="E139" s="206" t="str">
        <x:f>IF(INDEX(Backlog!$K$2:$K$180,MATCH($A139,Backlog!$A$2:$A$180,0))="","",INDEX(Backlog!$K$2:$K$180,MATCH($A139,Backlog!$A$2:$A$180,0)))</x:f>
        <x:v>Not Started</x:v>
      </x:c>
      <x:c r="F139" s="206" t="n">
        <x:f>IF(ISNUMBER(INDEX(Backlog!$R$2:$R$180,MATCH($A139,Backlog!$A$2:$A$180,0))),INDEX(Backlog!$R$2:$R$180,MATCH($A139,Backlog!$A$2:$A$180,0)),"")</x:f>
        <x:v>1.7999999999999998</x:v>
      </x:c>
      <x:c r="G139" s="206" t="str">
        <x:f>IF(INDEX(Backlog!$M$2:$M$180,MATCH($A139,Backlog!$A$2:$A$180,0))="","",INDEX(Backlog!$M$2:$M$180,MATCH($A139,Backlog!$A$2:$A$180,0)))</x:f>
        <x:v>T-086; T-128; T-171</x:v>
      </x:c>
      <x:c r="H139" s="206" t="str">
        <x:f>IF(INDEX(Backlog!$N$2:$N$180,MATCH($A139,Backlog!$A$2:$A$180,0))="","",INDEX(Backlog!$N$2:$N$180,MATCH($A139,Backlog!$A$2:$A$180,0)))</x:f>
        <x:v>T-132; T-133; T-136; T-142; T-240</x:v>
      </x:c>
      <x:c r="I139" s="206" t="str">
        <x:f>IF(INDEX(Backlog!$T$2:$T$180,MATCH($A139,Backlog!$A$2:$A$180,0))="","",INDEX(Backlog!$T$2:$T$180,MATCH($A139,Backlog!$A$2:$A$180,0)))</x:f>
        <x:v>T-086 + T-128 + T-171</x:v>
      </x:c>
      <x:c r="J139" s="194" t="str">
        <x:f>IF(INDEX(Backlog!$AN$2:$AN$180,MATCH($A139,Backlog!$A$2:$A$180,0))="","",INDEX(Backlog!$AN$2:$AN$180,MATCH($A139,Backlog!$A$2:$A$180,0)))</x:f>
      </x:c>
      <x:c r="K139"/>
      <x:c r="L139"/>
    </x:row>
    <x:row r="140" ht="26" customHeight="1">
      <x:c r="A140" s="206" t="str">
        <x:v>T-132</x:v>
      </x:c>
      <x:c r="B140" s="206" t="str">
        <x:f>IF(INDEX(Backlog!$B$2:$B$180,MATCH($A140,Backlog!$A$2:$A$180,0))="","",INDEX(Backlog!$B$2:$B$180,MATCH($A140,Backlog!$A$2:$A$180,0)))</x:f>
        <x:v>M3</x:v>
      </x:c>
      <x:c r="C140" s="206" t="str">
        <x:f>IF(INDEX(Backlog!$C$2:$C$180,MATCH($A140,Backlog!$A$2:$A$180,0))="","",INDEX(Backlog!$C$2:$C$180,MATCH($A140,Backlog!$A$2:$A$180,0)))</x:f>
        <x:v>P4</x:v>
      </x:c>
      <x:c r="D140" s="206" t="str">
        <x:f>IF(INDEX(Backlog!$L$2:$L$180,MATCH($A140,Backlog!$A$2:$A$180,0))="","",INDEX(Backlog!$L$2:$L$180,MATCH($A140,Backlog!$A$2:$A$180,0)))</x:f>
        <x:v>Worker 3</x:v>
      </x:c>
      <x:c r="E140" s="206" t="str">
        <x:f>IF(INDEX(Backlog!$K$2:$K$180,MATCH($A140,Backlog!$A$2:$A$180,0))="","",INDEX(Backlog!$K$2:$K$180,MATCH($A140,Backlog!$A$2:$A$180,0)))</x:f>
        <x:v>Not Started</x:v>
      </x:c>
      <x:c r="F140" s="206" t="n">
        <x:f>IF(ISNUMBER(INDEX(Backlog!$R$2:$R$180,MATCH($A140,Backlog!$A$2:$A$180,0))),INDEX(Backlog!$R$2:$R$180,MATCH($A140,Backlog!$A$2:$A$180,0)),"")</x:f>
        <x:v>1.7999999999999998</x:v>
      </x:c>
      <x:c r="G140" s="206" t="str">
        <x:f>IF(INDEX(Backlog!$M$2:$M$180,MATCH($A140,Backlog!$A$2:$A$180,0))="","",INDEX(Backlog!$M$2:$M$180,MATCH($A140,Backlog!$A$2:$A$180,0)))</x:f>
        <x:v>T-131</x:v>
      </x:c>
      <x:c r="H140" s="206" t="str">
        <x:f>IF(INDEX(Backlog!$N$2:$N$180,MATCH($A140,Backlog!$A$2:$A$180,0))="","",INDEX(Backlog!$N$2:$N$180,MATCH($A140,Backlog!$A$2:$A$180,0)))</x:f>
        <x:v>T-133; T-136; T-142; T-240</x:v>
      </x:c>
      <x:c r="I140" s="206" t="str">
        <x:f>IF(INDEX(Backlog!$T$2:$T$180,MATCH($A140,Backlog!$A$2:$A$180,0))="","",INDEX(Backlog!$T$2:$T$180,MATCH($A140,Backlog!$A$2:$A$180,0)))</x:f>
        <x:v>T-131</x:v>
      </x:c>
      <x:c r="J140" s="194" t="str">
        <x:f>IF(INDEX(Backlog!$AN$2:$AN$180,MATCH($A140,Backlog!$A$2:$A$180,0))="","",INDEX(Backlog!$AN$2:$AN$180,MATCH($A140,Backlog!$A$2:$A$180,0)))</x:f>
      </x:c>
      <x:c r="K140"/>
      <x:c r="L140"/>
    </x:row>
    <x:row r="141" ht="26" customHeight="1">
      <x:c r="A141" s="206" t="str">
        <x:v>T-133</x:v>
      </x:c>
      <x:c r="B141" s="206" t="str">
        <x:f>IF(INDEX(Backlog!$B$2:$B$180,MATCH($A141,Backlog!$A$2:$A$180,0))="","",INDEX(Backlog!$B$2:$B$180,MATCH($A141,Backlog!$A$2:$A$180,0)))</x:f>
        <x:v>M3</x:v>
      </x:c>
      <x:c r="C141" s="206" t="str">
        <x:f>IF(INDEX(Backlog!$C$2:$C$180,MATCH($A141,Backlog!$A$2:$A$180,0))="","",INDEX(Backlog!$C$2:$C$180,MATCH($A141,Backlog!$A$2:$A$180,0)))</x:f>
        <x:v>P4</x:v>
      </x:c>
      <x:c r="D141" s="206" t="str">
        <x:f>IF(INDEX(Backlog!$L$2:$L$180,MATCH($A141,Backlog!$A$2:$A$180,0))="","",INDEX(Backlog!$L$2:$L$180,MATCH($A141,Backlog!$A$2:$A$180,0)))</x:f>
        <x:v>Worker 3</x:v>
      </x:c>
      <x:c r="E141" s="206" t="str">
        <x:f>IF(INDEX(Backlog!$K$2:$K$180,MATCH($A141,Backlog!$A$2:$A$180,0))="","",INDEX(Backlog!$K$2:$K$180,MATCH($A141,Backlog!$A$2:$A$180,0)))</x:f>
        <x:v>Not Started</x:v>
      </x:c>
      <x:c r="F141" s="206" t="n">
        <x:f>IF(ISNUMBER(INDEX(Backlog!$R$2:$R$180,MATCH($A141,Backlog!$A$2:$A$180,0))),INDEX(Backlog!$R$2:$R$180,MATCH($A141,Backlog!$A$2:$A$180,0)),"")</x:f>
        <x:v>1.7999999999999998</x:v>
      </x:c>
      <x:c r="G141" s="206" t="str">
        <x:f>IF(INDEX(Backlog!$M$2:$M$180,MATCH($A141,Backlog!$A$2:$A$180,0))="","",INDEX(Backlog!$M$2:$M$180,MATCH($A141,Backlog!$A$2:$A$180,0)))</x:f>
        <x:v>T-131; T-132; T-183</x:v>
      </x:c>
      <x:c r="H141" s="206" t="str">
        <x:f>IF(INDEX(Backlog!$N$2:$N$180,MATCH($A141,Backlog!$A$2:$A$180,0))="","",INDEX(Backlog!$N$2:$N$180,MATCH($A141,Backlog!$A$2:$A$180,0)))</x:f>
        <x:v>T-134; T-136; T-240</x:v>
      </x:c>
      <x:c r="I141" s="206" t="str">
        <x:f>IF(INDEX(Backlog!$T$2:$T$180,MATCH($A141,Backlog!$A$2:$A$180,0))="","",INDEX(Backlog!$T$2:$T$180,MATCH($A141,Backlog!$A$2:$A$180,0)))</x:f>
        <x:v>T-131 + T-132 + T-183</x:v>
      </x:c>
      <x:c r="J141" s="194" t="str">
        <x:f>IF(INDEX(Backlog!$AN$2:$AN$180,MATCH($A141,Backlog!$A$2:$A$180,0))="","",INDEX(Backlog!$AN$2:$AN$180,MATCH($A141,Backlog!$A$2:$A$180,0)))</x:f>
      </x:c>
      <x:c r="K141"/>
      <x:c r="L141"/>
    </x:row>
    <x:row r="142" ht="26" customHeight="1">
      <x:c r="A142" s="206" t="str">
        <x:v>T-134</x:v>
      </x:c>
      <x:c r="B142" s="206" t="str">
        <x:f>IF(INDEX(Backlog!$B$2:$B$180,MATCH($A142,Backlog!$A$2:$A$180,0))="","",INDEX(Backlog!$B$2:$B$180,MATCH($A142,Backlog!$A$2:$A$180,0)))</x:f>
        <x:v>M3</x:v>
      </x:c>
      <x:c r="C142" s="206" t="str">
        <x:f>IF(INDEX(Backlog!$C$2:$C$180,MATCH($A142,Backlog!$A$2:$A$180,0))="","",INDEX(Backlog!$C$2:$C$180,MATCH($A142,Backlog!$A$2:$A$180,0)))</x:f>
        <x:v>P4</x:v>
      </x:c>
      <x:c r="D142" s="206" t="str">
        <x:f>IF(INDEX(Backlog!$L$2:$L$180,MATCH($A142,Backlog!$A$2:$A$180,0))="","",INDEX(Backlog!$L$2:$L$180,MATCH($A142,Backlog!$A$2:$A$180,0)))</x:f>
        <x:v>Worker 3</x:v>
      </x:c>
      <x:c r="E142" s="206" t="str">
        <x:f>IF(INDEX(Backlog!$K$2:$K$180,MATCH($A142,Backlog!$A$2:$A$180,0))="","",INDEX(Backlog!$K$2:$K$180,MATCH($A142,Backlog!$A$2:$A$180,0)))</x:f>
        <x:v>Not Started</x:v>
      </x:c>
      <x:c r="F142" s="206" t="n">
        <x:f>IF(ISNUMBER(INDEX(Backlog!$R$2:$R$180,MATCH($A142,Backlog!$A$2:$A$180,0))),INDEX(Backlog!$R$2:$R$180,MATCH($A142,Backlog!$A$2:$A$180,0)),"")</x:f>
        <x:v>1.7999999999999998</x:v>
      </x:c>
      <x:c r="G142" s="206" t="str">
        <x:f>IF(INDEX(Backlog!$M$2:$M$180,MATCH($A142,Backlog!$A$2:$A$180,0))="","",INDEX(Backlog!$M$2:$M$180,MATCH($A142,Backlog!$A$2:$A$180,0)))</x:f>
        <x:v>T-090; T-095; T-096; T-129; T-130; T-133; T-186; T-139</x:v>
      </x:c>
      <x:c r="H142" s="206" t="str">
        <x:f>IF(INDEX(Backlog!$N$2:$N$180,MATCH($A142,Backlog!$A$2:$A$180,0))="","",INDEX(Backlog!$N$2:$N$180,MATCH($A142,Backlog!$A$2:$A$180,0)))</x:f>
        <x:v>T-138; T-228; T-229</x:v>
      </x:c>
      <x:c r="I142" s="206" t="str">
        <x:f>IF(INDEX(Backlog!$T$2:$T$180,MATCH($A142,Backlog!$A$2:$A$180,0))="","",INDEX(Backlog!$T$2:$T$180,MATCH($A142,Backlog!$A$2:$A$180,0)))</x:f>
        <x:v>T-090 definition authority + T-095/T-096 relationship resolver + available ca...</x:v>
      </x:c>
      <x:c r="J142" s="194" t="str">
        <x:f>IF(INDEX(Backlog!$AN$2:$AN$180,MATCH($A142,Backlog!$A$2:$A$180,0))="","",INDEX(Backlog!$AN$2:$AN$180,MATCH($A142,Backlog!$A$2:$A$180,0)))</x:f>
      </x:c>
      <x:c r="K142"/>
      <x:c r="L142"/>
    </x:row>
    <x:row r="143" ht="26" customHeight="1">
      <x:c r="A143" s="206" t="str">
        <x:v>T-135</x:v>
      </x:c>
      <x:c r="B143" s="206" t="str">
        <x:f>IF(INDEX(Backlog!$B$2:$B$180,MATCH($A143,Backlog!$A$2:$A$180,0))="","",INDEX(Backlog!$B$2:$B$180,MATCH($A143,Backlog!$A$2:$A$180,0)))</x:f>
        <x:v>M3</x:v>
      </x:c>
      <x:c r="C143" s="206" t="str">
        <x:f>IF(INDEX(Backlog!$C$2:$C$180,MATCH($A143,Backlog!$A$2:$A$180,0))="","",INDEX(Backlog!$C$2:$C$180,MATCH($A143,Backlog!$A$2:$A$180,0)))</x:f>
        <x:v>P4</x:v>
      </x:c>
      <x:c r="D143" s="206" t="str">
        <x:f>IF(INDEX(Backlog!$L$2:$L$180,MATCH($A143,Backlog!$A$2:$A$180,0))="","",INDEX(Backlog!$L$2:$L$180,MATCH($A143,Backlog!$A$2:$A$180,0)))</x:f>
        <x:v>Worker 3</x:v>
      </x:c>
      <x:c r="E143" s="206" t="str">
        <x:f>IF(INDEX(Backlog!$K$2:$K$180,MATCH($A143,Backlog!$A$2:$A$180,0))="","",INDEX(Backlog!$K$2:$K$180,MATCH($A143,Backlog!$A$2:$A$180,0)))</x:f>
        <x:v>Not Started</x:v>
      </x:c>
      <x:c r="F143" s="206" t="n">
        <x:f>IF(ISNUMBER(INDEX(Backlog!$R$2:$R$180,MATCH($A143,Backlog!$A$2:$A$180,0))),INDEX(Backlog!$R$2:$R$180,MATCH($A143,Backlog!$A$2:$A$180,0)),"")</x:f>
        <x:v>1.9375</x:v>
      </x:c>
      <x:c r="G143" s="206" t="str">
        <x:f>IF(INDEX(Backlog!$M$2:$M$180,MATCH($A143,Backlog!$A$2:$A$180,0))="","",INDEX(Backlog!$M$2:$M$180,MATCH($A143,Backlog!$A$2:$A$180,0)))</x:f>
        <x:v>T-112; T-114; T-128; T-129; T-130; T-183</x:v>
      </x:c>
      <x:c r="H143" s="206" t="str">
        <x:f>IF(INDEX(Backlog!$N$2:$N$180,MATCH($A143,Backlog!$A$2:$A$180,0))="","",INDEX(Backlog!$N$2:$N$180,MATCH($A143,Backlog!$A$2:$A$180,0)))</x:f>
        <x:v>T-184; T-185; T-186; T-187</x:v>
      </x:c>
      <x:c r="I143" s="206" t="str">
        <x:f>IF(INDEX(Backlog!$T$2:$T$180,MATCH($A143,Backlog!$A$2:$A$180,0))="","",INDEX(Backlog!$T$2:$T$180,MATCH($A143,Backlog!$A$2:$A$180,0)))</x:f>
        <x:v>T-112 + T-114 + current Release 2 persistence tables (including T-128/T-129/T-130/T...</x:v>
      </x:c>
      <x:c r="J143" s="194" t="str">
        <x:f>IF(INDEX(Backlog!$AN$2:$AN$180,MATCH($A143,Backlog!$A$2:$A$180,0))="","",INDEX(Backlog!$AN$2:$AN$180,MATCH($A143,Backlog!$A$2:$A$180,0)))</x:f>
      </x:c>
      <x:c r="K143"/>
      <x:c r="L143"/>
    </x:row>
    <x:row r="144" ht="26" customHeight="1">
      <x:c r="A144" s="206" t="str">
        <x:v>T-136</x:v>
      </x:c>
      <x:c r="B144" s="206" t="str">
        <x:f>IF(INDEX(Backlog!$B$2:$B$180,MATCH($A144,Backlog!$A$2:$A$180,0))="","",INDEX(Backlog!$B$2:$B$180,MATCH($A144,Backlog!$A$2:$A$180,0)))</x:f>
        <x:v>M3</x:v>
      </x:c>
      <x:c r="C144" s="206" t="str">
        <x:f>IF(INDEX(Backlog!$C$2:$C$180,MATCH($A144,Backlog!$A$2:$A$180,0))="","",INDEX(Backlog!$C$2:$C$180,MATCH($A144,Backlog!$A$2:$A$180,0)))</x:f>
        <x:v>P4</x:v>
      </x:c>
      <x:c r="D144" s="206" t="str">
        <x:f>IF(INDEX(Backlog!$L$2:$L$180,MATCH($A144,Backlog!$A$2:$A$180,0))="","",INDEX(Backlog!$L$2:$L$180,MATCH($A144,Backlog!$A$2:$A$180,0)))</x:f>
        <x:v>Worker 3</x:v>
      </x:c>
      <x:c r="E144" s="206" t="str">
        <x:f>IF(INDEX(Backlog!$K$2:$K$180,MATCH($A144,Backlog!$A$2:$A$180,0))="","",INDEX(Backlog!$K$2:$K$180,MATCH($A144,Backlog!$A$2:$A$180,0)))</x:f>
        <x:v>Not Started</x:v>
      </x:c>
      <x:c r="F144" s="206" t="n">
        <x:f>IF(ISNUMBER(INDEX(Backlog!$R$2:$R$180,MATCH($A144,Backlog!$A$2:$A$180,0))),INDEX(Backlog!$R$2:$R$180,MATCH($A144,Backlog!$A$2:$A$180,0)),"")</x:f>
        <x:v>1.5</x:v>
      </x:c>
      <x:c r="G144" s="206" t="str">
        <x:f>IF(INDEX(Backlog!$M$2:$M$180,MATCH($A144,Backlog!$A$2:$A$180,0))="","",INDEX(Backlog!$M$2:$M$180,MATCH($A144,Backlog!$A$2:$A$180,0)))</x:f>
        <x:v>T-131; T-132; T-133; T-109</x:v>
      </x:c>
      <x:c r="H144" s="206" t="str">
        <x:f>IF(INDEX(Backlog!$N$2:$N$180,MATCH($A144,Backlog!$A$2:$A$180,0))="","",INDEX(Backlog!$N$2:$N$180,MATCH($A144,Backlog!$A$2:$A$180,0)))</x:f>
      </x:c>
      <x:c r="I144" s="206" t="str">
        <x:f>IF(INDEX(Backlog!$T$2:$T$180,MATCH($A144,Backlog!$A$2:$A$180,0))="","",INDEX(Backlog!$T$2:$T$180,MATCH($A144,Backlog!$A$2:$A$180,0)))</x:f>
        <x:v>T-109 + T-131..T-133</x:v>
      </x:c>
      <x:c r="J144" s="194" t="str">
        <x:f>IF(INDEX(Backlog!$AN$2:$AN$180,MATCH($A144,Backlog!$A$2:$A$180,0))="","",INDEX(Backlog!$AN$2:$AN$180,MATCH($A144,Backlog!$A$2:$A$180,0)))</x:f>
      </x:c>
      <x:c r="K144"/>
      <x:c r="L144"/>
    </x:row>
    <x:row r="145" ht="26" customHeight="1">
      <x:c r="A145" s="206" t="str">
        <x:v>T-138</x:v>
      </x:c>
      <x:c r="B145" s="206" t="str">
        <x:f>IF(INDEX(Backlog!$B$2:$B$180,MATCH($A145,Backlog!$A$2:$A$180,0))="","",INDEX(Backlog!$B$2:$B$180,MATCH($A145,Backlog!$A$2:$A$180,0)))</x:f>
        <x:v>M3</x:v>
      </x:c>
      <x:c r="C145" s="206" t="str">
        <x:f>IF(INDEX(Backlog!$C$2:$C$180,MATCH($A145,Backlog!$A$2:$A$180,0))="","",INDEX(Backlog!$C$2:$C$180,MATCH($A145,Backlog!$A$2:$A$180,0)))</x:f>
        <x:v>P4</x:v>
      </x:c>
      <x:c r="D145" s="206" t="str">
        <x:f>IF(INDEX(Backlog!$L$2:$L$180,MATCH($A145,Backlog!$A$2:$A$180,0))="","",INDEX(Backlog!$L$2:$L$180,MATCH($A145,Backlog!$A$2:$A$180,0)))</x:f>
        <x:v>Worker 3</x:v>
      </x:c>
      <x:c r="E145" s="206" t="str">
        <x:f>IF(INDEX(Backlog!$K$2:$K$180,MATCH($A145,Backlog!$A$2:$A$180,0))="","",INDEX(Backlog!$K$2:$K$180,MATCH($A145,Backlog!$A$2:$A$180,0)))</x:f>
        <x:v>Not Started</x:v>
      </x:c>
      <x:c r="F145" s="206" t="n">
        <x:f>IF(ISNUMBER(INDEX(Backlog!$R$2:$R$180,MATCH($A145,Backlog!$A$2:$A$180,0))),INDEX(Backlog!$R$2:$R$180,MATCH($A145,Backlog!$A$2:$A$180,0)),"")</x:f>
        <x:v>1.7999999999999998</x:v>
      </x:c>
      <x:c r="G145" s="206" t="str">
        <x:f>IF(INDEX(Backlog!$M$2:$M$180,MATCH($A145,Backlog!$A$2:$A$180,0))="","",INDEX(Backlog!$M$2:$M$180,MATCH($A145,Backlog!$A$2:$A$180,0)))</x:f>
        <x:v>T-179; T-180; T-181; T-137; T-134; T-188</x:v>
      </x:c>
      <x:c r="H145" s="206" t="str">
        <x:f>IF(INDEX(Backlog!$N$2:$N$180,MATCH($A145,Backlog!$A$2:$A$180,0))="","",INDEX(Backlog!$N$2:$N$180,MATCH($A145,Backlog!$A$2:$A$180,0)))</x:f>
      </x:c>
      <x:c r="I145" s="206" t="str">
        <x:f>IF(INDEX(Backlog!$T$2:$T$180,MATCH($A145,Backlog!$A$2:$A$180,0))="","",INDEX(Backlog!$T$2:$T$180,MATCH($A145,Backlog!$A$2:$A$180,0)))</x:f>
        <x:v>T-137 + T-179..T-181 + T-134 + T-188</x:v>
      </x:c>
      <x:c r="J145" s="194" t="str">
        <x:f>IF(INDEX(Backlog!$AN$2:$AN$180,MATCH($A145,Backlog!$A$2:$A$180,0))="","",INDEX(Backlog!$AN$2:$AN$180,MATCH($A145,Backlog!$A$2:$A$180,0)))</x:f>
      </x:c>
      <x:c r="K145"/>
      <x:c r="L145"/>
    </x:row>
    <x:row r="146" ht="26" customHeight="1">
      <x:c r="A146" s="206" t="str">
        <x:v>T-139</x:v>
      </x:c>
      <x:c r="B146" s="206" t="str">
        <x:f>IF(INDEX(Backlog!$B$2:$B$180,MATCH($A146,Backlog!$A$2:$A$180,0))="","",INDEX(Backlog!$B$2:$B$180,MATCH($A146,Backlog!$A$2:$A$180,0)))</x:f>
        <x:v>M3</x:v>
      </x:c>
      <x:c r="C146" s="206" t="str">
        <x:f>IF(INDEX(Backlog!$C$2:$C$180,MATCH($A146,Backlog!$A$2:$A$180,0))="","",INDEX(Backlog!$C$2:$C$180,MATCH($A146,Backlog!$A$2:$A$180,0)))</x:f>
        <x:v>P4</x:v>
      </x:c>
      <x:c r="D146" s="206" t="str">
        <x:f>IF(INDEX(Backlog!$L$2:$L$180,MATCH($A146,Backlog!$A$2:$A$180,0))="","",INDEX(Backlog!$L$2:$L$180,MATCH($A146,Backlog!$A$2:$A$180,0)))</x:f>
        <x:v>Worker 3</x:v>
      </x:c>
      <x:c r="E146" s="206" t="str">
        <x:f>IF(INDEX(Backlog!$K$2:$K$180,MATCH($A146,Backlog!$A$2:$A$180,0))="","",INDEX(Backlog!$K$2:$K$180,MATCH($A146,Backlog!$A$2:$A$180,0)))</x:f>
        <x:v>Not Started</x:v>
      </x:c>
      <x:c r="F146" s="206" t="n">
        <x:f>IF(ISNUMBER(INDEX(Backlog!$R$2:$R$180,MATCH($A146,Backlog!$A$2:$A$180,0))),INDEX(Backlog!$R$2:$R$180,MATCH($A146,Backlog!$A$2:$A$180,0)),"")</x:f>
        <x:v>1.7999999999999998</x:v>
      </x:c>
      <x:c r="G146" s="206" t="str">
        <x:f>IF(INDEX(Backlog!$M$2:$M$180,MATCH($A146,Backlog!$A$2:$A$180,0))="","",INDEX(Backlog!$M$2:$M$180,MATCH($A146,Backlog!$A$2:$A$180,0)))</x:f>
        <x:v>T-130; T-187; T-231</x:v>
      </x:c>
      <x:c r="H146" s="206" t="str">
        <x:f>IF(INDEX(Backlog!$N$2:$N$180,MATCH($A146,Backlog!$A$2:$A$180,0))="","",INDEX(Backlog!$N$2:$N$180,MATCH($A146,Backlog!$A$2:$A$180,0)))</x:f>
        <x:v>T-134; T-140; T-141; T-142; T-189; T-193</x:v>
      </x:c>
      <x:c r="I146" s="206" t="str">
        <x:f>IF(INDEX(Backlog!$T$2:$T$180,MATCH($A146,Backlog!$A$2:$A$180,0))="","",INDEX(Backlog!$T$2:$T$180,MATCH($A146,Backlog!$A$2:$A$180,0)))</x:f>
        <x:v>T-130 + T-187</x:v>
      </x:c>
      <x:c r="J146" s="194" t="str">
        <x:f>IF(INDEX(Backlog!$AN$2:$AN$180,MATCH($A146,Backlog!$A$2:$A$180,0))="","",INDEX(Backlog!$AN$2:$AN$180,MATCH($A146,Backlog!$A$2:$A$180,0)))</x:f>
      </x:c>
      <x:c r="K146"/>
      <x:c r="L146"/>
    </x:row>
    <x:row r="147" ht="26" customHeight="1">
      <x:c r="A147" s="206" t="str">
        <x:v>T-140</x:v>
      </x:c>
      <x:c r="B147" s="206" t="str">
        <x:f>IF(INDEX(Backlog!$B$2:$B$180,MATCH($A147,Backlog!$A$2:$A$180,0))="","",INDEX(Backlog!$B$2:$B$180,MATCH($A147,Backlog!$A$2:$A$180,0)))</x:f>
        <x:v>M3</x:v>
      </x:c>
      <x:c r="C147" s="206" t="str">
        <x:f>IF(INDEX(Backlog!$C$2:$C$180,MATCH($A147,Backlog!$A$2:$A$180,0))="","",INDEX(Backlog!$C$2:$C$180,MATCH($A147,Backlog!$A$2:$A$180,0)))</x:f>
        <x:v>P4</x:v>
      </x:c>
      <x:c r="D147" s="206" t="str">
        <x:f>IF(INDEX(Backlog!$L$2:$L$180,MATCH($A147,Backlog!$A$2:$A$180,0))="","",INDEX(Backlog!$L$2:$L$180,MATCH($A147,Backlog!$A$2:$A$180,0)))</x:f>
        <x:v>Worker 3</x:v>
      </x:c>
      <x:c r="E147" s="206" t="str">
        <x:f>IF(INDEX(Backlog!$K$2:$K$180,MATCH($A147,Backlog!$A$2:$A$180,0))="","",INDEX(Backlog!$K$2:$K$180,MATCH($A147,Backlog!$A$2:$A$180,0)))</x:f>
        <x:v>Not Started</x:v>
      </x:c>
      <x:c r="F147" s="206" t="n">
        <x:f>IF(ISNUMBER(INDEX(Backlog!$R$2:$R$180,MATCH($A147,Backlog!$A$2:$A$180,0))),INDEX(Backlog!$R$2:$R$180,MATCH($A147,Backlog!$A$2:$A$180,0)),"")</x:f>
        <x:v>1.7999999999999998</x:v>
      </x:c>
      <x:c r="G147" s="206" t="str">
        <x:f>IF(INDEX(Backlog!$M$2:$M$180,MATCH($A147,Backlog!$A$2:$A$180,0))="","",INDEX(Backlog!$M$2:$M$180,MATCH($A147,Backlog!$A$2:$A$180,0)))</x:f>
        <x:v>T-139; T-173; T-176</x:v>
      </x:c>
      <x:c r="H147" s="206" t="str">
        <x:f>IF(INDEX(Backlog!$N$2:$N$180,MATCH($A147,Backlog!$A$2:$A$180,0))="","",INDEX(Backlog!$N$2:$N$180,MATCH($A147,Backlog!$A$2:$A$180,0)))</x:f>
        <x:v>T-142; T-189</x:v>
      </x:c>
      <x:c r="I147" s="206" t="str">
        <x:f>IF(INDEX(Backlog!$T$2:$T$180,MATCH($A147,Backlog!$A$2:$A$180,0))="","",INDEX(Backlog!$T$2:$T$180,MATCH($A147,Backlog!$A$2:$A$180,0)))</x:f>
        <x:v>T-139 + T-173/T-176</x:v>
      </x:c>
      <x:c r="J147" s="194" t="str">
        <x:f>IF(INDEX(Backlog!$AN$2:$AN$180,MATCH($A147,Backlog!$A$2:$A$180,0))="","",INDEX(Backlog!$AN$2:$AN$180,MATCH($A147,Backlog!$A$2:$A$180,0)))</x:f>
      </x:c>
      <x:c r="K147"/>
      <x:c r="L147"/>
    </x:row>
    <x:row r="148" ht="26" customHeight="1">
      <x:c r="A148" s="206" t="str">
        <x:v>T-141</x:v>
      </x:c>
      <x:c r="B148" s="206" t="str">
        <x:f>IF(INDEX(Backlog!$B$2:$B$180,MATCH($A148,Backlog!$A$2:$A$180,0))="","",INDEX(Backlog!$B$2:$B$180,MATCH($A148,Backlog!$A$2:$A$180,0)))</x:f>
        <x:v>M3</x:v>
      </x:c>
      <x:c r="C148" s="206" t="str">
        <x:f>IF(INDEX(Backlog!$C$2:$C$180,MATCH($A148,Backlog!$A$2:$A$180,0))="","",INDEX(Backlog!$C$2:$C$180,MATCH($A148,Backlog!$A$2:$A$180,0)))</x:f>
        <x:v>P4</x:v>
      </x:c>
      <x:c r="D148" s="206" t="str">
        <x:f>IF(INDEX(Backlog!$L$2:$L$180,MATCH($A148,Backlog!$A$2:$A$180,0))="","",INDEX(Backlog!$L$2:$L$180,MATCH($A148,Backlog!$A$2:$A$180,0)))</x:f>
        <x:v>Worker 3</x:v>
      </x:c>
      <x:c r="E148" s="206" t="str">
        <x:f>IF(INDEX(Backlog!$K$2:$K$180,MATCH($A148,Backlog!$A$2:$A$180,0))="","",INDEX(Backlog!$K$2:$K$180,MATCH($A148,Backlog!$A$2:$A$180,0)))</x:f>
        <x:v>Not Started</x:v>
      </x:c>
      <x:c r="F148" s="206" t="n">
        <x:f>IF(ISNUMBER(INDEX(Backlog!$R$2:$R$180,MATCH($A148,Backlog!$A$2:$A$180,0))),INDEX(Backlog!$R$2:$R$180,MATCH($A148,Backlog!$A$2:$A$180,0)),"")</x:f>
        <x:v>1.7999999999999998</x:v>
      </x:c>
      <x:c r="G148" s="206" t="str">
        <x:f>IF(INDEX(Backlog!$M$2:$M$180,MATCH($A148,Backlog!$A$2:$A$180,0))="","",INDEX(Backlog!$M$2:$M$180,MATCH($A148,Backlog!$A$2:$A$180,0)))</x:f>
        <x:v>T-107; T-122; T-139; T-187</x:v>
      </x:c>
      <x:c r="H148" s="206" t="str">
        <x:f>IF(INDEX(Backlog!$N$2:$N$180,MATCH($A148,Backlog!$A$2:$A$180,0))="","",INDEX(Backlog!$N$2:$N$180,MATCH($A148,Backlog!$A$2:$A$180,0)))</x:f>
        <x:v>T-189</x:v>
      </x:c>
      <x:c r="I148" s="206" t="str">
        <x:f>IF(INDEX(Backlog!$T$2:$T$180,MATCH($A148,Backlog!$A$2:$A$180,0))="","",INDEX(Backlog!$T$2:$T$180,MATCH($A148,Backlog!$A$2:$A$180,0)))</x:f>
        <x:v>T-107 + T-122 + T-139 + T-187</x:v>
      </x:c>
      <x:c r="J148" s="194" t="str">
        <x:f>IF(INDEX(Backlog!$AN$2:$AN$180,MATCH($A148,Backlog!$A$2:$A$180,0))="","",INDEX(Backlog!$AN$2:$AN$180,MATCH($A148,Backlog!$A$2:$A$180,0)))</x:f>
      </x:c>
      <x:c r="K148"/>
      <x:c r="L148"/>
    </x:row>
    <x:row r="149" ht="26" customHeight="1">
      <x:c r="A149" s="206" t="str">
        <x:v>T-142</x:v>
      </x:c>
      <x:c r="B149" s="206" t="str">
        <x:f>IF(INDEX(Backlog!$B$2:$B$180,MATCH($A149,Backlog!$A$2:$A$180,0))="","",INDEX(Backlog!$B$2:$B$180,MATCH($A149,Backlog!$A$2:$A$180,0)))</x:f>
        <x:v>M3</x:v>
      </x:c>
      <x:c r="C149" s="206" t="str">
        <x:f>IF(INDEX(Backlog!$C$2:$C$180,MATCH($A149,Backlog!$A$2:$A$180,0))="","",INDEX(Backlog!$C$2:$C$180,MATCH($A149,Backlog!$A$2:$A$180,0)))</x:f>
        <x:v>P4</x:v>
      </x:c>
      <x:c r="D149" s="206" t="str">
        <x:f>IF(INDEX(Backlog!$L$2:$L$180,MATCH($A149,Backlog!$A$2:$A$180,0))="","",INDEX(Backlog!$L$2:$L$180,MATCH($A149,Backlog!$A$2:$A$180,0)))</x:f>
        <x:v>Worker 3</x:v>
      </x:c>
      <x:c r="E149" s="206" t="str">
        <x:f>IF(INDEX(Backlog!$K$2:$K$180,MATCH($A149,Backlog!$A$2:$A$180,0))="","",INDEX(Backlog!$K$2:$K$180,MATCH($A149,Backlog!$A$2:$A$180,0)))</x:f>
        <x:v>Not Started</x:v>
      </x:c>
      <x:c r="F149" s="206" t="n">
        <x:f>IF(ISNUMBER(INDEX(Backlog!$R$2:$R$180,MATCH($A149,Backlog!$A$2:$A$180,0))),INDEX(Backlog!$R$2:$R$180,MATCH($A149,Backlog!$A$2:$A$180,0)),"")</x:f>
        <x:v>1.2000000000000002</x:v>
      </x:c>
      <x:c r="G149" s="206" t="str">
        <x:f>IF(INDEX(Backlog!$M$2:$M$180,MATCH($A149,Backlog!$A$2:$A$180,0))="","",INDEX(Backlog!$M$2:$M$180,MATCH($A149,Backlog!$A$2:$A$180,0)))</x:f>
        <x:v>T-131; T-132; T-139; T-140</x:v>
      </x:c>
      <x:c r="H149" s="206" t="str">
        <x:f>IF(INDEX(Backlog!$N$2:$N$180,MATCH($A149,Backlog!$A$2:$A$180,0))="","",INDEX(Backlog!$N$2:$N$180,MATCH($A149,Backlog!$A$2:$A$180,0)))</x:f>
        <x:v>T-143; T-189; T-190</x:v>
      </x:c>
      <x:c r="I149" s="206" t="str">
        <x:f>IF(INDEX(Backlog!$T$2:$T$180,MATCH($A149,Backlog!$A$2:$A$180,0))="","",INDEX(Backlog!$T$2:$T$180,MATCH($A149,Backlog!$A$2:$A$180,0)))</x:f>
        <x:v>T-131/T-132 + T-139/T-140</x:v>
      </x:c>
      <x:c r="J149" s="194" t="str">
        <x:f>IF(INDEX(Backlog!$AN$2:$AN$180,MATCH($A149,Backlog!$A$2:$A$180,0))="","",INDEX(Backlog!$AN$2:$AN$180,MATCH($A149,Backlog!$A$2:$A$180,0)))</x:f>
      </x:c>
      <x:c r="K149"/>
      <x:c r="L149"/>
    </x:row>
    <x:row r="150" ht="26" customHeight="1">
      <x:c r="A150" s="206" t="str">
        <x:v>T-143</x:v>
      </x:c>
      <x:c r="B150" s="206" t="str">
        <x:f>IF(INDEX(Backlog!$B$2:$B$180,MATCH($A150,Backlog!$A$2:$A$180,0))="","",INDEX(Backlog!$B$2:$B$180,MATCH($A150,Backlog!$A$2:$A$180,0)))</x:f>
        <x:v>M3</x:v>
      </x:c>
      <x:c r="C150" s="206" t="str">
        <x:f>IF(INDEX(Backlog!$C$2:$C$180,MATCH($A150,Backlog!$A$2:$A$180,0))="","",INDEX(Backlog!$C$2:$C$180,MATCH($A150,Backlog!$A$2:$A$180,0)))</x:f>
        <x:v>P4</x:v>
      </x:c>
      <x:c r="D150" s="206" t="str">
        <x:f>IF(INDEX(Backlog!$L$2:$L$180,MATCH($A150,Backlog!$A$2:$A$180,0))="","",INDEX(Backlog!$L$2:$L$180,MATCH($A150,Backlog!$A$2:$A$180,0)))</x:f>
        <x:v>Worker 3</x:v>
      </x:c>
      <x:c r="E150" s="206" t="str">
        <x:f>IF(INDEX(Backlog!$K$2:$K$180,MATCH($A150,Backlog!$A$2:$A$180,0))="","",INDEX(Backlog!$K$2:$K$180,MATCH($A150,Backlog!$A$2:$A$180,0)))</x:f>
        <x:v>Not Started</x:v>
      </x:c>
      <x:c r="F150" s="206" t="n">
        <x:f>IF(ISNUMBER(INDEX(Backlog!$R$2:$R$180,MATCH($A150,Backlog!$A$2:$A$180,0))),INDEX(Backlog!$R$2:$R$180,MATCH($A150,Backlog!$A$2:$A$180,0)),"")</x:f>
        <x:v>1.2000000000000002</x:v>
      </x:c>
      <x:c r="G150" s="206" t="str">
        <x:f>IF(INDEX(Backlog!$M$2:$M$180,MATCH($A150,Backlog!$A$2:$A$180,0))="","",INDEX(Backlog!$M$2:$M$180,MATCH($A150,Backlog!$A$2:$A$180,0)))</x:f>
        <x:v>T-178; T-142</x:v>
      </x:c>
      <x:c r="H150" s="206" t="str">
        <x:f>IF(INDEX(Backlog!$N$2:$N$180,MATCH($A150,Backlog!$A$2:$A$180,0))="","",INDEX(Backlog!$N$2:$N$180,MATCH($A150,Backlog!$A$2:$A$180,0)))</x:f>
        <x:v>T-144; T-189; T-190</x:v>
      </x:c>
      <x:c r="I150" s="206" t="str">
        <x:f>IF(INDEX(Backlog!$T$2:$T$180,MATCH($A150,Backlog!$A$2:$A$180,0))="","",INDEX(Backlog!$T$2:$T$180,MATCH($A150,Backlog!$A$2:$A$180,0)))</x:f>
        <x:v>T-178 + T-142</x:v>
      </x:c>
      <x:c r="J150" s="194" t="str">
        <x:f>IF(INDEX(Backlog!$AN$2:$AN$180,MATCH($A150,Backlog!$A$2:$A$180,0))="","",INDEX(Backlog!$AN$2:$AN$180,MATCH($A150,Backlog!$A$2:$A$180,0)))</x:f>
      </x:c>
      <x:c r="K150"/>
      <x:c r="L150"/>
    </x:row>
    <x:row r="151" ht="26" customHeight="1">
      <x:c r="A151" s="206" t="str">
        <x:v>T-144</x:v>
      </x:c>
      <x:c r="B151" s="206" t="str">
        <x:f>IF(INDEX(Backlog!$B$2:$B$180,MATCH($A151,Backlog!$A$2:$A$180,0))="","",INDEX(Backlog!$B$2:$B$180,MATCH($A151,Backlog!$A$2:$A$180,0)))</x:f>
        <x:v>M3</x:v>
      </x:c>
      <x:c r="C151" s="206" t="str">
        <x:f>IF(INDEX(Backlog!$C$2:$C$180,MATCH($A151,Backlog!$A$2:$A$180,0))="","",INDEX(Backlog!$C$2:$C$180,MATCH($A151,Backlog!$A$2:$A$180,0)))</x:f>
        <x:v>P4</x:v>
      </x:c>
      <x:c r="D151" s="206" t="str">
        <x:f>IF(INDEX(Backlog!$L$2:$L$180,MATCH($A151,Backlog!$A$2:$A$180,0))="","",INDEX(Backlog!$L$2:$L$180,MATCH($A151,Backlog!$A$2:$A$180,0)))</x:f>
        <x:v>Worker 3</x:v>
      </x:c>
      <x:c r="E151" s="206" t="str">
        <x:f>IF(INDEX(Backlog!$K$2:$K$180,MATCH($A151,Backlog!$A$2:$A$180,0))="","",INDEX(Backlog!$K$2:$K$180,MATCH($A151,Backlog!$A$2:$A$180,0)))</x:f>
        <x:v>Not Started</x:v>
      </x:c>
      <x:c r="F151" s="206" t="n">
        <x:f>IF(ISNUMBER(INDEX(Backlog!$R$2:$R$180,MATCH($A151,Backlog!$A$2:$A$180,0))),INDEX(Backlog!$R$2:$R$180,MATCH($A151,Backlog!$A$2:$A$180,0)),"")</x:f>
        <x:v>1.2000000000000002</x:v>
      </x:c>
      <x:c r="G151" s="206" t="str">
        <x:f>IF(INDEX(Backlog!$M$2:$M$180,MATCH($A151,Backlog!$A$2:$A$180,0))="","",INDEX(Backlog!$M$2:$M$180,MATCH($A151,Backlog!$A$2:$A$180,0)))</x:f>
        <x:v>T-143</x:v>
      </x:c>
      <x:c r="H151" s="206" t="str">
        <x:f>IF(INDEX(Backlog!$N$2:$N$180,MATCH($A151,Backlog!$A$2:$A$180,0))="","",INDEX(Backlog!$N$2:$N$180,MATCH($A151,Backlog!$A$2:$A$180,0)))</x:f>
        <x:v>T-145; T-190</x:v>
      </x:c>
      <x:c r="I151" s="206" t="str">
        <x:f>IF(INDEX(Backlog!$T$2:$T$180,MATCH($A151,Backlog!$A$2:$A$180,0))="","",INDEX(Backlog!$T$2:$T$180,MATCH($A151,Backlog!$A$2:$A$180,0)))</x:f>
        <x:v>T-143</x:v>
      </x:c>
      <x:c r="J151" s="194" t="str">
        <x:f>IF(INDEX(Backlog!$AN$2:$AN$180,MATCH($A151,Backlog!$A$2:$A$180,0))="","",INDEX(Backlog!$AN$2:$AN$180,MATCH($A151,Backlog!$A$2:$A$180,0)))</x:f>
      </x:c>
      <x:c r="K151"/>
      <x:c r="L151"/>
    </x:row>
    <x:row r="152" ht="26" customHeight="1">
      <x:c r="A152" s="206" t="str">
        <x:v>T-145</x:v>
      </x:c>
      <x:c r="B152" s="206" t="str">
        <x:f>IF(INDEX(Backlog!$B$2:$B$180,MATCH($A152,Backlog!$A$2:$A$180,0))="","",INDEX(Backlog!$B$2:$B$180,MATCH($A152,Backlog!$A$2:$A$180,0)))</x:f>
        <x:v>M3</x:v>
      </x:c>
      <x:c r="C152" s="206" t="str">
        <x:f>IF(INDEX(Backlog!$C$2:$C$180,MATCH($A152,Backlog!$A$2:$A$180,0))="","",INDEX(Backlog!$C$2:$C$180,MATCH($A152,Backlog!$A$2:$A$180,0)))</x:f>
        <x:v>P4</x:v>
      </x:c>
      <x:c r="D152" s="206" t="str">
        <x:f>IF(INDEX(Backlog!$L$2:$L$180,MATCH($A152,Backlog!$A$2:$A$180,0))="","",INDEX(Backlog!$L$2:$L$180,MATCH($A152,Backlog!$A$2:$A$180,0)))</x:f>
        <x:v>Worker 3</x:v>
      </x:c>
      <x:c r="E152" s="206" t="str">
        <x:f>IF(INDEX(Backlog!$K$2:$K$180,MATCH($A152,Backlog!$A$2:$A$180,0))="","",INDEX(Backlog!$K$2:$K$180,MATCH($A152,Backlog!$A$2:$A$180,0)))</x:f>
        <x:v>Not Started</x:v>
      </x:c>
      <x:c r="F152" s="206" t="n">
        <x:f>IF(ISNUMBER(INDEX(Backlog!$R$2:$R$180,MATCH($A152,Backlog!$A$2:$A$180,0))),INDEX(Backlog!$R$2:$R$180,MATCH($A152,Backlog!$A$2:$A$180,0)),"")</x:f>
        <x:v>1.2000000000000002</x:v>
      </x:c>
      <x:c r="G152" s="206" t="str">
        <x:f>IF(INDEX(Backlog!$M$2:$M$180,MATCH($A152,Backlog!$A$2:$A$180,0))="","",INDEX(Backlog!$M$2:$M$180,MATCH($A152,Backlog!$A$2:$A$180,0)))</x:f>
        <x:v>T-144</x:v>
      </x:c>
      <x:c r="H152" s="206" t="str">
        <x:f>IF(INDEX(Backlog!$N$2:$N$180,MATCH($A152,Backlog!$A$2:$A$180,0))="","",INDEX(Backlog!$N$2:$N$180,MATCH($A152,Backlog!$A$2:$A$180,0)))</x:f>
        <x:v>T-190; T-193</x:v>
      </x:c>
      <x:c r="I152" s="206" t="str">
        <x:f>IF(INDEX(Backlog!$T$2:$T$180,MATCH($A152,Backlog!$A$2:$A$180,0))="","",INDEX(Backlog!$T$2:$T$180,MATCH($A152,Backlog!$A$2:$A$180,0)))</x:f>
        <x:v>T-144</x:v>
      </x:c>
      <x:c r="J152" s="194" t="str">
        <x:f>IF(INDEX(Backlog!$AN$2:$AN$180,MATCH($A152,Backlog!$A$2:$A$180,0))="","",INDEX(Backlog!$AN$2:$AN$180,MATCH($A152,Backlog!$A$2:$A$180,0)))</x:f>
      </x:c>
      <x:c r="K152"/>
      <x:c r="L152"/>
    </x:row>
    <x:row r="153" ht="26" customHeight="1">
      <x:c r="A153" s="206" t="str">
        <x:v>T-146</x:v>
      </x:c>
      <x:c r="B153" s="206" t="str">
        <x:f>IF(INDEX(Backlog!$B$2:$B$180,MATCH($A153,Backlog!$A$2:$A$180,0))="","",INDEX(Backlog!$B$2:$B$180,MATCH($A153,Backlog!$A$2:$A$180,0)))</x:f>
        <x:v>M3</x:v>
      </x:c>
      <x:c r="C153" s="206" t="str">
        <x:f>IF(INDEX(Backlog!$C$2:$C$180,MATCH($A153,Backlog!$A$2:$A$180,0))="","",INDEX(Backlog!$C$2:$C$180,MATCH($A153,Backlog!$A$2:$A$180,0)))</x:f>
        <x:v>P4</x:v>
      </x:c>
      <x:c r="D153" s="206" t="str">
        <x:f>IF(INDEX(Backlog!$L$2:$L$180,MATCH($A153,Backlog!$A$2:$A$180,0))="","",INDEX(Backlog!$L$2:$L$180,MATCH($A153,Backlog!$A$2:$A$180,0)))</x:f>
        <x:v>Worker 3</x:v>
      </x:c>
      <x:c r="E153" s="206" t="str">
        <x:f>IF(INDEX(Backlog!$K$2:$K$180,MATCH($A153,Backlog!$A$2:$A$180,0))="","",INDEX(Backlog!$K$2:$K$180,MATCH($A153,Backlog!$A$2:$A$180,0)))</x:f>
        <x:v>Not Started</x:v>
      </x:c>
      <x:c r="F153" s="206" t="n">
        <x:f>IF(ISNUMBER(INDEX(Backlog!$R$2:$R$180,MATCH($A153,Backlog!$A$2:$A$180,0))),INDEX(Backlog!$R$2:$R$180,MATCH($A153,Backlog!$A$2:$A$180,0)),"")</x:f>
        <x:v>1.5</x:v>
      </x:c>
      <x:c r="G153" s="206" t="str">
        <x:f>IF(INDEX(Backlog!$M$2:$M$180,MATCH($A153,Backlog!$A$2:$A$180,0))="","",INDEX(Backlog!$M$2:$M$180,MATCH($A153,Backlog!$A$2:$A$180,0)))</x:f>
        <x:v>T-147; T-177; T-128; T-129</x:v>
      </x:c>
      <x:c r="H153" s="206" t="str">
        <x:f>IF(INDEX(Backlog!$N$2:$N$180,MATCH($A153,Backlog!$A$2:$A$180,0))="","",INDEX(Backlog!$N$2:$N$180,MATCH($A153,Backlog!$A$2:$A$180,0)))</x:f>
      </x:c>
      <x:c r="I153" s="206" t="str">
        <x:f>IF(INDEX(Backlog!$T$2:$T$180,MATCH($A153,Backlog!$A$2:$A$180,0))="","",INDEX(Backlog!$T$2:$T$180,MATCH($A153,Backlog!$A$2:$A$180,0)))</x:f>
        <x:v>T-147 COMPLETE + T-177 + T-128/T-129; M1 presentation continuity frozen.</x:v>
      </x:c>
      <x:c r="J153" s="194" t="str">
        <x:f>IF(INDEX(Backlog!$AN$2:$AN$180,MATCH($A153,Backlog!$A$2:$A$180,0))="","",INDEX(Backlog!$AN$2:$AN$180,MATCH($A153,Backlog!$A$2:$A$180,0)))</x:f>
      </x:c>
      <x:c r="K153"/>
      <x:c r="L153"/>
    </x:row>
    <x:row r="154" ht="26" customHeight="1">
      <x:c r="A154" s="206" t="str">
        <x:v>T-147</x:v>
      </x:c>
      <x:c r="B154" s="206" t="str">
        <x:f>IF(INDEX(Backlog!$B$2:$B$180,MATCH($A154,Backlog!$A$2:$A$180,0))="","",INDEX(Backlog!$B$2:$B$180,MATCH($A154,Backlog!$A$2:$A$180,0)))</x:f>
        <x:v>M3</x:v>
      </x:c>
      <x:c r="C154" s="206" t="str">
        <x:f>IF(INDEX(Backlog!$C$2:$C$180,MATCH($A154,Backlog!$A$2:$A$180,0))="","",INDEX(Backlog!$C$2:$C$180,MATCH($A154,Backlog!$A$2:$A$180,0)))</x:f>
        <x:v>P4</x:v>
      </x:c>
      <x:c r="D154" s="206" t="str">
        <x:f>IF(INDEX(Backlog!$L$2:$L$180,MATCH($A154,Backlog!$A$2:$A$180,0))="","",INDEX(Backlog!$L$2:$L$180,MATCH($A154,Backlog!$A$2:$A$180,0)))</x:f>
        <x:v>Worker 3</x:v>
      </x:c>
      <x:c r="E154" s="206" t="str">
        <x:f>IF(INDEX(Backlog!$K$2:$K$180,MATCH($A154,Backlog!$A$2:$A$180,0))="","",INDEX(Backlog!$K$2:$K$180,MATCH($A154,Backlog!$A$2:$A$180,0)))</x:f>
        <x:v>Not Started</x:v>
      </x:c>
      <x:c r="F154" s="206" t="n">
        <x:f>IF(ISNUMBER(INDEX(Backlog!$R$2:$R$180,MATCH($A154,Backlog!$A$2:$A$180,0))),INDEX(Backlog!$R$2:$R$180,MATCH($A154,Backlog!$A$2:$A$180,0)),"")</x:f>
        <x:v>1.7999999999999998</x:v>
      </x:c>
      <x:c r="G154" s="206" t="str">
        <x:f>IF(INDEX(Backlog!$M$2:$M$180,MATCH($A154,Backlog!$A$2:$A$180,0))="","",INDEX(Backlog!$M$2:$M$180,MATCH($A154,Backlog!$A$2:$A$180,0)))</x:f>
        <x:v>T-090; T-128; T-129; T-177</x:v>
      </x:c>
      <x:c r="H154" s="206" t="str">
        <x:f>IF(INDEX(Backlog!$N$2:$N$180,MATCH($A154,Backlog!$A$2:$A$180,0))="","",INDEX(Backlog!$N$2:$N$180,MATCH($A154,Backlog!$A$2:$A$180,0)))</x:f>
        <x:v>T-146</x:v>
      </x:c>
      <x:c r="I154" s="206" t="str">
        <x:f>IF(INDEX(Backlog!$T$2:$T$180,MATCH($A154,Backlog!$A$2:$A$180,0))="","",INDEX(Backlog!$T$2:$T$180,MATCH($A154,Backlog!$A$2:$A$180,0)))</x:f>
        <x:v>T-090 canonical SM-06 binding + T-128/T-129 + T-177; complete BEFORE T-146 fi...</x:v>
      </x:c>
      <x:c r="J154" s="194" t="str">
        <x:f>IF(INDEX(Backlog!$AN$2:$AN$180,MATCH($A154,Backlog!$A$2:$A$180,0))="","",INDEX(Backlog!$AN$2:$AN$180,MATCH($A154,Backlog!$A$2:$A$180,0)))</x:f>
      </x:c>
      <x:c r="K154"/>
      <x:c r="L154"/>
    </x:row>
    <x:row r="155" ht="26" customHeight="1">
      <x:c r="A155" s="206" t="str">
        <x:v>T-157</x:v>
      </x:c>
      <x:c r="B155" s="206" t="str">
        <x:f>IF(INDEX(Backlog!$B$2:$B$180,MATCH($A155,Backlog!$A$2:$A$180,0))="","",INDEX(Backlog!$B$2:$B$180,MATCH($A155,Backlog!$A$2:$A$180,0)))</x:f>
        <x:v>M3</x:v>
      </x:c>
      <x:c r="C155" s="206" t="str">
        <x:f>IF(INDEX(Backlog!$C$2:$C$180,MATCH($A155,Backlog!$A$2:$A$180,0))="","",INDEX(Backlog!$C$2:$C$180,MATCH($A155,Backlog!$A$2:$A$180,0)))</x:f>
        <x:v>P4</x:v>
      </x:c>
      <x:c r="D155" s="206" t="str">
        <x:f>IF(INDEX(Backlog!$L$2:$L$180,MATCH($A155,Backlog!$A$2:$A$180,0))="","",INDEX(Backlog!$L$2:$L$180,MATCH($A155,Backlog!$A$2:$A$180,0)))</x:f>
        <x:v>Worker 3</x:v>
      </x:c>
      <x:c r="E155" s="206" t="str">
        <x:f>IF(INDEX(Backlog!$K$2:$K$180,MATCH($A155,Backlog!$A$2:$A$180,0))="","",INDEX(Backlog!$K$2:$K$180,MATCH($A155,Backlog!$A$2:$A$180,0)))</x:f>
        <x:v>Not Started</x:v>
      </x:c>
      <x:c r="F155" s="206" t="n">
        <x:f>IF(ISNUMBER(INDEX(Backlog!$R$2:$R$180,MATCH($A155,Backlog!$A$2:$A$180,0))),INDEX(Backlog!$R$2:$R$180,MATCH($A155,Backlog!$A$2:$A$180,0)),"")</x:f>
        <x:v>4.32</x:v>
      </x:c>
      <x:c r="G155" s="206" t="str">
        <x:f>IF(INDEX(Backlog!$M$2:$M$180,MATCH($A155,Backlog!$A$2:$A$180,0))="","",INDEX(Backlog!$M$2:$M$180,MATCH($A155,Backlog!$A$2:$A$180,0)))</x:f>
      </x:c>
      <x:c r="H155" s="206" t="str">
        <x:f>IF(INDEX(Backlog!$N$2:$N$180,MATCH($A155,Backlog!$A$2:$A$180,0))="","",INDEX(Backlog!$N$2:$N$180,MATCH($A155,Backlog!$A$2:$A$180,0)))</x:f>
      </x:c>
      <x:c r="I155" s="206" t="str">
        <x:f>IF(INDEX(Backlog!$T$2:$T$180,MATCH($A155,Backlog!$A$2:$A$180,0))="","",INDEX(Backlog!$T$2:$T$180,MATCH($A155,Backlog!$A$2:$A$180,0)))</x:f>
        <x:v>WAIT for deployed Release 1 + real customer/site evidence. Release 2 accepted + customer data window</x:v>
      </x:c>
      <x:c r="J155" s="194" t="str">
        <x:f>IF(INDEX(Backlog!$AN$2:$AN$180,MATCH($A155,Backlog!$A$2:$A$180,0))="","",INDEX(Backlog!$AN$2:$AN$180,MATCH($A155,Backlog!$A$2:$A$180,0)))</x:f>
      </x:c>
      <x:c r="K155"/>
      <x:c r="L155"/>
    </x:row>
    <x:row r="156" ht="26" customHeight="1">
      <x:c r="A156" s="206" t="str">
        <x:v>T-158</x:v>
      </x:c>
      <x:c r="B156" s="206" t="str">
        <x:f>IF(INDEX(Backlog!$B$2:$B$180,MATCH($A156,Backlog!$A$2:$A$180,0))="","",INDEX(Backlog!$B$2:$B$180,MATCH($A156,Backlog!$A$2:$A$180,0)))</x:f>
        <x:v>M3</x:v>
      </x:c>
      <x:c r="C156" s="206" t="str">
        <x:f>IF(INDEX(Backlog!$C$2:$C$180,MATCH($A156,Backlog!$A$2:$A$180,0))="","",INDEX(Backlog!$C$2:$C$180,MATCH($A156,Backlog!$A$2:$A$180,0)))</x:f>
        <x:v>P4</x:v>
      </x:c>
      <x:c r="D156" s="206" t="str">
        <x:f>IF(INDEX(Backlog!$L$2:$L$180,MATCH($A156,Backlog!$A$2:$A$180,0))="","",INDEX(Backlog!$L$2:$L$180,MATCH($A156,Backlog!$A$2:$A$180,0)))</x:f>
        <x:v>Worker 3</x:v>
      </x:c>
      <x:c r="E156" s="206" t="str">
        <x:f>IF(INDEX(Backlog!$K$2:$K$180,MATCH($A156,Backlog!$A$2:$A$180,0))="","",INDEX(Backlog!$K$2:$K$180,MATCH($A156,Backlog!$A$2:$A$180,0)))</x:f>
        <x:v>Not Started</x:v>
      </x:c>
      <x:c r="F156" s="206" t="n">
        <x:f>IF(ISNUMBER(INDEX(Backlog!$R$2:$R$180,MATCH($A156,Backlog!$A$2:$A$180,0))),INDEX(Backlog!$R$2:$R$180,MATCH($A156,Backlog!$A$2:$A$180,0)),"")</x:f>
        <x:v>4.32</x:v>
      </x:c>
      <x:c r="G156" s="206" t="str">
        <x:f>IF(INDEX(Backlog!$M$2:$M$180,MATCH($A156,Backlog!$A$2:$A$180,0))="","",INDEX(Backlog!$M$2:$M$180,MATCH($A156,Backlog!$A$2:$A$180,0)))</x:f>
      </x:c>
      <x:c r="H156" s="206" t="str">
        <x:f>IF(INDEX(Backlog!$N$2:$N$180,MATCH($A156,Backlog!$A$2:$A$180,0))="","",INDEX(Backlog!$N$2:$N$180,MATCH($A156,Backlog!$A$2:$A$180,0)))</x:f>
      </x:c>
      <x:c r="I156" s="206" t="str">
        <x:f>IF(INDEX(Backlog!$T$2:$T$180,MATCH($A156,Backlog!$A$2:$A$180,0))="","",INDEX(Backlog!$T$2:$T$180,MATCH($A156,Backlog!$A$2:$A$180,0)))</x:f>
        <x:v>WAIT for deployed Release 1 + real customer/site evidence. Release 2 accepted + customer data window</x:v>
      </x:c>
      <x:c r="J156" s="194" t="str">
        <x:f>IF(INDEX(Backlog!$AN$2:$AN$180,MATCH($A156,Backlog!$A$2:$A$180,0))="","",INDEX(Backlog!$AN$2:$AN$180,MATCH($A156,Backlog!$A$2:$A$180,0)))</x:f>
      </x:c>
      <x:c r="K156"/>
      <x:c r="L156"/>
    </x:row>
    <x:row r="157" ht="26" customHeight="1">
      <x:c r="A157" s="206" t="str">
        <x:v>T-164</x:v>
      </x:c>
      <x:c r="B157" s="206" t="str">
        <x:f>IF(INDEX(Backlog!$B$2:$B$180,MATCH($A157,Backlog!$A$2:$A$180,0))="","",INDEX(Backlog!$B$2:$B$180,MATCH($A157,Backlog!$A$2:$A$180,0)))</x:f>
        <x:v>M3</x:v>
      </x:c>
      <x:c r="C157" s="206" t="str">
        <x:f>IF(INDEX(Backlog!$C$2:$C$180,MATCH($A157,Backlog!$A$2:$A$180,0))="","",INDEX(Backlog!$C$2:$C$180,MATCH($A157,Backlog!$A$2:$A$180,0)))</x:f>
        <x:v>P4</x:v>
      </x:c>
      <x:c r="D157" s="206" t="str">
        <x:f>IF(INDEX(Backlog!$L$2:$L$180,MATCH($A157,Backlog!$A$2:$A$180,0))="","",INDEX(Backlog!$L$2:$L$180,MATCH($A157,Backlog!$A$2:$A$180,0)))</x:f>
        <x:v>Worker 1</x:v>
      </x:c>
      <x:c r="E157" s="206" t="str">
        <x:f>IF(INDEX(Backlog!$K$2:$K$180,MATCH($A157,Backlog!$A$2:$A$180,0))="","",INDEX(Backlog!$K$2:$K$180,MATCH($A157,Backlog!$A$2:$A$180,0)))</x:f>
        <x:v>Not Started</x:v>
      </x:c>
      <x:c r="F157" s="206" t="n">
        <x:f>IF(ISNUMBER(INDEX(Backlog!$R$2:$R$180,MATCH($A157,Backlog!$A$2:$A$180,0))),INDEX(Backlog!$R$2:$R$180,MATCH($A157,Backlog!$A$2:$A$180,0)),"")</x:f>
        <x:v>7.2</x:v>
      </x:c>
      <x:c r="G157" s="206" t="str">
        <x:f>IF(INDEX(Backlog!$M$2:$M$180,MATCH($A157,Backlog!$A$2:$A$180,0))="","",INDEX(Backlog!$M$2:$M$180,MATCH($A157,Backlog!$A$2:$A$180,0)))</x:f>
        <x:v>T-237; T-235</x:v>
      </x:c>
      <x:c r="H157" s="206" t="str">
        <x:f>IF(INDEX(Backlog!$N$2:$N$180,MATCH($A157,Backlog!$A$2:$A$180,0))="","",INDEX(Backlog!$N$2:$N$180,MATCH($A157,Backlog!$A$2:$A$180,0)))</x:f>
        <x:v>T-249</x:v>
      </x:c>
      <x:c r="I157" s="206" t="str">
        <x:f>IF(INDEX(Backlog!$T$2:$T$180,MATCH($A157,Backlog!$A$2:$A$180,0))="","",INDEX(Backlog!$T$2:$T$180,MATCH($A157,Backlog!$A$2:$A$180,0)))</x:f>
        <x:v>WAIT for deployed Release 1 + real customer/site evidence. M3 sequence</x:v>
      </x:c>
      <x:c r="J157" s="194" t="str">
        <x:f>IF(INDEX(Backlog!$AN$2:$AN$180,MATCH($A157,Backlog!$A$2:$A$180,0))="","",INDEX(Backlog!$AN$2:$AN$180,MATCH($A157,Backlog!$A$2:$A$180,0)))</x:f>
      </x:c>
      <x:c r="K157"/>
      <x:c r="L157"/>
    </x:row>
    <x:row r="158" ht="26" customHeight="1">
      <x:c r="A158" s="206" t="str">
        <x:v>T-165</x:v>
      </x:c>
      <x:c r="B158" s="206" t="str">
        <x:f>IF(INDEX(Backlog!$B$2:$B$180,MATCH($A158,Backlog!$A$2:$A$180,0))="","",INDEX(Backlog!$B$2:$B$180,MATCH($A158,Backlog!$A$2:$A$180,0)))</x:f>
        <x:v>M3</x:v>
      </x:c>
      <x:c r="C158" s="206" t="str">
        <x:f>IF(INDEX(Backlog!$C$2:$C$180,MATCH($A158,Backlog!$A$2:$A$180,0))="","",INDEX(Backlog!$C$2:$C$180,MATCH($A158,Backlog!$A$2:$A$180,0)))</x:f>
        <x:v>P4</x:v>
      </x:c>
      <x:c r="D158" s="206" t="str">
        <x:f>IF(INDEX(Backlog!$L$2:$L$180,MATCH($A158,Backlog!$A$2:$A$180,0))="","",INDEX(Backlog!$L$2:$L$180,MATCH($A158,Backlog!$A$2:$A$180,0)))</x:f>
        <x:v>Worker 1</x:v>
      </x:c>
      <x:c r="E158" s="206" t="str">
        <x:f>IF(INDEX(Backlog!$K$2:$K$180,MATCH($A158,Backlog!$A$2:$A$180,0))="","",INDEX(Backlog!$K$2:$K$180,MATCH($A158,Backlog!$A$2:$A$180,0)))</x:f>
        <x:v>Not Started</x:v>
      </x:c>
      <x:c r="F158" s="206" t="n">
        <x:f>IF(ISNUMBER(INDEX(Backlog!$R$2:$R$180,MATCH($A158,Backlog!$A$2:$A$180,0))),INDEX(Backlog!$R$2:$R$180,MATCH($A158,Backlog!$A$2:$A$180,0)),"")</x:f>
        <x:v>7.2</x:v>
      </x:c>
      <x:c r="G158" s="206" t="str">
        <x:f>IF(INDEX(Backlog!$M$2:$M$180,MATCH($A158,Backlog!$A$2:$A$180,0))="","",INDEX(Backlog!$M$2:$M$180,MATCH($A158,Backlog!$A$2:$A$180,0)))</x:f>
      </x:c>
      <x:c r="H158" s="206" t="str">
        <x:f>IF(INDEX(Backlog!$N$2:$N$180,MATCH($A158,Backlog!$A$2:$A$180,0))="","",INDEX(Backlog!$N$2:$N$180,MATCH($A158,Backlog!$A$2:$A$180,0)))</x:f>
      </x:c>
      <x:c r="I158" s="206" t="str">
        <x:f>IF(INDEX(Backlog!$T$2:$T$180,MATCH($A158,Backlog!$A$2:$A$180,0))="","",INDEX(Backlog!$T$2:$T$180,MATCH($A158,Backlog!$A$2:$A$180,0)))</x:f>
        <x:v>WAIT for deployed Release 1 + real customer/site evidence. M3 sequence</x:v>
      </x:c>
      <x:c r="J158" s="194" t="str">
        <x:f>IF(INDEX(Backlog!$AN$2:$AN$180,MATCH($A158,Backlog!$A$2:$A$180,0))="","",INDEX(Backlog!$AN$2:$AN$180,MATCH($A158,Backlog!$A$2:$A$180,0)))</x:f>
      </x:c>
      <x:c r="K158"/>
      <x:c r="L158"/>
    </x:row>
    <x:row r="159" ht="26" customHeight="1">
      <x:c r="A159" s="206" t="str">
        <x:v>T-183</x:v>
      </x:c>
      <x:c r="B159" s="206" t="str">
        <x:f>IF(INDEX(Backlog!$B$2:$B$180,MATCH($A159,Backlog!$A$2:$A$180,0))="","",INDEX(Backlog!$B$2:$B$180,MATCH($A159,Backlog!$A$2:$A$180,0)))</x:f>
        <x:v>M3</x:v>
      </x:c>
      <x:c r="C159" s="206" t="str">
        <x:f>IF(INDEX(Backlog!$C$2:$C$180,MATCH($A159,Backlog!$A$2:$A$180,0))="","",INDEX(Backlog!$C$2:$C$180,MATCH($A159,Backlog!$A$2:$A$180,0)))</x:f>
        <x:v>P4</x:v>
      </x:c>
      <x:c r="D159" s="206" t="str">
        <x:f>IF(INDEX(Backlog!$L$2:$L$180,MATCH($A159,Backlog!$A$2:$A$180,0))="","",INDEX(Backlog!$L$2:$L$180,MATCH($A159,Backlog!$A$2:$A$180,0)))</x:f>
        <x:v>Worker 3</x:v>
      </x:c>
      <x:c r="E159" s="206" t="str">
        <x:f>IF(INDEX(Backlog!$K$2:$K$180,MATCH($A159,Backlog!$A$2:$A$180,0))="","",INDEX(Backlog!$K$2:$K$180,MATCH($A159,Backlog!$A$2:$A$180,0)))</x:f>
        <x:v>Not Started</x:v>
      </x:c>
      <x:c r="F159" s="206" t="n">
        <x:f>IF(ISNUMBER(INDEX(Backlog!$R$2:$R$180,MATCH($A159,Backlog!$A$2:$A$180,0))),INDEX(Backlog!$R$2:$R$180,MATCH($A159,Backlog!$A$2:$A$180,0)),"")</x:f>
        <x:v>1.7999999999999998</x:v>
      </x:c>
      <x:c r="G159" s="206" t="str">
        <x:f>IF(INDEX(Backlog!$M$2:$M$180,MATCH($A159,Backlog!$A$2:$A$180,0))="","",INDEX(Backlog!$M$2:$M$180,MATCH($A159,Backlog!$A$2:$A$180,0)))</x:f>
        <x:v>T-089; T-090; T-091; T-092; T-093; T-094; T-095; T-096; T-097; T-098; T-099; T-100; T-101; T-102; T-103; T-104; T-112; T-114</x:v>
      </x:c>
      <x:c r="H159" s="206" t="str">
        <x:f>IF(INDEX(Backlog!$N$2:$N$180,MATCH($A159,Backlog!$A$2:$A$180,0))="","",INDEX(Backlog!$N$2:$N$180,MATCH($A159,Backlog!$A$2:$A$180,0)))</x:f>
        <x:v>T-129; T-130; T-133; T-135; T-184; T-185; T-186; T-187; T-192</x:v>
      </x:c>
      <x:c r="I159" s="206" t="str">
        <x:f>IF(INDEX(Backlog!$T$2:$T$180,MATCH($A159,Backlog!$A$2:$A$180,0))="","",INDEX(Backlog!$T$2:$T$180,MATCH($A159,Backlog!$A$2:$A$180,0)))</x:f>
        <x:v>T-089..T-105 canonical definition/relationship authority + T-112 + T-114 secu...</x:v>
      </x:c>
      <x:c r="J159" s="194" t="str">
        <x:f>IF(INDEX(Backlog!$AN$2:$AN$180,MATCH($A159,Backlog!$A$2:$A$180,0))="","",INDEX(Backlog!$AN$2:$AN$180,MATCH($A159,Backlog!$A$2:$A$180,0)))</x:f>
      </x:c>
      <x:c r="K159"/>
      <x:c r="L159"/>
    </x:row>
    <x:row r="160" ht="26" customHeight="1">
      <x:c r="A160" s="206" t="str">
        <x:v>T-184</x:v>
      </x:c>
      <x:c r="B160" s="206" t="str">
        <x:f>IF(INDEX(Backlog!$B$2:$B$180,MATCH($A160,Backlog!$A$2:$A$180,0))="","",INDEX(Backlog!$B$2:$B$180,MATCH($A160,Backlog!$A$2:$A$180,0)))</x:f>
        <x:v>M3</x:v>
      </x:c>
      <x:c r="C160" s="206" t="str">
        <x:f>IF(INDEX(Backlog!$C$2:$C$180,MATCH($A160,Backlog!$A$2:$A$180,0))="","",INDEX(Backlog!$C$2:$C$180,MATCH($A160,Backlog!$A$2:$A$180,0)))</x:f>
        <x:v>P4</x:v>
      </x:c>
      <x:c r="D160" s="206" t="str">
        <x:f>IF(INDEX(Backlog!$L$2:$L$180,MATCH($A160,Backlog!$A$2:$A$180,0))="","",INDEX(Backlog!$L$2:$L$180,MATCH($A160,Backlog!$A$2:$A$180,0)))</x:f>
        <x:v>Worker 3</x:v>
      </x:c>
      <x:c r="E160" s="206" t="str">
        <x:f>IF(INDEX(Backlog!$K$2:$K$180,MATCH($A160,Backlog!$A$2:$A$180,0))="","",INDEX(Backlog!$K$2:$K$180,MATCH($A160,Backlog!$A$2:$A$180,0)))</x:f>
        <x:v>Not Started</x:v>
      </x:c>
      <x:c r="F160" s="206" t="n">
        <x:f>IF(ISNUMBER(INDEX(Backlog!$R$2:$R$180,MATCH($A160,Backlog!$A$2:$A$180,0))),INDEX(Backlog!$R$2:$R$180,MATCH($A160,Backlog!$A$2:$A$180,0)),"")</x:f>
        <x:v>1.7999999999999998</x:v>
      </x:c>
      <x:c r="G160" s="206" t="str">
        <x:f>IF(INDEX(Backlog!$M$2:$M$180,MATCH($A160,Backlog!$A$2:$A$180,0))="","",INDEX(Backlog!$M$2:$M$180,MATCH($A160,Backlog!$A$2:$A$180,0)))</x:f>
        <x:v>T-128; T-169; T-183; T-112; T-114; T-135</x:v>
      </x:c>
      <x:c r="H160" s="206" t="str">
        <x:f>IF(INDEX(Backlog!$N$2:$N$180,MATCH($A160,Backlog!$A$2:$A$180,0))="","",INDEX(Backlog!$N$2:$N$180,MATCH($A160,Backlog!$A$2:$A$180,0)))</x:f>
        <x:v>T-187; T-192</x:v>
      </x:c>
      <x:c r="I160" s="206" t="str">
        <x:f>IF(INDEX(Backlog!$T$2:$T$180,MATCH($A160,Backlog!$A$2:$A$180,0))="","",INDEX(Backlog!$T$2:$T$180,MATCH($A160,Backlog!$A$2:$A$180,0)))</x:f>
        <x:v>T-128 + T-169 + T-183 + T-112/T-114/T-135 security ratchet.</x:v>
      </x:c>
      <x:c r="J160" s="194" t="str">
        <x:f>IF(INDEX(Backlog!$AN$2:$AN$180,MATCH($A160,Backlog!$A$2:$A$180,0))="","",INDEX(Backlog!$AN$2:$AN$180,MATCH($A160,Backlog!$A$2:$A$180,0)))</x:f>
      </x:c>
      <x:c r="K160"/>
      <x:c r="L160"/>
    </x:row>
    <x:row r="161" ht="26" customHeight="1">
      <x:c r="A161" s="206" t="str">
        <x:v>T-185</x:v>
      </x:c>
      <x:c r="B161" s="206" t="str">
        <x:f>IF(INDEX(Backlog!$B$2:$B$180,MATCH($A161,Backlog!$A$2:$A$180,0))="","",INDEX(Backlog!$B$2:$B$180,MATCH($A161,Backlog!$A$2:$A$180,0)))</x:f>
        <x:v>M3</x:v>
      </x:c>
      <x:c r="C161" s="206" t="str">
        <x:f>IF(INDEX(Backlog!$C$2:$C$180,MATCH($A161,Backlog!$A$2:$A$180,0))="","",INDEX(Backlog!$C$2:$C$180,MATCH($A161,Backlog!$A$2:$A$180,0)))</x:f>
        <x:v>P4</x:v>
      </x:c>
      <x:c r="D161" s="206" t="str">
        <x:f>IF(INDEX(Backlog!$L$2:$L$180,MATCH($A161,Backlog!$A$2:$A$180,0))="","",INDEX(Backlog!$L$2:$L$180,MATCH($A161,Backlog!$A$2:$A$180,0)))</x:f>
        <x:v>Worker 3</x:v>
      </x:c>
      <x:c r="E161" s="206" t="str">
        <x:f>IF(INDEX(Backlog!$K$2:$K$180,MATCH($A161,Backlog!$A$2:$A$180,0))="","",INDEX(Backlog!$K$2:$K$180,MATCH($A161,Backlog!$A$2:$A$180,0)))</x:f>
        <x:v>Not Started</x:v>
      </x:c>
      <x:c r="F161" s="206" t="n">
        <x:f>IF(ISNUMBER(INDEX(Backlog!$R$2:$R$180,MATCH($A161,Backlog!$A$2:$A$180,0))),INDEX(Backlog!$R$2:$R$180,MATCH($A161,Backlog!$A$2:$A$180,0)),"")</x:f>
        <x:v>1.7999999999999998</x:v>
      </x:c>
      <x:c r="G161" s="206" t="str">
        <x:f>IF(INDEX(Backlog!$M$2:$M$180,MATCH($A161,Backlog!$A$2:$A$180,0))="","",INDEX(Backlog!$M$2:$M$180,MATCH($A161,Backlog!$A$2:$A$180,0)))</x:f>
        <x:v>T-170; T-183; T-122; T-112; T-114; T-135</x:v>
      </x:c>
      <x:c r="H161" s="206" t="str">
        <x:f>IF(INDEX(Backlog!$N$2:$N$180,MATCH($A161,Backlog!$A$2:$A$180,0))="","",INDEX(Backlog!$N$2:$N$180,MATCH($A161,Backlog!$A$2:$A$180,0)))</x:f>
        <x:v>T-187; T-192</x:v>
      </x:c>
      <x:c r="I161" s="206" t="str">
        <x:f>IF(INDEX(Backlog!$T$2:$T$180,MATCH($A161,Backlog!$A$2:$A$180,0))="","",INDEX(Backlog!$T$2:$T$180,MATCH($A161,Backlog!$A$2:$A$180,0)))</x:f>
        <x:v>T-170 + T-183 + T-122 final object-storage/container path + T-112/T-114/T-135...</x:v>
      </x:c>
      <x:c r="J161" s="194" t="str">
        <x:f>IF(INDEX(Backlog!$AN$2:$AN$180,MATCH($A161,Backlog!$A$2:$A$180,0))="","",INDEX(Backlog!$AN$2:$AN$180,MATCH($A161,Backlog!$A$2:$A$180,0)))</x:f>
      </x:c>
      <x:c r="K161"/>
      <x:c r="L161"/>
    </x:row>
    <x:row r="162" ht="26" customHeight="1">
      <x:c r="A162" s="206" t="str">
        <x:v>T-186</x:v>
      </x:c>
      <x:c r="B162" s="206" t="str">
        <x:f>IF(INDEX(Backlog!$B$2:$B$180,MATCH($A162,Backlog!$A$2:$A$180,0))="","",INDEX(Backlog!$B$2:$B$180,MATCH($A162,Backlog!$A$2:$A$180,0)))</x:f>
        <x:v>M3</x:v>
      </x:c>
      <x:c r="C162" s="206" t="str">
        <x:f>IF(INDEX(Backlog!$C$2:$C$180,MATCH($A162,Backlog!$A$2:$A$180,0))="","",INDEX(Backlog!$C$2:$C$180,MATCH($A162,Backlog!$A$2:$A$180,0)))</x:f>
        <x:v>P4</x:v>
      </x:c>
      <x:c r="D162" s="206" t="str">
        <x:f>IF(INDEX(Backlog!$L$2:$L$180,MATCH($A162,Backlog!$A$2:$A$180,0))="","",INDEX(Backlog!$L$2:$L$180,MATCH($A162,Backlog!$A$2:$A$180,0)))</x:f>
        <x:v>Worker 3</x:v>
      </x:c>
      <x:c r="E162" s="206" t="str">
        <x:f>IF(INDEX(Backlog!$K$2:$K$180,MATCH($A162,Backlog!$A$2:$A$180,0))="","",INDEX(Backlog!$K$2:$K$180,MATCH($A162,Backlog!$A$2:$A$180,0)))</x:f>
        <x:v>Not Started</x:v>
      </x:c>
      <x:c r="F162" s="206" t="n">
        <x:f>IF(ISNUMBER(INDEX(Backlog!$R$2:$R$180,MATCH($A162,Backlog!$A$2:$A$180,0))),INDEX(Backlog!$R$2:$R$180,MATCH($A162,Backlog!$A$2:$A$180,0)),"")</x:f>
        <x:v>1.7999999999999998</x:v>
      </x:c>
      <x:c r="G162" s="206" t="str">
        <x:f>IF(INDEX(Backlog!$M$2:$M$180,MATCH($A162,Backlog!$A$2:$A$180,0))="","",INDEX(Backlog!$M$2:$M$180,MATCH($A162,Backlog!$A$2:$A$180,0)))</x:f>
        <x:v>T-171; T-183; T-128; T-129; T-195; T-135</x:v>
      </x:c>
      <x:c r="H162" s="206" t="str">
        <x:f>IF(INDEX(Backlog!$N$2:$N$180,MATCH($A162,Backlog!$A$2:$A$180,0))="","",INDEX(Backlog!$N$2:$N$180,MATCH($A162,Backlog!$A$2:$A$180,0)))</x:f>
        <x:v>T-134; T-187; T-188; T-192</x:v>
      </x:c>
      <x:c r="I162" s="206" t="str">
        <x:f>IF(INDEX(Backlog!$T$2:$T$180,MATCH($A162,Backlog!$A$2:$A$180,0))="","",INDEX(Backlog!$T$2:$T$180,MATCH($A162,Backlog!$A$2:$A$180,0)))</x:f>
        <x:v>T-171 + T-183 + T-128/T-129 + T-195 canonical readiness thresholds + T-135 se...</x:v>
      </x:c>
      <x:c r="J162" s="194" t="str">
        <x:f>IF(INDEX(Backlog!$AN$2:$AN$180,MATCH($A162,Backlog!$A$2:$A$180,0))="","",INDEX(Backlog!$AN$2:$AN$180,MATCH($A162,Backlog!$A$2:$A$180,0)))</x:f>
      </x:c>
      <x:c r="K162"/>
      <x:c r="L162"/>
    </x:row>
    <x:row r="163" ht="26" customHeight="1">
      <x:c r="A163" s="206" t="str">
        <x:v>T-187</x:v>
      </x:c>
      <x:c r="B163" s="206" t="str">
        <x:f>IF(INDEX(Backlog!$B$2:$B$180,MATCH($A163,Backlog!$A$2:$A$180,0))="","",INDEX(Backlog!$B$2:$B$180,MATCH($A163,Backlog!$A$2:$A$180,0)))</x:f>
        <x:v>M3</x:v>
      </x:c>
      <x:c r="C163" s="206" t="str">
        <x:f>IF(INDEX(Backlog!$C$2:$C$180,MATCH($A163,Backlog!$A$2:$A$180,0))="","",INDEX(Backlog!$C$2:$C$180,MATCH($A163,Backlog!$A$2:$A$180,0)))</x:f>
        <x:v>P4</x:v>
      </x:c>
      <x:c r="D163" s="206" t="str">
        <x:f>IF(INDEX(Backlog!$L$2:$L$180,MATCH($A163,Backlog!$A$2:$A$180,0))="","",INDEX(Backlog!$L$2:$L$180,MATCH($A163,Backlog!$A$2:$A$180,0)))</x:f>
        <x:v>Worker 3</x:v>
      </x:c>
      <x:c r="E163" s="206" t="str">
        <x:f>IF(INDEX(Backlog!$K$2:$K$180,MATCH($A163,Backlog!$A$2:$A$180,0))="","",INDEX(Backlog!$K$2:$K$180,MATCH($A163,Backlog!$A$2:$A$180,0)))</x:f>
        <x:v>Not Started</x:v>
      </x:c>
      <x:c r="F163" s="206" t="n">
        <x:f>IF(ISNUMBER(INDEX(Backlog!$R$2:$R$180,MATCH($A163,Backlog!$A$2:$A$180,0))),INDEX(Backlog!$R$2:$R$180,MATCH($A163,Backlog!$A$2:$A$180,0)),"")</x:f>
        <x:v>1.7999999999999998</x:v>
      </x:c>
      <x:c r="G163" s="206" t="str">
        <x:f>IF(INDEX(Backlog!$M$2:$M$180,MATCH($A163,Backlog!$A$2:$A$180,0))="","",INDEX(Backlog!$M$2:$M$180,MATCH($A163,Backlog!$A$2:$A$180,0)))</x:f>
        <x:v>T-168; T-169; T-170; T-171; T-172; T-173; T-174; T-175; T-176; T-183; T-184; T-185; T-186; T-107; T-109; T-112; T-114; T-135; T-195</x:v>
      </x:c>
      <x:c r="H163" s="206" t="str">
        <x:f>IF(INDEX(Backlog!$N$2:$N$180,MATCH($A163,Backlog!$A$2:$A$180,0))="","",INDEX(Backlog!$N$2:$N$180,MATCH($A163,Backlog!$A$2:$A$180,0)))</x:f>
        <x:v>T-139; T-141; T-191; T-192; T-193; T-246</x:v>
      </x:c>
      <x:c r="I163" s="206" t="str">
        <x:f>IF(INDEX(Backlog!$T$2:$T$180,MATCH($A163,Backlog!$A$2:$A$180,0))="","",INDEX(Backlog!$T$2:$T$180,MATCH($A163,Backlog!$A$2:$A$180,0)))</x:f>
        <x:v>T-107 + T-109 + T-168..T-176 + T-183..T-186 + T-112/T-114/T-135 + T-195.</x:v>
      </x:c>
      <x:c r="J163" s="194" t="str">
        <x:f>IF(INDEX(Backlog!$AN$2:$AN$180,MATCH($A163,Backlog!$A$2:$A$180,0))="","",INDEX(Backlog!$AN$2:$AN$180,MATCH($A163,Backlog!$A$2:$A$180,0)))</x:f>
      </x:c>
      <x:c r="K163"/>
      <x:c r="L163"/>
    </x:row>
    <x:row r="164" ht="26" customHeight="1">
      <x:c r="A164" s="206" t="str">
        <x:v>T-188</x:v>
      </x:c>
      <x:c r="B164" s="206" t="str">
        <x:f>IF(INDEX(Backlog!$B$2:$B$180,MATCH($A164,Backlog!$A$2:$A$180,0))="","",INDEX(Backlog!$B$2:$B$180,MATCH($A164,Backlog!$A$2:$A$180,0)))</x:f>
        <x:v>M3</x:v>
      </x:c>
      <x:c r="C164" s="206" t="str">
        <x:f>IF(INDEX(Backlog!$C$2:$C$180,MATCH($A164,Backlog!$A$2:$A$180,0))="","",INDEX(Backlog!$C$2:$C$180,MATCH($A164,Backlog!$A$2:$A$180,0)))</x:f>
        <x:v>P4</x:v>
      </x:c>
      <x:c r="D164" s="206" t="str">
        <x:f>IF(INDEX(Backlog!$L$2:$L$180,MATCH($A164,Backlog!$A$2:$A$180,0))="","",INDEX(Backlog!$L$2:$L$180,MATCH($A164,Backlog!$A$2:$A$180,0)))</x:f>
        <x:v>Worker 3</x:v>
      </x:c>
      <x:c r="E164" s="206" t="str">
        <x:f>IF(INDEX(Backlog!$K$2:$K$180,MATCH($A164,Backlog!$A$2:$A$180,0))="","",INDEX(Backlog!$K$2:$K$180,MATCH($A164,Backlog!$A$2:$A$180,0)))</x:f>
        <x:v>Not Started</x:v>
      </x:c>
      <x:c r="F164" s="206" t="n">
        <x:f>IF(ISNUMBER(INDEX(Backlog!$R$2:$R$180,MATCH($A164,Backlog!$A$2:$A$180,0))),INDEX(Backlog!$R$2:$R$180,MATCH($A164,Backlog!$A$2:$A$180,0)),"")</x:f>
        <x:v>1.6666666666666667</x:v>
      </x:c>
      <x:c r="G164" s="206" t="str">
        <x:f>IF(INDEX(Backlog!$M$2:$M$180,MATCH($A164,Backlog!$A$2:$A$180,0))="","",INDEX(Backlog!$M$2:$M$180,MATCH($A164,Backlog!$A$2:$A$180,0)))</x:f>
        <x:v>T-129; T-130; T-186; T-195</x:v>
      </x:c>
      <x:c r="H164" s="206" t="str">
        <x:f>IF(INDEX(Backlog!$N$2:$N$180,MATCH($A164,Backlog!$A$2:$A$180,0))="","",INDEX(Backlog!$N$2:$N$180,MATCH($A164,Backlog!$A$2:$A$180,0)))</x:f>
        <x:v>T-138; T-192</x:v>
      </x:c>
      <x:c r="I164" s="206" t="str">
        <x:f>IF(INDEX(Backlog!$T$2:$T$180,MATCH($A164,Backlog!$A$2:$A$180,0))="","",INDEX(Backlog!$T$2:$T$180,MATCH($A164,Backlog!$A$2:$A$180,0)))</x:f>
        <x:v>T-129 + T-130 + T-186 + T-195 + M1 continuity snapshots.</x:v>
      </x:c>
      <x:c r="J164" s="194" t="str">
        <x:f>IF(INDEX(Backlog!$AN$2:$AN$180,MATCH($A164,Backlog!$A$2:$A$180,0))="","",INDEX(Backlog!$AN$2:$AN$180,MATCH($A164,Backlog!$A$2:$A$180,0)))</x:f>
      </x:c>
      <x:c r="K164"/>
      <x:c r="L164"/>
    </x:row>
    <x:row r="165" ht="26" customHeight="1">
      <x:c r="A165" s="206" t="str">
        <x:v>T-189</x:v>
      </x:c>
      <x:c r="B165" s="206" t="str">
        <x:f>IF(INDEX(Backlog!$B$2:$B$180,MATCH($A165,Backlog!$A$2:$A$180,0))="","",INDEX(Backlog!$B$2:$B$180,MATCH($A165,Backlog!$A$2:$A$180,0)))</x:f>
        <x:v>M3</x:v>
      </x:c>
      <x:c r="C165" s="206" t="str">
        <x:f>IF(INDEX(Backlog!$C$2:$C$180,MATCH($A165,Backlog!$A$2:$A$180,0))="","",INDEX(Backlog!$C$2:$C$180,MATCH($A165,Backlog!$A$2:$A$180,0)))</x:f>
        <x:v>P4</x:v>
      </x:c>
      <x:c r="D165" s="206" t="str">
        <x:f>IF(INDEX(Backlog!$L$2:$L$180,MATCH($A165,Backlog!$A$2:$A$180,0))="","",INDEX(Backlog!$L$2:$L$180,MATCH($A165,Backlog!$A$2:$A$180,0)))</x:f>
        <x:v>Worker 3</x:v>
      </x:c>
      <x:c r="E165" s="206" t="str">
        <x:f>IF(INDEX(Backlog!$K$2:$K$180,MATCH($A165,Backlog!$A$2:$A$180,0))="","",INDEX(Backlog!$K$2:$K$180,MATCH($A165,Backlog!$A$2:$A$180,0)))</x:f>
        <x:v>Not Started</x:v>
      </x:c>
      <x:c r="F165" s="206" t="n">
        <x:f>IF(ISNUMBER(INDEX(Backlog!$R$2:$R$180,MATCH($A165,Backlog!$A$2:$A$180,0))),INDEX(Backlog!$R$2:$R$180,MATCH($A165,Backlog!$A$2:$A$180,0)),"")</x:f>
        <x:v>2</x:v>
      </x:c>
      <x:c r="G165" s="206" t="str">
        <x:f>IF(INDEX(Backlog!$M$2:$M$180,MATCH($A165,Backlog!$A$2:$A$180,0))="","",INDEX(Backlog!$M$2:$M$180,MATCH($A165,Backlog!$A$2:$A$180,0)))</x:f>
        <x:v>T-139; T-140; T-141; T-142; T-143</x:v>
      </x:c>
      <x:c r="H165" s="206" t="str">
        <x:f>IF(INDEX(Backlog!$N$2:$N$180,MATCH($A165,Backlog!$A$2:$A$180,0))="","",INDEX(Backlog!$N$2:$N$180,MATCH($A165,Backlog!$A$2:$A$180,0)))</x:f>
        <x:v>T-192</x:v>
      </x:c>
      <x:c r="I165" s="206" t="str">
        <x:f>IF(INDEX(Backlog!$T$2:$T$180,MATCH($A165,Backlog!$A$2:$A$180,0))="","",INDEX(Backlog!$T$2:$T$180,MATCH($A165,Backlog!$A$2:$A$180,0)))</x:f>
        <x:v>T-139..T-143 + M1 continuity snapshots</x:v>
      </x:c>
      <x:c r="J165" s="194" t="str">
        <x:f>IF(INDEX(Backlog!$AN$2:$AN$180,MATCH($A165,Backlog!$A$2:$A$180,0))="","",INDEX(Backlog!$AN$2:$AN$180,MATCH($A165,Backlog!$A$2:$A$180,0)))</x:f>
      </x:c>
      <x:c r="K165"/>
      <x:c r="L165"/>
    </x:row>
    <x:row r="166" ht="26" customHeight="1">
      <x:c r="A166" s="206" t="str">
        <x:v>T-190</x:v>
      </x:c>
      <x:c r="B166" s="206" t="str">
        <x:f>IF(INDEX(Backlog!$B$2:$B$180,MATCH($A166,Backlog!$A$2:$A$180,0))="","",INDEX(Backlog!$B$2:$B$180,MATCH($A166,Backlog!$A$2:$A$180,0)))</x:f>
        <x:v>M3</x:v>
      </x:c>
      <x:c r="C166" s="206" t="str">
        <x:f>IF(INDEX(Backlog!$C$2:$C$180,MATCH($A166,Backlog!$A$2:$A$180,0))="","",INDEX(Backlog!$C$2:$C$180,MATCH($A166,Backlog!$A$2:$A$180,0)))</x:f>
        <x:v>P4</x:v>
      </x:c>
      <x:c r="D166" s="206" t="str">
        <x:f>IF(INDEX(Backlog!$L$2:$L$180,MATCH($A166,Backlog!$A$2:$A$180,0))="","",INDEX(Backlog!$L$2:$L$180,MATCH($A166,Backlog!$A$2:$A$180,0)))</x:f>
        <x:v>Worker 3</x:v>
      </x:c>
      <x:c r="E166" s="206" t="str">
        <x:f>IF(INDEX(Backlog!$K$2:$K$180,MATCH($A166,Backlog!$A$2:$A$180,0))="","",INDEX(Backlog!$K$2:$K$180,MATCH($A166,Backlog!$A$2:$A$180,0)))</x:f>
        <x:v>Not Started</x:v>
      </x:c>
      <x:c r="F166" s="206" t="n">
        <x:f>IF(ISNUMBER(INDEX(Backlog!$R$2:$R$180,MATCH($A166,Backlog!$A$2:$A$180,0))),INDEX(Backlog!$R$2:$R$180,MATCH($A166,Backlog!$A$2:$A$180,0)),"")</x:f>
        <x:v>2</x:v>
      </x:c>
      <x:c r="G166" s="206" t="str">
        <x:f>IF(INDEX(Backlog!$M$2:$M$180,MATCH($A166,Backlog!$A$2:$A$180,0))="","",INDEX(Backlog!$M$2:$M$180,MATCH($A166,Backlog!$A$2:$A$180,0)))</x:f>
        <x:v>T-142; T-143; T-144; T-145</x:v>
      </x:c>
      <x:c r="H166" s="206" t="str">
        <x:f>IF(INDEX(Backlog!$N$2:$N$180,MATCH($A166,Backlog!$A$2:$A$180,0))="","",INDEX(Backlog!$N$2:$N$180,MATCH($A166,Backlog!$A$2:$A$180,0)))</x:f>
        <x:v>T-192</x:v>
      </x:c>
      <x:c r="I166" s="206" t="str">
        <x:f>IF(INDEX(Backlog!$T$2:$T$180,MATCH($A166,Backlog!$A$2:$A$180,0))="","",INDEX(Backlog!$T$2:$T$180,MATCH($A166,Backlog!$A$2:$A$180,0)))</x:f>
        <x:v>T-142..T-145 + M1 continuity snapshots</x:v>
      </x:c>
      <x:c r="J166" s="194" t="str">
        <x:f>IF(INDEX(Backlog!$AN$2:$AN$180,MATCH($A166,Backlog!$A$2:$A$180,0))="","",INDEX(Backlog!$AN$2:$AN$180,MATCH($A166,Backlog!$A$2:$A$180,0)))</x:f>
      </x:c>
      <x:c r="K166"/>
      <x:c r="L166"/>
    </x:row>
    <x:row r="167" ht="26" customHeight="1">
      <x:c r="A167" s="206" t="str">
        <x:v>T-191</x:v>
      </x:c>
      <x:c r="B167" s="206" t="str">
        <x:f>IF(INDEX(Backlog!$B$2:$B$180,MATCH($A167,Backlog!$A$2:$A$180,0))="","",INDEX(Backlog!$B$2:$B$180,MATCH($A167,Backlog!$A$2:$A$180,0)))</x:f>
        <x:v>M3</x:v>
      </x:c>
      <x:c r="C167" s="206" t="str">
        <x:f>IF(INDEX(Backlog!$C$2:$C$180,MATCH($A167,Backlog!$A$2:$A$180,0))="","",INDEX(Backlog!$C$2:$C$180,MATCH($A167,Backlog!$A$2:$A$180,0)))</x:f>
        <x:v>P4</x:v>
      </x:c>
      <x:c r="D167" s="206" t="str">
        <x:f>IF(INDEX(Backlog!$L$2:$L$180,MATCH($A167,Backlog!$A$2:$A$180,0))="","",INDEX(Backlog!$L$2:$L$180,MATCH($A167,Backlog!$A$2:$A$180,0)))</x:f>
        <x:v>Worker 3</x:v>
      </x:c>
      <x:c r="E167" s="206" t="str">
        <x:f>IF(INDEX(Backlog!$K$2:$K$180,MATCH($A167,Backlog!$A$2:$A$180,0))="","",INDEX(Backlog!$K$2:$K$180,MATCH($A167,Backlog!$A$2:$A$180,0)))</x:f>
        <x:v>Not Started</x:v>
      </x:c>
      <x:c r="F167" s="206" t="n">
        <x:f>IF(ISNUMBER(INDEX(Backlog!$R$2:$R$180,MATCH($A167,Backlog!$A$2:$A$180,0))),INDEX(Backlog!$R$2:$R$180,MATCH($A167,Backlog!$A$2:$A$180,0)),"")</x:f>
        <x:v>1.7999999999999998</x:v>
      </x:c>
      <x:c r="G167" s="206" t="str">
        <x:f>IF(INDEX(Backlog!$M$2:$M$180,MATCH($A167,Backlog!$A$2:$A$180,0))="","",INDEX(Backlog!$M$2:$M$180,MATCH($A167,Backlog!$A$2:$A$180,0)))</x:f>
        <x:v>T-130; T-176; T-187</x:v>
      </x:c>
      <x:c r="H167" s="206" t="str">
        <x:f>IF(INDEX(Backlog!$N$2:$N$180,MATCH($A167,Backlog!$A$2:$A$180,0))="","",INDEX(Backlog!$N$2:$N$180,MATCH($A167,Backlog!$A$2:$A$180,0)))</x:f>
        <x:v>T-192</x:v>
      </x:c>
      <x:c r="I167" s="206" t="str">
        <x:f>IF(INDEX(Backlog!$T$2:$T$180,MATCH($A167,Backlog!$A$2:$A$180,0))="","",INDEX(Backlog!$T$2:$T$180,MATCH($A167,Backlog!$A$2:$A$180,0)))</x:f>
        <x:v>T-130 + T-176 + T-187</x:v>
      </x:c>
      <x:c r="J167" s="194" t="str">
        <x:f>IF(INDEX(Backlog!$AN$2:$AN$180,MATCH($A167,Backlog!$A$2:$A$180,0))="","",INDEX(Backlog!$AN$2:$AN$180,MATCH($A167,Backlog!$A$2:$A$180,0)))</x:f>
      </x:c>
      <x:c r="K167"/>
      <x:c r="L167"/>
    </x:row>
    <x:row r="168" ht="26" customHeight="1">
      <x:c r="A168" s="206" t="str">
        <x:v>T-192</x:v>
      </x:c>
      <x:c r="B168" s="206" t="str">
        <x:f>IF(INDEX(Backlog!$B$2:$B$180,MATCH($A168,Backlog!$A$2:$A$180,0))="","",INDEX(Backlog!$B$2:$B$180,MATCH($A168,Backlog!$A$2:$A$180,0)))</x:f>
        <x:v>M3</x:v>
      </x:c>
      <x:c r="C168" s="206" t="str">
        <x:f>IF(INDEX(Backlog!$C$2:$C$180,MATCH($A168,Backlog!$A$2:$A$180,0))="","",INDEX(Backlog!$C$2:$C$180,MATCH($A168,Backlog!$A$2:$A$180,0)))</x:f>
        <x:v>P4</x:v>
      </x:c>
      <x:c r="D168" s="206" t="str">
        <x:f>IF(INDEX(Backlog!$L$2:$L$180,MATCH($A168,Backlog!$A$2:$A$180,0))="","",INDEX(Backlog!$L$2:$L$180,MATCH($A168,Backlog!$A$2:$A$180,0)))</x:f>
        <x:v>Worker 3</x:v>
      </x:c>
      <x:c r="E168" s="206" t="str">
        <x:f>IF(INDEX(Backlog!$K$2:$K$180,MATCH($A168,Backlog!$A$2:$A$180,0))="","",INDEX(Backlog!$K$2:$K$180,MATCH($A168,Backlog!$A$2:$A$180,0)))</x:f>
        <x:v>Not Started</x:v>
      </x:c>
      <x:c r="F168" s="206" t="n">
        <x:f>IF(ISNUMBER(INDEX(Backlog!$R$2:$R$180,MATCH($A168,Backlog!$A$2:$A$180,0))),INDEX(Backlog!$R$2:$R$180,MATCH($A168,Backlog!$A$2:$A$180,0)),"")</x:f>
        <x:v>1.7</x:v>
      </x:c>
      <x:c r="G168" s="206" t="str">
        <x:f>IF(INDEX(Backlog!$M$2:$M$180,MATCH($A168,Backlog!$A$2:$A$180,0))="","",INDEX(Backlog!$M$2:$M$180,MATCH($A168,Backlog!$A$2:$A$180,0)))</x:f>
        <x:v>T-183; T-184; T-185; T-186; T-187; T-188; T-189; T-190; T-191; T-107; T-122</x:v>
      </x:c>
      <x:c r="H168" s="206" t="str">
        <x:f>IF(INDEX(Backlog!$N$2:$N$180,MATCH($A168,Backlog!$A$2:$A$180,0))="","",INDEX(Backlog!$N$2:$N$180,MATCH($A168,Backlog!$A$2:$A$180,0)))</x:f>
      </x:c>
      <x:c r="I168" s="206" t="str">
        <x:f>IF(INDEX(Backlog!$T$2:$T$180,MATCH($A168,Backlog!$A$2:$A$180,0))="","",INDEX(Backlog!$T$2:$T$180,MATCH($A168,Backlog!$A$2:$A$180,0)))</x:f>
        <x:v>T-183..T-191 + T-107/T-122 as applicable</x:v>
      </x:c>
      <x:c r="J168" s="194" t="str">
        <x:f>IF(INDEX(Backlog!$AN$2:$AN$180,MATCH($A168,Backlog!$A$2:$A$180,0))="","",INDEX(Backlog!$AN$2:$AN$180,MATCH($A168,Backlog!$A$2:$A$180,0)))</x:f>
      </x:c>
      <x:c r="K168"/>
      <x:c r="L168"/>
    </x:row>
    <x:row r="169" ht="26" customHeight="1">
      <x:c r="A169" s="206" t="str">
        <x:v>T-193</x:v>
      </x:c>
      <x:c r="B169" s="206" t="str">
        <x:f>IF(INDEX(Backlog!$B$2:$B$180,MATCH($A169,Backlog!$A$2:$A$180,0))="","",INDEX(Backlog!$B$2:$B$180,MATCH($A169,Backlog!$A$2:$A$180,0)))</x:f>
        <x:v>M3</x:v>
      </x:c>
      <x:c r="C169" s="206" t="str">
        <x:f>IF(INDEX(Backlog!$C$2:$C$180,MATCH($A169,Backlog!$A$2:$A$180,0))="","",INDEX(Backlog!$C$2:$C$180,MATCH($A169,Backlog!$A$2:$A$180,0)))</x:f>
        <x:v>P4</x:v>
      </x:c>
      <x:c r="D169" s="206" t="str">
        <x:f>IF(INDEX(Backlog!$L$2:$L$180,MATCH($A169,Backlog!$A$2:$A$180,0))="","",INDEX(Backlog!$L$2:$L$180,MATCH($A169,Backlog!$A$2:$A$180,0)))</x:f>
        <x:v>Worker 3</x:v>
      </x:c>
      <x:c r="E169" s="206" t="str">
        <x:f>IF(INDEX(Backlog!$K$2:$K$180,MATCH($A169,Backlog!$A$2:$A$180,0))="","",INDEX(Backlog!$K$2:$K$180,MATCH($A169,Backlog!$A$2:$A$180,0)))</x:f>
        <x:v>Not Started</x:v>
      </x:c>
      <x:c r="F169" s="206" t="n">
        <x:f>IF(ISNUMBER(INDEX(Backlog!$R$2:$R$180,MATCH($A169,Backlog!$A$2:$A$180,0))),INDEX(Backlog!$R$2:$R$180,MATCH($A169,Backlog!$A$2:$A$180,0)),"")</x:f>
        <x:v>1.5</x:v>
      </x:c>
      <x:c r="G169" s="206" t="str">
        <x:f>IF(INDEX(Backlog!$M$2:$M$180,MATCH($A169,Backlog!$A$2:$A$180,0))="","",INDEX(Backlog!$M$2:$M$180,MATCH($A169,Backlog!$A$2:$A$180,0)))</x:f>
        <x:v>T-130; T-187; T-139; T-145</x:v>
      </x:c>
      <x:c r="H169" s="206" t="str">
        <x:f>IF(INDEX(Backlog!$N$2:$N$180,MATCH($A169,Backlog!$A$2:$A$180,0))="","",INDEX(Backlog!$N$2:$N$180,MATCH($A169,Backlog!$A$2:$A$180,0)))</x:f>
        <x:v>T-249</x:v>
      </x:c>
      <x:c r="I169" s="206" t="str">
        <x:f>IF(INDEX(Backlog!$T$2:$T$180,MATCH($A169,Backlog!$A$2:$A$180,0))="","",INDEX(Backlog!$T$2:$T$180,MATCH($A169,Backlog!$A$2:$A$180,0)))</x:f>
        <x:v>T-130 + T-187 + T-139/T-145</x:v>
      </x:c>
      <x:c r="J169" s="194" t="str">
        <x:f>IF(INDEX(Backlog!$AN$2:$AN$180,MATCH($A169,Backlog!$A$2:$A$180,0))="","",INDEX(Backlog!$AN$2:$AN$180,MATCH($A169,Backlog!$A$2:$A$180,0)))</x:f>
      </x:c>
      <x:c r="K169"/>
      <x:c r="L169"/>
    </x:row>
    <x:row r="170" ht="26" customHeight="1">
      <x:c r="A170" s="206" t="str">
        <x:v>T-195</x:v>
      </x:c>
      <x:c r="B170" s="206" t="str">
        <x:f>IF(INDEX(Backlog!$B$2:$B$180,MATCH($A170,Backlog!$A$2:$A$180,0))="","",INDEX(Backlog!$B$2:$B$180,MATCH($A170,Backlog!$A$2:$A$180,0)))</x:f>
        <x:v>M3</x:v>
      </x:c>
      <x:c r="C170" s="206" t="str">
        <x:f>IF(INDEX(Backlog!$C$2:$C$180,MATCH($A170,Backlog!$A$2:$A$180,0))="","",INDEX(Backlog!$C$2:$C$180,MATCH($A170,Backlog!$A$2:$A$180,0)))</x:f>
        <x:v>P4</x:v>
      </x:c>
      <x:c r="D170" s="206" t="str">
        <x:f>IF(INDEX(Backlog!$L$2:$L$180,MATCH($A170,Backlog!$A$2:$A$180,0))="","",INDEX(Backlog!$L$2:$L$180,MATCH($A170,Backlog!$A$2:$A$180,0)))</x:f>
        <x:v>Worker 3</x:v>
      </x:c>
      <x:c r="E170" s="206" t="str">
        <x:f>IF(INDEX(Backlog!$K$2:$K$180,MATCH($A170,Backlog!$A$2:$A$180,0))="","",INDEX(Backlog!$K$2:$K$180,MATCH($A170,Backlog!$A$2:$A$180,0)))</x:f>
        <x:v>Not Started</x:v>
      </x:c>
      <x:c r="F170" s="206" t="n">
        <x:f>IF(ISNUMBER(INDEX(Backlog!$R$2:$R$180,MATCH($A170,Backlog!$A$2:$A$180,0))),INDEX(Backlog!$R$2:$R$180,MATCH($A170,Backlog!$A$2:$A$180,0)),"")</x:f>
        <x:v>1.5</x:v>
      </x:c>
      <x:c r="G170" s="206" t="str">
        <x:f>IF(INDEX(Backlog!$M$2:$M$180,MATCH($A170,Backlog!$A$2:$A$180,0))="","",INDEX(Backlog!$M$2:$M$180,MATCH($A170,Backlog!$A$2:$A$180,0)))</x:f>
        <x:v>T-090; T-112; T-114</x:v>
      </x:c>
      <x:c r="H170" s="206" t="str">
        <x:f>IF(INDEX(Backlog!$N$2:$N$180,MATCH($A170,Backlog!$A$2:$A$180,0))="","",INDEX(Backlog!$N$2:$N$180,MATCH($A170,Backlog!$A$2:$A$180,0)))</x:f>
        <x:v>T-186; T-187; T-188</x:v>
      </x:c>
      <x:c r="I170" s="206" t="str">
        <x:f>IF(INDEX(Backlog!$T$2:$T$180,MATCH($A170,Backlog!$A$2:$A$180,0))="","",INDEX(Backlog!$T$2:$T$180,MATCH($A170,Backlog!$A$2:$A$180,0)))</x:f>
        <x:v>T-090 + T-112 + T-114</x:v>
      </x:c>
      <x:c r="J170" s="194" t="str">
        <x:f>IF(INDEX(Backlog!$AN$2:$AN$180,MATCH($A170,Backlog!$A$2:$A$180,0))="","",INDEX(Backlog!$AN$2:$AN$180,MATCH($A170,Backlog!$A$2:$A$180,0)))</x:f>
      </x:c>
      <x:c r="K170"/>
      <x:c r="L170"/>
    </x:row>
    <x:row r="171" ht="26" customHeight="1">
      <x:c r="A171" s="206" t="str">
        <x:v>T-238</x:v>
      </x:c>
      <x:c r="B171" s="206" t="str">
        <x:f>IF(INDEX(Backlog!$B$2:$B$180,MATCH($A171,Backlog!$A$2:$A$180,0))="","",INDEX(Backlog!$B$2:$B$180,MATCH($A171,Backlog!$A$2:$A$180,0)))</x:f>
        <x:v>M3</x:v>
      </x:c>
      <x:c r="C171" s="206" t="str">
        <x:f>IF(INDEX(Backlog!$C$2:$C$180,MATCH($A171,Backlog!$A$2:$A$180,0))="","",INDEX(Backlog!$C$2:$C$180,MATCH($A171,Backlog!$A$2:$A$180,0)))</x:f>
        <x:v>P4</x:v>
      </x:c>
      <x:c r="D171" s="206" t="str">
        <x:f>IF(INDEX(Backlog!$L$2:$L$180,MATCH($A171,Backlog!$A$2:$A$180,0))="","",INDEX(Backlog!$L$2:$L$180,MATCH($A171,Backlog!$A$2:$A$180,0)))</x:f>
        <x:v>Worker 3</x:v>
      </x:c>
      <x:c r="E171" s="206" t="str">
        <x:f>IF(INDEX(Backlog!$K$2:$K$180,MATCH($A171,Backlog!$A$2:$A$180,0))="","",INDEX(Backlog!$K$2:$K$180,MATCH($A171,Backlog!$A$2:$A$180,0)))</x:f>
        <x:v>Not Started</x:v>
      </x:c>
      <x:c r="F171" s="206" t="n">
        <x:f>IF(ISNUMBER(INDEX(Backlog!$R$2:$R$180,MATCH($A171,Backlog!$A$2:$A$180,0))),INDEX(Backlog!$R$2:$R$180,MATCH($A171,Backlog!$A$2:$A$180,0)),"")</x:f>
        <x:v>3.2</x:v>
      </x:c>
      <x:c r="G171" s="206" t="str">
        <x:f>IF(INDEX(Backlog!$M$2:$M$180,MATCH($A171,Backlog!$A$2:$A$180,0))="","",INDEX(Backlog!$M$2:$M$180,MATCH($A171,Backlog!$A$2:$A$180,0)))</x:f>
        <x:v>T-208; T-214</x:v>
      </x:c>
      <x:c r="H171" s="206" t="str">
        <x:f>IF(INDEX(Backlog!$N$2:$N$180,MATCH($A171,Backlog!$A$2:$A$180,0))="","",INDEX(Backlog!$N$2:$N$180,MATCH($A171,Backlog!$A$2:$A$180,0)))</x:f>
        <x:v>T-239; T-240</x:v>
      </x:c>
      <x:c r="I171" s="206" t="str">
        <x:f>IF(INDEX(Backlog!$T$2:$T$180,MATCH($A171,Backlog!$A$2:$A$180,0))="","",INDEX(Backlog!$T$2:$T$180,MATCH($A171,Backlog!$A$2:$A$180,0)))</x:f>
        <x:v>May start after T-214 contract; does not block September demo.</x:v>
      </x:c>
      <x:c r="J171" s="194" t="str">
        <x:f>IF(INDEX(Backlog!$AN$2:$AN$180,MATCH($A171,Backlog!$A$2:$A$180,0))="","",INDEX(Backlog!$AN$2:$AN$180,MATCH($A171,Backlog!$A$2:$A$180,0)))</x:f>
      </x:c>
      <x:c r="K171"/>
      <x:c r="L171"/>
    </x:row>
    <x:row r="172" ht="26" customHeight="1">
      <x:c r="A172" s="206" t="str">
        <x:v>T-239</x:v>
      </x:c>
      <x:c r="B172" s="206" t="str">
        <x:f>IF(INDEX(Backlog!$B$2:$B$180,MATCH($A172,Backlog!$A$2:$A$180,0))="","",INDEX(Backlog!$B$2:$B$180,MATCH($A172,Backlog!$A$2:$A$180,0)))</x:f>
        <x:v>M3</x:v>
      </x:c>
      <x:c r="C172" s="206" t="str">
        <x:f>IF(INDEX(Backlog!$C$2:$C$180,MATCH($A172,Backlog!$A$2:$A$180,0))="","",INDEX(Backlog!$C$2:$C$180,MATCH($A172,Backlog!$A$2:$A$180,0)))</x:f>
        <x:v>P4</x:v>
      </x:c>
      <x:c r="D172" s="206" t="str">
        <x:f>IF(INDEX(Backlog!$L$2:$L$180,MATCH($A172,Backlog!$A$2:$A$180,0))="","",INDEX(Backlog!$L$2:$L$180,MATCH($A172,Backlog!$A$2:$A$180,0)))</x:f>
        <x:v>Worker 1</x:v>
      </x:c>
      <x:c r="E172" s="206" t="str">
        <x:f>IF(INDEX(Backlog!$K$2:$K$180,MATCH($A172,Backlog!$A$2:$A$180,0))="","",INDEX(Backlog!$K$2:$K$180,MATCH($A172,Backlog!$A$2:$A$180,0)))</x:f>
        <x:v>Not Started</x:v>
      </x:c>
      <x:c r="F172" s="206" t="n">
        <x:f>IF(ISNUMBER(INDEX(Backlog!$R$2:$R$180,MATCH($A172,Backlog!$A$2:$A$180,0))),INDEX(Backlog!$R$2:$R$180,MATCH($A172,Backlog!$A$2:$A$180,0)),"")</x:f>
        <x:v>3.4</x:v>
      </x:c>
      <x:c r="G172" s="206" t="str">
        <x:f>IF(INDEX(Backlog!$M$2:$M$180,MATCH($A172,Backlog!$A$2:$A$180,0))="","",INDEX(Backlog!$M$2:$M$180,MATCH($A172,Backlog!$A$2:$A$180,0)))</x:f>
        <x:v>T-090; T-214; T-238</x:v>
      </x:c>
      <x:c r="H172" s="206" t="str">
        <x:f>IF(INDEX(Backlog!$N$2:$N$180,MATCH($A172,Backlog!$A$2:$A$180,0))="","",INDEX(Backlog!$N$2:$N$180,MATCH($A172,Backlog!$A$2:$A$180,0)))</x:f>
        <x:v>T-240</x:v>
      </x:c>
      <x:c r="I172" s="206" t="str">
        <x:f>IF(INDEX(Backlog!$T$2:$T$180,MATCH($A172,Backlog!$A$2:$A$180,0))="","",INDEX(Backlog!$T$2:$T$180,MATCH($A172,Backlog!$A$2:$A$180,0)))</x:f>
        <x:v>After T-090 + frozen T-214/T-238 contracts.</x:v>
      </x:c>
      <x:c r="J172" s="194" t="str">
        <x:f>IF(INDEX(Backlog!$AN$2:$AN$180,MATCH($A172,Backlog!$A$2:$A$180,0))="","",INDEX(Backlog!$AN$2:$AN$180,MATCH($A172,Backlog!$A$2:$A$180,0)))</x:f>
      </x:c>
      <x:c r="K172"/>
      <x:c r="L172"/>
    </x:row>
    <x:row r="173" ht="26" customHeight="1">
      <x:c r="A173" s="206" t="str">
        <x:v>T-240</x:v>
      </x:c>
      <x:c r="B173" s="206" t="str">
        <x:f>IF(INDEX(Backlog!$B$2:$B$180,MATCH($A173,Backlog!$A$2:$A$180,0))="","",INDEX(Backlog!$B$2:$B$180,MATCH($A173,Backlog!$A$2:$A$180,0)))</x:f>
        <x:v>M3</x:v>
      </x:c>
      <x:c r="C173" s="206" t="str">
        <x:f>IF(INDEX(Backlog!$C$2:$C$180,MATCH($A173,Backlog!$A$2:$A$180,0))="","",INDEX(Backlog!$C$2:$C$180,MATCH($A173,Backlog!$A$2:$A$180,0)))</x:f>
        <x:v>P4</x:v>
      </x:c>
      <x:c r="D173" s="206" t="str">
        <x:f>IF(INDEX(Backlog!$L$2:$L$180,MATCH($A173,Backlog!$A$2:$A$180,0))="","",INDEX(Backlog!$L$2:$L$180,MATCH($A173,Backlog!$A$2:$A$180,0)))</x:f>
        <x:v>Worker 3</x:v>
      </x:c>
      <x:c r="E173" s="206" t="str">
        <x:f>IF(INDEX(Backlog!$K$2:$K$180,MATCH($A173,Backlog!$A$2:$A$180,0))="","",INDEX(Backlog!$K$2:$K$180,MATCH($A173,Backlog!$A$2:$A$180,0)))</x:f>
        <x:v>Not Started</x:v>
      </x:c>
      <x:c r="F173" s="206" t="n">
        <x:f>IF(ISNUMBER(INDEX(Backlog!$R$2:$R$180,MATCH($A173,Backlog!$A$2:$A$180,0))),INDEX(Backlog!$R$2:$R$180,MATCH($A173,Backlog!$A$2:$A$180,0)),"")</x:f>
        <x:v>5.1</x:v>
      </x:c>
      <x:c r="G173" s="206" t="str">
        <x:f>IF(INDEX(Backlog!$M$2:$M$180,MATCH($A173,Backlog!$A$2:$A$180,0))="","",INDEX(Backlog!$M$2:$M$180,MATCH($A173,Backlog!$A$2:$A$180,0)))</x:f>
        <x:v>T-131; T-132; T-133; T-238; T-239</x:v>
      </x:c>
      <x:c r="H173" s="206" t="str">
        <x:f>IF(INDEX(Backlog!$N$2:$N$180,MATCH($A173,Backlog!$A$2:$A$180,0))="","",INDEX(Backlog!$N$2:$N$180,MATCH($A173,Backlog!$A$2:$A$180,0)))</x:f>
        <x:v>T-249; T-264</x:v>
      </x:c>
      <x:c r="I173" s="206" t="str">
        <x:f>IF(INDEX(Backlog!$T$2:$T$180,MATCH($A173,Backlog!$A$2:$A$180,0))="","",INDEX(Backlog!$T$2:$T$180,MATCH($A173,Backlog!$A$2:$A$180,0)))</x:f>
        <x:v>After practice core + objective persistence.</x:v>
      </x:c>
      <x:c r="J173" s="194" t="str">
        <x:f>IF(INDEX(Backlog!$AN$2:$AN$180,MATCH($A173,Backlog!$A$2:$A$180,0))="","",INDEX(Backlog!$AN$2:$AN$180,MATCH($A173,Backlog!$A$2:$A$180,0)))</x:f>
      </x:c>
      <x:c r="K173"/>
      <x:c r="L173"/>
    </x:row>
    <x:row r="174" ht="26" customHeight="1">
      <x:c r="A174" s="206" t="str">
        <x:v>T-246</x:v>
      </x:c>
      <x:c r="B174" s="206" t="str">
        <x:f>IF(INDEX(Backlog!$B$2:$B$180,MATCH($A174,Backlog!$A$2:$A$180,0))="","",INDEX(Backlog!$B$2:$B$180,MATCH($A174,Backlog!$A$2:$A$180,0)))</x:f>
        <x:v>M3</x:v>
      </x:c>
      <x:c r="C174" s="206" t="str">
        <x:f>IF(INDEX(Backlog!$C$2:$C$180,MATCH($A174,Backlog!$A$2:$A$180,0))="","",INDEX(Backlog!$C$2:$C$180,MATCH($A174,Backlog!$A$2:$A$180,0)))</x:f>
        <x:v>P4</x:v>
      </x:c>
      <x:c r="D174" s="206" t="str">
        <x:f>IF(INDEX(Backlog!$L$2:$L$180,MATCH($A174,Backlog!$A$2:$A$180,0))="","",INDEX(Backlog!$L$2:$L$180,MATCH($A174,Backlog!$A$2:$A$180,0)))</x:f>
        <x:v>Worker 2</x:v>
      </x:c>
      <x:c r="E174" s="206" t="str">
        <x:f>IF(INDEX(Backlog!$K$2:$K$180,MATCH($A174,Backlog!$A$2:$A$180,0))="","",INDEX(Backlog!$K$2:$K$180,MATCH($A174,Backlog!$A$2:$A$180,0)))</x:f>
        <x:v>Not Started</x:v>
      </x:c>
      <x:c r="F174" s="206" t="n">
        <x:f>IF(ISNUMBER(INDEX(Backlog!$R$2:$R$180,MATCH($A174,Backlog!$A$2:$A$180,0))),INDEX(Backlog!$R$2:$R$180,MATCH($A174,Backlog!$A$2:$A$180,0)),"")</x:f>
        <x:v>4.7</x:v>
      </x:c>
      <x:c r="G174" s="206" t="str">
        <x:f>IF(INDEX(Backlog!$M$2:$M$180,MATCH($A174,Backlog!$A$2:$A$180,0))="","",INDEX(Backlog!$M$2:$M$180,MATCH($A174,Backlog!$A$2:$A$180,0)))</x:f>
        <x:v>T-243; T-130; T-137; T-187</x:v>
      </x:c>
      <x:c r="H174" s="206" t="str">
        <x:f>IF(INDEX(Backlog!$N$2:$N$180,MATCH($A174,Backlog!$A$2:$A$180,0))="","",INDEX(Backlog!$N$2:$N$180,MATCH($A174,Backlog!$A$2:$A$180,0)))</x:f>
        <x:v>T-249</x:v>
      </x:c>
      <x:c r="I174" s="206" t="str">
        <x:f>IF(INDEX(Backlog!$T$2:$T$180,MATCH($A174,Backlog!$A$2:$A$180,0))="","",INDEX(Backlog!$T$2:$T$180,MATCH($A174,Backlog!$A$2:$A$180,0)))</x:f>
        <x:v>Consume accepted producer contracts; remaining dependencies: T-243; T-130; T-137; T-187. No private scheduler/definition authority. Source-present is not closure proof.</x:v>
      </x:c>
      <x:c r="J174" s="194" t="str">
        <x:f>IF(INDEX(Backlog!$AN$2:$AN$180,MATCH($A174,Backlog!$A$2:$A$180,0))="","",INDEX(Backlog!$AN$2:$AN$180,MATCH($A174,Backlog!$A$2:$A$180,0)))</x:f>
      </x:c>
      <x:c r="K174"/>
      <x:c r="L174"/>
    </x:row>
    <x:row r="175" ht="26" customHeight="1">
      <x:c r="A175" s="206" t="str">
        <x:v>T-264</x:v>
      </x:c>
      <x:c r="B175" s="206" t="str">
        <x:f>IF(INDEX(Backlog!$B$2:$B$180,MATCH($A175,Backlog!$A$2:$A$180,0))="","",INDEX(Backlog!$B$2:$B$180,MATCH($A175,Backlog!$A$2:$A$180,0)))</x:f>
        <x:v>M3</x:v>
      </x:c>
      <x:c r="C175" s="206" t="str">
        <x:f>IF(INDEX(Backlog!$C$2:$C$180,MATCH($A175,Backlog!$A$2:$A$180,0))="","",INDEX(Backlog!$C$2:$C$180,MATCH($A175,Backlog!$A$2:$A$180,0)))</x:f>
        <x:v>P4</x:v>
      </x:c>
      <x:c r="D175" s="206" t="str">
        <x:f>IF(INDEX(Backlog!$L$2:$L$180,MATCH($A175,Backlog!$A$2:$A$180,0))="","",INDEX(Backlog!$L$2:$L$180,MATCH($A175,Backlog!$A$2:$A$180,0)))</x:f>
        <x:v>Worker 3</x:v>
      </x:c>
      <x:c r="E175" s="206" t="str">
        <x:f>IF(INDEX(Backlog!$K$2:$K$180,MATCH($A175,Backlog!$A$2:$A$180,0))="","",INDEX(Backlog!$K$2:$K$180,MATCH($A175,Backlog!$A$2:$A$180,0)))</x:f>
        <x:v>Not Started</x:v>
      </x:c>
      <x:c r="F175" s="206" t="str">
        <x:f>IF(ISNUMBER(INDEX(Backlog!$R$2:$R$180,MATCH($A175,Backlog!$A$2:$A$180,0))),INDEX(Backlog!$R$2:$R$180,MATCH($A175,Backlog!$A$2:$A$180,0)),"")</x:f>
      </x:c>
      <x:c r="G175" s="206" t="str">
        <x:f>IF(INDEX(Backlog!$M$2:$M$180,MATCH($A175,Backlog!$A$2:$A$180,0))="","",INDEX(Backlog!$M$2:$M$180,MATCH($A175,Backlog!$A$2:$A$180,0)))</x:f>
        <x:v>T-214; T-240</x:v>
      </x:c>
      <x:c r="H175" s="206" t="str">
        <x:f>IF(INDEX(Backlog!$N$2:$N$180,MATCH($A175,Backlog!$A$2:$A$180,0))="","",INDEX(Backlog!$N$2:$N$180,MATCH($A175,Backlog!$A$2:$A$180,0)))</x:f>
        <x:v>T-249</x:v>
      </x:c>
      <x:c r="I175" s="206" t="str">
        <x:f>IF(INDEX(Backlog!$T$2:$T$180,MATCH($A175,Backlog!$A$2:$A$180,0))="","",INDEX(Backlog!$T$2:$T$180,MATCH($A175,Backlog!$A$2:$A$180,0)))</x:f>
        <x:v>Consume accepted producer contracts; remaining dependencies: T-214; T-240. No private scheduler/definition authority. Source-present is not closure proof.</x:v>
      </x:c>
      <x:c r="J175" s="194" t="str">
        <x:f>IF(INDEX(Backlog!$AN$2:$AN$180,MATCH($A175,Backlog!$A$2:$A$180,0))="","",INDEX(Backlog!$AN$2:$AN$180,MATCH($A175,Backlog!$A$2:$A$180,0)))</x:f>
      </x:c>
      <x:c r="K175"/>
      <x:c r="L175"/>
    </x:row>
    <x:row r="176" ht="26" customHeight="1">
      <x:c r="A176" s="206" t="str">
        <x:v>T-167</x:v>
      </x:c>
      <x:c r="B176" s="206" t="str">
        <x:f>IF(INDEX(Backlog!$B$2:$B$180,MATCH($A176,Backlog!$A$2:$A$180,0))="","",INDEX(Backlog!$B$2:$B$180,MATCH($A176,Backlog!$A$2:$A$180,0)))</x:f>
        <x:v>M3</x:v>
      </x:c>
      <x:c r="C176" s="206" t="str">
        <x:f>IF(INDEX(Backlog!$C$2:$C$180,MATCH($A176,Backlog!$A$2:$A$180,0))="","",INDEX(Backlog!$C$2:$C$180,MATCH($A176,Backlog!$A$2:$A$180,0)))</x:f>
        <x:v>P5</x:v>
      </x:c>
      <x:c r="D176" s="206" t="str">
        <x:f>IF(INDEX(Backlog!$L$2:$L$180,MATCH($A176,Backlog!$A$2:$A$180,0))="","",INDEX(Backlog!$L$2:$L$180,MATCH($A176,Backlog!$A$2:$A$180,0)))</x:f>
        <x:v>Worker 2</x:v>
      </x:c>
      <x:c r="E176" s="206" t="str">
        <x:f>IF(INDEX(Backlog!$K$2:$K$180,MATCH($A176,Backlog!$A$2:$A$180,0))="","",INDEX(Backlog!$K$2:$K$180,MATCH($A176,Backlog!$A$2:$A$180,0)))</x:f>
        <x:v>Not Started</x:v>
      </x:c>
      <x:c r="F176" s="206" t="n">
        <x:f>IF(ISNUMBER(INDEX(Backlog!$R$2:$R$180,MATCH($A176,Backlog!$A$2:$A$180,0))),INDEX(Backlog!$R$2:$R$180,MATCH($A176,Backlog!$A$2:$A$180,0)),"")</x:f>
        <x:v>7.2</x:v>
      </x:c>
      <x:c r="G176" s="206" t="str">
        <x:f>IF(INDEX(Backlog!$M$2:$M$180,MATCH($A176,Backlog!$A$2:$A$180,0))="","",INDEX(Backlog!$M$2:$M$180,MATCH($A176,Backlog!$A$2:$A$180,0)))</x:f>
      </x:c>
      <x:c r="H176" s="206" t="str">
        <x:f>IF(INDEX(Backlog!$N$2:$N$180,MATCH($A176,Backlog!$A$2:$A$180,0))="","",INDEX(Backlog!$N$2:$N$180,MATCH($A176,Backlog!$A$2:$A$180,0)))</x:f>
        <x:v>T-249</x:v>
      </x:c>
      <x:c r="I176" s="206" t="str">
        <x:f>IF(INDEX(Backlog!$T$2:$T$180,MATCH($A176,Backlog!$A$2:$A$180,0))="","",INDEX(Backlog!$T$2:$T$180,MATCH($A176,Backlog!$A$2:$A$180,0)))</x:f>
        <x:v>WAIT for deployed Release 1 + real customer/site evidence. M3 sequence</x:v>
      </x:c>
      <x:c r="J176" s="194" t="str">
        <x:f>IF(INDEX(Backlog!$AN$2:$AN$180,MATCH($A176,Backlog!$A$2:$A$180,0))="","",INDEX(Backlog!$AN$2:$AN$180,MATCH($A176,Backlog!$A$2:$A$180,0)))</x:f>
      </x:c>
      <x:c r="K176"/>
      <x:c r="L176"/>
    </x:row>
    <x:row r="177" ht="26" customHeight="1">
      <x:c r="A177" s="206" t="str">
        <x:v>T-249</x:v>
      </x:c>
      <x:c r="B177" s="206" t="str">
        <x:f>IF(INDEX(Backlog!$B$2:$B$180,MATCH($A177,Backlog!$A$2:$A$180,0))="","",INDEX(Backlog!$B$2:$B$180,MATCH($A177,Backlog!$A$2:$A$180,0)))</x:f>
        <x:v>M3</x:v>
      </x:c>
      <x:c r="C177" s="206" t="str">
        <x:f>IF(INDEX(Backlog!$C$2:$C$180,MATCH($A177,Backlog!$A$2:$A$180,0))="","",INDEX(Backlog!$C$2:$C$180,MATCH($A177,Backlog!$A$2:$A$180,0)))</x:f>
        <x:v>P5</x:v>
      </x:c>
      <x:c r="D177" s="206" t="str">
        <x:f>IF(INDEX(Backlog!$L$2:$L$180,MATCH($A177,Backlog!$A$2:$A$180,0))="","",INDEX(Backlog!$L$2:$L$180,MATCH($A177,Backlog!$A$2:$A$180,0)))</x:f>
        <x:v>Worker 1</x:v>
      </x:c>
      <x:c r="E177" s="206" t="str">
        <x:f>IF(INDEX(Backlog!$K$2:$K$180,MATCH($A177,Backlog!$A$2:$A$180,0))="","",INDEX(Backlog!$K$2:$K$180,MATCH($A177,Backlog!$A$2:$A$180,0)))</x:f>
        <x:v>Not Started</x:v>
      </x:c>
      <x:c r="F177" s="206" t="n">
        <x:f>IF(ISNUMBER(INDEX(Backlog!$R$2:$R$180,MATCH($A177,Backlog!$A$2:$A$180,0))),INDEX(Backlog!$R$2:$R$180,MATCH($A177,Backlog!$A$2:$A$180,0)),"")</x:f>
        <x:v>6</x:v>
      </x:c>
      <x:c r="G177" s="206" t="str">
        <x:f>IF(INDEX(Backlog!$M$2:$M$180,MATCH($A177,Backlog!$A$2:$A$180,0))="","",INDEX(Backlog!$M$2:$M$180,MATCH($A177,Backlog!$A$2:$A$180,0)))</x:f>
        <x:v>T-153; T-159; T-160; T-161; T-162; T-163; T-164; T-167; T-193; T-230; T-240; T-248; T-263; T-264; T-246; T-110; T-267</x:v>
      </x:c>
      <x:c r="H177" s="206" t="str">
        <x:f>IF(INDEX(Backlog!$N$2:$N$180,MATCH($A177,Backlog!$A$2:$A$180,0))="","",INDEX(Backlog!$N$2:$N$180,MATCH($A177,Backlog!$A$2:$A$180,0)))</x:f>
      </x:c>
      <x:c r="I177" s="206" t="str">
        <x:f>IF(INDEX(Backlog!$T$2:$T$180,MATCH($A177,Backlog!$A$2:$A$180,0))="","",INDEX(Backlog!$T$2:$T$180,MATCH($A177,Backlog!$A$2:$A$180,0)))</x:f>
        <x:v>After all M3 MUST gates</x:v>
      </x:c>
      <x:c r="J177" s="194" t="str">
        <x:f>IF(INDEX(Backlog!$AN$2:$AN$180,MATCH($A177,Backlog!$A$2:$A$180,0))="","",INDEX(Backlog!$AN$2:$AN$180,MATCH($A177,Backlog!$A$2:$A$180,0)))</x:f>
      </x:c>
      <x:c r="K177"/>
      <x:c r="L177"/>
    </x:row>
    <x:row r="178">
      <x:c r="A178" t="str">
        <x:v>T-265</x:v>
      </x:c>
      <x:c r="B178" t="str">
        <x:f>IF(INDEX(Backlog!$B$2:$B$180,MATCH($A178,Backlog!$A$2:$A$180,0))="","",INDEX(Backlog!$B$2:$B$180,MATCH($A178,Backlog!$A$2:$A$180,0)))</x:f>
        <x:v>M2</x:v>
      </x:c>
      <x:c r="C178" t="str">
        <x:f>IF(INDEX(Backlog!$C$2:$C$180,MATCH($A178,Backlog!$A$2:$A$180,0))="","",INDEX(Backlog!$C$2:$C$180,MATCH($A178,Backlog!$A$2:$A$180,0)))</x:f>
        <x:v>P3</x:v>
      </x:c>
      <x:c r="D178" t="str">
        <x:f>IF(INDEX(Backlog!$L$2:$L$180,MATCH($A178,Backlog!$A$2:$A$180,0))="","",INDEX(Backlog!$L$2:$L$180,MATCH($A178,Backlog!$A$2:$A$180,0)))</x:f>
        <x:v>Worker 2</x:v>
      </x:c>
      <x:c r="E178" t="str">
        <x:f>IF(INDEX(Backlog!$K$2:$K$180,MATCH($A178,Backlog!$A$2:$A$180,0))="","",INDEX(Backlog!$K$2:$K$180,MATCH($A178,Backlog!$A$2:$A$180,0)))</x:f>
        <x:v>Not Started</x:v>
      </x:c>
      <x:c r="F178" t="str">
        <x:f>IF(ISNUMBER(INDEX(Backlog!$R$2:$R$180,MATCH($A178,Backlog!$A$2:$A$180,0))),INDEX(Backlog!$R$2:$R$180,MATCH($A178,Backlog!$A$2:$A$180,0)),"")</x:f>
      </x:c>
      <x:c r="G178" t="str">
        <x:f>IF(INDEX(Backlog!$M$2:$M$180,MATCH($A178,Backlog!$A$2:$A$180,0))="","",INDEX(Backlog!$M$2:$M$180,MATCH($A178,Backlog!$A$2:$A$180,0)))</x:f>
      </x:c>
      <x:c r="H178" t="str">
        <x:f>IF(INDEX(Backlog!$N$2:$N$180,MATCH($A178,Backlog!$A$2:$A$180,0))="","",INDEX(Backlog!$N$2:$N$180,MATCH($A178,Backlog!$A$2:$A$180,0)))</x:f>
        <x:v>T-247; T-267</x:v>
      </x:c>
      <x:c r="I178" t="str">
        <x:f>IF(INDEX(Backlog!$T$2:$T$180,MATCH($A178,Backlog!$A$2:$A$180,0))="","",INDEX(Backlog!$T$2:$T$180,MATCH($A178,Backlog!$A$2:$A$180,0)))</x:f>
        <x:v>Read v4.10.3 and frozen producer contracts. Contract-ready does not require producer completion; final design acceptance requires recorded walkthrough evidence.</x:v>
      </x:c>
      <x:c r="J178" t="str">
        <x:f>IF(INDEX(Backlog!$AN$2:$AN$180,MATCH($A178,Backlog!$A$2:$A$180,0))="","",INDEX(Backlog!$AN$2:$AN$180,MATCH($A178,Backlog!$A$2:$A$180,0)))</x:f>
        <x:v>T-099; T-106; T-253; T-262; T-101; T-125</x:v>
      </x:c>
      <x:c r="K178"/>
      <x:c r="L178"/>
    </x:row>
    <x:row r="179">
      <x:c r="A179" t="str">
        <x:v>T-266</x:v>
      </x:c>
      <x:c r="B179" t="str">
        <x:f>IF(INDEX(Backlog!$B$2:$B$180,MATCH($A179,Backlog!$A$2:$A$180,0))="","",INDEX(Backlog!$B$2:$B$180,MATCH($A179,Backlog!$A$2:$A$180,0)))</x:f>
        <x:v>M2</x:v>
      </x:c>
      <x:c r="C179" t="str">
        <x:f>IF(INDEX(Backlog!$C$2:$C$180,MATCH($A179,Backlog!$A$2:$A$180,0))="","",INDEX(Backlog!$C$2:$C$180,MATCH($A179,Backlog!$A$2:$A$180,0)))</x:f>
        <x:v>P2</x:v>
      </x:c>
      <x:c r="D179" t="str">
        <x:f>IF(INDEX(Backlog!$L$2:$L$180,MATCH($A179,Backlog!$A$2:$A$180,0))="","",INDEX(Backlog!$L$2:$L$180,MATCH($A179,Backlog!$A$2:$A$180,0)))</x:f>
        <x:v>Worker 2</x:v>
      </x:c>
      <x:c r="E179" t="str">
        <x:f>IF(INDEX(Backlog!$K$2:$K$180,MATCH($A179,Backlog!$A$2:$A$180,0))="","",INDEX(Backlog!$K$2:$K$180,MATCH($A179,Backlog!$A$2:$A$180,0)))</x:f>
        <x:v>Not Started</x:v>
      </x:c>
      <x:c r="F179" t="str">
        <x:f>IF(ISNUMBER(INDEX(Backlog!$R$2:$R$180,MATCH($A179,Backlog!$A$2:$A$180,0))),INDEX(Backlog!$R$2:$R$180,MATCH($A179,Backlog!$A$2:$A$180,0)),"")</x:f>
      </x:c>
      <x:c r="G179" t="str">
        <x:f>IF(INDEX(Backlog!$M$2:$M$180,MATCH($A179,Backlog!$A$2:$A$180,0))="","",INDEX(Backlog!$M$2:$M$180,MATCH($A179,Backlog!$A$2:$A$180,0)))</x:f>
        <x:v>T-207</x:v>
      </x:c>
      <x:c r="H179" t="str">
        <x:f>IF(INDEX(Backlog!$N$2:$N$180,MATCH($A179,Backlog!$A$2:$A$180,0))="","",INDEX(Backlog!$N$2:$N$180,MATCH($A179,Backlog!$A$2:$A$180,0)))</x:f>
        <x:v>T-247</x:v>
      </x:c>
      <x:c r="I179" t="str">
        <x:f>IF(INDEX(Backlog!$T$2:$T$180,MATCH($A179,Backlog!$A$2:$A$180,0))="","",INDEX(Backlog!$T$2:$T$180,MATCH($A179,Backlog!$A$2:$A$180,0)))</x:f>
        <x:v>Read v4.10.3 and frozen producer contracts. Contract-ready does not require producer completion; final design acceptance requires recorded walkthrough evidence.</x:v>
      </x:c>
      <x:c r="J179" t="str">
        <x:f>IF(INDEX(Backlog!$AN$2:$AN$180,MATCH($A179,Backlog!$A$2:$A$180,0))="","",INDEX(Backlog!$AN$2:$AN$180,MATCH($A179,Backlog!$A$2:$A$180,0)))</x:f>
        <x:v>T-224; T-225; T-226; T-233</x:v>
      </x:c>
      <x:c r="K179"/>
      <x:c r="L179"/>
    </x:row>
    <x:row r="180">
      <x:c r="A180" t="str">
        <x:v>T-267</x:v>
      </x:c>
      <x:c r="B180" t="str">
        <x:f>IF(INDEX(Backlog!$B$2:$B$180,MATCH($A180,Backlog!$A$2:$A$180,0))="","",INDEX(Backlog!$B$2:$B$180,MATCH($A180,Backlog!$A$2:$A$180,0)))</x:f>
        <x:v>M3</x:v>
      </x:c>
      <x:c r="C180" t="str">
        <x:f>IF(INDEX(Backlog!$C$2:$C$180,MATCH($A180,Backlog!$A$2:$A$180,0))="","",INDEX(Backlog!$C$2:$C$180,MATCH($A180,Backlog!$A$2:$A$180,0)))</x:f>
        <x:v>P3</x:v>
      </x:c>
      <x:c r="D180" t="str">
        <x:f>IF(INDEX(Backlog!$L$2:$L$180,MATCH($A180,Backlog!$A$2:$A$180,0))="","",INDEX(Backlog!$L$2:$L$180,MATCH($A180,Backlog!$A$2:$A$180,0)))</x:f>
        <x:v>Worker 2</x:v>
      </x:c>
      <x:c r="E180" t="str">
        <x:f>IF(INDEX(Backlog!$K$2:$K$180,MATCH($A180,Backlog!$A$2:$A$180,0))="","",INDEX(Backlog!$K$2:$K$180,MATCH($A180,Backlog!$A$2:$A$180,0)))</x:f>
        <x:v>Not Started</x:v>
      </x:c>
      <x:c r="F180" t="str">
        <x:f>IF(ISNUMBER(INDEX(Backlog!$R$2:$R$180,MATCH($A180,Backlog!$A$2:$A$180,0))),INDEX(Backlog!$R$2:$R$180,MATCH($A180,Backlog!$A$2:$A$180,0)),"")</x:f>
      </x:c>
      <x:c r="G180" t="str">
        <x:f>IF(INDEX(Backlog!$M$2:$M$180,MATCH($A180,Backlog!$A$2:$A$180,0))="","",INDEX(Backlog!$M$2:$M$180,MATCH($A180,Backlog!$A$2:$A$180,0)))</x:f>
        <x:v>T-265</x:v>
      </x:c>
      <x:c r="H180" t="str">
        <x:f>IF(INDEX(Backlog!$N$2:$N$180,MATCH($A180,Backlog!$A$2:$A$180,0))="","",INDEX(Backlog!$N$2:$N$180,MATCH($A180,Backlog!$A$2:$A$180,0)))</x:f>
        <x:v>T-248; T-249</x:v>
      </x:c>
      <x:c r="I180" t="str">
        <x:f>IF(INDEX(Backlog!$T$2:$T$180,MATCH($A180,Backlog!$A$2:$A$180,0))="","",INDEX(Backlog!$T$2:$T$180,MATCH($A180,Backlog!$A$2:$A$180,0)))</x:f>
        <x:v>Read v4.10.3 and frozen producer contracts. Contract-ready does not require producer completion; final design acceptance requires recorded walkthrough evidence.</x:v>
      </x:c>
      <x:c r="J180" t="str">
        <x:f>IF(INDEX(Backlog!$AN$2:$AN$180,MATCH($A180,Backlog!$A$2:$A$180,0))="","",INDEX(Backlog!$AN$2:$AN$180,MATCH($A180,Backlog!$A$2:$A$180,0)))</x:f>
        <x:v>T-248; T-263; T-264; T-196; T-197; T-198; T-199; T-200</x:v>
      </x:c>
      <x:c r="K180"/>
      <x:c r="L180"/>
    </x:row>
    <x:row r="181">
      <x:c r="A181"/>
      <x:c r="B181"/>
      <x:c r="C181"/>
      <x:c r="D181"/>
      <x:c r="E181"/>
      <x:c r="F181"/>
      <x:c r="G181"/>
      <x:c r="H181"/>
      <x:c r="I181"/>
      <x:c r="J181"/>
      <x:c r="K181"/>
      <x:c r="L181"/>
    </x:row>
    <x:row r="182">
      <x:c r="A182"/>
      <x:c r="B182"/>
      <x:c r="C182"/>
      <x:c r="D182"/>
      <x:c r="E182"/>
      <x:c r="F182"/>
      <x:c r="G182"/>
      <x:c r="H182"/>
      <x:c r="I182"/>
      <x:c r="J182"/>
      <x:c r="K182"/>
      <x:c r="L182"/>
    </x:row>
    <x:row r="183">
      <x:c r="A183"/>
      <x:c r="B183"/>
      <x:c r="C183"/>
      <x:c r="D183"/>
      <x:c r="E183"/>
      <x:c r="F183"/>
      <x:c r="G183"/>
      <x:c r="H183"/>
      <x:c r="I183"/>
      <x:c r="J183"/>
      <x:c r="K183"/>
      <x:c r="L183"/>
    </x:row>
    <x:row r="184">
      <x:c r="A184"/>
      <x:c r="B184"/>
      <x:c r="C184"/>
      <x:c r="D184"/>
      <x:c r="E184"/>
      <x:c r="F184"/>
      <x:c r="G184"/>
      <x:c r="H184"/>
      <x:c r="I184"/>
      <x:c r="J184"/>
      <x:c r="K184"/>
      <x:c r="L184"/>
    </x:row>
    <x:row r="185">
      <x:c r="A185"/>
      <x:c r="B185"/>
      <x:c r="C185"/>
      <x:c r="D185"/>
      <x:c r="E185"/>
      <x:c r="F185"/>
      <x:c r="G185"/>
      <x:c r="H185"/>
      <x:c r="I185"/>
      <x:c r="J185"/>
      <x:c r="K185"/>
      <x:c r="L185"/>
    </x:row>
    <x:row r="186">
      <x:c r="A186"/>
      <x:c r="B186"/>
      <x:c r="C186"/>
      <x:c r="D186"/>
      <x:c r="E186"/>
      <x:c r="F186"/>
      <x:c r="G186"/>
      <x:c r="H186"/>
      <x:c r="I186"/>
      <x:c r="J186"/>
      <x:c r="K186"/>
      <x:c r="L186"/>
    </x:row>
    <x:row r="187">
      <x:c r="A187"/>
      <x:c r="B187"/>
      <x:c r="C187"/>
      <x:c r="D187"/>
      <x:c r="E187"/>
      <x:c r="F187"/>
      <x:c r="G187"/>
      <x:c r="H187"/>
      <x:c r="I187"/>
      <x:c r="J187"/>
      <x:c r="K187"/>
      <x:c r="L187"/>
    </x:row>
    <x:row r="188">
      <x:c r="A188"/>
      <x:c r="B188"/>
      <x:c r="C188"/>
      <x:c r="D188"/>
      <x:c r="E188"/>
      <x:c r="F188"/>
      <x:c r="G188"/>
      <x:c r="H188"/>
      <x:c r="I188"/>
      <x:c r="J188"/>
      <x:c r="K188"/>
      <x:c r="L188"/>
    </x:row>
    <x:row r="189">
      <x:c r="A189"/>
      <x:c r="B189"/>
      <x:c r="C189"/>
      <x:c r="D189"/>
      <x:c r="E189"/>
      <x:c r="F189"/>
      <x:c r="G189"/>
      <x:c r="H189"/>
      <x:c r="I189"/>
      <x:c r="J189"/>
      <x:c r="K189"/>
      <x:c r="L189"/>
    </x:row>
    <x:row r="190">
      <x:c r="A190"/>
      <x:c r="B190"/>
      <x:c r="C190"/>
      <x:c r="D190"/>
      <x:c r="E190"/>
      <x:c r="F190"/>
      <x:c r="G190"/>
      <x:c r="H190"/>
      <x:c r="I190"/>
      <x:c r="J190"/>
      <x:c r="K190"/>
      <x:c r="L190"/>
    </x:row>
  </x:sheetData>
  <x:pageMargins left="0.7" right="0.7" top="0.75" bottom="0.75" header="0.3" footer="0.3"/>
  <x:tableParts count="1">
    <x:tablePart xmlns:r="http://schemas.openxmlformats.org/officeDocument/2006/relationships" r:id="R3a03cdd45ad346b4"/>
  </x:tableParts>
</x:worksheet>
</file>

<file path=xl/worksheets/sheet7.xml><?xml version="1.0" encoding="utf-8"?>
<x:worksheet xmlns:x="http://schemas.openxmlformats.org/spreadsheetml/2006/main">
  <x:sheetFormatPr defaultRowHeight="14.25"/>
  <x:cols>
    <x:col min="1" max="1" width="12" customWidth="1"/>
    <x:col min="2" max="2" width="58" customWidth="1"/>
    <x:col min="3" max="3" width="16" customWidth="1"/>
    <x:col min="4" max="4" width="10" customWidth="1"/>
    <x:col min="5" max="5" width="42" customWidth="1"/>
    <x:col min="6" max="6" width="70" customWidth="1"/>
    <x:col min="7" max="7" width="38" customWidth="1"/>
    <x:col min="8" max="8" width="60" customWidth="1"/>
  </x:cols>
  <x:sheetData>
    <x:row r="1" ht="20.25">
      <x:c r="A1" s="29" t="s">
        <x:v>133</x:v>
      </x:c>
      <x:c r="B1" s="29"/>
      <x:c r="C1" s="29"/>
      <x:c r="D1" s="29"/>
      <x:c r="E1" s="29"/>
      <x:c r="F1" s="29"/>
      <x:c r="G1" s="29"/>
      <x:c r="H1" s="29"/>
    </x:row>
    <x:row r="2">
      <x:c r="A2" s="2"/>
      <x:c r="B2" s="2"/>
      <x:c r="C2" s="2"/>
      <x:c r="D2" s="2"/>
      <x:c r="E2" s="2"/>
      <x:c r="F2" s="2"/>
      <x:c r="G2" s="2"/>
      <x:c r="H2" s="2"/>
    </x:row>
    <x:row r="3" ht="15">
      <x:c r="A3" s="1" t="s">
        <x:v>134</x:v>
      </x:c>
      <x:c r="B3" s="1" t="s">
        <x:v>135</x:v>
      </x:c>
      <x:c r="C3" s="1" t="s">
        <x:v>136</x:v>
      </x:c>
      <x:c r="D3" s="1" t="s">
        <x:v>137</x:v>
      </x:c>
      <x:c r="E3" s="1" t="s">
        <x:v>138</x:v>
      </x:c>
      <x:c r="F3" s="1" t="s">
        <x:v>139</x:v>
      </x:c>
      <x:c r="G3" s="1" t="s">
        <x:v>140</x:v>
      </x:c>
      <x:c r="H3" s="1" t="s">
        <x:v>141</x:v>
      </x:c>
    </x:row>
    <x:row r="4">
      <x:c r="A4" s="2" t="s">
        <x:v>142</x:v>
      </x:c>
      <x:c r="B4" s="2" t="s">
        <x:v>143</x:v>
      </x:c>
      <x:c r="C4" s="2" t="s">
        <x:v>144</x:v>
      </x:c>
      <x:c r="D4" s="2">
        <x:v>8</x:v>
      </x:c>
      <x:c r="E4" s="2"/>
      <x:c r="F4" s="2" t="s">
        <x:v>145</x:v>
      </x:c>
      <x:c r="G4" s="2"/>
      <x:c r="H4" s="2"/>
    </x:row>
    <x:row r="5" ht="28.5">
      <x:c r="A5" s="2" t="s">
        <x:v>146</x:v>
      </x:c>
      <x:c r="B5" s="2" t="s">
        <x:v>147</x:v>
      </x:c>
      <x:c r="C5" s="2" t="s">
        <x:v>144</x:v>
      </x:c>
      <x:c r="D5" s="2">
        <x:v>8</x:v>
      </x:c>
      <x:c r="E5" s="2"/>
      <x:c r="F5" s="2" t="s">
        <x:v>145</x:v>
      </x:c>
      <x:c r="G5" s="2"/>
      <x:c r="H5" s="2"/>
    </x:row>
    <x:row r="6">
      <x:c r="A6" s="2" t="s">
        <x:v>148</x:v>
      </x:c>
      <x:c r="B6" s="2" t="s">
        <x:v>149</x:v>
      </x:c>
      <x:c r="C6" s="2" t="s">
        <x:v>144</x:v>
      </x:c>
      <x:c r="D6" s="2">
        <x:v>4</x:v>
      </x:c>
      <x:c r="E6" s="2"/>
      <x:c r="F6" s="2" t="s">
        <x:v>145</x:v>
      </x:c>
      <x:c r="G6" s="2"/>
      <x:c r="H6" s="2"/>
    </x:row>
    <x:row r="7">
      <x:c r="A7" s="2" t="s">
        <x:v>150</x:v>
      </x:c>
      <x:c r="B7" s="2" t="s">
        <x:v>151</x:v>
      </x:c>
      <x:c r="C7" s="2" t="s">
        <x:v>144</x:v>
      </x:c>
      <x:c r="D7" s="2">
        <x:v>4</x:v>
      </x:c>
      <x:c r="E7" s="2"/>
      <x:c r="F7" s="2" t="s">
        <x:v>145</x:v>
      </x:c>
      <x:c r="G7" s="2"/>
      <x:c r="H7" s="2"/>
    </x:row>
    <x:row r="8">
      <x:c r="A8" s="2" t="s">
        <x:v>152</x:v>
      </x:c>
      <x:c r="B8" s="2" t="s">
        <x:v>153</x:v>
      </x:c>
      <x:c r="C8" s="2" t="s">
        <x:v>144</x:v>
      </x:c>
      <x:c r="D8" s="2">
        <x:v>6</x:v>
      </x:c>
      <x:c r="E8" s="2"/>
      <x:c r="F8" s="2" t="s">
        <x:v>145</x:v>
      </x:c>
      <x:c r="G8" s="2"/>
      <x:c r="H8" s="2"/>
    </x:row>
    <x:row r="9">
      <x:c r="A9" s="2" t="s">
        <x:v>154</x:v>
      </x:c>
      <x:c r="B9" s="2" t="s">
        <x:v>155</x:v>
      </x:c>
      <x:c r="C9" s="2" t="s">
        <x:v>144</x:v>
      </x:c>
      <x:c r="D9" s="2">
        <x:v>8</x:v>
      </x:c>
      <x:c r="E9" s="2"/>
      <x:c r="F9" s="2" t="s">
        <x:v>145</x:v>
      </x:c>
      <x:c r="G9" s="2"/>
      <x:c r="H9" s="2"/>
    </x:row>
    <x:row r="10" ht="28.5">
      <x:c r="A10" s="2" t="s">
        <x:v>156</x:v>
      </x:c>
      <x:c r="B10" s="2" t="s">
        <x:v>157</x:v>
      </x:c>
      <x:c r="C10" s="2" t="s">
        <x:v>144</x:v>
      </x:c>
      <x:c r="D10" s="2">
        <x:v>10</x:v>
      </x:c>
      <x:c r="E10" s="2"/>
      <x:c r="F10" s="2" t="s">
        <x:v>145</x:v>
      </x:c>
      <x:c r="G10" s="2"/>
      <x:c r="H10" s="2"/>
    </x:row>
    <x:row r="11" ht="28.5">
      <x:c r="A11" s="2" t="s">
        <x:v>158</x:v>
      </x:c>
      <x:c r="B11" s="2" t="s">
        <x:v>159</x:v>
      </x:c>
      <x:c r="C11" s="2" t="s">
        <x:v>144</x:v>
      </x:c>
      <x:c r="D11" s="2">
        <x:v>10</x:v>
      </x:c>
      <x:c r="E11" s="2"/>
      <x:c r="F11" s="2" t="s">
        <x:v>145</x:v>
      </x:c>
      <x:c r="G11" s="2"/>
      <x:c r="H11" s="2"/>
    </x:row>
    <x:row r="12">
      <x:c r="A12" s="2" t="s">
        <x:v>160</x:v>
      </x:c>
      <x:c r="B12" s="2" t="s">
        <x:v>161</x:v>
      </x:c>
      <x:c r="C12" s="2" t="s">
        <x:v>144</x:v>
      </x:c>
      <x:c r="D12" s="2">
        <x:v>6</x:v>
      </x:c>
      <x:c r="E12" s="2"/>
      <x:c r="F12" s="2" t="s">
        <x:v>145</x:v>
      </x:c>
      <x:c r="G12" s="2"/>
      <x:c r="H12" s="2"/>
    </x:row>
    <x:row r="13" ht="28.5">
      <x:c r="A13" s="2" t="s">
        <x:v>162</x:v>
      </x:c>
      <x:c r="B13" s="2" t="s">
        <x:v>163</x:v>
      </x:c>
      <x:c r="C13" s="2" t="s">
        <x:v>144</x:v>
      </x:c>
      <x:c r="D13" s="2">
        <x:v>8</x:v>
      </x:c>
      <x:c r="E13" s="2"/>
      <x:c r="F13" s="2" t="s">
        <x:v>145</x:v>
      </x:c>
      <x:c r="G13" s="2"/>
      <x:c r="H13" s="2"/>
    </x:row>
    <x:row r="14">
      <x:c r="A14" s="2" t="s">
        <x:v>164</x:v>
      </x:c>
      <x:c r="B14" s="2" t="s">
        <x:v>165</x:v>
      </x:c>
      <x:c r="C14" s="2" t="s">
        <x:v>144</x:v>
      </x:c>
      <x:c r="D14" s="2">
        <x:v>6</x:v>
      </x:c>
      <x:c r="E14" s="2"/>
      <x:c r="F14" s="2" t="s">
        <x:v>145</x:v>
      </x:c>
      <x:c r="G14" s="2"/>
      <x:c r="H14" s="2"/>
    </x:row>
    <x:row r="15">
      <x:c r="A15" s="2" t="s">
        <x:v>166</x:v>
      </x:c>
      <x:c r="B15" s="2" t="s">
        <x:v>167</x:v>
      </x:c>
      <x:c r="C15" s="2" t="s">
        <x:v>144</x:v>
      </x:c>
      <x:c r="D15" s="2">
        <x:v>6</x:v>
      </x:c>
      <x:c r="E15" s="2"/>
      <x:c r="F15" s="2" t="s">
        <x:v>145</x:v>
      </x:c>
      <x:c r="G15" s="2"/>
      <x:c r="H15" s="2"/>
    </x:row>
    <x:row r="16">
      <x:c r="A16" s="2" t="s">
        <x:v>168</x:v>
      </x:c>
      <x:c r="B16" s="2" t="s">
        <x:v>169</x:v>
      </x:c>
      <x:c r="C16" s="2" t="s">
        <x:v>144</x:v>
      </x:c>
      <x:c r="D16" s="2">
        <x:v>8</x:v>
      </x:c>
      <x:c r="E16" s="2"/>
      <x:c r="F16" s="2" t="s">
        <x:v>145</x:v>
      </x:c>
      <x:c r="G16" s="2"/>
      <x:c r="H16" s="2"/>
    </x:row>
    <x:row r="17" ht="28.5">
      <x:c r="A17" s="2" t="s">
        <x:v>170</x:v>
      </x:c>
      <x:c r="B17" s="2" t="s">
        <x:v>171</x:v>
      </x:c>
      <x:c r="C17" s="2" t="s">
        <x:v>144</x:v>
      </x:c>
      <x:c r="D17" s="2">
        <x:v>8</x:v>
      </x:c>
      <x:c r="E17" s="2"/>
      <x:c r="F17" s="2" t="s">
        <x:v>145</x:v>
      </x:c>
      <x:c r="G17" s="2"/>
      <x:c r="H17" s="2"/>
    </x:row>
    <x:row r="18">
      <x:c r="A18" s="2" t="s">
        <x:v>172</x:v>
      </x:c>
      <x:c r="B18" s="2" t="s">
        <x:v>173</x:v>
      </x:c>
      <x:c r="C18" s="2" t="s">
        <x:v>144</x:v>
      </x:c>
      <x:c r="D18" s="2">
        <x:v>8</x:v>
      </x:c>
      <x:c r="E18" s="2"/>
      <x:c r="F18" s="2" t="s">
        <x:v>145</x:v>
      </x:c>
      <x:c r="G18" s="2"/>
      <x:c r="H18" s="2"/>
    </x:row>
    <x:row r="19">
      <x:c r="A19" s="2" t="s">
        <x:v>174</x:v>
      </x:c>
      <x:c r="B19" s="2" t="s">
        <x:v>175</x:v>
      </x:c>
      <x:c r="C19" s="2" t="s">
        <x:v>144</x:v>
      </x:c>
      <x:c r="D19" s="2">
        <x:v>10</x:v>
      </x:c>
      <x:c r="E19" s="2"/>
      <x:c r="F19" s="2" t="s">
        <x:v>145</x:v>
      </x:c>
      <x:c r="G19" s="2"/>
      <x:c r="H19" s="2"/>
    </x:row>
    <x:row r="20">
      <x:c r="A20" s="2" t="s">
        <x:v>176</x:v>
      </x:c>
      <x:c r="B20" s="2" t="s">
        <x:v>177</x:v>
      </x:c>
      <x:c r="C20" s="2" t="s">
        <x:v>144</x:v>
      </x:c>
      <x:c r="D20" s="2">
        <x:v>8</x:v>
      </x:c>
      <x:c r="E20" s="2"/>
      <x:c r="F20" s="2" t="s">
        <x:v>145</x:v>
      </x:c>
      <x:c r="G20" s="2"/>
      <x:c r="H20" s="2"/>
    </x:row>
    <x:row r="21">
      <x:c r="A21" s="2" t="s">
        <x:v>178</x:v>
      </x:c>
      <x:c r="B21" s="2" t="s">
        <x:v>179</x:v>
      </x:c>
      <x:c r="C21" s="2" t="s">
        <x:v>144</x:v>
      </x:c>
      <x:c r="D21" s="2">
        <x:v>6</x:v>
      </x:c>
      <x:c r="E21" s="2"/>
      <x:c r="F21" s="2" t="s">
        <x:v>145</x:v>
      </x:c>
      <x:c r="G21" s="2"/>
      <x:c r="H21" s="2"/>
    </x:row>
    <x:row r="22">
      <x:c r="A22" s="2" t="s">
        <x:v>180</x:v>
      </x:c>
      <x:c r="B22" s="2" t="s">
        <x:v>181</x:v>
      </x:c>
      <x:c r="C22" s="2" t="s">
        <x:v>144</x:v>
      </x:c>
      <x:c r="D22" s="2">
        <x:v>6</x:v>
      </x:c>
      <x:c r="E22" s="2"/>
      <x:c r="F22" s="2" t="s">
        <x:v>145</x:v>
      </x:c>
      <x:c r="G22" s="2"/>
      <x:c r="H22" s="2"/>
    </x:row>
    <x:row r="23">
      <x:c r="A23" s="2" t="s">
        <x:v>182</x:v>
      </x:c>
      <x:c r="B23" s="2" t="s">
        <x:v>183</x:v>
      </x:c>
      <x:c r="C23" s="2" t="s">
        <x:v>144</x:v>
      </x:c>
      <x:c r="D23" s="2">
        <x:v>6</x:v>
      </x:c>
      <x:c r="E23" s="2"/>
      <x:c r="F23" s="2" t="s">
        <x:v>145</x:v>
      </x:c>
      <x:c r="G23" s="2"/>
      <x:c r="H23" s="2"/>
    </x:row>
    <x:row r="24">
      <x:c r="A24" s="2" t="s">
        <x:v>184</x:v>
      </x:c>
      <x:c r="B24" s="2" t="s">
        <x:v>185</x:v>
      </x:c>
      <x:c r="C24" s="2" t="s">
        <x:v>144</x:v>
      </x:c>
      <x:c r="D24" s="2">
        <x:v>6</x:v>
      </x:c>
      <x:c r="E24" s="2"/>
      <x:c r="F24" s="2" t="s">
        <x:v>145</x:v>
      </x:c>
      <x:c r="G24" s="2"/>
      <x:c r="H24" s="2"/>
    </x:row>
    <x:row r="25">
      <x:c r="A25" s="2" t="s">
        <x:v>186</x:v>
      </x:c>
      <x:c r="B25" s="2" t="s">
        <x:v>187</x:v>
      </x:c>
      <x:c r="C25" s="2" t="s">
        <x:v>144</x:v>
      </x:c>
      <x:c r="D25" s="2">
        <x:v>8</x:v>
      </x:c>
      <x:c r="E25" s="2"/>
      <x:c r="F25" s="2" t="s">
        <x:v>145</x:v>
      </x:c>
      <x:c r="G25" s="2"/>
      <x:c r="H25" s="2"/>
    </x:row>
    <x:row r="26">
      <x:c r="A26" s="2" t="s">
        <x:v>188</x:v>
      </x:c>
      <x:c r="B26" s="2" t="s">
        <x:v>189</x:v>
      </x:c>
      <x:c r="C26" s="2" t="s">
        <x:v>144</x:v>
      </x:c>
      <x:c r="D26" s="2">
        <x:v>6</x:v>
      </x:c>
      <x:c r="E26" s="2"/>
      <x:c r="F26" s="2" t="s">
        <x:v>145</x:v>
      </x:c>
      <x:c r="G26" s="2"/>
      <x:c r="H26" s="2"/>
    </x:row>
    <x:row r="27">
      <x:c r="A27" s="2" t="s">
        <x:v>190</x:v>
      </x:c>
      <x:c r="B27" s="2" t="s">
        <x:v>191</x:v>
      </x:c>
      <x:c r="C27" s="2" t="s">
        <x:v>144</x:v>
      </x:c>
      <x:c r="D27" s="2">
        <x:v>8</x:v>
      </x:c>
      <x:c r="E27" s="2"/>
      <x:c r="F27" s="2" t="s">
        <x:v>145</x:v>
      </x:c>
      <x:c r="G27" s="2"/>
      <x:c r="H27" s="2"/>
    </x:row>
    <x:row r="28" ht="28.5">
      <x:c r="A28" s="2" t="s">
        <x:v>192</x:v>
      </x:c>
      <x:c r="B28" s="2" t="s">
        <x:v>193</x:v>
      </x:c>
      <x:c r="C28" s="2" t="s">
        <x:v>144</x:v>
      </x:c>
      <x:c r="D28" s="2">
        <x:v>8</x:v>
      </x:c>
      <x:c r="E28" s="2"/>
      <x:c r="F28" s="2" t="s">
        <x:v>145</x:v>
      </x:c>
      <x:c r="G28" s="2"/>
      <x:c r="H28" s="2"/>
    </x:row>
    <x:row r="29">
      <x:c r="A29" s="2" t="s">
        <x:v>194</x:v>
      </x:c>
      <x:c r="B29" s="2" t="s">
        <x:v>195</x:v>
      </x:c>
      <x:c r="C29" s="2" t="s">
        <x:v>144</x:v>
      </x:c>
      <x:c r="D29" s="2">
        <x:v>6</x:v>
      </x:c>
      <x:c r="E29" s="2"/>
      <x:c r="F29" s="2" t="s">
        <x:v>145</x:v>
      </x:c>
      <x:c r="G29" s="2"/>
      <x:c r="H29" s="2"/>
    </x:row>
    <x:row r="30">
      <x:c r="A30" s="2" t="s">
        <x:v>196</x:v>
      </x:c>
      <x:c r="B30" s="2" t="s">
        <x:v>197</x:v>
      </x:c>
      <x:c r="C30" s="2" t="s">
        <x:v>144</x:v>
      </x:c>
      <x:c r="D30" s="2">
        <x:v>6</x:v>
      </x:c>
      <x:c r="E30" s="2"/>
      <x:c r="F30" s="2" t="s">
        <x:v>145</x:v>
      </x:c>
      <x:c r="G30" s="2"/>
      <x:c r="H30" s="2"/>
    </x:row>
    <x:row r="31">
      <x:c r="A31" s="2" t="s">
        <x:v>198</x:v>
      </x:c>
      <x:c r="B31" s="2" t="s">
        <x:v>199</x:v>
      </x:c>
      <x:c r="C31" s="2" t="s">
        <x:v>144</x:v>
      </x:c>
      <x:c r="D31" s="2">
        <x:v>2</x:v>
      </x:c>
      <x:c r="E31" s="2"/>
      <x:c r="F31" s="2" t="s">
        <x:v>145</x:v>
      </x:c>
      <x:c r="G31" s="2"/>
      <x:c r="H31" s="2"/>
    </x:row>
    <x:row r="32">
      <x:c r="A32" s="2" t="s">
        <x:v>200</x:v>
      </x:c>
      <x:c r="B32" s="2" t="s">
        <x:v>201</x:v>
      </x:c>
      <x:c r="C32" s="2" t="s">
        <x:v>144</x:v>
      </x:c>
      <x:c r="D32" s="2">
        <x:v>4</x:v>
      </x:c>
      <x:c r="E32" s="2"/>
      <x:c r="F32" s="2" t="s">
        <x:v>145</x:v>
      </x:c>
      <x:c r="G32" s="2"/>
      <x:c r="H32" s="2"/>
    </x:row>
    <x:row r="33" ht="28.5">
      <x:c r="A33" s="2" t="s">
        <x:v>202</x:v>
      </x:c>
      <x:c r="B33" s="2" t="s">
        <x:v>203</x:v>
      </x:c>
      <x:c r="C33" s="2" t="s">
        <x:v>144</x:v>
      </x:c>
      <x:c r="D33" s="2">
        <x:v>8</x:v>
      </x:c>
      <x:c r="E33" s="2"/>
      <x:c r="F33" s="2" t="s">
        <x:v>145</x:v>
      </x:c>
      <x:c r="G33" s="2"/>
      <x:c r="H33" s="2"/>
    </x:row>
    <x:row r="34">
      <x:c r="A34" s="2" t="s">
        <x:v>204</x:v>
      </x:c>
      <x:c r="B34" s="2" t="s">
        <x:v>205</x:v>
      </x:c>
      <x:c r="C34" s="2" t="s">
        <x:v>144</x:v>
      </x:c>
      <x:c r="D34" s="2">
        <x:v>10</x:v>
      </x:c>
      <x:c r="E34" s="2"/>
      <x:c r="F34" s="2" t="s">
        <x:v>145</x:v>
      </x:c>
      <x:c r="G34" s="2"/>
      <x:c r="H34" s="2"/>
    </x:row>
    <x:row r="35">
      <x:c r="A35" s="2" t="s">
        <x:v>206</x:v>
      </x:c>
      <x:c r="B35" s="2" t="s">
        <x:v>207</x:v>
      </x:c>
      <x:c r="C35" s="2" t="s">
        <x:v>144</x:v>
      </x:c>
      <x:c r="D35" s="2">
        <x:v>12</x:v>
      </x:c>
      <x:c r="E35" s="2"/>
      <x:c r="F35" s="2" t="s">
        <x:v>145</x:v>
      </x:c>
      <x:c r="G35" s="2"/>
      <x:c r="H35" s="2"/>
    </x:row>
    <x:row r="36">
      <x:c r="A36" s="2" t="s">
        <x:v>208</x:v>
      </x:c>
      <x:c r="B36" s="2" t="s">
        <x:v>209</x:v>
      </x:c>
      <x:c r="C36" s="2" t="s">
        <x:v>144</x:v>
      </x:c>
      <x:c r="D36" s="2">
        <x:v>12</x:v>
      </x:c>
      <x:c r="E36" s="2"/>
      <x:c r="F36" s="2" t="s">
        <x:v>145</x:v>
      </x:c>
      <x:c r="G36" s="2"/>
      <x:c r="H36" s="2"/>
    </x:row>
    <x:row r="37">
      <x:c r="A37" s="2" t="s">
        <x:v>210</x:v>
      </x:c>
      <x:c r="B37" s="2" t="s">
        <x:v>211</x:v>
      </x:c>
      <x:c r="C37" s="2" t="s">
        <x:v>144</x:v>
      </x:c>
      <x:c r="D37" s="2">
        <x:v>10</x:v>
      </x:c>
      <x:c r="E37" s="2"/>
      <x:c r="F37" s="2" t="s">
        <x:v>145</x:v>
      </x:c>
      <x:c r="G37" s="2"/>
      <x:c r="H37" s="2"/>
    </x:row>
    <x:row r="38">
      <x:c r="A38" s="2" t="s">
        <x:v>212</x:v>
      </x:c>
      <x:c r="B38" s="2" t="s">
        <x:v>213</x:v>
      </x:c>
      <x:c r="C38" s="2" t="s">
        <x:v>144</x:v>
      </x:c>
      <x:c r="D38" s="2">
        <x:v>8</x:v>
      </x:c>
      <x:c r="E38" s="2"/>
      <x:c r="F38" s="2" t="s">
        <x:v>145</x:v>
      </x:c>
      <x:c r="G38" s="2"/>
      <x:c r="H38" s="2"/>
    </x:row>
    <x:row r="39" ht="28.5">
      <x:c r="A39" s="2" t="s">
        <x:v>214</x:v>
      </x:c>
      <x:c r="B39" s="2" t="s">
        <x:v>215</x:v>
      </x:c>
      <x:c r="C39" s="2" t="s">
        <x:v>144</x:v>
      </x:c>
      <x:c r="D39" s="2">
        <x:v>12</x:v>
      </x:c>
      <x:c r="E39" s="2"/>
      <x:c r="F39" s="2" t="s">
        <x:v>145</x:v>
      </x:c>
      <x:c r="G39" s="2"/>
      <x:c r="H39" s="2"/>
    </x:row>
    <x:row r="40">
      <x:c r="A40" s="2" t="s">
        <x:v>216</x:v>
      </x:c>
      <x:c r="B40" s="2" t="s">
        <x:v>217</x:v>
      </x:c>
      <x:c r="C40" s="2" t="s">
        <x:v>144</x:v>
      </x:c>
      <x:c r="D40" s="2">
        <x:v>3</x:v>
      </x:c>
      <x:c r="E40" s="2"/>
      <x:c r="F40" s="2" t="s">
        <x:v>145</x:v>
      </x:c>
      <x:c r="G40" s="2"/>
      <x:c r="H40" s="2"/>
    </x:row>
    <x:row r="41">
      <x:c r="A41" s="2" t="s">
        <x:v>218</x:v>
      </x:c>
      <x:c r="B41" s="2" t="s">
        <x:v>219</x:v>
      </x:c>
      <x:c r="C41" s="2" t="s">
        <x:v>144</x:v>
      </x:c>
      <x:c r="D41" s="2">
        <x:v>12</x:v>
      </x:c>
      <x:c r="E41" s="2"/>
      <x:c r="F41" s="2" t="s">
        <x:v>145</x:v>
      </x:c>
      <x:c r="G41" s="2"/>
      <x:c r="H41" s="2"/>
    </x:row>
    <x:row r="42">
      <x:c r="A42" s="2" t="s">
        <x:v>220</x:v>
      </x:c>
      <x:c r="B42" s="2" t="s">
        <x:v>221</x:v>
      </x:c>
      <x:c r="C42" s="2" t="s">
        <x:v>144</x:v>
      </x:c>
      <x:c r="D42" s="2">
        <x:v>12</x:v>
      </x:c>
      <x:c r="E42" s="2"/>
      <x:c r="F42" s="2" t="s">
        <x:v>145</x:v>
      </x:c>
      <x:c r="G42" s="2"/>
      <x:c r="H42" s="2"/>
    </x:row>
    <x:row r="43">
      <x:c r="A43" s="2" t="s">
        <x:v>222</x:v>
      </x:c>
      <x:c r="B43" s="2" t="s">
        <x:v>223</x:v>
      </x:c>
      <x:c r="C43" s="2" t="s">
        <x:v>144</x:v>
      </x:c>
      <x:c r="D43" s="2">
        <x:v>8</x:v>
      </x:c>
      <x:c r="E43" s="2"/>
      <x:c r="F43" s="2" t="s">
        <x:v>145</x:v>
      </x:c>
      <x:c r="G43" s="2"/>
      <x:c r="H43" s="2"/>
    </x:row>
    <x:row r="44">
      <x:c r="A44" s="2" t="s">
        <x:v>224</x:v>
      </x:c>
      <x:c r="B44" s="2" t="s">
        <x:v>225</x:v>
      </x:c>
      <x:c r="C44" s="2" t="s">
        <x:v>144</x:v>
      </x:c>
      <x:c r="D44" s="2">
        <x:v>6</x:v>
      </x:c>
      <x:c r="E44" s="2"/>
      <x:c r="F44" s="2" t="s">
        <x:v>145</x:v>
      </x:c>
      <x:c r="G44" s="2"/>
      <x:c r="H44" s="2"/>
    </x:row>
    <x:row r="45">
      <x:c r="A45" s="2" t="s">
        <x:v>226</x:v>
      </x:c>
      <x:c r="B45" s="2" t="s">
        <x:v>227</x:v>
      </x:c>
      <x:c r="C45" s="2" t="s">
        <x:v>144</x:v>
      </x:c>
      <x:c r="D45" s="2">
        <x:v>6</x:v>
      </x:c>
      <x:c r="E45" s="2"/>
      <x:c r="F45" s="2" t="s">
        <x:v>145</x:v>
      </x:c>
      <x:c r="G45" s="2"/>
      <x:c r="H45" s="2"/>
    </x:row>
    <x:row r="46">
      <x:c r="A46" s="2" t="s">
        <x:v>228</x:v>
      </x:c>
      <x:c r="B46" s="2" t="s">
        <x:v>229</x:v>
      </x:c>
      <x:c r="C46" s="2" t="s">
        <x:v>144</x:v>
      </x:c>
      <x:c r="D46" s="2">
        <x:v>12</x:v>
      </x:c>
      <x:c r="E46" s="2"/>
      <x:c r="F46" s="2" t="s">
        <x:v>145</x:v>
      </x:c>
      <x:c r="G46" s="2"/>
      <x:c r="H46" s="2"/>
    </x:row>
    <x:row r="47" ht="28.5">
      <x:c r="A47" s="2" t="s">
        <x:v>230</x:v>
      </x:c>
      <x:c r="B47" s="2" t="s">
        <x:v>231</x:v>
      </x:c>
      <x:c r="C47" s="2" t="s">
        <x:v>144</x:v>
      </x:c>
      <x:c r="D47" s="2">
        <x:v>8</x:v>
      </x:c>
      <x:c r="E47" s="2" t="s">
        <x:v>232</x:v>
      </x:c>
      <x:c r="F47" s="2" t="s">
        <x:v>145</x:v>
      </x:c>
      <x:c r="G47" s="2"/>
      <x:c r="H47" s="2"/>
    </x:row>
    <x:row r="48" ht="28.5">
      <x:c r="A48" s="2" t="s">
        <x:v>233</x:v>
      </x:c>
      <x:c r="B48" s="2" t="s">
        <x:v>234</x:v>
      </x:c>
      <x:c r="C48" s="2" t="s">
        <x:v>144</x:v>
      </x:c>
      <x:c r="D48" s="2">
        <x:v>6</x:v>
      </x:c>
      <x:c r="E48" s="2" t="s">
        <x:v>235</x:v>
      </x:c>
      <x:c r="F48" s="2" t="s">
        <x:v>145</x:v>
      </x:c>
      <x:c r="G48" s="2"/>
      <x:c r="H48" s="2"/>
    </x:row>
    <x:row r="49" ht="28.5">
      <x:c r="A49" s="2" t="s">
        <x:v>236</x:v>
      </x:c>
      <x:c r="B49" s="2" t="s">
        <x:v>237</x:v>
      </x:c>
      <x:c r="C49" s="2" t="s">
        <x:v>144</x:v>
      </x:c>
      <x:c r="D49" s="2">
        <x:v>8</x:v>
      </x:c>
      <x:c r="E49" s="2" t="s">
        <x:v>238</x:v>
      </x:c>
      <x:c r="F49" s="2" t="s">
        <x:v>145</x:v>
      </x:c>
      <x:c r="G49" s="2"/>
      <x:c r="H49" s="2"/>
    </x:row>
    <x:row r="50" ht="28.5">
      <x:c r="A50" s="2" t="s">
        <x:v>239</x:v>
      </x:c>
      <x:c r="B50" s="2" t="s">
        <x:v>240</x:v>
      </x:c>
      <x:c r="C50" s="2" t="s">
        <x:v>144</x:v>
      </x:c>
      <x:c r="D50" s="2">
        <x:v>10</x:v>
      </x:c>
      <x:c r="E50" s="2" t="s">
        <x:v>241</x:v>
      </x:c>
      <x:c r="F50" s="2" t="s">
        <x:v>145</x:v>
      </x:c>
      <x:c r="G50" s="2"/>
      <x:c r="H50" s="2"/>
    </x:row>
    <x:row r="51" ht="28.5">
      <x:c r="A51" s="2" t="s">
        <x:v>242</x:v>
      </x:c>
      <x:c r="B51" s="2" t="s">
        <x:v>243</x:v>
      </x:c>
      <x:c r="C51" s="2" t="s">
        <x:v>144</x:v>
      </x:c>
      <x:c r="D51" s="2">
        <x:v>4</x:v>
      </x:c>
      <x:c r="E51" s="2" t="s">
        <x:v>244</x:v>
      </x:c>
      <x:c r="F51" s="2" t="s">
        <x:v>145</x:v>
      </x:c>
      <x:c r="G51" s="2"/>
      <x:c r="H51" s="2"/>
    </x:row>
    <x:row r="52" ht="57">
      <x:c r="A52" s="2" t="s">
        <x:v>245</x:v>
      </x:c>
      <x:c r="B52" s="2" t="s">
        <x:v>246</x:v>
      </x:c>
      <x:c r="C52" s="2" t="s">
        <x:v>144</x:v>
      </x:c>
      <x:c r="D52" s="2">
        <x:v>4</x:v>
      </x:c>
      <x:c r="E52" s="2" t="s">
        <x:v>247</x:v>
      </x:c>
      <x:c r="F52" s="2" t="s">
        <x:v>248</x:v>
      </x:c>
      <x:c r="G52" s="2"/>
      <x:c r="H52" s="2"/>
    </x:row>
    <x:row r="53">
      <x:c r="A53" s="2" t="s">
        <x:v>249</x:v>
      </x:c>
      <x:c r="B53" s="2" t="s">
        <x:v>250</x:v>
      </x:c>
      <x:c r="C53" s="2" t="s">
        <x:v>144</x:v>
      </x:c>
      <x:c r="D53" s="2">
        <x:v>6</x:v>
      </x:c>
      <x:c r="E53" s="2"/>
      <x:c r="F53" s="2" t="s">
        <x:v>145</x:v>
      </x:c>
      <x:c r="G53" s="2"/>
      <x:c r="H53" s="2"/>
    </x:row>
    <x:row r="54">
      <x:c r="A54" s="2" t="s">
        <x:v>251</x:v>
      </x:c>
      <x:c r="B54" s="2" t="s">
        <x:v>252</x:v>
      </x:c>
      <x:c r="C54" s="2" t="s">
        <x:v>144</x:v>
      </x:c>
      <x:c r="D54" s="2">
        <x:v>6</x:v>
      </x:c>
      <x:c r="E54" s="2"/>
      <x:c r="F54" s="2" t="s">
        <x:v>145</x:v>
      </x:c>
      <x:c r="G54" s="2"/>
      <x:c r="H54" s="2"/>
    </x:row>
    <x:row r="55">
      <x:c r="A55" s="2" t="s">
        <x:v>253</x:v>
      </x:c>
      <x:c r="B55" s="2" t="s">
        <x:v>254</x:v>
      </x:c>
      <x:c r="C55" s="2" t="s">
        <x:v>144</x:v>
      </x:c>
      <x:c r="D55" s="2">
        <x:v>4</x:v>
      </x:c>
      <x:c r="E55" s="2"/>
      <x:c r="F55" s="2" t="s">
        <x:v>145</x:v>
      </x:c>
      <x:c r="G55" s="2"/>
      <x:c r="H55" s="2"/>
    </x:row>
    <x:row r="56" ht="71.25">
      <x:c r="A56" s="2" t="s">
        <x:v>255</x:v>
      </x:c>
      <x:c r="B56" s="2" t="s">
        <x:v>256</x:v>
      </x:c>
      <x:c r="C56" s="2" t="s">
        <x:v>257</x:v>
      </x:c>
      <x:c r="D56" s="2">
        <x:v>4</x:v>
      </x:c>
      <x:c r="E56" s="2"/>
      <x:c r="F56" s="2" t="s">
        <x:v>258</x:v>
      </x:c>
      <x:c r="G56" s="2"/>
      <x:c r="H56" s="2"/>
    </x:row>
    <x:row r="57" ht="71.25">
      <x:c r="A57" s="2" t="s">
        <x:v>259</x:v>
      </x:c>
      <x:c r="B57" s="2" t="s">
        <x:v>260</x:v>
      </x:c>
      <x:c r="C57" s="2" t="s">
        <x:v>257</x:v>
      </x:c>
      <x:c r="D57" s="2">
        <x:v>4</x:v>
      </x:c>
      <x:c r="E57" s="2"/>
      <x:c r="F57" s="2" t="s">
        <x:v>258</x:v>
      </x:c>
      <x:c r="G57" s="2"/>
      <x:c r="H57" s="2"/>
    </x:row>
    <x:row r="58" ht="71.25">
      <x:c r="A58" s="2" t="s">
        <x:v>261</x:v>
      </x:c>
      <x:c r="B58" s="2" t="s">
        <x:v>262</x:v>
      </x:c>
      <x:c r="C58" s="2" t="s">
        <x:v>257</x:v>
      </x:c>
      <x:c r="D58" s="2">
        <x:v>6</x:v>
      </x:c>
      <x:c r="E58" s="2"/>
      <x:c r="F58" s="2" t="s">
        <x:v>258</x:v>
      </x:c>
      <x:c r="G58" s="2"/>
      <x:c r="H58" s="2"/>
    </x:row>
    <x:row r="59" ht="71.25">
      <x:c r="A59" s="2" t="s">
        <x:v>263</x:v>
      </x:c>
      <x:c r="B59" s="2" t="s">
        <x:v>264</x:v>
      </x:c>
      <x:c r="C59" s="2" t="s">
        <x:v>257</x:v>
      </x:c>
      <x:c r="D59" s="2">
        <x:v>4</x:v>
      </x:c>
      <x:c r="E59" s="2"/>
      <x:c r="F59" s="2" t="s">
        <x:v>258</x:v>
      </x:c>
      <x:c r="G59" s="2"/>
      <x:c r="H59" s="2"/>
    </x:row>
    <x:row r="60" ht="57">
      <x:c r="A60" s="2" t="s">
        <x:v>265</x:v>
      </x:c>
      <x:c r="B60" s="2" t="s">
        <x:v>266</x:v>
      </x:c>
      <x:c r="C60" s="2" t="s">
        <x:v>144</x:v>
      </x:c>
      <x:c r="D60" s="2">
        <x:v>10</x:v>
      </x:c>
      <x:c r="E60" s="2"/>
      <x:c r="F60" s="2" t="s">
        <x:v>267</x:v>
      </x:c>
      <x:c r="G60" s="2"/>
      <x:c r="H60" s="2"/>
    </x:row>
    <x:row r="61" ht="57">
      <x:c r="A61" s="2" t="s">
        <x:v>268</x:v>
      </x:c>
      <x:c r="B61" s="2" t="s">
        <x:v>269</x:v>
      </x:c>
      <x:c r="C61" s="2" t="s">
        <x:v>144</x:v>
      </x:c>
      <x:c r="D61" s="2">
        <x:v>10</x:v>
      </x:c>
      <x:c r="E61" s="2"/>
      <x:c r="F61" s="2" t="s">
        <x:v>267</x:v>
      </x:c>
      <x:c r="G61" s="2"/>
      <x:c r="H61" s="2"/>
    </x:row>
    <x:row r="62" ht="71.25">
      <x:c r="A62" s="2" t="s">
        <x:v>270</x:v>
      </x:c>
      <x:c r="B62" s="2" t="s">
        <x:v>271</x:v>
      </x:c>
      <x:c r="C62" s="2" t="s">
        <x:v>257</x:v>
      </x:c>
      <x:c r="D62" s="2">
        <x:v>4</x:v>
      </x:c>
      <x:c r="E62" s="2"/>
      <x:c r="F62" s="2" t="s">
        <x:v>272</x:v>
      </x:c>
      <x:c r="G62" s="2"/>
      <x:c r="H62" s="2"/>
    </x:row>
    <x:row r="63" ht="71.25">
      <x:c r="A63" s="2" t="s">
        <x:v>273</x:v>
      </x:c>
      <x:c r="B63" s="2" t="s">
        <x:v>274</x:v>
      </x:c>
      <x:c r="C63" s="2" t="s">
        <x:v>257</x:v>
      </x:c>
      <x:c r="D63" s="2">
        <x:v>4</x:v>
      </x:c>
      <x:c r="E63" s="2"/>
      <x:c r="F63" s="2" t="s">
        <x:v>275</x:v>
      </x:c>
      <x:c r="G63" s="2"/>
      <x:c r="H63" s="2"/>
    </x:row>
    <x:row r="64" ht="71.25">
      <x:c r="A64" s="2" t="s">
        <x:v>276</x:v>
      </x:c>
      <x:c r="B64" s="2" t="s">
        <x:v>277</x:v>
      </x:c>
      <x:c r="C64" s="2" t="s">
        <x:v>257</x:v>
      </x:c>
      <x:c r="D64" s="2">
        <x:v>6</x:v>
      </x:c>
      <x:c r="E64" s="2"/>
      <x:c r="F64" s="2" t="s">
        <x:v>258</x:v>
      </x:c>
      <x:c r="G64" s="2"/>
      <x:c r="H64" s="2"/>
    </x:row>
    <x:row r="65" ht="71.25">
      <x:c r="A65" s="2" t="s">
        <x:v>278</x:v>
      </x:c>
      <x:c r="B65" s="2" t="s">
        <x:v>279</x:v>
      </x:c>
      <x:c r="C65" s="2" t="s">
        <x:v>257</x:v>
      </x:c>
      <x:c r="D65" s="2">
        <x:v>4</x:v>
      </x:c>
      <x:c r="E65" s="2"/>
      <x:c r="F65" s="2" t="s">
        <x:v>258</x:v>
      </x:c>
      <x:c r="G65" s="2"/>
      <x:c r="H65" s="2"/>
    </x:row>
    <x:row r="66" ht="71.25">
      <x:c r="A66" s="2" t="s">
        <x:v>280</x:v>
      </x:c>
      <x:c r="B66" s="2" t="s">
        <x:v>281</x:v>
      </x:c>
      <x:c r="C66" s="2" t="s">
        <x:v>257</x:v>
      </x:c>
      <x:c r="D66" s="2">
        <x:v>10</x:v>
      </x:c>
      <x:c r="E66" s="2"/>
      <x:c r="F66" s="2" t="s">
        <x:v>258</x:v>
      </x:c>
      <x:c r="G66" s="2"/>
      <x:c r="H66" s="2"/>
    </x:row>
    <x:row r="67" ht="156.75">
      <x:c r="A67" s="2" t="s">
        <x:v>282</x:v>
      </x:c>
      <x:c r="B67" s="2" t="s">
        <x:v>283</x:v>
      </x:c>
      <x:c r="C67" s="2" t="s">
        <x:v>144</x:v>
      </x:c>
      <x:c r="D67" s="2">
        <x:v>8</x:v>
      </x:c>
      <x:c r="E67" s="2"/>
      <x:c r="F67" s="2" t="s">
        <x:v>284</x:v>
      </x:c>
      <x:c r="G67" s="2"/>
      <x:c r="H67" s="2"/>
    </x:row>
    <x:row r="68" ht="71.25">
      <x:c r="A68" s="2" t="s">
        <x:v>285</x:v>
      </x:c>
      <x:c r="B68" s="2" t="s">
        <x:v>286</x:v>
      </x:c>
      <x:c r="C68" s="2" t="s">
        <x:v>257</x:v>
      </x:c>
      <x:c r="D68" s="2">
        <x:v>12</x:v>
      </x:c>
      <x:c r="E68" s="2"/>
      <x:c r="F68" s="2" t="s">
        <x:v>275</x:v>
      </x:c>
      <x:c r="G68" s="2"/>
      <x:c r="H68" s="2"/>
    </x:row>
    <x:row r="69" ht="71.25">
      <x:c r="A69" s="2" t="s">
        <x:v>287</x:v>
      </x:c>
      <x:c r="B69" s="2" t="s">
        <x:v>288</x:v>
      </x:c>
      <x:c r="C69" s="2" t="s">
        <x:v>257</x:v>
      </x:c>
      <x:c r="D69" s="2">
        <x:v>6</x:v>
      </x:c>
      <x:c r="E69" s="2"/>
      <x:c r="F69" s="2" t="s">
        <x:v>275</x:v>
      </x:c>
      <x:c r="G69" s="2"/>
      <x:c r="H69" s="2"/>
    </x:row>
    <x:row r="70" ht="71.25">
      <x:c r="A70" s="2" t="s">
        <x:v>289</x:v>
      </x:c>
      <x:c r="B70" s="2" t="s">
        <x:v>290</x:v>
      </x:c>
      <x:c r="C70" s="2" t="s">
        <x:v>257</x:v>
      </x:c>
      <x:c r="D70" s="2">
        <x:v>8</x:v>
      </x:c>
      <x:c r="E70" s="2"/>
      <x:c r="F70" s="2" t="s">
        <x:v>291</x:v>
      </x:c>
      <x:c r="G70" s="2"/>
      <x:c r="H70" s="2"/>
    </x:row>
    <x:row r="71" ht="171">
      <x:c r="A71" s="2" t="s">
        <x:v>292</x:v>
      </x:c>
      <x:c r="B71" s="2" t="s">
        <x:v>293</x:v>
      </x:c>
      <x:c r="C71" s="2" t="s">
        <x:v>144</x:v>
      </x:c>
      <x:c r="D71" s="2">
        <x:v>6</x:v>
      </x:c>
      <x:c r="E71" s="2"/>
      <x:c r="F71" s="2" t="s">
        <x:v>294</x:v>
      </x:c>
      <x:c r="G71" s="2"/>
      <x:c r="H71" s="2"/>
    </x:row>
    <x:row r="72">
      <x:c r="A72" s="2" t="s">
        <x:v>295</x:v>
      </x:c>
      <x:c r="B72" s="2" t="s">
        <x:v>296</x:v>
      </x:c>
      <x:c r="C72" s="2" t="s">
        <x:v>144</x:v>
      </x:c>
      <x:c r="D72" s="2">
        <x:v>8</x:v>
      </x:c>
      <x:c r="E72" s="2"/>
      <x:c r="F72" s="2" t="s">
        <x:v>145</x:v>
      </x:c>
      <x:c r="G72" s="2"/>
      <x:c r="H72" s="2"/>
    </x:row>
    <x:row r="73">
      <x:c r="A73" s="2" t="s">
        <x:v>297</x:v>
      </x:c>
      <x:c r="B73" s="2" t="s">
        <x:v>298</x:v>
      </x:c>
      <x:c r="C73" s="2" t="s">
        <x:v>144</x:v>
      </x:c>
      <x:c r="D73" s="2">
        <x:v>6</x:v>
      </x:c>
      <x:c r="E73" s="2"/>
      <x:c r="F73" s="2" t="s">
        <x:v>145</x:v>
      </x:c>
      <x:c r="G73" s="2"/>
      <x:c r="H73" s="2"/>
    </x:row>
    <x:row r="74">
      <x:c r="A74" s="2" t="s">
        <x:v>299</x:v>
      </x:c>
      <x:c r="B74" s="2" t="s">
        <x:v>300</x:v>
      </x:c>
      <x:c r="C74" s="2" t="s">
        <x:v>144</x:v>
      </x:c>
      <x:c r="D74" s="2">
        <x:v>8</x:v>
      </x:c>
      <x:c r="E74" s="2"/>
      <x:c r="F74" s="2" t="s">
        <x:v>145</x:v>
      </x:c>
      <x:c r="G74" s="2"/>
      <x:c r="H74" s="2"/>
    </x:row>
    <x:row r="75">
      <x:c r="A75" s="2" t="s">
        <x:v>301</x:v>
      </x:c>
      <x:c r="B75" s="2" t="s">
        <x:v>302</x:v>
      </x:c>
      <x:c r="C75" s="2" t="s">
        <x:v>144</x:v>
      </x:c>
      <x:c r="D75" s="2">
        <x:v>8</x:v>
      </x:c>
      <x:c r="E75" s="2"/>
      <x:c r="F75" s="2" t="s">
        <x:v>145</x:v>
      </x:c>
      <x:c r="G75" s="2"/>
      <x:c r="H75" s="2"/>
    </x:row>
    <x:row r="76">
      <x:c r="A76" s="2" t="s">
        <x:v>303</x:v>
      </x:c>
      <x:c r="B76" s="2" t="s">
        <x:v>304</x:v>
      </x:c>
      <x:c r="C76" s="2" t="s">
        <x:v>144</x:v>
      </x:c>
      <x:c r="D76" s="2">
        <x:v>8</x:v>
      </x:c>
      <x:c r="E76" s="2"/>
      <x:c r="F76" s="2" t="s">
        <x:v>145</x:v>
      </x:c>
      <x:c r="G76" s="2"/>
      <x:c r="H76" s="2"/>
    </x:row>
    <x:row r="77">
      <x:c r="A77" s="2" t="s">
        <x:v>305</x:v>
      </x:c>
      <x:c r="B77" s="2" t="s">
        <x:v>306</x:v>
      </x:c>
      <x:c r="C77" s="2" t="s">
        <x:v>144</x:v>
      </x:c>
      <x:c r="D77" s="2">
        <x:v>4</x:v>
      </x:c>
      <x:c r="E77" s="2"/>
      <x:c r="F77" s="2" t="s">
        <x:v>145</x:v>
      </x:c>
      <x:c r="G77" s="2"/>
      <x:c r="H77" s="2"/>
    </x:row>
    <x:row r="78">
      <x:c r="A78" s="2" t="s">
        <x:v>307</x:v>
      </x:c>
      <x:c r="B78" s="2" t="s">
        <x:v>308</x:v>
      </x:c>
      <x:c r="C78" s="2" t="s">
        <x:v>144</x:v>
      </x:c>
      <x:c r="D78" s="2">
        <x:v>4</x:v>
      </x:c>
      <x:c r="E78" s="2"/>
      <x:c r="F78" s="2" t="s">
        <x:v>145</x:v>
      </x:c>
      <x:c r="G78" s="2"/>
      <x:c r="H78" s="2"/>
    </x:row>
    <x:row r="79" ht="71.25">
      <x:c r="A79" s="2" t="s">
        <x:v>309</x:v>
      </x:c>
      <x:c r="B79" s="2" t="s">
        <x:v>310</x:v>
      </x:c>
      <x:c r="C79" s="2" t="s">
        <x:v>257</x:v>
      </x:c>
      <x:c r="D79" s="2">
        <x:v>4</x:v>
      </x:c>
      <x:c r="E79" s="2"/>
      <x:c r="F79" s="2" t="s">
        <x:v>258</x:v>
      </x:c>
      <x:c r="G79" s="2"/>
      <x:c r="H79" s="2"/>
    </x:row>
    <x:row r="80" ht="71.25">
      <x:c r="A80" s="2" t="s">
        <x:v>311</x:v>
      </x:c>
      <x:c r="B80" s="2" t="s">
        <x:v>312</x:v>
      </x:c>
      <x:c r="C80" s="2" t="s">
        <x:v>257</x:v>
      </x:c>
      <x:c r="D80" s="2">
        <x:v>6</x:v>
      </x:c>
      <x:c r="E80" s="2"/>
      <x:c r="F80" s="2" t="s">
        <x:v>313</x:v>
      </x:c>
      <x:c r="G80" s="2"/>
      <x:c r="H80" s="2"/>
    </x:row>
    <x:row r="81" ht="71.25">
      <x:c r="A81" s="2" t="s">
        <x:v>314</x:v>
      </x:c>
      <x:c r="B81" s="2" t="s">
        <x:v>315</x:v>
      </x:c>
      <x:c r="C81" s="2" t="s">
        <x:v>257</x:v>
      </x:c>
      <x:c r="D81" s="2">
        <x:v>4</x:v>
      </x:c>
      <x:c r="E81" s="2"/>
      <x:c r="F81" s="2" t="s">
        <x:v>313</x:v>
      </x:c>
      <x:c r="G81" s="2"/>
      <x:c r="H81" s="2"/>
    </x:row>
    <x:row r="82" ht="71.25">
      <x:c r="A82" s="2" t="s">
        <x:v>316</x:v>
      </x:c>
      <x:c r="B82" s="2" t="s">
        <x:v>317</x:v>
      </x:c>
      <x:c r="C82" s="2" t="s">
        <x:v>257</x:v>
      </x:c>
      <x:c r="D82" s="2">
        <x:v>3</x:v>
      </x:c>
      <x:c r="E82" s="2"/>
      <x:c r="F82" s="2" t="s">
        <x:v>313</x:v>
      </x:c>
      <x:c r="G82" s="2"/>
      <x:c r="H82" s="2"/>
    </x:row>
    <x:row r="83" ht="71.25">
      <x:c r="A83" s="2" t="s">
        <x:v>318</x:v>
      </x:c>
      <x:c r="B83" s="2" t="s">
        <x:v>319</x:v>
      </x:c>
      <x:c r="C83" s="2" t="s">
        <x:v>257</x:v>
      </x:c>
      <x:c r="D83" s="2">
        <x:v>4</x:v>
      </x:c>
      <x:c r="E83" s="2"/>
      <x:c r="F83" s="2" t="s">
        <x:v>313</x:v>
      </x:c>
      <x:c r="G83" s="2"/>
      <x:c r="H83" s="2"/>
    </x:row>
    <x:row r="84" ht="71.25">
      <x:c r="A84" s="2" t="s">
        <x:v>320</x:v>
      </x:c>
      <x:c r="B84" s="2" t="s">
        <x:v>321</x:v>
      </x:c>
      <x:c r="C84" s="2" t="s">
        <x:v>257</x:v>
      </x:c>
      <x:c r="D84" s="2">
        <x:v>6</x:v>
      </x:c>
      <x:c r="E84" s="2"/>
      <x:c r="F84" s="2" t="s">
        <x:v>313</x:v>
      </x:c>
      <x:c r="G84" s="2"/>
      <x:c r="H84" s="2"/>
    </x:row>
    <x:row r="85" ht="71.25">
      <x:c r="A85" s="2" t="s">
        <x:v>322</x:v>
      </x:c>
      <x:c r="B85" s="2" t="s">
        <x:v>323</x:v>
      </x:c>
      <x:c r="C85" s="2" t="s">
        <x:v>257</x:v>
      </x:c>
      <x:c r="D85" s="2">
        <x:v>4</x:v>
      </x:c>
      <x:c r="E85" s="2"/>
      <x:c r="F85" s="2" t="s">
        <x:v>313</x:v>
      </x:c>
      <x:c r="G85" s="2"/>
      <x:c r="H85" s="2"/>
    </x:row>
    <x:row r="86" ht="71.25">
      <x:c r="A86" s="2" t="s">
        <x:v>324</x:v>
      </x:c>
      <x:c r="B86" s="2" t="s">
        <x:v>325</x:v>
      </x:c>
      <x:c r="C86" s="2" t="s">
        <x:v>257</x:v>
      </x:c>
      <x:c r="D86" s="2">
        <x:v>6</x:v>
      </x:c>
      <x:c r="E86" s="2"/>
      <x:c r="F86" s="2" t="s">
        <x:v>313</x:v>
      </x:c>
      <x:c r="G86" s="2"/>
      <x:c r="H86" s="2"/>
    </x:row>
    <x:row r="87" ht="28.5">
      <x:c r="A87" s="2" t="s">
        <x:v>326</x:v>
      </x:c>
      <x:c r="B87" s="2" t="s">
        <x:v>327</x:v>
      </x:c>
      <x:c r="C87" s="2" t="s">
        <x:v>328</x:v>
      </x:c>
      <x:c r="D87" s="2">
        <x:v>10</x:v>
      </x:c>
      <x:c r="E87" s="2"/>
      <x:c r="F87" s="2" t="s">
        <x:v>329</x:v>
      </x:c>
      <x:c r="G87" s="2"/>
      <x:c r="H87" s="2"/>
    </x:row>
    <x:row r="88" ht="28.5">
      <x:c r="A88" s="2" t="s">
        <x:v>330</x:v>
      </x:c>
      <x:c r="B88" s="2" t="s">
        <x:v>331</x:v>
      </x:c>
      <x:c r="C88" s="2" t="s">
        <x:v>328</x:v>
      </x:c>
      <x:c r="D88" s="2">
        <x:v>10</x:v>
      </x:c>
      <x:c r="E88" s="2"/>
      <x:c r="F88" s="2" t="s">
        <x:v>329</x:v>
      </x:c>
      <x:c r="G88" s="2"/>
      <x:c r="H88" s="2"/>
    </x:row>
    <x:row r="89" ht="57">
      <x:c r="A89" s="2" t="s">
        <x:v>332</x:v>
      </x:c>
      <x:c r="B89" s="2" t="s">
        <x:v>333</x:v>
      </x:c>
      <x:c r="C89" s="2" t="s">
        <x:v>334</x:v>
      </x:c>
      <x:c r="D89" s="2">
        <x:v>12</x:v>
      </x:c>
      <x:c r="E89" s="2"/>
      <x:c r="F89" s="2" t="s">
        <x:v>335</x:v>
      </x:c>
      <x:c r="G89" s="2"/>
      <x:c r="H89" s="2"/>
    </x:row>
  </x:sheetData>
  <x:mergeCells>
    <x:mergeCell ref="A1:H1"/>
  </x:mergeCells>
  <x:pageMargins left="0.7" right="0.7" top="0.75" bottom="0.75" header="0.3" footer="0.3"/>
  <x:tableParts count="1">
    <x:tablePart xmlns:r="http://schemas.openxmlformats.org/officeDocument/2006/relationships" r:id="Re3ecde5d40ac4d1f"/>
  </x:tableParts>
</x:worksheet>
</file>

<file path=xl/worksheets/sheet8.xml><?xml version="1.0" encoding="utf-8"?>
<x:worksheet xmlns:x="http://schemas.openxmlformats.org/spreadsheetml/2006/main">
  <x:sheetFormatPr defaultRowHeight="14.25"/>
  <x:cols>
    <x:col min="1" max="1" width="24" hidden="0" customWidth="1"/>
    <x:col min="2" max="2" width="72" hidden="0" customWidth="1"/>
    <x:col min="3" max="3" width="62" hidden="0" customWidth="1"/>
    <x:col min="4" max="6" width="10" customWidth="1"/>
  </x:cols>
  <x:sheetData>
    <x:row r="1" ht="32" customHeight="1">
      <x:c r="A1" s="144" t="str">
        <x:v>Execution Governance — v2.23.0</x:v>
      </x:c>
      <x:c r="B1" s="144"/>
      <x:c r="C1" s="144"/>
      <x:c r="D1" s="29"/>
      <x:c r="E1" s="29"/>
      <x:c r="F1" s="29"/>
      <x:c r="G1"/>
      <x:c r="H1"/>
      <x:c r="I1"/>
      <x:c r="J1"/>
      <x:c r="K1"/>
      <x:c r="L1"/>
    </x:row>
    <x:row r="2" ht="32" customHeight="1">
      <x:c r="A2" s="123" t="str">
        <x:v>Rule</x:v>
      </x:c>
      <x:c r="B2" s="123" t="str">
        <x:v>Current authority</x:v>
      </x:c>
      <x:c r="C2" s="123" t="str">
        <x:v>Rationale</x:v>
      </x:c>
      <x:c r="D2" s="2"/>
      <x:c r="E2" s="2"/>
      <x:c r="F2" s="2"/>
      <x:c r="G2"/>
      <x:c r="H2"/>
      <x:c r="I2"/>
      <x:c r="J2"/>
      <x:c r="K2"/>
      <x:c r="L2"/>
    </x:row>
    <x:row r="3" ht="32" customHeight="1">
      <x:c r="A3" s="114" t="str">
        <x:v>Functional authority</x:v>
      </x:c>
      <x:c r="B3" s="114" t="str">
        <x:v>Six full Design Chapters v4.10.3</x:v>
      </x:c>
      <x:c r="C3" s="114" t="str">
        <x:v>Current approved technical contracts</x:v>
      </x:c>
      <x:c r="D3" s="1"/>
      <x:c r="E3" s="1"/>
      <x:c r="F3" s="1"/>
      <x:c r="G3"/>
      <x:c r="H3"/>
      <x:c r="I3"/>
      <x:c r="J3"/>
      <x:c r="K3"/>
      <x:c r="L3"/>
    </x:row>
    <x:row r="4" ht="32" customHeight="1">
      <x:c r="A4" s="113" t="str">
        <x:v>Visual authority</x:v>
      </x:c>
      <x:c r="B4" s="113" t="str">
        <x:v>Integrated Chapter 3/4 visual sections and illustrated Word</x:v>
      </x:c>
      <x:c r="C4" s="113" t="str">
        <x:v>Derived visual arrangements; no standalone seventh functional authority or companion file.</x:v>
      </x:c>
      <x:c r="D4" s="2"/>
      <x:c r="E4" s="2"/>
      <x:c r="F4" s="2"/>
      <x:c r="G4"/>
      <x:c r="H4"/>
      <x:c r="I4"/>
      <x:c r="J4"/>
      <x:c r="K4"/>
      <x:c r="L4"/>
    </x:row>
    <x:row r="5" ht="32" customHeight="1">
      <x:c r="A5" s="113" t="str">
        <x:v>Execution authority</x:v>
      </x:c>
      <x:c r="B5" s="113" t="str">
        <x:v>Backlog sheet v2.23.0</x:v>
      </x:c>
      <x:c r="C5" s="113" t="str">
        <x:v>Single active task truth; generated sheets derive from it</x:v>
      </x:c>
      <x:c r="D5" s="2"/>
      <x:c r="E5" s="2"/>
      <x:c r="F5" s="2"/>
      <x:c r="G5"/>
      <x:c r="H5"/>
      <x:c r="I5"/>
      <x:c r="J5"/>
      <x:c r="K5"/>
      <x:c r="L5"/>
    </x:row>
    <x:row r="6" ht="32" customHeight="1">
      <x:c r="A6" s="113" t="str">
        <x:v>M2</x:v>
      </x:c>
      <x:c r="B6" s="113" t="str">
        <x:v>Real Day-1 bounded customer production</x:v>
      </x:c>
      <x:c r="C6" s="113" t="str">
        <x:v>Correctness, source limits, cancellation, replay and isolation do not move to M3</x:v>
      </x:c>
      <x:c r="D6" s="2"/>
      <x:c r="E6" s="2"/>
      <x:c r="F6" s="2"/>
      <x:c r="G6"/>
      <x:c r="H6"/>
      <x:c r="I6"/>
      <x:c r="J6"/>
      <x:c r="K6"/>
      <x:c r="L6"/>
    </x:row>
    <x:row r="7" ht="32" customHeight="1">
      <x:c r="A7" s="113" t="str">
        <x:v>M3</x:v>
      </x:c>
      <x:c r="B7" s="113" t="str">
        <x:v>Advanced model invocation and heavy chunk/scan mechanisms</x:v>
      </x:c>
      <x:c r="C7" s="113" t="str">
        <x:v>Owner-approved T-246/T-110 placement; final target retained</x:v>
      </x:c>
      <x:c r="D7" s="2"/>
      <x:c r="E7" s="2"/>
      <x:c r="F7" s="2"/>
      <x:c r="G7"/>
      <x:c r="H7"/>
      <x:c r="I7"/>
      <x:c r="J7"/>
      <x:c r="K7"/>
      <x:c r="L7"/>
    </x:row>
    <x:row r="8" ht="32" customHeight="1">
      <x:c r="A8" s="113" t="str">
        <x:v>Merges</x:v>
      </x:c>
      <x:c r="B8" s="113" t="str">
        <x:v>T-105→T-104; T-111→T-110/T-155/T-159</x:v>
      </x:c>
      <x:c r="C8" s="113" t="str">
        <x:v>Acceptance retained, reverse references regenerated</x:v>
      </x:c>
      <x:c r="D8" s="2"/>
      <x:c r="E8" s="2"/>
      <x:c r="F8" s="2"/>
      <x:c r="G8"/>
      <x:c r="H8"/>
      <x:c r="I8"/>
      <x:c r="J8"/>
      <x:c r="K8"/>
      <x:c r="L8"/>
    </x:row>
    <x:row r="9" ht="32" customHeight="1">
      <x:c r="A9" s="113" t="str">
        <x:v>New rows</x:v>
      </x:c>
      <x:c r="B9" s="113" t="str">
        <x:v>T-262 projection declaration; T-263 reports; T-264 benchmarking</x:v>
      </x:c>
      <x:c r="C9" s="113" t="str">
        <x:v>Official under owner's update instruction</x:v>
      </x:c>
      <x:c r="D9" s="2"/>
      <x:c r="E9" s="2"/>
      <x:c r="F9" s="2"/>
      <x:c r="G9"/>
      <x:c r="H9"/>
      <x:c r="I9"/>
      <x:c r="J9"/>
      <x:c r="K9"/>
      <x:c r="L9"/>
    </x:row>
    <x:row r="10" ht="32" customHeight="1">
      <x:c r="A10" s="113" t="str">
        <x:v>Status</x:v>
      </x:c>
      <x:c r="B10" s="113" t="str">
        <x:v>Done evidence preserved; source-present/newly extended work not auto-closed</x:v>
      </x:c>
      <x:c r="C10" s="113" t="str">
        <x:v>No fabricated commits or runtime proof</x:v>
      </x:c>
      <x:c r="D10" s="2"/>
      <x:c r="E10" s="2"/>
      <x:c r="F10" s="2"/>
      <x:c r="G10"/>
      <x:c r="H10"/>
      <x:c r="I10"/>
      <x:c r="J10"/>
      <x:c r="K10"/>
      <x:c r="L10"/>
    </x:row>
    <x:row r="11" ht="32" customHeight="1">
      <x:c r="A11" s="113" t="str">
        <x:v>Estimates</x:v>
      </x:c>
      <x:c r="B11" s="113" t="str">
        <x:v>New rows unestimated; widened inherited estimates flagged</x:v>
      </x:c>
      <x:c r="C11" s="113" t="str">
        <x:v>Known-hour totals are not delivery forecasts</x:v>
      </x:c>
      <x:c r="D11" s="2"/>
      <x:c r="E11" s="2"/>
      <x:c r="F11" s="2"/>
      <x:c r="G11"/>
      <x:c r="H11"/>
      <x:c r="I11"/>
      <x:c r="J11"/>
      <x:c r="K11"/>
      <x:c r="L11"/>
    </x:row>
    <x:row r="12" ht="32" customHeight="1">
      <x:c r="A12" s="113" t="str">
        <x:v>Tests</x:v>
      </x:c>
      <x:c r="B12" s="113" t="str">
        <x:v>Targeted suites, isolated DBs, negative controls; never silent green skips</x:v>
      </x:c>
      <x:c r="C12" s="113" t="str">
        <x:v>Evidence lives with the acceptance it proves</x:v>
      </x:c>
      <x:c r="D12" s="2"/>
      <x:c r="E12" s="2"/>
      <x:c r="F12" s="2"/>
      <x:c r="G12"/>
      <x:c r="H12"/>
      <x:c r="I12"/>
      <x:c r="J12"/>
      <x:c r="K12"/>
      <x:c r="L12"/>
    </x:row>
    <x:row r="13" ht="32" customHeight="1">
      <x:c r="A13" s="113" t="str">
        <x:v>Filename law</x:v>
      </x:c>
      <x:c r="B13" s="113" t="str">
        <x:v>No task ID in implementation filenames</x:v>
      </x:c>
      <x:c r="C13" s="113" t="str">
        <x:v>Task IDs allowed in backlog/commit/evidence descriptions</x:v>
      </x:c>
      <x:c r="D13" s="2"/>
      <x:c r="E13" s="2"/>
      <x:c r="F13" s="2"/>
      <x:c r="G13"/>
      <x:c r="H13"/>
      <x:c r="I13"/>
      <x:c r="J13"/>
      <x:c r="K13"/>
      <x:c r="L13"/>
    </x:row>
    <x:row r="14" ht="32" customHeight="1">
      <x:c r="A14" s="113" t="str">
        <x:v>Compatibility</x:v>
      </x:c>
      <x:c r="B14" s="113" t="str">
        <x:v>No delete-first retirement</x:v>
      </x:c>
      <x:c r="C14" s="113" t="str">
        <x:v>Migrate consumers and preserve historical meaning</x:v>
      </x:c>
      <x:c r="D14" s="2"/>
      <x:c r="E14" s="2"/>
      <x:c r="F14" s="2"/>
      <x:c r="G14"/>
      <x:c r="H14"/>
      <x:c r="I14"/>
      <x:c r="J14"/>
      <x:c r="K14"/>
      <x:c r="L14"/>
    </x:row>
    <x:row r="15" ht="32" customHeight="1">
      <x:c r="A15" s="113" t="str">
        <x:v>Source safety</x:v>
      </x:c>
      <x:c r="B15" s="113" t="str">
        <x:v>Single effective load budget, stricter configured ceilings cannot be bypassed</x:v>
      </x:c>
      <x:c r="C15" s="113" t="str">
        <x:v>Policy applies to incremental and one-shot reads</x:v>
      </x:c>
      <x:c r="D15" s="2"/>
      <x:c r="E15" s="2"/>
      <x:c r="F15" s="2"/>
      <x:c r="G15"/>
      <x:c r="H15"/>
      <x:c r="I15"/>
      <x:c r="J15"/>
      <x:c r="K15"/>
      <x:c r="L15"/>
    </x:row>
    <x:row r="16" ht="32" customHeight="1">
      <x:c r="A16" s="113" t="str">
        <x:v>Dependencies</x:v>
      </x:c>
      <x:c r="B16" s="113" t="str">
        <x:v>Depends On is canonical; Must Precede derived</x:v>
      </x:c>
      <x:c r="C16" s="113" t="str">
        <x:v>Separate contract-ready handoffs from runtime closure</x:v>
      </x:c>
      <x:c r="D16"/>
      <x:c r="E16"/>
      <x:c r="F16"/>
      <x:c r="G16"/>
      <x:c r="H16"/>
      <x:c r="I16"/>
      <x:c r="J16"/>
      <x:c r="K16"/>
      <x:c r="L16"/>
    </x:row>
    <x:row r="17" ht="32" customHeight="1">
      <x:c r="A17" s="113" t="str">
        <x:v>Version policy</x:v>
      </x:c>
      <x:c r="B17" s="113" t="str">
        <x:v>Only meaningful authority changes increment backlog release</x:v>
      </x:c>
      <x:c r="C17" s="113" t="str">
        <x:v>Small status/evidence corrections update in place</x:v>
      </x:c>
      <x:c r="D17"/>
      <x:c r="E17"/>
      <x:c r="F17"/>
      <x:c r="G17"/>
      <x:c r="H17"/>
      <x:c r="I17"/>
      <x:c r="J17"/>
      <x:c r="K17"/>
      <x:c r="L17"/>
    </x:row>
    <x:row r="18" ht="32" customHeight="1">
      <x:c r="A18" s="113" t="str">
        <x:v>Historical sheets</x:v>
      </x:c>
      <x:c r="B18" s="113" t="str">
        <x:v>v220 / verified/commit ledgers are historical evidence</x:v>
      </x:c>
      <x:c r="C18" s="113" t="str">
        <x:v>They do not override active Backlog statuses</x:v>
      </x:c>
      <x:c r="D18"/>
      <x:c r="E18"/>
      <x:c r="F18"/>
      <x:c r="G18"/>
      <x:c r="H18"/>
      <x:c r="I18"/>
      <x:c r="J18"/>
      <x:c r="K18"/>
      <x:c r="L18"/>
    </x:row>
    <x:row r="19" ht="28.5">
      <x:c r="A19" s="2" t="s">
        <x:v>336</x:v>
      </x:c>
      <x:c r="B19" s="2" t="s">
        <x:v>337</x:v>
      </x:c>
      <x:c r="C19" s="2" t="s">
        <x:v>338</x:v>
      </x:c>
    </x:row>
    <x:row r="20" ht="28.5">
      <x:c r="A20" s="2" t="s">
        <x:v>339</x:v>
      </x:c>
      <x:c r="B20" s="2" t="s">
        <x:v>340</x:v>
      </x:c>
      <x:c r="C20" s="2" t="s">
        <x:v>341</x:v>
      </x:c>
    </x:row>
    <x:row r="21" ht="28.5">
      <x:c r="A21" s="2" t="s">
        <x:v>342</x:v>
      </x:c>
      <x:c r="B21" s="2" t="s">
        <x:v>343</x:v>
      </x:c>
      <x:c r="C21" s="2" t="s">
        <x:v>344</x:v>
      </x:c>
    </x:row>
    <x:row r="22" ht="42.75">
      <x:c r="A22" s="2" t="s">
        <x:v>345</x:v>
      </x:c>
      <x:c r="B22" s="2" t="s">
        <x:v>346</x:v>
      </x:c>
      <x:c r="C22" s="2" t="s">
        <x:v>347</x:v>
      </x:c>
    </x:row>
    <x:row r="23" ht="57">
      <x:c r="A23" s="2" t="s">
        <x:v>348</x:v>
      </x:c>
      <x:c r="B23" s="2" t="s">
        <x:v>349</x:v>
      </x:c>
      <x:c r="C23" s="2" t="s">
        <x:v>350</x:v>
      </x:c>
    </x:row>
    <x:row r="24" ht="42.75">
      <x:c r="A24" s="2" t="s">
        <x:v>351</x:v>
      </x:c>
      <x:c r="B24" s="2" t="str">
        <x:v>Superseded wording: T-259 owns envelope v1; T-252/T-257 produce; T-227 owns scorecard/policy; T-150 aggregates. See rule below.</x:v>
      </x:c>
      <x:c r="C24" s="2" t="s">
        <x:v>352</x:v>
      </x:c>
    </x:row>
    <x:row r="25" ht="42.75">
      <x:c r="A25" s="2" t="s">
        <x:v>353</x:v>
      </x:c>
      <x:c r="B25" s="2" t="s">
        <x:v>354</x:v>
      </x:c>
      <x:c r="C25" s="2" t="s">
        <x:v>355</x:v>
      </x:c>
    </x:row>
    <x:row r="26" ht="42.75">
      <x:c r="A26" s="2" t="s">
        <x:v>356</x:v>
      </x:c>
      <x:c r="B26" s="2" t="s">
        <x:v>357</x:v>
      </x:c>
      <x:c r="C26" s="2" t="s">
        <x:v>358</x:v>
      </x:c>
    </x:row>
    <x:row r="27" ht="57">
      <x:c r="A27" s="2" t="s">
        <x:v>359</x:v>
      </x:c>
      <x:c r="B27" s="2" t="s">
        <x:v>360</x:v>
      </x:c>
      <x:c r="C27" s="2" t="s">
        <x:v>361</x:v>
      </x:c>
    </x:row>
    <x:row r="28" ht="42.75">
      <x:c r="A28" s="2" t="s">
        <x:v>362</x:v>
      </x:c>
      <x:c r="B28" s="2" t="s">
        <x:v>363</x:v>
      </x:c>
      <x:c r="C28" s="2" t="s">
        <x:v>364</x:v>
      </x:c>
    </x:row>
    <x:row r="29" ht="42.75">
      <x:c r="A29" s="2" t="s">
        <x:v>365</x:v>
      </x:c>
      <x:c r="B29" s="2" t="s">
        <x:v>366</x:v>
      </x:c>
      <x:c r="C29" s="2" t="s">
        <x:v>367</x:v>
      </x:c>
    </x:row>
    <x:row r="30" ht="57">
      <x:c r="A30" s="2" t="s">
        <x:v>368</x:v>
      </x:c>
      <x:c r="B30" s="2" t="s">
        <x:v>369</x:v>
      </x:c>
      <x:c r="C30" s="2" t="s">
        <x:v>370</x:v>
      </x:c>
    </x:row>
    <x:row r="31" ht="42.75">
      <x:c r="A31" s="2" t="s">
        <x:v>371</x:v>
      </x:c>
      <x:c r="B31" s="2" t="s">
        <x:v>372</x:v>
      </x:c>
      <x:c r="C31" s="2" t="s">
        <x:v>373</x:v>
      </x:c>
    </x:row>
    <x:row r="32" ht="57">
      <x:c r="A32" s="2" t="s">
        <x:v>374</x:v>
      </x:c>
      <x:c r="B32" s="2" t="s">
        <x:v>375</x:v>
      </x:c>
      <x:c r="C32" s="2" t="s">
        <x:v>376</x:v>
      </x:c>
    </x:row>
    <x:row r="33" ht="42.75">
      <x:c r="A33" s="2" t="s">
        <x:v>377</x:v>
      </x:c>
      <x:c r="B33" s="2" t="s">
        <x:v>378</x:v>
      </x:c>
      <x:c r="C33" s="2" t="s">
        <x:v>379</x:v>
      </x:c>
    </x:row>
    <x:row r="34" ht="42.75">
      <x:c r="A34" s="2" t="s">
        <x:v>380</x:v>
      </x:c>
      <x:c r="B34" s="2" t="s">
        <x:v>381</x:v>
      </x:c>
      <x:c r="C34" s="2" t="s">
        <x:v>382</x:v>
      </x:c>
    </x:row>
    <x:row r="35" ht="42.75">
      <x:c r="A35" s="2" t="s">
        <x:v>383</x:v>
      </x:c>
      <x:c r="B35" s="2" t="s">
        <x:v>384</x:v>
      </x:c>
      <x:c r="C35" s="2" t="s">
        <x:v>385</x:v>
      </x:c>
    </x:row>
    <x:row r="37" ht="78" customHeight="1">
      <x:c r="A37" s="101" t="str">
        <x:v>Book file boundary</x:v>
      </x:c>
      <x:c r="B37" s="101" t="str">
        <x:v>Exactly 14 files in PPIQ_Definition.md</x:v>
      </x:c>
      <x:c r="C37" s="101" t="str">
        <x:v>Insert new information in its existing document/worksheet home; no new top-level file for a review, acceptance, manifest, handoff or UI atlas.</x:v>
      </x:c>
    </x:row>
  </x:sheetData>
  <x:mergeCells>
    <x:mergeCell ref="A1:F1"/>
  </x:mergeCells>
  <x:pageMargins left="0.7" right="0.7" top="0.75" bottom="0.75" header="0.3" footer="0.3"/>
</x:worksheet>
</file>

<file path=xl/worksheets/sheet9.xml><?xml version="1.0" encoding="utf-8"?>
<x:worksheet xmlns:x="http://schemas.openxmlformats.org/spreadsheetml/2006/main">
  <x:sheetFormatPr defaultRowHeight="14.25"/>
  <x:cols>
    <x:col min="1" max="1" width="29" hidden="0" customWidth="1"/>
    <x:col min="2" max="2" width="118" hidden="0" customWidth="1"/>
  </x:cols>
  <x:sheetData>
    <x:row r="1" ht="32" customHeight="1">
      <x:c r="A1" s="133" t="str">
        <x:v>Method and Notes — v2.22.1</x:v>
      </x:c>
      <x:c r="B1" s="133"/>
      <x:c r="C1" s="33"/>
      <x:c r="D1" s="33"/>
      <x:c r="E1" s="33"/>
      <x:c r="F1" s="33"/>
      <x:c r="G1"/>
      <x:c r="H1"/>
      <x:c r="I1"/>
      <x:c r="J1"/>
      <x:c r="K1"/>
      <x:c r="L1"/>
    </x:row>
    <x:row r="2" ht="32" customHeight="1">
      <x:c r="A2" s="123" t="str">
        <x:v>Topic</x:v>
      </x:c>
      <x:c r="B2" s="123" t="str">
        <x:v>Current rule</x:v>
      </x:c>
      <x:c r="C2"/>
      <x:c r="D2"/>
      <x:c r="E2"/>
      <x:c r="F2"/>
      <x:c r="G2"/>
      <x:c r="H2"/>
      <x:c r="I2"/>
      <x:c r="J2"/>
      <x:c r="K2"/>
      <x:c r="L2"/>
    </x:row>
    <x:row r="3" ht="32" customHeight="1">
      <x:c r="A3" s="127" t="str">
        <x:v>Supersedes</x:v>
      </x:c>
      <x:c r="B3" s="127" t="str">
        <x:v>Supersedes defective delivered v2.22.0; source is v2.21.0 plus task-keyed approved edit data. Historical notes remain archives.</x:v>
      </x:c>
      <x:c r="C3" s="9"/>
      <x:c r="D3" s="9"/>
      <x:c r="E3" s="9"/>
      <x:c r="F3" s="9"/>
      <x:c r="G3"/>
      <x:c r="H3"/>
      <x:c r="I3"/>
      <x:c r="J3"/>
      <x:c r="K3"/>
      <x:c r="L3"/>
    </x:row>
    <x:row r="4" ht="32" customHeight="1">
      <x:c r="A4" s="113" t="str">
        <x:v>Source package</x:v>
      </x:c>
      <x:c r="B4" s="113" t="str">
        <x:v>14-Sep repository export; design v4.10.3; current row amendments approved by owner.</x:v>
      </x:c>
      <x:c r="C4" s="2"/>
      <x:c r="D4" s="2"/>
      <x:c r="E4" s="2"/>
      <x:c r="F4" s="2"/>
      <x:c r="G4"/>
      <x:c r="H4"/>
      <x:c r="I4"/>
      <x:c r="J4"/>
      <x:c r="K4"/>
      <x:c r="L4"/>
    </x:row>
    <x:row r="5" ht="32" customHeight="1">
      <x:c r="A5" s="113" t="str">
        <x:v>T-106 boundary</x:v>
      </x:c>
      <x:c r="B5" s="113" t="str">
        <x:v>Orchestration tested with registered fake executor; does not wait for T-261/T-107 closure. T-107 deepens admission, T-261 commissions Transformation execution.</x:v>
      </x:c>
      <x:c r="C5" s="2"/>
      <x:c r="D5" s="2"/>
      <x:c r="E5" s="2"/>
      <x:c r="F5" s="2"/>
      <x:c r="G5"/>
      <x:c r="H5"/>
      <x:c r="I5"/>
      <x:c r="J5"/>
      <x:c r="K5"/>
      <x:c r="L5"/>
    </x:row>
    <x:row r="6" ht="32" customHeight="1">
      <x:c r="A6" s="113" t="str">
        <x:v>T-243 / T-262 boundary</x:v>
      </x:c>
      <x:c r="B6" s="113" t="str">
        <x:v>T-243 owns saved-board lifecycle and relationship publication; T-262 owns declared field-binding contract; no private shadow store.</x:v>
      </x:c>
      <x:c r="C6" s="2"/>
      <x:c r="D6" s="2"/>
      <x:c r="E6" s="2"/>
      <x:c r="F6" s="2"/>
      <x:c r="G6"/>
      <x:c r="H6"/>
      <x:c r="I6"/>
      <x:c r="J6"/>
      <x:c r="K6"/>
      <x:c r="L6"/>
    </x:row>
    <x:row r="7" ht="32" customHeight="1">
      <x:c r="A7" s="113" t="str">
        <x:v>T-104 / T-261 boundary</x:v>
      </x:c>
      <x:c r="B7" s="113" t="str">
        <x:v>T-261 executes exact immutable definition; T-104 proves persisted row provenance/version stamping and absorbed T-105 replay/rollback semantics.</x:v>
      </x:c>
      <x:c r="C7" s="2"/>
      <x:c r="D7" s="2"/>
      <x:c r="E7" s="2"/>
      <x:c r="F7" s="2"/>
      <x:c r="G7"/>
      <x:c r="H7"/>
      <x:c r="I7"/>
      <x:c r="J7"/>
      <x:c r="K7"/>
      <x:c r="L7"/>
    </x:row>
    <x:row r="8" ht="32" customHeight="1">
      <x:c r="A8" s="113" t="str">
        <x:v>T-108 / T-110 boundary</x:v>
      </x:c>
      <x:c r="B8" s="113" t="str">
        <x:v>M2: total-order ingestion, source limits, replay, stage delta. M3: advanced chunk receipts/parallel checkpoint/merge/scan mechanism.</x:v>
      </x:c>
      <x:c r="C8" s="2"/>
      <x:c r="D8" s="2"/>
      <x:c r="E8" s="2"/>
      <x:c r="F8" s="2"/>
      <x:c r="G8"/>
      <x:c r="H8"/>
      <x:c r="I8"/>
      <x:c r="J8"/>
      <x:c r="K8"/>
      <x:c r="L8"/>
    </x:row>
    <x:row r="9" ht="32" customHeight="1">
      <x:c r="A9" s="113" t="str">
        <x:v>Scope versus feature truth</x:v>
      </x:c>
      <x:c r="B9" s="113" t="str">
        <x:v>Moving advanced implementation to M3 cannot advertise it executable in M2. Required active-path safeguards still pass release-profile proof.</x:v>
      </x:c>
      <x:c r="C9" s="2"/>
      <x:c r="D9" s="2"/>
      <x:c r="E9" s="2"/>
      <x:c r="F9" s="2"/>
      <x:c r="G9"/>
      <x:c r="H9"/>
      <x:c r="I9"/>
      <x:c r="J9"/>
      <x:c r="K9"/>
      <x:c r="L9"/>
    </x:row>
    <x:row r="10" ht="32" customHeight="1">
      <x:c r="A10" s="113" t="str">
        <x:v>UI design scope</x:v>
      </x:c>
      <x:c r="B10" s="113" t="str">
        <x:v>Full target product visual inventory includes M3 surfaces. Presence of a Figma frame is not implementation evidence.</x:v>
      </x:c>
      <x:c r="C10" s="2"/>
      <x:c r="D10" s="2"/>
      <x:c r="E10" s="2"/>
      <x:c r="F10" s="2"/>
      <x:c r="G10"/>
      <x:c r="H10"/>
      <x:c r="I10"/>
      <x:c r="J10"/>
      <x:c r="K10"/>
      <x:c r="L10"/>
    </x:row>
    <x:row r="11" ht="32" customHeight="1">
      <x:c r="A11" s="113" t="str">
        <x:v>External baseline dependencies</x:v>
      </x:c>
      <x:c r="B11" s="113" t="str">
        <x:v>T-032, T-035, T-036, T-057, T-064 remain historical baseline prerequisites; their original acceptance records are not regenerated here.</x:v>
      </x:c>
      <x:c r="C11" s="2"/>
      <x:c r="D11" s="2"/>
      <x:c r="E11" s="2"/>
      <x:c r="F11" s="2"/>
      <x:c r="G11"/>
      <x:c r="H11"/>
      <x:c r="I11"/>
      <x:c r="J11"/>
      <x:c r="K11"/>
      <x:c r="L11"/>
    </x:row>
    <x:row r="12" ht="32" customHeight="1">
      <x:c r="A12" s="113" t="str">
        <x:v>Content preservation</x:v>
      </x:c>
      <x:c r="B12" s="113" t="str">
        <x:v>All original task columns retained. Every changed cell recorded with before/after; retired task definitions retained.</x:v>
      </x:c>
      <x:c r="C12"/>
      <x:c r="D12"/>
      <x:c r="E12"/>
      <x:c r="F12"/>
      <x:c r="G12"/>
      <x:c r="H12"/>
      <x:c r="I12"/>
      <x:c r="J12"/>
      <x:c r="K12"/>
      <x:c r="L12"/>
    </x:row>
    <x:row r="13" ht="32" customHeight="1">
      <x:c r="A13" s="113" t="str">
        <x:v>No invented date</x:v>
      </x:c>
      <x:c r="B13" s="113" t="str">
        <x:v>M2 approx. one month from owner's planning checkpoint; M3 45 days later. Historical dates in logs are not new promises.</x:v>
      </x:c>
      <x:c r="C13"/>
      <x:c r="D13"/>
      <x:c r="E13"/>
      <x:c r="F13"/>
      <x:c r="G13"/>
      <x:c r="H13"/>
      <x:c r="I13"/>
      <x:c r="J13"/>
      <x:c r="K13"/>
      <x:c r="L13"/>
    </x:row>
    <x:row r="14" ht="28.5">
      <x:c r="A14" s="2" t="s">
        <x:v>386</x:v>
      </x:c>
      <x:c r="B14" s="2" t="s">
        <x:v>387</x:v>
      </x:c>
    </x:row>
    <x:row r="15" ht="28.5">
      <x:c r="A15" s="2" t="s">
        <x:v>388</x:v>
      </x:c>
      <x:c r="B15" s="2" t="s">
        <x:v>389</x:v>
      </x:c>
    </x:row>
    <x:row r="16" ht="28.5">
      <x:c r="A16" s="2" t="s">
        <x:v>390</x:v>
      </x:c>
      <x:c r="B16" s="2" t="str">
        <x:v>T-259 owns Release Evidence Envelope v1; T-252/T-257 are producers, T-227 scorecard/policy and T-150 aggregation. Supersedes old T-227 schema-ownership wording.</x:v>
      </x:c>
    </x:row>
    <x:row r="17" ht="28.5">
      <x:c r="A17" s="2" t="s">
        <x:v>391</x:v>
      </x:c>
      <x:c r="B17" s="2" t="s">
        <x:v>392</x:v>
      </x:c>
    </x:row>
    <x:row r="18" ht="28.5">
      <x:c r="A18" s="2" t="s">
        <x:v>393</x:v>
      </x:c>
      <x:c r="B18" s="2" t="s">
        <x:v>394</x:v>
      </x:c>
    </x:row>
    <x:row r="19" ht="28.5">
      <x:c r="A19" s="2" t="s">
        <x:v>395</x:v>
      </x:c>
      <x:c r="B19" s="2" t="str">
        <x:v>Historical 08-Sep checkpoint superseded. Current Backlog records T-243 In Progress/source-present; not automatically closed. T-253 accepted work remains preserved.</x:v>
      </x:c>
    </x:row>
    <x:row r="20" ht="28.5">
      <x:c r="A20" s="2" t="s">
        <x:v>396</x:v>
      </x:c>
      <x:c r="B20" s="2" t="s">
        <x:v>397</x:v>
      </x:c>
    </x:row>
    <x:row r="21" ht="28.5">
      <x:c r="A21" s="2" t="s">
        <x:v>398</x:v>
      </x:c>
      <x:c r="B21" s="2" t="s">
        <x:v>399</x:v>
      </x:c>
    </x:row>
    <x:row r="22" ht="28.5">
      <x:c r="A22" s="2" t="s">
        <x:v>400</x:v>
      </x:c>
      <x:c r="B22" s="2" t="s">
        <x:v>401</x:v>
      </x:c>
    </x:row>
    <x:row r="23" ht="28.5">
      <x:c r="A23" s="2" t="s">
        <x:v>402</x:v>
      </x:c>
      <x:c r="B23" s="2" t="s">
        <x:v>403</x:v>
      </x:c>
    </x:row>
    <x:row r="24" ht="42.75">
      <x:c r="A24" s="2" t="s">
        <x:v>404</x:v>
      </x:c>
      <x:c r="B24" s="2" t="s">
        <x:v>405</x:v>
      </x:c>
    </x:row>
    <x:row r="25" ht="85" customHeight="1">
      <x:c r="A25" s="2" t="str">
        <x:v>T-148 dependency types</x:v>
      </x:c>
      <x:c r="B25" s="101" t="str">
        <x:v>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x:v>
      </x:c>
    </x:row>
    <x:row r="26" ht="42.75">
      <x:c r="A26" s="2" t="s">
        <x:v>406</x:v>
      </x:c>
      <x:c r="B26" s="2" t="s">
        <x:v>407</x:v>
      </x:c>
    </x:row>
    <x:row r="27" ht="28.5">
      <x:c r="A27" s="2" t="s">
        <x:v>408</x:v>
      </x:c>
      <x:c r="B27" s="2" t="s">
        <x:v>409</x:v>
      </x:c>
    </x:row>
    <x:row r="28" ht="28.5">
      <x:c r="A28" s="2" t="s">
        <x:v>410</x:v>
      </x:c>
      <x:c r="B28" s="2" t="s">
        <x:v>411</x:v>
      </x:c>
    </x:row>
    <x:row r="29" ht="28.5">
      <x:c r="A29" s="2" t="s">
        <x:v>412</x:v>
      </x:c>
      <x:c r="B29" s="2" t="s">
        <x:v>413</x:v>
      </x:c>
    </x:row>
    <x:row r="30" ht="28.5">
      <x:c r="A30" s="2" t="s">
        <x:v>414</x:v>
      </x:c>
      <x:c r="B30" s="2" t="s">
        <x:v>415</x:v>
      </x:c>
    </x:row>
    <x:row r="31" ht="28.5">
      <x:c r="A31" s="2" t="s">
        <x:v>416</x:v>
      </x:c>
      <x:c r="B31" s="2" t="s">
        <x:v>417</x:v>
      </x:c>
    </x:row>
    <x:row r="32" ht="28.5">
      <x:c r="A32" s="2" t="s">
        <x:v>418</x:v>
      </x:c>
      <x:c r="B32" s="2" t="s">
        <x:v>419</x:v>
      </x:c>
    </x:row>
    <x:row r="33" ht="28.5">
      <x:c r="A33" s="2" t="s">
        <x:v>420</x:v>
      </x:c>
      <x:c r="B33" s="2" t="s">
        <x:v>421</x:v>
      </x:c>
    </x:row>
    <x:row r="34">
      <x:c r="A34" t="s">
        <x:v>422</x:v>
      </x:c>
      <x:c r="B34" t="s">
        <x:v>423</x:v>
      </x:c>
    </x:row>
    <x:row r="35">
      <x:c r="A35" t="s">
        <x:v>424</x:v>
      </x:c>
      <x:c r="B35" t="s">
        <x:v>425</x:v>
      </x:c>
    </x:row>
    <x:row r="36">
      <x:c r="A36" t="s">
        <x:v>426</x:v>
      </x:c>
      <x:c r="B36" t="s">
        <x:v>427</x:v>
      </x:c>
    </x:row>
    <x:row r="37">
      <x:c r="A37" t="s">
        <x:v>428</x:v>
      </x:c>
      <x:c r="B37" t="s">
        <x:v>429</x:v>
      </x:c>
    </x:row>
    <x:row r="38">
      <x:c r="A38" t="s">
        <x:v>430</x:v>
      </x:c>
      <x:c r="B38" t="str">
        <x:v>Backlog, Current Authority and current generated views are v2.22.1. v220 summaries and Prior/Retired/previous-revision sheets are immutable historical snapshots.</x:v>
      </x:c>
    </x:row>
    <x:row r="39">
      <x:c r="A39" t="str">
        <x:v>Keyed write law</x:v>
      </x:c>
      <x:c r="B39" s="101" t="str">
        <x:v>Task ID, never row offset, joins baseline/change-data to Backlog. Must Precede is the exact inverse of current active Depends On.</x:v>
      </x:c>
    </x:row>
    <x:row r="40">
      <x:c r="A40" t="str">
        <x:v>Acceptance order vs contract</x:v>
      </x:c>
      <x:c r="B40" s="101" t="str">
        <x:v>M records completion prerequisites; AN records contract-only handoffs. No M3 implementation completion is hidden as an M2 contract dependency.</x:v>
      </x:c>
    </x:row>
    <x:row r="41">
      <x:c r="A41" t="str">
        <x:v>T-099 evidence</x:v>
      </x:c>
      <x:c r="B41" s="101" t="str">
        <x:v>Owner-provided final runner report in this conversation, received 14-Sep-2026; not independently rerun or verified against a live Git checkout here. Live acceptance 49/49; catalogue 5/5; owned contract 19/19; cleanup 6/6, survivors 0. Gate O: 900 = 899 passed + 1 exact inherited DefinitionKind RED; 900 unique testId and executionId. Exact staging/byte boundary passed; cleanup before one semantic commit. Task closure GREEN, not release-wide GREEN; canonical replay limitations remain separately tracked.</x:v>
      </x:c>
    </x:row>
    <x:row r="42">
      <x:c r="A42" t="str">
        <x:v>T-262 state</x:v>
      </x:c>
      <x:c r="B42" s="101" t="str">
        <x:v>In Progress is the execution category. Evidence state is SOURCE PRESENT / UNCLOSED. No commit timestamp or successful closure is invented.</x:v>
      </x:c>
    </x:row>
    <x:row r="43">
      <x:c r="A43" t="str">
        <x:v>B4 monitoring owner</x:v>
      </x:c>
      <x:c r="B43" s="101" t="str">
        <x:v>T-101 (Worker 2) owns UI; T-125 (Worker 1) owns operational API/metrics. T-106 owns status truth. T-247 certifies the joined path.</x:v>
      </x:c>
    </x:row>
    <x:row r="44">
      <x:c r="A44" t="str">
        <x:v>Backend test hygiene</x:v>
      </x:c>
      <x:c r="B44" s="101" t="str">
        <x:v>T-115 owns reproduce-then-fix follow-up for T-210 fixture, historical BOM issues and inherited DefinitionKind assertion. Release DB-fixture skips remain zero.</x:v>
      </x:c>
    </x:row>
    <x:row r="45">
      <x:c r="A45" t="str">
        <x:v>Re-estimation</x:v>
      </x:c>
      <x:c r="B45" s="101" t="str">
        <x:v>T-106 16h and T-108 8h are archived, not current totals. Their P80 values are also withdrawn; blank means unknown, not zero.</x:v>
      </x:c>
    </x:row>
    <x:row r="46">
      <x:c r="A46" t="str">
        <x:v>Repair validation</x:v>
      </x:c>
      <x:c r="B46" s="101" t="str">
        <x:v>After save, independently parse Backlog cells from OOXML, recompute the graph, compare derived cached/formula values, test self-edges/cycles/releases/retirements and estimate flags.</x:v>
      </x:c>
    </x:row>
    <x:row r="47">
      <x:c r="A47" t="str">
        <x:v>Capability links</x:v>
      </x:c>
      <x:c r="B47" t="str">
        <x:v>Secondary Capability Links is generated from Backlog column AC. Regenerate membership on mapping edits; status/release cells remain keyed formulas. Validator compares every pair against Backlog.</x:v>
      </x:c>
    </x:row>
  </x:sheetData>
  <x:mergeCells>
    <x:mergeCell ref="A1:F1"/>
  </x:mergeCells>
  <x:pageMargins left="0.7" right="0.7" top="0.75" bottom="0.75" header="0.3" footer="0.3"/>
</x:worksheet>
</file>

<file path=xl/worksheets/sheet10.xml><?xml version="1.0" encoding="utf-8"?>
<x:worksheet xmlns:x="http://schemas.openxmlformats.org/spreadsheetml/2006/main">
  <x:sheetFormatPr defaultRowHeight="14.25"/>
  <x:cols>
    <x:col min="1" max="1" width="10" customWidth="1"/>
    <x:col min="2" max="2" width="8" customWidth="1"/>
    <x:col min="3" max="3" width="12" customWidth="1"/>
    <x:col min="4" max="4" width="52" customWidth="1"/>
    <x:col min="5" max="5" width="58" customWidth="1"/>
    <x:col min="6" max="6" width="15" customWidth="1"/>
    <x:col min="7" max="7" width="40" customWidth="1"/>
    <x:col min="8" max="8" width="34" customWidth="1"/>
    <x:col min="9" max="9" width="60" customWidth="1"/>
  </x:cols>
  <x:sheetData>
    <x:row r="1" ht="30">
      <x:c r="A1" s="9" t="s">
        <x:v>431</x:v>
      </x:c>
      <x:c r="B1" s="9" t="s">
        <x:v>432</x:v>
      </x:c>
      <x:c r="C1" s="9" t="s">
        <x:v>433</x:v>
      </x:c>
      <x:c r="D1" s="9" t="s">
        <x:v>434</x:v>
      </x:c>
      <x:c r="E1" s="9" t="s">
        <x:v>435</x:v>
      </x:c>
      <x:c r="F1" s="9" t="s">
        <x:v>436</x:v>
      </x:c>
      <x:c r="G1" s="9" t="s">
        <x:v>437</x:v>
      </x:c>
      <x:c r="H1" s="9" t="s">
        <x:v>438</x:v>
      </x:c>
      <x:c r="I1" s="9" t="s">
        <x:v>439</x:v>
      </x:c>
    </x:row>
    <x:row r="2" ht="28.5">
      <x:c r="A2" s="2" t="s">
        <x:v>440</x:v>
      </x:c>
      <x:c r="B2" s="2" t="s">
        <x:v>441</x:v>
      </x:c>
      <x:c r="C2" s="2" t="s">
        <x:v>442</x:v>
      </x:c>
      <x:c r="D2" s="2" t="s">
        <x:v>443</x:v>
      </x:c>
      <x:c r="E2" s="2" t="s">
        <x:v>444</x:v>
      </x:c>
      <x:c r="F2" s="10">
        <x:v>46259</x:v>
      </x:c>
      <x:c r="G2" s="2" t="s">
        <x:v>445</x:v>
      </x:c>
      <x:c r="H2" s="2" t="s">
        <x:v>446</x:v>
      </x:c>
      <x:c r="I2" s="2" t="s">
        <x:v>447</x:v>
      </x:c>
    </x:row>
    <x:row r="3" ht="28.5">
      <x:c r="A3" s="2" t="s">
        <x:v>448</x:v>
      </x:c>
      <x:c r="B3" s="2" t="s">
        <x:v>441</x:v>
      </x:c>
      <x:c r="C3" s="2" t="s">
        <x:v>442</x:v>
      </x:c>
      <x:c r="D3" s="2" t="s">
        <x:v>449</x:v>
      </x:c>
      <x:c r="E3" s="2"/>
      <x:c r="F3" s="10">
        <x:v>46262</x:v>
      </x:c>
      <x:c r="G3" s="2" t="s">
        <x:v>450</x:v>
      </x:c>
      <x:c r="H3" s="2" t="s">
        <x:v>451</x:v>
      </x:c>
      <x:c r="I3" s="2" t="s">
        <x:v>452</x:v>
      </x:c>
    </x:row>
    <x:row r="4" ht="28.5">
      <x:c r="A4" s="2" t="s">
        <x:v>453</x:v>
      </x:c>
      <x:c r="B4" s="2" t="s">
        <x:v>441</x:v>
      </x:c>
      <x:c r="C4" s="2" t="s">
        <x:v>442</x:v>
      </x:c>
      <x:c r="D4" s="2" t="s">
        <x:v>454</x:v>
      </x:c>
      <x:c r="E4" s="2" t="s">
        <x:v>455</x:v>
      </x:c>
      <x:c r="F4" s="10">
        <x:v>46260</x:v>
      </x:c>
      <x:c r="G4" s="2" t="s">
        <x:v>456</x:v>
      </x:c>
      <x:c r="H4" s="2" t="s">
        <x:v>446</x:v>
      </x:c>
      <x:c r="I4" s="2" t="s">
        <x:v>457</x:v>
      </x:c>
    </x:row>
    <x:row r="5">
      <x:c r="A5" s="2" t="s">
        <x:v>458</x:v>
      </x:c>
      <x:c r="B5" s="2" t="s">
        <x:v>441</x:v>
      </x:c>
      <x:c r="C5" s="2" t="s">
        <x:v>442</x:v>
      </x:c>
      <x:c r="D5" s="2" t="s">
        <x:v>459</x:v>
      </x:c>
      <x:c r="E5" s="2"/>
      <x:c r="F5" s="10"/>
      <x:c r="G5" s="2" t="s">
        <x:v>460</x:v>
      </x:c>
      <x:c r="H5" s="2" t="s">
        <x:v>451</x:v>
      </x:c>
      <x:c r="I5" s="2" t="s">
        <x:v>461</x:v>
      </x:c>
    </x:row>
    <x:row r="6">
      <x:c r="A6" s="2" t="s">
        <x:v>462</x:v>
      </x:c>
      <x:c r="B6" s="2" t="s">
        <x:v>441</x:v>
      </x:c>
      <x:c r="C6" s="2" t="s">
        <x:v>442</x:v>
      </x:c>
      <x:c r="D6" s="2" t="s">
        <x:v>463</x:v>
      </x:c>
      <x:c r="E6" s="2"/>
      <x:c r="F6" s="10"/>
      <x:c r="G6" s="2" t="s">
        <x:v>460</x:v>
      </x:c>
      <x:c r="H6" s="2" t="s">
        <x:v>464</x:v>
      </x:c>
      <x:c r="I6" s="2" t="s">
        <x:v>465</x:v>
      </x:c>
    </x:row>
    <x:row r="7">
      <x:c r="A7" s="2" t="s">
        <x:v>466</x:v>
      </x:c>
      <x:c r="B7" s="2" t="s">
        <x:v>441</x:v>
      </x:c>
      <x:c r="C7" s="2" t="s">
        <x:v>442</x:v>
      </x:c>
      <x:c r="D7" s="2" t="s">
        <x:v>467</x:v>
      </x:c>
      <x:c r="E7" s="2"/>
      <x:c r="F7" s="10"/>
      <x:c r="G7" s="2" t="s">
        <x:v>460</x:v>
      </x:c>
      <x:c r="H7" s="2" t="s">
        <x:v>464</x:v>
      </x:c>
      <x:c r="I7" s="2" t="s">
        <x:v>468</x:v>
      </x:c>
    </x:row>
    <x:row r="8" ht="28.5">
      <x:c r="A8" s="2" t="s">
        <x:v>469</x:v>
      </x:c>
      <x:c r="B8" s="2" t="s">
        <x:v>441</x:v>
      </x:c>
      <x:c r="C8" s="2" t="s">
        <x:v>442</x:v>
      </x:c>
      <x:c r="D8" s="2" t="s">
        <x:v>470</x:v>
      </x:c>
      <x:c r="E8" s="2"/>
      <x:c r="F8" s="10">
        <x:v>46267</x:v>
      </x:c>
      <x:c r="G8" s="2" t="s">
        <x:v>471</x:v>
      </x:c>
      <x:c r="H8" s="2" t="s">
        <x:v>472</x:v>
      </x:c>
      <x:c r="I8" s="2" t="s">
        <x:v>473</x:v>
      </x:c>
    </x:row>
    <x:row r="9">
      <x:c r="A9" s="2" t="s">
        <x:v>474</x:v>
      </x:c>
      <x:c r="B9" s="2" t="s">
        <x:v>441</x:v>
      </x:c>
      <x:c r="C9" s="2" t="s">
        <x:v>442</x:v>
      </x:c>
      <x:c r="D9" s="2" t="s">
        <x:v>475</x:v>
      </x:c>
      <x:c r="E9" s="2" t="s">
        <x:v>476</x:v>
      </x:c>
      <x:c r="F9" s="10">
        <x:v>46268</x:v>
      </x:c>
      <x:c r="G9" s="2" t="s">
        <x:v>477</x:v>
      </x:c>
      <x:c r="H9" s="2" t="s">
        <x:v>478</x:v>
      </x:c>
      <x:c r="I9" s="2" t="s">
        <x:v>479</x:v>
      </x:c>
    </x:row>
    <x:row r="10" ht="28.5">
      <x:c r="A10" s="2" t="s">
        <x:v>480</x:v>
      </x:c>
      <x:c r="B10" s="2" t="s">
        <x:v>441</x:v>
      </x:c>
      <x:c r="C10" s="2" t="s">
        <x:v>442</x:v>
      </x:c>
      <x:c r="D10" s="2" t="s">
        <x:v>481</x:v>
      </x:c>
      <x:c r="E10" s="2" t="s">
        <x:v>482</x:v>
      </x:c>
      <x:c r="F10" s="10">
        <x:v>46272</x:v>
      </x:c>
      <x:c r="G10" s="2" t="s">
        <x:v>483</x:v>
      </x:c>
      <x:c r="H10" s="2" t="s">
        <x:v>484</x:v>
      </x:c>
      <x:c r="I10" s="2" t="s">
        <x:v>485</x:v>
      </x:c>
    </x:row>
    <x:row r="11" ht="28.5">
      <x:c r="A11" s="2" t="s">
        <x:v>486</x:v>
      </x:c>
      <x:c r="B11" s="2" t="s">
        <x:v>487</x:v>
      </x:c>
      <x:c r="C11" s="2" t="s">
        <x:v>442</x:v>
      </x:c>
      <x:c r="D11" s="2" t="s">
        <x:v>488</x:v>
      </x:c>
      <x:c r="E11" s="2"/>
      <x:c r="F11" s="10">
        <x:v>46272</x:v>
      </x:c>
      <x:c r="G11" s="2" t="s">
        <x:v>489</x:v>
      </x:c>
      <x:c r="H11" s="2" t="s">
        <x:v>490</x:v>
      </x:c>
      <x:c r="I11" s="2" t="s">
        <x:v>491</x:v>
      </x:c>
    </x:row>
    <x:row r="12" ht="28.5">
      <x:c r="A12" s="2" t="s">
        <x:v>492</x:v>
      </x:c>
      <x:c r="B12" s="2" t="s">
        <x:v>487</x:v>
      </x:c>
      <x:c r="C12" s="2" t="s">
        <x:v>442</x:v>
      </x:c>
      <x:c r="D12" s="2" t="s">
        <x:v>493</x:v>
      </x:c>
      <x:c r="E12" s="2" t="s">
        <x:v>494</x:v>
      </x:c>
      <x:c r="F12" s="10">
        <x:v>46273</x:v>
      </x:c>
      <x:c r="G12" s="2" t="s">
        <x:v>495</x:v>
      </x:c>
      <x:c r="H12" s="2" t="s">
        <x:v>478</x:v>
      </x:c>
      <x:c r="I12" s="2" t="s">
        <x:v>479</x:v>
      </x:c>
    </x:row>
    <x:row r="13">
      <x:c r="A13" s="2" t="s">
        <x:v>496</x:v>
      </x:c>
      <x:c r="B13" s="2" t="s">
        <x:v>487</x:v>
      </x:c>
      <x:c r="C13" s="2" t="s">
        <x:v>442</x:v>
      </x:c>
      <x:c r="D13" s="2" t="s">
        <x:v>497</x:v>
      </x:c>
      <x:c r="E13" s="2" t="s">
        <x:v>498</x:v>
      </x:c>
      <x:c r="F13" s="10">
        <x:v>46273</x:v>
      </x:c>
      <x:c r="G13" s="2" t="s">
        <x:v>499</x:v>
      </x:c>
      <x:c r="H13" s="2" t="s">
        <x:v>478</x:v>
      </x:c>
      <x:c r="I13" s="2" t="s">
        <x:v>500</x:v>
      </x:c>
    </x:row>
    <x:row r="14" ht="28.5">
      <x:c r="A14" s="2" t="s">
        <x:v>501</x:v>
      </x:c>
      <x:c r="B14" s="2" t="s">
        <x:v>502</x:v>
      </x:c>
      <x:c r="C14" s="2" t="s">
        <x:v>503</x:v>
      </x:c>
      <x:c r="D14" s="2" t="s">
        <x:v>504</x:v>
      </x:c>
      <x:c r="E14" s="2" t="s">
        <x:v>505</x:v>
      </x:c>
      <x:c r="F14" s="10"/>
      <x:c r="G14" s="2" t="s">
        <x:v>506</x:v>
      </x:c>
      <x:c r="H14" s="2" t="s">
        <x:v>472</x:v>
      </x:c>
      <x:c r="I14" s="2" t="s">
        <x:v>507</x:v>
      </x:c>
    </x:row>
    <x:row r="15" ht="28.5">
      <x:c r="A15" s="2" t="s">
        <x:v>508</x:v>
      </x:c>
      <x:c r="B15" s="2" t="s">
        <x:v>502</x:v>
      </x:c>
      <x:c r="C15" s="2" t="s">
        <x:v>503</x:v>
      </x:c>
      <x:c r="D15" s="2" t="s">
        <x:v>509</x:v>
      </x:c>
      <x:c r="E15" s="2" t="s">
        <x:v>510</x:v>
      </x:c>
      <x:c r="F15" s="10">
        <x:v>46247</x:v>
      </x:c>
      <x:c r="G15" s="2" t="s">
        <x:v>511</x:v>
      </x:c>
      <x:c r="H15" s="2" t="s">
        <x:v>446</x:v>
      </x:c>
      <x:c r="I15" s="2" t="s">
        <x:v>512</x:v>
      </x:c>
    </x:row>
    <x:row r="16">
      <x:c r="A16" s="2" t="s">
        <x:v>513</x:v>
      </x:c>
      <x:c r="B16" s="2" t="s">
        <x:v>502</x:v>
      </x:c>
      <x:c r="C16" s="2" t="s">
        <x:v>503</x:v>
      </x:c>
      <x:c r="D16" s="2" t="s">
        <x:v>514</x:v>
      </x:c>
      <x:c r="E16" s="2" t="s">
        <x:v>515</x:v>
      </x:c>
      <x:c r="F16" s="10">
        <x:v>46249</x:v>
      </x:c>
      <x:c r="G16" s="2" t="s">
        <x:v>516</x:v>
      </x:c>
      <x:c r="H16" s="2" t="s">
        <x:v>446</x:v>
      </x:c>
      <x:c r="I16" s="2" t="s">
        <x:v>517</x:v>
      </x:c>
    </x:row>
    <x:row r="17" ht="28.5">
      <x:c r="A17" s="2" t="s">
        <x:v>518</x:v>
      </x:c>
      <x:c r="B17" s="2" t="s">
        <x:v>502</x:v>
      </x:c>
      <x:c r="C17" s="2" t="s">
        <x:v>503</x:v>
      </x:c>
      <x:c r="D17" s="2" t="s">
        <x:v>519</x:v>
      </x:c>
      <x:c r="E17" s="2" t="s">
        <x:v>520</x:v>
      </x:c>
      <x:c r="F17" s="10"/>
      <x:c r="G17" s="2" t="s">
        <x:v>506</x:v>
      </x:c>
      <x:c r="H17" s="2" t="s">
        <x:v>521</x:v>
      </x:c>
      <x:c r="I17" s="2" t="s">
        <x:v>522</x:v>
      </x:c>
    </x:row>
    <x:row r="18" ht="28.5">
      <x:c r="A18" s="2" t="s">
        <x:v>523</x:v>
      </x:c>
      <x:c r="B18" s="2" t="s">
        <x:v>502</x:v>
      </x:c>
      <x:c r="C18" s="2" t="s">
        <x:v>503</x:v>
      </x:c>
      <x:c r="D18" s="2" t="s">
        <x:v>524</x:v>
      </x:c>
      <x:c r="E18" s="2" t="s">
        <x:v>525</x:v>
      </x:c>
      <x:c r="F18" s="10">
        <x:v>46249</x:v>
      </x:c>
      <x:c r="G18" s="2" t="s">
        <x:v>516</x:v>
      </x:c>
      <x:c r="H18" s="2" t="s">
        <x:v>446</x:v>
      </x:c>
      <x:c r="I18" s="2" t="s">
        <x:v>526</x:v>
      </x:c>
    </x:row>
    <x:row r="19">
      <x:c r="A19" s="2" t="s">
        <x:v>527</x:v>
      </x:c>
      <x:c r="B19" s="2" t="s">
        <x:v>502</x:v>
      </x:c>
      <x:c r="C19" s="2" t="s">
        <x:v>503</x:v>
      </x:c>
      <x:c r="D19" s="2" t="s">
        <x:v>528</x:v>
      </x:c>
      <x:c r="E19" s="2" t="s">
        <x:v>529</x:v>
      </x:c>
      <x:c r="F19" s="10">
        <x:v>46249</x:v>
      </x:c>
      <x:c r="G19" s="2" t="s">
        <x:v>516</x:v>
      </x:c>
      <x:c r="H19" s="2" t="s">
        <x:v>446</x:v>
      </x:c>
      <x:c r="I19" s="2" t="s">
        <x:v>530</x:v>
      </x:c>
    </x:row>
    <x:row r="20">
      <x:c r="A20" s="2" t="s">
        <x:v>531</x:v>
      </x:c>
      <x:c r="B20" s="2" t="s">
        <x:v>502</x:v>
      </x:c>
      <x:c r="C20" s="2" t="s">
        <x:v>503</x:v>
      </x:c>
      <x:c r="D20" s="2" t="s">
        <x:v>532</x:v>
      </x:c>
      <x:c r="E20" s="2" t="s">
        <x:v>533</x:v>
      </x:c>
      <x:c r="F20" s="10">
        <x:v>46249</x:v>
      </x:c>
      <x:c r="G20" s="2" t="s">
        <x:v>516</x:v>
      </x:c>
      <x:c r="H20" s="2" t="s">
        <x:v>446</x:v>
      </x:c>
      <x:c r="I20" s="2" t="s">
        <x:v>534</x:v>
      </x:c>
    </x:row>
    <x:row r="21" ht="28.5">
      <x:c r="A21" s="2" t="s">
        <x:v>535</x:v>
      </x:c>
      <x:c r="B21" s="2" t="s">
        <x:v>502</x:v>
      </x:c>
      <x:c r="C21" s="2" t="s">
        <x:v>503</x:v>
      </x:c>
      <x:c r="D21" s="2" t="s">
        <x:v>536</x:v>
      </x:c>
      <x:c r="E21" s="2" t="s">
        <x:v>537</x:v>
      </x:c>
      <x:c r="F21" s="10">
        <x:v>46249</x:v>
      </x:c>
      <x:c r="G21" s="2" t="s">
        <x:v>538</x:v>
      </x:c>
      <x:c r="H21" s="2" t="s">
        <x:v>446</x:v>
      </x:c>
      <x:c r="I21" s="2" t="s">
        <x:v>539</x:v>
      </x:c>
    </x:row>
    <x:row r="22" ht="42.75">
      <x:c r="A22" s="2" t="s">
        <x:v>540</x:v>
      </x:c>
      <x:c r="B22" s="2" t="s">
        <x:v>502</x:v>
      </x:c>
      <x:c r="C22" s="2" t="s">
        <x:v>503</x:v>
      </x:c>
      <x:c r="D22" s="2" t="s">
        <x:v>541</x:v>
      </x:c>
      <x:c r="E22" s="2" t="s">
        <x:v>542</x:v>
      </x:c>
      <x:c r="F22" s="10">
        <x:v>46249</x:v>
      </x:c>
      <x:c r="G22" s="2" t="s">
        <x:v>543</x:v>
      </x:c>
      <x:c r="H22" s="2" t="s">
        <x:v>544</x:v>
      </x:c>
      <x:c r="I22" s="2" t="s">
        <x:v>545</x:v>
      </x:c>
    </x:row>
    <x:row r="23">
      <x:c r="A23" s="2" t="s">
        <x:v>546</x:v>
      </x:c>
      <x:c r="B23" s="2" t="s">
        <x:v>502</x:v>
      </x:c>
      <x:c r="C23" s="2" t="s">
        <x:v>503</x:v>
      </x:c>
      <x:c r="D23" s="2" t="s">
        <x:v>547</x:v>
      </x:c>
      <x:c r="E23" s="2" t="s">
        <x:v>548</x:v>
      </x:c>
      <x:c r="F23" s="10"/>
      <x:c r="G23" s="2" t="s">
        <x:v>506</x:v>
      </x:c>
      <x:c r="H23" s="2" t="s">
        <x:v>549</x:v>
      </x:c>
      <x:c r="I23" s="2" t="s">
        <x:v>550</x:v>
      </x:c>
    </x:row>
    <x:row r="24" ht="28.5">
      <x:c r="A24" s="2" t="s">
        <x:v>551</x:v>
      </x:c>
      <x:c r="B24" s="2" t="s">
        <x:v>502</x:v>
      </x:c>
      <x:c r="C24" s="2" t="s">
        <x:v>503</x:v>
      </x:c>
      <x:c r="D24" s="2" t="s">
        <x:v>552</x:v>
      </x:c>
      <x:c r="E24" s="2" t="s">
        <x:v>553</x:v>
      </x:c>
      <x:c r="F24" s="10">
        <x:v>46250</x:v>
      </x:c>
      <x:c r="G24" s="2" t="s">
        <x:v>554</x:v>
      </x:c>
      <x:c r="H24" s="2" t="s">
        <x:v>544</x:v>
      </x:c>
      <x:c r="I24" s="2" t="s">
        <x:v>555</x:v>
      </x:c>
    </x:row>
    <x:row r="25">
      <x:c r="A25" s="2" t="s">
        <x:v>556</x:v>
      </x:c>
      <x:c r="B25" s="2" t="s">
        <x:v>502</x:v>
      </x:c>
      <x:c r="C25" s="2" t="s">
        <x:v>503</x:v>
      </x:c>
      <x:c r="D25" s="2" t="s">
        <x:v>557</x:v>
      </x:c>
      <x:c r="E25" s="2" t="s">
        <x:v>558</x:v>
      </x:c>
      <x:c r="F25" s="10">
        <x:v>46250</x:v>
      </x:c>
      <x:c r="G25" s="2" t="s">
        <x:v>559</x:v>
      </x:c>
      <x:c r="H25" s="2" t="s">
        <x:v>446</x:v>
      </x:c>
      <x:c r="I25" s="2" t="s">
        <x:v>560</x:v>
      </x:c>
    </x:row>
    <x:row r="26" ht="28.5">
      <x:c r="A26" s="2" t="s">
        <x:v>561</x:v>
      </x:c>
      <x:c r="B26" s="2" t="s">
        <x:v>502</x:v>
      </x:c>
      <x:c r="C26" s="2" t="s">
        <x:v>503</x:v>
      </x:c>
      <x:c r="D26" s="2" t="s">
        <x:v>562</x:v>
      </x:c>
      <x:c r="E26" s="2" t="s">
        <x:v>563</x:v>
      </x:c>
      <x:c r="F26" s="10">
        <x:v>46250</x:v>
      </x:c>
      <x:c r="G26" s="2" t="s">
        <x:v>511</x:v>
      </x:c>
      <x:c r="H26" s="2" t="s">
        <x:v>478</x:v>
      </x:c>
      <x:c r="I26" s="2" t="s">
        <x:v>564</x:v>
      </x:c>
    </x:row>
    <x:row r="27" ht="15">
      <x:c r="A27" s="2" t="s">
        <x:v>565</x:v>
      </x:c>
      <x:c r="B27" s="2" t="s">
        <x:v>502</x:v>
      </x:c>
      <x:c r="C27" s="2" t="s">
        <x:v>503</x:v>
      </x:c>
      <x:c r="D27" s="2" t="s">
        <x:v>566</x:v>
      </x:c>
      <x:c r="E27" s="2" t="s">
        <x:v>567</x:v>
      </x:c>
      <x:c r="F27" s="10">
        <x:v>46250</x:v>
      </x:c>
      <x:c r="G27" s="2" t="s">
        <x:v>568</x:v>
      </x:c>
      <x:c r="H27" s="2" t="s">
        <x:v>569</x:v>
      </x:c>
      <x:c r="I27" s="2" t="s">
        <x:v>570</x:v>
      </x:c>
    </x:row>
    <x:row r="28" ht="28.5">
      <x:c r="A28" s="2" t="s">
        <x:v>565</x:v>
      </x:c>
      <x:c r="B28" s="2" t="s">
        <x:v>502</x:v>
      </x:c>
      <x:c r="C28" s="2" t="s">
        <x:v>503</x:v>
      </x:c>
      <x:c r="D28" s="2" t="s">
        <x:v>571</x:v>
      </x:c>
      <x:c r="E28" s="2" t="s">
        <x:v>572</x:v>
      </x:c>
      <x:c r="F28" s="10">
        <x:v>46250</x:v>
      </x:c>
      <x:c r="G28" s="2" t="s">
        <x:v>538</x:v>
      </x:c>
      <x:c r="H28" s="2" t="s">
        <x:v>478</x:v>
      </x:c>
      <x:c r="I28" s="2" t="s">
        <x:v>573</x:v>
      </x:c>
    </x:row>
    <x:row r="29" ht="42.75">
      <x:c r="A29" s="2" t="s">
        <x:v>574</x:v>
      </x:c>
      <x:c r="B29" s="2" t="s">
        <x:v>441</x:v>
      </x:c>
      <x:c r="C29" s="2" t="s">
        <x:v>442</x:v>
      </x:c>
      <x:c r="D29" s="2" t="s">
        <x:v>575</x:v>
      </x:c>
      <x:c r="E29" s="2" t="s">
        <x:v>576</x:v>
      </x:c>
      <x:c r="F29" s="10">
        <x:v>46258</x:v>
      </x:c>
      <x:c r="G29" s="2" t="s">
        <x:v>577</x:v>
      </x:c>
      <x:c r="H29" s="2" t="s">
        <x:v>578</x:v>
      </x:c>
      <x:c r="I29" s="2" t="s">
        <x:v>579</x:v>
      </x:c>
    </x:row>
    <x:row r="30" ht="28.5">
      <x:c r="A30" s="2" t="s">
        <x:v>580</x:v>
      </x:c>
      <x:c r="B30" s="2" t="s">
        <x:v>441</x:v>
      </x:c>
      <x:c r="C30" s="2" t="s">
        <x:v>581</x:v>
      </x:c>
      <x:c r="D30" s="2" t="s">
        <x:v>582</x:v>
      </x:c>
      <x:c r="E30" s="2" t="s">
        <x:v>583</x:v>
      </x:c>
      <x:c r="F30" s="10">
        <x:v>46259</x:v>
      </x:c>
      <x:c r="G30" s="2" t="s">
        <x:v>584</x:v>
      </x:c>
      <x:c r="H30" s="2" t="s">
        <x:v>446</x:v>
      </x:c>
      <x:c r="I30" s="2" t="s">
        <x:v>585</x:v>
      </x:c>
    </x:row>
    <x:row r="31">
      <x:c r="A31" s="2" t="s">
        <x:v>586</x:v>
      </x:c>
      <x:c r="B31" s="2" t="s">
        <x:v>441</x:v>
      </x:c>
      <x:c r="C31" s="2" t="s">
        <x:v>581</x:v>
      </x:c>
      <x:c r="D31" s="2" t="s">
        <x:v>587</x:v>
      </x:c>
      <x:c r="E31" s="2" t="s">
        <x:v>588</x:v>
      </x:c>
      <x:c r="F31" s="10">
        <x:v>46259</x:v>
      </x:c>
      <x:c r="G31" s="2" t="s">
        <x:v>511</x:v>
      </x:c>
      <x:c r="H31" s="2" t="s">
        <x:v>446</x:v>
      </x:c>
      <x:c r="I31" s="2" t="s">
        <x:v>589</x:v>
      </x:c>
    </x:row>
    <x:row r="32" ht="28.5">
      <x:c r="A32" s="2" t="s">
        <x:v>590</x:v>
      </x:c>
      <x:c r="B32" s="2" t="s">
        <x:v>441</x:v>
      </x:c>
      <x:c r="C32" s="2" t="s">
        <x:v>581</x:v>
      </x:c>
      <x:c r="D32" s="2" t="s">
        <x:v>591</x:v>
      </x:c>
      <x:c r="E32" s="2"/>
      <x:c r="F32" s="10">
        <x:v>46265</x:v>
      </x:c>
      <x:c r="G32" s="2" t="s">
        <x:v>592</x:v>
      </x:c>
      <x:c r="H32" s="2" t="s">
        <x:v>593</x:v>
      </x:c>
      <x:c r="I32" s="2" t="s">
        <x:v>594</x:v>
      </x:c>
    </x:row>
    <x:row r="33" ht="28.5">
      <x:c r="A33" s="2" t="s">
        <x:v>595</x:v>
      </x:c>
      <x:c r="B33" s="2" t="s">
        <x:v>441</x:v>
      </x:c>
      <x:c r="C33" s="2" t="s">
        <x:v>581</x:v>
      </x:c>
      <x:c r="D33" s="2" t="s">
        <x:v>596</x:v>
      </x:c>
      <x:c r="E33" s="2" t="s">
        <x:v>597</x:v>
      </x:c>
      <x:c r="F33" s="10">
        <x:v>46264</x:v>
      </x:c>
      <x:c r="G33" s="2" t="s">
        <x:v>598</x:v>
      </x:c>
      <x:c r="H33" s="2" t="s">
        <x:v>599</x:v>
      </x:c>
      <x:c r="I33" s="2" t="s">
        <x:v>600</x:v>
      </x:c>
    </x:row>
    <x:row r="34" ht="28.5">
      <x:c r="A34" s="2" t="s">
        <x:v>601</x:v>
      </x:c>
      <x:c r="B34" s="2" t="s">
        <x:v>441</x:v>
      </x:c>
      <x:c r="C34" s="2" t="s">
        <x:v>602</x:v>
      </x:c>
      <x:c r="D34" s="2" t="s">
        <x:v>603</x:v>
      </x:c>
      <x:c r="E34" s="2" t="s">
        <x:v>604</x:v>
      </x:c>
      <x:c r="F34" s="10"/>
      <x:c r="G34" s="2" t="s">
        <x:v>460</x:v>
      </x:c>
      <x:c r="H34" s="2" t="s">
        <x:v>446</x:v>
      </x:c>
      <x:c r="I34" s="2" t="s">
        <x:v>605</x:v>
      </x:c>
    </x:row>
    <x:row r="35">
      <x:c r="A35" s="2" t="s">
        <x:v>606</x:v>
      </x:c>
      <x:c r="B35" s="2" t="s">
        <x:v>441</x:v>
      </x:c>
      <x:c r="C35" s="2" t="s">
        <x:v>602</x:v>
      </x:c>
      <x:c r="D35" s="2" t="s">
        <x:v>607</x:v>
      </x:c>
      <x:c r="E35" s="2"/>
      <x:c r="F35" s="10">
        <x:v>46259</x:v>
      </x:c>
      <x:c r="G35" s="2" t="s">
        <x:v>608</x:v>
      </x:c>
      <x:c r="H35" s="2" t="s">
        <x:v>464</x:v>
      </x:c>
      <x:c r="I35" s="2" t="s">
        <x:v>609</x:v>
      </x:c>
    </x:row>
    <x:row r="36" ht="28.5">
      <x:c r="A36" s="2" t="s">
        <x:v>610</x:v>
      </x:c>
      <x:c r="B36" s="2" t="s">
        <x:v>441</x:v>
      </x:c>
      <x:c r="C36" s="2" t="s">
        <x:v>442</x:v>
      </x:c>
      <x:c r="D36" s="2" t="s">
        <x:v>611</x:v>
      </x:c>
      <x:c r="E36" s="2"/>
      <x:c r="F36" s="10">
        <x:v>46266</x:v>
      </x:c>
      <x:c r="G36" s="2" t="s">
        <x:v>612</x:v>
      </x:c>
      <x:c r="H36" s="2" t="s">
        <x:v>613</x:v>
      </x:c>
      <x:c r="I36" s="2" t="s">
        <x:v>614</x:v>
      </x:c>
    </x:row>
    <x:row r="37">
      <x:c r="A37" s="2" t="s">
        <x:v>615</x:v>
      </x:c>
      <x:c r="B37" s="2" t="s">
        <x:v>487</x:v>
      </x:c>
      <x:c r="C37" s="2" t="s">
        <x:v>581</x:v>
      </x:c>
      <x:c r="D37" s="2" t="s">
        <x:v>616</x:v>
      </x:c>
      <x:c r="E37" s="2"/>
      <x:c r="F37" s="10">
        <x:v>46265</x:v>
      </x:c>
      <x:c r="G37" s="2" t="s">
        <x:v>617</x:v>
      </x:c>
      <x:c r="H37" s="2" t="s">
        <x:v>490</x:v>
      </x:c>
      <x:c r="I37" s="2" t="s">
        <x:v>618</x:v>
      </x:c>
    </x:row>
    <x:row r="38">
      <x:c r="A38" s="2" t="s">
        <x:v>619</x:v>
      </x:c>
      <x:c r="B38" s="2" t="s">
        <x:v>441</x:v>
      </x:c>
      <x:c r="C38" s="2" t="s">
        <x:v>602</x:v>
      </x:c>
      <x:c r="D38" s="2" t="s">
        <x:v>620</x:v>
      </x:c>
      <x:c r="E38" s="2" t="s">
        <x:v>621</x:v>
      </x:c>
      <x:c r="F38" s="10">
        <x:v>46259</x:v>
      </x:c>
      <x:c r="G38" s="2" t="s">
        <x:v>445</x:v>
      </x:c>
      <x:c r="H38" s="2" t="s">
        <x:v>446</x:v>
      </x:c>
      <x:c r="I38" s="2" t="s">
        <x:v>622</x:v>
      </x:c>
    </x:row>
    <x:row r="39">
      <x:c r="A39" s="2" t="s">
        <x:v>623</x:v>
      </x:c>
      <x:c r="B39" s="2" t="s">
        <x:v>441</x:v>
      </x:c>
      <x:c r="C39" s="2" t="s">
        <x:v>442</x:v>
      </x:c>
      <x:c r="D39" s="2" t="s">
        <x:v>624</x:v>
      </x:c>
      <x:c r="E39" s="2" t="s">
        <x:v>625</x:v>
      </x:c>
      <x:c r="F39" s="10"/>
      <x:c r="G39" s="2" t="s">
        <x:v>460</x:v>
      </x:c>
      <x:c r="H39" s="2" t="s">
        <x:v>478</x:v>
      </x:c>
      <x:c r="I39" s="2" t="s">
        <x:v>626</x:v>
      </x:c>
    </x:row>
    <x:row r="40">
      <x:c r="A40" s="2" t="s">
        <x:v>627</x:v>
      </x:c>
      <x:c r="B40" s="2" t="s">
        <x:v>487</x:v>
      </x:c>
      <x:c r="C40" s="2" t="s">
        <x:v>581</x:v>
      </x:c>
      <x:c r="D40" s="2" t="s">
        <x:v>628</x:v>
      </x:c>
      <x:c r="E40" s="2"/>
      <x:c r="F40" s="10"/>
      <x:c r="G40" s="2" t="s">
        <x:v>460</x:v>
      </x:c>
      <x:c r="H40" s="2" t="s">
        <x:v>464</x:v>
      </x:c>
      <x:c r="I40" s="2" t="s">
        <x:v>629</x:v>
      </x:c>
    </x:row>
    <x:row r="41" ht="57">
      <x:c r="A41" s="2" t="s">
        <x:v>630</x:v>
      </x:c>
      <x:c r="B41" s="2" t="s">
        <x:v>487</x:v>
      </x:c>
      <x:c r="C41" s="2" t="s">
        <x:v>581</x:v>
      </x:c>
      <x:c r="D41" s="2" t="s">
        <x:v>631</x:v>
      </x:c>
      <x:c r="E41" s="2" t="s">
        <x:v>632</x:v>
      </x:c>
      <x:c r="F41" s="10">
        <x:v>46273</x:v>
      </x:c>
      <x:c r="G41" s="2" t="s">
        <x:v>633</x:v>
      </x:c>
      <x:c r="H41" s="2" t="s">
        <x:v>634</x:v>
      </x:c>
      <x:c r="I41" s="2" t="s">
        <x:v>635</x:v>
      </x:c>
    </x:row>
    <x:row r="42" ht="28.5">
      <x:c r="A42" s="2" t="s">
        <x:v>636</x:v>
      </x:c>
      <x:c r="B42" s="2" t="s">
        <x:v>487</x:v>
      </x:c>
      <x:c r="C42" s="2" t="s">
        <x:v>581</x:v>
      </x:c>
      <x:c r="D42" s="2" t="s">
        <x:v>637</x:v>
      </x:c>
      <x:c r="E42" s="2" t="s">
        <x:v>638</x:v>
      </x:c>
      <x:c r="F42" s="10">
        <x:v>46269</x:v>
      </x:c>
      <x:c r="G42" s="2" t="s">
        <x:v>639</x:v>
      </x:c>
      <x:c r="H42" s="2" t="s">
        <x:v>478</x:v>
      </x:c>
      <x:c r="I42" s="2" t="s">
        <x:v>640</x:v>
      </x:c>
    </x:row>
    <x:row r="43">
      <x:c r="A43" s="2" t="s">
        <x:v>641</x:v>
      </x:c>
      <x:c r="B43" s="2" t="s">
        <x:v>441</x:v>
      </x:c>
      <x:c r="C43" s="2" t="s">
        <x:v>581</x:v>
      </x:c>
      <x:c r="D43" s="2" t="s">
        <x:v>642</x:v>
      </x:c>
      <x:c r="E43" s="2" t="s">
        <x:v>643</x:v>
      </x:c>
      <x:c r="F43" s="10">
        <x:v>46264</x:v>
      </x:c>
      <x:c r="G43" s="2" t="s">
        <x:v>511</x:v>
      </x:c>
      <x:c r="H43" s="2" t="s">
        <x:v>446</x:v>
      </x:c>
      <x:c r="I43" s="2" t="s">
        <x:v>644</x:v>
      </x:c>
    </x:row>
    <x:row r="44" ht="110" customHeight="1">
      <x:c r="A44" s="194" t="str">
        <x:v>T-099</x:v>
      </x:c>
      <x:c r="B44" s="194" t="str">
        <x:v>P2</x:v>
      </x:c>
      <x:c r="C44" s="194" t="str">
        <x:v>Worker 1</x:v>
      </x:c>
      <x:c r="D44" s="194" t="str">
        <x:v>ca02b40ea1b69050a45cb35a3e1d64f15b1f66af</x:v>
      </x:c>
      <x:c r="E44" s="194" t="str">
        <x:v>CLOSED GREEN / COMMITTED (owner-reported task closure)</x:v>
      </x:c>
      <x:c r="F44" s="194" t="str">
        <x:v>2026-09-14 — report received; exact Git timestamp not supplied</x:v>
      </x:c>
      <x:c r="G44" s="194" t="str">
        <x:v>Owner message / final runner summary</x:v>
      </x:c>
      <x:c r="H44" s="194" t="str">
        <x:v>Owner-reported measured closure; not independently executed in this repair</x:v>
      </x:c>
      <x:c r="I44" s="194" t="str">
        <x:v>Parent 86e1b677212195f191697ecdca7e9441b3dbde33. Owner-provided final runner report in this conversation, received 14-Sep-2026; not independently rerun or verified against a live Git checkout here. Live acceptance 49/49; catalogue 5/5; owned contract 19/19; cleanup 6/6, survivors 0. Gate O: 900 = 899 passed + 1 exact inherited DefinitionKind RED; 900 unique testId and executionId. Exact staging/byte boundary passed; cleanup before one semantic commit. Task closure GREEN, not release-wide GREEN; canonical replay limitations remain separately tracked.</x:v>
      </x:c>
    </x:row>
  </x:sheetData>
  <x:conditionalFormatting sqref="H2:H43">
    <x:cfRule type="expression" dxfId="7" priority="1">
      <x:formula>LEFT(H2,8)="REJECTED"</x:formula>
    </x:cfRule>
  </x:conditionalFormatting>
  <x:pageMargins left="0.7" right="0.7" top="0.75" bottom="0.75" header="0.3" footer="0.3"/>
  <x:tableParts count="1">
    <x:tablePart xmlns:r="http://schemas.openxmlformats.org/officeDocument/2006/relationships" r:id="R6d7d902d80f54355"/>
  </x:tableParts>
</x:worksheet>
</file>

<file path=xl/worksheets/sheet11.xml><?xml version="1.0" encoding="utf-8"?>
<x:worksheet xmlns:x="http://schemas.openxmlformats.org/spreadsheetml/2006/main">
  <x:sheetFormatPr defaultRowHeight="14.25"/>
  <x:cols>
    <x:col min="1" max="1" width="11" customWidth="1"/>
    <x:col min="2" max="2" width="16" customWidth="1"/>
    <x:col min="3" max="3" width="14" customWidth="1"/>
    <x:col min="4" max="4" width="12" customWidth="1"/>
    <x:col min="5" max="5" width="11" customWidth="1"/>
    <x:col min="6" max="6" width="38" customWidth="1"/>
    <x:col min="7" max="7" width="58" customWidth="1"/>
    <x:col min="8" max="8" width="38" customWidth="1"/>
  </x:cols>
  <x:sheetData>
    <x:row r="1" ht="18">
      <x:c r="A1" s="34" t="str">
        <x:v>Historical revisions through v2.21.0 — see Revision Changes v222 for current applied changes</x:v>
      </x:c>
      <x:c r="B1" s="34"/>
      <x:c r="C1" s="34"/>
      <x:c r="D1" s="34"/>
      <x:c r="E1" s="34"/>
      <x:c r="F1" s="34"/>
      <x:c r="G1" s="34"/>
      <x:c r="H1" s="34"/>
    </x:row>
    <x:row r="2">
      <x:c r="A2" s="2"/>
      <x:c r="B2" s="2"/>
      <x:c r="C2" s="2"/>
      <x:c r="D2" s="2"/>
      <x:c r="E2" s="2"/>
      <x:c r="F2" s="2"/>
      <x:c r="G2" s="2"/>
      <x:c r="H2" s="2"/>
    </x:row>
    <x:row r="3" ht="30">
      <x:c r="A3" s="13" t="s">
        <x:v>645</x:v>
      </x:c>
      <x:c r="B3" s="13" t="s">
        <x:v>646</x:v>
      </x:c>
      <x:c r="C3" s="13" t="s">
        <x:v>647</x:v>
      </x:c>
      <x:c r="D3" s="13" t="s">
        <x:v>648</x:v>
      </x:c>
      <x:c r="E3" s="13" t="s">
        <x:v>649</x:v>
      </x:c>
      <x:c r="F3" s="13" t="s">
        <x:v>9</x:v>
      </x:c>
      <x:c r="G3" s="13" t="s">
        <x:v>650</x:v>
      </x:c>
      <x:c r="H3" s="13" t="s">
        <x:v>651</x:v>
      </x:c>
    </x:row>
    <x:row r="4" ht="28.5">
      <x:c r="A4" s="2" t="s">
        <x:v>652</x:v>
      </x:c>
      <x:c r="B4" s="2" t="s">
        <x:v>653</x:v>
      </x:c>
      <x:c r="C4" s="2" t="s">
        <x:v>654</x:v>
      </x:c>
      <x:c r="D4" s="2" t="s">
        <x:v>581</x:v>
      </x:c>
      <x:c r="E4" s="2" t="s">
        <x:v>655</x:v>
      </x:c>
      <x:c r="F4" s="2" t="s">
        <x:v>656</x:v>
      </x:c>
      <x:c r="G4" s="2" t="s">
        <x:v>657</x:v>
      </x:c>
      <x:c r="H4" s="2" t="s">
        <x:v>658</x:v>
      </x:c>
    </x:row>
    <x:row r="5" ht="28.5">
      <x:c r="A5" s="2" t="s">
        <x:v>652</x:v>
      </x:c>
      <x:c r="B5" s="2" t="s">
        <x:v>659</x:v>
      </x:c>
      <x:c r="C5" s="2" t="s">
        <x:v>654</x:v>
      </x:c>
      <x:c r="D5" s="2" t="s">
        <x:v>581</x:v>
      </x:c>
      <x:c r="E5" s="2" t="s">
        <x:v>655</x:v>
      </x:c>
      <x:c r="F5" s="2" t="s">
        <x:v>660</x:v>
      </x:c>
      <x:c r="G5" s="2" t="s">
        <x:v>661</x:v>
      </x:c>
      <x:c r="H5" s="2" t="s">
        <x:v>662</x:v>
      </x:c>
    </x:row>
    <x:row r="6" ht="28.5">
      <x:c r="A6" s="2" t="s">
        <x:v>652</x:v>
      </x:c>
      <x:c r="B6" s="2" t="s">
        <x:v>663</x:v>
      </x:c>
      <x:c r="C6" s="2" t="s">
        <x:v>664</x:v>
      </x:c>
      <x:c r="D6" s="2" t="s">
        <x:v>602</x:v>
      </x:c>
      <x:c r="E6" s="2" t="s">
        <x:v>665</x:v>
      </x:c>
      <x:c r="F6" s="2" t="s">
        <x:v>666</x:v>
      </x:c>
      <x:c r="G6" s="2" t="s">
        <x:v>667</x:v>
      </x:c>
      <x:c r="H6" s="2" t="s">
        <x:v>668</x:v>
      </x:c>
    </x:row>
    <x:row r="7" ht="28.5">
      <x:c r="A7" s="2" t="s">
        <x:v>652</x:v>
      </x:c>
      <x:c r="B7" s="2" t="s">
        <x:v>669</x:v>
      </x:c>
      <x:c r="C7" s="2" t="s">
        <x:v>670</x:v>
      </x:c>
      <x:c r="D7" s="2" t="s">
        <x:v>442</x:v>
      </x:c>
      <x:c r="E7" s="2" t="s">
        <x:v>671</x:v>
      </x:c>
      <x:c r="F7" s="2" t="s">
        <x:v>672</x:v>
      </x:c>
      <x:c r="G7" s="2" t="s">
        <x:v>673</x:v>
      </x:c>
      <x:c r="H7" s="2" t="s">
        <x:v>674</x:v>
      </x:c>
    </x:row>
    <x:row r="8" ht="28.5">
      <x:c r="A8" s="2" t="s">
        <x:v>652</x:v>
      </x:c>
      <x:c r="B8" s="2" t="s">
        <x:v>675</x:v>
      </x:c>
      <x:c r="C8" s="2" t="s">
        <x:v>664</x:v>
      </x:c>
      <x:c r="D8" s="2" t="s">
        <x:v>581</x:v>
      </x:c>
      <x:c r="E8" s="2" t="s">
        <x:v>655</x:v>
      </x:c>
      <x:c r="F8" s="2" t="s">
        <x:v>676</x:v>
      </x:c>
      <x:c r="G8" s="2" t="s">
        <x:v>677</x:v>
      </x:c>
      <x:c r="H8" s="2" t="s">
        <x:v>678</x:v>
      </x:c>
    </x:row>
    <x:row r="9" ht="42.75">
      <x:c r="A9" s="2" t="s">
        <x:v>679</x:v>
      </x:c>
      <x:c r="B9" s="2" t="s">
        <x:v>332</x:v>
      </x:c>
      <x:c r="C9" s="2" t="s">
        <x:v>664</x:v>
      </x:c>
      <x:c r="D9" s="2" t="s">
        <x:v>442</x:v>
      </x:c>
      <x:c r="E9" s="2" t="s">
        <x:v>680</x:v>
      </x:c>
      <x:c r="F9" s="2" t="s">
        <x:v>681</x:v>
      </x:c>
      <x:c r="G9" s="2" t="s">
        <x:v>682</x:v>
      </x:c>
      <x:c r="H9" s="2" t="s">
        <x:v>683</x:v>
      </x:c>
    </x:row>
    <x:row r="10" ht="28.5">
      <x:c r="A10" s="2" t="s">
        <x:v>684</x:v>
      </x:c>
      <x:c r="B10" s="2" t="s">
        <x:v>685</x:v>
      </x:c>
      <x:c r="C10" s="2" t="s">
        <x:v>686</x:v>
      </x:c>
      <x:c r="D10" s="2" t="s">
        <x:v>442</x:v>
      </x:c>
      <x:c r="E10" s="2" t="s">
        <x:v>687</x:v>
      </x:c>
      <x:c r="F10" s="2" t="s">
        <x:v>688</x:v>
      </x:c>
      <x:c r="G10" s="2" t="s">
        <x:v>689</x:v>
      </x:c>
      <x:c r="H10" s="2" t="s">
        <x:v>690</x:v>
      </x:c>
    </x:row>
    <x:row r="11" ht="28.5">
      <x:c r="A11" s="2" t="s">
        <x:v>691</x:v>
      </x:c>
      <x:c r="B11" s="2" t="s">
        <x:v>692</x:v>
      </x:c>
      <x:c r="C11" s="2" t="s">
        <x:v>654</x:v>
      </x:c>
      <x:c r="D11" s="2" t="s">
        <x:v>581</x:v>
      </x:c>
      <x:c r="E11" s="2" t="s">
        <x:v>687</x:v>
      </x:c>
      <x:c r="F11" s="2" t="s">
        <x:v>693</x:v>
      </x:c>
      <x:c r="G11" s="2" t="s">
        <x:v>694</x:v>
      </x:c>
      <x:c r="H11" s="2" t="s">
        <x:v>695</x:v>
      </x:c>
    </x:row>
    <x:row r="12" ht="28.5">
      <x:c r="A12" s="2" t="s">
        <x:v>696</x:v>
      </x:c>
      <x:c r="B12" s="2" t="s">
        <x:v>697</x:v>
      </x:c>
      <x:c r="C12" s="2" t="s">
        <x:v>654</x:v>
      </x:c>
      <x:c r="D12" s="2" t="s">
        <x:v>602</x:v>
      </x:c>
      <x:c r="E12" s="2" t="s">
        <x:v>698</x:v>
      </x:c>
      <x:c r="F12" s="2" t="s">
        <x:v>699</x:v>
      </x:c>
      <x:c r="G12" s="2" t="s">
        <x:v>700</x:v>
      </x:c>
      <x:c r="H12" s="2" t="s">
        <x:v>701</x:v>
      </x:c>
    </x:row>
    <x:row r="13" ht="28.5">
      <x:c r="A13" s="2" t="s">
        <x:v>696</x:v>
      </x:c>
      <x:c r="B13" s="2" t="s">
        <x:v>702</x:v>
      </x:c>
      <x:c r="C13" s="2" t="s">
        <x:v>654</x:v>
      </x:c>
      <x:c r="D13" s="2" t="s">
        <x:v>602</x:v>
      </x:c>
      <x:c r="E13" s="2" t="s">
        <x:v>698</x:v>
      </x:c>
      <x:c r="F13" s="2" t="s">
        <x:v>703</x:v>
      </x:c>
      <x:c r="G13" s="2" t="s">
        <x:v>704</x:v>
      </x:c>
      <x:c r="H13" s="2" t="s">
        <x:v>705</x:v>
      </x:c>
    </x:row>
    <x:row r="14">
      <x:c r="A14" s="2" t="s">
        <x:v>696</x:v>
      </x:c>
      <x:c r="B14" s="2" t="s">
        <x:v>706</x:v>
      </x:c>
      <x:c r="C14" s="2" t="s">
        <x:v>664</x:v>
      </x:c>
      <x:c r="D14" s="2" t="s">
        <x:v>442</x:v>
      </x:c>
      <x:c r="E14" s="2" t="s">
        <x:v>687</x:v>
      </x:c>
      <x:c r="F14" s="2" t="s">
        <x:v>707</x:v>
      </x:c>
      <x:c r="G14" s="2" t="s">
        <x:v>708</x:v>
      </x:c>
      <x:c r="H14" s="2" t="s">
        <x:v>709</x:v>
      </x:c>
    </x:row>
    <x:row r="15">
      <x:c r="A15" s="2" t="s">
        <x:v>696</x:v>
      </x:c>
      <x:c r="B15" s="2" t="s">
        <x:v>710</x:v>
      </x:c>
      <x:c r="C15" s="2" t="s">
        <x:v>664</x:v>
      </x:c>
      <x:c r="D15" s="2" t="s">
        <x:v>442</x:v>
      </x:c>
      <x:c r="E15" s="2" t="s">
        <x:v>687</x:v>
      </x:c>
      <x:c r="F15" s="2" t="s">
        <x:v>711</x:v>
      </x:c>
      <x:c r="G15" s="2" t="s">
        <x:v>712</x:v>
      </x:c>
      <x:c r="H15" s="2" t="s">
        <x:v>713</x:v>
      </x:c>
    </x:row>
    <x:row r="16">
      <x:c r="A16" s="2" t="s">
        <x:v>696</x:v>
      </x:c>
      <x:c r="B16" s="2" t="s">
        <x:v>714</x:v>
      </x:c>
      <x:c r="C16" s="2" t="s">
        <x:v>664</x:v>
      </x:c>
      <x:c r="D16" s="2" t="s">
        <x:v>442</x:v>
      </x:c>
      <x:c r="E16" s="2" t="s">
        <x:v>687</x:v>
      </x:c>
      <x:c r="F16" s="2" t="s">
        <x:v>715</x:v>
      </x:c>
      <x:c r="G16" s="2" t="s">
        <x:v>716</x:v>
      </x:c>
      <x:c r="H16" s="2" t="s">
        <x:v>717</x:v>
      </x:c>
    </x:row>
    <x:row r="17" ht="28.5">
      <x:c r="A17" s="2" t="s">
        <x:v>696</x:v>
      </x:c>
      <x:c r="B17" s="2" t="s">
        <x:v>718</x:v>
      </x:c>
      <x:c r="C17" s="2" t="s">
        <x:v>664</x:v>
      </x:c>
      <x:c r="D17" s="2" t="s">
        <x:v>442</x:v>
      </x:c>
      <x:c r="E17" s="2" t="s">
        <x:v>698</x:v>
      </x:c>
      <x:c r="F17" s="2" t="s">
        <x:v>719</x:v>
      </x:c>
      <x:c r="G17" s="2" t="s">
        <x:v>720</x:v>
      </x:c>
      <x:c r="H17" s="2" t="s">
        <x:v>721</x:v>
      </x:c>
    </x:row>
    <x:row r="18" ht="28.5">
      <x:c r="A18" s="2" t="s">
        <x:v>696</x:v>
      </x:c>
      <x:c r="B18" s="2" t="s">
        <x:v>722</x:v>
      </x:c>
      <x:c r="C18" s="2" t="s">
        <x:v>664</x:v>
      </x:c>
      <x:c r="D18" s="2" t="s">
        <x:v>442</x:v>
      </x:c>
      <x:c r="E18" s="2" t="s">
        <x:v>723</x:v>
      </x:c>
      <x:c r="F18" s="2" t="s">
        <x:v>724</x:v>
      </x:c>
      <x:c r="G18" s="2" t="s">
        <x:v>725</x:v>
      </x:c>
      <x:c r="H18" s="2" t="s">
        <x:v>726</x:v>
      </x:c>
    </x:row>
    <x:row r="19" ht="28.5">
      <x:c r="A19" s="2" t="s">
        <x:v>696</x:v>
      </x:c>
      <x:c r="B19" s="2" t="s">
        <x:v>727</x:v>
      </x:c>
      <x:c r="C19" s="2" t="s">
        <x:v>664</x:v>
      </x:c>
      <x:c r="D19" s="2" t="s">
        <x:v>442</x:v>
      </x:c>
      <x:c r="E19" s="2" t="s">
        <x:v>723</x:v>
      </x:c>
      <x:c r="F19" s="2" t="s">
        <x:v>728</x:v>
      </x:c>
      <x:c r="G19" s="2" t="s">
        <x:v>729</x:v>
      </x:c>
      <x:c r="H19" s="2" t="s">
        <x:v>730</x:v>
      </x:c>
    </x:row>
    <x:row r="20" ht="28.5">
      <x:c r="A20" s="2" t="s">
        <x:v>696</x:v>
      </x:c>
      <x:c r="B20" s="2" t="s">
        <x:v>731</x:v>
      </x:c>
      <x:c r="C20" s="2" t="s">
        <x:v>732</x:v>
      </x:c>
      <x:c r="D20" s="2" t="s">
        <x:v>602</x:v>
      </x:c>
      <x:c r="E20" s="2" t="s">
        <x:v>687</x:v>
      </x:c>
      <x:c r="F20" s="2" t="s">
        <x:v>733</x:v>
      </x:c>
      <x:c r="G20" s="2" t="s">
        <x:v>734</x:v>
      </x:c>
      <x:c r="H20" s="2" t="s">
        <x:v>735</x:v>
      </x:c>
    </x:row>
    <x:row r="21" ht="42.75">
      <x:c r="A21" s="2" t="s">
        <x:v>696</x:v>
      </x:c>
      <x:c r="B21" s="2" t="s">
        <x:v>736</x:v>
      </x:c>
      <x:c r="C21" s="2" t="s">
        <x:v>737</x:v>
      </x:c>
      <x:c r="D21" s="2" t="s">
        <x:v>738</x:v>
      </x:c>
      <x:c r="E21" s="2" t="s">
        <x:v>739</x:v>
      </x:c>
      <x:c r="F21" s="2" t="s">
        <x:v>740</x:v>
      </x:c>
      <x:c r="G21" s="2" t="s">
        <x:v>741</x:v>
      </x:c>
      <x:c r="H21" s="2" t="s">
        <x:v>742</x:v>
      </x:c>
    </x:row>
    <x:row r="22">
      <x:c r="A22" s="2" t="s">
        <x:v>743</x:v>
      </x:c>
      <x:c r="B22" s="2" t="s">
        <x:v>685</x:v>
      </x:c>
      <x:c r="C22" s="2" t="s">
        <x:v>670</x:v>
      </x:c>
      <x:c r="D22" s="2" t="s">
        <x:v>442</x:v>
      </x:c>
      <x:c r="E22" s="2" t="s">
        <x:v>687</x:v>
      </x:c>
      <x:c r="F22" s="2" t="s">
        <x:v>744</x:v>
      </x:c>
      <x:c r="G22" s="2" t="s">
        <x:v>745</x:v>
      </x:c>
      <x:c r="H22" s="2" t="s">
        <x:v>746</x:v>
      </x:c>
    </x:row>
    <x:row r="23" ht="28.5">
      <x:c r="A23" s="2" t="s">
        <x:v>747</x:v>
      </x:c>
      <x:c r="B23" s="2" t="s">
        <x:v>748</x:v>
      </x:c>
      <x:c r="C23" s="2" t="s">
        <x:v>670</x:v>
      </x:c>
      <x:c r="D23" s="2" t="s">
        <x:v>442</x:v>
      </x:c>
      <x:c r="E23" s="2" t="s">
        <x:v>687</x:v>
      </x:c>
      <x:c r="F23" s="2" t="s">
        <x:v>749</x:v>
      </x:c>
      <x:c r="G23" s="2" t="s">
        <x:v>750</x:v>
      </x:c>
      <x:c r="H23" s="2" t="s">
        <x:v>751</x:v>
      </x:c>
    </x:row>
    <x:row r="24" ht="28.5">
      <x:c r="A24" s="2" t="s">
        <x:v>752</x:v>
      </x:c>
      <x:c r="B24" s="2" t="s">
        <x:v>753</x:v>
      </x:c>
      <x:c r="C24" s="2" t="s">
        <x:v>754</x:v>
      </x:c>
      <x:c r="D24" s="2" t="s">
        <x:v>755</x:v>
      </x:c>
      <x:c r="E24" s="2" t="s">
        <x:v>665</x:v>
      </x:c>
      <x:c r="F24" s="2" t="s">
        <x:v>756</x:v>
      </x:c>
      <x:c r="G24" s="2" t="s">
        <x:v>757</x:v>
      </x:c>
      <x:c r="H24" s="2" t="s">
        <x:v>758</x:v>
      </x:c>
    </x:row>
    <x:row r="25" ht="28.5">
      <x:c r="A25" s="2" t="s">
        <x:v>759</x:v>
      </x:c>
      <x:c r="B25" s="2" t="s">
        <x:v>760</x:v>
      </x:c>
      <x:c r="C25" s="2" t="s">
        <x:v>664</x:v>
      </x:c>
      <x:c r="D25" s="2" t="s">
        <x:v>442</x:v>
      </x:c>
      <x:c r="E25" s="2" t="s">
        <x:v>687</x:v>
      </x:c>
      <x:c r="F25" s="2" t="s">
        <x:v>761</x:v>
      </x:c>
      <x:c r="G25" s="2" t="s">
        <x:v>762</x:v>
      </x:c>
      <x:c r="H25" s="2" t="s">
        <x:v>763</x:v>
      </x:c>
    </x:row>
    <x:row r="26" ht="42.75">
      <x:c r="A26" s="2" t="s">
        <x:v>696</x:v>
      </x:c>
      <x:c r="B26" s="2" t="s">
        <x:v>653</x:v>
      </x:c>
      <x:c r="C26" s="2" t="s">
        <x:v>654</x:v>
      </x:c>
      <x:c r="D26" s="2" t="s">
        <x:v>581</x:v>
      </x:c>
      <x:c r="E26" s="2" t="s">
        <x:v>655</x:v>
      </x:c>
      <x:c r="F26" s="2" t="s">
        <x:v>764</x:v>
      </x:c>
      <x:c r="G26" s="2" t="s">
        <x:v>765</x:v>
      </x:c>
      <x:c r="H26" s="2" t="s">
        <x:v>766</x:v>
      </x:c>
    </x:row>
    <x:row r="27" ht="28.5">
      <x:c r="A27" s="2" t="s">
        <x:v>691</x:v>
      </x:c>
      <x:c r="B27" s="2" t="s">
        <x:v>766</x:v>
      </x:c>
      <x:c r="C27" s="2" t="s">
        <x:v>654</x:v>
      </x:c>
      <x:c r="D27" s="2" t="s">
        <x:v>581</x:v>
      </x:c>
      <x:c r="E27" s="2" t="s">
        <x:v>687</x:v>
      </x:c>
      <x:c r="F27" s="2" t="s">
        <x:v>767</x:v>
      </x:c>
      <x:c r="G27" s="2" t="s">
        <x:v>768</x:v>
      </x:c>
      <x:c r="H27" s="2" t="s">
        <x:v>769</x:v>
      </x:c>
    </x:row>
    <x:row r="28" ht="28.5">
      <x:c r="A28" s="2" t="s">
        <x:v>652</x:v>
      </x:c>
      <x:c r="B28" s="2" t="s">
        <x:v>770</x:v>
      </x:c>
      <x:c r="C28" s="2" t="s">
        <x:v>670</x:v>
      </x:c>
      <x:c r="D28" s="2" t="s">
        <x:v>442</x:v>
      </x:c>
      <x:c r="E28" s="2" t="s">
        <x:v>723</x:v>
      </x:c>
      <x:c r="F28" s="2" t="s">
        <x:v>771</x:v>
      </x:c>
      <x:c r="G28" s="2" t="s">
        <x:v>772</x:v>
      </x:c>
      <x:c r="H28" s="2" t="s">
        <x:v>773</x:v>
      </x:c>
    </x:row>
    <x:row r="29" ht="28.5">
      <x:c r="A29" s="2" t="s">
        <x:v>696</x:v>
      </x:c>
      <x:c r="B29" s="2" t="s">
        <x:v>760</x:v>
      </x:c>
      <x:c r="C29" s="2" t="s">
        <x:v>664</x:v>
      </x:c>
      <x:c r="D29" s="2" t="s">
        <x:v>442</x:v>
      </x:c>
      <x:c r="E29" s="2" t="s">
        <x:v>687</x:v>
      </x:c>
      <x:c r="F29" s="2" t="s">
        <x:v>774</x:v>
      </x:c>
      <x:c r="G29" s="2" t="s">
        <x:v>775</x:v>
      </x:c>
      <x:c r="H29" s="2" t="s">
        <x:v>726</x:v>
      </x:c>
    </x:row>
    <x:row r="30" ht="28.5">
      <x:c r="A30" s="2" t="s">
        <x:v>776</x:v>
      </x:c>
      <x:c r="B30" s="2" t="s">
        <x:v>777</x:v>
      </x:c>
      <x:c r="C30" s="2" t="s">
        <x:v>778</x:v>
      </x:c>
      <x:c r="D30" s="2" t="s">
        <x:v>738</x:v>
      </x:c>
      <x:c r="E30" s="2" t="s">
        <x:v>687</x:v>
      </x:c>
      <x:c r="F30" s="2" t="s">
        <x:v>779</x:v>
      </x:c>
      <x:c r="G30" s="2" t="s">
        <x:v>780</x:v>
      </x:c>
      <x:c r="H30" s="2" t="s">
        <x:v>781</x:v>
      </x:c>
    </x:row>
    <x:row r="31" ht="28.5">
      <x:c r="A31" s="2" t="s">
        <x:v>782</x:v>
      </x:c>
      <x:c r="B31" s="2" t="s">
        <x:v>783</x:v>
      </x:c>
      <x:c r="C31" s="2" t="s">
        <x:v>784</x:v>
      </x:c>
      <x:c r="D31" s="2" t="s">
        <x:v>785</x:v>
      </x:c>
      <x:c r="E31" s="2" t="s">
        <x:v>687</x:v>
      </x:c>
      <x:c r="F31" s="2" t="s">
        <x:v>786</x:v>
      </x:c>
      <x:c r="G31" s="2" t="s">
        <x:v>787</x:v>
      </x:c>
      <x:c r="H31" s="2" t="s">
        <x:v>788</x:v>
      </x:c>
    </x:row>
    <x:row r="32">
      <x:c r="A32" s="2" t="s">
        <x:v>743</x:v>
      </x:c>
      <x:c r="B32" s="2" t="s">
        <x:v>770</x:v>
      </x:c>
      <x:c r="C32" s="2" t="s">
        <x:v>670</x:v>
      </x:c>
      <x:c r="D32" s="2" t="s">
        <x:v>442</x:v>
      </x:c>
      <x:c r="E32" s="2" t="s">
        <x:v>687</x:v>
      </x:c>
      <x:c r="F32" s="2" t="s">
        <x:v>789</x:v>
      </x:c>
      <x:c r="G32" s="2" t="s">
        <x:v>790</x:v>
      </x:c>
      <x:c r="H32" s="2" t="s">
        <x:v>791</x:v>
      </x:c>
    </x:row>
    <x:row r="33" ht="28.5">
      <x:c r="A33" s="2" t="s">
        <x:v>792</x:v>
      </x:c>
      <x:c r="B33" s="2" t="s">
        <x:v>760</x:v>
      </x:c>
      <x:c r="C33" s="2" t="s">
        <x:v>664</x:v>
      </x:c>
      <x:c r="D33" s="2" t="s">
        <x:v>442</x:v>
      </x:c>
      <x:c r="E33" s="2" t="s">
        <x:v>687</x:v>
      </x:c>
      <x:c r="F33" s="2" t="s">
        <x:v>793</x:v>
      </x:c>
      <x:c r="G33" s="2" t="s">
        <x:v>794</x:v>
      </x:c>
      <x:c r="H33" s="2" t="s">
        <x:v>795</x:v>
      </x:c>
    </x:row>
    <x:row r="34" ht="28.5">
      <x:c r="A34" s="2" t="s">
        <x:v>696</x:v>
      </x:c>
      <x:c r="B34" s="2" t="s">
        <x:v>653</x:v>
      </x:c>
      <x:c r="C34" s="2" t="s">
        <x:v>654</x:v>
      </x:c>
      <x:c r="D34" s="2" t="s">
        <x:v>581</x:v>
      </x:c>
      <x:c r="E34" s="2" t="s">
        <x:v>687</x:v>
      </x:c>
      <x:c r="F34" s="2" t="s">
        <x:v>796</x:v>
      </x:c>
      <x:c r="G34" s="2" t="s">
        <x:v>797</x:v>
      </x:c>
      <x:c r="H34" s="2" t="s">
        <x:v>798</x:v>
      </x:c>
    </x:row>
    <x:row r="35" ht="28.5">
      <x:c r="A35" s="2" t="s">
        <x:v>759</x:v>
      </x:c>
      <x:c r="B35" s="2" t="s">
        <x:v>669</x:v>
      </x:c>
      <x:c r="C35" s="2" t="s">
        <x:v>670</x:v>
      </x:c>
      <x:c r="D35" s="2" t="s">
        <x:v>442</x:v>
      </x:c>
      <x:c r="E35" s="2" t="s">
        <x:v>687</x:v>
      </x:c>
      <x:c r="F35" s="2" t="s">
        <x:v>799</x:v>
      </x:c>
      <x:c r="G35" s="2" t="s">
        <x:v>800</x:v>
      </x:c>
      <x:c r="H35" s="2" t="s">
        <x:v>801</x:v>
      </x:c>
    </x:row>
    <x:row r="36" ht="28.5">
      <x:c r="A36" s="2" t="s">
        <x:v>652</x:v>
      </x:c>
      <x:c r="B36" s="2" t="s">
        <x:v>802</x:v>
      </x:c>
      <x:c r="C36" s="2" t="s">
        <x:v>670</x:v>
      </x:c>
      <x:c r="D36" s="2" t="s">
        <x:v>442</x:v>
      </x:c>
      <x:c r="E36" s="2" t="s">
        <x:v>655</x:v>
      </x:c>
      <x:c r="F36" s="2" t="s">
        <x:v>803</x:v>
      </x:c>
      <x:c r="G36" s="2" t="s">
        <x:v>804</x:v>
      </x:c>
      <x:c r="H36" s="2" t="s">
        <x:v>805</x:v>
      </x:c>
    </x:row>
    <x:row r="37" ht="28.5">
      <x:c r="A37" s="2" t="s">
        <x:v>806</x:v>
      </x:c>
      <x:c r="B37" s="2" t="s">
        <x:v>748</x:v>
      </x:c>
      <x:c r="C37" s="2" t="s">
        <x:v>670</x:v>
      </x:c>
      <x:c r="D37" s="2" t="s">
        <x:v>442</x:v>
      </x:c>
      <x:c r="E37" s="2" t="s">
        <x:v>687</x:v>
      </x:c>
      <x:c r="F37" s="2" t="s">
        <x:v>807</x:v>
      </x:c>
      <x:c r="G37" s="2" t="s">
        <x:v>808</x:v>
      </x:c>
      <x:c r="H37" s="2" t="s">
        <x:v>809</x:v>
      </x:c>
    </x:row>
    <x:row r="38">
      <x:c r="A38" t="s">
        <x:v>652</x:v>
      </x:c>
      <x:c r="B38" t="s">
        <x:v>810</x:v>
      </x:c>
      <x:c r="C38" t="s">
        <x:v>654</x:v>
      </x:c>
      <x:c r="D38" t="s">
        <x:v>581</x:v>
      </x:c>
      <x:c r="E38" t="s">
        <x:v>671</x:v>
      </x:c>
      <x:c r="F38" t="s">
        <x:v>811</x:v>
      </x:c>
      <x:c r="G38" t="s">
        <x:v>812</x:v>
      </x:c>
      <x:c r="H38" t="s">
        <x:v>813</x:v>
      </x:c>
    </x:row>
    <x:row r="39">
      <x:c r="A39" t="s">
        <x:v>814</x:v>
      </x:c>
      <x:c r="B39" t="s">
        <x:v>815</x:v>
      </x:c>
      <x:c r="C39" t="s">
        <x:v>816</x:v>
      </x:c>
      <x:c r="D39" t="s">
        <x:v>817</x:v>
      </x:c>
      <x:c r="E39" t="s">
        <x:v>687</x:v>
      </x:c>
      <x:c r="F39" t="s">
        <x:v>818</x:v>
      </x:c>
      <x:c r="G39" t="s">
        <x:v>819</x:v>
      </x:c>
      <x:c r="H39" t="s">
        <x:v>820</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4.25"/>
  <x:cols>
    <x:col min="1" max="1" width="10" customWidth="1"/>
    <x:col min="2" max="3" width="8" customWidth="1"/>
    <x:col min="4" max="4" width="12" customWidth="1"/>
    <x:col min="5" max="5" width="45" customWidth="1"/>
    <x:col min="6" max="11" width="13" customWidth="1"/>
    <x:col min="12" max="12" width="65" customWidth="1"/>
    <x:col min="13" max="13" width="15" customWidth="1"/>
    <x:col min="14" max="15" width="30" customWidth="1"/>
    <x:col min="16" max="16" width="18" customWidth="1"/>
    <x:col min="17" max="17" width="52" customWidth="1"/>
  </x:cols>
  <x:sheetData>
    <x:row r="1" ht="30">
      <x:c r="A1" s="25" t="str">
        <x:v>HISTORICAL SNAPSHOT — NOT CURRENT AUTHORITY | Task ID</x:v>
      </x:c>
      <x:c r="B1" s="25" t="s">
        <x:v>821</x:v>
      </x:c>
      <x:c r="C1" s="25" t="s">
        <x:v>432</x:v>
      </x:c>
      <x:c r="D1" s="25" t="s">
        <x:v>433</x:v>
      </x:c>
      <x:c r="E1" s="25" t="s">
        <x:v>135</x:v>
      </x:c>
      <x:c r="F1" s="25" t="s">
        <x:v>822</x:v>
      </x:c>
      <x:c r="G1" s="25" t="s">
        <x:v>823</x:v>
      </x:c>
      <x:c r="H1" s="25" t="s">
        <x:v>824</x:v>
      </x:c>
      <x:c r="I1" s="25" t="s">
        <x:v>825</x:v>
      </x:c>
      <x:c r="J1" s="25" t="s">
        <x:v>826</x:v>
      </x:c>
      <x:c r="K1" s="25" t="s">
        <x:v>827</x:v>
      </x:c>
      <x:c r="L1" s="25" t="s">
        <x:v>828</x:v>
      </x:c>
      <x:c r="M1" s="25" t="s">
        <x:v>829</x:v>
      </x:c>
      <x:c r="N1" s="25" t="s">
        <x:v>830</x:v>
      </x:c>
      <x:c r="O1" s="25" t="s">
        <x:v>831</x:v>
      </x:c>
      <x:c r="P1" s="25" t="s">
        <x:v>832</x:v>
      </x:c>
      <x:c r="Q1" s="25" t="s">
        <x:v>833</x:v>
      </x:c>
    </x:row>
    <x:row r="2" ht="28.5">
      <x:c r="A2" s="2" t="s">
        <x:v>440</x:v>
      </x:c>
      <x:c r="B2" s="2" t="s">
        <x:v>778</x:v>
      </x:c>
      <x:c r="C2" s="2" t="s">
        <x:v>441</x:v>
      </x:c>
      <x:c r="D2" s="2" t="s">
        <x:v>442</x:v>
      </x:c>
      <x:c r="E2" s="2" t="s">
        <x:v>834</x:v>
      </x:c>
      <x:c r="F2" s="7">
        <x:v>8</x:v>
      </x:c>
      <x:c r="G2" s="7" t="s">
        <x:v>144</x:v>
      </x:c>
      <x:c r="H2" s="7" t="s">
        <x:v>144</x:v>
      </x:c>
      <x:c r="I2" s="7">
        <x:v>8</x:v>
      </x:c>
      <x:c r="J2" s="7">
        <x:v>0</x:v>
      </x:c>
      <x:c r="K2" s="7">
        <x:v>0</x:v>
      </x:c>
      <x:c r="L2" s="2" t="s">
        <x:v>835</x:v>
      </x:c>
      <x:c r="M2" s="10">
        <x:v>46259</x:v>
      </x:c>
      <x:c r="N2" s="2" t="s">
        <x:v>574</x:v>
      </x:c>
      <x:c r="O2" s="2" t="s">
        <x:v>836</x:v>
      </x:c>
      <x:c r="P2" s="2" t="s">
        <x:v>837</x:v>
      </x:c>
      <x:c r="Q2" s="2" t="s">
        <x:v>838</x:v>
      </x:c>
    </x:row>
    <x:row r="3" ht="28.5">
      <x:c r="A3" s="2" t="s">
        <x:v>448</x:v>
      </x:c>
      <x:c r="B3" s="2" t="s">
        <x:v>778</x:v>
      </x:c>
      <x:c r="C3" s="2" t="s">
        <x:v>441</x:v>
      </x:c>
      <x:c r="D3" s="2" t="s">
        <x:v>442</x:v>
      </x:c>
      <x:c r="E3" s="2" t="s">
        <x:v>839</x:v>
      </x:c>
      <x:c r="F3" s="7">
        <x:v>12</x:v>
      </x:c>
      <x:c r="G3" s="7" t="s">
        <x:v>144</x:v>
      </x:c>
      <x:c r="H3" s="7" t="s">
        <x:v>144</x:v>
      </x:c>
      <x:c r="I3" s="7">
        <x:v>12</x:v>
      </x:c>
      <x:c r="J3" s="7">
        <x:v>0</x:v>
      </x:c>
      <x:c r="K3" s="7">
        <x:v>0</x:v>
      </x:c>
      <x:c r="L3" s="2" t="s">
        <x:v>840</x:v>
      </x:c>
      <x:c r="M3" s="10">
        <x:v>46262</x:v>
      </x:c>
      <x:c r="N3" s="2" t="s">
        <x:v>841</x:v>
      </x:c>
      <x:c r="O3" s="2" t="s">
        <x:v>842</x:v>
      </x:c>
      <x:c r="P3" s="2" t="s">
        <x:v>837</x:v>
      </x:c>
      <x:c r="Q3" s="2" t="s">
        <x:v>838</x:v>
      </x:c>
    </x:row>
    <x:row r="4" ht="28.5">
      <x:c r="A4" s="2" t="s">
        <x:v>453</x:v>
      </x:c>
      <x:c r="B4" s="2" t="s">
        <x:v>778</x:v>
      </x:c>
      <x:c r="C4" s="2" t="s">
        <x:v>441</x:v>
      </x:c>
      <x:c r="D4" s="2" t="s">
        <x:v>442</x:v>
      </x:c>
      <x:c r="E4" s="2" t="s">
        <x:v>843</x:v>
      </x:c>
      <x:c r="F4" s="7">
        <x:v>12</x:v>
      </x:c>
      <x:c r="G4" s="7" t="s">
        <x:v>144</x:v>
      </x:c>
      <x:c r="H4" s="7" t="s">
        <x:v>144</x:v>
      </x:c>
      <x:c r="I4" s="7">
        <x:v>12</x:v>
      </x:c>
      <x:c r="J4" s="7">
        <x:v>0</x:v>
      </x:c>
      <x:c r="K4" s="7">
        <x:v>0</x:v>
      </x:c>
      <x:c r="L4" s="2" t="s">
        <x:v>844</x:v>
      </x:c>
      <x:c r="M4" s="10">
        <x:v>46260</x:v>
      </x:c>
      <x:c r="N4" s="2" t="s">
        <x:v>440</x:v>
      </x:c>
      <x:c r="O4" s="2" t="s">
        <x:v>845</x:v>
      </x:c>
      <x:c r="P4" s="2" t="s">
        <x:v>837</x:v>
      </x:c>
      <x:c r="Q4" s="2" t="s">
        <x:v>838</x:v>
      </x:c>
    </x:row>
    <x:row r="5" ht="42.75">
      <x:c r="A5" s="2" t="s">
        <x:v>458</x:v>
      </x:c>
      <x:c r="B5" s="2" t="s">
        <x:v>778</x:v>
      </x:c>
      <x:c r="C5" s="2" t="s">
        <x:v>441</x:v>
      </x:c>
      <x:c r="D5" s="2" t="s">
        <x:v>442</x:v>
      </x:c>
      <x:c r="E5" s="2" t="s">
        <x:v>846</x:v>
      </x:c>
      <x:c r="F5" s="7">
        <x:v>12</x:v>
      </x:c>
      <x:c r="G5" s="7" t="s">
        <x:v>144</x:v>
      </x:c>
      <x:c r="H5" s="7" t="s">
        <x:v>144</x:v>
      </x:c>
      <x:c r="I5" s="7">
        <x:v>12</x:v>
      </x:c>
      <x:c r="J5" s="7">
        <x:v>0</x:v>
      </x:c>
      <x:c r="K5" s="7">
        <x:v>0</x:v>
      </x:c>
      <x:c r="L5" s="2" t="s">
        <x:v>847</x:v>
      </x:c>
      <x:c r="M5" s="10"/>
      <x:c r="N5" s="2" t="s">
        <x:v>848</x:v>
      </x:c>
      <x:c r="O5" s="2" t="s">
        <x:v>849</x:v>
      </x:c>
      <x:c r="P5" s="2" t="s">
        <x:v>837</x:v>
      </x:c>
      <x:c r="Q5" s="2" t="s">
        <x:v>838</x:v>
      </x:c>
    </x:row>
    <x:row r="6" ht="71.25">
      <x:c r="A6" s="2" t="s">
        <x:v>462</x:v>
      </x:c>
      <x:c r="B6" s="2" t="s">
        <x:v>778</x:v>
      </x:c>
      <x:c r="C6" s="2" t="s">
        <x:v>441</x:v>
      </x:c>
      <x:c r="D6" s="2" t="s">
        <x:v>442</x:v>
      </x:c>
      <x:c r="E6" s="2" t="s">
        <x:v>850</x:v>
      </x:c>
      <x:c r="F6" s="7">
        <x:v>12</x:v>
      </x:c>
      <x:c r="G6" s="7" t="s">
        <x:v>144</x:v>
      </x:c>
      <x:c r="H6" s="7" t="s">
        <x:v>144</x:v>
      </x:c>
      <x:c r="I6" s="7">
        <x:v>12</x:v>
      </x:c>
      <x:c r="J6" s="7">
        <x:v>0</x:v>
      </x:c>
      <x:c r="K6" s="7">
        <x:v>0</x:v>
      </x:c>
      <x:c r="L6" s="2" t="s">
        <x:v>851</x:v>
      </x:c>
      <x:c r="M6" s="10"/>
      <x:c r="N6" s="2" t="s">
        <x:v>458</x:v>
      </x:c>
      <x:c r="O6" s="2" t="s">
        <x:v>852</x:v>
      </x:c>
      <x:c r="P6" s="2" t="s">
        <x:v>837</x:v>
      </x:c>
      <x:c r="Q6" s="2" t="s">
        <x:v>853</x:v>
      </x:c>
    </x:row>
    <x:row r="7" ht="28.5">
      <x:c r="A7" s="2" t="s">
        <x:v>466</x:v>
      </x:c>
      <x:c r="B7" s="2" t="s">
        <x:v>778</x:v>
      </x:c>
      <x:c r="C7" s="2" t="s">
        <x:v>441</x:v>
      </x:c>
      <x:c r="D7" s="2" t="s">
        <x:v>442</x:v>
      </x:c>
      <x:c r="E7" s="2" t="s">
        <x:v>854</x:v>
      </x:c>
      <x:c r="F7" s="7">
        <x:v>12</x:v>
      </x:c>
      <x:c r="G7" s="7" t="s">
        <x:v>144</x:v>
      </x:c>
      <x:c r="H7" s="7" t="s">
        <x:v>144</x:v>
      </x:c>
      <x:c r="I7" s="7">
        <x:v>12</x:v>
      </x:c>
      <x:c r="J7" s="7">
        <x:v>0</x:v>
      </x:c>
      <x:c r="K7" s="7">
        <x:v>0</x:v>
      </x:c>
      <x:c r="L7" s="2" t="s">
        <x:v>855</x:v>
      </x:c>
      <x:c r="M7" s="10"/>
      <x:c r="N7" s="2" t="s">
        <x:v>462</x:v>
      </x:c>
      <x:c r="O7" s="2" t="s">
        <x:v>856</x:v>
      </x:c>
      <x:c r="P7" s="2" t="s">
        <x:v>837</x:v>
      </x:c>
      <x:c r="Q7" s="2" t="s">
        <x:v>838</x:v>
      </x:c>
    </x:row>
    <x:row r="8" ht="28.5">
      <x:c r="A8" s="2" t="s">
        <x:v>469</x:v>
      </x:c>
      <x:c r="B8" s="2" t="s">
        <x:v>778</x:v>
      </x:c>
      <x:c r="C8" s="2" t="s">
        <x:v>441</x:v>
      </x:c>
      <x:c r="D8" s="2" t="s">
        <x:v>442</x:v>
      </x:c>
      <x:c r="E8" s="2" t="s">
        <x:v>857</x:v>
      </x:c>
      <x:c r="F8" s="7">
        <x:v>12</x:v>
      </x:c>
      <x:c r="G8" s="7" t="s">
        <x:v>144</x:v>
      </x:c>
      <x:c r="H8" s="7" t="s">
        <x:v>144</x:v>
      </x:c>
      <x:c r="I8" s="7">
        <x:v>12</x:v>
      </x:c>
      <x:c r="J8" s="7">
        <x:v>0</x:v>
      </x:c>
      <x:c r="K8" s="7">
        <x:v>0</x:v>
      </x:c>
      <x:c r="L8" s="2" t="s">
        <x:v>858</x:v>
      </x:c>
      <x:c r="M8" s="10">
        <x:v>46267</x:v>
      </x:c>
      <x:c r="N8" s="2" t="s">
        <x:v>859</x:v>
      </x:c>
      <x:c r="O8" s="2" t="s">
        <x:v>860</x:v>
      </x:c>
      <x:c r="P8" s="2" t="s">
        <x:v>837</x:v>
      </x:c>
      <x:c r="Q8" s="2" t="s">
        <x:v>838</x:v>
      </x:c>
    </x:row>
    <x:row r="9" ht="28.5">
      <x:c r="A9" s="2" t="s">
        <x:v>474</x:v>
      </x:c>
      <x:c r="B9" s="2" t="s">
        <x:v>778</x:v>
      </x:c>
      <x:c r="C9" s="2" t="s">
        <x:v>441</x:v>
      </x:c>
      <x:c r="D9" s="2" t="s">
        <x:v>442</x:v>
      </x:c>
      <x:c r="E9" s="2" t="s">
        <x:v>861</x:v>
      </x:c>
      <x:c r="F9" s="7">
        <x:v>6</x:v>
      </x:c>
      <x:c r="G9" s="7" t="s">
        <x:v>144</x:v>
      </x:c>
      <x:c r="H9" s="7" t="s">
        <x:v>144</x:v>
      </x:c>
      <x:c r="I9" s="7">
        <x:v>6</x:v>
      </x:c>
      <x:c r="J9" s="7">
        <x:v>0</x:v>
      </x:c>
      <x:c r="K9" s="7">
        <x:v>0</x:v>
      </x:c>
      <x:c r="L9" s="2" t="s">
        <x:v>862</x:v>
      </x:c>
      <x:c r="M9" s="10">
        <x:v>46268</x:v>
      </x:c>
      <x:c r="N9" s="2" t="s">
        <x:v>863</x:v>
      </x:c>
      <x:c r="O9" s="2" t="s">
        <x:v>864</x:v>
      </x:c>
      <x:c r="P9" s="2" t="s">
        <x:v>837</x:v>
      </x:c>
      <x:c r="Q9" s="2" t="s">
        <x:v>838</x:v>
      </x:c>
    </x:row>
    <x:row r="10" ht="57">
      <x:c r="A10" s="2" t="s">
        <x:v>480</x:v>
      </x:c>
      <x:c r="B10" s="2" t="s">
        <x:v>778</x:v>
      </x:c>
      <x:c r="C10" s="2" t="s">
        <x:v>441</x:v>
      </x:c>
      <x:c r="D10" s="2" t="s">
        <x:v>442</x:v>
      </x:c>
      <x:c r="E10" s="2" t="s">
        <x:v>865</x:v>
      </x:c>
      <x:c r="F10" s="7">
        <x:v>24</x:v>
      </x:c>
      <x:c r="G10" s="7" t="s">
        <x:v>144</x:v>
      </x:c>
      <x:c r="H10" s="7" t="s">
        <x:v>144</x:v>
      </x:c>
      <x:c r="I10" s="7">
        <x:v>24</x:v>
      </x:c>
      <x:c r="J10" s="7">
        <x:v>0</x:v>
      </x:c>
      <x:c r="K10" s="7">
        <x:v>0</x:v>
      </x:c>
      <x:c r="L10" s="2" t="s">
        <x:v>866</x:v>
      </x:c>
      <x:c r="M10" s="10">
        <x:v>46272</x:v>
      </x:c>
      <x:c r="N10" s="2" t="s">
        <x:v>867</x:v>
      </x:c>
      <x:c r="O10" s="2" t="s">
        <x:v>868</x:v>
      </x:c>
      <x:c r="P10" s="2" t="s">
        <x:v>837</x:v>
      </x:c>
      <x:c r="Q10" s="2" t="s">
        <x:v>869</x:v>
      </x:c>
    </x:row>
    <x:row r="11" ht="42.75">
      <x:c r="A11" s="2" t="s">
        <x:v>574</x:v>
      </x:c>
      <x:c r="B11" s="2" t="s">
        <x:v>778</x:v>
      </x:c>
      <x:c r="C11" s="2" t="s">
        <x:v>441</x:v>
      </x:c>
      <x:c r="D11" s="2" t="s">
        <x:v>442</x:v>
      </x:c>
      <x:c r="E11" s="2" t="s">
        <x:v>870</x:v>
      </x:c>
      <x:c r="F11" s="7">
        <x:v>4</x:v>
      </x:c>
      <x:c r="G11" s="7" t="s">
        <x:v>144</x:v>
      </x:c>
      <x:c r="H11" s="7" t="s">
        <x:v>144</x:v>
      </x:c>
      <x:c r="I11" s="7">
        <x:v>4</x:v>
      </x:c>
      <x:c r="J11" s="7">
        <x:v>0</x:v>
      </x:c>
      <x:c r="K11" s="7">
        <x:v>0</x:v>
      </x:c>
      <x:c r="L11" s="2" t="s">
        <x:v>871</x:v>
      </x:c>
      <x:c r="M11" s="10">
        <x:v>46258</x:v>
      </x:c>
      <x:c r="N11" s="2"/>
      <x:c r="O11" s="2" t="s">
        <x:v>872</x:v>
      </x:c>
      <x:c r="P11" s="2" t="s">
        <x:v>837</x:v>
      </x:c>
      <x:c r="Q11" s="2" t="s">
        <x:v>838</x:v>
      </x:c>
    </x:row>
    <x:row r="12" ht="28.5">
      <x:c r="A12" s="2" t="s">
        <x:v>580</x:v>
      </x:c>
      <x:c r="B12" s="2" t="s">
        <x:v>778</x:v>
      </x:c>
      <x:c r="C12" s="2" t="s">
        <x:v>441</x:v>
      </x:c>
      <x:c r="D12" s="2" t="s">
        <x:v>581</x:v>
      </x:c>
      <x:c r="E12" s="2" t="s">
        <x:v>873</x:v>
      </x:c>
      <x:c r="F12" s="7">
        <x:v>10</x:v>
      </x:c>
      <x:c r="G12" s="7" t="s">
        <x:v>144</x:v>
      </x:c>
      <x:c r="H12" s="7" t="s">
        <x:v>144</x:v>
      </x:c>
      <x:c r="I12" s="7">
        <x:v>10</x:v>
      </x:c>
      <x:c r="J12" s="7">
        <x:v>0</x:v>
      </x:c>
      <x:c r="K12" s="7">
        <x:v>0</x:v>
      </x:c>
      <x:c r="L12" s="2" t="s">
        <x:v>874</x:v>
      </x:c>
      <x:c r="M12" s="10">
        <x:v>46259</x:v>
      </x:c>
      <x:c r="N12" s="2" t="s">
        <x:v>574</x:v>
      </x:c>
      <x:c r="O12" s="2" t="s">
        <x:v>875</x:v>
      </x:c>
      <x:c r="P12" s="2" t="s">
        <x:v>837</x:v>
      </x:c>
      <x:c r="Q12" s="2" t="s">
        <x:v>838</x:v>
      </x:c>
    </x:row>
    <x:row r="13" ht="28.5">
      <x:c r="A13" s="2" t="s">
        <x:v>586</x:v>
      </x:c>
      <x:c r="B13" s="2" t="s">
        <x:v>778</x:v>
      </x:c>
      <x:c r="C13" s="2" t="s">
        <x:v>441</x:v>
      </x:c>
      <x:c r="D13" s="2" t="s">
        <x:v>581</x:v>
      </x:c>
      <x:c r="E13" s="2" t="s">
        <x:v>876</x:v>
      </x:c>
      <x:c r="F13" s="7">
        <x:v>10</x:v>
      </x:c>
      <x:c r="G13" s="7" t="s">
        <x:v>144</x:v>
      </x:c>
      <x:c r="H13" s="7" t="s">
        <x:v>144</x:v>
      </x:c>
      <x:c r="I13" s="7">
        <x:v>10</x:v>
      </x:c>
      <x:c r="J13" s="7">
        <x:v>0</x:v>
      </x:c>
      <x:c r="K13" s="7">
        <x:v>0</x:v>
      </x:c>
      <x:c r="L13" s="2" t="s">
        <x:v>877</x:v>
      </x:c>
      <x:c r="M13" s="10">
        <x:v>46259</x:v>
      </x:c>
      <x:c r="N13" s="2" t="s">
        <x:v>574</x:v>
      </x:c>
      <x:c r="O13" s="2" t="s">
        <x:v>878</x:v>
      </x:c>
      <x:c r="P13" s="2" t="s">
        <x:v>837</x:v>
      </x:c>
      <x:c r="Q13" s="2" t="s">
        <x:v>838</x:v>
      </x:c>
    </x:row>
    <x:row r="14" ht="28.5">
      <x:c r="A14" s="2" t="s">
        <x:v>590</x:v>
      </x:c>
      <x:c r="B14" s="2" t="s">
        <x:v>778</x:v>
      </x:c>
      <x:c r="C14" s="2" t="s">
        <x:v>441</x:v>
      </x:c>
      <x:c r="D14" s="2" t="s">
        <x:v>581</x:v>
      </x:c>
      <x:c r="E14" s="2" t="s">
        <x:v>879</x:v>
      </x:c>
      <x:c r="F14" s="7">
        <x:v>10</x:v>
      </x:c>
      <x:c r="G14" s="7" t="s">
        <x:v>144</x:v>
      </x:c>
      <x:c r="H14" s="7" t="s">
        <x:v>144</x:v>
      </x:c>
      <x:c r="I14" s="7">
        <x:v>10</x:v>
      </x:c>
      <x:c r="J14" s="7">
        <x:v>0</x:v>
      </x:c>
      <x:c r="K14" s="7">
        <x:v>0</x:v>
      </x:c>
      <x:c r="L14" s="2" t="s">
        <x:v>880</x:v>
      </x:c>
      <x:c r="M14" s="10">
        <x:v>46265</x:v>
      </x:c>
      <x:c r="N14" s="2" t="s">
        <x:v>574</x:v>
      </x:c>
      <x:c r="O14" s="2" t="s">
        <x:v>878</x:v>
      </x:c>
      <x:c r="P14" s="2" t="s">
        <x:v>837</x:v>
      </x:c>
      <x:c r="Q14" s="2" t="s">
        <x:v>838</x:v>
      </x:c>
    </x:row>
    <x:row r="15" ht="42.75">
      <x:c r="A15" s="2" t="s">
        <x:v>595</x:v>
      </x:c>
      <x:c r="B15" s="2" t="s">
        <x:v>778</x:v>
      </x:c>
      <x:c r="C15" s="2" t="s">
        <x:v>441</x:v>
      </x:c>
      <x:c r="D15" s="2" t="s">
        <x:v>581</x:v>
      </x:c>
      <x:c r="E15" s="2" t="s">
        <x:v>881</x:v>
      </x:c>
      <x:c r="F15" s="7">
        <x:v>8</x:v>
      </x:c>
      <x:c r="G15" s="7" t="s">
        <x:v>144</x:v>
      </x:c>
      <x:c r="H15" s="7" t="s">
        <x:v>144</x:v>
      </x:c>
      <x:c r="I15" s="7">
        <x:v>8</x:v>
      </x:c>
      <x:c r="J15" s="7">
        <x:v>0</x:v>
      </x:c>
      <x:c r="K15" s="7">
        <x:v>0</x:v>
      </x:c>
      <x:c r="L15" s="2" t="s">
        <x:v>882</x:v>
      </x:c>
      <x:c r="M15" s="10">
        <x:v>46264</x:v>
      </x:c>
      <x:c r="N15" s="2" t="s">
        <x:v>574</x:v>
      </x:c>
      <x:c r="O15" s="2" t="s">
        <x:v>883</x:v>
      </x:c>
      <x:c r="P15" s="2" t="s">
        <x:v>837</x:v>
      </x:c>
      <x:c r="Q15" s="2" t="s">
        <x:v>884</x:v>
      </x:c>
    </x:row>
    <x:row r="16" ht="28.5">
      <x:c r="A16" s="2" t="s">
        <x:v>885</x:v>
      </x:c>
      <x:c r="B16" s="2" t="s">
        <x:v>778</x:v>
      </x:c>
      <x:c r="C16" s="2" t="s">
        <x:v>441</x:v>
      </x:c>
      <x:c r="D16" s="2" t="s">
        <x:v>602</x:v>
      </x:c>
      <x:c r="E16" s="2" t="s">
        <x:v>886</x:v>
      </x:c>
      <x:c r="F16" s="7">
        <x:v>8</x:v>
      </x:c>
      <x:c r="G16" s="7" t="s">
        <x:v>144</x:v>
      </x:c>
      <x:c r="H16" s="7" t="s">
        <x:v>144</x:v>
      </x:c>
      <x:c r="I16" s="7">
        <x:v>8</x:v>
      </x:c>
      <x:c r="J16" s="7">
        <x:v>0</x:v>
      </x:c>
      <x:c r="K16" s="7">
        <x:v>0</x:v>
      </x:c>
      <x:c r="L16" s="2" t="s">
        <x:v>887</x:v>
      </x:c>
      <x:c r="M16" s="10"/>
      <x:c r="N16" s="2" t="s">
        <x:v>574</x:v>
      </x:c>
      <x:c r="O16" s="2" t="s">
        <x:v>888</x:v>
      </x:c>
      <x:c r="P16" s="2" t="s">
        <x:v>837</x:v>
      </x:c>
      <x:c r="Q16" s="2" t="s">
        <x:v>838</x:v>
      </x:c>
    </x:row>
    <x:row r="17" ht="28.5">
      <x:c r="A17" s="2" t="s">
        <x:v>601</x:v>
      </x:c>
      <x:c r="B17" s="2" t="s">
        <x:v>778</x:v>
      </x:c>
      <x:c r="C17" s="2" t="s">
        <x:v>441</x:v>
      </x:c>
      <x:c r="D17" s="2" t="s">
        <x:v>602</x:v>
      </x:c>
      <x:c r="E17" s="2" t="s">
        <x:v>889</x:v>
      </x:c>
      <x:c r="F17" s="7">
        <x:v>10</x:v>
      </x:c>
      <x:c r="G17" s="7" t="s">
        <x:v>144</x:v>
      </x:c>
      <x:c r="H17" s="7" t="s">
        <x:v>144</x:v>
      </x:c>
      <x:c r="I17" s="7">
        <x:v>10</x:v>
      </x:c>
      <x:c r="J17" s="7">
        <x:v>0</x:v>
      </x:c>
      <x:c r="K17" s="7">
        <x:v>0</x:v>
      </x:c>
      <x:c r="L17" s="2" t="s">
        <x:v>890</x:v>
      </x:c>
      <x:c r="M17" s="10"/>
      <x:c r="N17" s="2" t="s">
        <x:v>574</x:v>
      </x:c>
      <x:c r="O17" s="2" t="s">
        <x:v>891</x:v>
      </x:c>
      <x:c r="P17" s="2" t="s">
        <x:v>837</x:v>
      </x:c>
      <x:c r="Q17" s="2" t="s">
        <x:v>838</x:v>
      </x:c>
    </x:row>
    <x:row r="18" ht="28.5">
      <x:c r="A18" s="2" t="s">
        <x:v>606</x:v>
      </x:c>
      <x:c r="B18" s="2" t="s">
        <x:v>778</x:v>
      </x:c>
      <x:c r="C18" s="2" t="s">
        <x:v>441</x:v>
      </x:c>
      <x:c r="D18" s="2" t="s">
        <x:v>602</x:v>
      </x:c>
      <x:c r="E18" s="2" t="s">
        <x:v>892</x:v>
      </x:c>
      <x:c r="F18" s="7">
        <x:v>6</x:v>
      </x:c>
      <x:c r="G18" s="7" t="s">
        <x:v>144</x:v>
      </x:c>
      <x:c r="H18" s="7" t="s">
        <x:v>144</x:v>
      </x:c>
      <x:c r="I18" s="7">
        <x:v>6</x:v>
      </x:c>
      <x:c r="J18" s="7">
        <x:v>0</x:v>
      </x:c>
      <x:c r="K18" s="7">
        <x:v>0</x:v>
      </x:c>
      <x:c r="L18" s="2" t="s">
        <x:v>893</x:v>
      </x:c>
      <x:c r="M18" s="10">
        <x:v>46259</x:v>
      </x:c>
      <x:c r="N18" s="2" t="s">
        <x:v>601</x:v>
      </x:c>
      <x:c r="O18" s="2" t="s">
        <x:v>894</x:v>
      </x:c>
      <x:c r="P18" s="2" t="s">
        <x:v>837</x:v>
      </x:c>
      <x:c r="Q18" s="2" t="s">
        <x:v>838</x:v>
      </x:c>
    </x:row>
    <x:row r="19" ht="28.5">
      <x:c r="A19" s="2" t="s">
        <x:v>610</x:v>
      </x:c>
      <x:c r="B19" s="2" t="s">
        <x:v>778</x:v>
      </x:c>
      <x:c r="C19" s="2" t="s">
        <x:v>441</x:v>
      </x:c>
      <x:c r="D19" s="2" t="s">
        <x:v>442</x:v>
      </x:c>
      <x:c r="E19" s="2" t="s">
        <x:v>895</x:v>
      </x:c>
      <x:c r="F19" s="7">
        <x:v>12</x:v>
      </x:c>
      <x:c r="G19" s="7" t="s">
        <x:v>144</x:v>
      </x:c>
      <x:c r="H19" s="7" t="s">
        <x:v>144</x:v>
      </x:c>
      <x:c r="I19" s="7">
        <x:v>12</x:v>
      </x:c>
      <x:c r="J19" s="7">
        <x:v>0</x:v>
      </x:c>
      <x:c r="K19" s="7">
        <x:v>0</x:v>
      </x:c>
      <x:c r="L19" s="2" t="s">
        <x:v>896</x:v>
      </x:c>
      <x:c r="M19" s="10">
        <x:v>46266</x:v>
      </x:c>
      <x:c r="N19" s="2" t="s">
        <x:v>897</x:v>
      </x:c>
      <x:c r="O19" s="2" t="s">
        <x:v>898</x:v>
      </x:c>
      <x:c r="P19" s="2" t="s">
        <x:v>837</x:v>
      </x:c>
      <x:c r="Q19" s="2" t="s">
        <x:v>838</x:v>
      </x:c>
    </x:row>
    <x:row r="20" ht="28.5">
      <x:c r="A20" s="2" t="s">
        <x:v>619</x:v>
      </x:c>
      <x:c r="B20" s="2" t="s">
        <x:v>778</x:v>
      </x:c>
      <x:c r="C20" s="2" t="s">
        <x:v>441</x:v>
      </x:c>
      <x:c r="D20" s="2" t="s">
        <x:v>602</x:v>
      </x:c>
      <x:c r="E20" s="2" t="s">
        <x:v>899</x:v>
      </x:c>
      <x:c r="F20" s="7">
        <x:v>5</x:v>
      </x:c>
      <x:c r="G20" s="7" t="s">
        <x:v>144</x:v>
      </x:c>
      <x:c r="H20" s="7" t="s">
        <x:v>144</x:v>
      </x:c>
      <x:c r="I20" s="7">
        <x:v>5</x:v>
      </x:c>
      <x:c r="J20" s="7">
        <x:v>0</x:v>
      </x:c>
      <x:c r="K20" s="7">
        <x:v>0</x:v>
      </x:c>
      <x:c r="L20" s="2" t="s">
        <x:v>900</x:v>
      </x:c>
      <x:c r="M20" s="10">
        <x:v>46259</x:v>
      </x:c>
      <x:c r="N20" s="2" t="s">
        <x:v>601</x:v>
      </x:c>
      <x:c r="O20" s="2" t="s">
        <x:v>901</x:v>
      </x:c>
      <x:c r="P20" s="2" t="s">
        <x:v>837</x:v>
      </x:c>
      <x:c r="Q20" s="2" t="s">
        <x:v>838</x:v>
      </x:c>
    </x:row>
    <x:row r="21" ht="28.5">
      <x:c r="A21" s="2" t="s">
        <x:v>623</x:v>
      </x:c>
      <x:c r="B21" s="2" t="s">
        <x:v>778</x:v>
      </x:c>
      <x:c r="C21" s="2" t="s">
        <x:v>441</x:v>
      </x:c>
      <x:c r="D21" s="2" t="s">
        <x:v>442</x:v>
      </x:c>
      <x:c r="E21" s="2" t="s">
        <x:v>902</x:v>
      </x:c>
      <x:c r="F21" s="7">
        <x:v>6</x:v>
      </x:c>
      <x:c r="G21" s="7" t="s">
        <x:v>144</x:v>
      </x:c>
      <x:c r="H21" s="7" t="s">
        <x:v>144</x:v>
      </x:c>
      <x:c r="I21" s="7">
        <x:v>6</x:v>
      </x:c>
      <x:c r="J21" s="7">
        <x:v>0</x:v>
      </x:c>
      <x:c r="K21" s="7">
        <x:v>0</x:v>
      </x:c>
      <x:c r="L21" s="2" t="s">
        <x:v>903</x:v>
      </x:c>
      <x:c r="M21" s="10"/>
      <x:c r="N21" s="2" t="s">
        <x:v>897</x:v>
      </x:c>
      <x:c r="O21" s="2" t="s">
        <x:v>904</x:v>
      </x:c>
      <x:c r="P21" s="2" t="s">
        <x:v>837</x:v>
      </x:c>
      <x:c r="Q21" s="2" t="s">
        <x:v>838</x:v>
      </x:c>
    </x:row>
    <x:row r="22" ht="42.75">
      <x:c r="A22" s="2" t="s">
        <x:v>486</x:v>
      </x:c>
      <x:c r="B22" s="2" t="s">
        <x:v>778</x:v>
      </x:c>
      <x:c r="C22" s="2" t="s">
        <x:v>487</x:v>
      </x:c>
      <x:c r="D22" s="2" t="s">
        <x:v>442</x:v>
      </x:c>
      <x:c r="E22" s="2" t="s">
        <x:v>905</x:v>
      </x:c>
      <x:c r="F22" s="7">
        <x:v>12</x:v>
      </x:c>
      <x:c r="G22" s="7" t="s">
        <x:v>144</x:v>
      </x:c>
      <x:c r="H22" s="7" t="s">
        <x:v>144</x:v>
      </x:c>
      <x:c r="I22" s="7">
        <x:v>12</x:v>
      </x:c>
      <x:c r="J22" s="7">
        <x:v>0</x:v>
      </x:c>
      <x:c r="K22" s="7">
        <x:v>0</x:v>
      </x:c>
      <x:c r="L22" s="2" t="s">
        <x:v>906</x:v>
      </x:c>
      <x:c r="M22" s="10">
        <x:v>46272</x:v>
      </x:c>
      <x:c r="N22" s="2" t="s">
        <x:v>907</x:v>
      </x:c>
      <x:c r="O22" s="2" t="s">
        <x:v>908</x:v>
      </x:c>
      <x:c r="P22" s="2" t="s">
        <x:v>837</x:v>
      </x:c>
      <x:c r="Q22" s="2" t="s">
        <x:v>909</x:v>
      </x:c>
    </x:row>
    <x:row r="23" ht="42.75">
      <x:c r="A23" s="2" t="s">
        <x:v>492</x:v>
      </x:c>
      <x:c r="B23" s="2" t="s">
        <x:v>778</x:v>
      </x:c>
      <x:c r="C23" s="2" t="s">
        <x:v>487</x:v>
      </x:c>
      <x:c r="D23" s="2" t="s">
        <x:v>442</x:v>
      </x:c>
      <x:c r="E23" s="2" t="s">
        <x:v>910</x:v>
      </x:c>
      <x:c r="F23" s="7">
        <x:v>8</x:v>
      </x:c>
      <x:c r="G23" s="7" t="s">
        <x:v>144</x:v>
      </x:c>
      <x:c r="H23" s="7" t="s">
        <x:v>144</x:v>
      </x:c>
      <x:c r="I23" s="7">
        <x:v>8</x:v>
      </x:c>
      <x:c r="J23" s="7">
        <x:v>0</x:v>
      </x:c>
      <x:c r="K23" s="7">
        <x:v>0</x:v>
      </x:c>
      <x:c r="L23" s="2" t="s">
        <x:v>911</x:v>
      </x:c>
      <x:c r="M23" s="10">
        <x:v>46273</x:v>
      </x:c>
      <x:c r="N23" s="2" t="s">
        <x:v>486</x:v>
      </x:c>
      <x:c r="O23" s="2" t="s">
        <x:v>912</x:v>
      </x:c>
      <x:c r="P23" s="2" t="s">
        <x:v>837</x:v>
      </x:c>
      <x:c r="Q23" s="2" t="s">
        <x:v>909</x:v>
      </x:c>
    </x:row>
    <x:row r="24" ht="42.75">
      <x:c r="A24" s="2" t="s">
        <x:v>496</x:v>
      </x:c>
      <x:c r="B24" s="2" t="s">
        <x:v>778</x:v>
      </x:c>
      <x:c r="C24" s="2" t="s">
        <x:v>487</x:v>
      </x:c>
      <x:c r="D24" s="2" t="s">
        <x:v>442</x:v>
      </x:c>
      <x:c r="E24" s="2" t="s">
        <x:v>913</x:v>
      </x:c>
      <x:c r="F24" s="7">
        <x:v>6</x:v>
      </x:c>
      <x:c r="G24" s="7" t="s">
        <x:v>144</x:v>
      </x:c>
      <x:c r="H24" s="7" t="s">
        <x:v>144</x:v>
      </x:c>
      <x:c r="I24" s="7">
        <x:v>6</x:v>
      </x:c>
      <x:c r="J24" s="7">
        <x:v>0</x:v>
      </x:c>
      <x:c r="K24" s="7">
        <x:v>0</x:v>
      </x:c>
      <x:c r="L24" s="2" t="s">
        <x:v>914</x:v>
      </x:c>
      <x:c r="M24" s="10">
        <x:v>46273</x:v>
      </x:c>
      <x:c r="N24" s="2" t="s">
        <x:v>492</x:v>
      </x:c>
      <x:c r="O24" s="2" t="s">
        <x:v>915</x:v>
      </x:c>
      <x:c r="P24" s="2" t="s">
        <x:v>837</x:v>
      </x:c>
      <x:c r="Q24" s="2" t="s">
        <x:v>909</x:v>
      </x:c>
    </x:row>
    <x:row r="25" ht="42.75">
      <x:c r="A25" s="2" t="s">
        <x:v>916</x:v>
      </x:c>
      <x:c r="B25" s="2" t="s">
        <x:v>778</x:v>
      </x:c>
      <x:c r="C25" s="2" t="s">
        <x:v>487</x:v>
      </x:c>
      <x:c r="D25" s="2" t="s">
        <x:v>581</x:v>
      </x:c>
      <x:c r="E25" s="2" t="s">
        <x:v>917</x:v>
      </x:c>
      <x:c r="F25" s="7">
        <x:v>12</x:v>
      </x:c>
      <x:c r="G25" s="7" t="s">
        <x:v>918</x:v>
      </x:c>
      <x:c r="H25" s="7" t="s">
        <x:v>918</x:v>
      </x:c>
      <x:c r="I25" s="7">
        <x:v>0</x:v>
      </x:c>
      <x:c r="J25" s="7">
        <x:v>12</x:v>
      </x:c>
      <x:c r="K25" s="7">
        <x:v>0</x:v>
      </x:c>
      <x:c r="L25" s="2"/>
      <x:c r="M25" s="10"/>
      <x:c r="N25" s="2" t="s">
        <x:v>919</x:v>
      </x:c>
      <x:c r="O25" s="2" t="s">
        <x:v>920</x:v>
      </x:c>
      <x:c r="P25" s="2" t="s">
        <x:v>837</x:v>
      </x:c>
      <x:c r="Q25" s="2" t="s">
        <x:v>909</x:v>
      </x:c>
    </x:row>
    <x:row r="26" ht="42.75">
      <x:c r="A26" s="2" t="s">
        <x:v>921</x:v>
      </x:c>
      <x:c r="B26" s="2" t="s">
        <x:v>778</x:v>
      </x:c>
      <x:c r="C26" s="2" t="s">
        <x:v>487</x:v>
      </x:c>
      <x:c r="D26" s="2" t="s">
        <x:v>442</x:v>
      </x:c>
      <x:c r="E26" s="2" t="s">
        <x:v>922</x:v>
      </x:c>
      <x:c r="F26" s="7">
        <x:v>8</x:v>
      </x:c>
      <x:c r="G26" s="7" t="s">
        <x:v>918</x:v>
      </x:c>
      <x:c r="H26" s="7" t="s">
        <x:v>918</x:v>
      </x:c>
      <x:c r="I26" s="7">
        <x:v>0</x:v>
      </x:c>
      <x:c r="J26" s="7">
        <x:v>8</x:v>
      </x:c>
      <x:c r="K26" s="7">
        <x:v>0</x:v>
      </x:c>
      <x:c r="L26" s="2"/>
      <x:c r="M26" s="10"/>
      <x:c r="N26" s="2" t="s">
        <x:v>923</x:v>
      </x:c>
      <x:c r="O26" s="2" t="s">
        <x:v>924</x:v>
      </x:c>
      <x:c r="P26" s="2" t="s">
        <x:v>837</x:v>
      </x:c>
      <x:c r="Q26" s="2" t="s">
        <x:v>909</x:v>
      </x:c>
    </x:row>
    <x:row r="27" ht="42.75">
      <x:c r="A27" s="2" t="s">
        <x:v>925</x:v>
      </x:c>
      <x:c r="B27" s="2" t="s">
        <x:v>778</x:v>
      </x:c>
      <x:c r="C27" s="2" t="s">
        <x:v>487</x:v>
      </x:c>
      <x:c r="D27" s="2" t="s">
        <x:v>442</x:v>
      </x:c>
      <x:c r="E27" s="2" t="s">
        <x:v>926</x:v>
      </x:c>
      <x:c r="F27" s="7">
        <x:v>6</x:v>
      </x:c>
      <x:c r="G27" s="7" t="s">
        <x:v>918</x:v>
      </x:c>
      <x:c r="H27" s="7" t="s">
        <x:v>918</x:v>
      </x:c>
      <x:c r="I27" s="7">
        <x:v>0</x:v>
      </x:c>
      <x:c r="J27" s="7">
        <x:v>6</x:v>
      </x:c>
      <x:c r="K27" s="7">
        <x:v>0</x:v>
      </x:c>
      <x:c r="L27" s="2"/>
      <x:c r="M27" s="10"/>
      <x:c r="N27" s="2" t="s">
        <x:v>921</x:v>
      </x:c>
      <x:c r="O27" s="2" t="s">
        <x:v>927</x:v>
      </x:c>
      <x:c r="P27" s="2" t="s">
        <x:v>837</x:v>
      </x:c>
      <x:c r="Q27" s="2" t="s">
        <x:v>909</x:v>
      </x:c>
    </x:row>
    <x:row r="28" ht="42.75">
      <x:c r="A28" s="2" t="s">
        <x:v>928</x:v>
      </x:c>
      <x:c r="B28" s="2" t="s">
        <x:v>778</x:v>
      </x:c>
      <x:c r="C28" s="2" t="s">
        <x:v>487</x:v>
      </x:c>
      <x:c r="D28" s="2" t="s">
        <x:v>581</x:v>
      </x:c>
      <x:c r="E28" s="2" t="s">
        <x:v>929</x:v>
      </x:c>
      <x:c r="F28" s="7">
        <x:v>12</x:v>
      </x:c>
      <x:c r="G28" s="7" t="s">
        <x:v>918</x:v>
      </x:c>
      <x:c r="H28" s="7" t="s">
        <x:v>918</x:v>
      </x:c>
      <x:c r="I28" s="7">
        <x:v>0</x:v>
      </x:c>
      <x:c r="J28" s="7">
        <x:v>12</x:v>
      </x:c>
      <x:c r="K28" s="7">
        <x:v>0</x:v>
      </x:c>
      <x:c r="L28" s="2"/>
      <x:c r="M28" s="10"/>
      <x:c r="N28" s="2" t="s">
        <x:v>930</x:v>
      </x:c>
      <x:c r="O28" s="2" t="s">
        <x:v>920</x:v>
      </x:c>
      <x:c r="P28" s="2" t="s">
        <x:v>837</x:v>
      </x:c>
      <x:c r="Q28" s="2" t="s">
        <x:v>909</x:v>
      </x:c>
    </x:row>
    <x:row r="29" ht="42.75">
      <x:c r="A29" s="2" t="s">
        <x:v>931</x:v>
      </x:c>
      <x:c r="B29" s="2" t="s">
        <x:v>778</x:v>
      </x:c>
      <x:c r="C29" s="2" t="s">
        <x:v>487</x:v>
      </x:c>
      <x:c r="D29" s="2" t="s">
        <x:v>442</x:v>
      </x:c>
      <x:c r="E29" s="2" t="s">
        <x:v>932</x:v>
      </x:c>
      <x:c r="F29" s="7">
        <x:v>8</x:v>
      </x:c>
      <x:c r="G29" s="7" t="s">
        <x:v>918</x:v>
      </x:c>
      <x:c r="H29" s="7" t="s">
        <x:v>918</x:v>
      </x:c>
      <x:c r="I29" s="7">
        <x:v>0</x:v>
      </x:c>
      <x:c r="J29" s="7">
        <x:v>8</x:v>
      </x:c>
      <x:c r="K29" s="7">
        <x:v>0</x:v>
      </x:c>
      <x:c r="L29" s="2"/>
      <x:c r="M29" s="10"/>
      <x:c r="N29" s="2" t="s">
        <x:v>933</x:v>
      </x:c>
      <x:c r="O29" s="2" t="s">
        <x:v>934</x:v>
      </x:c>
      <x:c r="P29" s="2" t="s">
        <x:v>837</x:v>
      </x:c>
      <x:c r="Q29" s="2" t="s">
        <x:v>909</x:v>
      </x:c>
    </x:row>
    <x:row r="30" ht="42.75">
      <x:c r="A30" s="2" t="s">
        <x:v>935</x:v>
      </x:c>
      <x:c r="B30" s="2" t="s">
        <x:v>778</x:v>
      </x:c>
      <x:c r="C30" s="2" t="s">
        <x:v>487</x:v>
      </x:c>
      <x:c r="D30" s="2" t="s">
        <x:v>442</x:v>
      </x:c>
      <x:c r="E30" s="2" t="s">
        <x:v>936</x:v>
      </x:c>
      <x:c r="F30" s="7">
        <x:v>6</x:v>
      </x:c>
      <x:c r="G30" s="7" t="s">
        <x:v>918</x:v>
      </x:c>
      <x:c r="H30" s="7" t="s">
        <x:v>918</x:v>
      </x:c>
      <x:c r="I30" s="7">
        <x:v>0</x:v>
      </x:c>
      <x:c r="J30" s="7">
        <x:v>6</x:v>
      </x:c>
      <x:c r="K30" s="7">
        <x:v>0</x:v>
      </x:c>
      <x:c r="L30" s="2"/>
      <x:c r="M30" s="10"/>
      <x:c r="N30" s="2" t="s">
        <x:v>937</x:v>
      </x:c>
      <x:c r="O30" s="2" t="s">
        <x:v>920</x:v>
      </x:c>
      <x:c r="P30" s="2" t="s">
        <x:v>837</x:v>
      </x:c>
      <x:c r="Q30" s="2" t="s">
        <x:v>909</x:v>
      </x:c>
    </x:row>
    <x:row r="31" ht="42.75">
      <x:c r="A31" s="2" t="s">
        <x:v>938</x:v>
      </x:c>
      <x:c r="B31" s="2" t="s">
        <x:v>778</x:v>
      </x:c>
      <x:c r="C31" s="2" t="s">
        <x:v>487</x:v>
      </x:c>
      <x:c r="D31" s="2" t="s">
        <x:v>442</x:v>
      </x:c>
      <x:c r="E31" s="2" t="s">
        <x:v>939</x:v>
      </x:c>
      <x:c r="F31" s="7">
        <x:v>8</x:v>
      </x:c>
      <x:c r="G31" s="7" t="s">
        <x:v>918</x:v>
      </x:c>
      <x:c r="H31" s="7" t="s">
        <x:v>918</x:v>
      </x:c>
      <x:c r="I31" s="7">
        <x:v>0</x:v>
      </x:c>
      <x:c r="J31" s="7">
        <x:v>8</x:v>
      </x:c>
      <x:c r="K31" s="7">
        <x:v>0</x:v>
      </x:c>
      <x:c r="L31" s="2"/>
      <x:c r="M31" s="10"/>
      <x:c r="N31" s="2" t="s">
        <x:v>940</x:v>
      </x:c>
      <x:c r="O31" s="2" t="s">
        <x:v>941</x:v>
      </x:c>
      <x:c r="P31" s="2" t="s">
        <x:v>837</x:v>
      </x:c>
      <x:c r="Q31" s="2" t="s">
        <x:v>909</x:v>
      </x:c>
    </x:row>
    <x:row r="32" ht="42.75">
      <x:c r="A32" s="2" t="s">
        <x:v>942</x:v>
      </x:c>
      <x:c r="B32" s="2" t="s">
        <x:v>778</x:v>
      </x:c>
      <x:c r="C32" s="2" t="s">
        <x:v>487</x:v>
      </x:c>
      <x:c r="D32" s="2" t="s">
        <x:v>442</x:v>
      </x:c>
      <x:c r="E32" s="2" t="s">
        <x:v>943</x:v>
      </x:c>
      <x:c r="F32" s="7">
        <x:v>6</x:v>
      </x:c>
      <x:c r="G32" s="7" t="s">
        <x:v>918</x:v>
      </x:c>
      <x:c r="H32" s="7" t="s">
        <x:v>918</x:v>
      </x:c>
      <x:c r="I32" s="7">
        <x:v>0</x:v>
      </x:c>
      <x:c r="J32" s="7">
        <x:v>6</x:v>
      </x:c>
      <x:c r="K32" s="7">
        <x:v>0</x:v>
      </x:c>
      <x:c r="L32" s="2"/>
      <x:c r="M32" s="10"/>
      <x:c r="N32" s="2" t="s">
        <x:v>938</x:v>
      </x:c>
      <x:c r="O32" s="2" t="s">
        <x:v>920</x:v>
      </x:c>
      <x:c r="P32" s="2" t="s">
        <x:v>837</x:v>
      </x:c>
      <x:c r="Q32" s="2" t="s">
        <x:v>909</x:v>
      </x:c>
    </x:row>
    <x:row r="33" ht="42.75">
      <x:c r="A33" s="2" t="s">
        <x:v>697</x:v>
      </x:c>
      <x:c r="B33" s="2" t="s">
        <x:v>778</x:v>
      </x:c>
      <x:c r="C33" s="2" t="s">
        <x:v>487</x:v>
      </x:c>
      <x:c r="D33" s="2" t="s">
        <x:v>602</x:v>
      </x:c>
      <x:c r="E33" s="2" t="s">
        <x:v>944</x:v>
      </x:c>
      <x:c r="F33" s="7">
        <x:v>16</x:v>
      </x:c>
      <x:c r="G33" s="7" t="s">
        <x:v>918</x:v>
      </x:c>
      <x:c r="H33" s="7" t="s">
        <x:v>918</x:v>
      </x:c>
      <x:c r="I33" s="7">
        <x:v>0</x:v>
      </x:c>
      <x:c r="J33" s="7">
        <x:v>16</x:v>
      </x:c>
      <x:c r="K33" s="7">
        <x:v>0</x:v>
      </x:c>
      <x:c r="L33" s="2"/>
      <x:c r="M33" s="10"/>
      <x:c r="N33" s="2" t="s">
        <x:v>945</x:v>
      </x:c>
      <x:c r="O33" s="2" t="s">
        <x:v>946</x:v>
      </x:c>
      <x:c r="P33" s="2" t="s">
        <x:v>837</x:v>
      </x:c>
      <x:c r="Q33" s="2" t="s">
        <x:v>909</x:v>
      </x:c>
    </x:row>
    <x:row r="34" ht="42.75">
      <x:c r="A34" s="2" t="s">
        <x:v>702</x:v>
      </x:c>
      <x:c r="B34" s="2" t="s">
        <x:v>778</x:v>
      </x:c>
      <x:c r="C34" s="2" t="s">
        <x:v>487</x:v>
      </x:c>
      <x:c r="D34" s="2" t="s">
        <x:v>602</x:v>
      </x:c>
      <x:c r="E34" s="2" t="s">
        <x:v>947</x:v>
      </x:c>
      <x:c r="F34" s="7">
        <x:v>16</x:v>
      </x:c>
      <x:c r="G34" s="7" t="s">
        <x:v>918</x:v>
      </x:c>
      <x:c r="H34" s="7" t="s">
        <x:v>918</x:v>
      </x:c>
      <x:c r="I34" s="7">
        <x:v>0</x:v>
      </x:c>
      <x:c r="J34" s="7">
        <x:v>16</x:v>
      </x:c>
      <x:c r="K34" s="7">
        <x:v>0</x:v>
      </x:c>
      <x:c r="L34" s="2"/>
      <x:c r="M34" s="10"/>
      <x:c r="N34" s="2" t="s">
        <x:v>948</x:v>
      </x:c>
      <x:c r="O34" s="2" t="s">
        <x:v>949</x:v>
      </x:c>
      <x:c r="P34" s="2" t="s">
        <x:v>837</x:v>
      </x:c>
      <x:c r="Q34" s="2" t="s">
        <x:v>909</x:v>
      </x:c>
    </x:row>
    <x:row r="35" ht="42.75">
      <x:c r="A35" s="2" t="s">
        <x:v>950</x:v>
      </x:c>
      <x:c r="B35" s="2" t="s">
        <x:v>778</x:v>
      </x:c>
      <x:c r="C35" s="2" t="s">
        <x:v>487</x:v>
      </x:c>
      <x:c r="D35" s="2" t="s">
        <x:v>442</x:v>
      </x:c>
      <x:c r="E35" s="2" t="s">
        <x:v>951</x:v>
      </x:c>
      <x:c r="F35" s="7">
        <x:v>8</x:v>
      </x:c>
      <x:c r="G35" s="7" t="s">
        <x:v>918</x:v>
      </x:c>
      <x:c r="H35" s="7" t="s">
        <x:v>918</x:v>
      </x:c>
      <x:c r="I35" s="7">
        <x:v>0</x:v>
      </x:c>
      <x:c r="J35" s="7">
        <x:v>8</x:v>
      </x:c>
      <x:c r="K35" s="7">
        <x:v>0</x:v>
      </x:c>
      <x:c r="L35" s="2"/>
      <x:c r="M35" s="10"/>
      <x:c r="N35" s="2"/>
      <x:c r="O35" s="2" t="s">
        <x:v>952</x:v>
      </x:c>
      <x:c r="P35" s="2" t="s">
        <x:v>837</x:v>
      </x:c>
      <x:c r="Q35" s="2" t="s">
        <x:v>909</x:v>
      </x:c>
    </x:row>
    <x:row r="36" ht="42.75">
      <x:c r="A36" s="2" t="s">
        <x:v>952</x:v>
      </x:c>
      <x:c r="B36" s="2" t="s">
        <x:v>778</x:v>
      </x:c>
      <x:c r="C36" s="2" t="s">
        <x:v>487</x:v>
      </x:c>
      <x:c r="D36" s="2" t="s">
        <x:v>602</x:v>
      </x:c>
      <x:c r="E36" s="2" t="s">
        <x:v>953</x:v>
      </x:c>
      <x:c r="F36" s="7">
        <x:v>6</x:v>
      </x:c>
      <x:c r="G36" s="7" t="s">
        <x:v>918</x:v>
      </x:c>
      <x:c r="H36" s="7" t="s">
        <x:v>918</x:v>
      </x:c>
      <x:c r="I36" s="7">
        <x:v>0</x:v>
      </x:c>
      <x:c r="J36" s="7">
        <x:v>6</x:v>
      </x:c>
      <x:c r="K36" s="7">
        <x:v>0</x:v>
      </x:c>
      <x:c r="L36" s="2"/>
      <x:c r="M36" s="10"/>
      <x:c r="N36" s="2" t="s">
        <x:v>954</x:v>
      </x:c>
      <x:c r="O36" s="2" t="s">
        <x:v>955</x:v>
      </x:c>
      <x:c r="P36" s="2" t="s">
        <x:v>837</x:v>
      </x:c>
      <x:c r="Q36" s="2" t="s">
        <x:v>909</x:v>
      </x:c>
    </x:row>
    <x:row r="37" ht="42.75">
      <x:c r="A37" s="2" t="s">
        <x:v>956</x:v>
      </x:c>
      <x:c r="B37" s="2" t="s">
        <x:v>778</x:v>
      </x:c>
      <x:c r="C37" s="2" t="s">
        <x:v>487</x:v>
      </x:c>
      <x:c r="D37" s="2" t="s">
        <x:v>442</x:v>
      </x:c>
      <x:c r="E37" s="2" t="s">
        <x:v>957</x:v>
      </x:c>
      <x:c r="F37" s="7">
        <x:v>12</x:v>
      </x:c>
      <x:c r="G37" s="7" t="s">
        <x:v>918</x:v>
      </x:c>
      <x:c r="H37" s="7" t="s">
        <x:v>918</x:v>
      </x:c>
      <x:c r="I37" s="7">
        <x:v>0</x:v>
      </x:c>
      <x:c r="J37" s="7">
        <x:v>12</x:v>
      </x:c>
      <x:c r="K37" s="7">
        <x:v>0</x:v>
      </x:c>
      <x:c r="L37" s="2"/>
      <x:c r="M37" s="10"/>
      <x:c r="N37" s="2"/>
      <x:c r="O37" s="2"/>
      <x:c r="P37" s="2" t="s">
        <x:v>837</x:v>
      </x:c>
      <x:c r="Q37" s="2" t="s">
        <x:v>909</x:v>
      </x:c>
    </x:row>
    <x:row r="38" ht="42.75">
      <x:c r="A38" s="2" t="s">
        <x:v>958</x:v>
      </x:c>
      <x:c r="B38" s="2" t="s">
        <x:v>778</x:v>
      </x:c>
      <x:c r="C38" s="2" t="s">
        <x:v>487</x:v>
      </x:c>
      <x:c r="D38" s="2" t="s">
        <x:v>442</x:v>
      </x:c>
      <x:c r="E38" s="2" t="s">
        <x:v>959</x:v>
      </x:c>
      <x:c r="F38" s="7">
        <x:v>12</x:v>
      </x:c>
      <x:c r="G38" s="7" t="s">
        <x:v>918</x:v>
      </x:c>
      <x:c r="H38" s="7" t="s">
        <x:v>918</x:v>
      </x:c>
      <x:c r="I38" s="7">
        <x:v>0</x:v>
      </x:c>
      <x:c r="J38" s="7">
        <x:v>12</x:v>
      </x:c>
      <x:c r="K38" s="7">
        <x:v>0</x:v>
      </x:c>
      <x:c r="L38" s="2"/>
      <x:c r="M38" s="10"/>
      <x:c r="N38" s="2"/>
      <x:c r="O38" s="2"/>
      <x:c r="P38" s="2" t="s">
        <x:v>837</x:v>
      </x:c>
      <x:c r="Q38" s="2" t="s">
        <x:v>909</x:v>
      </x:c>
    </x:row>
    <x:row r="39" ht="42.75">
      <x:c r="A39" s="2" t="s">
        <x:v>960</x:v>
      </x:c>
      <x:c r="B39" s="2" t="s">
        <x:v>778</x:v>
      </x:c>
      <x:c r="C39" s="2" t="s">
        <x:v>487</x:v>
      </x:c>
      <x:c r="D39" s="2" t="s">
        <x:v>442</x:v>
      </x:c>
      <x:c r="E39" s="2" t="s">
        <x:v>961</x:v>
      </x:c>
      <x:c r="F39" s="7">
        <x:v>6</x:v>
      </x:c>
      <x:c r="G39" s="7" t="s">
        <x:v>144</x:v>
      </x:c>
      <x:c r="H39" s="7" t="s">
        <x:v>144</x:v>
      </x:c>
      <x:c r="I39" s="7">
        <x:v>6</x:v>
      </x:c>
      <x:c r="J39" s="7">
        <x:v>0</x:v>
      </x:c>
      <x:c r="K39" s="7">
        <x:v>0</x:v>
      </x:c>
      <x:c r="L39" s="2" t="s">
        <x:v>887</x:v>
      </x:c>
      <x:c r="M39" s="10"/>
      <x:c r="N39" s="2" t="s">
        <x:v>574</x:v>
      </x:c>
      <x:c r="O39" s="2" t="s">
        <x:v>962</x:v>
      </x:c>
      <x:c r="P39" s="2" t="s">
        <x:v>837</x:v>
      </x:c>
      <x:c r="Q39" s="2" t="s">
        <x:v>909</x:v>
      </x:c>
    </x:row>
    <x:row r="40" ht="42.75">
      <x:c r="A40" s="2" t="s">
        <x:v>963</x:v>
      </x:c>
      <x:c r="B40" s="2" t="s">
        <x:v>778</x:v>
      </x:c>
      <x:c r="C40" s="2" t="s">
        <x:v>487</x:v>
      </x:c>
      <x:c r="D40" s="2" t="s">
        <x:v>581</x:v>
      </x:c>
      <x:c r="E40" s="2" t="s">
        <x:v>964</x:v>
      </x:c>
      <x:c r="F40" s="7">
        <x:v>10</x:v>
      </x:c>
      <x:c r="G40" s="7" t="s">
        <x:v>918</x:v>
      </x:c>
      <x:c r="H40" s="7" t="s">
        <x:v>918</x:v>
      </x:c>
      <x:c r="I40" s="7">
        <x:v>0</x:v>
      </x:c>
      <x:c r="J40" s="7">
        <x:v>10</x:v>
      </x:c>
      <x:c r="K40" s="7">
        <x:v>0</x:v>
      </x:c>
      <x:c r="L40" s="2"/>
      <x:c r="M40" s="10"/>
      <x:c r="N40" s="2" t="s">
        <x:v>965</x:v>
      </x:c>
      <x:c r="O40" s="2"/>
      <x:c r="P40" s="2" t="s">
        <x:v>837</x:v>
      </x:c>
      <x:c r="Q40" s="2" t="s">
        <x:v>909</x:v>
      </x:c>
    </x:row>
    <x:row r="41" ht="42.75">
      <x:c r="A41" s="2" t="s">
        <x:v>615</x:v>
      </x:c>
      <x:c r="B41" s="2" t="s">
        <x:v>778</x:v>
      </x:c>
      <x:c r="C41" s="2" t="s">
        <x:v>487</x:v>
      </x:c>
      <x:c r="D41" s="2" t="s">
        <x:v>581</x:v>
      </x:c>
      <x:c r="E41" s="2" t="s">
        <x:v>966</x:v>
      </x:c>
      <x:c r="F41" s="7">
        <x:v>8</x:v>
      </x:c>
      <x:c r="G41" s="7" t="s">
        <x:v>144</x:v>
      </x:c>
      <x:c r="H41" s="7" t="s">
        <x:v>144</x:v>
      </x:c>
      <x:c r="I41" s="7">
        <x:v>8</x:v>
      </x:c>
      <x:c r="J41" s="7">
        <x:v>0</x:v>
      </x:c>
      <x:c r="K41" s="7">
        <x:v>0</x:v>
      </x:c>
      <x:c r="L41" s="2" t="s">
        <x:v>967</x:v>
      </x:c>
      <x:c r="M41" s="10">
        <x:v>46265</x:v>
      </x:c>
      <x:c r="N41" s="2" t="s">
        <x:v>968</x:v>
      </x:c>
      <x:c r="O41" s="2" t="s">
        <x:v>969</x:v>
      </x:c>
      <x:c r="P41" s="2" t="s">
        <x:v>837</x:v>
      </x:c>
      <x:c r="Q41" s="2" t="s">
        <x:v>909</x:v>
      </x:c>
    </x:row>
    <x:row r="42" ht="42.75">
      <x:c r="A42" s="2" t="s">
        <x:v>970</x:v>
      </x:c>
      <x:c r="B42" s="2" t="s">
        <x:v>778</x:v>
      </x:c>
      <x:c r="C42" s="2" t="s">
        <x:v>487</x:v>
      </x:c>
      <x:c r="D42" s="2" t="s">
        <x:v>442</x:v>
      </x:c>
      <x:c r="E42" s="2" t="s">
        <x:v>971</x:v>
      </x:c>
      <x:c r="F42" s="7">
        <x:v>12</x:v>
      </x:c>
      <x:c r="G42" s="7" t="s">
        <x:v>918</x:v>
      </x:c>
      <x:c r="H42" s="7" t="s">
        <x:v>918</x:v>
      </x:c>
      <x:c r="I42" s="7">
        <x:v>0</x:v>
      </x:c>
      <x:c r="J42" s="7">
        <x:v>12</x:v>
      </x:c>
      <x:c r="K42" s="7">
        <x:v>0</x:v>
      </x:c>
      <x:c r="L42" s="2"/>
      <x:c r="M42" s="10"/>
      <x:c r="N42" s="2" t="s">
        <x:v>960</x:v>
      </x:c>
      <x:c r="O42" s="2" t="s">
        <x:v>972</x:v>
      </x:c>
      <x:c r="P42" s="2" t="s">
        <x:v>837</x:v>
      </x:c>
      <x:c r="Q42" s="2" t="s">
        <x:v>973</x:v>
      </x:c>
    </x:row>
    <x:row r="43" ht="42.75">
      <x:c r="A43" s="2" t="s">
        <x:v>974</x:v>
      </x:c>
      <x:c r="B43" s="2" t="s">
        <x:v>778</x:v>
      </x:c>
      <x:c r="C43" s="2" t="s">
        <x:v>487</x:v>
      </x:c>
      <x:c r="D43" s="2" t="s">
        <x:v>442</x:v>
      </x:c>
      <x:c r="E43" s="2" t="s">
        <x:v>975</x:v>
      </x:c>
      <x:c r="F43" s="7">
        <x:v>12</x:v>
      </x:c>
      <x:c r="G43" s="7" t="s">
        <x:v>918</x:v>
      </x:c>
      <x:c r="H43" s="7" t="s">
        <x:v>918</x:v>
      </x:c>
      <x:c r="I43" s="7">
        <x:v>0</x:v>
      </x:c>
      <x:c r="J43" s="7">
        <x:v>12</x:v>
      </x:c>
      <x:c r="K43" s="7">
        <x:v>0</x:v>
      </x:c>
      <x:c r="L43" s="2"/>
      <x:c r="M43" s="10"/>
      <x:c r="N43" s="2" t="s">
        <x:v>970</x:v>
      </x:c>
      <x:c r="O43" s="2" t="s">
        <x:v>976</x:v>
      </x:c>
      <x:c r="P43" s="2" t="s">
        <x:v>837</x:v>
      </x:c>
      <x:c r="Q43" s="2" t="s">
        <x:v>909</x:v>
      </x:c>
    </x:row>
    <x:row r="44" ht="42.75">
      <x:c r="A44" s="2" t="s">
        <x:v>977</x:v>
      </x:c>
      <x:c r="B44" s="2" t="s">
        <x:v>778</x:v>
      </x:c>
      <x:c r="C44" s="2" t="s">
        <x:v>487</x:v>
      </x:c>
      <x:c r="D44" s="2" t="s">
        <x:v>442</x:v>
      </x:c>
      <x:c r="E44" s="2" t="s">
        <x:v>978</x:v>
      </x:c>
      <x:c r="F44" s="7">
        <x:v>12</x:v>
      </x:c>
      <x:c r="G44" s="7" t="s">
        <x:v>918</x:v>
      </x:c>
      <x:c r="H44" s="7" t="s">
        <x:v>918</x:v>
      </x:c>
      <x:c r="I44" s="7">
        <x:v>0</x:v>
      </x:c>
      <x:c r="J44" s="7">
        <x:v>12</x:v>
      </x:c>
      <x:c r="K44" s="7">
        <x:v>0</x:v>
      </x:c>
      <x:c r="L44" s="2"/>
      <x:c r="M44" s="10"/>
      <x:c r="N44" s="2" t="s">
        <x:v>979</x:v>
      </x:c>
      <x:c r="O44" s="2" t="s">
        <x:v>980</x:v>
      </x:c>
      <x:c r="P44" s="2" t="s">
        <x:v>837</x:v>
      </x:c>
      <x:c r="Q44" s="2" t="s">
        <x:v>909</x:v>
      </x:c>
    </x:row>
    <x:row r="45" ht="42.75">
      <x:c r="A45" s="2" t="s">
        <x:v>981</x:v>
      </x:c>
      <x:c r="B45" s="2" t="s">
        <x:v>778</x:v>
      </x:c>
      <x:c r="C45" s="2" t="s">
        <x:v>487</x:v>
      </x:c>
      <x:c r="D45" s="2" t="s">
        <x:v>442</x:v>
      </x:c>
      <x:c r="E45" s="2" t="s">
        <x:v>982</x:v>
      </x:c>
      <x:c r="F45" s="7">
        <x:v>6</x:v>
      </x:c>
      <x:c r="G45" s="7" t="s">
        <x:v>918</x:v>
      </x:c>
      <x:c r="H45" s="7" t="s">
        <x:v>918</x:v>
      </x:c>
      <x:c r="I45" s="7">
        <x:v>0</x:v>
      </x:c>
      <x:c r="J45" s="7">
        <x:v>6</x:v>
      </x:c>
      <x:c r="K45" s="7">
        <x:v>0</x:v>
      </x:c>
      <x:c r="L45" s="2"/>
      <x:c r="M45" s="10"/>
      <x:c r="N45" s="2" t="s">
        <x:v>983</x:v>
      </x:c>
      <x:c r="O45" s="2" t="s">
        <x:v>984</x:v>
      </x:c>
      <x:c r="P45" s="2" t="s">
        <x:v>837</x:v>
      </x:c>
      <x:c r="Q45" s="2" t="s">
        <x:v>909</x:v>
      </x:c>
    </x:row>
    <x:row r="46" ht="42.75">
      <x:c r="A46" s="2" t="s">
        <x:v>985</x:v>
      </x:c>
      <x:c r="B46" s="2" t="s">
        <x:v>778</x:v>
      </x:c>
      <x:c r="C46" s="2" t="s">
        <x:v>487</x:v>
      </x:c>
      <x:c r="D46" s="2" t="s">
        <x:v>442</x:v>
      </x:c>
      <x:c r="E46" s="2" t="s">
        <x:v>986</x:v>
      </x:c>
      <x:c r="F46" s="7">
        <x:v>5</x:v>
      </x:c>
      <x:c r="G46" s="7" t="s">
        <x:v>918</x:v>
      </x:c>
      <x:c r="H46" s="7" t="s">
        <x:v>918</x:v>
      </x:c>
      <x:c r="I46" s="7">
        <x:v>0</x:v>
      </x:c>
      <x:c r="J46" s="7">
        <x:v>5</x:v>
      </x:c>
      <x:c r="K46" s="7">
        <x:v>0</x:v>
      </x:c>
      <x:c r="L46" s="2"/>
      <x:c r="M46" s="10"/>
      <x:c r="N46" s="2" t="s">
        <x:v>987</x:v>
      </x:c>
      <x:c r="O46" s="2" t="s">
        <x:v>988</x:v>
      </x:c>
      <x:c r="P46" s="2" t="s">
        <x:v>837</x:v>
      </x:c>
      <x:c r="Q46" s="2" t="s">
        <x:v>909</x:v>
      </x:c>
    </x:row>
    <x:row r="47" ht="42.75">
      <x:c r="A47" s="2" t="s">
        <x:v>989</x:v>
      </x:c>
      <x:c r="B47" s="2" t="s">
        <x:v>778</x:v>
      </x:c>
      <x:c r="C47" s="2" t="s">
        <x:v>487</x:v>
      </x:c>
      <x:c r="D47" s="2" t="s">
        <x:v>442</x:v>
      </x:c>
      <x:c r="E47" s="2" t="s">
        <x:v>990</x:v>
      </x:c>
      <x:c r="F47" s="7">
        <x:v>8</x:v>
      </x:c>
      <x:c r="G47" s="7" t="s">
        <x:v>918</x:v>
      </x:c>
      <x:c r="H47" s="7" t="s">
        <x:v>918</x:v>
      </x:c>
      <x:c r="I47" s="7">
        <x:v>0</x:v>
      </x:c>
      <x:c r="J47" s="7">
        <x:v>8</x:v>
      </x:c>
      <x:c r="K47" s="7">
        <x:v>0</x:v>
      </x:c>
      <x:c r="L47" s="2"/>
      <x:c r="M47" s="10"/>
      <x:c r="N47" s="2" t="s">
        <x:v>991</x:v>
      </x:c>
      <x:c r="O47" s="2" t="s">
        <x:v>992</x:v>
      </x:c>
      <x:c r="P47" s="2" t="s">
        <x:v>837</x:v>
      </x:c>
      <x:c r="Q47" s="2" t="s">
        <x:v>909</x:v>
      </x:c>
    </x:row>
    <x:row r="48" ht="42.75">
      <x:c r="A48" s="2" t="s">
        <x:v>627</x:v>
      </x:c>
      <x:c r="B48" s="2" t="s">
        <x:v>778</x:v>
      </x:c>
      <x:c r="C48" s="2" t="s">
        <x:v>487</x:v>
      </x:c>
      <x:c r="D48" s="2" t="s">
        <x:v>581</x:v>
      </x:c>
      <x:c r="E48" s="2" t="s">
        <x:v>993</x:v>
      </x:c>
      <x:c r="F48" s="7">
        <x:v>10</x:v>
      </x:c>
      <x:c r="G48" s="7" t="s">
        <x:v>144</x:v>
      </x:c>
      <x:c r="H48" s="7" t="s">
        <x:v>144</x:v>
      </x:c>
      <x:c r="I48" s="7">
        <x:v>10</x:v>
      </x:c>
      <x:c r="J48" s="7">
        <x:v>0</x:v>
      </x:c>
      <x:c r="K48" s="7">
        <x:v>0</x:v>
      </x:c>
      <x:c r="L48" s="2" t="s">
        <x:v>994</x:v>
      </x:c>
      <x:c r="M48" s="10"/>
      <x:c r="N48" s="2" t="s">
        <x:v>995</x:v>
      </x:c>
      <x:c r="O48" s="2" t="s">
        <x:v>996</x:v>
      </x:c>
      <x:c r="P48" s="2" t="s">
        <x:v>837</x:v>
      </x:c>
      <x:c r="Q48" s="2" t="s">
        <x:v>909</x:v>
      </x:c>
    </x:row>
    <x:row r="49" ht="42.75">
      <x:c r="A49" s="2" t="s">
        <x:v>630</x:v>
      </x:c>
      <x:c r="B49" s="2" t="s">
        <x:v>778</x:v>
      </x:c>
      <x:c r="C49" s="2" t="s">
        <x:v>487</x:v>
      </x:c>
      <x:c r="D49" s="2" t="s">
        <x:v>581</x:v>
      </x:c>
      <x:c r="E49" s="2" t="s">
        <x:v>997</x:v>
      </x:c>
      <x:c r="F49" s="7">
        <x:v>16</x:v>
      </x:c>
      <x:c r="G49" s="7" t="s">
        <x:v>144</x:v>
      </x:c>
      <x:c r="H49" s="7" t="s">
        <x:v>144</x:v>
      </x:c>
      <x:c r="I49" s="7">
        <x:v>16</x:v>
      </x:c>
      <x:c r="J49" s="7">
        <x:v>0</x:v>
      </x:c>
      <x:c r="K49" s="7">
        <x:v>0</x:v>
      </x:c>
      <x:c r="L49" s="2" t="s">
        <x:v>998</x:v>
      </x:c>
      <x:c r="M49" s="10">
        <x:v>46273</x:v>
      </x:c>
      <x:c r="N49" s="2" t="s">
        <x:v>999</x:v>
      </x:c>
      <x:c r="O49" s="2" t="s">
        <x:v>766</x:v>
      </x:c>
      <x:c r="P49" s="2" t="s">
        <x:v>837</x:v>
      </x:c>
      <x:c r="Q49" s="2" t="s">
        <x:v>1000</x:v>
      </x:c>
    </x:row>
    <x:row r="50" ht="42.75">
      <x:c r="A50" s="2" t="s">
        <x:v>766</x:v>
      </x:c>
      <x:c r="B50" s="2" t="s">
        <x:v>778</x:v>
      </x:c>
      <x:c r="C50" s="2" t="s">
        <x:v>487</x:v>
      </x:c>
      <x:c r="D50" s="2" t="s">
        <x:v>581</x:v>
      </x:c>
      <x:c r="E50" s="2" t="s">
        <x:v>1001</x:v>
      </x:c>
      <x:c r="F50" s="7">
        <x:v>12</x:v>
      </x:c>
      <x:c r="G50" s="7" t="s">
        <x:v>918</x:v>
      </x:c>
      <x:c r="H50" s="7" t="s">
        <x:v>918</x:v>
      </x:c>
      <x:c r="I50" s="7">
        <x:v>0</x:v>
      </x:c>
      <x:c r="J50" s="7">
        <x:v>12</x:v>
      </x:c>
      <x:c r="K50" s="7">
        <x:v>0</x:v>
      </x:c>
      <x:c r="L50" s="2"/>
      <x:c r="M50" s="10"/>
      <x:c r="N50" s="2" t="s">
        <x:v>1002</x:v>
      </x:c>
      <x:c r="O50" s="2" t="s">
        <x:v>1003</x:v>
      </x:c>
      <x:c r="P50" s="2" t="s">
        <x:v>837</x:v>
      </x:c>
      <x:c r="Q50" s="2" t="s">
        <x:v>1004</x:v>
      </x:c>
    </x:row>
    <x:row r="51" ht="42.75">
      <x:c r="A51" s="2" t="s">
        <x:v>636</x:v>
      </x:c>
      <x:c r="B51" s="2" t="s">
        <x:v>778</x:v>
      </x:c>
      <x:c r="C51" s="2" t="s">
        <x:v>487</x:v>
      </x:c>
      <x:c r="D51" s="2" t="s">
        <x:v>581</x:v>
      </x:c>
      <x:c r="E51" s="2" t="s">
        <x:v>1005</x:v>
      </x:c>
      <x:c r="F51" s="7">
        <x:v>14</x:v>
      </x:c>
      <x:c r="G51" s="7" t="s">
        <x:v>144</x:v>
      </x:c>
      <x:c r="H51" s="7" t="s">
        <x:v>144</x:v>
      </x:c>
      <x:c r="I51" s="7">
        <x:v>14</x:v>
      </x:c>
      <x:c r="J51" s="7">
        <x:v>0</x:v>
      </x:c>
      <x:c r="K51" s="7">
        <x:v>0</x:v>
      </x:c>
      <x:c r="L51" s="2" t="s">
        <x:v>1006</x:v>
      </x:c>
      <x:c r="M51" s="10">
        <x:v>46269</x:v>
      </x:c>
      <x:c r="N51" s="2" t="s">
        <x:v>1007</x:v>
      </x:c>
      <x:c r="O51" s="2" t="s">
        <x:v>692</x:v>
      </x:c>
      <x:c r="P51" s="2" t="s">
        <x:v>837</x:v>
      </x:c>
      <x:c r="Q51" s="2" t="s">
        <x:v>909</x:v>
      </x:c>
    </x:row>
    <x:row r="52" ht="42.75">
      <x:c r="A52" s="2" t="s">
        <x:v>692</x:v>
      </x:c>
      <x:c r="B52" s="2" t="s">
        <x:v>778</x:v>
      </x:c>
      <x:c r="C52" s="2" t="s">
        <x:v>487</x:v>
      </x:c>
      <x:c r="D52" s="2" t="s">
        <x:v>581</x:v>
      </x:c>
      <x:c r="E52" s="2" t="s">
        <x:v>1008</x:v>
      </x:c>
      <x:c r="F52" s="7">
        <x:v>12</x:v>
      </x:c>
      <x:c r="G52" s="7" t="s">
        <x:v>918</x:v>
      </x:c>
      <x:c r="H52" s="7" t="s">
        <x:v>918</x:v>
      </x:c>
      <x:c r="I52" s="7">
        <x:v>0</x:v>
      </x:c>
      <x:c r="J52" s="7">
        <x:v>12</x:v>
      </x:c>
      <x:c r="K52" s="7">
        <x:v>0</x:v>
      </x:c>
      <x:c r="L52" s="2"/>
      <x:c r="M52" s="10"/>
      <x:c r="N52" s="2" t="s">
        <x:v>1009</x:v>
      </x:c>
      <x:c r="O52" s="2"/>
      <x:c r="P52" s="2" t="s">
        <x:v>837</x:v>
      </x:c>
      <x:c r="Q52" s="2" t="s">
        <x:v>1000</x:v>
      </x:c>
    </x:row>
    <x:row r="53" ht="42.75">
      <x:c r="A53" s="2" t="s">
        <x:v>1010</x:v>
      </x:c>
      <x:c r="B53" s="2" t="s">
        <x:v>778</x:v>
      </x:c>
      <x:c r="C53" s="2" t="s">
        <x:v>487</x:v>
      </x:c>
      <x:c r="D53" s="2" t="s">
        <x:v>581</x:v>
      </x:c>
      <x:c r="E53" s="2" t="s">
        <x:v>1011</x:v>
      </x:c>
      <x:c r="F53" s="7">
        <x:v>11</x:v>
      </x:c>
      <x:c r="G53" s="7" t="s">
        <x:v>918</x:v>
      </x:c>
      <x:c r="H53" s="7" t="s">
        <x:v>918</x:v>
      </x:c>
      <x:c r="I53" s="7">
        <x:v>0</x:v>
      </x:c>
      <x:c r="J53" s="7">
        <x:v>11</x:v>
      </x:c>
      <x:c r="K53" s="7">
        <x:v>0</x:v>
      </x:c>
      <x:c r="L53" s="2"/>
      <x:c r="M53" s="10"/>
      <x:c r="N53" s="2" t="s">
        <x:v>1012</x:v>
      </x:c>
      <x:c r="O53" s="2"/>
      <x:c r="P53" s="2" t="s">
        <x:v>837</x:v>
      </x:c>
      <x:c r="Q53" s="2" t="s">
        <x:v>1000</x:v>
      </x:c>
    </x:row>
    <x:row r="54" ht="42.75">
      <x:c r="A54" s="2" t="s">
        <x:v>1013</x:v>
      </x:c>
      <x:c r="B54" s="2" t="s">
        <x:v>778</x:v>
      </x:c>
      <x:c r="C54" s="2" t="s">
        <x:v>487</x:v>
      </x:c>
      <x:c r="D54" s="2" t="s">
        <x:v>581</x:v>
      </x:c>
      <x:c r="E54" s="2" t="s">
        <x:v>1014</x:v>
      </x:c>
      <x:c r="F54" s="7">
        <x:v>12</x:v>
      </x:c>
      <x:c r="G54" s="7" t="s">
        <x:v>918</x:v>
      </x:c>
      <x:c r="H54" s="7" t="s">
        <x:v>918</x:v>
      </x:c>
      <x:c r="I54" s="7">
        <x:v>0</x:v>
      </x:c>
      <x:c r="J54" s="7">
        <x:v>12</x:v>
      </x:c>
      <x:c r="K54" s="7">
        <x:v>0</x:v>
      </x:c>
      <x:c r="L54" s="2"/>
      <x:c r="M54" s="10"/>
      <x:c r="N54" s="2" t="s">
        <x:v>1015</x:v>
      </x:c>
      <x:c r="O54" s="2"/>
      <x:c r="P54" s="2" t="s">
        <x:v>837</x:v>
      </x:c>
      <x:c r="Q54" s="2" t="s">
        <x:v>909</x:v>
      </x:c>
    </x:row>
    <x:row r="55" ht="156.75">
      <x:c r="A55" s="2" t="s">
        <x:v>653</x:v>
      </x:c>
      <x:c r="B55" s="2" t="s">
        <x:v>778</x:v>
      </x:c>
      <x:c r="C55" s="2" t="s">
        <x:v>487</x:v>
      </x:c>
      <x:c r="D55" s="2" t="s">
        <x:v>581</x:v>
      </x:c>
      <x:c r="E55" s="2" t="s">
        <x:v>1016</x:v>
      </x:c>
      <x:c r="F55" s="7">
        <x:v>12</x:v>
      </x:c>
      <x:c r="G55" s="7" t="s">
        <x:v>1017</x:v>
      </x:c>
      <x:c r="H55" s="7" t="s">
        <x:v>1017</x:v>
      </x:c>
      <x:c r="I55" s="7">
        <x:v>0</x:v>
      </x:c>
      <x:c r="J55" s="7">
        <x:v>12</x:v>
      </x:c>
      <x:c r="K55" s="7">
        <x:v>12</x:v>
      </x:c>
      <x:c r="L55" s="2"/>
      <x:c r="M55" s="10"/>
      <x:c r="N55" s="2" t="s">
        <x:v>1018</x:v>
      </x:c>
      <x:c r="O55" s="2" t="s">
        <x:v>1019</x:v>
      </x:c>
      <x:c r="P55" s="2" t="s">
        <x:v>837</x:v>
      </x:c>
      <x:c r="Q55" s="2" t="s">
        <x:v>1020</x:v>
      </x:c>
    </x:row>
    <x:row r="56" ht="28.5">
      <x:c r="A56" s="2" t="s">
        <x:v>659</x:v>
      </x:c>
      <x:c r="B56" s="2" t="s">
        <x:v>778</x:v>
      </x:c>
      <x:c r="C56" s="2" t="s">
        <x:v>487</x:v>
      </x:c>
      <x:c r="D56" s="2" t="s">
        <x:v>581</x:v>
      </x:c>
      <x:c r="E56" s="2" t="s">
        <x:v>1021</x:v>
      </x:c>
      <x:c r="F56" s="7">
        <x:v>6</x:v>
      </x:c>
      <x:c r="G56" s="7" t="s">
        <x:v>918</x:v>
      </x:c>
      <x:c r="H56" s="7" t="s">
        <x:v>918</x:v>
      </x:c>
      <x:c r="I56" s="7">
        <x:v>0</x:v>
      </x:c>
      <x:c r="J56" s="7">
        <x:v>6</x:v>
      </x:c>
      <x:c r="K56" s="7">
        <x:v>0</x:v>
      </x:c>
      <x:c r="L56" s="2"/>
      <x:c r="M56" s="10"/>
      <x:c r="N56" s="2" t="s">
        <x:v>960</x:v>
      </x:c>
      <x:c r="O56" s="2" t="s">
        <x:v>1022</x:v>
      </x:c>
      <x:c r="P56" s="2" t="s">
        <x:v>837</x:v>
      </x:c>
      <x:c r="Q56" s="2" t="s">
        <x:v>1023</x:v>
      </x:c>
    </x:row>
    <x:row r="57" ht="42.75">
      <x:c r="A57" s="2" t="s">
        <x:v>1024</x:v>
      </x:c>
      <x:c r="B57" s="2" t="s">
        <x:v>778</x:v>
      </x:c>
      <x:c r="C57" s="2" t="s">
        <x:v>1025</x:v>
      </x:c>
      <x:c r="D57" s="2" t="s">
        <x:v>581</x:v>
      </x:c>
      <x:c r="E57" s="2" t="s">
        <x:v>1026</x:v>
      </x:c>
      <x:c r="F57" s="7">
        <x:v>8</x:v>
      </x:c>
      <x:c r="G57" s="7" t="s">
        <x:v>918</x:v>
      </x:c>
      <x:c r="H57" s="7" t="s">
        <x:v>918</x:v>
      </x:c>
      <x:c r="I57" s="7">
        <x:v>0</x:v>
      </x:c>
      <x:c r="J57" s="7">
        <x:v>8</x:v>
      </x:c>
      <x:c r="K57" s="7">
        <x:v>0</x:v>
      </x:c>
      <x:c r="L57" s="2"/>
      <x:c r="M57" s="10"/>
      <x:c r="N57" s="2" t="s">
        <x:v>1027</x:v>
      </x:c>
      <x:c r="O57" s="2" t="s">
        <x:v>1028</x:v>
      </x:c>
      <x:c r="P57" s="2" t="s">
        <x:v>837</x:v>
      </x:c>
      <x:c r="Q57" s="2" t="s">
        <x:v>1029</x:v>
      </x:c>
    </x:row>
    <x:row r="58" ht="28.5">
      <x:c r="A58" s="2" t="s">
        <x:v>1030</x:v>
      </x:c>
      <x:c r="B58" s="2" t="s">
        <x:v>778</x:v>
      </x:c>
      <x:c r="C58" s="2" t="s">
        <x:v>1025</x:v>
      </x:c>
      <x:c r="D58" s="2" t="s">
        <x:v>581</x:v>
      </x:c>
      <x:c r="E58" s="2" t="s">
        <x:v>1031</x:v>
      </x:c>
      <x:c r="F58" s="7">
        <x:v>8</x:v>
      </x:c>
      <x:c r="G58" s="7" t="s">
        <x:v>918</x:v>
      </x:c>
      <x:c r="H58" s="7" t="s">
        <x:v>918</x:v>
      </x:c>
      <x:c r="I58" s="7">
        <x:v>0</x:v>
      </x:c>
      <x:c r="J58" s="7">
        <x:v>8</x:v>
      </x:c>
      <x:c r="K58" s="7">
        <x:v>0</x:v>
      </x:c>
      <x:c r="L58" s="2"/>
      <x:c r="M58" s="10"/>
      <x:c r="N58" s="2" t="s">
        <x:v>1032</x:v>
      </x:c>
      <x:c r="O58" s="2" t="s">
        <x:v>726</x:v>
      </x:c>
      <x:c r="P58" s="2" t="s">
        <x:v>837</x:v>
      </x:c>
      <x:c r="Q58" s="2" t="s">
        <x:v>1033</x:v>
      </x:c>
    </x:row>
    <x:row r="59" ht="28.5">
      <x:c r="A59" s="2" t="s">
        <x:v>984</x:v>
      </x:c>
      <x:c r="B59" s="2" t="s">
        <x:v>778</x:v>
      </x:c>
      <x:c r="C59" s="2" t="s">
        <x:v>1025</x:v>
      </x:c>
      <x:c r="D59" s="2" t="s">
        <x:v>581</x:v>
      </x:c>
      <x:c r="E59" s="2" t="s">
        <x:v>1034</x:v>
      </x:c>
      <x:c r="F59" s="7">
        <x:v>10</x:v>
      </x:c>
      <x:c r="G59" s="7" t="s">
        <x:v>918</x:v>
      </x:c>
      <x:c r="H59" s="7" t="s">
        <x:v>918</x:v>
      </x:c>
      <x:c r="I59" s="7">
        <x:v>0</x:v>
      </x:c>
      <x:c r="J59" s="7">
        <x:v>10</x:v>
      </x:c>
      <x:c r="K59" s="7">
        <x:v>0</x:v>
      </x:c>
      <x:c r="L59" s="2"/>
      <x:c r="M59" s="10"/>
      <x:c r="N59" s="2" t="s">
        <x:v>1035</x:v>
      </x:c>
      <x:c r="O59" s="2" t="s">
        <x:v>1036</x:v>
      </x:c>
      <x:c r="P59" s="2" t="s">
        <x:v>837</x:v>
      </x:c>
      <x:c r="Q59" s="2" t="s">
        <x:v>1033</x:v>
      </x:c>
    </x:row>
    <x:row r="60" ht="28.5">
      <x:c r="A60" s="2" t="s">
        <x:v>1036</x:v>
      </x:c>
      <x:c r="B60" s="2" t="s">
        <x:v>778</x:v>
      </x:c>
      <x:c r="C60" s="2" t="s">
        <x:v>1025</x:v>
      </x:c>
      <x:c r="D60" s="2" t="s">
        <x:v>581</x:v>
      </x:c>
      <x:c r="E60" s="2" t="s">
        <x:v>1037</x:v>
      </x:c>
      <x:c r="F60" s="7">
        <x:v>10</x:v>
      </x:c>
      <x:c r="G60" s="7" t="s">
        <x:v>918</x:v>
      </x:c>
      <x:c r="H60" s="7" t="s">
        <x:v>918</x:v>
      </x:c>
      <x:c r="I60" s="7">
        <x:v>0</x:v>
      </x:c>
      <x:c r="J60" s="7">
        <x:v>10</x:v>
      </x:c>
      <x:c r="K60" s="7">
        <x:v>0</x:v>
      </x:c>
      <x:c r="L60" s="2"/>
      <x:c r="M60" s="10"/>
      <x:c r="N60" s="2" t="s">
        <x:v>1038</x:v>
      </x:c>
      <x:c r="O60" s="2"/>
      <x:c r="P60" s="2" t="s">
        <x:v>837</x:v>
      </x:c>
      <x:c r="Q60" s="2" t="s">
        <x:v>1033</x:v>
      </x:c>
    </x:row>
    <x:row r="61" ht="42.75">
      <x:c r="A61" s="2" t="s">
        <x:v>1039</x:v>
      </x:c>
      <x:c r="B61" s="2" t="s">
        <x:v>778</x:v>
      </x:c>
      <x:c r="C61" s="2" t="s">
        <x:v>502</x:v>
      </x:c>
      <x:c r="D61" s="2" t="s">
        <x:v>503</x:v>
      </x:c>
      <x:c r="E61" s="2" t="s">
        <x:v>1040</x:v>
      </x:c>
      <x:c r="F61" s="7">
        <x:v>10</x:v>
      </x:c>
      <x:c r="G61" s="7" t="s">
        <x:v>144</x:v>
      </x:c>
      <x:c r="H61" s="7" t="s">
        <x:v>144</x:v>
      </x:c>
      <x:c r="I61" s="7">
        <x:v>10</x:v>
      </x:c>
      <x:c r="J61" s="7">
        <x:v>0</x:v>
      </x:c>
      <x:c r="K61" s="7">
        <x:v>0</x:v>
      </x:c>
      <x:c r="L61" s="2" t="s">
        <x:v>887</x:v>
      </x:c>
      <x:c r="M61" s="10"/>
      <x:c r="N61" s="2"/>
      <x:c r="O61" s="2" t="s">
        <x:v>1041</x:v>
      </x:c>
      <x:c r="P61" s="2" t="s">
        <x:v>837</x:v>
      </x:c>
      <x:c r="Q61" s="2" t="s">
        <x:v>1042</x:v>
      </x:c>
    </x:row>
    <x:row r="62" ht="42.75">
      <x:c r="A62" s="2" t="s">
        <x:v>501</x:v>
      </x:c>
      <x:c r="B62" s="2" t="s">
        <x:v>778</x:v>
      </x:c>
      <x:c r="C62" s="2" t="s">
        <x:v>502</x:v>
      </x:c>
      <x:c r="D62" s="2" t="s">
        <x:v>503</x:v>
      </x:c>
      <x:c r="E62" s="2" t="s">
        <x:v>1043</x:v>
      </x:c>
      <x:c r="F62" s="7">
        <x:v>12</x:v>
      </x:c>
      <x:c r="G62" s="7" t="s">
        <x:v>144</x:v>
      </x:c>
      <x:c r="H62" s="7" t="s">
        <x:v>144</x:v>
      </x:c>
      <x:c r="I62" s="7">
        <x:v>12</x:v>
      </x:c>
      <x:c r="J62" s="7">
        <x:v>0</x:v>
      </x:c>
      <x:c r="K62" s="7">
        <x:v>0</x:v>
      </x:c>
      <x:c r="L62" s="2" t="s">
        <x:v>1044</x:v>
      </x:c>
      <x:c r="M62" s="10"/>
      <x:c r="N62" s="2"/>
      <x:c r="O62" s="2" t="s">
        <x:v>1045</x:v>
      </x:c>
      <x:c r="P62" s="2" t="s">
        <x:v>837</x:v>
      </x:c>
      <x:c r="Q62" s="2" t="s">
        <x:v>1042</x:v>
      </x:c>
    </x:row>
    <x:row r="63" ht="42.75">
      <x:c r="A63" s="2" t="s">
        <x:v>508</x:v>
      </x:c>
      <x:c r="B63" s="2" t="s">
        <x:v>778</x:v>
      </x:c>
      <x:c r="C63" s="2" t="s">
        <x:v>502</x:v>
      </x:c>
      <x:c r="D63" s="2" t="s">
        <x:v>503</x:v>
      </x:c>
      <x:c r="E63" s="2" t="s">
        <x:v>1046</x:v>
      </x:c>
      <x:c r="F63" s="7">
        <x:v>10</x:v>
      </x:c>
      <x:c r="G63" s="7" t="s">
        <x:v>144</x:v>
      </x:c>
      <x:c r="H63" s="7" t="s">
        <x:v>144</x:v>
      </x:c>
      <x:c r="I63" s="7">
        <x:v>10</x:v>
      </x:c>
      <x:c r="J63" s="7">
        <x:v>0</x:v>
      </x:c>
      <x:c r="K63" s="7">
        <x:v>0</x:v>
      </x:c>
      <x:c r="L63" s="2" t="s">
        <x:v>1047</x:v>
      </x:c>
      <x:c r="M63" s="10">
        <x:v>46247</x:v>
      </x:c>
      <x:c r="N63" s="2"/>
      <x:c r="O63" s="2" t="s">
        <x:v>1048</x:v>
      </x:c>
      <x:c r="P63" s="2" t="s">
        <x:v>837</x:v>
      </x:c>
      <x:c r="Q63" s="2" t="s">
        <x:v>1042</x:v>
      </x:c>
    </x:row>
    <x:row r="64" ht="42.75">
      <x:c r="A64" s="2" t="s">
        <x:v>513</x:v>
      </x:c>
      <x:c r="B64" s="2" t="s">
        <x:v>778</x:v>
      </x:c>
      <x:c r="C64" s="2" t="s">
        <x:v>502</x:v>
      </x:c>
      <x:c r="D64" s="2" t="s">
        <x:v>503</x:v>
      </x:c>
      <x:c r="E64" s="2" t="s">
        <x:v>1049</x:v>
      </x:c>
      <x:c r="F64" s="7">
        <x:v>10</x:v>
      </x:c>
      <x:c r="G64" s="7" t="s">
        <x:v>144</x:v>
      </x:c>
      <x:c r="H64" s="7" t="s">
        <x:v>144</x:v>
      </x:c>
      <x:c r="I64" s="7">
        <x:v>10</x:v>
      </x:c>
      <x:c r="J64" s="7">
        <x:v>0</x:v>
      </x:c>
      <x:c r="K64" s="7">
        <x:v>0</x:v>
      </x:c>
      <x:c r="L64" s="2" t="s">
        <x:v>1050</x:v>
      </x:c>
      <x:c r="M64" s="10">
        <x:v>46249</x:v>
      </x:c>
      <x:c r="N64" s="2"/>
      <x:c r="O64" s="2" t="s">
        <x:v>1051</x:v>
      </x:c>
      <x:c r="P64" s="2" t="s">
        <x:v>837</x:v>
      </x:c>
      <x:c r="Q64" s="2" t="s">
        <x:v>1042</x:v>
      </x:c>
    </x:row>
    <x:row r="65" ht="42.75">
      <x:c r="A65" s="2" t="s">
        <x:v>518</x:v>
      </x:c>
      <x:c r="B65" s="2" t="s">
        <x:v>778</x:v>
      </x:c>
      <x:c r="C65" s="2" t="s">
        <x:v>502</x:v>
      </x:c>
      <x:c r="D65" s="2" t="s">
        <x:v>503</x:v>
      </x:c>
      <x:c r="E65" s="2" t="s">
        <x:v>1052</x:v>
      </x:c>
      <x:c r="F65" s="7">
        <x:v>10</x:v>
      </x:c>
      <x:c r="G65" s="7" t="s">
        <x:v>144</x:v>
      </x:c>
      <x:c r="H65" s="7" t="s">
        <x:v>144</x:v>
      </x:c>
      <x:c r="I65" s="7">
        <x:v>10</x:v>
      </x:c>
      <x:c r="J65" s="7">
        <x:v>0</x:v>
      </x:c>
      <x:c r="K65" s="7">
        <x:v>0</x:v>
      </x:c>
      <x:c r="L65" s="2" t="s">
        <x:v>1053</x:v>
      </x:c>
      <x:c r="M65" s="10"/>
      <x:c r="N65" s="2"/>
      <x:c r="O65" s="2" t="s">
        <x:v>1054</x:v>
      </x:c>
      <x:c r="P65" s="2" t="s">
        <x:v>837</x:v>
      </x:c>
      <x:c r="Q65" s="2" t="s">
        <x:v>1042</x:v>
      </x:c>
    </x:row>
    <x:row r="66" ht="42.75">
      <x:c r="A66" s="2" t="s">
        <x:v>523</x:v>
      </x:c>
      <x:c r="B66" s="2" t="s">
        <x:v>778</x:v>
      </x:c>
      <x:c r="C66" s="2" t="s">
        <x:v>502</x:v>
      </x:c>
      <x:c r="D66" s="2" t="s">
        <x:v>503</x:v>
      </x:c>
      <x:c r="E66" s="2" t="s">
        <x:v>1055</x:v>
      </x:c>
      <x:c r="F66" s="7">
        <x:v>12</x:v>
      </x:c>
      <x:c r="G66" s="7" t="s">
        <x:v>144</x:v>
      </x:c>
      <x:c r="H66" s="7" t="s">
        <x:v>144</x:v>
      </x:c>
      <x:c r="I66" s="7">
        <x:v>12</x:v>
      </x:c>
      <x:c r="J66" s="7">
        <x:v>0</x:v>
      </x:c>
      <x:c r="K66" s="7">
        <x:v>0</x:v>
      </x:c>
      <x:c r="L66" s="2" t="s">
        <x:v>1056</x:v>
      </x:c>
      <x:c r="M66" s="10">
        <x:v>46249</x:v>
      </x:c>
      <x:c r="N66" s="2"/>
      <x:c r="O66" s="2" t="s">
        <x:v>1057</x:v>
      </x:c>
      <x:c r="P66" s="2" t="s">
        <x:v>837</x:v>
      </x:c>
      <x:c r="Q66" s="2" t="s">
        <x:v>1042</x:v>
      </x:c>
    </x:row>
    <x:row r="67" ht="42.75">
      <x:c r="A67" s="2" t="s">
        <x:v>527</x:v>
      </x:c>
      <x:c r="B67" s="2" t="s">
        <x:v>778</x:v>
      </x:c>
      <x:c r="C67" s="2" t="s">
        <x:v>502</x:v>
      </x:c>
      <x:c r="D67" s="2" t="s">
        <x:v>503</x:v>
      </x:c>
      <x:c r="E67" s="2" t="s">
        <x:v>1058</x:v>
      </x:c>
      <x:c r="F67" s="7">
        <x:v>12</x:v>
      </x:c>
      <x:c r="G67" s="7" t="s">
        <x:v>144</x:v>
      </x:c>
      <x:c r="H67" s="7" t="s">
        <x:v>144</x:v>
      </x:c>
      <x:c r="I67" s="7">
        <x:v>12</x:v>
      </x:c>
      <x:c r="J67" s="7">
        <x:v>0</x:v>
      </x:c>
      <x:c r="K67" s="7">
        <x:v>0</x:v>
      </x:c>
      <x:c r="L67" s="2" t="s">
        <x:v>1059</x:v>
      </x:c>
      <x:c r="M67" s="10">
        <x:v>46249</x:v>
      </x:c>
      <x:c r="N67" s="2"/>
      <x:c r="O67" s="2" t="s">
        <x:v>1060</x:v>
      </x:c>
      <x:c r="P67" s="2" t="s">
        <x:v>837</x:v>
      </x:c>
      <x:c r="Q67" s="2" t="s">
        <x:v>1042</x:v>
      </x:c>
    </x:row>
    <x:row r="68" ht="42.75">
      <x:c r="A68" s="2" t="s">
        <x:v>531</x:v>
      </x:c>
      <x:c r="B68" s="2" t="s">
        <x:v>778</x:v>
      </x:c>
      <x:c r="C68" s="2" t="s">
        <x:v>502</x:v>
      </x:c>
      <x:c r="D68" s="2" t="s">
        <x:v>503</x:v>
      </x:c>
      <x:c r="E68" s="2" t="s">
        <x:v>1061</x:v>
      </x:c>
      <x:c r="F68" s="7">
        <x:v>10</x:v>
      </x:c>
      <x:c r="G68" s="7" t="s">
        <x:v>144</x:v>
      </x:c>
      <x:c r="H68" s="7" t="s">
        <x:v>144</x:v>
      </x:c>
      <x:c r="I68" s="7">
        <x:v>10</x:v>
      </x:c>
      <x:c r="J68" s="7">
        <x:v>0</x:v>
      </x:c>
      <x:c r="K68" s="7">
        <x:v>0</x:v>
      </x:c>
      <x:c r="L68" s="2" t="s">
        <x:v>1062</x:v>
      </x:c>
      <x:c r="M68" s="10">
        <x:v>46249</x:v>
      </x:c>
      <x:c r="N68" s="2"/>
      <x:c r="O68" s="2" t="s">
        <x:v>1057</x:v>
      </x:c>
      <x:c r="P68" s="2" t="s">
        <x:v>837</x:v>
      </x:c>
      <x:c r="Q68" s="2" t="s">
        <x:v>1042</x:v>
      </x:c>
    </x:row>
    <x:row r="69" ht="42.75">
      <x:c r="A69" s="2" t="s">
        <x:v>535</x:v>
      </x:c>
      <x:c r="B69" s="2" t="s">
        <x:v>778</x:v>
      </x:c>
      <x:c r="C69" s="2" t="s">
        <x:v>502</x:v>
      </x:c>
      <x:c r="D69" s="2" t="s">
        <x:v>503</x:v>
      </x:c>
      <x:c r="E69" s="2" t="s">
        <x:v>1063</x:v>
      </x:c>
      <x:c r="F69" s="7">
        <x:v>12</x:v>
      </x:c>
      <x:c r="G69" s="7" t="s">
        <x:v>144</x:v>
      </x:c>
      <x:c r="H69" s="7" t="s">
        <x:v>144</x:v>
      </x:c>
      <x:c r="I69" s="7">
        <x:v>12</x:v>
      </x:c>
      <x:c r="J69" s="7">
        <x:v>0</x:v>
      </x:c>
      <x:c r="K69" s="7">
        <x:v>0</x:v>
      </x:c>
      <x:c r="L69" s="2" t="s">
        <x:v>1064</x:v>
      </x:c>
      <x:c r="M69" s="10">
        <x:v>46249</x:v>
      </x:c>
      <x:c r="N69" s="2" t="s">
        <x:v>1065</x:v>
      </x:c>
      <x:c r="O69" s="2" t="s">
        <x:v>1057</x:v>
      </x:c>
      <x:c r="P69" s="2" t="s">
        <x:v>837</x:v>
      </x:c>
      <x:c r="Q69" s="2" t="s">
        <x:v>1042</x:v>
      </x:c>
    </x:row>
    <x:row r="70" ht="42.75">
      <x:c r="A70" s="2" t="s">
        <x:v>540</x:v>
      </x:c>
      <x:c r="B70" s="2" t="s">
        <x:v>778</x:v>
      </x:c>
      <x:c r="C70" s="2" t="s">
        <x:v>502</x:v>
      </x:c>
      <x:c r="D70" s="2" t="s">
        <x:v>503</x:v>
      </x:c>
      <x:c r="E70" s="2" t="s">
        <x:v>1066</x:v>
      </x:c>
      <x:c r="F70" s="7">
        <x:v>12</x:v>
      </x:c>
      <x:c r="G70" s="7" t="s">
        <x:v>144</x:v>
      </x:c>
      <x:c r="H70" s="7" t="s">
        <x:v>144</x:v>
      </x:c>
      <x:c r="I70" s="7">
        <x:v>12</x:v>
      </x:c>
      <x:c r="J70" s="7">
        <x:v>0</x:v>
      </x:c>
      <x:c r="K70" s="7">
        <x:v>0</x:v>
      </x:c>
      <x:c r="L70" s="2" t="s">
        <x:v>1067</x:v>
      </x:c>
      <x:c r="M70" s="10">
        <x:v>46249</x:v>
      </x:c>
      <x:c r="N70" s="2"/>
      <x:c r="O70" s="2" t="s">
        <x:v>1068</x:v>
      </x:c>
      <x:c r="P70" s="2" t="s">
        <x:v>837</x:v>
      </x:c>
      <x:c r="Q70" s="2" t="s">
        <x:v>1042</x:v>
      </x:c>
    </x:row>
    <x:row r="71" ht="42.75">
      <x:c r="A71" s="2" t="s">
        <x:v>546</x:v>
      </x:c>
      <x:c r="B71" s="2" t="s">
        <x:v>778</x:v>
      </x:c>
      <x:c r="C71" s="2" t="s">
        <x:v>502</x:v>
      </x:c>
      <x:c r="D71" s="2" t="s">
        <x:v>503</x:v>
      </x:c>
      <x:c r="E71" s="2" t="s">
        <x:v>1069</x:v>
      </x:c>
      <x:c r="F71" s="7">
        <x:v>10</x:v>
      </x:c>
      <x:c r="G71" s="7" t="s">
        <x:v>144</x:v>
      </x:c>
      <x:c r="H71" s="7" t="s">
        <x:v>144</x:v>
      </x:c>
      <x:c r="I71" s="7">
        <x:v>10</x:v>
      </x:c>
      <x:c r="J71" s="7">
        <x:v>0</x:v>
      </x:c>
      <x:c r="K71" s="7">
        <x:v>0</x:v>
      </x:c>
      <x:c r="L71" s="2" t="s">
        <x:v>1070</x:v>
      </x:c>
      <x:c r="M71" s="10"/>
      <x:c r="N71" s="2"/>
      <x:c r="O71" s="2" t="s">
        <x:v>1071</x:v>
      </x:c>
      <x:c r="P71" s="2" t="s">
        <x:v>837</x:v>
      </x:c>
      <x:c r="Q71" s="2" t="s">
        <x:v>1042</x:v>
      </x:c>
    </x:row>
    <x:row r="72" ht="42.75">
      <x:c r="A72" s="2" t="s">
        <x:v>551</x:v>
      </x:c>
      <x:c r="B72" s="2" t="s">
        <x:v>778</x:v>
      </x:c>
      <x:c r="C72" s="2" t="s">
        <x:v>502</x:v>
      </x:c>
      <x:c r="D72" s="2" t="s">
        <x:v>503</x:v>
      </x:c>
      <x:c r="E72" s="2" t="s">
        <x:v>1072</x:v>
      </x:c>
      <x:c r="F72" s="7">
        <x:v>8</x:v>
      </x:c>
      <x:c r="G72" s="7" t="s">
        <x:v>144</x:v>
      </x:c>
      <x:c r="H72" s="7" t="s">
        <x:v>144</x:v>
      </x:c>
      <x:c r="I72" s="7">
        <x:v>8</x:v>
      </x:c>
      <x:c r="J72" s="7">
        <x:v>0</x:v>
      </x:c>
      <x:c r="K72" s="7">
        <x:v>0</x:v>
      </x:c>
      <x:c r="L72" s="2" t="s">
        <x:v>1073</x:v>
      </x:c>
      <x:c r="M72" s="10">
        <x:v>46250</x:v>
      </x:c>
      <x:c r="N72" s="2"/>
      <x:c r="O72" s="2" t="s">
        <x:v>1074</x:v>
      </x:c>
      <x:c r="P72" s="2" t="s">
        <x:v>837</x:v>
      </x:c>
      <x:c r="Q72" s="2" t="s">
        <x:v>1042</x:v>
      </x:c>
    </x:row>
    <x:row r="73" ht="42.75">
      <x:c r="A73" s="2" t="s">
        <x:v>556</x:v>
      </x:c>
      <x:c r="B73" s="2" t="s">
        <x:v>778</x:v>
      </x:c>
      <x:c r="C73" s="2" t="s">
        <x:v>502</x:v>
      </x:c>
      <x:c r="D73" s="2" t="s">
        <x:v>503</x:v>
      </x:c>
      <x:c r="E73" s="2" t="s">
        <x:v>1075</x:v>
      </x:c>
      <x:c r="F73" s="7">
        <x:v>10</x:v>
      </x:c>
      <x:c r="G73" s="7" t="s">
        <x:v>144</x:v>
      </x:c>
      <x:c r="H73" s="7" t="s">
        <x:v>144</x:v>
      </x:c>
      <x:c r="I73" s="7">
        <x:v>10</x:v>
      </x:c>
      <x:c r="J73" s="7">
        <x:v>0</x:v>
      </x:c>
      <x:c r="K73" s="7">
        <x:v>0</x:v>
      </x:c>
      <x:c r="L73" s="2" t="s">
        <x:v>1076</x:v>
      </x:c>
      <x:c r="M73" s="10">
        <x:v>46250</x:v>
      </x:c>
      <x:c r="N73" s="2"/>
      <x:c r="O73" s="2" t="s">
        <x:v>1077</x:v>
      </x:c>
      <x:c r="P73" s="2" t="s">
        <x:v>837</x:v>
      </x:c>
      <x:c r="Q73" s="2" t="s">
        <x:v>1042</x:v>
      </x:c>
    </x:row>
    <x:row r="74" ht="42.75">
      <x:c r="A74" s="2" t="s">
        <x:v>561</x:v>
      </x:c>
      <x:c r="B74" s="2" t="s">
        <x:v>778</x:v>
      </x:c>
      <x:c r="C74" s="2" t="s">
        <x:v>502</x:v>
      </x:c>
      <x:c r="D74" s="2" t="s">
        <x:v>503</x:v>
      </x:c>
      <x:c r="E74" s="2" t="s">
        <x:v>1078</x:v>
      </x:c>
      <x:c r="F74" s="7">
        <x:v>12</x:v>
      </x:c>
      <x:c r="G74" s="7" t="s">
        <x:v>144</x:v>
      </x:c>
      <x:c r="H74" s="7" t="s">
        <x:v>144</x:v>
      </x:c>
      <x:c r="I74" s="7">
        <x:v>12</x:v>
      </x:c>
      <x:c r="J74" s="7">
        <x:v>0</x:v>
      </x:c>
      <x:c r="K74" s="7">
        <x:v>0</x:v>
      </x:c>
      <x:c r="L74" s="2" t="s">
        <x:v>1079</x:v>
      </x:c>
      <x:c r="M74" s="10">
        <x:v>46250</x:v>
      </x:c>
      <x:c r="N74" s="2"/>
      <x:c r="O74" s="2" t="s">
        <x:v>1077</x:v>
      </x:c>
      <x:c r="P74" s="2" t="s">
        <x:v>837</x:v>
      </x:c>
      <x:c r="Q74" s="2" t="s">
        <x:v>1042</x:v>
      </x:c>
    </x:row>
    <x:row r="75" ht="42.75">
      <x:c r="A75" s="2" t="s">
        <x:v>565</x:v>
      </x:c>
      <x:c r="B75" s="2" t="s">
        <x:v>778</x:v>
      </x:c>
      <x:c r="C75" s="2" t="s">
        <x:v>502</x:v>
      </x:c>
      <x:c r="D75" s="2" t="s">
        <x:v>503</x:v>
      </x:c>
      <x:c r="E75" s="2" t="s">
        <x:v>1080</x:v>
      </x:c>
      <x:c r="F75" s="7">
        <x:v>12</x:v>
      </x:c>
      <x:c r="G75" s="7" t="s">
        <x:v>144</x:v>
      </x:c>
      <x:c r="H75" s="7" t="s">
        <x:v>144</x:v>
      </x:c>
      <x:c r="I75" s="7">
        <x:v>12</x:v>
      </x:c>
      <x:c r="J75" s="7">
        <x:v>0</x:v>
      </x:c>
      <x:c r="K75" s="7">
        <x:v>0</x:v>
      </x:c>
      <x:c r="L75" s="2" t="s">
        <x:v>1081</x:v>
      </x:c>
      <x:c r="M75" s="10">
        <x:v>46250</x:v>
      </x:c>
      <x:c r="N75" s="2"/>
      <x:c r="O75" s="2" t="s">
        <x:v>1077</x:v>
      </x:c>
      <x:c r="P75" s="2" t="s">
        <x:v>837</x:v>
      </x:c>
      <x:c r="Q75" s="2" t="s">
        <x:v>1042</x:v>
      </x:c>
    </x:row>
    <x:row r="76" ht="42.75">
      <x:c r="A76" s="2" t="s">
        <x:v>1082</x:v>
      </x:c>
      <x:c r="B76" s="2" t="s">
        <x:v>778</x:v>
      </x:c>
      <x:c r="C76" s="2" t="s">
        <x:v>502</x:v>
      </x:c>
      <x:c r="D76" s="2" t="s">
        <x:v>503</x:v>
      </x:c>
      <x:c r="E76" s="2" t="s">
        <x:v>1083</x:v>
      </x:c>
      <x:c r="F76" s="7">
        <x:v>10</x:v>
      </x:c>
      <x:c r="G76" s="7" t="s">
        <x:v>144</x:v>
      </x:c>
      <x:c r="H76" s="7" t="s">
        <x:v>144</x:v>
      </x:c>
      <x:c r="I76" s="7">
        <x:v>10</x:v>
      </x:c>
      <x:c r="J76" s="7">
        <x:v>0</x:v>
      </x:c>
      <x:c r="K76" s="7">
        <x:v>0</x:v>
      </x:c>
      <x:c r="L76" s="2" t="s">
        <x:v>887</x:v>
      </x:c>
      <x:c r="M76" s="10"/>
      <x:c r="N76" s="2"/>
      <x:c r="O76" s="2"/>
      <x:c r="P76" s="2" t="s">
        <x:v>837</x:v>
      </x:c>
      <x:c r="Q76" s="2" t="s">
        <x:v>1042</x:v>
      </x:c>
    </x:row>
    <x:row r="77" ht="42.75">
      <x:c r="A77" s="2" t="s">
        <x:v>1084</x:v>
      </x:c>
      <x:c r="B77" s="2" t="s">
        <x:v>778</x:v>
      </x:c>
      <x:c r="C77" s="2" t="s">
        <x:v>502</x:v>
      </x:c>
      <x:c r="D77" s="2" t="s">
        <x:v>602</x:v>
      </x:c>
      <x:c r="E77" s="2" t="s">
        <x:v>1085</x:v>
      </x:c>
      <x:c r="F77" s="7">
        <x:v>10</x:v>
      </x:c>
      <x:c r="G77" s="7" t="s">
        <x:v>918</x:v>
      </x:c>
      <x:c r="H77" s="7" t="s">
        <x:v>918</x:v>
      </x:c>
      <x:c r="I77" s="7">
        <x:v>0</x:v>
      </x:c>
      <x:c r="J77" s="7">
        <x:v>10</x:v>
      </x:c>
      <x:c r="K77" s="7">
        <x:v>0</x:v>
      </x:c>
      <x:c r="L77" s="2"/>
      <x:c r="M77" s="10"/>
      <x:c r="N77" s="2" t="s">
        <x:v>1086</x:v>
      </x:c>
      <x:c r="O77" s="2" t="s">
        <x:v>963</x:v>
      </x:c>
      <x:c r="P77" s="2" t="s">
        <x:v>837</x:v>
      </x:c>
      <x:c r="Q77" s="2" t="s">
        <x:v>1042</x:v>
      </x:c>
    </x:row>
    <x:row r="78" ht="42.75">
      <x:c r="A78" s="2" t="s">
        <x:v>1087</x:v>
      </x:c>
      <x:c r="B78" s="2" t="s">
        <x:v>778</x:v>
      </x:c>
      <x:c r="C78" s="2" t="s">
        <x:v>502</x:v>
      </x:c>
      <x:c r="D78" s="2" t="s">
        <x:v>602</x:v>
      </x:c>
      <x:c r="E78" s="2" t="s">
        <x:v>1088</x:v>
      </x:c>
      <x:c r="F78" s="7">
        <x:v>6</x:v>
      </x:c>
      <x:c r="G78" s="7" t="s">
        <x:v>918</x:v>
      </x:c>
      <x:c r="H78" s="7" t="s">
        <x:v>918</x:v>
      </x:c>
      <x:c r="I78" s="7">
        <x:v>0</x:v>
      </x:c>
      <x:c r="J78" s="7">
        <x:v>6</x:v>
      </x:c>
      <x:c r="K78" s="7">
        <x:v>0</x:v>
      </x:c>
      <x:c r="L78" s="2"/>
      <x:c r="M78" s="10"/>
      <x:c r="N78" s="2" t="s">
        <x:v>606</x:v>
      </x:c>
      <x:c r="O78" s="2" t="s">
        <x:v>1089</x:v>
      </x:c>
      <x:c r="P78" s="2" t="s">
        <x:v>837</x:v>
      </x:c>
      <x:c r="Q78" s="2" t="s">
        <x:v>1042</x:v>
      </x:c>
    </x:row>
    <x:row r="79" ht="42.75">
      <x:c r="A79" s="2" t="s">
        <x:v>1090</x:v>
      </x:c>
      <x:c r="B79" s="2" t="s">
        <x:v>778</x:v>
      </x:c>
      <x:c r="C79" s="2" t="s">
        <x:v>502</x:v>
      </x:c>
      <x:c r="D79" s="2" t="s">
        <x:v>602</x:v>
      </x:c>
      <x:c r="E79" s="2" t="s">
        <x:v>1091</x:v>
      </x:c>
      <x:c r="F79" s="7">
        <x:v>10</x:v>
      </x:c>
      <x:c r="G79" s="7" t="s">
        <x:v>144</x:v>
      </x:c>
      <x:c r="H79" s="7" t="s">
        <x:v>144</x:v>
      </x:c>
      <x:c r="I79" s="7">
        <x:v>10</x:v>
      </x:c>
      <x:c r="J79" s="7">
        <x:v>0</x:v>
      </x:c>
      <x:c r="K79" s="7">
        <x:v>0</x:v>
      </x:c>
      <x:c r="L79" s="2" t="s">
        <x:v>887</x:v>
      </x:c>
      <x:c r="M79" s="10"/>
      <x:c r="N79" s="2" t="s">
        <x:v>1092</x:v>
      </x:c>
      <x:c r="O79" s="2" t="s">
        <x:v>1093</x:v>
      </x:c>
      <x:c r="P79" s="2" t="s">
        <x:v>837</x:v>
      </x:c>
      <x:c r="Q79" s="2" t="s">
        <x:v>1042</x:v>
      </x:c>
    </x:row>
    <x:row r="80" ht="42.75">
      <x:c r="A80" s="2" t="s">
        <x:v>1094</x:v>
      </x:c>
      <x:c r="B80" s="2" t="s">
        <x:v>778</x:v>
      </x:c>
      <x:c r="C80" s="2" t="s">
        <x:v>502</x:v>
      </x:c>
      <x:c r="D80" s="2" t="s">
        <x:v>602</x:v>
      </x:c>
      <x:c r="E80" s="2" t="s">
        <x:v>1095</x:v>
      </x:c>
      <x:c r="F80" s="7">
        <x:v>8</x:v>
      </x:c>
      <x:c r="G80" s="7" t="s">
        <x:v>144</x:v>
      </x:c>
      <x:c r="H80" s="7" t="s">
        <x:v>144</x:v>
      </x:c>
      <x:c r="I80" s="7">
        <x:v>8</x:v>
      </x:c>
      <x:c r="J80" s="7">
        <x:v>0</x:v>
      </x:c>
      <x:c r="K80" s="7">
        <x:v>0</x:v>
      </x:c>
      <x:c r="L80" s="2" t="s">
        <x:v>887</x:v>
      </x:c>
      <x:c r="M80" s="10"/>
      <x:c r="N80" s="2" t="s">
        <x:v>601</x:v>
      </x:c>
      <x:c r="O80" s="2" t="s">
        <x:v>1096</x:v>
      </x:c>
      <x:c r="P80" s="2" t="s">
        <x:v>837</x:v>
      </x:c>
      <x:c r="Q80" s="2" t="s">
        <x:v>1042</x:v>
      </x:c>
    </x:row>
    <x:row r="81" ht="42.75">
      <x:c r="A81" s="2" t="s">
        <x:v>1096</x:v>
      </x:c>
      <x:c r="B81" s="2" t="s">
        <x:v>778</x:v>
      </x:c>
      <x:c r="C81" s="2" t="s">
        <x:v>502</x:v>
      </x:c>
      <x:c r="D81" s="2" t="s">
        <x:v>602</x:v>
      </x:c>
      <x:c r="E81" s="2" t="s">
        <x:v>1097</x:v>
      </x:c>
      <x:c r="F81" s="7">
        <x:v>12</x:v>
      </x:c>
      <x:c r="G81" s="7" t="s">
        <x:v>144</x:v>
      </x:c>
      <x:c r="H81" s="7" t="s">
        <x:v>144</x:v>
      </x:c>
      <x:c r="I81" s="7">
        <x:v>12</x:v>
      </x:c>
      <x:c r="J81" s="7">
        <x:v>0</x:v>
      </x:c>
      <x:c r="K81" s="7">
        <x:v>0</x:v>
      </x:c>
      <x:c r="L81" s="2" t="s">
        <x:v>887</x:v>
      </x:c>
      <x:c r="M81" s="10"/>
      <x:c r="N81" s="2" t="s">
        <x:v>1098</x:v>
      </x:c>
      <x:c r="O81" s="2" t="s">
        <x:v>1099</x:v>
      </x:c>
      <x:c r="P81" s="2" t="s">
        <x:v>837</x:v>
      </x:c>
      <x:c r="Q81" s="2" t="s">
        <x:v>1042</x:v>
      </x:c>
    </x:row>
    <x:row r="82" ht="42.75">
      <x:c r="A82" s="2" t="s">
        <x:v>1100</x:v>
      </x:c>
      <x:c r="B82" s="2" t="s">
        <x:v>778</x:v>
      </x:c>
      <x:c r="C82" s="2" t="s">
        <x:v>502</x:v>
      </x:c>
      <x:c r="D82" s="2" t="s">
        <x:v>602</x:v>
      </x:c>
      <x:c r="E82" s="2" t="s">
        <x:v>1101</x:v>
      </x:c>
      <x:c r="F82" s="7">
        <x:v>8</x:v>
      </x:c>
      <x:c r="G82" s="7" t="s">
        <x:v>144</x:v>
      </x:c>
      <x:c r="H82" s="7" t="s">
        <x:v>144</x:v>
      </x:c>
      <x:c r="I82" s="7">
        <x:v>8</x:v>
      </x:c>
      <x:c r="J82" s="7">
        <x:v>0</x:v>
      </x:c>
      <x:c r="K82" s="7">
        <x:v>0</x:v>
      </x:c>
      <x:c r="L82" s="2" t="s">
        <x:v>887</x:v>
      </x:c>
      <x:c r="M82" s="10"/>
      <x:c r="N82" s="2" t="s">
        <x:v>1096</x:v>
      </x:c>
      <x:c r="O82" s="2" t="s">
        <x:v>1102</x:v>
      </x:c>
      <x:c r="P82" s="2" t="s">
        <x:v>837</x:v>
      </x:c>
      <x:c r="Q82" s="2" t="s">
        <x:v>1042</x:v>
      </x:c>
    </x:row>
    <x:row r="83" ht="42.75">
      <x:c r="A83" s="2" t="s">
        <x:v>1103</x:v>
      </x:c>
      <x:c r="B83" s="2" t="s">
        <x:v>778</x:v>
      </x:c>
      <x:c r="C83" s="2" t="s">
        <x:v>502</x:v>
      </x:c>
      <x:c r="D83" s="2" t="s">
        <x:v>602</x:v>
      </x:c>
      <x:c r="E83" s="2" t="s">
        <x:v>1104</x:v>
      </x:c>
      <x:c r="F83" s="7">
        <x:v>12</x:v>
      </x:c>
      <x:c r="G83" s="7" t="s">
        <x:v>918</x:v>
      </x:c>
      <x:c r="H83" s="7" t="s">
        <x:v>918</x:v>
      </x:c>
      <x:c r="I83" s="7">
        <x:v>0</x:v>
      </x:c>
      <x:c r="J83" s="7">
        <x:v>12</x:v>
      </x:c>
      <x:c r="K83" s="7">
        <x:v>0</x:v>
      </x:c>
      <x:c r="L83" s="2"/>
      <x:c r="M83" s="10"/>
      <x:c r="N83" s="2" t="s">
        <x:v>1105</x:v>
      </x:c>
      <x:c r="O83" s="2"/>
      <x:c r="P83" s="2" t="s">
        <x:v>837</x:v>
      </x:c>
      <x:c r="Q83" s="2" t="s">
        <x:v>1042</x:v>
      </x:c>
    </x:row>
    <x:row r="84" ht="42.75">
      <x:c r="A84" s="2" t="s">
        <x:v>731</x:v>
      </x:c>
      <x:c r="B84" s="2" t="s">
        <x:v>778</x:v>
      </x:c>
      <x:c r="C84" s="2" t="s">
        <x:v>502</x:v>
      </x:c>
      <x:c r="D84" s="2" t="s">
        <x:v>602</x:v>
      </x:c>
      <x:c r="E84" s="2" t="s">
        <x:v>1106</x:v>
      </x:c>
      <x:c r="F84" s="7">
        <x:v>10</x:v>
      </x:c>
      <x:c r="G84" s="7" t="s">
        <x:v>918</x:v>
      </x:c>
      <x:c r="H84" s="7" t="s">
        <x:v>918</x:v>
      </x:c>
      <x:c r="I84" s="7">
        <x:v>0</x:v>
      </x:c>
      <x:c r="J84" s="7">
        <x:v>10</x:v>
      </x:c>
      <x:c r="K84" s="7">
        <x:v>0</x:v>
      </x:c>
      <x:c r="L84" s="2"/>
      <x:c r="M84" s="10"/>
      <x:c r="N84" s="2" t="s">
        <x:v>1107</x:v>
      </x:c>
      <x:c r="O84" s="2"/>
      <x:c r="P84" s="2" t="s">
        <x:v>837</x:v>
      </x:c>
      <x:c r="Q84" s="2" t="s">
        <x:v>1042</x:v>
      </x:c>
    </x:row>
    <x:row r="85" ht="42.75">
      <x:c r="A85" s="2" t="s">
        <x:v>1108</x:v>
      </x:c>
      <x:c r="B85" s="2" t="s">
        <x:v>778</x:v>
      </x:c>
      <x:c r="C85" s="2" t="s">
        <x:v>502</x:v>
      </x:c>
      <x:c r="D85" s="2" t="s">
        <x:v>602</x:v>
      </x:c>
      <x:c r="E85" s="2" t="s">
        <x:v>1109</x:v>
      </x:c>
      <x:c r="F85" s="7">
        <x:v>8</x:v>
      </x:c>
      <x:c r="G85" s="7" t="s">
        <x:v>144</x:v>
      </x:c>
      <x:c r="H85" s="7" t="s">
        <x:v>144</x:v>
      </x:c>
      <x:c r="I85" s="7">
        <x:v>8</x:v>
      </x:c>
      <x:c r="J85" s="7">
        <x:v>0</x:v>
      </x:c>
      <x:c r="K85" s="7">
        <x:v>0</x:v>
      </x:c>
      <x:c r="L85" s="2" t="s">
        <x:v>887</x:v>
      </x:c>
      <x:c r="M85" s="10"/>
      <x:c r="N85" s="2" t="s">
        <x:v>1110</x:v>
      </x:c>
      <x:c r="O85" s="2" t="s">
        <x:v>1111</x:v>
      </x:c>
      <x:c r="P85" s="2" t="s">
        <x:v>837</x:v>
      </x:c>
      <x:c r="Q85" s="2" t="s">
        <x:v>1042</x:v>
      </x:c>
    </x:row>
    <x:row r="86" ht="42.75">
      <x:c r="A86" s="2" t="s">
        <x:v>1112</x:v>
      </x:c>
      <x:c r="B86" s="2" t="s">
        <x:v>778</x:v>
      </x:c>
      <x:c r="C86" s="2" t="s">
        <x:v>502</x:v>
      </x:c>
      <x:c r="D86" s="2" t="s">
        <x:v>602</x:v>
      </x:c>
      <x:c r="E86" s="2" t="s">
        <x:v>1113</x:v>
      </x:c>
      <x:c r="F86" s="7">
        <x:v>10</x:v>
      </x:c>
      <x:c r="G86" s="7" t="s">
        <x:v>144</x:v>
      </x:c>
      <x:c r="H86" s="7" t="s">
        <x:v>144</x:v>
      </x:c>
      <x:c r="I86" s="7">
        <x:v>10</x:v>
      </x:c>
      <x:c r="J86" s="7">
        <x:v>0</x:v>
      </x:c>
      <x:c r="K86" s="7">
        <x:v>0</x:v>
      </x:c>
      <x:c r="L86" s="2" t="s">
        <x:v>887</x:v>
      </x:c>
      <x:c r="M86" s="10"/>
      <x:c r="N86" s="2" t="s">
        <x:v>1114</x:v>
      </x:c>
      <x:c r="O86" s="2" t="s">
        <x:v>1115</x:v>
      </x:c>
      <x:c r="P86" s="2" t="s">
        <x:v>837</x:v>
      </x:c>
      <x:c r="Q86" s="2" t="s">
        <x:v>1042</x:v>
      </x:c>
    </x:row>
    <x:row r="87" ht="42.75">
      <x:c r="A87" s="2" t="s">
        <x:v>1116</x:v>
      </x:c>
      <x:c r="B87" s="2" t="s">
        <x:v>778</x:v>
      </x:c>
      <x:c r="C87" s="2" t="s">
        <x:v>502</x:v>
      </x:c>
      <x:c r="D87" s="2" t="s">
        <x:v>581</x:v>
      </x:c>
      <x:c r="E87" s="2" t="s">
        <x:v>1117</x:v>
      </x:c>
      <x:c r="F87" s="7">
        <x:v>10</x:v>
      </x:c>
      <x:c r="G87" s="7" t="s">
        <x:v>918</x:v>
      </x:c>
      <x:c r="H87" s="7" t="s">
        <x:v>918</x:v>
      </x:c>
      <x:c r="I87" s="7">
        <x:v>0</x:v>
      </x:c>
      <x:c r="J87" s="7">
        <x:v>10</x:v>
      </x:c>
      <x:c r="K87" s="7">
        <x:v>0</x:v>
      </x:c>
      <x:c r="L87" s="2"/>
      <x:c r="M87" s="10"/>
      <x:c r="N87" s="2" t="s">
        <x:v>1118</x:v>
      </x:c>
      <x:c r="O87" s="2" t="s">
        <x:v>1119</x:v>
      </x:c>
      <x:c r="P87" s="2" t="s">
        <x:v>837</x:v>
      </x:c>
      <x:c r="Q87" s="2" t="s">
        <x:v>1042</x:v>
      </x:c>
    </x:row>
    <x:row r="88" ht="42.75">
      <x:c r="A88" s="2" t="s">
        <x:v>706</x:v>
      </x:c>
      <x:c r="B88" s="2" t="s">
        <x:v>778</x:v>
      </x:c>
      <x:c r="C88" s="2" t="s">
        <x:v>1120</x:v>
      </x:c>
      <x:c r="D88" s="2" t="s">
        <x:v>442</x:v>
      </x:c>
      <x:c r="E88" s="2" t="s">
        <x:v>1121</x:v>
      </x:c>
      <x:c r="F88" s="7">
        <x:v>12</x:v>
      </x:c>
      <x:c r="G88" s="7" t="s">
        <x:v>918</x:v>
      </x:c>
      <x:c r="H88" s="7" t="s">
        <x:v>918</x:v>
      </x:c>
      <x:c r="I88" s="7">
        <x:v>0</x:v>
      </x:c>
      <x:c r="J88" s="7">
        <x:v>12</x:v>
      </x:c>
      <x:c r="K88" s="7">
        <x:v>0</x:v>
      </x:c>
      <x:c r="L88" s="2"/>
      <x:c r="M88" s="10"/>
      <x:c r="N88" s="2" t="s">
        <x:v>1122</x:v>
      </x:c>
      <x:c r="O88" s="2" t="s">
        <x:v>1123</x:v>
      </x:c>
      <x:c r="P88" s="2" t="s">
        <x:v>837</x:v>
      </x:c>
      <x:c r="Q88" s="2" t="s">
        <x:v>1124</x:v>
      </x:c>
    </x:row>
    <x:row r="89" ht="42.75">
      <x:c r="A89" s="2" t="s">
        <x:v>710</x:v>
      </x:c>
      <x:c r="B89" s="2" t="s">
        <x:v>778</x:v>
      </x:c>
      <x:c r="C89" s="2" t="s">
        <x:v>1120</x:v>
      </x:c>
      <x:c r="D89" s="2" t="s">
        <x:v>442</x:v>
      </x:c>
      <x:c r="E89" s="2" t="s">
        <x:v>1125</x:v>
      </x:c>
      <x:c r="F89" s="7">
        <x:v>8</x:v>
      </x:c>
      <x:c r="G89" s="7" t="s">
        <x:v>918</x:v>
      </x:c>
      <x:c r="H89" s="7" t="s">
        <x:v>918</x:v>
      </x:c>
      <x:c r="I89" s="7">
        <x:v>0</x:v>
      </x:c>
      <x:c r="J89" s="7">
        <x:v>8</x:v>
      </x:c>
      <x:c r="K89" s="7">
        <x:v>0</x:v>
      </x:c>
      <x:c r="L89" s="2"/>
      <x:c r="M89" s="10"/>
      <x:c r="N89" s="2"/>
      <x:c r="O89" s="2" t="s">
        <x:v>1126</x:v>
      </x:c>
      <x:c r="P89" s="2" t="s">
        <x:v>837</x:v>
      </x:c>
      <x:c r="Q89" s="2" t="s">
        <x:v>1124</x:v>
      </x:c>
    </x:row>
    <x:row r="90" ht="42.75">
      <x:c r="A90" s="2" t="s">
        <x:v>1127</x:v>
      </x:c>
      <x:c r="B90" s="2" t="s">
        <x:v>778</x:v>
      </x:c>
      <x:c r="C90" s="2" t="s">
        <x:v>1120</x:v>
      </x:c>
      <x:c r="D90" s="2" t="s">
        <x:v>442</x:v>
      </x:c>
      <x:c r="E90" s="2" t="s">
        <x:v>1128</x:v>
      </x:c>
      <x:c r="F90" s="7">
        <x:v>6</x:v>
      </x:c>
      <x:c r="G90" s="7" t="s">
        <x:v>918</x:v>
      </x:c>
      <x:c r="H90" s="7" t="s">
        <x:v>918</x:v>
      </x:c>
      <x:c r="I90" s="7">
        <x:v>0</x:v>
      </x:c>
      <x:c r="J90" s="7">
        <x:v>6</x:v>
      </x:c>
      <x:c r="K90" s="7">
        <x:v>0</x:v>
      </x:c>
      <x:c r="L90" s="2"/>
      <x:c r="M90" s="10"/>
      <x:c r="N90" s="2" t="s">
        <x:v>1129</x:v>
      </x:c>
      <x:c r="O90" s="2" t="s">
        <x:v>1123</x:v>
      </x:c>
      <x:c r="P90" s="2" t="s">
        <x:v>837</x:v>
      </x:c>
      <x:c r="Q90" s="2" t="s">
        <x:v>1124</x:v>
      </x:c>
    </x:row>
    <x:row r="91" ht="42.75">
      <x:c r="A91" s="2" t="s">
        <x:v>1130</x:v>
      </x:c>
      <x:c r="B91" s="2" t="s">
        <x:v>778</x:v>
      </x:c>
      <x:c r="C91" s="2" t="s">
        <x:v>1120</x:v>
      </x:c>
      <x:c r="D91" s="2" t="s">
        <x:v>442</x:v>
      </x:c>
      <x:c r="E91" s="2" t="s">
        <x:v>1131</x:v>
      </x:c>
      <x:c r="F91" s="7">
        <x:v>4</x:v>
      </x:c>
      <x:c r="G91" s="7" t="s">
        <x:v>918</x:v>
      </x:c>
      <x:c r="H91" s="7" t="s">
        <x:v>918</x:v>
      </x:c>
      <x:c r="I91" s="7">
        <x:v>0</x:v>
      </x:c>
      <x:c r="J91" s="7">
        <x:v>4</x:v>
      </x:c>
      <x:c r="K91" s="7">
        <x:v>0</x:v>
      </x:c>
      <x:c r="L91" s="2"/>
      <x:c r="M91" s="10"/>
      <x:c r="N91" s="2"/>
      <x:c r="O91" s="2"/>
      <x:c r="P91" s="2" t="s">
        <x:v>837</x:v>
      </x:c>
      <x:c r="Q91" s="2" t="s">
        <x:v>1124</x:v>
      </x:c>
    </x:row>
    <x:row r="92" ht="42.75">
      <x:c r="A92" s="2" t="s">
        <x:v>714</x:v>
      </x:c>
      <x:c r="B92" s="2" t="s">
        <x:v>778</x:v>
      </x:c>
      <x:c r="C92" s="2" t="s">
        <x:v>1120</x:v>
      </x:c>
      <x:c r="D92" s="2" t="s">
        <x:v>442</x:v>
      </x:c>
      <x:c r="E92" s="2" t="s">
        <x:v>1132</x:v>
      </x:c>
      <x:c r="F92" s="7">
        <x:v>12</x:v>
      </x:c>
      <x:c r="G92" s="7" t="s">
        <x:v>918</x:v>
      </x:c>
      <x:c r="H92" s="7" t="s">
        <x:v>918</x:v>
      </x:c>
      <x:c r="I92" s="7">
        <x:v>0</x:v>
      </x:c>
      <x:c r="J92" s="7">
        <x:v>12</x:v>
      </x:c>
      <x:c r="K92" s="7">
        <x:v>0</x:v>
      </x:c>
      <x:c r="L92" s="2"/>
      <x:c r="M92" s="10"/>
      <x:c r="N92" s="2"/>
      <x:c r="O92" s="2" t="s">
        <x:v>1133</x:v>
      </x:c>
      <x:c r="P92" s="2" t="s">
        <x:v>837</x:v>
      </x:c>
      <x:c r="Q92" s="2" t="s">
        <x:v>1124</x:v>
      </x:c>
    </x:row>
    <x:row r="93" ht="42.75">
      <x:c r="A93" s="2" t="s">
        <x:v>1134</x:v>
      </x:c>
      <x:c r="B93" s="2" t="s">
        <x:v>778</x:v>
      </x:c>
      <x:c r="C93" s="2" t="s">
        <x:v>1120</x:v>
      </x:c>
      <x:c r="D93" s="2" t="s">
        <x:v>581</x:v>
      </x:c>
      <x:c r="E93" s="2" t="s">
        <x:v>1135</x:v>
      </x:c>
      <x:c r="F93" s="7">
        <x:v>12</x:v>
      </x:c>
      <x:c r="G93" s="7" t="s">
        <x:v>918</x:v>
      </x:c>
      <x:c r="H93" s="7" t="s">
        <x:v>918</x:v>
      </x:c>
      <x:c r="I93" s="7">
        <x:v>0</x:v>
      </x:c>
      <x:c r="J93" s="7">
        <x:v>12</x:v>
      </x:c>
      <x:c r="K93" s="7">
        <x:v>0</x:v>
      </x:c>
      <x:c r="L93" s="2"/>
      <x:c r="M93" s="10"/>
      <x:c r="N93" s="2"/>
      <x:c r="O93" s="2"/>
      <x:c r="P93" s="2" t="s">
        <x:v>837</x:v>
      </x:c>
      <x:c r="Q93" s="2" t="s">
        <x:v>1124</x:v>
      </x:c>
    </x:row>
    <x:row r="94" ht="42.75">
      <x:c r="A94" s="2" t="s">
        <x:v>718</x:v>
      </x:c>
      <x:c r="B94" s="2" t="s">
        <x:v>778</x:v>
      </x:c>
      <x:c r="C94" s="2" t="s">
        <x:v>1120</x:v>
      </x:c>
      <x:c r="D94" s="2" t="s">
        <x:v>442</x:v>
      </x:c>
      <x:c r="E94" s="2" t="s">
        <x:v>1136</x:v>
      </x:c>
      <x:c r="F94" s="7">
        <x:v>16</x:v>
      </x:c>
      <x:c r="G94" s="7" t="s">
        <x:v>918</x:v>
      </x:c>
      <x:c r="H94" s="7" t="s">
        <x:v>918</x:v>
      </x:c>
      <x:c r="I94" s="7">
        <x:v>0</x:v>
      </x:c>
      <x:c r="J94" s="7">
        <x:v>16</x:v>
      </x:c>
      <x:c r="K94" s="7">
        <x:v>0</x:v>
      </x:c>
      <x:c r="L94" s="2"/>
      <x:c r="M94" s="10"/>
      <x:c r="N94" s="2" t="s">
        <x:v>714</x:v>
      </x:c>
      <x:c r="O94" s="2" t="s">
        <x:v>1137</x:v>
      </x:c>
      <x:c r="P94" s="2" t="s">
        <x:v>837</x:v>
      </x:c>
      <x:c r="Q94" s="2" t="s">
        <x:v>1124</x:v>
      </x:c>
    </x:row>
    <x:row r="95" ht="42.75">
      <x:c r="A95" s="2" t="s">
        <x:v>722</x:v>
      </x:c>
      <x:c r="B95" s="2" t="s">
        <x:v>778</x:v>
      </x:c>
      <x:c r="C95" s="2" t="s">
        <x:v>1120</x:v>
      </x:c>
      <x:c r="D95" s="2" t="s">
        <x:v>442</x:v>
      </x:c>
      <x:c r="E95" s="2" t="s">
        <x:v>1138</x:v>
      </x:c>
      <x:c r="F95" s="7">
        <x:v>14</x:v>
      </x:c>
      <x:c r="G95" s="7" t="s">
        <x:v>918</x:v>
      </x:c>
      <x:c r="H95" s="7" t="s">
        <x:v>918</x:v>
      </x:c>
      <x:c r="I95" s="7">
        <x:v>0</x:v>
      </x:c>
      <x:c r="J95" s="7">
        <x:v>14</x:v>
      </x:c>
      <x:c r="K95" s="7">
        <x:v>0</x:v>
      </x:c>
      <x:c r="L95" s="2"/>
      <x:c r="M95" s="10"/>
      <x:c r="N95" s="2"/>
      <x:c r="O95" s="2"/>
      <x:c r="P95" s="2" t="s">
        <x:v>837</x:v>
      </x:c>
      <x:c r="Q95" s="2" t="s">
        <x:v>1124</x:v>
      </x:c>
    </x:row>
    <x:row r="96" ht="42.75">
      <x:c r="A96" s="2" t="s">
        <x:v>1139</x:v>
      </x:c>
      <x:c r="B96" s="2" t="s">
        <x:v>778</x:v>
      </x:c>
      <x:c r="C96" s="2" t="s">
        <x:v>1120</x:v>
      </x:c>
      <x:c r="D96" s="2" t="s">
        <x:v>442</x:v>
      </x:c>
      <x:c r="E96" s="2" t="s">
        <x:v>1140</x:v>
      </x:c>
      <x:c r="F96" s="7">
        <x:v>12</x:v>
      </x:c>
      <x:c r="G96" s="7" t="s">
        <x:v>918</x:v>
      </x:c>
      <x:c r="H96" s="7" t="s">
        <x:v>918</x:v>
      </x:c>
      <x:c r="I96" s="7">
        <x:v>0</x:v>
      </x:c>
      <x:c r="J96" s="7">
        <x:v>12</x:v>
      </x:c>
      <x:c r="K96" s="7">
        <x:v>0</x:v>
      </x:c>
      <x:c r="L96" s="2"/>
      <x:c r="M96" s="10"/>
      <x:c r="N96" s="2"/>
      <x:c r="O96" s="2" t="s">
        <x:v>1141</x:v>
      </x:c>
      <x:c r="P96" s="2" t="s">
        <x:v>837</x:v>
      </x:c>
      <x:c r="Q96" s="2" t="s">
        <x:v>1124</x:v>
      </x:c>
    </x:row>
    <x:row r="97" ht="42.75">
      <x:c r="A97" s="2" t="s">
        <x:v>727</x:v>
      </x:c>
      <x:c r="B97" s="2" t="s">
        <x:v>778</x:v>
      </x:c>
      <x:c r="C97" s="2" t="s">
        <x:v>1120</x:v>
      </x:c>
      <x:c r="D97" s="2" t="s">
        <x:v>442</x:v>
      </x:c>
      <x:c r="E97" s="2" t="s">
        <x:v>1142</x:v>
      </x:c>
      <x:c r="F97" s="7">
        <x:v>14</x:v>
      </x:c>
      <x:c r="G97" s="7" t="s">
        <x:v>918</x:v>
      </x:c>
      <x:c r="H97" s="7" t="s">
        <x:v>918</x:v>
      </x:c>
      <x:c r="I97" s="7">
        <x:v>0</x:v>
      </x:c>
      <x:c r="J97" s="7">
        <x:v>14</x:v>
      </x:c>
      <x:c r="K97" s="7">
        <x:v>0</x:v>
      </x:c>
      <x:c r="L97" s="2"/>
      <x:c r="M97" s="10"/>
      <x:c r="N97" s="2" t="s">
        <x:v>1143</x:v>
      </x:c>
      <x:c r="O97" s="2"/>
      <x:c r="P97" s="2" t="s">
        <x:v>837</x:v>
      </x:c>
      <x:c r="Q97" s="2" t="s">
        <x:v>1124</x:v>
      </x:c>
    </x:row>
    <x:row r="98" ht="42.75">
      <x:c r="A98" s="2" t="s">
        <x:v>1144</x:v>
      </x:c>
      <x:c r="B98" s="2" t="s">
        <x:v>778</x:v>
      </x:c>
      <x:c r="C98" s="2" t="s">
        <x:v>1120</x:v>
      </x:c>
      <x:c r="D98" s="2" t="s">
        <x:v>442</x:v>
      </x:c>
      <x:c r="E98" s="2" t="s">
        <x:v>1145</x:v>
      </x:c>
      <x:c r="F98" s="7">
        <x:v>12</x:v>
      </x:c>
      <x:c r="G98" s="7" t="s">
        <x:v>918</x:v>
      </x:c>
      <x:c r="H98" s="7" t="s">
        <x:v>918</x:v>
      </x:c>
      <x:c r="I98" s="7">
        <x:v>0</x:v>
      </x:c>
      <x:c r="J98" s="7">
        <x:v>12</x:v>
      </x:c>
      <x:c r="K98" s="7">
        <x:v>0</x:v>
      </x:c>
      <x:c r="L98" s="2"/>
      <x:c r="M98" s="10"/>
      <x:c r="N98" s="2"/>
      <x:c r="O98" s="2"/>
      <x:c r="P98" s="2" t="s">
        <x:v>837</x:v>
      </x:c>
      <x:c r="Q98" s="2" t="s">
        <x:v>1124</x:v>
      </x:c>
    </x:row>
    <x:row r="99" ht="85.5">
      <x:c r="A99" s="2" t="s">
        <x:v>726</x:v>
      </x:c>
      <x:c r="B99" s="2" t="s">
        <x:v>778</x:v>
      </x:c>
      <x:c r="C99" s="2" t="s">
        <x:v>1120</x:v>
      </x:c>
      <x:c r="D99" s="2" t="s">
        <x:v>442</x:v>
      </x:c>
      <x:c r="E99" s="2" t="s">
        <x:v>1146</x:v>
      </x:c>
      <x:c r="F99" s="7">
        <x:v>12</x:v>
      </x:c>
      <x:c r="G99" s="7" t="s">
        <x:v>918</x:v>
      </x:c>
      <x:c r="H99" s="7" t="s">
        <x:v>918</x:v>
      </x:c>
      <x:c r="I99" s="7">
        <x:v>0</x:v>
      </x:c>
      <x:c r="J99" s="7">
        <x:v>12</x:v>
      </x:c>
      <x:c r="K99" s="7">
        <x:v>0</x:v>
      </x:c>
      <x:c r="L99" s="2"/>
      <x:c r="M99" s="10"/>
      <x:c r="N99" s="2" t="s">
        <x:v>1147</x:v>
      </x:c>
      <x:c r="O99" s="2"/>
      <x:c r="P99" s="2" t="s">
        <x:v>837</x:v>
      </x:c>
      <x:c r="Q99" s="2" t="s">
        <x:v>1148</x:v>
      </x:c>
    </x:row>
    <x:row r="100" ht="42.75">
      <x:c r="A100" s="2" t="s">
        <x:v>760</x:v>
      </x:c>
      <x:c r="B100" s="2" t="s">
        <x:v>778</x:v>
      </x:c>
      <x:c r="C100" s="2" t="s">
        <x:v>1120</x:v>
      </x:c>
      <x:c r="D100" s="2" t="s">
        <x:v>442</x:v>
      </x:c>
      <x:c r="E100" s="2" t="s">
        <x:v>1149</x:v>
      </x:c>
      <x:c r="F100" s="7">
        <x:v>6</x:v>
      </x:c>
      <x:c r="G100" s="7" t="s">
        <x:v>918</x:v>
      </x:c>
      <x:c r="H100" s="7" t="s">
        <x:v>918</x:v>
      </x:c>
      <x:c r="I100" s="7">
        <x:v>0</x:v>
      </x:c>
      <x:c r="J100" s="7">
        <x:v>6</x:v>
      </x:c>
      <x:c r="K100" s="7">
        <x:v>0</x:v>
      </x:c>
      <x:c r="L100" s="2"/>
      <x:c r="M100" s="10"/>
      <x:c r="N100" s="2" t="s">
        <x:v>1150</x:v>
      </x:c>
      <x:c r="O100" s="2" t="s">
        <x:v>726</x:v>
      </x:c>
      <x:c r="P100" s="2" t="s">
        <x:v>837</x:v>
      </x:c>
      <x:c r="Q100" s="2" t="s">
        <x:v>1124</x:v>
      </x:c>
    </x:row>
    <x:row r="101" ht="57">
      <x:c r="A101" s="2" t="s">
        <x:v>641</x:v>
      </x:c>
      <x:c r="B101" s="2" t="s">
        <x:v>778</x:v>
      </x:c>
      <x:c r="C101" s="2" t="s">
        <x:v>441</x:v>
      </x:c>
      <x:c r="D101" s="2" t="s">
        <x:v>581</x:v>
      </x:c>
      <x:c r="E101" s="2" t="s">
        <x:v>1151</x:v>
      </x:c>
      <x:c r="F101" s="7">
        <x:v>6</x:v>
      </x:c>
      <x:c r="G101" s="7" t="s">
        <x:v>144</x:v>
      </x:c>
      <x:c r="H101" s="7" t="s">
        <x:v>144</x:v>
      </x:c>
      <x:c r="I101" s="7">
        <x:v>6</x:v>
      </x:c>
      <x:c r="J101" s="7">
        <x:v>0</x:v>
      </x:c>
      <x:c r="K101" s="7">
        <x:v>0</x:v>
      </x:c>
      <x:c r="L101" s="2" t="s">
        <x:v>1152</x:v>
      </x:c>
      <x:c r="M101" s="10">
        <x:v>46264</x:v>
      </x:c>
      <x:c r="N101" s="2" t="s">
        <x:v>595</x:v>
      </x:c>
      <x:c r="O101" s="2" t="s">
        <x:v>726</x:v>
      </x:c>
      <x:c r="P101" s="2" t="s">
        <x:v>837</x:v>
      </x:c>
      <x:c r="Q101" s="2" t="s">
        <x:v>1153</x:v>
      </x:c>
    </x:row>
    <x:row r="102" ht="42.75">
      <x:c r="A102" s="2" t="s">
        <x:v>748</x:v>
      </x:c>
      <x:c r="B102" s="2" t="s">
        <x:v>778</x:v>
      </x:c>
      <x:c r="C102" s="2" t="s">
        <x:v>441</x:v>
      </x:c>
      <x:c r="D102" s="2" t="s">
        <x:v>442</x:v>
      </x:c>
      <x:c r="E102" s="2" t="s">
        <x:v>1154</x:v>
      </x:c>
      <x:c r="F102" s="7">
        <x:v>12</x:v>
      </x:c>
      <x:c r="G102" s="7" t="s">
        <x:v>1017</x:v>
      </x:c>
      <x:c r="H102" s="7" t="s">
        <x:v>1017</x:v>
      </x:c>
      <x:c r="I102" s="7">
        <x:v>0</x:v>
      </x:c>
      <x:c r="J102" s="7">
        <x:v>12</x:v>
      </x:c>
      <x:c r="K102" s="7">
        <x:v>12</x:v>
      </x:c>
      <x:c r="L102" s="2"/>
      <x:c r="M102" s="10"/>
      <x:c r="N102" s="2" t="s">
        <x:v>848</x:v>
      </x:c>
      <x:c r="O102" s="2" t="s">
        <x:v>1155</x:v>
      </x:c>
      <x:c r="P102" s="2" t="s">
        <x:v>837</x:v>
      </x:c>
      <x:c r="Q102" s="2" t="s">
        <x:v>1156</x:v>
      </x:c>
    </x:row>
    <x:row r="103" ht="42.75">
      <x:c r="A103" s="2" t="s">
        <x:v>770</x:v>
      </x:c>
      <x:c r="B103" s="2" t="s">
        <x:v>778</x:v>
      </x:c>
      <x:c r="C103" s="2" t="s">
        <x:v>441</x:v>
      </x:c>
      <x:c r="D103" s="2" t="s">
        <x:v>442</x:v>
      </x:c>
      <x:c r="E103" s="2" t="s">
        <x:v>1157</x:v>
      </x:c>
      <x:c r="F103" s="7">
        <x:v>2</x:v>
      </x:c>
      <x:c r="G103" s="7" t="s">
        <x:v>918</x:v>
      </x:c>
      <x:c r="H103" s="7" t="s">
        <x:v>918</x:v>
      </x:c>
      <x:c r="I103" s="7">
        <x:v>0</x:v>
      </x:c>
      <x:c r="J103" s="7">
        <x:v>2</x:v>
      </x:c>
      <x:c r="K103" s="7">
        <x:v>0</x:v>
      </x:c>
      <x:c r="L103" s="2"/>
      <x:c r="M103" s="10"/>
      <x:c r="N103" s="2" t="s">
        <x:v>748</x:v>
      </x:c>
      <x:c r="O103" s="2" t="s">
        <x:v>1158</x:v>
      </x:c>
      <x:c r="P103" s="2" t="s">
        <x:v>837</x:v>
      </x:c>
      <x:c r="Q103" s="2" t="s">
        <x:v>1159</x:v>
      </x:c>
    </x:row>
    <x:row r="104" ht="42.75">
      <x:c r="A104" s="2" t="s">
        <x:v>685</x:v>
      </x:c>
      <x:c r="B104" s="2" t="s">
        <x:v>778</x:v>
      </x:c>
      <x:c r="C104" s="2" t="s">
        <x:v>441</x:v>
      </x:c>
      <x:c r="D104" s="2" t="s">
        <x:v>442</x:v>
      </x:c>
      <x:c r="E104" s="2" t="s">
        <x:v>1160</x:v>
      </x:c>
      <x:c r="F104" s="7">
        <x:v>8</x:v>
      </x:c>
      <x:c r="G104" s="7" t="s">
        <x:v>918</x:v>
      </x:c>
      <x:c r="H104" s="7" t="s">
        <x:v>918</x:v>
      </x:c>
      <x:c r="I104" s="7">
        <x:v>0</x:v>
      </x:c>
      <x:c r="J104" s="7">
        <x:v>8</x:v>
      </x:c>
      <x:c r="K104" s="7">
        <x:v>0</x:v>
      </x:c>
      <x:c r="L104" s="2"/>
      <x:c r="M104" s="10"/>
      <x:c r="N104" s="2" t="s">
        <x:v>1161</x:v>
      </x:c>
      <x:c r="O104" s="2" t="s">
        <x:v>1162</x:v>
      </x:c>
      <x:c r="P104" s="2" t="s">
        <x:v>837</x:v>
      </x:c>
      <x:c r="Q104" s="2" t="s">
        <x:v>1163</x:v>
      </x:c>
    </x:row>
    <x:row r="105" ht="28.5">
      <x:c r="A105" s="2" t="s">
        <x:v>669</x:v>
      </x:c>
      <x:c r="B105" s="2" t="s">
        <x:v>778</x:v>
      </x:c>
      <x:c r="C105" s="2" t="s">
        <x:v>441</x:v>
      </x:c>
      <x:c r="D105" s="2" t="s">
        <x:v>442</x:v>
      </x:c>
      <x:c r="E105" s="2" t="s">
        <x:v>1164</x:v>
      </x:c>
      <x:c r="F105" s="7">
        <x:v>12</x:v>
      </x:c>
      <x:c r="G105" s="7" t="s">
        <x:v>918</x:v>
      </x:c>
      <x:c r="H105" s="7" t="s">
        <x:v>918</x:v>
      </x:c>
      <x:c r="I105" s="7">
        <x:v>0</x:v>
      </x:c>
      <x:c r="J105" s="7">
        <x:v>12</x:v>
      </x:c>
      <x:c r="K105" s="7">
        <x:v>0</x:v>
      </x:c>
      <x:c r="L105" s="2"/>
      <x:c r="M105" s="10"/>
      <x:c r="N105" s="2" t="s">
        <x:v>1165</x:v>
      </x:c>
      <x:c r="O105" s="2" t="s">
        <x:v>1166</x:v>
      </x:c>
      <x:c r="P105" s="2" t="s">
        <x:v>837</x:v>
      </x:c>
      <x:c r="Q105" s="2" t="s">
        <x:v>1167</x:v>
      </x:c>
    </x:row>
    <x:row r="106" ht="28.5">
      <x:c r="A106" s="2" t="s">
        <x:v>663</x:v>
      </x:c>
      <x:c r="B106" s="2" t="s">
        <x:v>778</x:v>
      </x:c>
      <x:c r="C106" s="2" t="s">
        <x:v>1120</x:v>
      </x:c>
      <x:c r="D106" s="2" t="s">
        <x:v>602</x:v>
      </x:c>
      <x:c r="E106" s="2" t="s">
        <x:v>1168</x:v>
      </x:c>
      <x:c r="F106" s="2">
        <x:v>8</x:v>
      </x:c>
      <x:c r="G106" s="2" t="s">
        <x:v>918</x:v>
      </x:c>
      <x:c r="H106" s="2" t="s">
        <x:v>918</x:v>
      </x:c>
      <x:c r="I106" s="2">
        <x:v>0</x:v>
      </x:c>
      <x:c r="J106" s="2">
        <x:v>8</x:v>
      </x:c>
      <x:c r="K106" s="2">
        <x:v>0</x:v>
      </x:c>
      <x:c r="L106" s="2"/>
      <x:c r="M106" s="10"/>
      <x:c r="N106" s="2" t="s">
        <x:v>1169</x:v>
      </x:c>
      <x:c r="O106" s="2" t="s">
        <x:v>1170</x:v>
      </x:c>
      <x:c r="P106" s="2" t="s">
        <x:v>837</x:v>
      </x:c>
      <x:c r="Q106" s="2" t="s">
        <x:v>1171</x:v>
      </x:c>
    </x:row>
    <x:row r="107" ht="42.75">
      <x:c r="A107" s="2" t="s">
        <x:v>675</x:v>
      </x:c>
      <x:c r="B107" s="2" t="s">
        <x:v>778</x:v>
      </x:c>
      <x:c r="C107" s="2" t="s">
        <x:v>1120</x:v>
      </x:c>
      <x:c r="D107" s="2" t="s">
        <x:v>581</x:v>
      </x:c>
      <x:c r="E107" s="2" t="s">
        <x:v>1172</x:v>
      </x:c>
      <x:c r="F107" s="2">
        <x:v>6</x:v>
      </x:c>
      <x:c r="G107" s="2" t="s">
        <x:v>918</x:v>
      </x:c>
      <x:c r="H107" s="2" t="s">
        <x:v>918</x:v>
      </x:c>
      <x:c r="I107" s="2">
        <x:v>0</x:v>
      </x:c>
      <x:c r="J107" s="2">
        <x:v>6</x:v>
      </x:c>
      <x:c r="K107" s="2">
        <x:v>0</x:v>
      </x:c>
      <x:c r="L107" s="2"/>
      <x:c r="M107" s="10"/>
      <x:c r="N107" s="2" t="s">
        <x:v>1173</x:v>
      </x:c>
      <x:c r="O107" s="2" t="s">
        <x:v>1174</x:v>
      </x:c>
      <x:c r="P107" s="2" t="s">
        <x:v>837</x:v>
      </x:c>
      <x:c r="Q107" s="2" t="s">
        <x:v>1175</x:v>
      </x:c>
    </x:row>
  </x:sheetData>
  <x:conditionalFormatting sqref="H2:H105">
    <x:cfRule type="expression" dxfId="6" priority="1">
      <x:formula>H2="Done"</x:formula>
    </x:cfRule>
    <x:cfRule type="expression" dxfId="5" priority="2">
      <x:formula>H2="In Progress"</x:formula>
    </x:cfRule>
  </x:conditionalFormatting>
  <x:conditionalFormatting sqref="J2:J105">
    <x:cfRule type="dataBar" priority="3">
      <x:dataBar>
        <x:cfvo type="min"/>
        <x:cfvo type="max"/>
        <x:color rgb="FFA02B93"/>
      </x:dataBar>
    </x:cfRule>
    <x:cfRule type="dataBar" priority="4">
      <x:dataBar>
        <x:cfvo type="min"/>
        <x:cfvo type="max"/>
        <x:color rgb="FFA02B93"/>
      </x:dataBar>
      <x:extLst>
        <x:ext xmlns:x14="http://schemas.microsoft.com/office/spreadsheetml/2009/9/main" uri="{B025F937-C7B1-47D3-B67F-A62EFF666E3E}">
          <x14:id>{8C2F50B9-ACFD-7DAA-248D-FFAF87D21C62}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8C2F50B9-ACFD-7DAA-248D-FFAF87D21C62}">
            <x14:dataBar>
              <x14:cfvo type="min"/>
              <x14:cfvo type="max"/>
              <x14:fillColor rgb="FFA02B93"/>
              <x14:negativeFillColor auto="1"/>
              <x14:axisColor auto="1"/>
            </x14:dataBar>
          </x14:cfRule>
          <xm:sqref>J2:J105</xm:sqref>
        </x14:conditionalFormatting>
      </x14:conditionalFormattings>
    </x:ext>
  </x:extLst>
</x:worksheet>
</file>

<file path=xl/worksheets/sheet13.xml><?xml version="1.0" encoding="utf-8"?>
<x:worksheet xmlns:x="http://schemas.openxmlformats.org/spreadsheetml/2006/main">
  <x:sheetFormatPr defaultRowHeight="14.25"/>
  <x:cols>
    <x:col min="1" max="6" width="14" customWidth="1"/>
    <x:col min="7" max="7" width="13" customWidth="1"/>
    <x:col min="8" max="8" width="78" customWidth="1"/>
  </x:cols>
  <x:sheetData>
    <x:row r="1" ht="18">
      <x:c r="A1" s="35" t="str">
        <x:v>HISTORICAL SNAPSHOT — NOT CURRENT AUTHORITY | M2 v2.20.4 — Dynamic Phase × Worker Scoreboard</x:v>
      </x:c>
      <x:c r="B1" s="35"/>
      <x:c r="C1" s="35"/>
      <x:c r="D1" s="35"/>
      <x:c r="E1" s="35"/>
      <x:c r="F1" s="35"/>
      <x:c r="G1" s="35"/>
      <x:c r="H1" s="35"/>
    </x:row>
    <x:row r="2">
      <x:c r="A2" s="2"/>
      <x:c r="B2" s="2"/>
      <x:c r="C2" s="2"/>
      <x:c r="D2" s="2"/>
      <x:c r="E2" s="2"/>
      <x:c r="F2" s="2"/>
      <x:c r="G2" s="2"/>
      <x:c r="H2" s="2"/>
    </x:row>
    <x:row r="3" ht="15">
      <x:c r="A3" s="17" t="s">
        <x:v>432</x:v>
      </x:c>
      <x:c r="B3" s="17" t="s">
        <x:v>433</x:v>
      </x:c>
      <x:c r="C3" s="17" t="s">
        <x:v>1176</x:v>
      </x:c>
      <x:c r="D3" s="17" t="s">
        <x:v>825</x:v>
      </x:c>
      <x:c r="E3" s="17" t="s">
        <x:v>826</x:v>
      </x:c>
      <x:c r="F3" s="17" t="s">
        <x:v>1177</x:v>
      </x:c>
      <x:c r="G3" s="17" t="s">
        <x:v>1178</x:v>
      </x:c>
      <x:c r="H3" s="17" t="s">
        <x:v>1179</x:v>
      </x:c>
    </x:row>
    <x:row r="4">
      <x:c r="A4" s="2" t="s">
        <x:v>441</x:v>
      </x:c>
      <x:c r="B4" s="2" t="s">
        <x:v>442</x:v>
      </x:c>
      <x:c r="C4" s="2" t="n">
        <x:v>172</x:v>
      </x:c>
      <x:c r="D4" s="2" t="n">
        <x:v>172</x:v>
      </x:c>
      <x:c r="E4" s="2" t="n">
        <x:f t="shared" ref="E4:E18" si="0">C4-D4</x:f>
        <x:v>0</x:v>
      </x:c>
      <x:c r="F4" s="2" t="n">
        <x:v>0</x:v>
      </x:c>
      <x:c r="G4" s="15" t="n">
        <x:f t="shared" ref="G4:G18" si="1">IF(C4=0,0,D4/C4)</x:f>
        <x:v>1</x:v>
      </x:c>
      <x:c r="H4" s="2" t="n">
        <x:v>0</x:v>
      </x:c>
    </x:row>
    <x:row r="5">
      <x:c r="A5" s="2" t="s">
        <x:v>441</x:v>
      </x:c>
      <x:c r="B5" s="2" t="s">
        <x:v>581</x:v>
      </x:c>
      <x:c r="C5" s="2" t="n">
        <x:v>44</x:v>
      </x:c>
      <x:c r="D5" s="2" t="n">
        <x:v>44</x:v>
      </x:c>
      <x:c r="E5" s="2">
        <x:f t="shared" si="0"/>
        <x:v>0</x:v>
      </x:c>
      <x:c r="F5" s="2" t="n">
        <x:v>0</x:v>
      </x:c>
      <x:c r="G5" s="15">
        <x:f t="shared" si="1"/>
        <x:v>1</x:v>
      </x:c>
      <x:c r="H5" s="2" t="n">
        <x:v>0</x:v>
      </x:c>
    </x:row>
    <x:row r="6">
      <x:c r="A6" s="2" t="s">
        <x:v>441</x:v>
      </x:c>
      <x:c r="B6" s="2" t="s">
        <x:v>602</x:v>
      </x:c>
      <x:c r="C6" s="2" t="n">
        <x:v>29</x:v>
      </x:c>
      <x:c r="D6" s="2" t="n">
        <x:v>29</x:v>
      </x:c>
      <x:c r="E6" s="2">
        <x:f t="shared" si="0"/>
        <x:v>0</x:v>
      </x:c>
      <x:c r="F6" s="2" t="n">
        <x:v>0</x:v>
      </x:c>
      <x:c r="G6" s="15">
        <x:f t="shared" si="1"/>
        <x:v>1</x:v>
      </x:c>
      <x:c r="H6" s="2" t="n">
        <x:v>0</x:v>
      </x:c>
    </x:row>
    <x:row r="7">
      <x:c r="A7" s="2" t="s">
        <x:v>487</x:v>
      </x:c>
      <x:c r="B7" s="2" t="s">
        <x:v>442</x:v>
      </x:c>
      <x:c r="C7" s="2" t="n">
        <x:v>137</x:v>
      </x:c>
      <x:c r="D7" s="2" t="n">
        <x:v>32</x:v>
      </x:c>
      <x:c r="E7" s="2">
        <x:f t="shared" si="0"/>
        <x:v>129</x:v>
      </x:c>
      <x:c r="F7" s="2" t="n">
        <x:v>8</x:v>
      </x:c>
      <x:c r="G7" s="15">
        <x:f t="shared" si="1"/>
        <x:v>0.19875776397515527</x:v>
      </x:c>
      <x:c r="H7" s="2" t="n">
        <x:v>12</x:v>
      </x:c>
    </x:row>
    <x:row r="8">
      <x:c r="A8" s="2" t="s">
        <x:v>487</x:v>
      </x:c>
      <x:c r="B8" s="2" t="s">
        <x:v>581</x:v>
      </x:c>
      <x:c r="C8" s="2" t="n">
        <x:v>148</x:v>
      </x:c>
      <x:c r="D8" s="2" t="n">
        <x:v>60</x:v>
      </x:c>
      <x:c r="E8" s="2">
        <x:f t="shared" si="0"/>
        <x:v>99</x:v>
      </x:c>
      <x:c r="F8" s="2" t="n">
        <x:v>24</x:v>
      </x:c>
      <x:c r="G8" s="15">
        <x:f t="shared" si="1"/>
        <x:v>0.37735849056603776</x:v>
      </x:c>
      <x:c r="H8" s="2" t="n">
        <x:v>9</x:v>
      </x:c>
    </x:row>
    <x:row r="9">
      <x:c r="A9" s="2" t="s">
        <x:v>487</x:v>
      </x:c>
      <x:c r="B9" s="2" t="s">
        <x:v>602</x:v>
      </x:c>
      <x:c r="C9" s="2" t="n">
        <x:v>38</x:v>
      </x:c>
      <x:c r="D9" s="2" t="n">
        <x:v>0</x:v>
      </x:c>
      <x:c r="E9" s="2">
        <x:f t="shared" si="0"/>
        <x:v>38</x:v>
      </x:c>
      <x:c r="F9" s="2" t="n">
        <x:v>16</x:v>
      </x:c>
      <x:c r="G9" s="15">
        <x:f t="shared" si="1"/>
        <x:v>0</x:v>
      </x:c>
      <x:c r="H9" s="2" t="n">
        <x:v>3</x:v>
      </x:c>
    </x:row>
    <x:row r="10">
      <x:c r="A10" s="2" t="s">
        <x:v>1025</x:v>
      </x:c>
      <x:c r="B10" s="2" t="s">
        <x:v>442</x:v>
      </x:c>
      <x:c r="C10" s="2" t="n">
        <x:v>0</x:v>
      </x:c>
      <x:c r="D10" s="2" t="n">
        <x:v>0</x:v>
      </x:c>
      <x:c r="E10" s="2">
        <x:f t="shared" si="0"/>
        <x:v>0</x:v>
      </x:c>
      <x:c r="F10" s="2" t="n">
        <x:v>0</x:v>
      </x:c>
      <x:c r="G10" s="15">
        <x:f t="shared" si="1"/>
        <x:v>0</x:v>
      </x:c>
      <x:c r="H10" s="2" t="n">
        <x:v>0</x:v>
      </x:c>
    </x:row>
    <x:row r="11">
      <x:c r="A11" s="2" t="s">
        <x:v>1025</x:v>
      </x:c>
      <x:c r="B11" s="2" t="s">
        <x:v>581</x:v>
      </x:c>
      <x:c r="C11" s="2" t="n">
        <x:v>36</x:v>
      </x:c>
      <x:c r="D11" s="2" t="n">
        <x:v>0</x:v>
      </x:c>
      <x:c r="E11" s="2">
        <x:f t="shared" si="0"/>
        <x:v>36</x:v>
      </x:c>
      <x:c r="F11" s="2" t="n">
        <x:v>0</x:v>
      </x:c>
      <x:c r="G11" s="15">
        <x:f t="shared" si="1"/>
        <x:v>0</x:v>
      </x:c>
      <x:c r="H11" s="2" t="n">
        <x:v>4</x:v>
      </x:c>
    </x:row>
    <x:row r="12">
      <x:c r="A12" s="2" t="s">
        <x:v>1025</x:v>
      </x:c>
      <x:c r="B12" s="2" t="s">
        <x:v>602</x:v>
      </x:c>
      <x:c r="C12" s="2" t="n">
        <x:v>0</x:v>
      </x:c>
      <x:c r="D12" s="2" t="n">
        <x:v>0</x:v>
      </x:c>
      <x:c r="E12" s="2">
        <x:f t="shared" si="0"/>
        <x:v>0</x:v>
      </x:c>
      <x:c r="F12" s="2" t="n">
        <x:v>0</x:v>
      </x:c>
      <x:c r="G12" s="15">
        <x:f t="shared" si="1"/>
        <x:v>0</x:v>
      </x:c>
      <x:c r="H12" s="2" t="n">
        <x:v>0</x:v>
      </x:c>
    </x:row>
    <x:row r="13">
      <x:c r="A13" s="2" t="s">
        <x:v>502</x:v>
      </x:c>
      <x:c r="B13" s="2" t="s">
        <x:v>442</x:v>
      </x:c>
      <x:c r="C13" s="2" t="n">
        <x:v>0</x:v>
      </x:c>
      <x:c r="D13" s="2" t="n">
        <x:v>0</x:v>
      </x:c>
      <x:c r="E13" s="2">
        <x:f t="shared" si="0"/>
        <x:v>0</x:v>
      </x:c>
      <x:c r="F13" s="2" t="n">
        <x:v>0</x:v>
      </x:c>
      <x:c r="G13" s="15">
        <x:f t="shared" si="1"/>
        <x:v>0</x:v>
      </x:c>
      <x:c r="H13" s="2" t="n">
        <x:v>0</x:v>
      </x:c>
    </x:row>
    <x:row r="14">
      <x:c r="A14" s="2" t="s">
        <x:v>502</x:v>
      </x:c>
      <x:c r="B14" s="2" t="s">
        <x:v>581</x:v>
      </x:c>
      <x:c r="C14" s="2" t="n">
        <x:v>10</x:v>
      </x:c>
      <x:c r="D14" s="2" t="n">
        <x:v>0</x:v>
      </x:c>
      <x:c r="E14" s="2">
        <x:f t="shared" si="0"/>
        <x:v>10</x:v>
      </x:c>
      <x:c r="F14" s="2" t="n">
        <x:v>0</x:v>
      </x:c>
      <x:c r="G14" s="15">
        <x:f t="shared" si="1"/>
        <x:v>0</x:v>
      </x:c>
      <x:c r="H14" s="2" t="n">
        <x:v>1</x:v>
      </x:c>
    </x:row>
    <x:row r="15">
      <x:c r="A15" s="2" t="s">
        <x:v>502</x:v>
      </x:c>
      <x:c r="B15" s="2" t="s">
        <x:v>602</x:v>
      </x:c>
      <x:c r="C15" s="2" t="n">
        <x:v>94</x:v>
      </x:c>
      <x:c r="D15" s="2" t="n">
        <x:v>56</x:v>
      </x:c>
      <x:c r="E15" s="2">
        <x:f t="shared" si="0"/>
        <x:v>38</x:v>
      </x:c>
      <x:c r="F15" s="2" t="n">
        <x:v>0</x:v>
      </x:c>
      <x:c r="G15" s="15">
        <x:f t="shared" si="1"/>
        <x:v>0.5957446808510638</x:v>
      </x:c>
      <x:c r="H15" s="2" t="n">
        <x:v>4</x:v>
      </x:c>
    </x:row>
    <x:row r="16">
      <x:c r="A16" s="2" t="s">
        <x:v>1120</x:v>
      </x:c>
      <x:c r="B16" s="2" t="s">
        <x:v>442</x:v>
      </x:c>
      <x:c r="C16" s="2" t="n">
        <x:v>128</x:v>
      </x:c>
      <x:c r="D16" s="2" t="n">
        <x:v>0</x:v>
      </x:c>
      <x:c r="E16" s="2">
        <x:f t="shared" si="0"/>
        <x:v>128</x:v>
      </x:c>
      <x:c r="F16" s="2" t="n">
        <x:v>0</x:v>
      </x:c>
      <x:c r="G16" s="15">
        <x:f t="shared" si="1"/>
        <x:v>0</x:v>
      </x:c>
      <x:c r="H16" s="2" t="n">
        <x:v>12</x:v>
      </x:c>
    </x:row>
    <x:row r="17">
      <x:c r="A17" s="2" t="s">
        <x:v>1120</x:v>
      </x:c>
      <x:c r="B17" s="2" t="s">
        <x:v>581</x:v>
      </x:c>
      <x:c r="C17" s="2" t="n">
        <x:v>18</x:v>
      </x:c>
      <x:c r="D17" s="2" t="n">
        <x:v>0</x:v>
      </x:c>
      <x:c r="E17" s="2">
        <x:f t="shared" si="0"/>
        <x:v>18</x:v>
      </x:c>
      <x:c r="F17" s="2" t="n">
        <x:v>0</x:v>
      </x:c>
      <x:c r="G17" s="15">
        <x:f t="shared" si="1"/>
        <x:v>0</x:v>
      </x:c>
      <x:c r="H17" s="2" t="n">
        <x:v>2</x:v>
      </x:c>
    </x:row>
    <x:row r="18">
      <x:c r="A18" s="2" t="s">
        <x:v>1120</x:v>
      </x:c>
      <x:c r="B18" s="2" t="s">
        <x:v>602</x:v>
      </x:c>
      <x:c r="C18" s="2" t="n">
        <x:v>8</x:v>
      </x:c>
      <x:c r="D18" s="2" t="n">
        <x:v>0</x:v>
      </x:c>
      <x:c r="E18" s="2">
        <x:f t="shared" si="0"/>
        <x:v>8</x:v>
      </x:c>
      <x:c r="F18" s="2" t="n">
        <x:v>0</x:v>
      </x:c>
      <x:c r="G18" s="15">
        <x:f t="shared" si="1"/>
        <x:v>0</x:v>
      </x:c>
      <x:c r="H18" s="2" t="n">
        <x:v>1</x:v>
      </x:c>
    </x:row>
    <x:row r="19">
      <x:c r="A19" s="2"/>
      <x:c r="B19" s="2"/>
      <x:c r="C19" s="2"/>
      <x:c r="D19" s="2"/>
      <x:c r="E19" s="2"/>
      <x:c r="F19" s="2"/>
      <x:c r="G19" s="2"/>
      <x:c r="H19" s="2"/>
    </x:row>
    <x:row r="20">
      <x:c r="A20" s="2"/>
      <x:c r="B20" s="2"/>
      <x:c r="C20" s="2"/>
      <x:c r="D20" s="2"/>
      <x:c r="E20" s="2"/>
      <x:c r="F20" s="2"/>
      <x:c r="G20" s="2"/>
      <x:c r="H20" s="2"/>
    </x:row>
    <x:row r="21" ht="15">
      <x:c r="A21" s="18" t="s">
        <x:v>432</x:v>
      </x:c>
      <x:c r="B21" s="18" t="s">
        <x:v>1176</x:v>
      </x:c>
      <x:c r="C21" s="18" t="s">
        <x:v>825</x:v>
      </x:c>
      <x:c r="D21" s="18" t="s">
        <x:v>826</x:v>
      </x:c>
      <x:c r="E21" s="18" t="s">
        <x:v>1177</x:v>
      </x:c>
      <x:c r="F21" s="18" t="s">
        <x:v>1178</x:v>
      </x:c>
      <x:c r="G21" s="18" t="s">
        <x:v>1179</x:v>
      </x:c>
      <x:c r="H21" s="18" t="s">
        <x:v>1180</x:v>
      </x:c>
    </x:row>
    <x:row r="22" ht="28.5">
      <x:c r="A22" s="2" t="s">
        <x:v>441</x:v>
      </x:c>
      <x:c r="B22" s="2" t="n">
        <x:v>245</x:v>
      </x:c>
      <x:c r="C22" s="2" t="n">
        <x:v>245</x:v>
      </x:c>
      <x:c r="D22" s="2" t="n">
        <x:v>0</x:v>
      </x:c>
      <x:c r="E22" s="2" t="n">
        <x:v>0</x:v>
      </x:c>
      <x:c r="F22" s="15" t="n">
        <x:v>1</x:v>
      </x:c>
      <x:c r="G22" s="2" t="n">
        <x:v>0</x:v>
      </x:c>
      <x:c r="H22" s="2" t="s">
        <x:v>1181</x:v>
      </x:c>
    </x:row>
    <x:row r="23" ht="28.5">
      <x:c r="A23" s="2" t="s">
        <x:v>487</x:v>
      </x:c>
      <x:c r="B23" s="2" t="n">
        <x:v>323</x:v>
      </x:c>
      <x:c r="C23" s="2" t="n">
        <x:v>92</x:v>
      </x:c>
      <x:c r="D23" s="2" t="n">
        <x:v>231</x:v>
      </x:c>
      <x:c r="E23" s="2" t="n">
        <x:v>48</x:v>
      </x:c>
      <x:c r="F23" s="15" t="n">
        <x:v>0.2848297213622291</x:v>
      </x:c>
      <x:c r="G23" s="2" t="n">
        <x:v>24</x:v>
      </x:c>
      <x:c r="H23" s="2" t="s">
        <x:v>1182</x:v>
      </x:c>
    </x:row>
    <x:row r="24" ht="28.5">
      <x:c r="A24" s="2" t="s">
        <x:v>1025</x:v>
      </x:c>
      <x:c r="B24" s="2" t="n">
        <x:v>36</x:v>
      </x:c>
      <x:c r="C24" s="2" t="n">
        <x:v>0</x:v>
      </x:c>
      <x:c r="D24" s="2" t="n">
        <x:v>36</x:v>
      </x:c>
      <x:c r="E24" s="2" t="n">
        <x:v>0</x:v>
      </x:c>
      <x:c r="F24" s="15" t="n">
        <x:v>0</x:v>
      </x:c>
      <x:c r="G24" s="2" t="n">
        <x:v>4</x:v>
      </x:c>
      <x:c r="H24" s="2" t="s">
        <x:v>1183</x:v>
      </x:c>
    </x:row>
    <x:row r="25">
      <x:c r="A25" s="2" t="s">
        <x:v>502</x:v>
      </x:c>
      <x:c r="B25" s="2" t="n">
        <x:v>276</x:v>
      </x:c>
      <x:c r="C25" s="2" t="n">
        <x:v>228</x:v>
      </x:c>
      <x:c r="D25" s="2" t="n">
        <x:v>48</x:v>
      </x:c>
      <x:c r="E25" s="2" t="n">
        <x:v>0</x:v>
      </x:c>
      <x:c r="F25" s="15" t="n">
        <x:v>0.8260869565217391</x:v>
      </x:c>
      <x:c r="G25" s="2" t="n">
        <x:v>5</x:v>
      </x:c>
      <x:c r="H25" s="2" t="s">
        <x:v>1184</x:v>
      </x:c>
    </x:row>
    <x:row r="26">
      <x:c r="A26" s="2" t="s">
        <x:v>1120</x:v>
      </x:c>
      <x:c r="B26" s="2" t="n">
        <x:v>154</x:v>
      </x:c>
      <x:c r="C26" s="2" t="n">
        <x:v>0</x:v>
      </x:c>
      <x:c r="D26" s="2" t="n">
        <x:v>154</x:v>
      </x:c>
      <x:c r="E26" s="2" t="n">
        <x:v>0</x:v>
      </x:c>
      <x:c r="F26" s="15" t="n">
        <x:v>0</x:v>
      </x:c>
      <x:c r="G26" s="2" t="n">
        <x:v>15</x:v>
      </x:c>
      <x:c r="H26" s="2" t="s">
        <x:v>1185</x:v>
      </x:c>
    </x:row>
    <x:row r="27">
      <x:c r="A27" s="2"/>
      <x:c r="B27" s="2"/>
      <x:c r="C27" s="2"/>
      <x:c r="D27" s="2"/>
      <x:c r="E27" s="2"/>
      <x:c r="F27" s="2"/>
      <x:c r="G27" s="2"/>
      <x:c r="H27" s="2"/>
    </x:row>
    <x:row r="28">
      <x:c r="A28" s="2"/>
      <x:c r="B28" s="2"/>
      <x:c r="C28" s="2"/>
      <x:c r="D28" s="2"/>
      <x:c r="E28" s="2"/>
      <x:c r="F28" s="2"/>
      <x:c r="G28" s="2"/>
      <x:c r="H28" s="2"/>
    </x:row>
    <x:row r="29" ht="15">
      <x:c r="A29" s="18" t="s">
        <x:v>433</x:v>
      </x:c>
      <x:c r="B29" s="18" t="s">
        <x:v>1176</x:v>
      </x:c>
      <x:c r="C29" s="18" t="s">
        <x:v>825</x:v>
      </x:c>
      <x:c r="D29" s="18" t="s">
        <x:v>826</x:v>
      </x:c>
      <x:c r="E29" s="18" t="s">
        <x:v>1177</x:v>
      </x:c>
      <x:c r="F29" s="18" t="s">
        <x:v>1178</x:v>
      </x:c>
      <x:c r="G29" s="18" t="s">
        <x:v>1179</x:v>
      </x:c>
      <x:c r="H29" s="2"/>
    </x:row>
    <x:row r="30">
      <x:c r="A30" s="2" t="s">
        <x:v>442</x:v>
      </x:c>
      <x:c r="B30" s="2" t="n">
        <x:v>437</x:v>
      </x:c>
      <x:c r="C30" s="2" t="n">
        <x:v>204</x:v>
      </x:c>
      <x:c r="D30" s="2" t="n">
        <x:v>233</x:v>
      </x:c>
      <x:c r="E30" s="2" t="n">
        <x:v>8</x:v>
      </x:c>
      <x:c r="F30" s="15" t="n">
        <x:v>0.4668192219679634</x:v>
      </x:c>
      <x:c r="G30" s="2" t="n">
        <x:v>24</x:v>
      </x:c>
      <x:c r="H30" s="2"/>
    </x:row>
    <x:row r="31">
      <x:c r="A31" s="2" t="s">
        <x:v>581</x:v>
      </x:c>
      <x:c r="B31" s="2" t="n">
        <x:v>256</x:v>
      </x:c>
      <x:c r="C31" s="2" t="n">
        <x:v>104</x:v>
      </x:c>
      <x:c r="D31" s="2" t="n">
        <x:v>152</x:v>
      </x:c>
      <x:c r="E31" s="2" t="n">
        <x:v>24</x:v>
      </x:c>
      <x:c r="F31" s="15" t="n">
        <x:v>0.40625</x:v>
      </x:c>
      <x:c r="G31" s="2" t="n">
        <x:v>16</x:v>
      </x:c>
      <x:c r="H31" s="2"/>
    </x:row>
    <x:row r="32">
      <x:c r="A32" s="2" t="s">
        <x:v>602</x:v>
      </x:c>
      <x:c r="B32" s="2" t="n">
        <x:v>169</x:v>
      </x:c>
      <x:c r="C32" s="2" t="n">
        <x:v>85</x:v>
      </x:c>
      <x:c r="D32" s="2" t="n">
        <x:v>84</x:v>
      </x:c>
      <x:c r="E32" s="2" t="n">
        <x:v>16</x:v>
      </x:c>
      <x:c r="F32" s="15" t="n">
        <x:v>0.5029585798816568</x:v>
      </x:c>
      <x:c r="G32" s="2" t="n">
        <x:v>8</x:v>
      </x:c>
      <x:c r="H32" s="2"/>
    </x:row>
    <x:row r="33">
      <x:c r="A33" s="2"/>
      <x:c r="B33" s="2"/>
      <x:c r="C33" s="2"/>
      <x:c r="D33" s="2"/>
      <x:c r="E33" s="2"/>
      <x:c r="F33" s="2"/>
      <x:c r="G33" s="2"/>
      <x:c r="H33" s="2"/>
    </x:row>
  </x:sheetData>
  <x:mergeCells>
    <x:mergeCell ref="A1:H1"/>
  </x:mergeCells>
  <x:pageMargins left="0.7" right="0.7" top="0.75" bottom="0.75" header="0.3" footer="0.3"/>
</x:worksheet>
</file>

<file path=xl/worksheets/sheet14.xml><?xml version="1.0" encoding="utf-8"?>
<x:worksheet xmlns:x="http://schemas.openxmlformats.org/spreadsheetml/2006/main">
  <x:sheetFormatPr defaultRowHeight="14.25"/>
  <x:cols>
    <x:col min="1" max="14" width="14" customWidth="1"/>
  </x:cols>
  <x:sheetData>
    <x:row r="1">
      <x:c r="A1" s="36" t="str">
        <x:v>HISTORICAL SNAPSHOT — NOT CURRENT AUTHORITY | PlantProcess IQ — M2 v2.20.4 Governance Dashboard | 09-Sep-2026</x:v>
      </x:c>
      <x:c r="B1" s="36"/>
      <x:c r="C1" s="36"/>
      <x:c r="D1" s="36"/>
      <x:c r="E1" s="36"/>
      <x:c r="F1" s="36"/>
      <x:c r="G1" s="36"/>
      <x:c r="H1" s="36"/>
      <x:c r="I1" s="37"/>
      <x:c r="J1" s="37"/>
      <x:c r="K1" s="37"/>
      <x:c r="L1" s="37"/>
      <x:c r="M1" s="37"/>
      <x:c r="N1" s="37"/>
    </x:row>
    <x:row r="2">
      <x:c r="A2" s="37"/>
      <x:c r="B2" s="37"/>
      <x:c r="C2" s="37"/>
      <x:c r="D2" s="37"/>
      <x:c r="E2" s="37"/>
      <x:c r="F2" s="37"/>
      <x:c r="G2" s="37"/>
      <x:c r="H2" s="37"/>
      <x:c r="I2" s="37"/>
      <x:c r="J2" s="37"/>
      <x:c r="K2" s="37"/>
      <x:c r="L2" s="37"/>
      <x:c r="M2" s="37"/>
      <x:c r="N2" s="37"/>
    </x:row>
    <x:row r="3">
      <x:c r="A3" s="38" t="s">
        <x:v>1186</x:v>
      </x:c>
      <x:c r="B3" s="38"/>
      <x:c r="C3" s="38"/>
      <x:c r="D3" s="38"/>
      <x:c r="E3" s="38"/>
      <x:c r="F3" s="38"/>
      <x:c r="G3" s="38"/>
      <x:c r="H3" s="38"/>
      <x:c r="I3" s="38"/>
      <x:c r="J3" s="38"/>
      <x:c r="K3" s="38"/>
      <x:c r="L3" s="38"/>
      <x:c r="M3" s="38"/>
      <x:c r="N3" s="38"/>
    </x:row>
    <x:row r="5">
      <x:c r="A5" s="39" t="s">
        <x:v>1187</x:v>
      </x:c>
      <x:c r="B5" s="40"/>
      <x:c r="C5" s="40"/>
      <x:c r="D5" s="39" t="s">
        <x:v>825</x:v>
      </x:c>
      <x:c r="E5" s="40"/>
      <x:c r="F5" s="40"/>
      <x:c r="G5" s="39" t="s">
        <x:v>826</x:v>
      </x:c>
      <x:c r="H5" s="40"/>
      <x:c r="I5" s="40"/>
      <x:c r="J5" s="39" t="s">
        <x:v>1188</x:v>
      </x:c>
      <x:c r="K5" s="40"/>
      <x:c r="L5" s="40"/>
    </x:row>
    <x:row r="6">
      <x:c r="A6" s="40"/>
      <x:c r="B6" s="40"/>
      <x:c r="C6" s="40"/>
      <x:c r="D6" s="40"/>
      <x:c r="E6" s="40"/>
      <x:c r="F6" s="40"/>
      <x:c r="G6" s="40"/>
      <x:c r="H6" s="40"/>
      <x:c r="I6" s="40"/>
      <x:c r="J6" s="40"/>
      <x:c r="K6" s="40"/>
      <x:c r="L6" s="40"/>
    </x:row>
    <x:row r="7">
      <x:c r="A7" s="41" t="n">
        <x:v>1034</x:v>
      </x:c>
      <x:c r="B7" s="41"/>
      <x:c r="C7" s="41"/>
      <x:c r="D7" s="41" t="n">
        <x:v>565</x:v>
      </x:c>
      <x:c r="E7" s="41"/>
      <x:c r="F7" s="41"/>
      <x:c r="G7" s="41" t="n">
        <x:v>469</x:v>
      </x:c>
      <x:c r="H7" s="41"/>
      <x:c r="I7" s="41"/>
      <x:c r="J7" s="42" t="n">
        <x:v>0.5464216634429401</x:v>
      </x:c>
      <x:c r="K7" s="41"/>
      <x:c r="L7" s="41"/>
    </x:row>
    <x:row r="8">
      <x:c r="A8" s="41"/>
      <x:c r="B8" s="41"/>
      <x:c r="C8" s="41"/>
      <x:c r="D8" s="41"/>
      <x:c r="E8" s="41"/>
      <x:c r="F8" s="41"/>
      <x:c r="G8" s="41"/>
      <x:c r="H8" s="41"/>
      <x:c r="I8" s="41"/>
      <x:c r="J8" s="41"/>
      <x:c r="K8" s="41"/>
      <x:c r="L8" s="41"/>
    </x:row>
    <x:row r="9">
      <x:c r="A9" s="41"/>
      <x:c r="B9" s="41"/>
      <x:c r="C9" s="41"/>
      <x:c r="D9" s="41"/>
      <x:c r="E9" s="41"/>
      <x:c r="F9" s="41"/>
      <x:c r="G9" s="41"/>
      <x:c r="H9" s="41"/>
      <x:c r="I9" s="41"/>
      <x:c r="J9" s="41"/>
      <x:c r="K9" s="41"/>
      <x:c r="L9" s="41"/>
    </x:row>
    <x:row r="11" ht="15">
      <x:c r="A11" s="43" t="s">
        <x:v>1189</x:v>
      </x:c>
      <x:c r="B11" s="43"/>
      <x:c r="C11" s="43"/>
      <x:c r="D11" s="43"/>
      <x:c r="E11" s="43"/>
      <x:c r="F11" s="43"/>
      <x:c r="G11" s="43"/>
      <x:c r="H11" s="43"/>
    </x:row>
    <x:row r="12" ht="15">
      <x:c r="A12" s="18" t="s">
        <x:v>1190</x:v>
      </x:c>
      <x:c r="B12" s="18" t="s">
        <x:v>1191</x:v>
      </x:c>
      <x:c r="C12" s="18" t="s">
        <x:v>1192</x:v>
      </x:c>
      <x:c r="D12" s="18" t="s">
        <x:v>137</x:v>
      </x:c>
      <x:c r="E12" s="18" t="s">
        <x:v>1193</x:v>
      </x:c>
      <x:c r="F12" s="18" t="s">
        <x:v>1194</x:v>
      </x:c>
      <x:c r="G12" s="18" t="s">
        <x:v>650</x:v>
      </x:c>
      <x:c r="H12" s="18" t="s">
        <x:v>1195</x:v>
      </x:c>
    </x:row>
    <x:row r="13" ht="85.5">
      <x:c r="A13" s="2" t="s">
        <x:v>442</x:v>
      </x:c>
      <x:c r="B13" s="2" t="s">
        <x:v>802</x:v>
      </x:c>
      <x:c r="C13" s="2" t="s">
        <x:v>1017</x:v>
      </x:c>
      <x:c r="D13" s="2">
        <x:v>6</x:v>
      </x:c>
      <x:c r="E13" s="2" t="s">
        <x:v>1196</x:v>
      </x:c>
      <x:c r="F13" s="2" t="s">
        <x:v>1197</x:v>
      </x:c>
      <x:c r="G13" s="2" t="s">
        <x:v>1198</x:v>
      </x:c>
      <x:c r="H13" s="2" t="s">
        <x:v>1199</x:v>
      </x:c>
    </x:row>
    <x:row r="14" ht="71.25">
      <x:c r="A14" s="2" t="s">
        <x:v>581</x:v>
      </x:c>
      <x:c r="B14" s="2" t="s">
        <x:v>653</x:v>
      </x:c>
      <x:c r="C14" s="2" t="s">
        <x:v>1017</x:v>
      </x:c>
      <x:c r="D14" s="2">
        <x:v>12</x:v>
      </x:c>
      <x:c r="E14" s="2" t="s">
        <x:v>1200</x:v>
      </x:c>
      <x:c r="F14" s="2" t="s">
        <x:v>1201</x:v>
      </x:c>
      <x:c r="G14" s="2" t="s">
        <x:v>1202</x:v>
      </x:c>
      <x:c r="H14" s="2" t="s">
        <x:v>1203</x:v>
      </x:c>
    </x:row>
    <x:row r="15" ht="57">
      <x:c r="A15" s="2" t="s">
        <x:v>602</x:v>
      </x:c>
      <x:c r="B15" s="2" t="s">
        <x:v>697</x:v>
      </x:c>
      <x:c r="C15" s="2" t="s">
        <x:v>1204</x:v>
      </x:c>
      <x:c r="D15" s="2">
        <x:v>16</x:v>
      </x:c>
      <x:c r="E15" s="2" t="s">
        <x:v>1205</x:v>
      </x:c>
      <x:c r="F15" s="2" t="s">
        <x:v>1206</x:v>
      </x:c>
      <x:c r="G15" s="2" t="s">
        <x:v>1207</x:v>
      </x:c>
      <x:c r="H15" s="2" t="s">
        <x:v>1208</x:v>
      </x:c>
    </x:row>
    <x:row r="16" ht="57">
      <x:c r="A16" s="2" t="s">
        <x:v>442</x:v>
      </x:c>
      <x:c r="B16" s="2" t="s">
        <x:v>669</x:v>
      </x:c>
      <x:c r="C16" s="2" t="s">
        <x:v>1209</x:v>
      </x:c>
      <x:c r="D16" s="2">
        <x:v>12</x:v>
      </x:c>
      <x:c r="E16" s="2" t="s">
        <x:v>1210</x:v>
      </x:c>
      <x:c r="F16" s="2" t="s">
        <x:v>1211</x:v>
      </x:c>
      <x:c r="G16" s="2" t="s">
        <x:v>1212</x:v>
      </x:c>
      <x:c r="H16" s="2" t="s">
        <x:v>1213</x:v>
      </x:c>
    </x:row>
    <x:row r="19" ht="15">
      <x:c r="A19" s="16" t="s">
        <x:v>432</x:v>
      </x:c>
      <x:c r="B19" s="16" t="s">
        <x:v>825</x:v>
      </x:c>
      <x:c r="C19" s="16" t="s">
        <x:v>826</x:v>
      </x:c>
      <x:c r="D19" s="16" t="s">
        <x:v>1177</x:v>
      </x:c>
      <x:c r="E19" s="16" t="s">
        <x:v>1178</x:v>
      </x:c>
      <x:c r="G19" s="16" t="s">
        <x:v>433</x:v>
      </x:c>
      <x:c r="H19" s="16" t="s">
        <x:v>825</x:v>
      </x:c>
      <x:c r="I19" s="16" t="s">
        <x:v>826</x:v>
      </x:c>
      <x:c r="J19" s="16" t="s">
        <x:v>1177</x:v>
      </x:c>
      <x:c r="K19" s="16" t="s">
        <x:v>1178</x:v>
      </x:c>
    </x:row>
    <x:row r="20">
      <x:c r="A20" t="s">
        <x:v>441</x:v>
      </x:c>
      <x:c r="B20" t="n">
        <x:v>245</x:v>
      </x:c>
      <x:c r="C20" t="n">
        <x:v>0</x:v>
      </x:c>
      <x:c r="D20" t="n">
        <x:v>0</x:v>
      </x:c>
      <x:c r="E20" s="11" t="n">
        <x:v>1</x:v>
      </x:c>
      <x:c r="G20" t="s">
        <x:v>442</x:v>
      </x:c>
      <x:c r="H20" t="n">
        <x:v>204</x:v>
      </x:c>
      <x:c r="I20" t="n">
        <x:v>233</x:v>
      </x:c>
      <x:c r="J20" t="n">
        <x:v>8</x:v>
      </x:c>
      <x:c r="K20" s="11" t="n">
        <x:v>0.4668192219679634</x:v>
      </x:c>
    </x:row>
    <x:row r="21">
      <x:c r="A21" t="s">
        <x:v>487</x:v>
      </x:c>
      <x:c r="B21" t="n">
        <x:v>92</x:v>
      </x:c>
      <x:c r="C21" t="n">
        <x:v>231</x:v>
      </x:c>
      <x:c r="D21" t="n">
        <x:v>48</x:v>
      </x:c>
      <x:c r="E21" s="11" t="n">
        <x:v>0.2848297213622291</x:v>
      </x:c>
      <x:c r="G21" t="s">
        <x:v>581</x:v>
      </x:c>
      <x:c r="H21" t="n">
        <x:v>104</x:v>
      </x:c>
      <x:c r="I21" t="n">
        <x:v>152</x:v>
      </x:c>
      <x:c r="J21" t="n">
        <x:v>24</x:v>
      </x:c>
      <x:c r="K21" s="11" t="n">
        <x:v>0.40625</x:v>
      </x:c>
    </x:row>
    <x:row r="22">
      <x:c r="A22" t="s">
        <x:v>1025</x:v>
      </x:c>
      <x:c r="B22" t="n">
        <x:v>0</x:v>
      </x:c>
      <x:c r="C22" t="n">
        <x:v>36</x:v>
      </x:c>
      <x:c r="D22" t="n">
        <x:v>0</x:v>
      </x:c>
      <x:c r="E22" s="11" t="n">
        <x:v>0</x:v>
      </x:c>
      <x:c r="G22" t="s">
        <x:v>602</x:v>
      </x:c>
      <x:c r="H22" t="n">
        <x:v>85</x:v>
      </x:c>
      <x:c r="I22" t="n">
        <x:v>84</x:v>
      </x:c>
      <x:c r="J22" t="n">
        <x:v>16</x:v>
      </x:c>
      <x:c r="K22" s="11" t="n">
        <x:v>0.5029585798816568</x:v>
      </x:c>
    </x:row>
    <x:row r="23">
      <x:c r="A23" t="s">
        <x:v>502</x:v>
      </x:c>
      <x:c r="B23" t="n">
        <x:v>228</x:v>
      </x:c>
      <x:c r="C23" t="n">
        <x:v>48</x:v>
      </x:c>
      <x:c r="D23" t="n">
        <x:v>0</x:v>
      </x:c>
      <x:c r="E23" s="11" t="n">
        <x:v>0.8260869565217391</x:v>
      </x:c>
    </x:row>
    <x:row r="24">
      <x:c r="A24" t="s">
        <x:v>1120</x:v>
      </x:c>
      <x:c r="B24" t="n">
        <x:v>0</x:v>
      </x:c>
      <x:c r="C24" t="n">
        <x:v>154</x:v>
      </x:c>
      <x:c r="D24" t="n">
        <x:v>0</x:v>
      </x:c>
      <x:c r="E24" s="11" t="n">
        <x:v>0</x:v>
      </x:c>
    </x:row>
    <x:row r="47" ht="15">
      <x:c r="A47" s="18" t="s">
        <x:v>1214</x:v>
      </x:c>
      <x:c r="B47" s="18" t="s">
        <x:v>1215</x:v>
      </x:c>
      <x:c r="C47" s="18" t="s">
        <x:v>1216</x:v>
      </x:c>
      <x:c r="D47" s="18" t="s">
        <x:v>1217</x:v>
      </x:c>
      <x:c r="E47" s="18" t="s">
        <x:v>1218</x:v>
      </x:c>
    </x:row>
    <x:row r="48" ht="99.75">
      <x:c r="A48" s="2" t="s">
        <x:v>1219</x:v>
      </x:c>
      <x:c r="B48" s="2">
        <x:v>1043</x:v>
      </x:c>
      <x:c r="C48" s="2">
        <x:v>1051</x:v>
      </x:c>
      <x:c r="D48" s="2">
        <x:v>8</x:v>
      </x:c>
      <x:c r="E48" s="2" t="s">
        <x:v>1220</x:v>
      </x:c>
    </x:row>
    <x:row r="49" ht="28.5">
      <x:c r="A49" s="2" t="s">
        <x:v>1221</x:v>
      </x:c>
      <x:c r="B49" s="2">
        <x:v>513</x:v>
      </x:c>
      <x:c r="C49" s="2">
        <x:v>513</x:v>
      </x:c>
      <x:c r="D49" s="2">
        <x:v>0</x:v>
      </x:c>
      <x:c r="E49" s="2" t="s">
        <x:v>1222</x:v>
      </x:c>
    </x:row>
    <x:row r="50" ht="99.75">
      <x:c r="A50" s="2" t="s">
        <x:v>1223</x:v>
      </x:c>
      <x:c r="B50" s="2">
        <x:v>530</x:v>
      </x:c>
      <x:c r="C50" s="2">
        <x:v>538</x:v>
      </x:c>
      <x:c r="D50" s="2">
        <x:v>8</x:v>
      </x:c>
      <x:c r="E50" s="2" t="s">
        <x:v>1224</x:v>
      </x:c>
    </x:row>
    <x:row r="51" ht="28.5">
      <x:c r="A51" s="2" t="s">
        <x:v>1225</x:v>
      </x:c>
      <x:c r="B51" s="15">
        <x:v>0.49185043144774687</x:v>
      </x:c>
      <x:c r="C51" s="15">
        <x:v>0.48810656517602286</x:v>
      </x:c>
      <x:c r="D51" s="15">
        <x:v>-3.7438662717240168E-3</x:v>
      </x:c>
      <x:c r="E51" s="2" t="s">
        <x:v>1226</x:v>
      </x:c>
    </x:row>
    <x:row r="52" ht="57">
      <x:c r="A52" s="2" t="s">
        <x:v>1227</x:v>
      </x:c>
      <x:c r="B52" s="15" t="s">
        <x:v>1228</x:v>
      </x:c>
      <x:c r="C52" s="15" t="s">
        <x:v>1229</x:v>
      </x:c>
      <x:c r="D52" s="15" t="s">
        <x:v>1230</x:v>
      </x:c>
      <x:c r="E52" s="2" t="s">
        <x:v>1231</x:v>
      </x:c>
    </x:row>
    <x:row r="55" ht="15">
      <x:c r="A55" s="16" t="s">
        <x:v>826</x:v>
      </x:c>
      <x:c r="B55" s="16" t="s">
        <x:v>442</x:v>
      </x:c>
      <x:c r="C55" s="16" t="s">
        <x:v>581</x:v>
      </x:c>
      <x:c r="D55" s="16" t="s">
        <x:v>602</x:v>
      </x:c>
      <x:c r="E55" s="16" t="s">
        <x:v>1232</x:v>
      </x:c>
      <x:c r="F55" s="16" t="s">
        <x:v>1179</x:v>
      </x:c>
    </x:row>
    <x:row r="56">
      <x:c r="A56" t="s">
        <x:v>441</x:v>
      </x:c>
      <x:c r="B56" t="n">
        <x:v>0</x:v>
      </x:c>
      <x:c r="C56" t="n">
        <x:v>0</x:v>
      </x:c>
      <x:c r="D56" t="n">
        <x:v>0</x:v>
      </x:c>
      <x:c r="E56" t="n">
        <x:v>0</x:v>
      </x:c>
      <x:c r="F56" t="n">
        <x:v>0</x:v>
      </x:c>
    </x:row>
    <x:row r="57">
      <x:c r="A57" t="s">
        <x:v>487</x:v>
      </x:c>
      <x:c r="B57" t="n">
        <x:v>105</x:v>
      </x:c>
      <x:c r="C57" t="n">
        <x:v>88</x:v>
      </x:c>
      <x:c r="D57" t="n">
        <x:v>38</x:v>
      </x:c>
      <x:c r="E57" t="n">
        <x:v>231</x:v>
      </x:c>
      <x:c r="F57" t="n">
        <x:v>24</x:v>
      </x:c>
    </x:row>
    <x:row r="58">
      <x:c r="A58" t="s">
        <x:v>1025</x:v>
      </x:c>
      <x:c r="B58" t="n">
        <x:v>0</x:v>
      </x:c>
      <x:c r="C58" t="n">
        <x:v>36</x:v>
      </x:c>
      <x:c r="D58" t="n">
        <x:v>0</x:v>
      </x:c>
      <x:c r="E58" t="n">
        <x:v>36</x:v>
      </x:c>
      <x:c r="F58" t="n">
        <x:v>4</x:v>
      </x:c>
    </x:row>
    <x:row r="59">
      <x:c r="A59" t="s">
        <x:v>502</x:v>
      </x:c>
      <x:c r="B59" t="n">
        <x:v>0</x:v>
      </x:c>
      <x:c r="C59" t="n">
        <x:v>10</x:v>
      </x:c>
      <x:c r="D59" t="n">
        <x:v>38</x:v>
      </x:c>
      <x:c r="E59" t="n">
        <x:v>48</x:v>
      </x:c>
      <x:c r="F59" t="n">
        <x:v>5</x:v>
      </x:c>
    </x:row>
    <x:row r="60">
      <x:c r="A60" t="s">
        <x:v>1120</x:v>
      </x:c>
      <x:c r="B60" t="n">
        <x:v>128</x:v>
      </x:c>
      <x:c r="C60" t="n">
        <x:v>18</x:v>
      </x:c>
      <x:c r="D60" t="n">
        <x:v>8</x:v>
      </x:c>
      <x:c r="E60" t="n">
        <x:v>154</x:v>
      </x:c>
      <x:c r="F60" t="n">
        <x:v>15</x:v>
      </x:c>
    </x:row>
    <x:row r="61" ht="15">
      <x:c r="A61" s="19" t="s">
        <x:v>1233</x:v>
      </x:c>
      <x:c r="B61" s="19" t="n">
        <x:v>233</x:v>
      </x:c>
      <x:c r="C61" s="19" t="n">
        <x:v>152</x:v>
      </x:c>
      <x:c r="D61" s="19" t="n">
        <x:v>84</x:v>
      </x:c>
      <x:c r="E61" s="19" t="n">
        <x:v>469</x:v>
      </x:c>
      <x:c r="F61" s="19" t="n">
        <x:v>48</x:v>
      </x:c>
    </x:row>
  </x:sheetData>
  <x:mergeCells>
    <x:mergeCell ref="A7:C9"/>
    <x:mergeCell ref="D7:F9"/>
    <x:mergeCell ref="G7:I9"/>
    <x:mergeCell ref="J7:L9"/>
    <x:mergeCell ref="A11:H11"/>
    <x:mergeCell ref="A1:N2"/>
    <x:mergeCell ref="A3:N3"/>
    <x:mergeCell ref="A5:C6"/>
    <x:mergeCell ref="D5:F6"/>
    <x:mergeCell ref="G5:I6"/>
    <x:mergeCell ref="J5:L6"/>
  </x:mergeCells>
  <x:pageMargins left="0.7" right="0.7" top="0.75" bottom="0.75" header="0.3" footer="0.3"/>
  <x:drawing xmlns:r="http://schemas.openxmlformats.org/officeDocument/2006/relationships" r:id="R97865b58b7734724"/>
</x:worksheet>
</file>

<file path=xl/worksheets/sheet15.xml><?xml version="1.0" encoding="utf-8"?>
<x:worksheet xmlns:x="http://schemas.openxmlformats.org/spreadsheetml/2006/main">
  <x:sheetFormatPr defaultRowHeight="14.25"/>
  <x:cols>
    <x:col min="1" max="1" width="20" hidden="0" customWidth="1"/>
    <x:col min="2" max="2" width="20" hidden="0" customWidth="1"/>
    <x:col min="3" max="3" width="38" hidden="0" customWidth="1"/>
    <x:col min="4" max="7" width="16" customWidth="1"/>
    <x:col min="8" max="9" width="14" customWidth="1"/>
    <x:col min="10" max="10" width="36"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1" max="11" width="36" hidden="0" customWidth="1"/>
    <x:col min="12" max="12" width="36" hidden="0" customWidth="1"/>
    <x:col min="13" max="13" width="36" hidden="0" customWidth="1"/>
    <x:col min="14" max="14" width="36" hidden="0" customWidth="1"/>
  </x:cols>
  <x:sheetData>
    <x:row r="1" ht="26" customHeight="1">
      <x:c r="A1" s="229" t="str">
        <x:v>Capability Map v1.1 ↔ Backlog v2.23.0</x:v>
      </x:c>
      <x:c r="B1" s="229"/>
      <x:c r="C1" s="229"/>
      <x:c r="D1" s="229"/>
      <x:c r="E1" s="229"/>
      <x:c r="F1" s="229"/>
      <x:c r="G1" s="229"/>
      <x:c r="H1" s="229"/>
      <x:c r="I1" s="229"/>
      <x:c r="J1" s="229"/>
      <x:c r="K1" s="233"/>
      <x:c r="L1" s="233"/>
      <x:c r="M1" s="233"/>
      <x:c r="N1" s="233"/>
    </x:row>
    <x:row r="2" ht="26" customHeight="1">
      <x:c r="A2" s="113" t="str">
        <x:v>Task mapping and closure counts only. A closed task is not D1–D5 product certification.</x:v>
      </x:c>
      <x:c r="B2" s="113"/>
      <x:c r="C2" s="113"/>
      <x:c r="D2" s="113"/>
      <x:c r="E2" s="113"/>
      <x:c r="F2" s="113"/>
      <x:c r="G2" s="113"/>
      <x:c r="H2" s="113"/>
      <x:c r="I2" s="113"/>
      <x:c r="J2" s="113"/>
      <x:c r="K2"/>
      <x:c r="L2"/>
      <x:c r="M2"/>
      <x:c r="N2"/>
    </x:row>
    <x:row r="3" ht="36" customHeight="1">
      <x:c r="A3" s="203" t="str">
        <x:v>ID</x:v>
      </x:c>
      <x:c r="B3" s="203" t="str">
        <x:v>Layer</x:v>
      </x:c>
      <x:c r="C3" s="203" t="str">
        <x:v>Capability</x:v>
      </x:c>
      <x:c r="D3" s="203" t="str">
        <x:v>Class</x:v>
      </x:c>
      <x:c r="E3" s="203" t="str">
        <x:v>Primary tasks</x:v>
      </x:c>
      <x:c r="F3" s="203" t="str">
        <x:v>Done primary</x:v>
      </x:c>
      <x:c r="G3" s="203" t="str">
        <x:v>Open primary</x:v>
      </x:c>
      <x:c r="H3" s="203" t="str">
        <x:v>M2 primary</x:v>
      </x:c>
      <x:c r="I3" s="203" t="str">
        <x:v>M3 primary</x:v>
      </x:c>
      <x:c r="J3" s="203" t="str">
        <x:v>Primary task IDs</x:v>
      </x:c>
      <x:c r="K3" s="205" t="str">
        <x:v>Secondary tasks</x:v>
      </x:c>
      <x:c r="L3" s="205" t="str">
        <x:v>Done secondary</x:v>
      </x:c>
      <x:c r="M3" s="205" t="str">
        <x:v>Secondary task IDs</x:v>
      </x:c>
      <x:c r="N3" s="205" t="str">
        <x:v>Meaning</x:v>
      </x:c>
    </x:row>
    <x:row r="4" ht="26" customHeight="1">
      <x:c r="A4" s="206" t="str">
        <x:v>L1.1</x:v>
      </x:c>
      <x:c r="B4" s="206" t="str">
        <x:v>L1</x:v>
      </x:c>
      <x:c r="C4" s="206" t="str">
        <x:v>Read-only connection and source access</x:v>
      </x:c>
      <x:c r="D4" s="206" t="str">
        <x:v>Core</x:v>
      </x:c>
      <x:c r="E4" s="206" t="n">
        <x:f>COUNTIF(Backlog!$AA$2:$AA$180,A4)</x:f>
        <x:v>1</x:v>
      </x:c>
      <x:c r="F4" s="206" t="n">
        <x:f>COUNTIFS(Backlog!$AA$2:$AA$180,A4,Backlog!$K$2:$K$180,"Done")</x:f>
        <x:v>0</x:v>
      </x:c>
      <x:c r="G4" s="206" t="n">
        <x:f>E4-F4</x:f>
        <x:v>1</x:v>
      </x:c>
      <x:c r="H4" s="206" t="n">
        <x:f>COUNTIFS(Backlog!$AA$2:$AA$180,A4,Backlog!$B$2:$B$180,"M2")</x:f>
        <x:v>0</x:v>
      </x:c>
      <x:c r="I4" s="206" t="n">
        <x:f>COUNTIFS(Backlog!$AA$2:$AA$180,A4,Backlog!$B$2:$B$180,"M3")</x:f>
        <x:v>1</x:v>
      </x:c>
      <x:c r="J4" s="206" t="str">
        <x:f>TEXTJOIN("; ",TRUE,IFERROR(INDEX(Backlog!$A$2:$A$180,MATCH("T-153",Backlog!$A$2:$A$180,0)),""))</x:f>
        <x:v>T-153</x:v>
      </x:c>
      <x:c r="K4" s="194" t="n">
        <x:f>COUNTIF('Secondary Capability Links'!$B$2:$B$150,A4)</x:f>
        <x:v>5</x:v>
      </x:c>
      <x:c r="L4" s="194" t="n">
        <x:f>COUNTIFS('Secondary Capability Links'!$B$2:$B$150,A4,'Secondary Capability Links'!$C$2:$C$150,"Done")</x:f>
        <x:v>1</x:v>
      </x:c>
      <x:c r="M4" s="194" t="str">
        <x:f>TEXTJOIN("; ",TRUE,IFERROR(INDEX(Backlog!$A$2:$A$180,MATCH("T-108",Backlog!$A$2:$A$180,0)),""),IFERROR(INDEX(Backlog!$A$2:$A$180,MATCH("T-213",Backlog!$A$2:$A$180,0)),""),IFERROR(INDEX(Backlog!$A$2:$A$180,MATCH("T-247",Backlog!$A$2:$A$180,0)),""),IFERROR(INDEX(Backlog!$A$2:$A$180,MATCH("T-265",Backlog!$A$2:$A$180,0)),""),IFERROR(INDEX(Backlog!$A$2:$A$180,MATCH("T-266",Backlog!$A$2:$A$180,0)),""))</x:f>
        <x:v>T-108; T-213; T-247; T-265; T-266</x:v>
      </x:c>
      <x:c r="N4" s="194" t="str">
        <x:v>Existing primary mapping preserved; secondary ownership amended only where acceptance names the capability.</x:v>
      </x:c>
    </x:row>
    <x:row r="5" ht="26" customHeight="1">
      <x:c r="A5" s="206" t="str">
        <x:v>L1.2</x:v>
      </x:c>
      <x:c r="B5" s="206" t="str">
        <x:v>L1</x:v>
      </x:c>
      <x:c r="C5" s="206" t="str">
        <x:v>Dataset registration and source selection</x:v>
      </x:c>
      <x:c r="D5" s="206" t="str">
        <x:v>Core</x:v>
      </x:c>
      <x:c r="E5" s="206" t="n">
        <x:f>COUNTIF(Backlog!$AA$2:$AA$180,A5)</x:f>
        <x:v>1</x:v>
      </x:c>
      <x:c r="F5" s="206" t="n">
        <x:f>COUNTIFS(Backlog!$AA$2:$AA$180,A5,Backlog!$K$2:$K$180,"Done")</x:f>
        <x:v>1</x:v>
      </x:c>
      <x:c r="G5" s="206" t="n">
        <x:f>E5-F5</x:f>
        <x:v>0</x:v>
      </x:c>
      <x:c r="H5" s="206" t="n">
        <x:f>COUNTIFS(Backlog!$AA$2:$AA$180,A5,Backlog!$B$2:$B$180,"M2")</x:f>
        <x:v>1</x:v>
      </x:c>
      <x:c r="I5" s="206" t="n">
        <x:f>COUNTIFS(Backlog!$AA$2:$AA$180,A5,Backlog!$B$2:$B$180,"M3")</x:f>
        <x:v>0</x:v>
      </x:c>
      <x:c r="J5" s="206" t="str">
        <x:f>TEXTJOIN("; ",TRUE,IFERROR(INDEX(Backlog!$A$2:$A$180,MATCH("T-213",Backlog!$A$2:$A$180,0)),""))</x:f>
        <x:v>T-213</x:v>
      </x:c>
      <x:c r="K5" s="194" t="n">
        <x:f>COUNTIF('Secondary Capability Links'!$B$2:$B$150,A5)</x:f>
        <x:v>3</x:v>
      </x:c>
      <x:c r="L5" s="194" t="n">
        <x:f>COUNTIFS('Secondary Capability Links'!$B$2:$B$150,A5,'Secondary Capability Links'!$C$2:$C$150,"Done")</x:f>
        <x:v>0</x:v>
      </x:c>
      <x:c r="M5" s="194" t="str">
        <x:f>TEXTJOIN("; ",TRUE,IFERROR(INDEX(Backlog!$A$2:$A$180,MATCH("T-101",Backlog!$A$2:$A$180,0)),""),IFERROR(INDEX(Backlog!$A$2:$A$180,MATCH("T-247",Backlog!$A$2:$A$180,0)),""),IFERROR(INDEX(Backlog!$A$2:$A$180,MATCH("T-265",Backlog!$A$2:$A$180,0)),""))</x:f>
        <x:v>T-101; T-247; T-265</x:v>
      </x:c>
      <x:c r="N5" s="194" t="str">
        <x:v>Existing primary mapping preserved; secondary ownership amended only where acceptance names the capability.</x:v>
      </x:c>
    </x:row>
    <x:row r="6" ht="26" customHeight="1">
      <x:c r="A6" s="206" t="str">
        <x:v>L1.3</x:v>
      </x:c>
      <x:c r="B6" s="206" t="str">
        <x:v>L1</x:v>
      </x:c>
      <x:c r="C6" s="206" t="str">
        <x:v>Incremental import into staging</x:v>
      </x:c>
      <x:c r="D6" s="206" t="str">
        <x:v>Core</x:v>
      </x:c>
      <x:c r="E6" s="206" t="n">
        <x:f>COUNTIF(Backlog!$AA$2:$AA$180,A6)</x:f>
        <x:v>0</x:v>
      </x:c>
      <x:c r="F6" s="206" t="n">
        <x:f>COUNTIFS(Backlog!$AA$2:$AA$180,A6,Backlog!$K$2:$K$180,"Done")</x:f>
        <x:v>0</x:v>
      </x:c>
      <x:c r="G6" s="206" t="n">
        <x:f>E6-F6</x:f>
        <x:v>0</x:v>
      </x:c>
      <x:c r="H6" s="206" t="n">
        <x:f>COUNTIFS(Backlog!$AA$2:$AA$180,A6,Backlog!$B$2:$B$180,"M2")</x:f>
        <x:v>0</x:v>
      </x:c>
      <x:c r="I6" s="206" t="n">
        <x:f>COUNTIFS(Backlog!$AA$2:$AA$180,A6,Backlog!$B$2:$B$180,"M3")</x:f>
        <x:v>0</x:v>
      </x:c>
      <x:c r="J6" s="206" t="str">
        <x:f>""</x:f>
      </x:c>
      <x:c r="K6" s="194" t="n">
        <x:f>COUNTIF('Secondary Capability Links'!$B$2:$B$150,A6)</x:f>
        <x:v>2</x:v>
      </x:c>
      <x:c r="L6" s="194" t="n">
        <x:f>COUNTIFS('Secondary Capability Links'!$B$2:$B$150,A6,'Secondary Capability Links'!$C$2:$C$150,"Done")</x:f>
        <x:v>0</x:v>
      </x:c>
      <x:c r="M6" s="194" t="str">
        <x:f>TEXTJOIN("; ",TRUE,IFERROR(INDEX(Backlog!$A$2:$A$180,MATCH("T-108",Backlog!$A$2:$A$180,0)),""),IFERROR(INDEX(Backlog!$A$2:$A$180,MATCH("T-265",Backlog!$A$2:$A$180,0)),""))</x:f>
        <x:v>T-108; T-265</x:v>
      </x:c>
      <x:c r="N6" s="194" t="str">
        <x:v>Existing primary mapping preserved; secondary ownership amended only where acceptance names the capability.</x:v>
      </x:c>
    </x:row>
    <x:row r="7" ht="26" customHeight="1">
      <x:c r="A7" s="206" t="str">
        <x:v>L1.4</x:v>
      </x:c>
      <x:c r="B7" s="206" t="str">
        <x:v>L1</x:v>
      </x:c>
      <x:c r="C7" s="206" t="str">
        <x:v>Connector capability truth</x:v>
      </x:c>
      <x:c r="D7" s="206" t="str">
        <x:v>Core</x:v>
      </x:c>
      <x:c r="E7" s="206" t="n">
        <x:f>COUNTIF(Backlog!$AA$2:$AA$180,A7)</x:f>
        <x:v>2</x:v>
      </x:c>
      <x:c r="F7" s="206" t="n">
        <x:f>COUNTIFS(Backlog!$AA$2:$AA$180,A7,Backlog!$K$2:$K$180,"Done")</x:f>
        <x:v>1</x:v>
      </x:c>
      <x:c r="G7" s="206" t="n">
        <x:f>E7-F7</x:f>
        <x:v>1</x:v>
      </x:c>
      <x:c r="H7" s="206" t="n">
        <x:f>COUNTIFS(Backlog!$AA$2:$AA$180,A7,Backlog!$B$2:$B$180,"M2")</x:f>
        <x:v>2</x:v>
      </x:c>
      <x:c r="I7" s="206" t="n">
        <x:f>COUNTIFS(Backlog!$AA$2:$AA$180,A7,Backlog!$B$2:$B$180,"M3")</x:f>
        <x:v>0</x:v>
      </x:c>
      <x:c r="J7" s="206" t="str">
        <x:f>TEXTJOIN("; ",TRUE,IFERROR(INDEX(Backlog!$A$2:$A$180,MATCH("T-207",Backlog!$A$2:$A$180,0)),""),IFERROR(INDEX(Backlog!$A$2:$A$180,MATCH("T-254",Backlog!$A$2:$A$180,0)),""))</x:f>
        <x:v>T-207; T-254</x:v>
      </x:c>
      <x:c r="K7" s="194" t="n">
        <x:f>COUNTIF('Secondary Capability Links'!$B$2:$B$150,A7)</x:f>
        <x:v>3</x:v>
      </x:c>
      <x:c r="L7" s="194" t="n">
        <x:f>COUNTIFS('Secondary Capability Links'!$B$2:$B$150,A7,'Secondary Capability Links'!$C$2:$C$150,"Done")</x:f>
        <x:v>0</x:v>
      </x:c>
      <x:c r="M7" s="194" t="str">
        <x:f>TEXTJOIN("; ",TRUE,IFERROR(INDEX(Backlog!$A$2:$A$180,MATCH("T-254",Backlog!$A$2:$A$180,0)),""),IFERROR(INDEX(Backlog!$A$2:$A$180,MATCH("T-153",Backlog!$A$2:$A$180,0)),""),IFERROR(INDEX(Backlog!$A$2:$A$180,MATCH("T-266",Backlog!$A$2:$A$180,0)),""))</x:f>
        <x:v>T-254; T-153; T-266</x:v>
      </x:c>
      <x:c r="N7" s="194" t="str">
        <x:v>Existing primary mapping preserved; secondary ownership amended only where acceptance names the capability.</x:v>
      </x:c>
    </x:row>
    <x:row r="8" ht="26" customHeight="1">
      <x:c r="A8" s="206" t="str">
        <x:v>L1.5</x:v>
      </x:c>
      <x:c r="B8" s="206" t="str">
        <x:v>L1</x:v>
      </x:c>
      <x:c r="C8" s="206" t="str">
        <x:v>Acquisition provenance and source lineage</x:v>
      </x:c>
      <x:c r="D8" s="206" t="str">
        <x:v>Core</x:v>
      </x:c>
      <x:c r="E8" s="206" t="n">
        <x:f>COUNTIF(Backlog!$AA$2:$AA$180,A8)</x:f>
        <x:v>2</x:v>
      </x:c>
      <x:c r="F8" s="206" t="n">
        <x:f>COUNTIFS(Backlog!$AA$2:$AA$180,A8,Backlog!$K$2:$K$180,"Done")</x:f>
        <x:v>1</x:v>
      </x:c>
      <x:c r="G8" s="206" t="n">
        <x:f>E8-F8</x:f>
        <x:v>1</x:v>
      </x:c>
      <x:c r="H8" s="206" t="n">
        <x:f>COUNTIFS(Backlog!$AA$2:$AA$180,A8,Backlog!$B$2:$B$180,"M2")</x:f>
        <x:v>2</x:v>
      </x:c>
      <x:c r="I8" s="206" t="n">
        <x:f>COUNTIFS(Backlog!$AA$2:$AA$180,A8,Backlog!$B$2:$B$180,"M3")</x:f>
        <x:v>0</x:v>
      </x:c>
      <x:c r="J8" s="206" t="str">
        <x:f>TEXTJOIN("; ",TRUE,IFERROR(INDEX(Backlog!$A$2:$A$180,MATCH("T-216",Backlog!$A$2:$A$180,0)),""),IFERROR(INDEX(Backlog!$A$2:$A$180,MATCH("T-233",Backlog!$A$2:$A$180,0)),""))</x:f>
        <x:v>T-216; T-233</x:v>
      </x:c>
      <x:c r="K8" s="194" t="n">
        <x:f>COUNTIF('Secondary Capability Links'!$B$2:$B$150,A8)</x:f>
        <x:v>1</x:v>
      </x:c>
      <x:c r="L8" s="194" t="n">
        <x:f>COUNTIFS('Secondary Capability Links'!$B$2:$B$150,A8,'Secondary Capability Links'!$C$2:$C$150,"Done")</x:f>
        <x:v>0</x:v>
      </x:c>
      <x:c r="M8" s="194" t="str">
        <x:f>TEXTJOIN("; ",TRUE,IFERROR(INDEX(Backlog!$A$2:$A$180,MATCH("T-266",Backlog!$A$2:$A$180,0)),""))</x:f>
        <x:v>T-266</x:v>
      </x:c>
      <x:c r="N8" s="194" t="str">
        <x:v>Existing primary mapping preserved; secondary ownership amended only where acceptance names the capability.</x:v>
      </x:c>
    </x:row>
    <x:row r="9" ht="26" customHeight="1">
      <x:c r="A9" s="206" t="str">
        <x:v>L1.6</x:v>
      </x:c>
      <x:c r="B9" s="206" t="str">
        <x:v>L1</x:v>
      </x:c>
      <x:c r="C9" s="206" t="str">
        <x:v>Source schema drift and mapping-health signalling</x:v>
      </x:c>
      <x:c r="D9" s="206" t="str">
        <x:v>Core</x:v>
      </x:c>
      <x:c r="E9" s="206" t="n">
        <x:f>COUNTIF(Backlog!$AA$2:$AA$180,A9)</x:f>
        <x:v>0</x:v>
      </x:c>
      <x:c r="F9" s="206" t="n">
        <x:f>COUNTIFS(Backlog!$AA$2:$AA$180,A9,Backlog!$K$2:$K$180,"Done")</x:f>
        <x:v>0</x:v>
      </x:c>
      <x:c r="G9" s="206" t="n">
        <x:f>E9-F9</x:f>
        <x:v>0</x:v>
      </x:c>
      <x:c r="H9" s="206" t="n">
        <x:f>COUNTIFS(Backlog!$AA$2:$AA$180,A9,Backlog!$B$2:$B$180,"M2")</x:f>
        <x:v>0</x:v>
      </x:c>
      <x:c r="I9" s="206" t="n">
        <x:f>COUNTIFS(Backlog!$AA$2:$AA$180,A9,Backlog!$B$2:$B$180,"M3")</x:f>
        <x:v>0</x:v>
      </x:c>
      <x:c r="J9" s="206" t="str">
        <x:f>""</x:f>
      </x:c>
      <x:c r="K9" s="194" t="n">
        <x:f>COUNTIF('Secondary Capability Links'!$B$2:$B$150,A9)</x:f>
        <x:v>1</x:v>
      </x:c>
      <x:c r="L9" s="194" t="n">
        <x:f>COUNTIFS('Secondary Capability Links'!$B$2:$B$150,A9,'Secondary Capability Links'!$C$2:$C$150,"Done")</x:f>
        <x:v>0</x:v>
      </x:c>
      <x:c r="M9" s="194" t="str">
        <x:f>TEXTJOIN("; ",TRUE,IFERROR(INDEX(Backlog!$A$2:$A$180,MATCH("T-101",Backlog!$A$2:$A$180,0)),""))</x:f>
        <x:v>T-101</x:v>
      </x:c>
      <x:c r="N9" s="194" t="str">
        <x:v>Existing primary mapping preserved; secondary ownership amended only where acceptance names the capability.</x:v>
      </x:c>
    </x:row>
    <x:row r="10" ht="26" customHeight="1">
      <x:c r="A10" s="206" t="str">
        <x:v>L1.7</x:v>
      </x:c>
      <x:c r="B10" s="206" t="str">
        <x:v>L1</x:v>
      </x:c>
      <x:c r="C10" s="206" t="str">
        <x:v>Import monitoring, recovery and dead-letter visibility</x:v>
      </x:c>
      <x:c r="D10" s="206" t="str">
        <x:v>Core</x:v>
      </x:c>
      <x:c r="E10" s="206" t="n">
        <x:f>COUNTIF(Backlog!$AA$2:$AA$180,A10)</x:f>
        <x:v>0</x:v>
      </x:c>
      <x:c r="F10" s="206" t="n">
        <x:f>COUNTIFS(Backlog!$AA$2:$AA$180,A10,Backlog!$K$2:$K$180,"Done")</x:f>
        <x:v>0</x:v>
      </x:c>
      <x:c r="G10" s="206" t="n">
        <x:f>E10-F10</x:f>
        <x:v>0</x:v>
      </x:c>
      <x:c r="H10" s="206" t="n">
        <x:f>COUNTIFS(Backlog!$AA$2:$AA$180,A10,Backlog!$B$2:$B$180,"M2")</x:f>
        <x:v>0</x:v>
      </x:c>
      <x:c r="I10" s="206" t="n">
        <x:f>COUNTIFS(Backlog!$AA$2:$AA$180,A10,Backlog!$B$2:$B$180,"M3")</x:f>
        <x:v>0</x:v>
      </x:c>
      <x:c r="J10" s="206" t="str">
        <x:f>""</x:f>
      </x:c>
      <x:c r="K10" s="194" t="n">
        <x:f>COUNTIF('Secondary Capability Links'!$B$2:$B$150,A10)</x:f>
        <x:v>5</x:v>
      </x:c>
      <x:c r="L10" s="194" t="n">
        <x:f>COUNTIFS('Secondary Capability Links'!$B$2:$B$150,A10,'Secondary Capability Links'!$C$2:$C$150,"Done")</x:f>
        <x:v>0</x:v>
      </x:c>
      <x:c r="M10" s="194" t="str">
        <x:f>TEXTJOIN("; ",TRUE,IFERROR(INDEX(Backlog!$A$2:$A$180,MATCH("T-101",Backlog!$A$2:$A$180,0)),""),IFERROR(INDEX(Backlog!$A$2:$A$180,MATCH("T-106",Backlog!$A$2:$A$180,0)),""),IFERROR(INDEX(Backlog!$A$2:$A$180,MATCH("T-108",Backlog!$A$2:$A$180,0)),""),IFERROR(INDEX(Backlog!$A$2:$A$180,MATCH("T-125",Backlog!$A$2:$A$180,0)),""),IFERROR(INDEX(Backlog!$A$2:$A$180,MATCH("T-265",Backlog!$A$2:$A$180,0)),""))</x:f>
        <x:v>T-101; T-106; T-108; T-125; T-265</x:v>
      </x:c>
      <x:c r="N10" s="194" t="str">
        <x:v>Existing primary mapping preserved; secondary ownership amended only where acceptance names the capability.</x:v>
      </x:c>
    </x:row>
    <x:row r="11" ht="26" customHeight="1">
      <x:c r="A11" s="206" t="str">
        <x:v>L1.8</x:v>
      </x:c>
      <x:c r="B11" s="206" t="str">
        <x:v>L1</x:v>
      </x:c>
      <x:c r="C11" s="206" t="str">
        <x:v>OPC-UA / historian / edge acquisition</x:v>
      </x:c>
      <x:c r="D11" s="206" t="str">
        <x:v>Advanced</x:v>
      </x:c>
      <x:c r="E11" s="206" t="n">
        <x:f>COUNTIF(Backlog!$AA$2:$AA$180,A11)</x:f>
        <x:v>4</x:v>
      </x:c>
      <x:c r="F11" s="206" t="n">
        <x:f>COUNTIFS(Backlog!$AA$2:$AA$180,A11,Backlog!$K$2:$K$180,"Done")</x:f>
        <x:v>0</x:v>
      </x:c>
      <x:c r="G11" s="206" t="n">
        <x:f>E11-F11</x:f>
        <x:v>4</x:v>
      </x:c>
      <x:c r="H11" s="206" t="n">
        <x:f>COUNTIFS(Backlog!$AA$2:$AA$180,A11,Backlog!$B$2:$B$180,"M2")</x:f>
        <x:v>4</x:v>
      </x:c>
      <x:c r="I11" s="206" t="n">
        <x:f>COUNTIFS(Backlog!$AA$2:$AA$180,A11,Backlog!$B$2:$B$180,"M3")</x:f>
        <x:v>0</x:v>
      </x:c>
      <x:c r="J11" s="206" t="str">
        <x:f>TEXTJOIN("; ",TRUE,IFERROR(INDEX(Backlog!$A$2:$A$180,MATCH("T-224",Backlog!$A$2:$A$180,0)),""),IFERROR(INDEX(Backlog!$A$2:$A$180,MATCH("T-225",Backlog!$A$2:$A$180,0)),""),IFERROR(INDEX(Backlog!$A$2:$A$180,MATCH("T-226",Backlog!$A$2:$A$180,0)),""),IFERROR(INDEX(Backlog!$A$2:$A$180,MATCH("T-266",Backlog!$A$2:$A$180,0)),""))</x:f>
        <x:v>T-224; T-225; T-226; T-266</x:v>
      </x:c>
      <x:c r="K11" s="194" t="n">
        <x:f>COUNTIF('Secondary Capability Links'!$B$2:$B$150,A11)</x:f>
        <x:v>0</x:v>
      </x:c>
      <x:c r="L11" s="194" t="n">
        <x:f>COUNTIFS('Secondary Capability Links'!$B$2:$B$150,A11,'Secondary Capability Links'!$C$2:$C$150,"Done")</x:f>
        <x:v>0</x:v>
      </x:c>
      <x:c r="M11" s="194" t="str">
        <x:f>""</x:f>
      </x:c>
      <x:c r="N11" s="194" t="str">
        <x:v>Existing primary mapping preserved; secondary ownership amended only where acceptance names the capability.</x:v>
      </x:c>
    </x:row>
    <x:row r="12" ht="26" customHeight="1">
      <x:c r="A12" s="206" t="str">
        <x:v>L2.1</x:v>
      </x:c>
      <x:c r="B12" s="206" t="str">
        <x:v>L2</x:v>
      </x:c>
      <x:c r="C12" s="206" t="str">
        <x:v>Three-schema platform and placement law</x:v>
      </x:c>
      <x:c r="D12" s="206" t="str">
        <x:v>Core</x:v>
      </x:c>
      <x:c r="E12" s="206" t="n">
        <x:f>COUNTIF(Backlog!$AA$2:$AA$180,A12)</x:f>
        <x:v>2</x:v>
      </x:c>
      <x:c r="F12" s="206" t="n">
        <x:f>COUNTIFS(Backlog!$AA$2:$AA$180,A12,Backlog!$K$2:$K$180,"Done")</x:f>
        <x:v>2</x:v>
      </x:c>
      <x:c r="G12" s="206" t="n">
        <x:f>E12-F12</x:f>
        <x:v>0</x:v>
      </x:c>
      <x:c r="H12" s="206" t="n">
        <x:f>COUNTIFS(Backlog!$AA$2:$AA$180,A12,Backlog!$B$2:$B$180,"M2")</x:f>
        <x:v>2</x:v>
      </x:c>
      <x:c r="I12" s="206" t="n">
        <x:f>COUNTIFS(Backlog!$AA$2:$AA$180,A12,Backlog!$B$2:$B$180,"M3")</x:f>
        <x:v>0</x:v>
      </x:c>
      <x:c r="J12" s="206" t="str">
        <x:f>TEXTJOIN("; ",TRUE,IFERROR(INDEX(Backlog!$A$2:$A$180,MATCH("T-087",Backlog!$A$2:$A$180,0)),""),IFERROR(INDEX(Backlog!$A$2:$A$180,MATCH("T-256",Backlog!$A$2:$A$180,0)),""))</x:f>
        <x:v>T-087; T-256</x:v>
      </x:c>
      <x:c r="K12" s="194" t="n">
        <x:f>COUNTIF('Secondary Capability Links'!$B$2:$B$150,A12)</x:f>
        <x:v>1</x:v>
      </x:c>
      <x:c r="L12" s="194" t="n">
        <x:f>COUNTIFS('Secondary Capability Links'!$B$2:$B$150,A12,'Secondary Capability Links'!$C$2:$C$150,"Done")</x:f>
        <x:v>1</x:v>
      </x:c>
      <x:c r="M12" s="194" t="str">
        <x:f>TEXTJOIN("; ",TRUE,IFERROR(INDEX(Backlog!$A$2:$A$180,MATCH("T-088",Backlog!$A$2:$A$180,0)),""))</x:f>
        <x:v>T-088</x:v>
      </x:c>
      <x:c r="N12" s="194" t="str">
        <x:v>Existing primary mapping preserved; secondary ownership amended only where acceptance names the capability.</x:v>
      </x:c>
    </x:row>
    <x:row r="13" ht="26" customHeight="1">
      <x:c r="A13" s="206" t="str">
        <x:v>L2.2</x:v>
      </x:c>
      <x:c r="B13" s="206" t="str">
        <x:v>L2</x:v>
      </x:c>
      <x:c r="C13" s="206" t="str">
        <x:v>Transformation authoring and relationship publication</x:v>
      </x:c>
      <x:c r="D13" s="206" t="str">
        <x:v>Core</x:v>
      </x:c>
      <x:c r="E13" s="206" t="n">
        <x:f>COUNTIF(Backlog!$AA$2:$AA$180,A13)</x:f>
        <x:v>1</x:v>
      </x:c>
      <x:c r="F13" s="206" t="n">
        <x:f>COUNTIFS(Backlog!$AA$2:$AA$180,A13,Backlog!$K$2:$K$180,"Done")</x:f>
        <x:v>0</x:v>
      </x:c>
      <x:c r="G13" s="206" t="n">
        <x:f>E13-F13</x:f>
        <x:v>1</x:v>
      </x:c>
      <x:c r="H13" s="206" t="n">
        <x:f>COUNTIFS(Backlog!$AA$2:$AA$180,A13,Backlog!$B$2:$B$180,"M2")</x:f>
        <x:v>1</x:v>
      </x:c>
      <x:c r="I13" s="206" t="n">
        <x:f>COUNTIFS(Backlog!$AA$2:$AA$180,A13,Backlog!$B$2:$B$180,"M3")</x:f>
        <x:v>0</x:v>
      </x:c>
      <x:c r="J13" s="206" t="str">
        <x:f>TEXTJOIN("; ",TRUE,IFERROR(INDEX(Backlog!$A$2:$A$180,MATCH("T-262",Backlog!$A$2:$A$180,0)),""))</x:f>
        <x:v>T-262</x:v>
      </x:c>
      <x:c r="K13" s="194" t="n">
        <x:f>COUNTIF('Secondary Capability Links'!$B$2:$B$150,A13)</x:f>
        <x:v>3</x:v>
      </x:c>
      <x:c r="L13" s="194" t="n">
        <x:f>COUNTIFS('Secondary Capability Links'!$B$2:$B$150,A13,'Secondary Capability Links'!$C$2:$C$150,"Done")</x:f>
        <x:v>0</x:v>
      </x:c>
      <x:c r="M13" s="194" t="str">
        <x:f>TEXTJOIN("; ",TRUE,IFERROR(INDEX(Backlog!$A$2:$A$180,MATCH("T-243",Backlog!$A$2:$A$180,0)),""),IFERROR(INDEX(Backlog!$A$2:$A$180,MATCH("T-156",Backlog!$A$2:$A$180,0)),""),IFERROR(INDEX(Backlog!$A$2:$A$180,MATCH("T-265",Backlog!$A$2:$A$180,0)),""))</x:f>
        <x:v>T-243; T-156; T-265</x:v>
      </x:c>
      <x:c r="N13" s="194" t="str">
        <x:v>Existing primary mapping preserved; secondary ownership amended only where acceptance names the capability.</x:v>
      </x:c>
    </x:row>
    <x:row r="14" ht="26" customHeight="1">
      <x:c r="A14" s="206" t="str">
        <x:v>L2.3</x:v>
      </x:c>
      <x:c r="B14" s="206" t="str">
        <x:v>L2</x:v>
      </x:c>
      <x:c r="C14" s="206" t="str">
        <x:v>Canonical projection with validation, quarantine and reprocessing</x:v>
      </x:c>
      <x:c r="D14" s="206" t="str">
        <x:v>Core</x:v>
      </x:c>
      <x:c r="E14" s="206" t="n">
        <x:f>COUNTIF(Backlog!$AA$2:$AA$180,A14)</x:f>
        <x:v>6</x:v>
      </x:c>
      <x:c r="F14" s="206" t="n">
        <x:f>COUNTIFS(Backlog!$AA$2:$AA$180,A14,Backlog!$K$2:$K$180,"Done")</x:f>
        <x:v>1</x:v>
      </x:c>
      <x:c r="G14" s="206" t="n">
        <x:f>E14-F14</x:f>
        <x:v>5</x:v>
      </x:c>
      <x:c r="H14" s="206" t="n">
        <x:f>COUNTIFS(Backlog!$AA$2:$AA$180,A14,Backlog!$B$2:$B$180,"M2")</x:f>
        <x:v>5</x:v>
      </x:c>
      <x:c r="I14" s="206" t="n">
        <x:f>COUNTIFS(Backlog!$AA$2:$AA$180,A14,Backlog!$B$2:$B$180,"M3")</x:f>
        <x:v>1</x:v>
      </x:c>
      <x:c r="J14" s="206" t="str">
        <x:f>TEXTJOIN("; ",TRUE,IFERROR(INDEX(Backlog!$A$2:$A$180,MATCH("T-099",Backlog!$A$2:$A$180,0)),""),IFERROR(INDEX(Backlog!$A$2:$A$180,MATCH("T-100",Backlog!$A$2:$A$180,0)),""),IFERROR(INDEX(Backlog!$A$2:$A$180,MATCH("T-101",Backlog!$A$2:$A$180,0)),""),IFERROR(INDEX(Backlog!$A$2:$A$180,MATCH("T-104",Backlog!$A$2:$A$180,0)),""),IFERROR(INDEX(Backlog!$A$2:$A$180,MATCH("T-261",Backlog!$A$2:$A$180,0)),""),IFERROR(INDEX(Backlog!$A$2:$A$180,MATCH("T-152",Backlog!$A$2:$A$180,0)),""))</x:f>
        <x:v>T-099; T-100; T-101; T-104; T-261; T-152</x:v>
      </x:c>
      <x:c r="K14" s="194" t="n">
        <x:f>COUNTIF('Secondary Capability Links'!$B$2:$B$150,A14)</x:f>
        <x:v>4</x:v>
      </x:c>
      <x:c r="L14" s="194" t="n">
        <x:f>COUNTIFS('Secondary Capability Links'!$B$2:$B$150,A14,'Secondary Capability Links'!$C$2:$C$150,"Done")</x:f>
        <x:v>1</x:v>
      </x:c>
      <x:c r="M14" s="194" t="str">
        <x:f>TEXTJOIN("; ",TRUE,IFERROR(INDEX(Backlog!$A$2:$A$180,MATCH("T-247",Backlog!$A$2:$A$180,0)),""),IFERROR(INDEX(Backlog!$A$2:$A$180,MATCH("T-253",Backlog!$A$2:$A$180,0)),""),IFERROR(INDEX(Backlog!$A$2:$A$180,MATCH("T-262",Backlog!$A$2:$A$180,0)),""),IFERROR(INDEX(Backlog!$A$2:$A$180,MATCH("T-265",Backlog!$A$2:$A$180,0)),""))</x:f>
        <x:v>T-247; T-253; T-262; T-265</x:v>
      </x:c>
      <x:c r="N14" s="194" t="str">
        <x:v>Existing primary mapping preserved; secondary ownership amended only where acceptance names the capability.</x:v>
      </x:c>
    </x:row>
    <x:row r="15" ht="26" customHeight="1">
      <x:c r="A15" s="206" t="str">
        <x:v>L2.4</x:v>
      </x:c>
      <x:c r="B15" s="206" t="str">
        <x:v>L2</x:v>
      </x:c>
      <x:c r="C15" s="206" t="str">
        <x:v>Genealogy resolution and attribution</x:v>
      </x:c>
      <x:c r="D15" s="206" t="str">
        <x:v>Core</x:v>
      </x:c>
      <x:c r="E15" s="206" t="n">
        <x:f>COUNTIF(Backlog!$AA$2:$AA$180,A15)</x:f>
        <x:v>2</x:v>
      </x:c>
      <x:c r="F15" s="206" t="n">
        <x:f>COUNTIFS(Backlog!$AA$2:$AA$180,A15,Backlog!$K$2:$K$180,"Done")</x:f>
        <x:v>0</x:v>
      </x:c>
      <x:c r="G15" s="206" t="n">
        <x:f>E15-F15</x:f>
        <x:v>2</x:v>
      </x:c>
      <x:c r="H15" s="206" t="n">
        <x:f>COUNTIFS(Backlog!$AA$2:$AA$180,A15,Backlog!$B$2:$B$180,"M2")</x:f>
        <x:v>2</x:v>
      </x:c>
      <x:c r="I15" s="206" t="n">
        <x:f>COUNTIFS(Backlog!$AA$2:$AA$180,A15,Backlog!$B$2:$B$180,"M3")</x:f>
        <x:v>0</x:v>
      </x:c>
      <x:c r="J15" s="206" t="str">
        <x:f>TEXTJOIN("; ",TRUE,IFERROR(INDEX(Backlog!$A$2:$A$180,MATCH("T-102",Backlog!$A$2:$A$180,0)),""),IFERROR(INDEX(Backlog!$A$2:$A$180,MATCH("T-103",Backlog!$A$2:$A$180,0)),""))</x:f>
        <x:v>T-102; T-103</x:v>
      </x:c>
      <x:c r="K15" s="194" t="n">
        <x:f>COUNTIF('Secondary Capability Links'!$B$2:$B$150,A15)</x:f>
        <x:v>0</x:v>
      </x:c>
      <x:c r="L15" s="194" t="n">
        <x:f>COUNTIFS('Secondary Capability Links'!$B$2:$B$150,A15,'Secondary Capability Links'!$C$2:$C$150,"Done")</x:f>
        <x:v>0</x:v>
      </x:c>
      <x:c r="M15" s="194" t="str">
        <x:f>""</x:f>
      </x:c>
      <x:c r="N15" s="194" t="str">
        <x:v>Existing primary mapping preserved; secondary ownership amended only where acceptance names the capability.</x:v>
      </x:c>
    </x:row>
    <x:row r="16" ht="26" customHeight="1">
      <x:c r="A16" s="206" t="str">
        <x:v>L2.5</x:v>
      </x:c>
      <x:c r="B16" s="206" t="str">
        <x:v>L2</x:v>
      </x:c>
      <x:c r="C16" s="206" t="str">
        <x:v>Unified definition store and immutable target/version governance</x:v>
      </x:c>
      <x:c r="D16" s="206" t="str">
        <x:v>Core</x:v>
      </x:c>
      <x:c r="E16" s="206" t="n">
        <x:f>COUNTIF(Backlog!$AA$2:$AA$180,A16)</x:f>
        <x:v>2</x:v>
      </x:c>
      <x:c r="F16" s="206" t="n">
        <x:f>COUNTIFS(Backlog!$AA$2:$AA$180,A16,Backlog!$K$2:$K$180,"Done")</x:f>
        <x:v>1</x:v>
      </x:c>
      <x:c r="G16" s="206" t="n">
        <x:f>E16-F16</x:f>
        <x:v>1</x:v>
      </x:c>
      <x:c r="H16" s="206" t="n">
        <x:f>COUNTIFS(Backlog!$AA$2:$AA$180,A16,Backlog!$B$2:$B$180,"M2")</x:f>
        <x:v>2</x:v>
      </x:c>
      <x:c r="I16" s="206" t="n">
        <x:f>COUNTIFS(Backlog!$AA$2:$AA$180,A16,Backlog!$B$2:$B$180,"M3")</x:f>
        <x:v>0</x:v>
      </x:c>
      <x:c r="J16" s="206" t="str">
        <x:f>TEXTJOIN("; ",TRUE,IFERROR(INDEX(Backlog!$A$2:$A$180,MATCH("T-089",Backlog!$A$2:$A$180,0)),""),IFERROR(INDEX(Backlog!$A$2:$A$180,MATCH("T-243",Backlog!$A$2:$A$180,0)),""))</x:f>
        <x:v>T-089; T-243</x:v>
      </x:c>
      <x:c r="K16" s="194" t="n">
        <x:f>COUNTIF('Secondary Capability Links'!$B$2:$B$150,A16)</x:f>
        <x:v>4</x:v>
      </x:c>
      <x:c r="L16" s="194" t="n">
        <x:f>COUNTIFS('Secondary Capability Links'!$B$2:$B$150,A16,'Secondary Capability Links'!$C$2:$C$150,"Done")</x:f>
        <x:v>2</x:v>
      </x:c>
      <x:c r="M16" s="194" t="str">
        <x:f>TEXTJOIN("; ",TRUE,IFERROR(INDEX(Backlog!$A$2:$A$180,MATCH("T-090",Backlog!$A$2:$A$180,0)),""),IFERROR(INDEX(Backlog!$A$2:$A$180,MATCH("T-091",Backlog!$A$2:$A$180,0)),""),IFERROR(INDEX(Backlog!$A$2:$A$180,MATCH("T-104",Backlog!$A$2:$A$180,0)),""),IFERROR(INDEX(Backlog!$A$2:$A$180,MATCH("T-106",Backlog!$A$2:$A$180,0)),""))</x:f>
        <x:v>T-090; T-091; T-104; T-106</x:v>
      </x:c>
      <x:c r="N16" s="194" t="str">
        <x:v>Existing primary mapping preserved; secondary ownership amended only where acceptance names the capability.</x:v>
      </x:c>
    </x:row>
    <x:row r="17" ht="26" customHeight="1">
      <x:c r="A17" s="206" t="str">
        <x:v>L2.6</x:v>
      </x:c>
      <x:c r="B17" s="206" t="str">
        <x:v>L2</x:v>
      </x:c>
      <x:c r="C17" s="206" t="str">
        <x:v>Job definition, scheduling, execution monitor and history</x:v>
      </x:c>
      <x:c r="D17" s="206" t="str">
        <x:v>Core</x:v>
      </x:c>
      <x:c r="E17" s="206" t="n">
        <x:f>COUNTIF(Backlog!$AA$2:$AA$180,A17)</x:f>
        <x:v>1</x:v>
      </x:c>
      <x:c r="F17" s="206" t="n">
        <x:f>COUNTIFS(Backlog!$AA$2:$AA$180,A17,Backlog!$K$2:$K$180,"Done")</x:f>
        <x:v>0</x:v>
      </x:c>
      <x:c r="G17" s="206" t="n">
        <x:f>E17-F17</x:f>
        <x:v>1</x:v>
      </x:c>
      <x:c r="H17" s="206" t="n">
        <x:f>COUNTIFS(Backlog!$AA$2:$AA$180,A17,Backlog!$B$2:$B$180,"M2")</x:f>
        <x:v>1</x:v>
      </x:c>
      <x:c r="I17" s="206" t="n">
        <x:f>COUNTIFS(Backlog!$AA$2:$AA$180,A17,Backlog!$B$2:$B$180,"M3")</x:f>
        <x:v>0</x:v>
      </x:c>
      <x:c r="J17" s="206" t="str">
        <x:f>TEXTJOIN("; ",TRUE,IFERROR(INDEX(Backlog!$A$2:$A$180,MATCH("T-106",Backlog!$A$2:$A$180,0)),""))</x:f>
        <x:v>T-106</x:v>
      </x:c>
      <x:c r="K17" s="194" t="n">
        <x:f>COUNTIF('Secondary Capability Links'!$B$2:$B$150,A17)</x:f>
        <x:v>5</x:v>
      </x:c>
      <x:c r="L17" s="194" t="n">
        <x:f>COUNTIFS('Secondary Capability Links'!$B$2:$B$150,A17,'Secondary Capability Links'!$C$2:$C$150,"Done")</x:f>
        <x:v>0</x:v>
      </x:c>
      <x:c r="M17" s="194" t="str">
        <x:f>TEXTJOIN("; ",TRUE,IFERROR(INDEX(Backlog!$A$2:$A$180,MATCH("T-107",Backlog!$A$2:$A$180,0)),""),IFERROR(INDEX(Backlog!$A$2:$A$180,MATCH("T-245",Backlog!$A$2:$A$180,0)),""),IFERROR(INDEX(Backlog!$A$2:$A$180,MATCH("T-261",Backlog!$A$2:$A$180,0)),""),IFERROR(INDEX(Backlog!$A$2:$A$180,MATCH("T-263",Backlog!$A$2:$A$180,0)),""),IFERROR(INDEX(Backlog!$A$2:$A$180,MATCH("T-265",Backlog!$A$2:$A$180,0)),""))</x:f>
        <x:v>T-107; T-245; T-261; T-263; T-265</x:v>
      </x:c>
      <x:c r="N17" s="194" t="str">
        <x:v>Existing primary mapping preserved; secondary ownership amended only where acceptance names the capability.</x:v>
      </x:c>
    </x:row>
    <x:row r="18" ht="26" customHeight="1">
      <x:c r="A18" s="206" t="str">
        <x:v>L2.7</x:v>
      </x:c>
      <x:c r="B18" s="206" t="str">
        <x:v>L2</x:v>
      </x:c>
      <x:c r="C18" s="206" t="str">
        <x:v>Job dependency DAG</x:v>
      </x:c>
      <x:c r="D18" s="206" t="str">
        <x:v>Core</x:v>
      </x:c>
      <x:c r="E18" s="206" t="n">
        <x:f>COUNTIF(Backlog!$AA$2:$AA$180,A18)</x:f>
        <x:v>0</x:v>
      </x:c>
      <x:c r="F18" s="206" t="n">
        <x:f>COUNTIFS(Backlog!$AA$2:$AA$180,A18,Backlog!$K$2:$K$180,"Done")</x:f>
        <x:v>0</x:v>
      </x:c>
      <x:c r="G18" s="206" t="n">
        <x:f>E18-F18</x:f>
        <x:v>0</x:v>
      </x:c>
      <x:c r="H18" s="206" t="n">
        <x:f>COUNTIFS(Backlog!$AA$2:$AA$180,A18,Backlog!$B$2:$B$180,"M2")</x:f>
        <x:v>0</x:v>
      </x:c>
      <x:c r="I18" s="206" t="n">
        <x:f>COUNTIFS(Backlog!$AA$2:$AA$180,A18,Backlog!$B$2:$B$180,"M3")</x:f>
        <x:v>0</x:v>
      </x:c>
      <x:c r="J18" s="206" t="str">
        <x:f>""</x:f>
      </x:c>
      <x:c r="K18" s="194" t="n">
        <x:f>COUNTIF('Secondary Capability Links'!$B$2:$B$150,A18)</x:f>
        <x:v>2</x:v>
      </x:c>
      <x:c r="L18" s="194" t="n">
        <x:f>COUNTIFS('Secondary Capability Links'!$B$2:$B$150,A18,'Secondary Capability Links'!$C$2:$C$150,"Done")</x:f>
        <x:v>0</x:v>
      </x:c>
      <x:c r="M18" s="194" t="str">
        <x:f>TEXTJOIN("; ",TRUE,IFERROR(INDEX(Backlog!$A$2:$A$180,MATCH("T-106",Backlog!$A$2:$A$180,0)),""),IFERROR(INDEX(Backlog!$A$2:$A$180,MATCH("T-265",Backlog!$A$2:$A$180,0)),""))</x:f>
        <x:v>T-106; T-265</x:v>
      </x:c>
      <x:c r="N18" s="194" t="str">
        <x:v>Existing primary mapping preserved; secondary ownership amended only where acceptance names the capability.</x:v>
      </x:c>
    </x:row>
    <x:row r="19" ht="26" customHeight="1">
      <x:c r="A19" s="206" t="str">
        <x:v>L2.8</x:v>
      </x:c>
      <x:c r="B19" s="206" t="str">
        <x:v>L2</x:v>
      </x:c>
      <x:c r="C19" s="206" t="str">
        <x:v>Delta propagation law</x:v>
      </x:c>
      <x:c r="D19" s="206" t="str">
        <x:v>Core</x:v>
      </x:c>
      <x:c r="E19" s="206" t="n">
        <x:f>COUNTIF(Backlog!$AA$2:$AA$180,A19)</x:f>
        <x:v>3</x:v>
      </x:c>
      <x:c r="F19" s="206" t="n">
        <x:f>COUNTIFS(Backlog!$AA$2:$AA$180,A19,Backlog!$K$2:$K$180,"Done")</x:f>
        <x:v>0</x:v>
      </x:c>
      <x:c r="G19" s="206" t="n">
        <x:f>E19-F19</x:f>
        <x:v>3</x:v>
      </x:c>
      <x:c r="H19" s="206" t="n">
        <x:f>COUNTIFS(Backlog!$AA$2:$AA$180,A19,Backlog!$B$2:$B$180,"M2")</x:f>
        <x:v>2</x:v>
      </x:c>
      <x:c r="I19" s="206" t="n">
        <x:f>COUNTIFS(Backlog!$AA$2:$AA$180,A19,Backlog!$B$2:$B$180,"M3")</x:f>
        <x:v>1</x:v>
      </x:c>
      <x:c r="J19" s="206" t="str">
        <x:f>TEXTJOIN("; ",TRUE,IFERROR(INDEX(Backlog!$A$2:$A$180,MATCH("T-108",Backlog!$A$2:$A$180,0)),""),IFERROR(INDEX(Backlog!$A$2:$A$180,MATCH("T-109",Backlog!$A$2:$A$180,0)),""),IFERROR(INDEX(Backlog!$A$2:$A$180,MATCH("T-110",Backlog!$A$2:$A$180,0)),""))</x:f>
        <x:v>T-108; T-109; T-110</x:v>
      </x:c>
      <x:c r="K19" s="194" t="n">
        <x:f>COUNTIF('Secondary Capability Links'!$B$2:$B$150,A19)</x:f>
        <x:v>0</x:v>
      </x:c>
      <x:c r="L19" s="194" t="n">
        <x:f>COUNTIFS('Secondary Capability Links'!$B$2:$B$150,A19,'Secondary Capability Links'!$C$2:$C$150,"Done")</x:f>
        <x:v>0</x:v>
      </x:c>
      <x:c r="M19" s="194" t="str">
        <x:f>""</x:f>
      </x:c>
      <x:c r="N19" s="194" t="str">
        <x:v>Existing primary mapping preserved; secondary ownership amended only where acceptance names the capability.</x:v>
      </x:c>
    </x:row>
    <x:row r="20" ht="26" customHeight="1">
      <x:c r="A20" s="206" t="str">
        <x:v>L3.1</x:v>
      </x:c>
      <x:c r="B20" s="206" t="str">
        <x:v>L3</x:v>
      </x:c>
      <x:c r="C20" s="206" t="str">
        <x:v>Analysis page anatomy, layout and visual standard</x:v>
      </x:c>
      <x:c r="D20" s="206" t="str">
        <x:v>Core</x:v>
      </x:c>
      <x:c r="E20" s="206" t="n">
        <x:f>COUNTIF(Backlog!$AA$2:$AA$180,A20)</x:f>
        <x:v>2</x:v>
      </x:c>
      <x:c r="F20" s="206" t="n">
        <x:f>COUNTIFS(Backlog!$AA$2:$AA$180,A20,Backlog!$K$2:$K$180,"Done")</x:f>
        <x:v>0</x:v>
      </x:c>
      <x:c r="G20" s="206" t="n">
        <x:f>E20-F20</x:f>
        <x:v>2</x:v>
      </x:c>
      <x:c r="H20" s="206" t="n">
        <x:f>COUNTIFS(Backlog!$AA$2:$AA$180,A20,Backlog!$B$2:$B$180,"M2")</x:f>
        <x:v>2</x:v>
      </x:c>
      <x:c r="I20" s="206" t="n">
        <x:f>COUNTIFS(Backlog!$AA$2:$AA$180,A20,Backlog!$B$2:$B$180,"M3")</x:f>
        <x:v>0</x:v>
      </x:c>
      <x:c r="J20" s="206" t="str">
        <x:f>TEXTJOIN("; ",TRUE,IFERROR(INDEX(Backlog!$A$2:$A$180,MATCH("T-148",Backlog!$A$2:$A$180,0)),""),IFERROR(INDEX(Backlog!$A$2:$A$180,MATCH("T-265",Backlog!$A$2:$A$180,0)),""))</x:f>
        <x:v>T-148; T-265</x:v>
      </x:c>
      <x:c r="K20" s="194" t="n">
        <x:f>COUNTIF('Secondary Capability Links'!$B$2:$B$150,A20)</x:f>
        <x:v>3</x:v>
      </x:c>
      <x:c r="L20" s="194" t="n">
        <x:f>COUNTIFS('Secondary Capability Links'!$B$2:$B$150,A20,'Secondary Capability Links'!$C$2:$C$150,"Done")</x:f>
        <x:v>1</x:v>
      </x:c>
      <x:c r="M20" s="194" t="str">
        <x:f>TEXTJOIN("; ",TRUE,IFERROR(INDEX(Backlog!$A$2:$A$180,MATCH("T-202",Backlog!$A$2:$A$180,0)),""),IFERROR(INDEX(Backlog!$A$2:$A$180,MATCH("T-248",Backlog!$A$2:$A$180,0)),""),IFERROR(INDEX(Backlog!$A$2:$A$180,MATCH("T-267",Backlog!$A$2:$A$180,0)),""))</x:f>
        <x:v>T-202; T-248; T-267</x:v>
      </x:c>
      <x:c r="N20" s="194" t="str">
        <x:v>Existing primary mapping preserved; secondary ownership amended only where acceptance names the capability.</x:v>
      </x:c>
    </x:row>
    <x:row r="21" ht="26" customHeight="1">
      <x:c r="A21" s="206" t="str">
        <x:v>L3.2</x:v>
      </x:c>
      <x:c r="B21" s="206" t="str">
        <x:v>L3</x:v>
      </x:c>
      <x:c r="C21" s="206" t="str">
        <x:v>Associative engine and selection strip</x:v>
      </x:c>
      <x:c r="D21" s="206" t="str">
        <x:v>Core</x:v>
      </x:c>
      <x:c r="E21" s="206" t="n">
        <x:f>COUNTIF(Backlog!$AA$2:$AA$180,A21)</x:f>
        <x:v>1</x:v>
      </x:c>
      <x:c r="F21" s="206" t="n">
        <x:f>COUNTIFS(Backlog!$AA$2:$AA$180,A21,Backlog!$K$2:$K$180,"Done")</x:f>
        <x:v>1</x:v>
      </x:c>
      <x:c r="G21" s="206" t="n">
        <x:f>E21-F21</x:f>
        <x:v>0</x:v>
      </x:c>
      <x:c r="H21" s="206" t="n">
        <x:f>COUNTIFS(Backlog!$AA$2:$AA$180,A21,Backlog!$B$2:$B$180,"M2")</x:f>
        <x:v>1</x:v>
      </x:c>
      <x:c r="I21" s="206" t="n">
        <x:f>COUNTIFS(Backlog!$AA$2:$AA$180,A21,Backlog!$B$2:$B$180,"M3")</x:f>
        <x:v>0</x:v>
      </x:c>
      <x:c r="J21" s="206" t="str">
        <x:f>TEXTJOIN("; ",TRUE,IFERROR(INDEX(Backlog!$A$2:$A$180,MATCH("T-204",Backlog!$A$2:$A$180,0)),""))</x:f>
        <x:v>T-204</x:v>
      </x:c>
      <x:c r="K21" s="194" t="n">
        <x:f>COUNTIF('Secondary Capability Links'!$B$2:$B$150,A21)</x:f>
        <x:v>2</x:v>
      </x:c>
      <x:c r="L21" s="194" t="n">
        <x:f>COUNTIFS('Secondary Capability Links'!$B$2:$B$150,A21,'Secondary Capability Links'!$C$2:$C$150,"Done")</x:f>
        <x:v>0</x:v>
      </x:c>
      <x:c r="M21" s="194" t="str">
        <x:f>TEXTJOIN("; ",TRUE,IFERROR(INDEX(Backlog!$A$2:$A$180,MATCH("T-265",Backlog!$A$2:$A$180,0)),""),IFERROR(INDEX(Backlog!$A$2:$A$180,MATCH("T-267",Backlog!$A$2:$A$180,0)),""))</x:f>
        <x:v>T-265; T-267</x:v>
      </x:c>
      <x:c r="N21" s="194" t="str">
        <x:v>Existing primary mapping preserved; secondary ownership amended only where acceptance names the capability.</x:v>
      </x:c>
    </x:row>
    <x:row r="22" ht="26" customHeight="1">
      <x:c r="A22" s="206" t="str">
        <x:v>L3.3</x:v>
      </x:c>
      <x:c r="B22" s="206" t="str">
        <x:v>L3</x:v>
      </x:c>
      <x:c r="C22" s="206" t="str">
        <x:v>Dynamic filter authoring</x:v>
      </x:c>
      <x:c r="D22" s="206" t="str">
        <x:v>Core</x:v>
      </x:c>
      <x:c r="E22" s="206" t="n">
        <x:f>COUNTIF(Backlog!$AA$2:$AA$180,A22)</x:f>
        <x:v>0</x:v>
      </x:c>
      <x:c r="F22" s="206" t="n">
        <x:f>COUNTIFS(Backlog!$AA$2:$AA$180,A22,Backlog!$K$2:$K$180,"Done")</x:f>
        <x:v>0</x:v>
      </x:c>
      <x:c r="G22" s="206" t="n">
        <x:f>E22-F22</x:f>
        <x:v>0</x:v>
      </x:c>
      <x:c r="H22" s="206" t="n">
        <x:f>COUNTIFS(Backlog!$AA$2:$AA$180,A22,Backlog!$B$2:$B$180,"M2")</x:f>
        <x:v>0</x:v>
      </x:c>
      <x:c r="I22" s="206" t="n">
        <x:f>COUNTIFS(Backlog!$AA$2:$AA$180,A22,Backlog!$B$2:$B$180,"M3")</x:f>
        <x:v>0</x:v>
      </x:c>
      <x:c r="J22" s="206" t="str">
        <x:f>""</x:f>
      </x:c>
      <x:c r="K22" s="194" t="n">
        <x:f>COUNTIF('Secondary Capability Links'!$B$2:$B$150,A22)</x:f>
        <x:v>3</x:v>
      </x:c>
      <x:c r="L22" s="194" t="n">
        <x:f>COUNTIFS('Secondary Capability Links'!$B$2:$B$150,A22,'Secondary Capability Links'!$C$2:$C$150,"Done")</x:f>
        <x:v>0</x:v>
      </x:c>
      <x:c r="M22" s="194" t="str">
        <x:f>TEXTJOIN("; ",TRUE,IFERROR(INDEX(Backlog!$A$2:$A$180,MATCH("T-248",Backlog!$A$2:$A$180,0)),""),IFERROR(INDEX(Backlog!$A$2:$A$180,MATCH("T-265",Backlog!$A$2:$A$180,0)),""),IFERROR(INDEX(Backlog!$A$2:$A$180,MATCH("T-267",Backlog!$A$2:$A$180,0)),""))</x:f>
        <x:v>T-248; T-265; T-267</x:v>
      </x:c>
      <x:c r="N22" s="194" t="str">
        <x:v>Existing primary mapping preserved; secondary ownership amended only where acceptance names the capability.</x:v>
      </x:c>
    </x:row>
    <x:row r="23" ht="26" customHeight="1">
      <x:c r="A23" s="206" t="str">
        <x:v>L3.4</x:v>
      </x:c>
      <x:c r="B23" s="206" t="str">
        <x:v>L3</x:v>
      </x:c>
      <x:c r="C23" s="206" t="str">
        <x:v>Widget catalogue and intelligence visualisation</x:v>
      </x:c>
      <x:c r="D23" s="206" t="str">
        <x:v>Core</x:v>
      </x:c>
      <x:c r="E23" s="206" t="n">
        <x:f>COUNTIF(Backlog!$AA$2:$AA$180,A23)</x:f>
        <x:v>2</x:v>
      </x:c>
      <x:c r="F23" s="206" t="n">
        <x:f>COUNTIFS(Backlog!$AA$2:$AA$180,A23,Backlog!$K$2:$K$180,"Done")</x:f>
        <x:v>0</x:v>
      </x:c>
      <x:c r="G23" s="206" t="n">
        <x:f>E23-F23</x:f>
        <x:v>2</x:v>
      </x:c>
      <x:c r="H23" s="206" t="n">
        <x:f>COUNTIFS(Backlog!$AA$2:$AA$180,A23,Backlog!$B$2:$B$180,"M2")</x:f>
        <x:v>1</x:v>
      </x:c>
      <x:c r="I23" s="206" t="n">
        <x:f>COUNTIFS(Backlog!$AA$2:$AA$180,A23,Backlog!$B$2:$B$180,"M3")</x:f>
        <x:v>1</x:v>
      </x:c>
      <x:c r="J23" s="206" t="str">
        <x:f>TEXTJOIN("; ",TRUE,IFERROR(INDEX(Backlog!$A$2:$A$180,MATCH("T-212",Backlog!$A$2:$A$180,0)),""),IFERROR(INDEX(Backlog!$A$2:$A$180,MATCH("T-188",Backlog!$A$2:$A$180,0)),""))</x:f>
        <x:v>T-212; T-188</x:v>
      </x:c>
      <x:c r="K23" s="194" t="n">
        <x:f>COUNTIF('Secondary Capability Links'!$B$2:$B$150,A23)</x:f>
        <x:v>6</x:v>
      </x:c>
      <x:c r="L23" s="194" t="n">
        <x:f>COUNTIFS('Secondary Capability Links'!$B$2:$B$150,A23,'Secondary Capability Links'!$C$2:$C$150,"Done")</x:f>
        <x:v>1</x:v>
      </x:c>
      <x:c r="M23" s="194" t="str">
        <x:f>TEXTJOIN("; ",TRUE,IFERROR(INDEX(Backlog!$A$2:$A$180,MATCH("T-202",Backlog!$A$2:$A$180,0)),""),IFERROR(INDEX(Backlog!$A$2:$A$180,MATCH("T-215",Backlog!$A$2:$A$180,0)),""),IFERROR(INDEX(Backlog!$A$2:$A$180,MATCH("T-258",Backlog!$A$2:$A$180,0)),""),IFERROR(INDEX(Backlog!$A$2:$A$180,MATCH("T-248",Backlog!$A$2:$A$180,0)),""),IFERROR(INDEX(Backlog!$A$2:$A$180,MATCH("T-134",Backlog!$A$2:$A$180,0)),""),IFERROR(INDEX(Backlog!$A$2:$A$180,MATCH("T-189",Backlog!$A$2:$A$180,0)),""))</x:f>
        <x:v>T-202; T-215; T-258; T-248; T-134; T-189</x:v>
      </x:c>
      <x:c r="N23" s="194" t="str">
        <x:v>Existing primary mapping preserved; secondary ownership amended only where acceptance names the capability.</x:v>
      </x:c>
    </x:row>
    <x:row r="24" ht="26" customHeight="1">
      <x:c r="A24" s="206" t="str">
        <x:v>L3.5</x:v>
      </x:c>
      <x:c r="B24" s="206" t="str">
        <x:v>L3</x:v>
      </x:c>
      <x:c r="C24" s="206" t="str">
        <x:v>One authoring shell, five purposes, two modes</x:v>
      </x:c>
      <x:c r="D24" s="206" t="str">
        <x:v>Core</x:v>
      </x:c>
      <x:c r="E24" s="206" t="n">
        <x:f>COUNTIF(Backlog!$AA$2:$AA$180,A24)</x:f>
        <x:v>2</x:v>
      </x:c>
      <x:c r="F24" s="206" t="n">
        <x:f>COUNTIFS(Backlog!$AA$2:$AA$180,A24,Backlog!$K$2:$K$180,"Done")</x:f>
        <x:v>1</x:v>
      </x:c>
      <x:c r="G24" s="206" t="n">
        <x:f>E24-F24</x:f>
        <x:v>1</x:v>
      </x:c>
      <x:c r="H24" s="206" t="n">
        <x:f>COUNTIFS(Backlog!$AA$2:$AA$180,A24,Backlog!$B$2:$B$180,"M2")</x:f>
        <x:v>1</x:v>
      </x:c>
      <x:c r="I24" s="206" t="n">
        <x:f>COUNTIFS(Backlog!$AA$2:$AA$180,A24,Backlog!$B$2:$B$180,"M3")</x:f>
        <x:v>1</x:v>
      </x:c>
      <x:c r="J24" s="206" t="str">
        <x:f>TEXTJOIN("; ",TRUE,IFERROR(INDEX(Backlog!$A$2:$A$180,MATCH("T-244",Backlog!$A$2:$A$180,0)),""),IFERROR(INDEX(Backlog!$A$2:$A$180,MATCH("T-156",Backlog!$A$2:$A$180,0)),""))</x:f>
        <x:v>T-244; T-156</x:v>
      </x:c>
      <x:c r="K24" s="194" t="n">
        <x:f>COUNTIF('Secondary Capability Links'!$B$2:$B$150,A24)</x:f>
        <x:v>3</x:v>
      </x:c>
      <x:c r="L24" s="194" t="n">
        <x:f>COUNTIFS('Secondary Capability Links'!$B$2:$B$150,A24,'Secondary Capability Links'!$C$2:$C$150,"Done")</x:f>
        <x:v>0</x:v>
      </x:c>
      <x:c r="M24" s="194" t="str">
        <x:f>TEXTJOIN("; ",TRUE,IFERROR(INDEX(Backlog!$A$2:$A$180,MATCH("T-243",Backlog!$A$2:$A$180,0)),""),IFERROR(INDEX(Backlog!$A$2:$A$180,MATCH("T-248",Backlog!$A$2:$A$180,0)),""),IFERROR(INDEX(Backlog!$A$2:$A$180,MATCH("T-265",Backlog!$A$2:$A$180,0)),""))</x:f>
        <x:v>T-243; T-248; T-265</x:v>
      </x:c>
      <x:c r="N24" s="194" t="str">
        <x:v>Existing primary mapping preserved; secondary ownership amended only where acceptance names the capability.</x:v>
      </x:c>
    </x:row>
    <x:row r="25" ht="26" customHeight="1">
      <x:c r="A25" s="206" t="str">
        <x:v>L3.6</x:v>
      </x:c>
      <x:c r="B25" s="206" t="str">
        <x:v>L3</x:v>
      </x:c>
      <x:c r="C25" s="206" t="str">
        <x:v>Board semantics, typed ports and property inspection</x:v>
      </x:c>
      <x:c r="D25" s="206" t="str">
        <x:v>Core</x:v>
      </x:c>
      <x:c r="E25" s="206" t="n">
        <x:f>COUNTIF(Backlog!$AA$2:$AA$180,A25)</x:f>
        <x:v>3</x:v>
      </x:c>
      <x:c r="F25" s="206" t="n">
        <x:f>COUNTIFS(Backlog!$AA$2:$AA$180,A25,Backlog!$K$2:$K$180,"Done")</x:f>
        <x:v>3</x:v>
      </x:c>
      <x:c r="G25" s="206" t="n">
        <x:f>E25-F25</x:f>
        <x:v>0</x:v>
      </x:c>
      <x:c r="H25" s="206" t="n">
        <x:f>COUNTIFS(Backlog!$AA$2:$AA$180,A25,Backlog!$B$2:$B$180,"M2")</x:f>
        <x:v>3</x:v>
      </x:c>
      <x:c r="I25" s="206" t="n">
        <x:f>COUNTIFS(Backlog!$AA$2:$AA$180,A25,Backlog!$B$2:$B$180,"M3")</x:f>
        <x:v>0</x:v>
      </x:c>
      <x:c r="J25" s="206" t="str">
        <x:f>TEXTJOIN("; ",TRUE,IFERROR(INDEX(Backlog!$A$2:$A$180,MATCH("T-241",Backlog!$A$2:$A$180,0)),""),IFERROR(INDEX(Backlog!$A$2:$A$180,MATCH("T-242",Backlog!$A$2:$A$180,0)),""),IFERROR(INDEX(Backlog!$A$2:$A$180,MATCH("T-253",Backlog!$A$2:$A$180,0)),""))</x:f>
        <x:v>T-241; T-242; T-253</x:v>
      </x:c>
      <x:c r="K25" s="194" t="n">
        <x:f>COUNTIF('Secondary Capability Links'!$B$2:$B$150,A25)</x:f>
        <x:v>4</x:v>
      </x:c>
      <x:c r="L25" s="194" t="n">
        <x:f>COUNTIFS('Secondary Capability Links'!$B$2:$B$150,A25,'Secondary Capability Links'!$C$2:$C$150,"Done")</x:f>
        <x:v>0</x:v>
      </x:c>
      <x:c r="M25" s="194" t="str">
        <x:f>TEXTJOIN("; ",TRUE,IFERROR(INDEX(Backlog!$A$2:$A$180,MATCH("T-243",Backlog!$A$2:$A$180,0)),""),IFERROR(INDEX(Backlog!$A$2:$A$180,MATCH("T-262",Backlog!$A$2:$A$180,0)),""),IFERROR(INDEX(Backlog!$A$2:$A$180,MATCH("T-248",Backlog!$A$2:$A$180,0)),""),IFERROR(INDEX(Backlog!$A$2:$A$180,MATCH("T-265",Backlog!$A$2:$A$180,0)),""))</x:f>
        <x:v>T-243; T-262; T-248; T-265</x:v>
      </x:c>
      <x:c r="N25" s="194" t="str">
        <x:v>Existing primary mapping preserved; secondary ownership amended only where acceptance names the capability.</x:v>
      </x:c>
    </x:row>
    <x:row r="26" ht="26" customHeight="1">
      <x:c r="A26" s="206" t="str">
        <x:v>L3.7</x:v>
      </x:c>
      <x:c r="B26" s="206" t="str">
        <x:v>L3</x:v>
      </x:c>
      <x:c r="C26" s="206" t="str">
        <x:v>Authoring professionalism</x:v>
      </x:c>
      <x:c r="D26" s="206" t="str">
        <x:v>Core</x:v>
      </x:c>
      <x:c r="E26" s="206" t="n">
        <x:f>COUNTIF(Backlog!$AA$2:$AA$180,A26)</x:f>
        <x:v>2</x:v>
      </x:c>
      <x:c r="F26" s="206" t="n">
        <x:f>COUNTIFS(Backlog!$AA$2:$AA$180,A26,Backlog!$K$2:$K$180,"Done")</x:f>
        <x:v>0</x:v>
      </x:c>
      <x:c r="G26" s="206" t="n">
        <x:f>E26-F26</x:f>
        <x:v>2</x:v>
      </x:c>
      <x:c r="H26" s="206" t="n">
        <x:f>COUNTIFS(Backlog!$AA$2:$AA$180,A26,Backlog!$B$2:$B$180,"M2")</x:f>
        <x:v>0</x:v>
      </x:c>
      <x:c r="I26" s="206" t="n">
        <x:f>COUNTIFS(Backlog!$AA$2:$AA$180,A26,Backlog!$B$2:$B$180,"M3")</x:f>
        <x:v>2</x:v>
      </x:c>
      <x:c r="J26" s="206" t="str">
        <x:f>TEXTJOIN("; ",TRUE,IFERROR(INDEX(Backlog!$A$2:$A$180,MATCH("T-248",Backlog!$A$2:$A$180,0)),""),IFERROR(INDEX(Backlog!$A$2:$A$180,MATCH("T-267",Backlog!$A$2:$A$180,0)),""))</x:f>
        <x:v>T-248; T-267</x:v>
      </x:c>
      <x:c r="K26" s="194" t="n">
        <x:f>COUNTIF('Secondary Capability Links'!$B$2:$B$150,A26)</x:f>
        <x:v>2</x:v>
      </x:c>
      <x:c r="L26" s="194" t="n">
        <x:f>COUNTIFS('Secondary Capability Links'!$B$2:$B$150,A26,'Secondary Capability Links'!$C$2:$C$150,"Done")</x:f>
        <x:v>1</x:v>
      </x:c>
      <x:c r="M26" s="194" t="str">
        <x:f>TEXTJOIN("; ",TRUE,IFERROR(INDEX(Backlog!$A$2:$A$180,MATCH("T-244",Backlog!$A$2:$A$180,0)),""),IFERROR(INDEX(Backlog!$A$2:$A$180,MATCH("T-265",Backlog!$A$2:$A$180,0)),""))</x:f>
        <x:v>T-244; T-265</x:v>
      </x:c>
      <x:c r="N26" s="194" t="str">
        <x:v>Existing primary mapping preserved; secondary ownership amended only where acceptance names the capability.</x:v>
      </x:c>
    </x:row>
    <x:row r="27" ht="26" customHeight="1">
      <x:c r="A27" s="206" t="str">
        <x:v>L3.8</x:v>
      </x:c>
      <x:c r="B27" s="206" t="str">
        <x:v>L3</x:v>
      </x:c>
      <x:c r="C27" s="206" t="str">
        <x:v>Canvas -&gt; compile -&gt; governed job -&gt; run -&gt; per-block evidence</x:v>
      </x:c>
      <x:c r="D27" s="206" t="str">
        <x:v>Core</x:v>
      </x:c>
      <x:c r="E27" s="206" t="n">
        <x:f>COUNTIF(Backlog!$AA$2:$AA$180,A27)</x:f>
        <x:v>2</x:v>
      </x:c>
      <x:c r="F27" s="206" t="n">
        <x:f>COUNTIFS(Backlog!$AA$2:$AA$180,A27,Backlog!$K$2:$K$180,"Done")</x:f>
        <x:v>0</x:v>
      </x:c>
      <x:c r="G27" s="206" t="n">
        <x:f>E27-F27</x:f>
        <x:v>2</x:v>
      </x:c>
      <x:c r="H27" s="206" t="n">
        <x:f>COUNTIFS(Backlog!$AA$2:$AA$180,A27,Backlog!$B$2:$B$180,"M2")</x:f>
        <x:v>1</x:v>
      </x:c>
      <x:c r="I27" s="206" t="n">
        <x:f>COUNTIFS(Backlog!$AA$2:$AA$180,A27,Backlog!$B$2:$B$180,"M3")</x:f>
        <x:v>1</x:v>
      </x:c>
      <x:c r="J27" s="206" t="str">
        <x:f>TEXTJOIN("; ",TRUE,IFERROR(INDEX(Backlog!$A$2:$A$180,MATCH("T-245",Backlog!$A$2:$A$180,0)),""),IFERROR(INDEX(Backlog!$A$2:$A$180,MATCH("T-246",Backlog!$A$2:$A$180,0)),""))</x:f>
        <x:v>T-245; T-246</x:v>
      </x:c>
      <x:c r="K27" s="194" t="n">
        <x:f>COUNTIF('Secondary Capability Links'!$B$2:$B$150,A27)</x:f>
        <x:v>2</x:v>
      </x:c>
      <x:c r="L27" s="194" t="n">
        <x:f>COUNTIFS('Secondary Capability Links'!$B$2:$B$150,A27,'Secondary Capability Links'!$C$2:$C$150,"Done")</x:f>
        <x:v>0</x:v>
      </x:c>
      <x:c r="M27" s="194" t="str">
        <x:f>TEXTJOIN("; ",TRUE,IFERROR(INDEX(Backlog!$A$2:$A$180,MATCH("T-247",Backlog!$A$2:$A$180,0)),""),IFERROR(INDEX(Backlog!$A$2:$A$180,MATCH("T-261",Backlog!$A$2:$A$180,0)),""))</x:f>
        <x:v>T-247; T-261</x:v>
      </x:c>
      <x:c r="N27" s="194" t="str">
        <x:v>Existing primary mapping preserved; secondary ownership amended only where acceptance names the capability.</x:v>
      </x:c>
    </x:row>
    <x:row r="28" ht="26" customHeight="1">
      <x:c r="A28" s="206" t="str">
        <x:v>L3.9</x:v>
      </x:c>
      <x:c r="B28" s="206" t="str">
        <x:v>L3</x:v>
      </x:c>
      <x:c r="C28" s="206" t="str">
        <x:v>Master items, bookmarks and saved views</x:v>
      </x:c>
      <x:c r="D28" s="206" t="str">
        <x:v>Core</x:v>
      </x:c>
      <x:c r="E28" s="206" t="n">
        <x:f>COUNTIF(Backlog!$AA$2:$AA$180,A28)</x:f>
        <x:v>1</x:v>
      </x:c>
      <x:c r="F28" s="206" t="n">
        <x:f>COUNTIFS(Backlog!$AA$2:$AA$180,A28,Backlog!$K$2:$K$180,"Done")</x:f>
        <x:v>1</x:v>
      </x:c>
      <x:c r="G28" s="206" t="n">
        <x:f>E28-F28</x:f>
        <x:v>0</x:v>
      </x:c>
      <x:c r="H28" s="206" t="n">
        <x:f>COUNTIFS(Backlog!$AA$2:$AA$180,A28,Backlog!$B$2:$B$180,"M2")</x:f>
        <x:v>1</x:v>
      </x:c>
      <x:c r="I28" s="206" t="n">
        <x:f>COUNTIFS(Backlog!$AA$2:$AA$180,A28,Backlog!$B$2:$B$180,"M3")</x:f>
        <x:v>0</x:v>
      </x:c>
      <x:c r="J28" s="206" t="str">
        <x:f>TEXTJOIN("; ",TRUE,IFERROR(INDEX(Backlog!$A$2:$A$180,MATCH("T-092",Backlog!$A$2:$A$180,0)),""))</x:f>
        <x:v>T-092</x:v>
      </x:c>
      <x:c r="K28" s="194" t="n">
        <x:f>COUNTIF('Secondary Capability Links'!$B$2:$B$150,A28)</x:f>
        <x:v>2</x:v>
      </x:c>
      <x:c r="L28" s="194" t="n">
        <x:f>COUNTIFS('Secondary Capability Links'!$B$2:$B$150,A28,'Secondary Capability Links'!$C$2:$C$150,"Done")</x:f>
        <x:v>0</x:v>
      </x:c>
      <x:c r="M28" s="194" t="str">
        <x:f>TEXTJOIN("; ",TRUE,IFERROR(INDEX(Backlog!$A$2:$A$180,MATCH("T-248",Backlog!$A$2:$A$180,0)),""),IFERROR(INDEX(Backlog!$A$2:$A$180,MATCH("T-267",Backlog!$A$2:$A$180,0)),""))</x:f>
        <x:v>T-248; T-267</x:v>
      </x:c>
      <x:c r="N28" s="194" t="str">
        <x:v>Existing primary mapping preserved; secondary ownership amended only where acceptance names the capability.</x:v>
      </x:c>
    </x:row>
    <x:row r="29" ht="26" customHeight="1">
      <x:c r="A29" s="206" t="str">
        <x:v>L4.1</x:v>
      </x:c>
      <x:c r="B29" s="206" t="str">
        <x:v>L4</x:v>
      </x:c>
      <x:c r="C29" s="206" t="str">
        <x:v>Readiness gate and statistical discipline chain</x:v>
      </x:c>
      <x:c r="D29" s="206" t="str">
        <x:v>Core</x:v>
      </x:c>
      <x:c r="E29" s="206" t="n">
        <x:f>COUNTIF(Backlog!$AA$2:$AA$180,A29)</x:f>
        <x:v>3</x:v>
      </x:c>
      <x:c r="F29" s="206" t="n">
        <x:f>COUNTIFS(Backlog!$AA$2:$AA$180,A29,Backlog!$K$2:$K$180,"Done")</x:f>
        <x:v>1</x:v>
      </x:c>
      <x:c r="G29" s="206" t="n">
        <x:f>E29-F29</x:f>
        <x:v>2</x:v>
      </x:c>
      <x:c r="H29" s="206" t="n">
        <x:f>COUNTIFS(Backlog!$AA$2:$AA$180,A29,Backlog!$B$2:$B$180,"M2")</x:f>
        <x:v>1</x:v>
      </x:c>
      <x:c r="I29" s="206" t="n">
        <x:f>COUNTIFS(Backlog!$AA$2:$AA$180,A29,Backlog!$B$2:$B$180,"M3")</x:f>
        <x:v>2</x:v>
      </x:c>
      <x:c r="J29" s="206" t="str">
        <x:f>TEXTJOIN("; ",TRUE,IFERROR(INDEX(Backlog!$A$2:$A$180,MATCH("T-171",Backlog!$A$2:$A$180,0)),""),IFERROR(INDEX(Backlog!$A$2:$A$180,MATCH("T-186",Backlog!$A$2:$A$180,0)),""),IFERROR(INDEX(Backlog!$A$2:$A$180,MATCH("T-195",Backlog!$A$2:$A$180,0)),""))</x:f>
        <x:v>T-171; T-186; T-195</x:v>
      </x:c>
      <x:c r="K29" s="194" t="n">
        <x:f>COUNTIF('Secondary Capability Links'!$B$2:$B$150,A29)</x:f>
        <x:v>1</x:v>
      </x:c>
      <x:c r="L29" s="194" t="n">
        <x:f>COUNTIFS('Secondary Capability Links'!$B$2:$B$150,A29,'Secondary Capability Links'!$C$2:$C$150,"Done")</x:f>
        <x:v>0</x:v>
      </x:c>
      <x:c r="M29" s="194" t="str">
        <x:f>TEXTJOIN("; ",TRUE,IFERROR(INDEX(Backlog!$A$2:$A$180,MATCH("T-188",Backlog!$A$2:$A$180,0)),""))</x:f>
        <x:v>T-188</x:v>
      </x:c>
      <x:c r="N29" s="194" t="str">
        <x:v>Existing primary mapping preserved; secondary ownership amended only where acceptance names the capability.</x:v>
      </x:c>
    </x:row>
    <x:row r="30" ht="26" customHeight="1">
      <x:c r="A30" s="206" t="str">
        <x:v>L4.2</x:v>
      </x:c>
      <x:c r="B30" s="206" t="str">
        <x:v>L4</x:v>
      </x:c>
      <x:c r="C30" s="206" t="str">
        <x:v>Statistical engines MF-05 / MF-06</x:v>
      </x:c>
      <x:c r="D30" s="206" t="str">
        <x:v>Core</x:v>
      </x:c>
      <x:c r="E30" s="206" t="n">
        <x:f>COUNTIF(Backlog!$AA$2:$AA$180,A30)</x:f>
        <x:v>3</x:v>
      </x:c>
      <x:c r="F30" s="206" t="n">
        <x:f>COUNTIFS(Backlog!$AA$2:$AA$180,A30,Backlog!$K$2:$K$180,"Done")</x:f>
        <x:v>1</x:v>
      </x:c>
      <x:c r="G30" s="206" t="n">
        <x:f>E30-F30</x:f>
        <x:v>2</x:v>
      </x:c>
      <x:c r="H30" s="206" t="n">
        <x:f>COUNTIFS(Backlog!$AA$2:$AA$180,A30,Backlog!$B$2:$B$180,"M2")</x:f>
        <x:v>2</x:v>
      </x:c>
      <x:c r="I30" s="206" t="n">
        <x:f>COUNTIFS(Backlog!$AA$2:$AA$180,A30,Backlog!$B$2:$B$180,"M3")</x:f>
        <x:v>1</x:v>
      </x:c>
      <x:c r="J30" s="206" t="str">
        <x:f>TEXTJOIN("; ",TRUE,IFERROR(INDEX(Backlog!$A$2:$A$180,MATCH("T-177",Backlog!$A$2:$A$180,0)),""),IFERROR(INDEX(Backlog!$A$2:$A$180,MATCH("T-211",Backlog!$A$2:$A$180,0)),""),IFERROR(INDEX(Backlog!$A$2:$A$180,MATCH("T-146",Backlog!$A$2:$A$180,0)),""))</x:f>
        <x:v>T-177; T-211; T-146</x:v>
      </x:c>
      <x:c r="K30" s="194" t="n">
        <x:f>COUNTIF('Secondary Capability Links'!$B$2:$B$150,A30)</x:f>
        <x:v>7</x:v>
      </x:c>
      <x:c r="L30" s="194" t="n">
        <x:f>COUNTIFS('Secondary Capability Links'!$B$2:$B$150,A30,'Secondary Capability Links'!$C$2:$C$150,"Done")</x:f>
        <x:v>2</x:v>
      </x:c>
      <x:c r="M30" s="194" t="str">
        <x:f>TEXTJOIN("; ",TRUE,IFERROR(INDEX(Backlog!$A$2:$A$180,MATCH("T-210",Backlog!$A$2:$A$180,0)),""),IFERROR(INDEX(Backlog!$A$2:$A$180,MATCH("T-212",Backlog!$A$2:$A$180,0)),""),IFERROR(INDEX(Backlog!$A$2:$A$180,MATCH("T-236",Backlog!$A$2:$A$180,0)),""),IFERROR(INDEX(Backlog!$A$2:$A$180,MATCH("T-129",Backlog!$A$2:$A$180,0)),""),IFERROR(INDEX(Backlog!$A$2:$A$180,MATCH("T-147",Backlog!$A$2:$A$180,0)),""),IFERROR(INDEX(Backlog!$A$2:$A$180,MATCH("T-188",Backlog!$A$2:$A$180,0)),""),IFERROR(INDEX(Backlog!$A$2:$A$180,MATCH("T-246",Backlog!$A$2:$A$180,0)),""))</x:f>
        <x:v>T-210; T-212; T-236; T-129; T-147; T-188; T-246</x:v>
      </x:c>
      <x:c r="N30" s="194" t="str">
        <x:v>Existing primary mapping preserved; secondary ownership amended only where acceptance names the capability.</x:v>
      </x:c>
    </x:row>
    <x:row r="31" ht="26" customHeight="1">
      <x:c r="A31" s="206" t="str">
        <x:v>L4.3</x:v>
      </x:c>
      <x:c r="B31" s="206" t="str">
        <x:v>L4</x:v>
      </x:c>
      <x:c r="C31" s="206" t="str">
        <x:v>Feature engineering and incremental feature refresh</x:v>
      </x:c>
      <x:c r="D31" s="206" t="str">
        <x:v>Core</x:v>
      </x:c>
      <x:c r="E31" s="206" t="n">
        <x:f>COUNTIF(Backlog!$AA$2:$AA$180,A31)</x:f>
        <x:v>5</x:v>
      </x:c>
      <x:c r="F31" s="206" t="n">
        <x:f>COUNTIFS(Backlog!$AA$2:$AA$180,A31,Backlog!$K$2:$K$180,"Done")</x:f>
        <x:v>2</x:v>
      </x:c>
      <x:c r="G31" s="206" t="n">
        <x:f>E31-F31</x:f>
        <x:v>3</x:v>
      </x:c>
      <x:c r="H31" s="206" t="n">
        <x:f>COUNTIFS(Backlog!$AA$2:$AA$180,A31,Backlog!$B$2:$B$180,"M2")</x:f>
        <x:v>2</x:v>
      </x:c>
      <x:c r="I31" s="206" t="n">
        <x:f>COUNTIFS(Backlog!$AA$2:$AA$180,A31,Backlog!$B$2:$B$180,"M3")</x:f>
        <x:v>3</x:v>
      </x:c>
      <x:c r="J31" s="206" t="str">
        <x:f>TEXTJOIN("; ",TRUE,IFERROR(INDEX(Backlog!$A$2:$A$180,MATCH("T-169",Backlog!$A$2:$A$180,0)),""),IFERROR(INDEX(Backlog!$A$2:$A$180,MATCH("T-170",Backlog!$A$2:$A$180,0)),""),IFERROR(INDEX(Backlog!$A$2:$A$180,MATCH("T-128",Backlog!$A$2:$A$180,0)),""),IFERROR(INDEX(Backlog!$A$2:$A$180,MATCH("T-184",Backlog!$A$2:$A$180,0)),""),IFERROR(INDEX(Backlog!$A$2:$A$180,MATCH("T-185",Backlog!$A$2:$A$180,0)),""))</x:f>
        <x:v>T-169; T-170; T-128; T-184; T-185</x:v>
      </x:c>
      <x:c r="K31" s="194" t="n">
        <x:f>COUNTIF('Secondary Capability Links'!$B$2:$B$150,A31)</x:f>
        <x:v>2</x:v>
      </x:c>
      <x:c r="L31" s="194" t="n">
        <x:f>COUNTIFS('Secondary Capability Links'!$B$2:$B$150,A31,'Secondary Capability Links'!$C$2:$C$150,"Done")</x:f>
        <x:v>0</x:v>
      </x:c>
      <x:c r="M31" s="194" t="str">
        <x:f>TEXTJOIN("; ",TRUE,IFERROR(INDEX(Backlog!$A$2:$A$180,MATCH("T-109",Backlog!$A$2:$A$180,0)),""),IFERROR(INDEX(Backlog!$A$2:$A$180,MATCH("T-192",Backlog!$A$2:$A$180,0)),""))</x:f>
        <x:v>T-109; T-192</x:v>
      </x:c>
      <x:c r="N31" s="194" t="str">
        <x:v>Existing primary mapping preserved; secondary ownership amended only where acceptance names the capability.</x:v>
      </x:c>
    </x:row>
    <x:row r="32" ht="26" customHeight="1">
      <x:c r="A32" s="206" t="str">
        <x:v>L4.4</x:v>
      </x:c>
      <x:c r="B32" s="206" t="str">
        <x:v>L4</x:v>
      </x:c>
      <x:c r="C32" s="206" t="str">
        <x:v>Learned models MF-01 / MF-03 / MF-04</x:v>
      </x:c>
      <x:c r="D32" s="206" t="str">
        <x:v>Core</x:v>
      </x:c>
      <x:c r="E32" s="206" t="n">
        <x:f>COUNTIF(Backlog!$AA$2:$AA$180,A32)</x:f>
        <x:v>5</x:v>
      </x:c>
      <x:c r="F32" s="206" t="n">
        <x:f>COUNTIFS(Backlog!$AA$2:$AA$180,A32,Backlog!$K$2:$K$180,"Done")</x:f>
        <x:v>4</x:v>
      </x:c>
      <x:c r="G32" s="206" t="n">
        <x:f>E32-F32</x:f>
        <x:v>1</x:v>
      </x:c>
      <x:c r="H32" s="206" t="n">
        <x:f>COUNTIFS(Backlog!$AA$2:$AA$180,A32,Backlog!$B$2:$B$180,"M2")</x:f>
        <x:v>4</x:v>
      </x:c>
      <x:c r="I32" s="206" t="n">
        <x:f>COUNTIFS(Backlog!$AA$2:$AA$180,A32,Backlog!$B$2:$B$180,"M3")</x:f>
        <x:v>1</x:v>
      </x:c>
      <x:c r="J32" s="206" t="str">
        <x:f>TEXTJOIN("; ",TRUE,IFERROR(INDEX(Backlog!$A$2:$A$180,MATCH("T-168",Backlog!$A$2:$A$180,0)),""),IFERROR(INDEX(Backlog!$A$2:$A$180,MATCH("T-172",Backlog!$A$2:$A$180,0)),""),IFERROR(INDEX(Backlog!$A$2:$A$180,MATCH("T-174",Backlog!$A$2:$A$180,0)),""),IFERROR(INDEX(Backlog!$A$2:$A$180,MATCH("T-175",Backlog!$A$2:$A$180,0)),""),IFERROR(INDEX(Backlog!$A$2:$A$180,MATCH("T-187",Backlog!$A$2:$A$180,0)),""))</x:f>
        <x:v>T-168; T-172; T-174; T-175; T-187</x:v>
      </x:c>
      <x:c r="K32" s="194" t="n">
        <x:f>COUNTIF('Secondary Capability Links'!$B$2:$B$150,A32)</x:f>
        <x:v>2</x:v>
      </x:c>
      <x:c r="L32" s="194" t="n">
        <x:f>COUNTIFS('Secondary Capability Links'!$B$2:$B$150,A32,'Secondary Capability Links'!$C$2:$C$150,"Done")</x:f>
        <x:v>0</x:v>
      </x:c>
      <x:c r="M32" s="194" t="str">
        <x:f>TEXTJOIN("; ",TRUE,IFERROR(INDEX(Backlog!$A$2:$A$180,MATCH("T-129",Backlog!$A$2:$A$180,0)),""),IFERROR(INDEX(Backlog!$A$2:$A$180,MATCH("T-157",Backlog!$A$2:$A$180,0)),""))</x:f>
        <x:v>T-129; T-157</x:v>
      </x:c>
      <x:c r="N32" s="194" t="str">
        <x:v>Existing primary mapping preserved; secondary ownership amended only where acceptance names the capability.</x:v>
      </x:c>
    </x:row>
    <x:row r="33" ht="26" customHeight="1">
      <x:c r="A33" s="206" t="str">
        <x:v>L4.5</x:v>
      </x:c>
      <x:c r="B33" s="206" t="str">
        <x:v>L4</x:v>
      </x:c>
      <x:c r="C33" s="206" t="str">
        <x:v>Retrieval and similarity index MF-02</x:v>
      </x:c>
      <x:c r="D33" s="206" t="str">
        <x:v>Core</x:v>
      </x:c>
      <x:c r="E33" s="206" t="n">
        <x:f>COUNTIF(Backlog!$AA$2:$AA$180,A33)</x:f>
        <x:v>1</x:v>
      </x:c>
      <x:c r="F33" s="206" t="n">
        <x:f>COUNTIFS(Backlog!$AA$2:$AA$180,A33,Backlog!$K$2:$K$180,"Done")</x:f>
        <x:v>1</x:v>
      </x:c>
      <x:c r="G33" s="206" t="n">
        <x:f>E33-F33</x:f>
        <x:v>0</x:v>
      </x:c>
      <x:c r="H33" s="206" t="n">
        <x:f>COUNTIFS(Backlog!$AA$2:$AA$180,A33,Backlog!$B$2:$B$180,"M2")</x:f>
        <x:v>1</x:v>
      </x:c>
      <x:c r="I33" s="206" t="n">
        <x:f>COUNTIFS(Backlog!$AA$2:$AA$180,A33,Backlog!$B$2:$B$180,"M3")</x:f>
        <x:v>0</x:v>
      </x:c>
      <x:c r="J33" s="206" t="str">
        <x:f>TEXTJOIN("; ",TRUE,IFERROR(INDEX(Backlog!$A$2:$A$180,MATCH("T-173",Backlog!$A$2:$A$180,0)),""))</x:f>
        <x:v>T-173</x:v>
      </x:c>
      <x:c r="K33" s="194" t="n">
        <x:f>COUNTIF('Secondary Capability Links'!$B$2:$B$150,A33)</x:f>
        <x:v>3</x:v>
      </x:c>
      <x:c r="L33" s="194" t="n">
        <x:f>COUNTIFS('Secondary Capability Links'!$B$2:$B$150,A33,'Secondary Capability Links'!$C$2:$C$150,"Done")</x:f>
        <x:v>2</x:v>
      </x:c>
      <x:c r="M33" s="194" t="str">
        <x:f>TEXTJOIN("; ",TRUE,IFERROR(INDEX(Backlog!$A$2:$A$180,MATCH("T-180",Backlog!$A$2:$A$180,0)),""),IFERROR(INDEX(Backlog!$A$2:$A$180,MATCH("T-182",Backlog!$A$2:$A$180,0)),""),IFERROR(INDEX(Backlog!$A$2:$A$180,MATCH("T-187",Backlog!$A$2:$A$180,0)),""))</x:f>
        <x:v>T-180; T-182; T-187</x:v>
      </x:c>
      <x:c r="N33" s="194" t="str">
        <x:v>Existing primary mapping preserved; secondary ownership amended only where acceptance names the capability.</x:v>
      </x:c>
    </x:row>
    <x:row r="34" ht="26" customHeight="1">
      <x:c r="A34" s="206" t="str">
        <x:v>L4.6</x:v>
      </x:c>
      <x:c r="B34" s="206" t="str">
        <x:v>L4</x:v>
      </x:c>
      <x:c r="C34" s="206" t="str">
        <x:v>Practice learning MF-07</x:v>
      </x:c>
      <x:c r="D34" s="206" t="str">
        <x:v>Core</x:v>
      </x:c>
      <x:c r="E34" s="206" t="n">
        <x:f>COUNTIF(Backlog!$AA$2:$AA$180,A34)</x:f>
        <x:v>7</x:v>
      </x:c>
      <x:c r="F34" s="206" t="n">
        <x:f>COUNTIFS(Backlog!$AA$2:$AA$180,A34,Backlog!$K$2:$K$180,"Done")</x:f>
        <x:v>0</x:v>
      </x:c>
      <x:c r="G34" s="206" t="n">
        <x:f>E34-F34</x:f>
        <x:v>7</x:v>
      </x:c>
      <x:c r="H34" s="206" t="n">
        <x:f>COUNTIFS(Backlog!$AA$2:$AA$180,A34,Backlog!$B$2:$B$180,"M2")</x:f>
        <x:v>0</x:v>
      </x:c>
      <x:c r="I34" s="206" t="n">
        <x:f>COUNTIFS(Backlog!$AA$2:$AA$180,A34,Backlog!$B$2:$B$180,"M3")</x:f>
        <x:v>7</x:v>
      </x:c>
      <x:c r="J34" s="206" t="str">
        <x:f>TEXTJOIN("; ",TRUE,IFERROR(INDEX(Backlog!$A$2:$A$180,MATCH("T-131",Backlog!$A$2:$A$180,0)),""),IFERROR(INDEX(Backlog!$A$2:$A$180,MATCH("T-132",Backlog!$A$2:$A$180,0)),""),IFERROR(INDEX(Backlog!$A$2:$A$180,MATCH("T-133",Backlog!$A$2:$A$180,0)),""),IFERROR(INDEX(Backlog!$A$2:$A$180,MATCH("T-136",Backlog!$A$2:$A$180,0)),""),IFERROR(INDEX(Backlog!$A$2:$A$180,MATCH("T-238",Backlog!$A$2:$A$180,0)),""),IFERROR(INDEX(Backlog!$A$2:$A$180,MATCH("T-239",Backlog!$A$2:$A$180,0)),""),IFERROR(INDEX(Backlog!$A$2:$A$180,MATCH("T-240",Backlog!$A$2:$A$180,0)),""))</x:f>
        <x:v>T-131; T-132; T-133; T-136; T-238; T-239; T-240</x:v>
      </x:c>
      <x:c r="K34" s="194" t="n">
        <x:f>COUNTIF('Secondary Capability Links'!$B$2:$B$150,A34)</x:f>
        <x:v>1</x:v>
      </x:c>
      <x:c r="L34" s="194" t="n">
        <x:f>COUNTIFS('Secondary Capability Links'!$B$2:$B$150,A34,'Secondary Capability Links'!$C$2:$C$150,"Done")</x:f>
        <x:v>0</x:v>
      </x:c>
      <x:c r="M34" s="194" t="str">
        <x:f>TEXTJOIN("; ",TRUE,IFERROR(INDEX(Backlog!$A$2:$A$180,MATCH("T-264",Backlog!$A$2:$A$180,0)),""))</x:f>
        <x:v>T-264</x:v>
      </x:c>
      <x:c r="N34" s="194" t="str">
        <x:v>Existing primary mapping preserved; secondary ownership amended only where acceptance names the capability.</x:v>
      </x:c>
    </x:row>
    <x:row r="35" ht="26" customHeight="1">
      <x:c r="A35" s="206" t="str">
        <x:v>L4.7</x:v>
      </x:c>
      <x:c r="B35" s="206" t="str">
        <x:v>L4</x:v>
      </x:c>
      <x:c r="C35" s="206" t="str">
        <x:v>Prediction, drivers, explainability and remediation candidates</x:v>
      </x:c>
      <x:c r="D35" s="206" t="str">
        <x:v>Core</x:v>
      </x:c>
      <x:c r="E35" s="206" t="n">
        <x:f>COUNTIF(Backlog!$AA$2:$AA$180,A35)</x:f>
        <x:v>8</x:v>
      </x:c>
      <x:c r="F35" s="206" t="n">
        <x:f>COUNTIFS(Backlog!$AA$2:$AA$180,A35,Backlog!$K$2:$K$180,"Done")</x:f>
        <x:v>1</x:v>
      </x:c>
      <x:c r="G35" s="206" t="n">
        <x:f>E35-F35</x:f>
        <x:v>7</x:v>
      </x:c>
      <x:c r="H35" s="206" t="n">
        <x:f>COUNTIFS(Backlog!$AA$2:$AA$180,A35,Backlog!$B$2:$B$180,"M2")</x:f>
        <x:v>1</x:v>
      </x:c>
      <x:c r="I35" s="206" t="n">
        <x:f>COUNTIFS(Backlog!$AA$2:$AA$180,A35,Backlog!$B$2:$B$180,"M3")</x:f>
        <x:v>7</x:v>
      </x:c>
      <x:c r="J35" s="206" t="str">
        <x:f>TEXTJOIN("; ",TRUE,IFERROR(INDEX(Backlog!$A$2:$A$180,MATCH("T-178",Backlog!$A$2:$A$180,0)),""),IFERROR(INDEX(Backlog!$A$2:$A$180,MATCH("T-139",Backlog!$A$2:$A$180,0)),""),IFERROR(INDEX(Backlog!$A$2:$A$180,MATCH("T-140",Backlog!$A$2:$A$180,0)),""),IFERROR(INDEX(Backlog!$A$2:$A$180,MATCH("T-141",Backlog!$A$2:$A$180,0)),""),IFERROR(INDEX(Backlog!$A$2:$A$180,MATCH("T-142",Backlog!$A$2:$A$180,0)),""),IFERROR(INDEX(Backlog!$A$2:$A$180,MATCH("T-143",Backlog!$A$2:$A$180,0)),""),IFERROR(INDEX(Backlog!$A$2:$A$180,MATCH("T-158",Backlog!$A$2:$A$180,0)),""),IFERROR(INDEX(Backlog!$A$2:$A$180,MATCH("T-189",Backlog!$A$2:$A$180,0)),""))</x:f>
        <x:v>T-178; T-139; T-140; T-141; T-142; T-143; T-158; T-189</x:v>
      </x:c>
      <x:c r="K35" s="194" t="n">
        <x:f>COUNTIF('Secondary Capability Links'!$B$2:$B$150,A35)</x:f>
        <x:v>2</x:v>
      </x:c>
      <x:c r="L35" s="194" t="n">
        <x:f>COUNTIFS('Secondary Capability Links'!$B$2:$B$150,A35,'Secondary Capability Links'!$C$2:$C$150,"Done")</x:f>
        <x:v>0</x:v>
      </x:c>
      <x:c r="M35" s="194" t="str">
        <x:f>TEXTJOIN("; ",TRUE,IFERROR(INDEX(Backlog!$A$2:$A$180,MATCH("T-157",Backlog!$A$2:$A$180,0)),""),IFERROR(INDEX(Backlog!$A$2:$A$180,MATCH("T-246",Backlog!$A$2:$A$180,0)),""))</x:f>
        <x:v>T-157; T-246</x:v>
      </x:c>
      <x:c r="N35" s="194" t="str">
        <x:v>Existing primary mapping preserved; secondary ownership amended only where acceptance names the capability.</x:v>
      </x:c>
    </x:row>
    <x:row r="36" ht="26" customHeight="1">
      <x:c r="A36" s="206" t="str">
        <x:v>L4.8</x:v>
      </x:c>
      <x:c r="B36" s="206" t="str">
        <x:v>L4</x:v>
      </x:c>
      <x:c r="C36" s="206" t="str">
        <x:v>Model registry, promotion, serving and fallback</x:v>
      </x:c>
      <x:c r="D36" s="206" t="str">
        <x:v>Core</x:v>
      </x:c>
      <x:c r="E36" s="206" t="n">
        <x:f>COUNTIF(Backlog!$AA$2:$AA$180,A36)</x:f>
        <x:v>4</x:v>
      </x:c>
      <x:c r="F36" s="206" t="n">
        <x:f>COUNTIFS(Backlog!$AA$2:$AA$180,A36,Backlog!$K$2:$K$180,"Done")</x:f>
        <x:v>2</x:v>
      </x:c>
      <x:c r="G36" s="206" t="n">
        <x:f>E36-F36</x:f>
        <x:v>2</x:v>
      </x:c>
      <x:c r="H36" s="206" t="n">
        <x:f>COUNTIFS(Backlog!$AA$2:$AA$180,A36,Backlog!$B$2:$B$180,"M2")</x:f>
        <x:v>2</x:v>
      </x:c>
      <x:c r="I36" s="206" t="n">
        <x:f>COUNTIFS(Backlog!$AA$2:$AA$180,A36,Backlog!$B$2:$B$180,"M3")</x:f>
        <x:v>2</x:v>
      </x:c>
      <x:c r="J36" s="206" t="str">
        <x:f>TEXTJOIN("; ",TRUE,IFERROR(INDEX(Backlog!$A$2:$A$180,MATCH("T-137",Backlog!$A$2:$A$180,0)),""),IFERROR(INDEX(Backlog!$A$2:$A$180,MATCH("T-176",Backlog!$A$2:$A$180,0)),""),IFERROR(INDEX(Backlog!$A$2:$A$180,MATCH("T-130",Backlog!$A$2:$A$180,0)),""),IFERROR(INDEX(Backlog!$A$2:$A$180,MATCH("T-157",Backlog!$A$2:$A$180,0)),""))</x:f>
        <x:v>T-137; T-176; T-130; T-157</x:v>
      </x:c>
      <x:c r="K36" s="194" t="n">
        <x:f>COUNTIF('Secondary Capability Links'!$B$2:$B$150,A36)</x:f>
        <x:v>5</x:v>
      </x:c>
      <x:c r="L36" s="194" t="n">
        <x:f>COUNTIFS('Secondary Capability Links'!$B$2:$B$150,A36,'Secondary Capability Links'!$C$2:$C$150,"Done")</x:f>
        <x:v>1</x:v>
      </x:c>
      <x:c r="M36" s="194" t="str">
        <x:f>TEXTJOIN("; ",TRUE,IFERROR(INDEX(Backlog!$A$2:$A$180,MATCH("T-182",Backlog!$A$2:$A$180,0)),""),IFERROR(INDEX(Backlog!$A$2:$A$180,MATCH("T-186",Backlog!$A$2:$A$180,0)),""),IFERROR(INDEX(Backlog!$A$2:$A$180,MATCH("T-187",Backlog!$A$2:$A$180,0)),""),IFERROR(INDEX(Backlog!$A$2:$A$180,MATCH("T-192",Backlog!$A$2:$A$180,0)),""),IFERROR(INDEX(Backlog!$A$2:$A$180,MATCH("T-193",Backlog!$A$2:$A$180,0)),""))</x:f>
        <x:v>T-182; T-186; T-187; T-192; T-193</x:v>
      </x:c>
      <x:c r="N36" s="194" t="str">
        <x:v>Existing primary mapping preserved; secondary ownership amended only where acceptance names the capability.</x:v>
      </x:c>
    </x:row>
    <x:row r="37" ht="26" customHeight="1">
      <x:c r="A37" s="206" t="str">
        <x:v>L5.1</x:v>
      </x:c>
      <x:c r="B37" s="206" t="str">
        <x:v>L5</x:v>
      </x:c>
      <x:c r="C37" s="206" t="str">
        <x:v>Canonical entity catalogue</x:v>
      </x:c>
      <x:c r="D37" s="206" t="str">
        <x:v>Core</x:v>
      </x:c>
      <x:c r="E37" s="206" t="n">
        <x:f>COUNTIF(Backlog!$AA$2:$AA$180,A37)</x:f>
        <x:v>4</x:v>
      </x:c>
      <x:c r="F37" s="206" t="n">
        <x:f>COUNTIFS(Backlog!$AA$2:$AA$180,A37,Backlog!$K$2:$K$180,"Done")</x:f>
        <x:v>3</x:v>
      </x:c>
      <x:c r="G37" s="206" t="n">
        <x:f>E37-F37</x:f>
        <x:v>1</x:v>
      </x:c>
      <x:c r="H37" s="206" t="n">
        <x:f>COUNTIFS(Backlog!$AA$2:$AA$180,A37,Backlog!$B$2:$B$180,"M2")</x:f>
        <x:v>4</x:v>
      </x:c>
      <x:c r="I37" s="206" t="n">
        <x:f>COUNTIFS(Backlog!$AA$2:$AA$180,A37,Backlog!$B$2:$B$180,"M3")</x:f>
        <x:v>0</x:v>
      </x:c>
      <x:c r="J37" s="206" t="str">
        <x:f>TEXTJOIN("; ",TRUE,IFERROR(INDEX(Backlog!$A$2:$A$180,MATCH("T-093",Backlog!$A$2:$A$180,0)),""),IFERROR(INDEX(Backlog!$A$2:$A$180,MATCH("T-094",Backlog!$A$2:$A$180,0)),""),IFERROR(INDEX(Backlog!$A$2:$A$180,MATCH("T-206",Backlog!$A$2:$A$180,0)),""),IFERROR(INDEX(Backlog!$A$2:$A$180,MATCH("T-258",Backlog!$A$2:$A$180,0)),""))</x:f>
        <x:v>T-093; T-094; T-206; T-258</x:v>
      </x:c>
      <x:c r="K37" s="194" t="n">
        <x:f>COUNTIF('Secondary Capability Links'!$B$2:$B$150,A37)</x:f>
        <x:v>2</x:v>
      </x:c>
      <x:c r="L37" s="194" t="n">
        <x:f>COUNTIFS('Secondary Capability Links'!$B$2:$B$150,A37,'Secondary Capability Links'!$C$2:$C$150,"Done")</x:f>
        <x:v>2</x:v>
      </x:c>
      <x:c r="M37" s="194" t="str">
        <x:f>TEXTJOIN("; ",TRUE,IFERROR(INDEX(Backlog!$A$2:$A$180,MATCH("T-092",Backlog!$A$2:$A$180,0)),""),IFERROR(INDEX(Backlog!$A$2:$A$180,MATCH("T-256",Backlog!$A$2:$A$180,0)),""))</x:f>
        <x:v>T-092; T-256</x:v>
      </x:c>
      <x:c r="N37" s="194" t="str">
        <x:v>Existing primary mapping preserved; secondary ownership amended only where acceptance names the capability.</x:v>
      </x:c>
    </x:row>
    <x:row r="38" ht="26" customHeight="1">
      <x:c r="A38" s="206" t="str">
        <x:v>L5.2</x:v>
      </x:c>
      <x:c r="B38" s="206" t="str">
        <x:v>L5</x:v>
      </x:c>
      <x:c r="C38" s="206" t="str">
        <x:v>Permanent relationship model</x:v>
      </x:c>
      <x:c r="D38" s="206" t="str">
        <x:v>Core</x:v>
      </x:c>
      <x:c r="E38" s="206" t="n">
        <x:f>COUNTIF(Backlog!$AA$2:$AA$180,A38)</x:f>
        <x:v>5</x:v>
      </x:c>
      <x:c r="F38" s="206" t="n">
        <x:f>COUNTIFS(Backlog!$AA$2:$AA$180,A38,Backlog!$K$2:$K$180,"Done")</x:f>
        <x:v>3</x:v>
      </x:c>
      <x:c r="G38" s="206" t="n">
        <x:f>E38-F38</x:f>
        <x:v>2</x:v>
      </x:c>
      <x:c r="H38" s="206" t="n">
        <x:f>COUNTIFS(Backlog!$AA$2:$AA$180,A38,Backlog!$B$2:$B$180,"M2")</x:f>
        <x:v>4</x:v>
      </x:c>
      <x:c r="I38" s="206" t="n">
        <x:f>COUNTIFS(Backlog!$AA$2:$AA$180,A38,Backlog!$B$2:$B$180,"M3")</x:f>
        <x:v>1</x:v>
      </x:c>
      <x:c r="J38" s="206" t="str">
        <x:f>TEXTJOIN("; ",TRUE,IFERROR(INDEX(Backlog!$A$2:$A$180,MATCH("T-095",Backlog!$A$2:$A$180,0)),""),IFERROR(INDEX(Backlog!$A$2:$A$180,MATCH("T-096",Backlog!$A$2:$A$180,0)),""),IFERROR(INDEX(Backlog!$A$2:$A$180,MATCH("T-097",Backlog!$A$2:$A$180,0)),""),IFERROR(INDEX(Backlog!$A$2:$A$180,MATCH("T-098",Backlog!$A$2:$A$180,0)),""),IFERROR(INDEX(Backlog!$A$2:$A$180,MATCH("T-196",Backlog!$A$2:$A$180,0)),""))</x:f>
        <x:v>T-095; T-096; T-097; T-098; T-196</x:v>
      </x:c>
      <x:c r="K38" s="194" t="n">
        <x:f>COUNTIF('Secondary Capability Links'!$B$2:$B$150,A38)</x:f>
        <x:v>1</x:v>
      </x:c>
      <x:c r="L38" s="194" t="n">
        <x:f>COUNTIFS('Secondary Capability Links'!$B$2:$B$150,A38,'Secondary Capability Links'!$C$2:$C$150,"Done")</x:f>
        <x:v>0</x:v>
      </x:c>
      <x:c r="M38" s="194" t="str">
        <x:f>TEXTJOIN("; ",TRUE,IFERROR(INDEX(Backlog!$A$2:$A$180,MATCH("T-265",Backlog!$A$2:$A$180,0)),""))</x:f>
        <x:v>T-265</x:v>
      </x:c>
      <x:c r="N38" s="194" t="str">
        <x:v>Existing primary mapping preserved; secondary ownership amended only where acceptance names the capability.</x:v>
      </x:c>
    </x:row>
    <x:row r="39" ht="26" customHeight="1">
      <x:c r="A39" s="206" t="str">
        <x:v>L5.3</x:v>
      </x:c>
      <x:c r="B39" s="206" t="str">
        <x:v>L5</x:v>
      </x:c>
      <x:c r="C39" s="206" t="str">
        <x:v>Analysis Subject, grain and signal aggregation authority</x:v>
      </x:c>
      <x:c r="D39" s="206" t="str">
        <x:v>Core</x:v>
      </x:c>
      <x:c r="E39" s="206" t="n">
        <x:f>COUNTIF(Backlog!$AA$2:$AA$180,A39)</x:f>
        <x:v>4</x:v>
      </x:c>
      <x:c r="F39" s="206" t="n">
        <x:f>COUNTIFS(Backlog!$AA$2:$AA$180,A39,Backlog!$K$2:$K$180,"Done")</x:f>
        <x:v>3</x:v>
      </x:c>
      <x:c r="G39" s="206" t="n">
        <x:f>E39-F39</x:f>
        <x:v>1</x:v>
      </x:c>
      <x:c r="H39" s="206" t="n">
        <x:f>COUNTIFS(Backlog!$AA$2:$AA$180,A39,Backlog!$B$2:$B$180,"M2")</x:f>
        <x:v>3</x:v>
      </x:c>
      <x:c r="I39" s="206" t="n">
        <x:f>COUNTIFS(Backlog!$AA$2:$AA$180,A39,Backlog!$B$2:$B$180,"M3")</x:f>
        <x:v>1</x:v>
      </x:c>
      <x:c r="J39" s="206" t="str">
        <x:f>TEXTJOIN("; ",TRUE,IFERROR(INDEX(Backlog!$A$2:$A$180,MATCH("T-209",Backlog!$A$2:$A$180,0)),""),IFERROR(INDEX(Backlog!$A$2:$A$180,MATCH("T-210",Backlog!$A$2:$A$180,0)),""),IFERROR(INDEX(Backlog!$A$2:$A$180,MATCH("T-231",Backlog!$A$2:$A$180,0)),""),IFERROR(INDEX(Backlog!$A$2:$A$180,MATCH("T-147",Backlog!$A$2:$A$180,0)),""))</x:f>
        <x:v>T-209; T-210; T-231; T-147</x:v>
      </x:c>
      <x:c r="K39" s="194" t="n">
        <x:f>COUNTIF('Secondary Capability Links'!$B$2:$B$150,A39)</x:f>
        <x:v>3</x:v>
      </x:c>
      <x:c r="L39" s="194" t="n">
        <x:f>COUNTIFS('Secondary Capability Links'!$B$2:$B$150,A39,'Secondary Capability Links'!$C$2:$C$150,"Done")</x:f>
        <x:v>1</x:v>
      </x:c>
      <x:c r="M39" s="194" t="str">
        <x:f>TEXTJOIN("; ",TRUE,IFERROR(INDEX(Backlog!$A$2:$A$180,MATCH("T-094",Backlog!$A$2:$A$180,0)),""),IFERROR(INDEX(Backlog!$A$2:$A$180,MATCH("T-212",Backlog!$A$2:$A$180,0)),""),IFERROR(INDEX(Backlog!$A$2:$A$180,MATCH("T-211",Backlog!$A$2:$A$180,0)),""))</x:f>
        <x:v>T-094; T-212; T-211</x:v>
      </x:c>
      <x:c r="N39" s="194" t="str">
        <x:v>Existing primary mapping preserved; secondary ownership amended only where acceptance names the capability.</x:v>
      </x:c>
    </x:row>
    <x:row r="40" ht="26" customHeight="1">
      <x:c r="A40" s="206" t="str">
        <x:v>L5.4</x:v>
      </x:c>
      <x:c r="B40" s="206" t="str">
        <x:v>L5</x:v>
      </x:c>
      <x:c r="C40" s="206" t="str">
        <x:v>Regime correctness</x:v>
      </x:c>
      <x:c r="D40" s="206" t="str">
        <x:v>Core</x:v>
      </x:c>
      <x:c r="E40" s="206" t="n">
        <x:f>COUNTIF(Backlog!$AA$2:$AA$180,A40)</x:f>
        <x:v>3</x:v>
      </x:c>
      <x:c r="F40" s="206" t="n">
        <x:f>COUNTIFS(Backlog!$AA$2:$AA$180,A40,Backlog!$K$2:$K$180,"Done")</x:f>
        <x:v>2</x:v>
      </x:c>
      <x:c r="G40" s="206" t="n">
        <x:f>E40-F40</x:f>
        <x:v>1</x:v>
      </x:c>
      <x:c r="H40" s="206" t="n">
        <x:f>COUNTIFS(Backlog!$AA$2:$AA$180,A40,Backlog!$B$2:$B$180,"M2")</x:f>
        <x:v>3</x:v>
      </x:c>
      <x:c r="I40" s="206" t="n">
        <x:f>COUNTIFS(Backlog!$AA$2:$AA$180,A40,Backlog!$B$2:$B$180,"M3")</x:f>
        <x:v>0</x:v>
      </x:c>
      <x:c r="J40" s="206" t="str">
        <x:f>TEXTJOIN("; ",TRUE,IFERROR(INDEX(Backlog!$A$2:$A$180,MATCH("T-235",Backlog!$A$2:$A$180,0)),""),IFERROR(INDEX(Backlog!$A$2:$A$180,MATCH("T-234",Backlog!$A$2:$A$180,0)),""),IFERROR(INDEX(Backlog!$A$2:$A$180,MATCH("T-236",Backlog!$A$2:$A$180,0)),""))</x:f>
        <x:v>T-235; T-234; T-236</x:v>
      </x:c>
      <x:c r="K40" s="194" t="n">
        <x:f>COUNTIF('Secondary Capability Links'!$B$2:$B$150,A40)</x:f>
        <x:v>0</x:v>
      </x:c>
      <x:c r="L40" s="194" t="n">
        <x:f>COUNTIFS('Secondary Capability Links'!$B$2:$B$150,A40,'Secondary Capability Links'!$C$2:$C$150,"Done")</x:f>
        <x:v>0</x:v>
      </x:c>
      <x:c r="M40" s="194" t="str">
        <x:f>""</x:f>
      </x:c>
      <x:c r="N40" s="194" t="str">
        <x:v>Existing primary mapping preserved; secondary ownership amended only where acceptance names the capability.</x:v>
      </x:c>
    </x:row>
    <x:row r="41" ht="26" customHeight="1">
      <x:c r="A41" s="206" t="str">
        <x:v>L5.5</x:v>
      </x:c>
      <x:c r="B41" s="206" t="str">
        <x:v>L5</x:v>
      </x:c>
      <x:c r="C41" s="206" t="str">
        <x:v>Provenance, evidence chain, claim guard and refusal integrity</x:v>
      </x:c>
      <x:c r="D41" s="206" t="str">
        <x:v>Core</x:v>
      </x:c>
      <x:c r="E41" s="206" t="n">
        <x:f>COUNTIF(Backlog!$AA$2:$AA$180,A41)</x:f>
        <x:v>4</x:v>
      </x:c>
      <x:c r="F41" s="206" t="n">
        <x:f>COUNTIFS(Backlog!$AA$2:$AA$180,A41,Backlog!$K$2:$K$180,"Done")</x:f>
        <x:v>2</x:v>
      </x:c>
      <x:c r="G41" s="206" t="n">
        <x:f>E41-F41</x:f>
        <x:v>2</x:v>
      </x:c>
      <x:c r="H41" s="206" t="n">
        <x:f>COUNTIFS(Backlog!$AA$2:$AA$180,A41,Backlog!$B$2:$B$180,"M2")</x:f>
        <x:v>2</x:v>
      </x:c>
      <x:c r="I41" s="206" t="n">
        <x:f>COUNTIFS(Backlog!$AA$2:$AA$180,A41,Backlog!$B$2:$B$180,"M3")</x:f>
        <x:v>2</x:v>
      </x:c>
      <x:c r="J41" s="206" t="str">
        <x:f>TEXTJOIN("; ",TRUE,IFERROR(INDEX(Backlog!$A$2:$A$180,MATCH("T-217",Backlog!$A$2:$A$180,0)),""),IFERROR(INDEX(Backlog!$A$2:$A$180,MATCH("T-218",Backlog!$A$2:$A$180,0)),""),IFERROR(INDEX(Backlog!$A$2:$A$180,MATCH("T-129",Backlog!$A$2:$A$180,0)),""),IFERROR(INDEX(Backlog!$A$2:$A$180,MATCH("T-134",Backlog!$A$2:$A$180,0)),""))</x:f>
        <x:v>T-217; T-218; T-129; T-134</x:v>
      </x:c>
      <x:c r="K41" s="194" t="n">
        <x:f>COUNTIF('Secondary Capability Links'!$B$2:$B$150,A41)</x:f>
        <x:v>4</x:v>
      </x:c>
      <x:c r="L41" s="194" t="n">
        <x:f>COUNTIFS('Secondary Capability Links'!$B$2:$B$150,A41,'Secondary Capability Links'!$C$2:$C$150,"Done")</x:f>
        <x:v>1</x:v>
      </x:c>
      <x:c r="M41" s="194" t="str">
        <x:f>TEXTJOIN("; ",TRUE,IFERROR(INDEX(Backlog!$A$2:$A$180,MATCH("T-216",Backlog!$A$2:$A$180,0)),""),IFERROR(INDEX(Backlog!$A$2:$A$180,MATCH("T-233",Backlog!$A$2:$A$180,0)),""),IFERROR(INDEX(Backlog!$A$2:$A$180,MATCH("T-221",Backlog!$A$2:$A$180,0)),""),IFERROR(INDEX(Backlog!$A$2:$A$180,MATCH("T-183",Backlog!$A$2:$A$180,0)),""))</x:f>
        <x:v>T-216; T-233; T-221; T-183</x:v>
      </x:c>
      <x:c r="N41" s="194" t="str">
        <x:v>Existing primary mapping preserved; secondary ownership amended only where acceptance names the capability.</x:v>
      </x:c>
    </x:row>
    <x:row r="42" ht="26" customHeight="1">
      <x:c r="A42" s="206" t="str">
        <x:v>L5.6</x:v>
      </x:c>
      <x:c r="B42" s="206" t="str">
        <x:v>L5</x:v>
      </x:c>
      <x:c r="C42" s="206" t="str">
        <x:v>Unified definition-store semantics</x:v>
      </x:c>
      <x:c r="D42" s="206" t="str">
        <x:v>Core</x:v>
      </x:c>
      <x:c r="E42" s="206" t="n">
        <x:f>COUNTIF(Backlog!$AA$2:$AA$180,A42)</x:f>
        <x:v>2</x:v>
      </x:c>
      <x:c r="F42" s="206" t="n">
        <x:f>COUNTIFS(Backlog!$AA$2:$AA$180,A42,Backlog!$K$2:$K$180,"Done")</x:f>
        <x:v>2</x:v>
      </x:c>
      <x:c r="G42" s="206" t="n">
        <x:f>E42-F42</x:f>
        <x:v>0</x:v>
      </x:c>
      <x:c r="H42" s="206" t="n">
        <x:f>COUNTIFS(Backlog!$AA$2:$AA$180,A42,Backlog!$B$2:$B$180,"M2")</x:f>
        <x:v>2</x:v>
      </x:c>
      <x:c r="I42" s="206" t="n">
        <x:f>COUNTIFS(Backlog!$AA$2:$AA$180,A42,Backlog!$B$2:$B$180,"M3")</x:f>
        <x:v>0</x:v>
      </x:c>
      <x:c r="J42" s="206" t="str">
        <x:f>TEXTJOIN("; ",TRUE,IFERROR(INDEX(Backlog!$A$2:$A$180,MATCH("T-090",Backlog!$A$2:$A$180,0)),""),IFERROR(INDEX(Backlog!$A$2:$A$180,MATCH("T-091",Backlog!$A$2:$A$180,0)),""))</x:f>
        <x:v>T-090; T-091</x:v>
      </x:c>
      <x:c r="K42" s="194" t="n">
        <x:f>COUNTIF('Secondary Capability Links'!$B$2:$B$150,A42)</x:f>
        <x:v>1</x:v>
      </x:c>
      <x:c r="L42" s="194" t="n">
        <x:f>COUNTIFS('Secondary Capability Links'!$B$2:$B$150,A42,'Secondary Capability Links'!$C$2:$C$150,"Done")</x:f>
        <x:v>1</x:v>
      </x:c>
      <x:c r="M42" s="194" t="str">
        <x:f>TEXTJOIN("; ",TRUE,IFERROR(INDEX(Backlog!$A$2:$A$180,MATCH("T-089",Backlog!$A$2:$A$180,0)),""))</x:f>
        <x:v>T-089</x:v>
      </x:c>
      <x:c r="N42" s="194" t="str">
        <x:v>Existing primary mapping preserved; secondary ownership amended only where acceptance names the capability.</x:v>
      </x:c>
    </x:row>
    <x:row r="43" ht="26" customHeight="1">
      <x:c r="A43" s="206" t="str">
        <x:v>L5.7</x:v>
      </x:c>
      <x:c r="B43" s="206" t="str">
        <x:v>L5</x:v>
      </x:c>
      <x:c r="C43" s="206" t="str">
        <x:v>Physical database governance and zero-unknown catalogue</x:v>
      </x:c>
      <x:c r="D43" s="206" t="str">
        <x:v>Core</x:v>
      </x:c>
      <x:c r="E43" s="206" t="n">
        <x:f>COUNTIF(Backlog!$AA$2:$AA$180,A43)</x:f>
        <x:v>1</x:v>
      </x:c>
      <x:c r="F43" s="206" t="n">
        <x:f>COUNTIFS(Backlog!$AA$2:$AA$180,A43,Backlog!$K$2:$K$180,"Done")</x:f>
        <x:v>1</x:v>
      </x:c>
      <x:c r="G43" s="206" t="n">
        <x:f>E43-F43</x:f>
        <x:v>0</x:v>
      </x:c>
      <x:c r="H43" s="206" t="n">
        <x:f>COUNTIFS(Backlog!$AA$2:$AA$180,A43,Backlog!$B$2:$B$180,"M2")</x:f>
        <x:v>1</x:v>
      </x:c>
      <x:c r="I43" s="206" t="n">
        <x:f>COUNTIFS(Backlog!$AA$2:$AA$180,A43,Backlog!$B$2:$B$180,"M3")</x:f>
        <x:v>0</x:v>
      </x:c>
      <x:c r="J43" s="206" t="str">
        <x:f>TEXTJOIN("; ",TRUE,IFERROR(INDEX(Backlog!$A$2:$A$180,MATCH("T-251",Backlog!$A$2:$A$180,0)),""))</x:f>
        <x:v>T-251</x:v>
      </x:c>
      <x:c r="K43" s="194" t="n">
        <x:f>COUNTIF('Secondary Capability Links'!$B$2:$B$150,A43)</x:f>
        <x:v>4</x:v>
      </x:c>
      <x:c r="L43" s="194" t="n">
        <x:f>COUNTIFS('Secondary Capability Links'!$B$2:$B$150,A43,'Secondary Capability Links'!$C$2:$C$150,"Done")</x:f>
        <x:v>4</x:v>
      </x:c>
      <x:c r="M43" s="194" t="str">
        <x:f>TEXTJOIN("; ",TRUE,IFERROR(INDEX(Backlog!$A$2:$A$180,MATCH("T-087",Backlog!$A$2:$A$180,0)),""),IFERROR(INDEX(Backlog!$A$2:$A$180,MATCH("T-088",Backlog!$A$2:$A$180,0)),""),IFERROR(INDEX(Backlog!$A$2:$A$180,MATCH("T-256",Backlog!$A$2:$A$180,0)),""),IFERROR(INDEX(Backlog!$A$2:$A$180,MATCH("T-260",Backlog!$A$2:$A$180,0)),""))</x:f>
        <x:v>T-087; T-088; T-256; T-260</x:v>
      </x:c>
      <x:c r="N43" s="194" t="str">
        <x:v>Existing primary mapping preserved; secondary ownership amended only where acceptance names the capability.</x:v>
      </x:c>
    </x:row>
    <x:row r="44" ht="26" customHeight="1">
      <x:c r="A44" s="206" t="str">
        <x:v>L5.8</x:v>
      </x:c>
      <x:c r="B44" s="206" t="str">
        <x:v>L5</x:v>
      </x:c>
      <x:c r="C44" s="206" t="str">
        <x:v>Truth contracts and claim boundaries</x:v>
      </x:c>
      <x:c r="D44" s="206" t="str">
        <x:v>Core</x:v>
      </x:c>
      <x:c r="E44" s="206" t="n">
        <x:f>COUNTIF(Backlog!$AA$2:$AA$180,A44)</x:f>
        <x:v>2</x:v>
      </x:c>
      <x:c r="F44" s="206" t="n">
        <x:f>COUNTIFS(Backlog!$AA$2:$AA$180,A44,Backlog!$K$2:$K$180,"Done")</x:f>
        <x:v>1</x:v>
      </x:c>
      <x:c r="G44" s="206" t="n">
        <x:f>E44-F44</x:f>
        <x:v>1</x:v>
      </x:c>
      <x:c r="H44" s="206" t="n">
        <x:f>COUNTIFS(Backlog!$AA$2:$AA$180,A44,Backlog!$B$2:$B$180,"M2")</x:f>
        <x:v>1</x:v>
      </x:c>
      <x:c r="I44" s="206" t="n">
        <x:f>COUNTIFS(Backlog!$AA$2:$AA$180,A44,Backlog!$B$2:$B$180,"M3")</x:f>
        <x:v>1</x:v>
      </x:c>
      <x:c r="J44" s="206" t="str">
        <x:f>TEXTJOIN("; ",TRUE,IFERROR(INDEX(Backlog!$A$2:$A$180,MATCH("T-220",Backlog!$A$2:$A$180,0)),""),IFERROR(INDEX(Backlog!$A$2:$A$180,MATCH("T-183",Backlog!$A$2:$A$180,0)),""))</x:f>
        <x:v>T-220; T-183</x:v>
      </x:c>
      <x:c r="K44" s="194" t="n">
        <x:f>COUNTIF('Secondary Capability Links'!$B$2:$B$150,A44)</x:f>
        <x:v>2</x:v>
      </x:c>
      <x:c r="L44" s="194" t="n">
        <x:f>COUNTIFS('Secondary Capability Links'!$B$2:$B$150,A44,'Secondary Capability Links'!$C$2:$C$150,"Done")</x:f>
        <x:v>1</x:v>
      </x:c>
      <x:c r="M44" s="194" t="str">
        <x:f>TEXTJOIN("; ",TRUE,IFERROR(INDEX(Backlog!$A$2:$A$180,MATCH("T-181",Backlog!$A$2:$A$180,0)),""),IFERROR(INDEX(Backlog!$A$2:$A$180,MATCH("T-192",Backlog!$A$2:$A$180,0)),""))</x:f>
        <x:v>T-181; T-192</x:v>
      </x:c>
      <x:c r="N44" s="194" t="str">
        <x:v>Existing primary mapping preserved; secondary ownership amended only where acceptance names the capability.</x:v>
      </x:c>
    </x:row>
    <x:row r="45" ht="26" customHeight="1">
      <x:c r="A45" s="206" t="str">
        <x:v>L6.1</x:v>
      </x:c>
      <x:c r="B45" s="206" t="str">
        <x:v>L6</x:v>
      </x:c>
      <x:c r="C45" s="206" t="str">
        <x:v>Persistent Assistant dock and context envelope</x:v>
      </x:c>
      <x:c r="D45" s="206" t="str">
        <x:v>Core</x:v>
      </x:c>
      <x:c r="E45" s="206" t="n">
        <x:f>COUNTIF(Backlog!$AA$2:$AA$180,A45)</x:f>
        <x:v>0</x:v>
      </x:c>
      <x:c r="F45" s="206" t="n">
        <x:f>COUNTIFS(Backlog!$AA$2:$AA$180,A45,Backlog!$K$2:$K$180,"Done")</x:f>
        <x:v>0</x:v>
      </x:c>
      <x:c r="G45" s="206" t="n">
        <x:f>E45-F45</x:f>
        <x:v>0</x:v>
      </x:c>
      <x:c r="H45" s="206" t="n">
        <x:f>COUNTIFS(Backlog!$AA$2:$AA$180,A45,Backlog!$B$2:$B$180,"M2")</x:f>
        <x:v>0</x:v>
      </x:c>
      <x:c r="I45" s="206" t="n">
        <x:f>COUNTIFS(Backlog!$AA$2:$AA$180,A45,Backlog!$B$2:$B$180,"M3")</x:f>
        <x:v>0</x:v>
      </x:c>
      <x:c r="J45" s="206" t="str">
        <x:f>""</x:f>
      </x:c>
      <x:c r="K45" s="194" t="n">
        <x:f>COUNTIF('Secondary Capability Links'!$B$2:$B$150,A45)</x:f>
        <x:v>1</x:v>
      </x:c>
      <x:c r="L45" s="194" t="n">
        <x:f>COUNTIFS('Secondary Capability Links'!$B$2:$B$150,A45,'Secondary Capability Links'!$C$2:$C$150,"Done")</x:f>
        <x:v>0</x:v>
      </x:c>
      <x:c r="M45" s="194" t="str">
        <x:f>TEXTJOIN("; ",TRUE,IFERROR(INDEX(Backlog!$A$2:$A$180,MATCH("T-265",Backlog!$A$2:$A$180,0)),""))</x:f>
        <x:v>T-265</x:v>
      </x:c>
      <x:c r="N45" s="194" t="str">
        <x:v>Existing primary mapping preserved; secondary ownership amended only where acceptance names the capability.</x:v>
      </x:c>
    </x:row>
    <x:row r="46" ht="26" customHeight="1">
      <x:c r="A46" s="206" t="str">
        <x:v>L6.2</x:v>
      </x:c>
      <x:c r="B46" s="206" t="str">
        <x:v>L6</x:v>
      </x:c>
      <x:c r="C46" s="206" t="str">
        <x:v>Governed Assistant runtime</x:v>
      </x:c>
      <x:c r="D46" s="206" t="str">
        <x:v>Core</x:v>
      </x:c>
      <x:c r="E46" s="206" t="n">
        <x:f>COUNTIF(Backlog!$AA$2:$AA$180,A46)</x:f>
        <x:v>5</x:v>
      </x:c>
      <x:c r="F46" s="206" t="n">
        <x:f>COUNTIFS(Backlog!$AA$2:$AA$180,A46,Backlog!$K$2:$K$180,"Done")</x:f>
        <x:v>3</x:v>
      </x:c>
      <x:c r="G46" s="206" t="n">
        <x:f>E46-F46</x:f>
        <x:v>2</x:v>
      </x:c>
      <x:c r="H46" s="206" t="n">
        <x:f>COUNTIFS(Backlog!$AA$2:$AA$180,A46,Backlog!$B$2:$B$180,"M2")</x:f>
        <x:v>4</x:v>
      </x:c>
      <x:c r="I46" s="206" t="n">
        <x:f>COUNTIFS(Backlog!$AA$2:$AA$180,A46,Backlog!$B$2:$B$180,"M3")</x:f>
        <x:v>1</x:v>
      </x:c>
      <x:c r="J46" s="206" t="str">
        <x:f>TEXTJOIN("; ",TRUE,IFERROR(INDEX(Backlog!$A$2:$A$180,MATCH("T-179",Backlog!$A$2:$A$180,0)),""),IFERROR(INDEX(Backlog!$A$2:$A$180,MATCH("T-180",Backlog!$A$2:$A$180,0)),""),IFERROR(INDEX(Backlog!$A$2:$A$180,MATCH("T-181",Backlog!$A$2:$A$180,0)),""),IFERROR(INDEX(Backlog!$A$2:$A$180,MATCH("T-223",Backlog!$A$2:$A$180,0)),""),IFERROR(INDEX(Backlog!$A$2:$A$180,MATCH("T-138",Backlog!$A$2:$A$180,0)),""))</x:f>
        <x:v>T-179; T-180; T-181; T-223; T-138</x:v>
      </x:c>
      <x:c r="K46" s="194" t="n">
        <x:f>COUNTIF('Secondary Capability Links'!$B$2:$B$150,A46)</x:f>
        <x:v>1</x:v>
      </x:c>
      <x:c r="L46" s="194" t="n">
        <x:f>COUNTIFS('Secondary Capability Links'!$B$2:$B$150,A46,'Secondary Capability Links'!$C$2:$C$150,"Done")</x:f>
        <x:v>0</x:v>
      </x:c>
      <x:c r="M46" s="194" t="str">
        <x:f>TEXTJOIN("; ",TRUE,IFERROR(INDEX(Backlog!$A$2:$A$180,MATCH("T-240",Backlog!$A$2:$A$180,0)),""))</x:f>
        <x:v>T-240</x:v>
      </x:c>
      <x:c r="N46" s="194" t="str">
        <x:v>Existing primary mapping preserved; secondary ownership amended only where acceptance names the capability.</x:v>
      </x:c>
    </x:row>
    <x:row r="47" ht="26" customHeight="1">
      <x:c r="A47" s="206" t="str">
        <x:v>L6.3</x:v>
      </x:c>
      <x:c r="B47" s="206" t="str">
        <x:v>L6</x:v>
      </x:c>
      <x:c r="C47" s="206" t="str">
        <x:v>Supervisor and governed improvement proposals</x:v>
      </x:c>
      <x:c r="D47" s="206" t="str">
        <x:v>Core</x:v>
      </x:c>
      <x:c r="E47" s="206" t="n">
        <x:f>COUNTIF(Backlog!$AA$2:$AA$180,A47)</x:f>
        <x:v>1</x:v>
      </x:c>
      <x:c r="F47" s="206" t="n">
        <x:f>COUNTIFS(Backlog!$AA$2:$AA$180,A47,Backlog!$K$2:$K$180,"Done")</x:f>
        <x:v>0</x:v>
      </x:c>
      <x:c r="G47" s="206" t="n">
        <x:f>E47-F47</x:f>
        <x:v>1</x:v>
      </x:c>
      <x:c r="H47" s="206" t="n">
        <x:f>COUNTIFS(Backlog!$AA$2:$AA$180,A47,Backlog!$B$2:$B$180,"M2")</x:f>
        <x:v>0</x:v>
      </x:c>
      <x:c r="I47" s="206" t="n">
        <x:f>COUNTIFS(Backlog!$AA$2:$AA$180,A47,Backlog!$B$2:$B$180,"M3")</x:f>
        <x:v>1</x:v>
      </x:c>
      <x:c r="J47" s="206" t="str">
        <x:f>TEXTJOIN("; ",TRUE,IFERROR(INDEX(Backlog!$A$2:$A$180,MATCH("T-193",Backlog!$A$2:$A$180,0)),""))</x:f>
        <x:v>T-193</x:v>
      </x:c>
      <x:c r="K47" s="194" t="n">
        <x:f>COUNTIF('Secondary Capability Links'!$B$2:$B$150,A47)</x:f>
        <x:v>0</x:v>
      </x:c>
      <x:c r="L47" s="194" t="n">
        <x:f>COUNTIFS('Secondary Capability Links'!$B$2:$B$150,A47,'Secondary Capability Links'!$C$2:$C$150,"Done")</x:f>
        <x:v>0</x:v>
      </x:c>
      <x:c r="M47" s="194" t="str">
        <x:f>""</x:f>
      </x:c>
      <x:c r="N47" s="194" t="str">
        <x:v>Existing primary mapping preserved; secondary ownership amended only where acceptance names the capability.</x:v>
      </x:c>
    </x:row>
    <x:row r="48" ht="26" customHeight="1">
      <x:c r="A48" s="206" t="str">
        <x:v>L6.4</x:v>
      </x:c>
      <x:c r="B48" s="206" t="str">
        <x:v>L6</x:v>
      </x:c>
      <x:c r="C48" s="206" t="str">
        <x:v>Alert routing and escalation</x:v>
      </x:c>
      <x:c r="D48" s="206" t="str">
        <x:v>Core</x:v>
      </x:c>
      <x:c r="E48" s="206" t="n">
        <x:f>COUNTIF(Backlog!$AA$2:$AA$180,A48)</x:f>
        <x:v>1</x:v>
      </x:c>
      <x:c r="F48" s="206" t="n">
        <x:f>COUNTIFS(Backlog!$AA$2:$AA$180,A48,Backlog!$K$2:$K$180,"Done")</x:f>
        <x:v>0</x:v>
      </x:c>
      <x:c r="G48" s="206" t="n">
        <x:f>E48-F48</x:f>
        <x:v>1</x:v>
      </x:c>
      <x:c r="H48" s="206" t="n">
        <x:f>COUNTIFS(Backlog!$AA$2:$AA$180,A48,Backlog!$B$2:$B$180,"M2")</x:f>
        <x:v>0</x:v>
      </x:c>
      <x:c r="I48" s="206" t="n">
        <x:f>COUNTIFS(Backlog!$AA$2:$AA$180,A48,Backlog!$B$2:$B$180,"M3")</x:f>
        <x:v>1</x:v>
      </x:c>
      <x:c r="J48" s="206" t="str">
        <x:f>TEXTJOIN("; ",TRUE,IFERROR(INDEX(Backlog!$A$2:$A$180,MATCH("T-197",Backlog!$A$2:$A$180,0)),""))</x:f>
        <x:v>T-197</x:v>
      </x:c>
      <x:c r="K48" s="194" t="n">
        <x:f>COUNTIF('Secondary Capability Links'!$B$2:$B$150,A48)</x:f>
        <x:v>2</x:v>
      </x:c>
      <x:c r="L48" s="194" t="n">
        <x:f>COUNTIFS('Secondary Capability Links'!$B$2:$B$150,A48,'Secondary Capability Links'!$C$2:$C$150,"Done")</x:f>
        <x:v>0</x:v>
      </x:c>
      <x:c r="M48" s="194" t="str">
        <x:f>TEXTJOIN("; ",TRUE,IFERROR(INDEX(Backlog!$A$2:$A$180,MATCH("T-263",Backlog!$A$2:$A$180,0)),""),IFERROR(INDEX(Backlog!$A$2:$A$180,MATCH("T-145",Backlog!$A$2:$A$180,0)),""))</x:f>
        <x:v>T-263; T-145</x:v>
      </x:c>
      <x:c r="N48" s="194" t="str">
        <x:v>Existing primary mapping preserved; secondary ownership amended only where acceptance names the capability.</x:v>
      </x:c>
    </x:row>
    <x:row r="49" ht="26" customHeight="1">
      <x:c r="A49" s="206" t="str">
        <x:v>L6.5</x:v>
      </x:c>
      <x:c r="B49" s="206" t="str">
        <x:v>L6</x:v>
      </x:c>
      <x:c r="C49" s="206" t="str">
        <x:v>Reports, export and scheduled delivery</x:v>
      </x:c>
      <x:c r="D49" s="206" t="str">
        <x:v>Core</x:v>
      </x:c>
      <x:c r="E49" s="206" t="n">
        <x:f>COUNTIF(Backlog!$AA$2:$AA$180,A49)</x:f>
        <x:v>1</x:v>
      </x:c>
      <x:c r="F49" s="206" t="n">
        <x:f>COUNTIFS(Backlog!$AA$2:$AA$180,A49,Backlog!$K$2:$K$180,"Done")</x:f>
        <x:v>0</x:v>
      </x:c>
      <x:c r="G49" s="206" t="n">
        <x:f>E49-F49</x:f>
        <x:v>1</x:v>
      </x:c>
      <x:c r="H49" s="206" t="n">
        <x:f>COUNTIFS(Backlog!$AA$2:$AA$180,A49,Backlog!$B$2:$B$180,"M2")</x:f>
        <x:v>0</x:v>
      </x:c>
      <x:c r="I49" s="206" t="n">
        <x:f>COUNTIFS(Backlog!$AA$2:$AA$180,A49,Backlog!$B$2:$B$180,"M3")</x:f>
        <x:v>1</x:v>
      </x:c>
      <x:c r="J49" s="206" t="str">
        <x:f>TEXTJOIN("; ",TRUE,IFERROR(INDEX(Backlog!$A$2:$A$180,MATCH("T-263",Backlog!$A$2:$A$180,0)),""))</x:f>
        <x:v>T-263</x:v>
      </x:c>
      <x:c r="K49" s="194" t="n">
        <x:f>COUNTIF('Secondary Capability Links'!$B$2:$B$150,A49)</x:f>
        <x:v>1</x:v>
      </x:c>
      <x:c r="L49" s="194" t="n">
        <x:f>COUNTIFS('Secondary Capability Links'!$B$2:$B$150,A49,'Secondary Capability Links'!$C$2:$C$150,"Done")</x:f>
        <x:v>0</x:v>
      </x:c>
      <x:c r="M49" s="194" t="str">
        <x:f>TEXTJOIN("; ",TRUE,IFERROR(INDEX(Backlog!$A$2:$A$180,MATCH("T-267",Backlog!$A$2:$A$180,0)),""))</x:f>
        <x:v>T-267</x:v>
      </x:c>
      <x:c r="N49" s="194" t="str">
        <x:v>Existing primary mapping preserved; secondary ownership amended only where acceptance names the capability.</x:v>
      </x:c>
    </x:row>
    <x:row r="50" ht="26" customHeight="1">
      <x:c r="A50" s="206" t="str">
        <x:v>L6.6</x:v>
      </x:c>
      <x:c r="B50" s="206" t="str">
        <x:v>L6</x:v>
      </x:c>
      <x:c r="C50" s="206" t="str">
        <x:v>Plant data log, audit, log channels, retention and archival</x:v>
      </x:c>
      <x:c r="D50" s="206" t="str">
        <x:v>Core</x:v>
      </x:c>
      <x:c r="E50" s="206" t="n">
        <x:f>COUNTIF(Backlog!$AA$2:$AA$180,A50)</x:f>
        <x:v>2</x:v>
      </x:c>
      <x:c r="F50" s="206" t="n">
        <x:f>COUNTIFS(Backlog!$AA$2:$AA$180,A50,Backlog!$K$2:$K$180,"Done")</x:f>
        <x:v>0</x:v>
      </x:c>
      <x:c r="G50" s="206" t="n">
        <x:f>E50-F50</x:f>
        <x:v>2</x:v>
      </x:c>
      <x:c r="H50" s="206" t="n">
        <x:f>COUNTIFS(Backlog!$AA$2:$AA$180,A50,Backlog!$B$2:$B$180,"M2")</x:f>
        <x:v>0</x:v>
      </x:c>
      <x:c r="I50" s="206" t="n">
        <x:f>COUNTIFS(Backlog!$AA$2:$AA$180,A50,Backlog!$B$2:$B$180,"M3")</x:f>
        <x:v>2</x:v>
      </x:c>
      <x:c r="J50" s="206" t="str">
        <x:f>TEXTJOIN("; ",TRUE,IFERROR(INDEX(Backlog!$A$2:$A$180,MATCH("T-198",Backlog!$A$2:$A$180,0)),""),IFERROR(INDEX(Backlog!$A$2:$A$180,MATCH("T-199",Backlog!$A$2:$A$180,0)),""))</x:f>
        <x:v>T-198; T-199</x:v>
      </x:c>
      <x:c r="K50" s="194" t="n">
        <x:f>COUNTIF('Secondary Capability Links'!$B$2:$B$150,A50)</x:f>
        <x:v>0</x:v>
      </x:c>
      <x:c r="L50" s="194" t="n">
        <x:f>COUNTIFS('Secondary Capability Links'!$B$2:$B$150,A50,'Secondary Capability Links'!$C$2:$C$150,"Done")</x:f>
        <x:v>0</x:v>
      </x:c>
      <x:c r="M50" s="194" t="str">
        <x:f>""</x:f>
      </x:c>
      <x:c r="N50" s="194" t="str">
        <x:v>Existing primary mapping preserved; secondary ownership amended only where acceptance names the capability.</x:v>
      </x:c>
    </x:row>
    <x:row r="51" ht="26" customHeight="1">
      <x:c r="A51" s="206" t="str">
        <x:v>L6.7</x:v>
      </x:c>
      <x:c r="B51" s="206" t="str">
        <x:v>L6</x:v>
      </x:c>
      <x:c r="C51" s="206" t="str">
        <x:v>Global shell components G1-G6</x:v>
      </x:c>
      <x:c r="D51" s="206" t="str">
        <x:v>Core</x:v>
      </x:c>
      <x:c r="E51" s="206" t="n">
        <x:f>COUNTIF(Backlog!$AA$2:$AA$180,A51)</x:f>
        <x:v>0</x:v>
      </x:c>
      <x:c r="F51" s="206" t="n">
        <x:f>COUNTIFS(Backlog!$AA$2:$AA$180,A51,Backlog!$K$2:$K$180,"Done")</x:f>
        <x:v>0</x:v>
      </x:c>
      <x:c r="G51" s="206" t="n">
        <x:f>E51-F51</x:f>
        <x:v>0</x:v>
      </x:c>
      <x:c r="H51" s="206" t="n">
        <x:f>COUNTIFS(Backlog!$AA$2:$AA$180,A51,Backlog!$B$2:$B$180,"M2")</x:f>
        <x:v>0</x:v>
      </x:c>
      <x:c r="I51" s="206" t="n">
        <x:f>COUNTIFS(Backlog!$AA$2:$AA$180,A51,Backlog!$B$2:$B$180,"M3")</x:f>
        <x:v>0</x:v>
      </x:c>
      <x:c r="J51" s="206" t="str">
        <x:f>""</x:f>
      </x:c>
      <x:c r="K51" s="194" t="n">
        <x:f>COUNTIF('Secondary Capability Links'!$B$2:$B$150,A51)</x:f>
        <x:v>4</x:v>
      </x:c>
      <x:c r="L51" s="194" t="n">
        <x:f>COUNTIFS('Secondary Capability Links'!$B$2:$B$150,A51,'Secondary Capability Links'!$C$2:$C$150,"Done")</x:f>
        <x:v>1</x:v>
      </x:c>
      <x:c r="M51" s="194" t="str">
        <x:f>TEXTJOIN("; ",TRUE,IFERROR(INDEX(Backlog!$A$2:$A$180,MATCH("T-203",Backlog!$A$2:$A$180,0)),""),IFERROR(INDEX(Backlog!$A$2:$A$180,MATCH("T-248",Backlog!$A$2:$A$180,0)),""),IFERROR(INDEX(Backlog!$A$2:$A$180,MATCH("T-265",Backlog!$A$2:$A$180,0)),""),IFERROR(INDEX(Backlog!$A$2:$A$180,MATCH("T-267",Backlog!$A$2:$A$180,0)),""))</x:f>
        <x:v>T-203; T-248; T-265; T-267</x:v>
      </x:c>
      <x:c r="N51" s="194" t="str">
        <x:v>Existing primary mapping preserved; secondary ownership amended only where acceptance names the capability.</x:v>
      </x:c>
    </x:row>
    <x:row r="52" ht="26" customHeight="1">
      <x:c r="A52" s="206" t="str">
        <x:v>L6.8</x:v>
      </x:c>
      <x:c r="B52" s="206" t="str">
        <x:v>L6</x:v>
      </x:c>
      <x:c r="C52" s="206" t="str">
        <x:v>Settings, time zone, units, localisation and translation</x:v>
      </x:c>
      <x:c r="D52" s="206" t="str">
        <x:v>Core</x:v>
      </x:c>
      <x:c r="E52" s="206" t="n">
        <x:f>COUNTIF(Backlog!$AA$2:$AA$180,A52)</x:f>
        <x:v>1</x:v>
      </x:c>
      <x:c r="F52" s="206" t="n">
        <x:f>COUNTIFS(Backlog!$AA$2:$AA$180,A52,Backlog!$K$2:$K$180,"Done")</x:f>
        <x:v>0</x:v>
      </x:c>
      <x:c r="G52" s="206" t="n">
        <x:f>E52-F52</x:f>
        <x:v>1</x:v>
      </x:c>
      <x:c r="H52" s="206" t="n">
        <x:f>COUNTIFS(Backlog!$AA$2:$AA$180,A52,Backlog!$B$2:$B$180,"M2")</x:f>
        <x:v>0</x:v>
      </x:c>
      <x:c r="I52" s="206" t="n">
        <x:f>COUNTIFS(Backlog!$AA$2:$AA$180,A52,Backlog!$B$2:$B$180,"M3")</x:f>
        <x:v>1</x:v>
      </x:c>
      <x:c r="J52" s="206" t="str">
        <x:f>TEXTJOIN("; ",TRUE,IFERROR(INDEX(Backlog!$A$2:$A$180,MATCH("T-200",Backlog!$A$2:$A$180,0)),""))</x:f>
        <x:v>T-200</x:v>
      </x:c>
      <x:c r="K52" s="194" t="n">
        <x:f>COUNTIF('Secondary Capability Links'!$B$2:$B$150,A52)</x:f>
        <x:v>1</x:v>
      </x:c>
      <x:c r="L52" s="194" t="n">
        <x:f>COUNTIFS('Secondary Capability Links'!$B$2:$B$150,A52,'Secondary Capability Links'!$C$2:$C$150,"Done")</x:f>
        <x:v>0</x:v>
      </x:c>
      <x:c r="M52" s="194" t="str">
        <x:f>TEXTJOIN("; ",TRUE,IFERROR(INDEX(Backlog!$A$2:$A$180,MATCH("T-266",Backlog!$A$2:$A$180,0)),""))</x:f>
        <x:v>T-266</x:v>
      </x:c>
      <x:c r="N52" s="194" t="str">
        <x:v>Existing primary mapping preserved; secondary ownership amended only where acceptance names the capability.</x:v>
      </x:c>
    </x:row>
    <x:row r="53" ht="26" customHeight="1">
      <x:c r="A53" s="206" t="str">
        <x:v>L7.1</x:v>
      </x:c>
      <x:c r="B53" s="206" t="str">
        <x:v>L7</x:v>
      </x:c>
      <x:c r="C53" s="206" t="str">
        <x:v>Users, roles, permissions, MFA and enterprise identity</x:v>
      </x:c>
      <x:c r="D53" s="206" t="str">
        <x:v>Core</x:v>
      </x:c>
      <x:c r="E53" s="206" t="n">
        <x:f>COUNTIF(Backlog!$AA$2:$AA$180,A53)</x:f>
        <x:v>3</x:v>
      </x:c>
      <x:c r="F53" s="206" t="n">
        <x:f>COUNTIFS(Backlog!$AA$2:$AA$180,A53,Backlog!$K$2:$K$180,"Done")</x:f>
        <x:v>0</x:v>
      </x:c>
      <x:c r="G53" s="206" t="n">
        <x:f>E53-F53</x:f>
        <x:v>3</x:v>
      </x:c>
      <x:c r="H53" s="206" t="n">
        <x:f>COUNTIFS(Backlog!$AA$2:$AA$180,A53,Backlog!$B$2:$B$180,"M2")</x:f>
        <x:v>2</x:v>
      </x:c>
      <x:c r="I53" s="206" t="n">
        <x:f>COUNTIFS(Backlog!$AA$2:$AA$180,A53,Backlog!$B$2:$B$180,"M3")</x:f>
        <x:v>1</x:v>
      </x:c>
      <x:c r="J53" s="206" t="str">
        <x:f>TEXTJOIN("; ",TRUE,IFERROR(INDEX(Backlog!$A$2:$A$180,MATCH("T-119",Backlog!$A$2:$A$180,0)),""),IFERROR(INDEX(Backlog!$A$2:$A$180,MATCH("T-120",Backlog!$A$2:$A$180,0)),""),IFERROR(INDEX(Backlog!$A$2:$A$180,MATCH("T-161",Backlog!$A$2:$A$180,0)),""))</x:f>
        <x:v>T-119; T-120; T-161</x:v>
      </x:c>
      <x:c r="K53" s="194" t="n">
        <x:f>COUNTIF('Secondary Capability Links'!$B$2:$B$150,A53)</x:f>
        <x:v>0</x:v>
      </x:c>
      <x:c r="L53" s="194" t="n">
        <x:f>COUNTIFS('Secondary Capability Links'!$B$2:$B$150,A53,'Secondary Capability Links'!$C$2:$C$150,"Done")</x:f>
        <x:v>0</x:v>
      </x:c>
      <x:c r="M53" s="194" t="str">
        <x:f>""</x:f>
      </x:c>
      <x:c r="N53" s="194" t="str">
        <x:v>Existing primary mapping preserved; secondary ownership amended only where acceptance names the capability.</x:v>
      </x:c>
    </x:row>
    <x:row r="54" ht="26" customHeight="1">
      <x:c r="A54" s="206" t="str">
        <x:v>L7.2</x:v>
      </x:c>
      <x:c r="B54" s="206" t="str">
        <x:v>L7</x:v>
      </x:c>
      <x:c r="C54" s="206" t="str">
        <x:v>Tenant isolation</x:v>
      </x:c>
      <x:c r="D54" s="206" t="str">
        <x:v>Core</x:v>
      </x:c>
      <x:c r="E54" s="206" t="n">
        <x:f>COUNTIF(Backlog!$AA$2:$AA$180,A54)</x:f>
        <x:v>4</x:v>
      </x:c>
      <x:c r="F54" s="206" t="n">
        <x:f>COUNTIFS(Backlog!$AA$2:$AA$180,A54,Backlog!$K$2:$K$180,"Done")</x:f>
        <x:v>0</x:v>
      </x:c>
      <x:c r="G54" s="206" t="n">
        <x:f>E54-F54</x:f>
        <x:v>4</x:v>
      </x:c>
      <x:c r="H54" s="206" t="n">
        <x:f>COUNTIFS(Backlog!$AA$2:$AA$180,A54,Backlog!$B$2:$B$180,"M2")</x:f>
        <x:v>2</x:v>
      </x:c>
      <x:c r="I54" s="206" t="n">
        <x:f>COUNTIFS(Backlog!$AA$2:$AA$180,A54,Backlog!$B$2:$B$180,"M3")</x:f>
        <x:v>2</x:v>
      </x:c>
      <x:c r="J54" s="206" t="str">
        <x:f>TEXTJOIN("; ",TRUE,IFERROR(INDEX(Backlog!$A$2:$A$180,MATCH("T-112",Backlog!$A$2:$A$180,0)),""),IFERROR(INDEX(Backlog!$A$2:$A$180,MATCH("T-114",Backlog!$A$2:$A$180,0)),""),IFERROR(INDEX(Backlog!$A$2:$A$180,MATCH("T-162",Backlog!$A$2:$A$180,0)),""),IFERROR(INDEX(Backlog!$A$2:$A$180,MATCH("T-135",Backlog!$A$2:$A$180,0)),""))</x:f>
        <x:v>T-112; T-114; T-162; T-135</x:v>
      </x:c>
      <x:c r="K54" s="194" t="n">
        <x:f>COUNTIF('Secondary Capability Links'!$B$2:$B$150,A54)</x:f>
        <x:v>0</x:v>
      </x:c>
      <x:c r="L54" s="194" t="n">
        <x:f>COUNTIFS('Secondary Capability Links'!$B$2:$B$150,A54,'Secondary Capability Links'!$C$2:$C$150,"Done")</x:f>
        <x:v>0</x:v>
      </x:c>
      <x:c r="M54" s="194" t="str">
        <x:f>""</x:f>
      </x:c>
      <x:c r="N54" s="194" t="str">
        <x:v>Existing primary mapping preserved; secondary ownership amended only where acceptance names the capability.</x:v>
      </x:c>
    </x:row>
    <x:row r="55" ht="26" customHeight="1">
      <x:c r="A55" s="206" t="str">
        <x:v>L7.3</x:v>
      </x:c>
      <x:c r="B55" s="206" t="str">
        <x:v>L7</x:v>
      </x:c>
      <x:c r="C55" s="206" t="str">
        <x:v>Licence and feature entitlement</x:v>
      </x:c>
      <x:c r="D55" s="206" t="str">
        <x:v>Core</x:v>
      </x:c>
      <x:c r="E55" s="206" t="n">
        <x:f>COUNTIF(Backlog!$AA$2:$AA$180,A55)</x:f>
        <x:v>1</x:v>
      </x:c>
      <x:c r="F55" s="206" t="n">
        <x:f>COUNTIFS(Backlog!$AA$2:$AA$180,A55,Backlog!$K$2:$K$180,"Done")</x:f>
        <x:v>0</x:v>
      </x:c>
      <x:c r="G55" s="206" t="n">
        <x:f>E55-F55</x:f>
        <x:v>1</x:v>
      </x:c>
      <x:c r="H55" s="206" t="n">
        <x:f>COUNTIFS(Backlog!$AA$2:$AA$180,A55,Backlog!$B$2:$B$180,"M2")</x:f>
        <x:v>1</x:v>
      </x:c>
      <x:c r="I55" s="206" t="n">
        <x:f>COUNTIFS(Backlog!$AA$2:$AA$180,A55,Backlog!$B$2:$B$180,"M3")</x:f>
        <x:v>0</x:v>
      </x:c>
      <x:c r="J55" s="206" t="str">
        <x:f>TEXTJOIN("; ",TRUE,IFERROR(INDEX(Backlog!$A$2:$A$180,MATCH("T-121",Backlog!$A$2:$A$180,0)),""))</x:f>
        <x:v>T-121</x:v>
      </x:c>
      <x:c r="K55" s="194" t="n">
        <x:f>COUNTIF('Secondary Capability Links'!$B$2:$B$150,A55)</x:f>
        <x:v>0</x:v>
      </x:c>
      <x:c r="L55" s="194" t="n">
        <x:f>COUNTIFS('Secondary Capability Links'!$B$2:$B$150,A55,'Secondary Capability Links'!$C$2:$C$150,"Done")</x:f>
        <x:v>0</x:v>
      </x:c>
      <x:c r="M55" s="194" t="str">
        <x:f>""</x:f>
      </x:c>
      <x:c r="N55" s="194" t="str">
        <x:v>Existing primary mapping preserved; secondary ownership amended only where acceptance names the capability.</x:v>
      </x:c>
    </x:row>
    <x:row r="56" ht="26" customHeight="1">
      <x:c r="A56" s="206" t="str">
        <x:v>L7.4</x:v>
      </x:c>
      <x:c r="B56" s="206" t="str">
        <x:v>L7</x:v>
      </x:c>
      <x:c r="C56" s="206" t="str">
        <x:v>Authoring quota and capacity guardrail</x:v>
      </x:c>
      <x:c r="D56" s="206" t="str">
        <x:v>Core</x:v>
      </x:c>
      <x:c r="E56" s="206" t="n">
        <x:f>COUNTIF(Backlog!$AA$2:$AA$180,A56)</x:f>
        <x:v>0</x:v>
      </x:c>
      <x:c r="F56" s="206" t="n">
        <x:f>COUNTIFS(Backlog!$AA$2:$AA$180,A56,Backlog!$K$2:$K$180,"Done")</x:f>
        <x:v>0</x:v>
      </x:c>
      <x:c r="G56" s="206" t="n">
        <x:f>E56-F56</x:f>
        <x:v>0</x:v>
      </x:c>
      <x:c r="H56" s="206" t="n">
        <x:f>COUNTIFS(Backlog!$AA$2:$AA$180,A56,Backlog!$B$2:$B$180,"M2")</x:f>
        <x:v>0</x:v>
      </x:c>
      <x:c r="I56" s="206" t="n">
        <x:f>COUNTIFS(Backlog!$AA$2:$AA$180,A56,Backlog!$B$2:$B$180,"M3")</x:f>
        <x:v>0</x:v>
      </x:c>
      <x:c r="J56" s="206" t="str">
        <x:f>""</x:f>
      </x:c>
      <x:c r="K56" s="194" t="n">
        <x:f>COUNTIF('Secondary Capability Links'!$B$2:$B$150,A56)</x:f>
        <x:v>2</x:v>
      </x:c>
      <x:c r="L56" s="194" t="n">
        <x:f>COUNTIFS('Secondary Capability Links'!$B$2:$B$150,A56,'Secondary Capability Links'!$C$2:$C$150,"Done")</x:f>
        <x:v>0</x:v>
      </x:c>
      <x:c r="M56" s="194" t="str">
        <x:f>TEXTJOIN("; ",TRUE,IFERROR(INDEX(Backlog!$A$2:$A$180,MATCH("T-121",Backlog!$A$2:$A$180,0)),""),IFERROR(INDEX(Backlog!$A$2:$A$180,MATCH("T-267",Backlog!$A$2:$A$180,0)),""))</x:f>
        <x:v>T-121; T-267</x:v>
      </x:c>
      <x:c r="N56" s="194" t="str">
        <x:v>Existing primary mapping preserved; secondary ownership amended only where acceptance names the capability.</x:v>
      </x:c>
    </x:row>
    <x:row r="57" ht="26" customHeight="1">
      <x:c r="A57" s="206" t="str">
        <x:v>L7.5</x:v>
      </x:c>
      <x:c r="B57" s="206" t="str">
        <x:v>L7</x:v>
      </x:c>
      <x:c r="C57" s="206" t="str">
        <x:v>Secret and credential management</x:v>
      </x:c>
      <x:c r="D57" s="206" t="str">
        <x:v>Core</x:v>
      </x:c>
      <x:c r="E57" s="206" t="n">
        <x:f>COUNTIF(Backlog!$AA$2:$AA$180,A57)</x:f>
        <x:v>1</x:v>
      </x:c>
      <x:c r="F57" s="206" t="n">
        <x:f>COUNTIFS(Backlog!$AA$2:$AA$180,A57,Backlog!$K$2:$K$180,"Done")</x:f>
        <x:v>0</x:v>
      </x:c>
      <x:c r="G57" s="206" t="n">
        <x:f>E57-F57</x:f>
        <x:v>1</x:v>
      </x:c>
      <x:c r="H57" s="206" t="n">
        <x:f>COUNTIFS(Backlog!$AA$2:$AA$180,A57,Backlog!$B$2:$B$180,"M2")</x:f>
        <x:v>1</x:v>
      </x:c>
      <x:c r="I57" s="206" t="n">
        <x:f>COUNTIFS(Backlog!$AA$2:$AA$180,A57,Backlog!$B$2:$B$180,"M3")</x:f>
        <x:v>0</x:v>
      </x:c>
      <x:c r="J57" s="206" t="str">
        <x:f>TEXTJOIN("; ",TRUE,IFERROR(INDEX(Backlog!$A$2:$A$180,MATCH("T-113",Backlog!$A$2:$A$180,0)),""))</x:f>
        <x:v>T-113</x:v>
      </x:c>
      <x:c r="K57" s="194" t="n">
        <x:f>COUNTIF('Secondary Capability Links'!$B$2:$B$150,A57)</x:f>
        <x:v>1</x:v>
      </x:c>
      <x:c r="L57" s="194" t="n">
        <x:f>COUNTIFS('Secondary Capability Links'!$B$2:$B$150,A57,'Secondary Capability Links'!$C$2:$C$150,"Done")</x:f>
        <x:v>0</x:v>
      </x:c>
      <x:c r="M57" s="194" t="str">
        <x:f>TEXTJOIN("; ",TRUE,IFERROR(INDEX(Backlog!$A$2:$A$180,MATCH("T-162",Backlog!$A$2:$A$180,0)),""))</x:f>
        <x:v>T-162</x:v>
      </x:c>
      <x:c r="N57" s="194" t="str">
        <x:v>Existing primary mapping preserved; secondary ownership amended only where acceptance names the capability.</x:v>
      </x:c>
    </x:row>
    <x:row r="58" ht="26" customHeight="1">
      <x:c r="A58" s="206" t="str">
        <x:v>L7.6</x:v>
      </x:c>
      <x:c r="B58" s="206" t="str">
        <x:v>L7</x:v>
      </x:c>
      <x:c r="C58" s="206" t="str">
        <x:v>Commercial capacity model and licence-price function</x:v>
      </x:c>
      <x:c r="D58" s="206" t="str">
        <x:v>Core</x:v>
      </x:c>
      <x:c r="E58" s="206" t="n">
        <x:f>COUNTIF(Backlog!$AA$2:$AA$180,A58)</x:f>
        <x:v>1</x:v>
      </x:c>
      <x:c r="F58" s="206" t="n">
        <x:f>COUNTIFS(Backlog!$AA$2:$AA$180,A58,Backlog!$K$2:$K$180,"Done")</x:f>
        <x:v>0</x:v>
      </x:c>
      <x:c r="G58" s="206" t="n">
        <x:f>E58-F58</x:f>
        <x:v>1</x:v>
      </x:c>
      <x:c r="H58" s="206" t="n">
        <x:f>COUNTIFS(Backlog!$AA$2:$AA$180,A58,Backlog!$B$2:$B$180,"M2")</x:f>
        <x:v>0</x:v>
      </x:c>
      <x:c r="I58" s="206" t="n">
        <x:f>COUNTIFS(Backlog!$AA$2:$AA$180,A58,Backlog!$B$2:$B$180,"M3")</x:f>
        <x:v>1</x:v>
      </x:c>
      <x:c r="J58" s="206" t="str">
        <x:f>TEXTJOIN("; ",TRUE,IFERROR(INDEX(Backlog!$A$2:$A$180,MATCH("T-165",Backlog!$A$2:$A$180,0)),""))</x:f>
        <x:v>T-165</x:v>
      </x:c>
      <x:c r="K58" s="194" t="n">
        <x:f>COUNTIF('Secondary Capability Links'!$B$2:$B$150,A58)</x:f>
        <x:v>0</x:v>
      </x:c>
      <x:c r="L58" s="194" t="n">
        <x:f>COUNTIFS('Secondary Capability Links'!$B$2:$B$150,A58,'Secondary Capability Links'!$C$2:$C$150,"Done")</x:f>
        <x:v>0</x:v>
      </x:c>
      <x:c r="M58" s="194" t="str">
        <x:f>""</x:f>
      </x:c>
      <x:c r="N58" s="194" t="str">
        <x:v>Existing primary mapping preserved; secondary ownership amended only where acceptance names the capability.</x:v>
      </x:c>
    </x:row>
    <x:row r="59" ht="26" customHeight="1">
      <x:c r="A59" s="206" t="str">
        <x:v>L7.7</x:v>
      </x:c>
      <x:c r="B59" s="206" t="str">
        <x:v>L7</x:v>
      </x:c>
      <x:c r="C59" s="206" t="str">
        <x:v>Infrastructure cost formula</x:v>
      </x:c>
      <x:c r="D59" s="206" t="str">
        <x:v>Core</x:v>
      </x:c>
      <x:c r="E59" s="206" t="n">
        <x:f>COUNTIF(Backlog!$AA$2:$AA$180,A59)</x:f>
        <x:v>0</x:v>
      </x:c>
      <x:c r="F59" s="206" t="n">
        <x:f>COUNTIFS(Backlog!$AA$2:$AA$180,A59,Backlog!$K$2:$K$180,"Done")</x:f>
        <x:v>0</x:v>
      </x:c>
      <x:c r="G59" s="206" t="n">
        <x:f>E59-F59</x:f>
        <x:v>0</x:v>
      </x:c>
      <x:c r="H59" s="206" t="n">
        <x:f>COUNTIFS(Backlog!$AA$2:$AA$180,A59,Backlog!$B$2:$B$180,"M2")</x:f>
        <x:v>0</x:v>
      </x:c>
      <x:c r="I59" s="206" t="n">
        <x:f>COUNTIFS(Backlog!$AA$2:$AA$180,A59,Backlog!$B$2:$B$180,"M3")</x:f>
        <x:v>0</x:v>
      </x:c>
      <x:c r="J59" s="206" t="str">
        <x:f>""</x:f>
      </x:c>
      <x:c r="K59" s="194" t="n">
        <x:f>COUNTIF('Secondary Capability Links'!$B$2:$B$150,A59)</x:f>
        <x:v>1</x:v>
      </x:c>
      <x:c r="L59" s="194" t="n">
        <x:f>COUNTIFS('Secondary Capability Links'!$B$2:$B$150,A59,'Secondary Capability Links'!$C$2:$C$150,"Done")</x:f>
        <x:v>0</x:v>
      </x:c>
      <x:c r="M59" s="194" t="str">
        <x:f>TEXTJOIN("; ",TRUE,IFERROR(INDEX(Backlog!$A$2:$A$180,MATCH("T-165",Backlog!$A$2:$A$180,0)),""))</x:f>
        <x:v>T-165</x:v>
      </x:c>
      <x:c r="N59" s="194" t="str">
        <x:v>Existing primary mapping preserved; secondary ownership amended only where acceptance names the capability.</x:v>
      </x:c>
    </x:row>
    <x:row r="60" ht="26" customHeight="1">
      <x:c r="A60" s="206" t="str">
        <x:v>L7.8</x:v>
      </x:c>
      <x:c r="B60" s="206" t="str">
        <x:v>L7</x:v>
      </x:c>
      <x:c r="C60" s="206" t="str">
        <x:v>Sales Administration and sales-to-engineering handover</x:v>
      </x:c>
      <x:c r="D60" s="206" t="str">
        <x:v>Core</x:v>
      </x:c>
      <x:c r="E60" s="206" t="n">
        <x:f>COUNTIF(Backlog!$AA$2:$AA$180,A60)</x:f>
        <x:v>2</x:v>
      </x:c>
      <x:c r="F60" s="206" t="n">
        <x:f>COUNTIFS(Backlog!$AA$2:$AA$180,A60,Backlog!$K$2:$K$180,"Done")</x:f>
        <x:v>0</x:v>
      </x:c>
      <x:c r="G60" s="206" t="n">
        <x:f>E60-F60</x:f>
        <x:v>2</x:v>
      </x:c>
      <x:c r="H60" s="206" t="n">
        <x:f>COUNTIFS(Backlog!$AA$2:$AA$180,A60,Backlog!$B$2:$B$180,"M2")</x:f>
        <x:v>1</x:v>
      </x:c>
      <x:c r="I60" s="206" t="n">
        <x:f>COUNTIFS(Backlog!$AA$2:$AA$180,A60,Backlog!$B$2:$B$180,"M3")</x:f>
        <x:v>1</x:v>
      </x:c>
      <x:c r="J60" s="206" t="str">
        <x:f>TEXTJOIN("; ",TRUE,IFERROR(INDEX(Backlog!$A$2:$A$180,MATCH("T-126",Backlog!$A$2:$A$180,0)),""),IFERROR(INDEX(Backlog!$A$2:$A$180,MATCH("T-167",Backlog!$A$2:$A$180,0)),""))</x:f>
        <x:v>T-126; T-167</x:v>
      </x:c>
      <x:c r="K60" s="194" t="n">
        <x:f>COUNTIF('Secondary Capability Links'!$B$2:$B$150,A60)</x:f>
        <x:v>1</x:v>
      </x:c>
      <x:c r="L60" s="194" t="n">
        <x:f>COUNTIFS('Secondary Capability Links'!$B$2:$B$150,A60,'Secondary Capability Links'!$C$2:$C$150,"Done")</x:f>
        <x:v>1</x:v>
      </x:c>
      <x:c r="M60" s="194" t="str">
        <x:f>TEXTJOIN("; ",TRUE,IFERROR(INDEX(Backlog!$A$2:$A$180,MATCH("T-213",Backlog!$A$2:$A$180,0)),""))</x:f>
        <x:v>T-213</x:v>
      </x:c>
      <x:c r="N60" s="194" t="str">
        <x:v>Existing primary mapping preserved; secondary ownership amended only where acceptance names the capability.</x:v>
      </x:c>
    </x:row>
    <x:row r="61" ht="26" customHeight="1">
      <x:c r="A61" s="206" t="str">
        <x:v>L8.1</x:v>
      </x:c>
      <x:c r="B61" s="206" t="str">
        <x:v>L8</x:v>
      </x:c>
      <x:c r="C61" s="206" t="str">
        <x:v>Fresh install and upgrade authority</x:v>
      </x:c>
      <x:c r="D61" s="206" t="str">
        <x:v>Core</x:v>
      </x:c>
      <x:c r="E61" s="206" t="n">
        <x:f>COUNTIF(Backlog!$AA$2:$AA$180,A61)</x:f>
        <x:v>4</x:v>
      </x:c>
      <x:c r="F61" s="206" t="n">
        <x:f>COUNTIFS(Backlog!$AA$2:$AA$180,A61,Backlog!$K$2:$K$180,"Done")</x:f>
        <x:v>2</x:v>
      </x:c>
      <x:c r="G61" s="206" t="n">
        <x:f>E61-F61</x:f>
        <x:v>2</x:v>
      </x:c>
      <x:c r="H61" s="206" t="n">
        <x:f>COUNTIFS(Backlog!$AA$2:$AA$180,A61,Backlog!$B$2:$B$180,"M2")</x:f>
        <x:v>4</x:v>
      </x:c>
      <x:c r="I61" s="206" t="n">
        <x:f>COUNTIFS(Backlog!$AA$2:$AA$180,A61,Backlog!$B$2:$B$180,"M3")</x:f>
        <x:v>0</x:v>
      </x:c>
      <x:c r="J61" s="206" t="str">
        <x:f>TEXTJOIN("; ",TRUE,IFERROR(INDEX(Backlog!$A$2:$A$180,MATCH("T-088",Backlog!$A$2:$A$180,0)),""),IFERROR(INDEX(Backlog!$A$2:$A$180,MATCH("T-260",Backlog!$A$2:$A$180,0)),""),IFERROR(INDEX(Backlog!$A$2:$A$180,MATCH("T-115",Backlog!$A$2:$A$180,0)),""),IFERROR(INDEX(Backlog!$A$2:$A$180,MATCH("T-123",Backlog!$A$2:$A$180,0)),""))</x:f>
        <x:v>T-088; T-260; T-115; T-123</x:v>
      </x:c>
      <x:c r="K61" s="194" t="n">
        <x:f>COUNTIF('Secondary Capability Links'!$B$2:$B$150,A61)</x:f>
        <x:v>1</x:v>
      </x:c>
      <x:c r="L61" s="194" t="n">
        <x:f>COUNTIFS('Secondary Capability Links'!$B$2:$B$150,A61,'Secondary Capability Links'!$C$2:$C$150,"Done")</x:f>
        <x:v>1</x:v>
      </x:c>
      <x:c r="M61" s="194" t="str">
        <x:f>TEXTJOIN("; ",TRUE,IFERROR(INDEX(Backlog!$A$2:$A$180,MATCH("T-251",Backlog!$A$2:$A$180,0)),""))</x:f>
        <x:v>T-251</x:v>
      </x:c>
      <x:c r="N61" s="194" t="str">
        <x:v>Existing primary mapping preserved; secondary ownership amended only where acceptance names the capability.</x:v>
      </x:c>
    </x:row>
    <x:row r="62" ht="26" customHeight="1">
      <x:c r="A62" s="206" t="str">
        <x:v>L8.2</x:v>
      </x:c>
      <x:c r="B62" s="206" t="str">
        <x:v>L8</x:v>
      </x:c>
      <x:c r="C62" s="206" t="str">
        <x:v>Test architecture with disposable isolated databases</x:v>
      </x:c>
      <x:c r="D62" s="206" t="str">
        <x:v>Core</x:v>
      </x:c>
      <x:c r="E62" s="206" t="n">
        <x:f>COUNTIF(Backlog!$AA$2:$AA$180,A62)</x:f>
        <x:v>4</x:v>
      </x:c>
      <x:c r="F62" s="206" t="n">
        <x:f>COUNTIFS(Backlog!$AA$2:$AA$180,A62,Backlog!$K$2:$K$180,"Done")</x:f>
        <x:v>4</x:v>
      </x:c>
      <x:c r="G62" s="206" t="n">
        <x:f>E62-F62</x:f>
        <x:v>0</x:v>
      </x:c>
      <x:c r="H62" s="206" t="n">
        <x:f>COUNTIFS(Backlog!$AA$2:$AA$180,A62,Backlog!$B$2:$B$180,"M2")</x:f>
        <x:v>4</x:v>
      </x:c>
      <x:c r="I62" s="206" t="n">
        <x:f>COUNTIFS(Backlog!$AA$2:$AA$180,A62,Backlog!$B$2:$B$180,"M3")</x:f>
        <x:v>0</x:v>
      </x:c>
      <x:c r="J62" s="206" t="str">
        <x:f>TEXTJOIN("; ",TRUE,IFERROR(INDEX(Backlog!$A$2:$A$180,MATCH("T-205",Backlog!$A$2:$A$180,0)),""),IFERROR(INDEX(Backlog!$A$2:$A$180,MATCH("T-208",Backlog!$A$2:$A$180,0)),""),IFERROR(INDEX(Backlog!$A$2:$A$180,MATCH("T-250",Backlog!$A$2:$A$180,0)),""),IFERROR(INDEX(Backlog!$A$2:$A$180,MATCH("T-252",Backlog!$A$2:$A$180,0)),""))</x:f>
        <x:v>T-205; T-208; T-250; T-252</x:v>
      </x:c>
      <x:c r="K62" s="194" t="n">
        <x:f>COUNTIF('Secondary Capability Links'!$B$2:$B$150,A62)</x:f>
        <x:v>3</x:v>
      </x:c>
      <x:c r="L62" s="194" t="n">
        <x:f>COUNTIFS('Secondary Capability Links'!$B$2:$B$150,A62,'Secondary Capability Links'!$C$2:$C$150,"Done")</x:f>
        <x:v>1</x:v>
      </x:c>
      <x:c r="M62" s="194" t="str">
        <x:f>TEXTJOIN("; ",TRUE,IFERROR(INDEX(Backlog!$A$2:$A$180,MATCH("T-260",Backlog!$A$2:$A$180,0)),""),IFERROR(INDEX(Backlog!$A$2:$A$180,MATCH("T-115",Backlog!$A$2:$A$180,0)),""),IFERROR(INDEX(Backlog!$A$2:$A$180,MATCH("T-257",Backlog!$A$2:$A$180,0)),""))</x:f>
        <x:v>T-260; T-115; T-257</x:v>
      </x:c>
      <x:c r="N62" s="194" t="str">
        <x:v>Existing primary mapping preserved; secondary ownership amended only where acceptance names the capability.</x:v>
      </x:c>
    </x:row>
    <x:row r="63" ht="26" customHeight="1">
      <x:c r="A63" s="206" t="str">
        <x:v>L8.3</x:v>
      </x:c>
      <x:c r="B63" s="206" t="str">
        <x:v>L8</x:v>
      </x:c>
      <x:c r="C63" s="206" t="str">
        <x:v>Deployment topologies</x:v>
      </x:c>
      <x:c r="D63" s="206" t="str">
        <x:v>Core</x:v>
      </x:c>
      <x:c r="E63" s="206" t="n">
        <x:f>COUNTIF(Backlog!$AA$2:$AA$180,A63)</x:f>
        <x:v>1</x:v>
      </x:c>
      <x:c r="F63" s="206" t="n">
        <x:f>COUNTIFS(Backlog!$AA$2:$AA$180,A63,Backlog!$K$2:$K$180,"Done")</x:f>
        <x:v>0</x:v>
      </x:c>
      <x:c r="G63" s="206" t="n">
        <x:f>E63-F63</x:f>
        <x:v>1</x:v>
      </x:c>
      <x:c r="H63" s="206" t="n">
        <x:f>COUNTIFS(Backlog!$AA$2:$AA$180,A63,Backlog!$B$2:$B$180,"M2")</x:f>
        <x:v>0</x:v>
      </x:c>
      <x:c r="I63" s="206" t="n">
        <x:f>COUNTIFS(Backlog!$AA$2:$AA$180,A63,Backlog!$B$2:$B$180,"M3")</x:f>
        <x:v>1</x:v>
      </x:c>
      <x:c r="J63" s="206" t="str">
        <x:f>TEXTJOIN("; ",TRUE,IFERROR(INDEX(Backlog!$A$2:$A$180,MATCH("T-122",Backlog!$A$2:$A$180,0)),""))</x:f>
        <x:v>T-122</x:v>
      </x:c>
      <x:c r="K63" s="194" t="n">
        <x:f>COUNTIF('Secondary Capability Links'!$B$2:$B$150,A63)</x:f>
        <x:v>1</x:v>
      </x:c>
      <x:c r="L63" s="194" t="n">
        <x:f>COUNTIFS('Secondary Capability Links'!$B$2:$B$150,A63,'Secondary Capability Links'!$C$2:$C$150,"Done")</x:f>
        <x:v>0</x:v>
      </x:c>
      <x:c r="M63" s="194" t="str">
        <x:f>TEXTJOIN("; ",TRUE,IFERROR(INDEX(Backlog!$A$2:$A$180,MATCH("T-123",Backlog!$A$2:$A$180,0)),""))</x:f>
        <x:v>T-123</x:v>
      </x:c>
      <x:c r="N63" s="194" t="str">
        <x:v>Existing primary mapping preserved; secondary ownership amended only where acceptance names the capability.</x:v>
      </x:c>
    </x:row>
    <x:row r="64" ht="26" customHeight="1">
      <x:c r="A64" s="206" t="str">
        <x:v>L8.4</x:v>
      </x:c>
      <x:c r="B64" s="206" t="str">
        <x:v>L8</x:v>
      </x:c>
      <x:c r="C64" s="206" t="str">
        <x:v>Execution lanes, admission and resource isolation</x:v>
      </x:c>
      <x:c r="D64" s="206" t="str">
        <x:v>Core</x:v>
      </x:c>
      <x:c r="E64" s="206" t="n">
        <x:f>COUNTIF(Backlog!$AA$2:$AA$180,A64)</x:f>
        <x:v>1</x:v>
      </x:c>
      <x:c r="F64" s="206" t="n">
        <x:f>COUNTIFS(Backlog!$AA$2:$AA$180,A64,Backlog!$K$2:$K$180,"Done")</x:f>
        <x:v>0</x:v>
      </x:c>
      <x:c r="G64" s="206" t="n">
        <x:f>E64-F64</x:f>
        <x:v>1</x:v>
      </x:c>
      <x:c r="H64" s="206" t="n">
        <x:f>COUNTIFS(Backlog!$AA$2:$AA$180,A64,Backlog!$B$2:$B$180,"M2")</x:f>
        <x:v>1</x:v>
      </x:c>
      <x:c r="I64" s="206" t="n">
        <x:f>COUNTIFS(Backlog!$AA$2:$AA$180,A64,Backlog!$B$2:$B$180,"M3")</x:f>
        <x:v>0</x:v>
      </x:c>
      <x:c r="J64" s="206" t="str">
        <x:f>TEXTJOIN("; ",TRUE,IFERROR(INDEX(Backlog!$A$2:$A$180,MATCH("T-107",Backlog!$A$2:$A$180,0)),""))</x:f>
        <x:v>T-107</x:v>
      </x:c>
      <x:c r="K64" s="194" t="n">
        <x:f>COUNTIF('Secondary Capability Links'!$B$2:$B$150,A64)</x:f>
        <x:v>3</x:v>
      </x:c>
      <x:c r="L64" s="194" t="n">
        <x:f>COUNTIFS('Secondary Capability Links'!$B$2:$B$150,A64,'Secondary Capability Links'!$C$2:$C$150,"Done")</x:f>
        <x:v>1</x:v>
      </x:c>
      <x:c r="M64" s="194" t="str">
        <x:f>TEXTJOIN("; ",TRUE,IFERROR(INDEX(Backlog!$A$2:$A$180,MATCH("T-168",Backlog!$A$2:$A$180,0)),""),IFERROR(INDEX(Backlog!$A$2:$A$180,MATCH("T-110",Backlog!$A$2:$A$180,0)),""),IFERROR(INDEX(Backlog!$A$2:$A$180,MATCH("T-155",Backlog!$A$2:$A$180,0)),""))</x:f>
        <x:v>T-168; T-110; T-155</x:v>
      </x:c>
      <x:c r="N64" s="194" t="str">
        <x:v>Existing primary mapping preserved; secondary ownership amended only where acceptance names the capability.</x:v>
      </x:c>
    </x:row>
    <x:row r="65" ht="26" customHeight="1">
      <x:c r="A65" s="206" t="str">
        <x:v>L8.5</x:v>
      </x:c>
      <x:c r="B65" s="206" t="str">
        <x:v>L8</x:v>
      </x:c>
      <x:c r="C65" s="206" t="str">
        <x:v>Sizing model and calibrated performance constants</x:v>
      </x:c>
      <x:c r="D65" s="206" t="str">
        <x:v>Core</x:v>
      </x:c>
      <x:c r="E65" s="206" t="n">
        <x:f>COUNTIF(Backlog!$AA$2:$AA$180,A65)</x:f>
        <x:v>3</x:v>
      </x:c>
      <x:c r="F65" s="206" t="n">
        <x:f>COUNTIFS(Backlog!$AA$2:$AA$180,A65,Backlog!$K$2:$K$180,"Done")</x:f>
        <x:v>1</x:v>
      </x:c>
      <x:c r="G65" s="206" t="n">
        <x:f>E65-F65</x:f>
        <x:v>2</x:v>
      </x:c>
      <x:c r="H65" s="206" t="n">
        <x:f>COUNTIFS(Backlog!$AA$2:$AA$180,A65,Backlog!$B$2:$B$180,"M2")</x:f>
        <x:v>1</x:v>
      </x:c>
      <x:c r="I65" s="206" t="n">
        <x:f>COUNTIFS(Backlog!$AA$2:$AA$180,A65,Backlog!$B$2:$B$180,"M3")</x:f>
        <x:v>2</x:v>
      </x:c>
      <x:c r="J65" s="206" t="str">
        <x:f>TEXTJOIN("; ",TRUE,IFERROR(INDEX(Backlog!$A$2:$A$180,MATCH("T-182",Backlog!$A$2:$A$180,0)),""),IFERROR(INDEX(Backlog!$A$2:$A$180,MATCH("T-154",Backlog!$A$2:$A$180,0)),""),IFERROR(INDEX(Backlog!$A$2:$A$180,MATCH("T-155",Backlog!$A$2:$A$180,0)),""))</x:f>
        <x:v>T-182; T-154; T-155</x:v>
      </x:c>
      <x:c r="K65" s="194" t="n">
        <x:f>COUNTIF('Secondary Capability Links'!$B$2:$B$150,A65)</x:f>
        <x:v>1</x:v>
      </x:c>
      <x:c r="L65" s="194" t="n">
        <x:f>COUNTIFS('Secondary Capability Links'!$B$2:$B$150,A65,'Secondary Capability Links'!$C$2:$C$150,"Done")</x:f>
        <x:v>0</x:v>
      </x:c>
      <x:c r="M65" s="194" t="str">
        <x:f>TEXTJOIN("; ",TRUE,IFERROR(INDEX(Backlog!$A$2:$A$180,MATCH("T-159",Backlog!$A$2:$A$180,0)),""))</x:f>
        <x:v>T-159</x:v>
      </x:c>
      <x:c r="N65" s="194" t="str">
        <x:v>Existing primary mapping preserved; secondary ownership amended only where acceptance names the capability.</x:v>
      </x:c>
    </x:row>
    <x:row r="66" ht="26" customHeight="1">
      <x:c r="A66" s="206" t="str">
        <x:v>L8.6</x:v>
      </x:c>
      <x:c r="B66" s="206" t="str">
        <x:v>L8</x:v>
      </x:c>
      <x:c r="C66" s="206" t="str">
        <x:v>Monitoring, observability, health and readiness</x:v>
      </x:c>
      <x:c r="D66" s="206" t="str">
        <x:v>Core</x:v>
      </x:c>
      <x:c r="E66" s="206" t="n">
        <x:f>COUNTIF(Backlog!$AA$2:$AA$180,A66)</x:f>
        <x:v>2</x:v>
      </x:c>
      <x:c r="F66" s="206" t="n">
        <x:f>COUNTIFS(Backlog!$AA$2:$AA$180,A66,Backlog!$K$2:$K$180,"Done")</x:f>
        <x:v>0</x:v>
      </x:c>
      <x:c r="G66" s="206" t="n">
        <x:f>E66-F66</x:f>
        <x:v>2</x:v>
      </x:c>
      <x:c r="H66" s="206" t="n">
        <x:f>COUNTIFS(Backlog!$AA$2:$AA$180,A66,Backlog!$B$2:$B$180,"M2")</x:f>
        <x:v>1</x:v>
      </x:c>
      <x:c r="I66" s="206" t="n">
        <x:f>COUNTIFS(Backlog!$AA$2:$AA$180,A66,Backlog!$B$2:$B$180,"M3")</x:f>
        <x:v>1</x:v>
      </x:c>
      <x:c r="J66" s="206" t="str">
        <x:f>TEXTJOIN("; ",TRUE,IFERROR(INDEX(Backlog!$A$2:$A$180,MATCH("T-125",Backlog!$A$2:$A$180,0)),""),IFERROR(INDEX(Backlog!$A$2:$A$180,MATCH("T-163",Backlog!$A$2:$A$180,0)),""))</x:f>
        <x:v>T-125; T-163</x:v>
      </x:c>
      <x:c r="K66" s="194" t="n">
        <x:f>COUNTIF('Secondary Capability Links'!$B$2:$B$150,A66)</x:f>
        <x:v>1</x:v>
      </x:c>
      <x:c r="L66" s="194" t="n">
        <x:f>COUNTIFS('Secondary Capability Links'!$B$2:$B$150,A66,'Secondary Capability Links'!$C$2:$C$150,"Done")</x:f>
        <x:v>0</x:v>
      </x:c>
      <x:c r="M66" s="194" t="str">
        <x:f>TEXTJOIN("; ",TRUE,IFERROR(INDEX(Backlog!$A$2:$A$180,MATCH("T-141",Backlog!$A$2:$A$180,0)),""))</x:f>
        <x:v>T-141</x:v>
      </x:c>
      <x:c r="N66" s="194" t="str">
        <x:v>Existing primary mapping preserved; secondary ownership amended only where acceptance names the capability.</x:v>
      </x:c>
    </x:row>
    <x:row r="67" ht="26" customHeight="1">
      <x:c r="A67" s="206" t="str">
        <x:v>L8.7</x:v>
      </x:c>
      <x:c r="B67" s="206" t="str">
        <x:v>L8</x:v>
      </x:c>
      <x:c r="C67" s="206" t="str">
        <x:v>Backup, restore, PITR, DR and HA</x:v>
      </x:c>
      <x:c r="D67" s="206" t="str">
        <x:v>Core</x:v>
      </x:c>
      <x:c r="E67" s="206" t="n">
        <x:f>COUNTIF(Backlog!$AA$2:$AA$180,A67)</x:f>
        <x:v>2</x:v>
      </x:c>
      <x:c r="F67" s="206" t="n">
        <x:f>COUNTIFS(Backlog!$AA$2:$AA$180,A67,Backlog!$K$2:$K$180,"Done")</x:f>
        <x:v>0</x:v>
      </x:c>
      <x:c r="G67" s="206" t="n">
        <x:f>E67-F67</x:f>
        <x:v>2</x:v>
      </x:c>
      <x:c r="H67" s="206" t="n">
        <x:f>COUNTIFS(Backlog!$AA$2:$AA$180,A67,Backlog!$B$2:$B$180,"M2")</x:f>
        <x:v>1</x:v>
      </x:c>
      <x:c r="I67" s="206" t="n">
        <x:f>COUNTIFS(Backlog!$AA$2:$AA$180,A67,Backlog!$B$2:$B$180,"M3")</x:f>
        <x:v>1</x:v>
      </x:c>
      <x:c r="J67" s="206" t="str">
        <x:f>TEXTJOIN("; ",TRUE,IFERROR(INDEX(Backlog!$A$2:$A$180,MATCH("T-124",Backlog!$A$2:$A$180,0)),""),IFERROR(INDEX(Backlog!$A$2:$A$180,MATCH("T-160",Backlog!$A$2:$A$180,0)),""))</x:f>
        <x:v>T-124; T-160</x:v>
      </x:c>
      <x:c r="K67" s="194" t="n">
        <x:f>COUNTIF('Secondary Capability Links'!$B$2:$B$150,A67)</x:f>
        <x:v>0</x:v>
      </x:c>
      <x:c r="L67" s="194" t="n">
        <x:f>COUNTIFS('Secondary Capability Links'!$B$2:$B$150,A67,'Secondary Capability Links'!$C$2:$C$150,"Done")</x:f>
        <x:v>0</x:v>
      </x:c>
      <x:c r="M67" s="194" t="str">
        <x:f>""</x:f>
      </x:c>
      <x:c r="N67" s="194" t="str">
        <x:v>Existing primary mapping preserved; secondary ownership amended only where acceptance names the capability.</x:v>
      </x:c>
    </x:row>
    <x:row r="68" ht="26" customHeight="1">
      <x:c r="A68" s="206" t="str">
        <x:v>L8.8</x:v>
      </x:c>
      <x:c r="B68" s="206" t="str">
        <x:v>L8</x:v>
      </x:c>
      <x:c r="C68" s="206" t="str">
        <x:v>C1-C4 performance certification and golden-journey release gate</x:v>
      </x:c>
      <x:c r="D68" s="206" t="str">
        <x:v>Core</x:v>
      </x:c>
      <x:c r="E68" s="206" t="n">
        <x:f>COUNTIF(Backlog!$AA$2:$AA$180,A68)</x:f>
        <x:v>18</x:v>
      </x:c>
      <x:c r="F68" s="206" t="n">
        <x:f>COUNTIFS(Backlog!$AA$2:$AA$180,A68,Backlog!$K$2:$K$180,"Done")</x:f>
        <x:v>5</x:v>
      </x:c>
      <x:c r="G68" s="206" t="n">
        <x:f>E68-F68</x:f>
        <x:v>13</x:v>
      </x:c>
      <x:c r="H68" s="206" t="n">
        <x:f>COUNTIFS(Backlog!$AA$2:$AA$180,A68,Backlog!$B$2:$B$180,"M2")</x:f>
        <x:v>9</x:v>
      </x:c>
      <x:c r="I68" s="206" t="n">
        <x:f>COUNTIFS(Backlog!$AA$2:$AA$180,A68,Backlog!$B$2:$B$180,"M3")</x:f>
        <x:v>9</x:v>
      </x:c>
      <x:c r="J68" s="206" t="str">
        <x:f>TEXTJOIN("; ",TRUE,IFERROR(INDEX(Backlog!$A$2:$A$180,MATCH("T-086",Backlog!$A$2:$A$180,0)),""),IFERROR(INDEX(Backlog!$A$2:$A$180,MATCH("T-201",Backlog!$A$2:$A$180,0)),""),IFERROR(INDEX(Backlog!$A$2:$A$180,MATCH("T-202",Backlog!$A$2:$A$180,0)),""),IFERROR(INDEX(Backlog!$A$2:$A$180,MATCH("T-203",Backlog!$A$2:$A$180,0)),""),IFERROR(INDEX(Backlog!$A$2:$A$180,MATCH("T-259",Backlog!$A$2:$A$180,0)),""),IFERROR(INDEX(Backlog!$A$2:$A$180,MATCH("T-247",Backlog!$A$2:$A$180,0)),""),IFERROR(INDEX(Backlog!$A$2:$A$180,MATCH("T-150",Backlog!$A$2:$A$180,0)),""),IFERROR(INDEX(Backlog!$A$2:$A$180,MATCH("T-227",Backlog!$A$2:$A$180,0)),""),IFERROR(INDEX(Backlog!$A$2:$A$180,MATCH("T-257",Backlog!$A$2:$A$180,0)),""),IFERROR(INDEX(Backlog!$A$2:$A$180,MATCH("T-151",Backlog!$A$2:$A$180,0)),""),IFERROR(INDEX(Backlog!$A$2:$A$180,MATCH("T-159",Backlog!$A$2:$A$180,0)),""),IFERROR(INDEX(Backlog!$A$2:$A$180,MATCH("T-116",Backlog!$A$2:$A$180,0)),""),IFERROR(INDEX(Backlog!$A$2:$A$180,MATCH("T-117",Backlog!$A$2:$A$180,0)),""),IFERROR(INDEX(Backlog!$A$2:$A$180,MATCH("T-127",Backlog!$A$2:$A$180,0)),""),IFERROR(INDEX(Backlog!$A$2:$A$180,MATCH("T-149",Backlog!$A$2:$A$180,0)),""),IFERROR(INDEX(Backlog!$A$2:$A$180,MATCH("T-194",Backlog!$A$2:$A$180,0)),""),IFERROR(INDEX(Backlog!$A$2:$A$180,MATCH("T-192",Backlog!$A$2:$A$180,0)),""),IFERROR(INDEX(Backlog!$A$2:$A$180,MATCH("T-249",Backlog!$A$2:$A$180,0)),""))</x:f>
        <x:v>T-086; T-201; T-202; T-203; T-259; T-247; T-150; T-227; T-257; T-151; T-159; T-116; T-117; T-127; T-149; T-194; T-192; T-249</x:v>
      </x:c>
      <x:c r="K68" s="194" t="n">
        <x:f>COUNTIF('Secondary Capability Links'!$B$2:$B$150,A68)</x:f>
        <x:v>3</x:v>
      </x:c>
      <x:c r="L68" s="194" t="n">
        <x:f>COUNTIFS('Secondary Capability Links'!$B$2:$B$150,A68,'Secondary Capability Links'!$C$2:$C$150,"Done")</x:f>
        <x:v>0</x:v>
      </x:c>
      <x:c r="M68" s="194" t="str">
        <x:f>TEXTJOIN("; ",TRUE,IFERROR(INDEX(Backlog!$A$2:$A$180,MATCH("T-126",Backlog!$A$2:$A$180,0)),""),IFERROR(INDEX(Backlog!$A$2:$A$180,MATCH("T-152",Backlog!$A$2:$A$180,0)),""),IFERROR(INDEX(Backlog!$A$2:$A$180,MATCH("T-167",Backlog!$A$2:$A$180,0)),""))</x:f>
        <x:v>T-126; T-152; T-167</x:v>
      </x:c>
      <x:c r="N68" s="194" t="str">
        <x:v>Existing primary mapping preserved; secondary ownership amended only where acceptance names the capability.</x:v>
      </x:c>
    </x:row>
    <x:row r="69" ht="26" customHeight="1">
      <x:c r="A69" s="206" t="str">
        <x:v>L9.1</x:v>
      </x:c>
      <x:c r="B69" s="206" t="str">
        <x:v>L9</x:v>
      </x:c>
      <x:c r="C69" s="206" t="str">
        <x:v>Performance Reference</x:v>
      </x:c>
      <x:c r="D69" s="206" t="str">
        <x:v>Core</x:v>
      </x:c>
      <x:c r="E69" s="206" t="n">
        <x:f>COUNTIF(Backlog!$AA$2:$AA$180,A69)</x:f>
        <x:v>3</x:v>
      </x:c>
      <x:c r="F69" s="206" t="n">
        <x:f>COUNTIFS(Backlog!$AA$2:$AA$180,A69,Backlog!$K$2:$K$180,"Done")</x:f>
        <x:v>0</x:v>
      </x:c>
      <x:c r="G69" s="206" t="n">
        <x:f>E69-F69</x:f>
        <x:v>3</x:v>
      </x:c>
      <x:c r="H69" s="206" t="n">
        <x:f>COUNTIFS(Backlog!$AA$2:$AA$180,A69,Backlog!$B$2:$B$180,"M2")</x:f>
        <x:v>3</x:v>
      </x:c>
      <x:c r="I69" s="206" t="n">
        <x:f>COUNTIFS(Backlog!$AA$2:$AA$180,A69,Backlog!$B$2:$B$180,"M3")</x:f>
        <x:v>0</x:v>
      </x:c>
      <x:c r="J69" s="206" t="str">
        <x:f>TEXTJOIN("; ",TRUE,IFERROR(INDEX(Backlog!$A$2:$A$180,MATCH("T-232",Backlog!$A$2:$A$180,0)),""),IFERROR(INDEX(Backlog!$A$2:$A$180,MATCH("T-215",Backlog!$A$2:$A$180,0)),""),IFERROR(INDEX(Backlog!$A$2:$A$180,MATCH("T-214",Backlog!$A$2:$A$180,0)),""))</x:f>
        <x:v>T-232; T-215; T-214</x:v>
      </x:c>
      <x:c r="K69" s="194" t="n">
        <x:f>COUNTIF('Secondary Capability Links'!$B$2:$B$150,A69)</x:f>
        <x:v>2</x:v>
      </x:c>
      <x:c r="L69" s="194" t="n">
        <x:f>COUNTIFS('Secondary Capability Links'!$B$2:$B$150,A69,'Secondary Capability Links'!$C$2:$C$150,"Done")</x:f>
        <x:v>0</x:v>
      </x:c>
      <x:c r="M69" s="194" t="str">
        <x:f>TEXTJOIN("; ",TRUE,IFERROR(INDEX(Backlog!$A$2:$A$180,MATCH("T-223",Backlog!$A$2:$A$180,0)),""),IFERROR(INDEX(Backlog!$A$2:$A$180,MATCH("T-264",Backlog!$A$2:$A$180,0)),""))</x:f>
        <x:v>T-223; T-264</x:v>
      </x:c>
      <x:c r="N69" s="194" t="str">
        <x:v>Existing primary mapping preserved; secondary ownership amended only where acceptance names the capability.</x:v>
      </x:c>
    </x:row>
    <x:row r="70" ht="26" customHeight="1">
      <x:c r="A70" s="206" t="str">
        <x:v>L9.2</x:v>
      </x:c>
      <x:c r="B70" s="206" t="str">
        <x:v>L9</x:v>
      </x:c>
      <x:c r="C70" s="206" t="str">
        <x:v>Suggestion generation from findings</x:v>
      </x:c>
      <x:c r="D70" s="206" t="str">
        <x:v>Core</x:v>
      </x:c>
      <x:c r="E70" s="206" t="n">
        <x:f>COUNTIF(Backlog!$AA$2:$AA$180,A70)</x:f>
        <x:v>1</x:v>
      </x:c>
      <x:c r="F70" s="206" t="n">
        <x:f>COUNTIFS(Backlog!$AA$2:$AA$180,A70,Backlog!$K$2:$K$180,"Done")</x:f>
        <x:v>0</x:v>
      </x:c>
      <x:c r="G70" s="206" t="n">
        <x:f>E70-F70</x:f>
        <x:v>1</x:v>
      </x:c>
      <x:c r="H70" s="206" t="n">
        <x:f>COUNTIFS(Backlog!$AA$2:$AA$180,A70,Backlog!$B$2:$B$180,"M2")</x:f>
        <x:v>0</x:v>
      </x:c>
      <x:c r="I70" s="206" t="n">
        <x:f>COUNTIFS(Backlog!$AA$2:$AA$180,A70,Backlog!$B$2:$B$180,"M3")</x:f>
        <x:v>1</x:v>
      </x:c>
      <x:c r="J70" s="206" t="str">
        <x:f>TEXTJOIN("; ",TRUE,IFERROR(INDEX(Backlog!$A$2:$A$180,MATCH("T-190",Backlog!$A$2:$A$180,0)),""))</x:f>
        <x:v>T-190</x:v>
      </x:c>
      <x:c r="K70" s="194" t="n">
        <x:f>COUNTIF('Secondary Capability Links'!$B$2:$B$150,A70)</x:f>
        <x:v>0</x:v>
      </x:c>
      <x:c r="L70" s="194" t="n">
        <x:f>COUNTIFS('Secondary Capability Links'!$B$2:$B$150,A70,'Secondary Capability Links'!$C$2:$C$150,"Done")</x:f>
        <x:v>0</x:v>
      </x:c>
      <x:c r="M70" s="194" t="str">
        <x:f>""</x:f>
      </x:c>
      <x:c r="N70" s="194" t="str">
        <x:v>Existing primary mapping preserved; secondary ownership amended only where acceptance names the capability.</x:v>
      </x:c>
    </x:row>
    <x:row r="71" ht="26" customHeight="1">
      <x:c r="A71" s="206" t="str">
        <x:v>L9.3</x:v>
      </x:c>
      <x:c r="B71" s="206" t="str">
        <x:v>L9</x:v>
      </x:c>
      <x:c r="C71" s="206" t="str">
        <x:v>Decision capture</x:v>
      </x:c>
      <x:c r="D71" s="206" t="str">
        <x:v>Core</x:v>
      </x:c>
      <x:c r="E71" s="206" t="n">
        <x:f>COUNTIF(Backlog!$AA$2:$AA$180,A71)</x:f>
        <x:v>1</x:v>
      </x:c>
      <x:c r="F71" s="206" t="n">
        <x:f>COUNTIFS(Backlog!$AA$2:$AA$180,A71,Backlog!$K$2:$K$180,"Done")</x:f>
        <x:v>0</x:v>
      </x:c>
      <x:c r="G71" s="206" t="n">
        <x:f>E71-F71</x:f>
        <x:v>1</x:v>
      </x:c>
      <x:c r="H71" s="206" t="n">
        <x:f>COUNTIFS(Backlog!$AA$2:$AA$180,A71,Backlog!$B$2:$B$180,"M2")</x:f>
        <x:v>0</x:v>
      </x:c>
      <x:c r="I71" s="206" t="n">
        <x:f>COUNTIFS(Backlog!$AA$2:$AA$180,A71,Backlog!$B$2:$B$180,"M3")</x:f>
        <x:v>1</x:v>
      </x:c>
      <x:c r="J71" s="206" t="str">
        <x:f>TEXTJOIN("; ",TRUE,IFERROR(INDEX(Backlog!$A$2:$A$180,MATCH("T-144",Backlog!$A$2:$A$180,0)),""))</x:f>
        <x:v>T-144</x:v>
      </x:c>
      <x:c r="K71" s="194" t="n">
        <x:f>COUNTIF('Secondary Capability Links'!$B$2:$B$150,A71)</x:f>
        <x:v>2</x:v>
      </x:c>
      <x:c r="L71" s="194" t="n">
        <x:f>COUNTIFS('Secondary Capability Links'!$B$2:$B$150,A71,'Secondary Capability Links'!$C$2:$C$150,"Done")</x:f>
        <x:v>0</x:v>
      </x:c>
      <x:c r="M71" s="194" t="str">
        <x:f>TEXTJOIN("; ",TRUE,IFERROR(INDEX(Backlog!$A$2:$A$180,MATCH("T-190",Backlog!$A$2:$A$180,0)),""),IFERROR(INDEX(Backlog!$A$2:$A$180,MATCH("T-267",Backlog!$A$2:$A$180,0)),""))</x:f>
        <x:v>T-190; T-267</x:v>
      </x:c>
      <x:c r="N71" s="194" t="str">
        <x:v>Existing primary mapping preserved; secondary ownership amended only where acceptance names the capability.</x:v>
      </x:c>
    </x:row>
    <x:row r="72" ht="26" customHeight="1">
      <x:c r="A72" s="206" t="str">
        <x:v>L9.4</x:v>
      </x:c>
      <x:c r="B72" s="206" t="str">
        <x:v>L9</x:v>
      </x:c>
      <x:c r="C72" s="206" t="str">
        <x:v>Action tracking</x:v>
      </x:c>
      <x:c r="D72" s="206" t="str">
        <x:v>Core</x:v>
      </x:c>
      <x:c r="E72" s="206" t="n">
        <x:f>COUNTIF(Backlog!$AA$2:$AA$180,A72)</x:f>
        <x:v>0</x:v>
      </x:c>
      <x:c r="F72" s="206" t="n">
        <x:f>COUNTIFS(Backlog!$AA$2:$AA$180,A72,Backlog!$K$2:$K$180,"Done")</x:f>
        <x:v>0</x:v>
      </x:c>
      <x:c r="G72" s="206" t="n">
        <x:f>E72-F72</x:f>
        <x:v>0</x:v>
      </x:c>
      <x:c r="H72" s="206" t="n">
        <x:f>COUNTIFS(Backlog!$AA$2:$AA$180,A72,Backlog!$B$2:$B$180,"M2")</x:f>
        <x:v>0</x:v>
      </x:c>
      <x:c r="I72" s="206" t="n">
        <x:f>COUNTIFS(Backlog!$AA$2:$AA$180,A72,Backlog!$B$2:$B$180,"M3")</x:f>
        <x:v>0</x:v>
      </x:c>
      <x:c r="J72" s="206" t="str">
        <x:f>""</x:f>
      </x:c>
      <x:c r="K72" s="194" t="n">
        <x:f>COUNTIF('Secondary Capability Links'!$B$2:$B$150,A72)</x:f>
        <x:v>2</x:v>
      </x:c>
      <x:c r="L72" s="194" t="n">
        <x:f>COUNTIFS('Secondary Capability Links'!$B$2:$B$150,A72,'Secondary Capability Links'!$C$2:$C$150,"Done")</x:f>
        <x:v>0</x:v>
      </x:c>
      <x:c r="M72" s="194" t="str">
        <x:f>TEXTJOIN("; ",TRUE,IFERROR(INDEX(Backlog!$A$2:$A$180,MATCH("T-144",Backlog!$A$2:$A$180,0)),""),IFERROR(INDEX(Backlog!$A$2:$A$180,MATCH("T-190",Backlog!$A$2:$A$180,0)),""))</x:f>
        <x:v>T-144; T-190</x:v>
      </x:c>
      <x:c r="N72" s="194" t="str">
        <x:v>Existing primary mapping preserved; secondary ownership amended only where acceptance names the capability.</x:v>
      </x:c>
    </x:row>
    <x:row r="73" ht="26" customHeight="1">
      <x:c r="A73" s="206" t="str">
        <x:v>L9.5</x:v>
      </x:c>
      <x:c r="B73" s="206" t="str">
        <x:v>L9</x:v>
      </x:c>
      <x:c r="C73" s="206" t="str">
        <x:v>Canonical outcome capture</x:v>
      </x:c>
      <x:c r="D73" s="206" t="str">
        <x:v>Core</x:v>
      </x:c>
      <x:c r="E73" s="206" t="n">
        <x:f>COUNTIF(Backlog!$AA$2:$AA$180,A73)</x:f>
        <x:v>1</x:v>
      </x:c>
      <x:c r="F73" s="206" t="n">
        <x:f>COUNTIFS(Backlog!$AA$2:$AA$180,A73,Backlog!$K$2:$K$180,"Done")</x:f>
        <x:v>0</x:v>
      </x:c>
      <x:c r="G73" s="206" t="n">
        <x:f>E73-F73</x:f>
        <x:v>1</x:v>
      </x:c>
      <x:c r="H73" s="206" t="n">
        <x:f>COUNTIFS(Backlog!$AA$2:$AA$180,A73,Backlog!$B$2:$B$180,"M2")</x:f>
        <x:v>0</x:v>
      </x:c>
      <x:c r="I73" s="206" t="n">
        <x:f>COUNTIFS(Backlog!$AA$2:$AA$180,A73,Backlog!$B$2:$B$180,"M3")</x:f>
        <x:v>1</x:v>
      </x:c>
      <x:c r="J73" s="206" t="str">
        <x:f>TEXTJOIN("; ",TRUE,IFERROR(INDEX(Backlog!$A$2:$A$180,MATCH("T-145",Backlog!$A$2:$A$180,0)),""))</x:f>
        <x:v>T-145</x:v>
      </x:c>
      <x:c r="K73" s="194" t="n">
        <x:f>COUNTIF('Secondary Capability Links'!$B$2:$B$150,A73)</x:f>
        <x:v>2</x:v>
      </x:c>
      <x:c r="L73" s="194" t="n">
        <x:f>COUNTIFS('Secondary Capability Links'!$B$2:$B$150,A73,'Secondary Capability Links'!$C$2:$C$150,"Done")</x:f>
        <x:v>0</x:v>
      </x:c>
      <x:c r="M73" s="194" t="str">
        <x:f>TEXTJOIN("; ",TRUE,IFERROR(INDEX(Backlog!$A$2:$A$180,MATCH("T-128",Backlog!$A$2:$A$180,0)),""),IFERROR(INDEX(Backlog!$A$2:$A$180,MATCH("T-267",Backlog!$A$2:$A$180,0)),""))</x:f>
        <x:v>T-128; T-267</x:v>
      </x:c>
      <x:c r="N73" s="194" t="str">
        <x:v>Existing primary mapping preserved; secondary ownership amended only where acceptance names the capability.</x:v>
      </x:c>
    </x:row>
    <x:row r="74" ht="26" customHeight="1">
      <x:c r="A74" s="206" t="str">
        <x:v>L9.6</x:v>
      </x:c>
      <x:c r="B74" s="206" t="str">
        <x:v>L9</x:v>
      </x:c>
      <x:c r="C74" s="206" t="str">
        <x:v>Effectiveness evaluation</x:v>
      </x:c>
      <x:c r="D74" s="206" t="str">
        <x:v>Core</x:v>
      </x:c>
      <x:c r="E74" s="206" t="n">
        <x:f>COUNTIF(Backlog!$AA$2:$AA$180,A74)</x:f>
        <x:v>0</x:v>
      </x:c>
      <x:c r="F74" s="206" t="n">
        <x:f>COUNTIFS(Backlog!$AA$2:$AA$180,A74,Backlog!$K$2:$K$180,"Done")</x:f>
        <x:v>0</x:v>
      </x:c>
      <x:c r="G74" s="206" t="n">
        <x:f>E74-F74</x:f>
        <x:v>0</x:v>
      </x:c>
      <x:c r="H74" s="206" t="n">
        <x:f>COUNTIFS(Backlog!$AA$2:$AA$180,A74,Backlog!$B$2:$B$180,"M2")</x:f>
        <x:v>0</x:v>
      </x:c>
      <x:c r="I74" s="206" t="n">
        <x:f>COUNTIFS(Backlog!$AA$2:$AA$180,A74,Backlog!$B$2:$B$180,"M3")</x:f>
        <x:v>0</x:v>
      </x:c>
      <x:c r="J74" s="206" t="str">
        <x:f>""</x:f>
      </x:c>
      <x:c r="K74" s="194" t="n">
        <x:f>COUNTIF('Secondary Capability Links'!$B$2:$B$150,A74)</x:f>
        <x:v>1</x:v>
      </x:c>
      <x:c r="L74" s="194" t="n">
        <x:f>COUNTIFS('Secondary Capability Links'!$B$2:$B$150,A74,'Secondary Capability Links'!$C$2:$C$150,"Done")</x:f>
        <x:v>0</x:v>
      </x:c>
      <x:c r="M74" s="194" t="str">
        <x:f>TEXTJOIN("; ",TRUE,IFERROR(INDEX(Backlog!$A$2:$A$180,MATCH("T-145",Backlog!$A$2:$A$180,0)),""))</x:f>
        <x:v>T-145</x:v>
      </x:c>
      <x:c r="N74" s="194" t="str">
        <x:v>Existing primary mapping preserved; secondary ownership amended only where acceptance names the capability.</x:v>
      </x:c>
    </x:row>
    <x:row r="75" ht="26" customHeight="1">
      <x:c r="A75" s="206" t="str">
        <x:v>L9.7</x:v>
      </x:c>
      <x:c r="B75" s="206" t="str">
        <x:v>L9</x:v>
      </x:c>
      <x:c r="C75" s="206" t="str">
        <x:v>Value engine</x:v>
      </x:c>
      <x:c r="D75" s="206" t="str">
        <x:v>Core</x:v>
      </x:c>
      <x:c r="E75" s="206" t="n">
        <x:f>COUNTIF(Backlog!$AA$2:$AA$180,A75)</x:f>
        <x:v>1</x:v>
      </x:c>
      <x:c r="F75" s="206" t="n">
        <x:f>COUNTIFS(Backlog!$AA$2:$AA$180,A75,Backlog!$K$2:$K$180,"Done")</x:f>
        <x:v>0</x:v>
      </x:c>
      <x:c r="G75" s="206" t="n">
        <x:f>E75-F75</x:f>
        <x:v>1</x:v>
      </x:c>
      <x:c r="H75" s="206" t="n">
        <x:f>COUNTIFS(Backlog!$AA$2:$AA$180,A75,Backlog!$B$2:$B$180,"M2")</x:f>
        <x:v>0</x:v>
      </x:c>
      <x:c r="I75" s="206" t="n">
        <x:f>COUNTIFS(Backlog!$AA$2:$AA$180,A75,Backlog!$B$2:$B$180,"M3")</x:f>
        <x:v>1</x:v>
      </x:c>
      <x:c r="J75" s="206" t="str">
        <x:f>TEXTJOIN("; ",TRUE,IFERROR(INDEX(Backlog!$A$2:$A$180,MATCH("T-164",Backlog!$A$2:$A$180,0)),""))</x:f>
        <x:v>T-164</x:v>
      </x:c>
      <x:c r="K75" s="194" t="n">
        <x:f>COUNTIF('Secondary Capability Links'!$B$2:$B$150,A75)</x:f>
        <x:v>0</x:v>
      </x:c>
      <x:c r="L75" s="194" t="n">
        <x:f>COUNTIFS('Secondary Capability Links'!$B$2:$B$150,A75,'Secondary Capability Links'!$C$2:$C$150,"Done")</x:f>
        <x:v>0</x:v>
      </x:c>
      <x:c r="M75" s="194" t="str">
        <x:f>""</x:f>
      </x:c>
      <x:c r="N75" s="194" t="str">
        <x:v>Existing primary mapping preserved; secondary ownership amended only where acceptance names the capability.</x:v>
      </x:c>
    </x:row>
    <x:row r="76" ht="26" customHeight="1">
      <x:c r="A76" s="206" t="str">
        <x:v>L9.8</x:v>
      </x:c>
      <x:c r="B76" s="206" t="str">
        <x:v>L9</x:v>
      </x:c>
      <x:c r="C76" s="206" t="str">
        <x:v>Feedback quality and poisoning prevention</x:v>
      </x:c>
      <x:c r="D76" s="206" t="str">
        <x:v>Core</x:v>
      </x:c>
      <x:c r="E76" s="206" t="n">
        <x:f>COUNTIF(Backlog!$AA$2:$AA$180,A76)</x:f>
        <x:v>0</x:v>
      </x:c>
      <x:c r="F76" s="206" t="n">
        <x:f>COUNTIFS(Backlog!$AA$2:$AA$180,A76,Backlog!$K$2:$K$180,"Done")</x:f>
        <x:v>0</x:v>
      </x:c>
      <x:c r="G76" s="206" t="n">
        <x:f>E76-F76</x:f>
        <x:v>0</x:v>
      </x:c>
      <x:c r="H76" s="206" t="n">
        <x:f>COUNTIFS(Backlog!$AA$2:$AA$180,A76,Backlog!$B$2:$B$180,"M2")</x:f>
        <x:v>0</x:v>
      </x:c>
      <x:c r="I76" s="206" t="n">
        <x:f>COUNTIFS(Backlog!$AA$2:$AA$180,A76,Backlog!$B$2:$B$180,"M3")</x:f>
        <x:v>0</x:v>
      </x:c>
      <x:c r="J76" s="206" t="str">
        <x:f>""</x:f>
      </x:c>
      <x:c r="K76" s="194" t="n">
        <x:f>COUNTIF('Secondary Capability Links'!$B$2:$B$150,A76)</x:f>
        <x:v>1</x:v>
      </x:c>
      <x:c r="L76" s="194" t="n">
        <x:f>COUNTIFS('Secondary Capability Links'!$B$2:$B$150,A76,'Secondary Capability Links'!$C$2:$C$150,"Done")</x:f>
        <x:v>0</x:v>
      </x:c>
      <x:c r="M76" s="194" t="str">
        <x:f>TEXTJOIN("; ",TRUE,IFERROR(INDEX(Backlog!$A$2:$A$180,MATCH("T-145",Backlog!$A$2:$A$180,0)),""))</x:f>
        <x:v>T-145</x:v>
      </x:c>
      <x:c r="N76" s="194" t="str">
        <x:v>Existing primary mapping preserved; secondary ownership amended only where acceptance names the capability.</x:v>
      </x:c>
    </x:row>
    <x:row r="77" ht="26" customHeight="1">
      <x:c r="A77" s="206" t="str">
        <x:v>L10.1</x:v>
      </x:c>
      <x:c r="B77" s="206" t="str">
        <x:v>L10</x:v>
      </x:c>
      <x:c r="C77" s="206" t="str">
        <x:v>Internal benchmarking</x:v>
      </x:c>
      <x:c r="D77" s="206" t="str">
        <x:v>Core</x:v>
      </x:c>
      <x:c r="E77" s="206" t="n">
        <x:f>COUNTIF(Backlog!$AA$2:$AA$180,A77)</x:f>
        <x:v>1</x:v>
      </x:c>
      <x:c r="F77" s="206" t="n">
        <x:f>COUNTIFS(Backlog!$AA$2:$AA$180,A77,Backlog!$K$2:$K$180,"Done")</x:f>
        <x:v>0</x:v>
      </x:c>
      <x:c r="G77" s="206" t="n">
        <x:f>E77-F77</x:f>
        <x:v>1</x:v>
      </x:c>
      <x:c r="H77" s="206" t="n">
        <x:f>COUNTIFS(Backlog!$AA$2:$AA$180,A77,Backlog!$B$2:$B$180,"M2")</x:f>
        <x:v>0</x:v>
      </x:c>
      <x:c r="I77" s="206" t="n">
        <x:f>COUNTIFS(Backlog!$AA$2:$AA$180,A77,Backlog!$B$2:$B$180,"M3")</x:f>
        <x:v>1</x:v>
      </x:c>
      <x:c r="J77" s="206" t="str">
        <x:f>TEXTJOIN("; ",TRUE,IFERROR(INDEX(Backlog!$A$2:$A$180,MATCH("T-264",Backlog!$A$2:$A$180,0)),""))</x:f>
        <x:v>T-264</x:v>
      </x:c>
      <x:c r="K77" s="194" t="n">
        <x:f>COUNTIF('Secondary Capability Links'!$B$2:$B$150,A77)</x:f>
        <x:v>2</x:v>
      </x:c>
      <x:c r="L77" s="194" t="n">
        <x:f>COUNTIFS('Secondary Capability Links'!$B$2:$B$150,A77,'Secondary Capability Links'!$C$2:$C$150,"Done")</x:f>
        <x:v>0</x:v>
      </x:c>
      <x:c r="M77" s="194" t="str">
        <x:f>TEXTJOIN("; ",TRUE,IFERROR(INDEX(Backlog!$A$2:$A$180,MATCH("T-238",Backlog!$A$2:$A$180,0)),""),IFERROR(INDEX(Backlog!$A$2:$A$180,MATCH("T-267",Backlog!$A$2:$A$180,0)),""))</x:f>
        <x:v>T-238; T-267</x:v>
      </x:c>
      <x:c r="N77" s="194" t="str">
        <x:v>Existing primary mapping preserved; secondary ownership amended only where acceptance names the capability.</x:v>
      </x:c>
    </x:row>
    <x:row r="78" ht="26" customHeight="1">
      <x:c r="A78" s="206" t="str">
        <x:v>L10.2</x:v>
      </x:c>
      <x:c r="B78" s="206" t="str">
        <x:v>L10</x:v>
      </x:c>
      <x:c r="C78" s="206" t="str">
        <x:v>Period driver decomposition</x:v>
      </x:c>
      <x:c r="D78" s="206" t="str">
        <x:v>Core</x:v>
      </x:c>
      <x:c r="E78" s="206" t="n">
        <x:f>COUNTIF(Backlog!$AA$2:$AA$180,A78)</x:f>
        <x:v>1</x:v>
      </x:c>
      <x:c r="F78" s="206" t="n">
        <x:f>COUNTIFS(Backlog!$AA$2:$AA$180,A78,Backlog!$K$2:$K$180,"Done")</x:f>
        <x:v>0</x:v>
      </x:c>
      <x:c r="G78" s="206" t="n">
        <x:f>E78-F78</x:f>
        <x:v>1</x:v>
      </x:c>
      <x:c r="H78" s="206" t="n">
        <x:f>COUNTIFS(Backlog!$AA$2:$AA$180,A78,Backlog!$B$2:$B$180,"M2")</x:f>
        <x:v>1</x:v>
      </x:c>
      <x:c r="I78" s="206" t="n">
        <x:f>COUNTIFS(Backlog!$AA$2:$AA$180,A78,Backlog!$B$2:$B$180,"M3")</x:f>
        <x:v>0</x:v>
      </x:c>
      <x:c r="J78" s="206" t="str">
        <x:f>TEXTJOIN("; ",TRUE,IFERROR(INDEX(Backlog!$A$2:$A$180,MATCH("T-237",Backlog!$A$2:$A$180,0)),""))</x:f>
        <x:v>T-237</x:v>
      </x:c>
      <x:c r="K78" s="194" t="n">
        <x:f>COUNTIF('Secondary Capability Links'!$B$2:$B$150,A78)</x:f>
        <x:v>0</x:v>
      </x:c>
      <x:c r="L78" s="194" t="n">
        <x:f>COUNTIFS('Secondary Capability Links'!$B$2:$B$150,A78,'Secondary Capability Links'!$C$2:$C$150,"Done")</x:f>
        <x:v>0</x:v>
      </x:c>
      <x:c r="M78" s="194" t="str">
        <x:f>""</x:f>
      </x:c>
      <x:c r="N78" s="194" t="str">
        <x:v>Existing primary mapping preserved; secondary ownership amended only where acceptance names the capability.</x:v>
      </x:c>
    </x:row>
    <x:row r="79" ht="26" customHeight="1">
      <x:c r="A79" s="206" t="str">
        <x:v>L10.3</x:v>
      </x:c>
      <x:c r="B79" s="206" t="str">
        <x:v>L10</x:v>
      </x:c>
      <x:c r="C79" s="206" t="str">
        <x:v>Operational evidence reconciliation</x:v>
      </x:c>
      <x:c r="D79" s="206" t="str">
        <x:v>Advanced</x:v>
      </x:c>
      <x:c r="E79" s="206" t="n">
        <x:f>COUNTIF(Backlog!$AA$2:$AA$180,A79)</x:f>
        <x:v>3</x:v>
      </x:c>
      <x:c r="F79" s="206" t="n">
        <x:f>COUNTIFS(Backlog!$AA$2:$AA$180,A79,Backlog!$K$2:$K$180,"Done")</x:f>
        <x:v>1</x:v>
      </x:c>
      <x:c r="G79" s="206" t="n">
        <x:f>E79-F79</x:f>
        <x:v>2</x:v>
      </x:c>
      <x:c r="H79" s="206" t="n">
        <x:f>COUNTIFS(Backlog!$AA$2:$AA$180,A79,Backlog!$B$2:$B$180,"M2")</x:f>
        <x:v>3</x:v>
      </x:c>
      <x:c r="I79" s="206" t="n">
        <x:f>COUNTIFS(Backlog!$AA$2:$AA$180,A79,Backlog!$B$2:$B$180,"M3")</x:f>
        <x:v>0</x:v>
      </x:c>
      <x:c r="J79" s="206" t="str">
        <x:f>TEXTJOIN("; ",TRUE,IFERROR(INDEX(Backlog!$A$2:$A$180,MATCH("T-222",Backlog!$A$2:$A$180,0)),""),IFERROR(INDEX(Backlog!$A$2:$A$180,MATCH("T-219",Backlog!$A$2:$A$180,0)),""),IFERROR(INDEX(Backlog!$A$2:$A$180,MATCH("T-221",Backlog!$A$2:$A$180,0)),""))</x:f>
        <x:v>T-222; T-219; T-221</x:v>
      </x:c>
      <x:c r="K79" s="194" t="n">
        <x:f>COUNTIF('Secondary Capability Links'!$B$2:$B$150,A79)</x:f>
        <x:v>2</x:v>
      </x:c>
      <x:c r="L79" s="194" t="n">
        <x:f>COUNTIFS('Secondary Capability Links'!$B$2:$B$150,A79,'Secondary Capability Links'!$C$2:$C$150,"Done")</x:f>
        <x:v>1</x:v>
      </x:c>
      <x:c r="M79" s="194" t="str">
        <x:f>TEXTJOIN("; ",TRUE,IFERROR(INDEX(Backlog!$A$2:$A$180,MATCH("T-223",Backlog!$A$2:$A$180,0)),""),IFERROR(INDEX(Backlog!$A$2:$A$180,MATCH("T-236",Backlog!$A$2:$A$180,0)),""))</x:f>
        <x:v>T-223; T-236</x:v>
      </x:c>
      <x:c r="N79" s="194" t="str">
        <x:v>Existing primary mapping preserved; secondary ownership amended only where acceptance names the capability.</x:v>
      </x:c>
    </x:row>
    <x:row r="80" ht="26" customHeight="1">
      <x:c r="A80" s="206" t="str">
        <x:v>L10.4</x:v>
      </x:c>
      <x:c r="B80" s="206" t="str">
        <x:v>L10</x:v>
      </x:c>
      <x:c r="C80" s="206" t="str">
        <x:v>Scenario simulation</x:v>
      </x:c>
      <x:c r="D80" s="206" t="str">
        <x:v>Advanced</x:v>
      </x:c>
      <x:c r="E80" s="206" t="n">
        <x:f>COUNTIF(Backlog!$AA$2:$AA$180,A80)</x:f>
        <x:v>1</x:v>
      </x:c>
      <x:c r="F80" s="206" t="n">
        <x:f>COUNTIFS(Backlog!$AA$2:$AA$180,A80,Backlog!$K$2:$K$180,"Done")</x:f>
        <x:v>0</x:v>
      </x:c>
      <x:c r="G80" s="206" t="n">
        <x:f>E80-F80</x:f>
        <x:v>1</x:v>
      </x:c>
      <x:c r="H80" s="206" t="n">
        <x:f>COUNTIFS(Backlog!$AA$2:$AA$180,A80,Backlog!$B$2:$B$180,"M2")</x:f>
        <x:v>0</x:v>
      </x:c>
      <x:c r="I80" s="206" t="n">
        <x:f>COUNTIFS(Backlog!$AA$2:$AA$180,A80,Backlog!$B$2:$B$180,"M3")</x:f>
        <x:v>1</x:v>
      </x:c>
      <x:c r="J80" s="206" t="str">
        <x:f>TEXTJOIN("; ",TRUE,IFERROR(INDEX(Backlog!$A$2:$A$180,MATCH("T-191",Backlog!$A$2:$A$180,0)),""))</x:f>
        <x:v>T-191</x:v>
      </x:c>
      <x:c r="K80" s="194" t="n">
        <x:f>COUNTIF('Secondary Capability Links'!$B$2:$B$150,A80)</x:f>
        <x:v>1</x:v>
      </x:c>
      <x:c r="L80" s="194" t="n">
        <x:f>COUNTIFS('Secondary Capability Links'!$B$2:$B$150,A80,'Secondary Capability Links'!$C$2:$C$150,"Done")</x:f>
        <x:v>0</x:v>
      </x:c>
      <x:c r="M80" s="194" t="str">
        <x:f>TEXTJOIN("; ",TRUE,IFERROR(INDEX(Backlog!$A$2:$A$180,MATCH("T-267",Backlog!$A$2:$A$180,0)),""))</x:f>
        <x:v>T-267</x:v>
      </x:c>
      <x:c r="N80" s="194" t="str">
        <x:v>Existing primary mapping preserved; secondary ownership amended only where acceptance names the capability.</x:v>
      </x:c>
    </x:row>
    <x:row r="81" ht="26" customHeight="1">
      <x:c r="A81" s="206" t="str">
        <x:v>L10.5</x:v>
      </x:c>
      <x:c r="B81" s="206" t="str">
        <x:v>L10</x:v>
      </x:c>
      <x:c r="C81" s="206" t="str">
        <x:v>Insight Board Composer</x:v>
      </x:c>
      <x:c r="D81" s="206" t="str">
        <x:v>Advanced</x:v>
      </x:c>
      <x:c r="E81" s="206" t="n">
        <x:f>COUNTIF(Backlog!$AA$2:$AA$180,A81)</x:f>
        <x:v>3</x:v>
      </x:c>
      <x:c r="F81" s="206" t="n">
        <x:f>COUNTIFS(Backlog!$AA$2:$AA$180,A81,Backlog!$K$2:$K$180,"Done")</x:f>
        <x:v>0</x:v>
      </x:c>
      <x:c r="G81" s="206" t="n">
        <x:f>E81-F81</x:f>
        <x:v>3</x:v>
      </x:c>
      <x:c r="H81" s="206" t="n">
        <x:f>COUNTIFS(Backlog!$AA$2:$AA$180,A81,Backlog!$B$2:$B$180,"M2")</x:f>
        <x:v>0</x:v>
      </x:c>
      <x:c r="I81" s="206" t="n">
        <x:f>COUNTIFS(Backlog!$AA$2:$AA$180,A81,Backlog!$B$2:$B$180,"M3")</x:f>
        <x:v>3</x:v>
      </x:c>
      <x:c r="J81" s="206" t="str">
        <x:f>TEXTJOIN("; ",TRUE,IFERROR(INDEX(Backlog!$A$2:$A$180,MATCH("T-228",Backlog!$A$2:$A$180,0)),""),IFERROR(INDEX(Backlog!$A$2:$A$180,MATCH("T-229",Backlog!$A$2:$A$180,0)),""),IFERROR(INDEX(Backlog!$A$2:$A$180,MATCH("T-230",Backlog!$A$2:$A$180,0)),""))</x:f>
        <x:v>T-228; T-229; T-230</x:v>
      </x:c>
      <x:c r="K81" s="194" t="n">
        <x:f>COUNTIF('Secondary Capability Links'!$B$2:$B$150,A81)</x:f>
        <x:v>0</x:v>
      </x:c>
      <x:c r="L81" s="194" t="n">
        <x:f>COUNTIFS('Secondary Capability Links'!$B$2:$B$150,A81,'Secondary Capability Links'!$C$2:$C$150,"Done")</x:f>
        <x:v>0</x:v>
      </x:c>
      <x:c r="M81" s="194" t="str">
        <x:f>""</x:f>
      </x:c>
      <x:c r="N81" s="194" t="str">
        <x:v>Existing primary mapping preserved; secondary ownership amended only where acceptance names the capability.</x:v>
      </x:c>
    </x:row>
    <x:row r="82" ht="28.5">
      <x:c r="A82" s="2"/>
      <x:c r="B82" s="2"/>
      <x:c r="C82" s="2"/>
      <x:c r="D82" s="2"/>
      <x:c r="E82" s="2"/>
      <x:c r="F82" s="2"/>
      <x:c r="G82" s="2"/>
      <x:c r="H82" s="2"/>
      <x:c r="I82" s="2"/>
      <x:c r="J82" s="2"/>
      <x:c r="K82"/>
      <x:c r="L82"/>
      <x:c r="M82"/>
      <x:c r="N82"/>
    </x:row>
    <x:row r="83" ht="28.5">
      <x:c r="A83" s="101" t="str">
        <x:v>Secondary links are a normalized generated view of Backlog column AC. Regenerate this view when capability assignments change; status/release values recalculate from task-ID lookups.</x:v>
      </x:c>
      <x:c r="B83" s="101"/>
      <x:c r="C83" s="101"/>
      <x:c r="D83" s="101"/>
      <x:c r="E83" s="101"/>
      <x:c r="F83" s="101"/>
      <x:c r="G83" s="101"/>
      <x:c r="H83" s="101"/>
      <x:c r="I83" s="101"/>
      <x:c r="J83" s="101"/>
      <x:c r="K83" s="101"/>
      <x:c r="L83" s="101"/>
      <x:c r="M83" s="101"/>
      <x:c r="N83" s="101"/>
    </x:row>
    <x:row r="84">
      <x:c r="A84"/>
      <x:c r="B84"/>
      <x:c r="C84"/>
      <x:c r="D84"/>
      <x:c r="E84"/>
      <x:c r="F84"/>
      <x:c r="G84"/>
      <x:c r="H84"/>
      <x:c r="I84"/>
      <x:c r="J84"/>
      <x:c r="K84"/>
      <x:c r="L84"/>
      <x:c r="M84"/>
      <x:c r="N84"/>
    </x:row>
    <x:row r="85">
      <x:c r="A85"/>
      <x:c r="B85"/>
      <x:c r="C85"/>
      <x:c r="D85"/>
      <x:c r="E85"/>
      <x:c r="F85"/>
      <x:c r="G85"/>
      <x:c r="H85"/>
      <x:c r="I85"/>
      <x:c r="J85"/>
      <x:c r="K85"/>
      <x:c r="L85"/>
      <x:c r="M85"/>
      <x:c r="N85"/>
    </x:row>
  </x:sheetData>
  <x:mergeCells>
    <x:mergeCell ref="A1:N1"/>
    <x:mergeCell ref="A2:N2"/>
    <x:mergeCell ref="A83:N83"/>
  </x:mergeCells>
  <x:conditionalFormatting sqref="E4:E83">
    <x:cfRule type="dataBar" priority="1">
      <x:dataBar>
        <x:cfvo type="min"/>
        <x:cfvo type="max"/>
        <x:color rgb="FF156082"/>
      </x:dataBar>
    </x:cfRule>
    <x:cfRule type="dataBar" priority="6">
      <x:dataBar>
        <x:cfvo type="min"/>
        <x:cfvo type="max"/>
        <x:color rgb="FF156082"/>
      </x:dataBar>
      <x:extLst>
        <x:ext xmlns:x14="http://schemas.microsoft.com/office/spreadsheetml/2009/9/main" uri="{B025F937-C7B1-47D3-B67F-A62EFF666E3E}">
          <x14:id>{483D8A87-B9DC-D794-C9BA-06F40A711C31}</x14:id>
        </x:ext>
      </x:extLst>
    </x:cfRule>
  </x:conditionalFormatting>
  <x:conditionalFormatting sqref="F4:F83">
    <x:cfRule type="dataBar" priority="2">
      <x:dataBar>
        <x:cfvo type="min"/>
        <x:cfvo type="max"/>
        <x:color rgb="FF156082"/>
      </x:dataBar>
    </x:cfRule>
    <x:cfRule type="dataBar" priority="7">
      <x:dataBar>
        <x:cfvo type="min"/>
        <x:cfvo type="max"/>
        <x:color rgb="FF156082"/>
      </x:dataBar>
      <x:extLst>
        <x:ext xmlns:x14="http://schemas.microsoft.com/office/spreadsheetml/2009/9/main" uri="{B025F937-C7B1-47D3-B67F-A62EFF666E3E}">
          <x14:id>{2938A8BA-6643-4F03-9A37-03083614EE5E}</x14:id>
        </x:ext>
      </x:extLst>
    </x:cfRule>
  </x:conditionalFormatting>
  <x:conditionalFormatting sqref="G4:G83">
    <x:cfRule type="dataBar" priority="3">
      <x:dataBar>
        <x:cfvo type="min"/>
        <x:cfvo type="max"/>
        <x:color rgb="FF156082"/>
      </x:dataBar>
    </x:cfRule>
    <x:cfRule type="dataBar" priority="8">
      <x:dataBar>
        <x:cfvo type="min"/>
        <x:cfvo type="max"/>
        <x:color rgb="FF156082"/>
      </x:dataBar>
      <x:extLst>
        <x:ext xmlns:x14="http://schemas.microsoft.com/office/spreadsheetml/2009/9/main" uri="{B025F937-C7B1-47D3-B67F-A62EFF666E3E}">
          <x14:id>{4E9339B8-32E6-E0FB-E202-CF54D5194D93}</x14:id>
        </x:ext>
      </x:extLst>
    </x:cfRule>
  </x:conditionalFormatting>
  <x:conditionalFormatting sqref="H4:H83">
    <x:cfRule type="dataBar" priority="4">
      <x:dataBar>
        <x:cfvo type="min"/>
        <x:cfvo type="max"/>
        <x:color rgb="FF156082"/>
      </x:dataBar>
    </x:cfRule>
    <x:cfRule type="dataBar" priority="9">
      <x:dataBar>
        <x:cfvo type="min"/>
        <x:cfvo type="max"/>
        <x:color rgb="FF156082"/>
      </x:dataBar>
      <x:extLst>
        <x:ext xmlns:x14="http://schemas.microsoft.com/office/spreadsheetml/2009/9/main" uri="{B025F937-C7B1-47D3-B67F-A62EFF666E3E}">
          <x14:id>{93B8FE78-9D76-3D9A-5A36-C34E15AD3821}</x14:id>
        </x:ext>
      </x:extLst>
    </x:cfRule>
  </x:conditionalFormatting>
  <x:conditionalFormatting sqref="I4:I83">
    <x:cfRule type="dataBar" priority="5">
      <x:dataBar>
        <x:cfvo type="min"/>
        <x:cfvo type="max"/>
        <x:color rgb="FF156082"/>
      </x:dataBar>
    </x:cfRule>
    <x:cfRule type="dataBar" priority="10">
      <x:dataBar>
        <x:cfvo type="min"/>
        <x:cfvo type="max"/>
        <x:color rgb="FF156082"/>
      </x:dataBar>
      <x:extLst>
        <x:ext xmlns:x14="http://schemas.microsoft.com/office/spreadsheetml/2009/9/main" uri="{B025F937-C7B1-47D3-B67F-A62EFF666E3E}">
          <x14:id>{B17A4BEC-C983-AD76-82E5-8042957F1C26}</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6" id="{483D8A87-B9DC-D794-C9BA-06F40A711C31}">
            <x14:dataBar>
              <x14:cfvo type="min"/>
              <x14:cfvo type="max"/>
              <x14:fillColor rgb="FF156082"/>
              <x14:negativeFillColor auto="1"/>
              <x14:axisColor auto="1"/>
            </x14:dataBar>
          </x14:cfRule>
          <xm:sqref>E4:E83</xm:sqref>
        </x14:conditionalFormatting>
        <x14:conditionalFormatting>
          <x14:cfRule type="dataBar" priority="7" id="{2938A8BA-6643-4F03-9A37-03083614EE5E}">
            <x14:dataBar>
              <x14:cfvo type="min"/>
              <x14:cfvo type="max"/>
              <x14:fillColor rgb="FF156082"/>
              <x14:negativeFillColor auto="1"/>
              <x14:axisColor auto="1"/>
            </x14:dataBar>
          </x14:cfRule>
          <xm:sqref>F4:F83</xm:sqref>
        </x14:conditionalFormatting>
        <x14:conditionalFormatting>
          <x14:cfRule type="dataBar" priority="8" id="{4E9339B8-32E6-E0FB-E202-CF54D5194D93}">
            <x14:dataBar>
              <x14:cfvo type="min"/>
              <x14:cfvo type="max"/>
              <x14:fillColor rgb="FF156082"/>
              <x14:negativeFillColor auto="1"/>
              <x14:axisColor auto="1"/>
            </x14:dataBar>
          </x14:cfRule>
          <xm:sqref>G4:G83</xm:sqref>
        </x14:conditionalFormatting>
        <x14:conditionalFormatting>
          <x14:cfRule type="dataBar" priority="9" id="{93B8FE78-9D76-3D9A-5A36-C34E15AD3821}">
            <x14:dataBar>
              <x14:cfvo type="min"/>
              <x14:cfvo type="max"/>
              <x14:fillColor rgb="FF156082"/>
              <x14:negativeFillColor auto="1"/>
              <x14:axisColor auto="1"/>
            </x14:dataBar>
          </x14:cfRule>
          <xm:sqref>H4:H83</xm:sqref>
        </x14:conditionalFormatting>
        <x14:conditionalFormatting>
          <x14:cfRule type="dataBar" priority="10" id="{B17A4BEC-C983-AD76-82E5-8042957F1C26}">
            <x14:dataBar>
              <x14:cfvo type="min"/>
              <x14:cfvo type="max"/>
              <x14:fillColor rgb="FF156082"/>
              <x14:negativeFillColor auto="1"/>
              <x14:axisColor auto="1"/>
            </x14:dataBar>
          </x14:cfRule>
          <xm:sqref>I4:I83</xm:sqref>
        </x14:conditionalFormatting>
      </x14:conditionalFormattings>
    </x:ext>
  </x:extLst>
</x:worksheet>
</file>

<file path=xl/worksheets/sheet16.xml><?xml version="1.0" encoding="utf-8"?>
<x:worksheet xmlns:x="http://schemas.openxmlformats.org/spreadsheetml/2006/main">
  <x:sheetFormatPr defaultRowHeight="15"/>
  <x:cols>
    <x:col min="1" max="1" width="20" hidden="0" customWidth="1"/>
    <x:col min="2" max="2" width="20" hidden="0" customWidth="1"/>
    <x:col min="3" max="3" width="50" hidden="0" customWidth="1"/>
    <x:col min="4" max="4" width="40" hidden="0" customWidth="1"/>
    <x:col min="5" max="5" width="70" hidden="0" customWidth="1"/>
    <x:col min="6" max="6" width="70" hidden="0" customWidth="1"/>
    <x:col min="7" max="7" width="20" hidden="0" customWidth="1"/>
    <x:col min="8" max="8" width="20" hidden="0" customWidth="1"/>
  </x:cols>
  <x:sheetData>
    <x:row r="1" ht="32" customHeight="1">
      <x:c r="A1" s="123" t="str">
        <x:v>Retired ID</x:v>
      </x:c>
      <x:c r="B1" s="123" t="str">
        <x:v>Disposition</x:v>
      </x:c>
      <x:c r="C1" s="123" t="str">
        <x:v>Merged responsibilities</x:v>
      </x:c>
      <x:c r="D1" s="123" t="str">
        <x:v>Prior task name</x:v>
      </x:c>
      <x:c r="E1" s="123" t="str">
        <x:v>Prior description</x:v>
      </x:c>
      <x:c r="F1" s="123" t="str">
        <x:v>Prior acceptance</x:v>
      </x:c>
      <x:c r="G1" s="123" t="str">
        <x:v>Prior hours</x:v>
      </x:c>
      <x:c r="H1" s="123" t="str">
        <x:v>Prior status</x:v>
      </x:c>
      <x:c r="I1"/>
      <x:c r="J1"/>
      <x:c r="K1"/>
      <x:c r="L1"/>
    </x:row>
    <x:row r="2" ht="135" customHeight="1">
      <x:c r="A2" s="113" t="str">
        <x:v>T-105</x:v>
      </x:c>
      <x:c r="B2" s="113" t="str">
        <x:v>Retired / merged</x:v>
      </x:c>
      <x:c r="C2" s="113" t="str">
        <x:v>T-104</x:v>
      </x:c>
      <x:c r="D2" s="113" t="str">
        <x:v>Idempotent reprojection and mapping-version regression</x:v>
      </x:c>
      <x:c r="E2" s="113" t="str">
        <x:v>Make reprojection idempotent and add the regression suite: reprojecting the same batch must not duplicate rows, and rolling a mapping back to a previous version must produce the earlier result exactly.</x:v>
      </x:c>
      <x:c r="F2" s="113" t="str">
        <x:v>Reproject the same batch three times and confirm row counts are unchanged. Roll a mapping back and confirm the canonical output matches the earlier snapshot byte for byte.</x:v>
      </x:c>
      <x:c r="G2" s="113" t="n">
        <x:v>6</x:v>
      </x:c>
      <x:c r="H2" s="113" t="str">
        <x:v>Not Started</x:v>
      </x:c>
      <x:c r="I2"/>
      <x:c r="J2"/>
      <x:c r="K2"/>
      <x:c r="L2"/>
    </x:row>
    <x:row r="3" ht="135" customHeight="1">
      <x:c r="A3" s="113" t="str">
        <x:v>T-111</x:v>
      </x:c>
      <x:c r="B3" s="113" t="str">
        <x:v>Retired / merged</x:v>
      </x:c>
      <x:c r="C3" s="113" t="str">
        <x:v>T-110 (runtime); T-155 (calibration); T-159 (certification)</x:v>
      </x:c>
      <x:c r="D3" s="113" t="str">
        <x:v>Scan budget and the Scan Amplification metric</x:v>
      </x:c>
      <x:c r="E3" s="113" t="str">
        <x:v>Add scan admission and the Scan Amplification Ratio from Chapter 6 6.1.12.2a, with a baseline and a regression gate that fails the build when amplification rises beyond the baseline.</x:v>
      </x:c>
      <x:c r="F3" s="113" t="str">
        <x:v>Record a baseline, then deliberately remove a delta scope and confirm the gate goes red. Restore and confirm green.</x:v>
      </x:c>
      <x:c r="G3" s="113" t="n">
        <x:v>12</x:v>
      </x:c>
      <x:c r="H3" s="113" t="str">
        <x:v>Not Started</x:v>
      </x:c>
      <x:c r="I3"/>
      <x:c r="J3"/>
      <x:c r="K3"/>
      <x:c r="L3"/>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5" hidden="0" customWidth="1"/>
    <x:col min="2" max="2" width="28" hidden="0" customWidth="1"/>
    <x:col min="3" max="3" width="66" hidden="0" customWidth="1"/>
    <x:col min="4" max="4" width="66" hidden="0" customWidth="1"/>
    <x:col min="5" max="5" width="43" hidden="0" customWidth="1"/>
  </x:cols>
  <x:sheetData>
    <x:row r="1" ht="32" customHeight="1">
      <x:c r="A1" s="123" t="str">
        <x:v>Task / view</x:v>
      </x:c>
      <x:c r="B1" s="123" t="str">
        <x:v>Field / operation</x:v>
      </x:c>
      <x:c r="C1" s="123" t="str">
        <x:v>Previous</x:v>
      </x:c>
      <x:c r="D1" s="123" t="str">
        <x:v>New</x:v>
      </x:c>
      <x:c r="E1" s="123" t="str">
        <x:v>Reason</x:v>
      </x:c>
      <x:c r="F1"/>
      <x:c r="G1"/>
      <x:c r="H1"/>
      <x:c r="I1"/>
      <x:c r="J1"/>
      <x:c r="K1"/>
      <x:c r="L1"/>
    </x:row>
    <x:row r="2" ht="72" customHeight="1">
      <x:c r="A2" s="113" t="str">
        <x:v>T-104</x:v>
      </x:c>
      <x:c r="B2" s="113" t="str">
        <x:v>Task Description</x:v>
      </x:c>
      <x:c r="C2" s="113" t="str">
        <x:v>Complete the DF5 contract: source-shaped staging projects into the canonical plant model through the customer-authored versioned mapping, and every projected row records the mapping version that produced it.</x:v>
      </x:c>
      <x:c r="D2" s="113" t="str">
        <x:v>Complete the DF5 contract: source-shaped staging projects into the canonical plant model through the customer-authored versioned mapping, and every projected row records the mapping version that produced it.
v2.22.0 — Absorbs T-105: Make reprojection idempotent and add the regression suite: reprojecting the same batch must not duplicate rows, and rolling a mapping back to a previous version must produce the earlier result exactly. T-261 owns the executor. This task owns canonical row-level definition/version provenance and replay effects, using that executor; it does not implement a competing MappingDefinition runtime.</x:v>
      </x:c>
      <x:c r="E2" s="113" t="str">
        <x:v>Merge with acceptance conservation</x:v>
      </x:c>
      <x:c r="F2"/>
      <x:c r="G2"/>
      <x:c r="H2"/>
      <x:c r="I2"/>
      <x:c r="J2"/>
      <x:c r="K2"/>
      <x:c r="L2"/>
    </x:row>
    <x:row r="3" ht="72" customHeight="1">
      <x:c r="A3" s="113" t="str">
        <x:v>T-104</x:v>
      </x:c>
      <x:c r="B3" s="113" t="str">
        <x:v>Task Validation</x:v>
      </x:c>
      <x:c r="C3" s="113" t="str">
        <x:v>Project a batch, change the mapping version, project again, and confirm each row records the version that produced it. No row may carry a null mapping version.</x:v>
      </x:c>
      <x:c r="D3" s="113" t="str">
        <x:v>Project a batch, change the mapping version, project again, and confirm each row records the version that produced it. No row may carry a null mapping version.
v2.22.0 — Reproject the same batch three times and confirm row counts are unchanged. Roll a mapping back and confirm the canonical output matches the earlier snapshot byte for byte. Assert exact resolved Transformation version/hash per run and row, tenant/dataset/batch source lineage, no duplicate accepted effect and byte-identical deterministic business output on rollback. Clock/run metadata is compared separately from business-result equivalence.</x:v>
      </x:c>
      <x:c r="E3" s="113" t="str">
        <x:v>Merge T105 validation</x:v>
      </x:c>
      <x:c r="F3"/>
      <x:c r="G3"/>
      <x:c r="H3"/>
      <x:c r="I3"/>
      <x:c r="J3"/>
      <x:c r="K3"/>
      <x:c r="L3"/>
    </x:row>
    <x:row r="4" ht="72" customHeight="1">
      <x:c r="A4" s="113" t="str">
        <x:v>T-104</x:v>
      </x:c>
      <x:c r="B4" s="113" t="str">
        <x:v>Task Name</x:v>
      </x:c>
      <x:c r="C4" s="113" t="str">
        <x:v>Projection through the versioned mapping, with version stamping</x:v>
      </x:c>
      <x:c r="D4" s="113" t="str">
        <x:v>Projection provenance, exact-version stamping and idempotent reprojection</x:v>
      </x:c>
      <x:c r="E4" s="113" t="str">
        <x:v>Merge T105</x:v>
      </x:c>
      <x:c r="F4"/>
      <x:c r="G4"/>
      <x:c r="H4"/>
      <x:c r="I4"/>
      <x:c r="J4"/>
      <x:c r="K4"/>
      <x:c r="L4"/>
    </x:row>
    <x:row r="5" ht="72" customHeight="1">
      <x:c r="A5" s="113" t="str">
        <x:v>T-104</x:v>
      </x:c>
      <x:c r="B5" s="113" t="str">
        <x:v>Hours</x:v>
      </x:c>
      <x:c r="C5" s="113" t="n">
        <x:v>8</x:v>
      </x:c>
      <x:c r="D5" s="113" t="n">
        <x:v>14</x:v>
      </x:c>
      <x:c r="E5" s="113" t="str">
        <x:v>Preserve summed baseline estimates; not a re-estimate</x:v>
      </x:c>
      <x:c r="F5"/>
      <x:c r="G5"/>
      <x:c r="H5"/>
      <x:c r="I5"/>
      <x:c r="J5"/>
      <x:c r="K5"/>
      <x:c r="L5"/>
    </x:row>
    <x:row r="6" ht="72" customHeight="1">
      <x:c r="A6" s="113" t="str">
        <x:v>T-106</x:v>
      </x:c>
      <x:c r="B6" s="113" t="str">
        <x:v>Task Description</x:v>
      </x:c>
      <x:c r="C6" s="113" t="str">
        <x:v>Build on the M1 target_definition_id work: add the full version policy (pinned or current published), the job dependency graph, and cycle validation.
v2.10.2 BOUNDARY CORRECTION — the pinned/current-published PUBLIC semantics are already frozen by T-064. This task performs canonical physical convergence: job_definitions FK -&gt; definition_store(id) ON DELETE RESTRICT, target-version policy CHECKs/target-surface trigger against the canonical store, target_parameters persistence, plus job_dependencies DAG/cycle validation. Do not redesign T-064's visible contract.
v2.20.0 EXECUTION-PLANE EXPANSION — replace the central job-type switch as the authority for manual execution. Each executable job family registers an executor capability through DI/registry metadata: supported/unsupported state, target definition kind, version policy, input contract and run capability. A new executor family must be addable without editing a central switch. Unsupported families refuse at definition/save or capability discovery with a typed reason rather than surviving until RunNow.
v2.20.0 LAYER-B PLACEMENT RULING — scheduling count, repetition, iteration windows and control flow belong to governed Job orchestration. Do not add new FOR/WHILE-style board execution semantics. Existing T-242 saved definitions remain readable through compatibility handling, but new orchestration authority is the Job plane.</x:v>
      </x:c>
      <x:c r="D6" s="113" t="str">
        <x:v>Build on the M1 target_definition_id work: add the full version policy (pinned or current published), the job dependency graph, and cycle validation.
v2.10.2 BOUNDARY CORRECTION — the pinned/current-published PUBLIC semantics are already frozen by T-064. This task performs canonical physical convergence: job_definitions FK -&gt; definition_store(id) ON DELETE RESTRICT, target-version policy CHECKs/target-surface trigger against the canonical store, target_parameters persistence, plus job_dependencies DAG/cycle validation. Do not redesign T-064's visible contract.
v2.20.0 EXECUTION-PLANE EXPANSION — replace the central job-type switch as the authority for manual execution. Each executable job family registers an executor capability through DI/registry metadata: supported/unsupported state, target definition kind, version policy, input contract and run capability. A new executor family must be addable without editing a central switch. Unsupported families refuse at definition/save or capability discovery with a typed reason rather than surviving until RunNow.
v2.20.0 LAYER-B PLACEMENT RULING — scheduling count, repetition, iteration windows and control flow belong to governed Job orchestration. Do not add new FOR/WHILE-style board execution semantics. Existing T-242 saved definitions remain readable through compatibility handling, but new orchestration authority is the Job plane.
v2.22.0 — Deliver one canonical Job authority for target/version/capability, schedule grammar and occurrence identity, due scheduling, dependency resolution, cooperative cancellation and terminal-status truth. Implement Design v4.10.3 Ch4 5.3.2a / 5.3.6. The scheduler produces due requests; existing admission admits them. T-107 owns bounded pools; T-261 owns the actual Transformation executor. Keep these as separately testable sub-deliverables inside T-106 rather than additional task IDs. An executor supplied by tests proves orchestration before T-261 is commissioned, so T-106 must not depend on T-261 or T-107 closure.</x:v>
      </x:c>
      <x:c r="E6" s="113" t="str">
        <x:v>Approved scope expansion, avoid dependency cycle</x:v>
      </x:c>
      <x:c r="F6"/>
      <x:c r="G6"/>
      <x:c r="H6"/>
      <x:c r="I6"/>
      <x:c r="J6"/>
      <x:c r="K6"/>
      <x:c r="L6"/>
    </x:row>
    <x:row r="7" ht="72" customHeight="1">
      <x:c r="A7" s="113" t="str">
        <x:v>T-106</x:v>
      </x:c>
      <x:c r="B7" s="113" t="str">
        <x:v>Task Validation</x:v>
      </x:c>
      <x:c r="C7" s="113" t="str">
        <x:v>Declare a three-job chain, run it, and confirm order. Introduce a cycle and confirm it is refused at save time with a named code. Enumerate every job family exposed by the product and prove each is either backed by a registered executor or explicitly unavailable by typed reason. Register a test executor through DI and prove it runs without editing the orchestrator switch. The current 'no manual executor'/'not implemented yet' runtime fall-through is no longer reachable for an advertised executable job.
Newly authored execution schedules express repetition/window/control-flow in the Job contract rather than creating a new Canvas FOR/WHILE node. A compatibility fixture for an existing T-242 loop definition remains readable and produces an explicit compatibility interpretation rather than data loss.</x:v>
      </x:c>
      <x:c r="D7" s="113" t="str">
        <x:v>Declare a three-job chain, run it, and confirm order. Introduce a cycle and confirm it is refused at save time with a named code. Enumerate every job family exposed by the product and prove each is either backed by a registered executor or explicitly unavailable by typed reason. Register a test executor through DI and prove it runs without editing the orchestrator switch. The current 'no manual executor'/'not implemented yet' runtime fall-through is no longer reachable for an advertised executable job.
Newly authored execution schedules express repetition/window/control-flow in the Job contract rather than creating a new Canvas FOR/WHILE node. A compatibility fixture for an existing T-242 loop definition remains readable and produces an explicit compatibility interpretation rather than data loss.
v2.22.0 — Prove canonical schedule parsing/normalisation and UI next-occurrence parity; UTC/timezone and DST gap/fold rules; one atomic admission per tenant/job/schedule-revision/occurrence under racing workers; restart/missed ticks; invalid or unsupported schedule typed refusal; paused state persists. Cancel API is tenant/role-scoped, idempotent, reaches executor and records exactly one final outcome. Cancellation request is not completion acknowledgement. Define all-success, mixed, all-failed, no-work, cancelled and interrupted outcomes; one failed import batch cannot be hidden in an Ok run in either manual or worker path. Current-cycle and earlier-success reuse follow explicit allow_stale_reuse and age ceiling, with timestamps, policy and watermark in job_run_dependencies. Trigger-fires, wrong-kind/surface and actual orchestration evidence use disposable DB fixtures. Keep existing historical closure evidence; certify newly widened obligations separately.</x:v>
      </x:c>
      <x:c r="E7" s="113" t="str">
        <x:v>Scheduler, outcome and freshness acceptance</x:v>
      </x:c>
      <x:c r="F7"/>
      <x:c r="G7"/>
      <x:c r="H7"/>
      <x:c r="I7"/>
      <x:c r="J7"/>
      <x:c r="K7"/>
      <x:c r="L7"/>
    </x:row>
    <x:row r="8" ht="72" customHeight="1">
      <x:c r="A8" s="113" t="str">
        <x:v>T-106</x:v>
      </x:c>
      <x:c r="B8" s="113" t="str">
        <x:v>Task Name</x:v>
      </x:c>
      <x:c r="C8" s="113" t="str">
        <x:v>Job target/version policy, executor capability registry and dependency DAG</x:v>
      </x:c>
      <x:c r="D8" s="113" t="str">
        <x:v>Canonical jobs: target/version, scheduling, dependencies, cancellation and outcome truth</x:v>
      </x:c>
      <x:c r="E8" s="113" t="str">
        <x:v>Approved scope expansion</x:v>
      </x:c>
      <x:c r="F8"/>
      <x:c r="G8"/>
      <x:c r="H8"/>
      <x:c r="I8"/>
      <x:c r="J8"/>
      <x:c r="K8"/>
      <x:c r="L8"/>
    </x:row>
    <x:row r="9" ht="72" customHeight="1">
      <x:c r="A9" s="113" t="str">
        <x:v>T-106</x:v>
      </x:c>
      <x:c r="B9" s="113" t="str">
        <x:v>Status</x:v>
      </x:c>
      <x:c r="C9" s="113" t="str">
        <x:v>Not Started</x:v>
      </x:c>
      <x:c r="D9" s="113" t="str">
        <x:v>In Progress</x:v>
      </x:c>
      <x:c r="E9" s="113" t="str">
        <x:v>Source exists; expanded closure remains unproven</x:v>
      </x:c>
      <x:c r="F9"/>
      <x:c r="G9"/>
      <x:c r="H9"/>
      <x:c r="I9"/>
      <x:c r="J9"/>
      <x:c r="K9"/>
      <x:c r="L9"/>
    </x:row>
    <x:row r="10" ht="72" customHeight="1">
      <x:c r="A10" s="113" t="str">
        <x:v>T-106</x:v>
      </x:c>
      <x:c r="B10" s="113" t="str">
        <x:v>Secondary Capability IDs</x:v>
      </x:c>
      <x:c r="C10" s="113" t="str">
        <x:v>L2.5; L2.7</x:v>
      </x:c>
      <x:c r="D10" s="113" t="str">
        <x:v>L2.5; L2.7; L1.7</x:v>
      </x:c>
      <x:c r="E10" s="113" t="str">
        <x:v>Traceability coverage</x:v>
      </x:c>
      <x:c r="F10"/>
      <x:c r="G10"/>
      <x:c r="H10"/>
      <x:c r="I10"/>
      <x:c r="J10"/>
      <x:c r="K10"/>
      <x:c r="L10"/>
    </x:row>
    <x:row r="11" ht="72" customHeight="1">
      <x:c r="A11" s="113" t="str">
        <x:v>T-106</x:v>
      </x:c>
      <x:c r="B11" s="113" t="str">
        <x:v>Depends On (IDs only)</x:v>
      </x:c>
      <x:c r="C11" s="113" t="str">
        <x:v>T-064; T-089; T-090</x:v>
      </x:c>
      <x:c r="D11" s="113" t="str">
        <x:v>T-064; T-089; T-090; T-252</x:v>
      </x:c>
      <x:c r="E11" s="113" t="str">
        <x:v>Dependency aligned to owning producer</x:v>
      </x:c>
      <x:c r="F11"/>
      <x:c r="G11"/>
      <x:c r="H11"/>
      <x:c r="I11"/>
      <x:c r="J11"/>
      <x:c r="K11"/>
      <x:c r="L11"/>
    </x:row>
    <x:row r="12" ht="72" customHeight="1">
      <x:c r="A12" s="113" t="str">
        <x:v>T-108</x:v>
      </x:c>
      <x:c r="B12" s="113" t="str">
        <x:v>Task Description</x:v>
      </x:c>
      <x:c r="C12" s="113" t="str">
        <x:v>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x:v>
      </x:c>
      <x:c r="D12" s="113" t="str">
        <x:v>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
v2.22.0 — Own acquisition-to-projection delta correctness: typed total-order cursor with source-stable tie-break for non-unique watermarks; one invariant provider-native ordering contract; durable cursor/staging/receipt atomicity; replay-safe accepted effects; per-dataset/profile budget resolution constrained by installation/source ceilings; apply pre-read budget/window/rate/concurrency/timeout checks on incremental as well as preview reads. Do not replace a stricter parent ceiling with a looser child override. Source native ordering and source-version identity govern legitimate updates. Retain existing stage-watermark and delta-projection duties; T-110 owns the advanced M3 parallel chunk engine.</x:v>
      </x:c>
      <x:c r="E12" s="113" t="str">
        <x:v>Absorb acquisition defects into existing delta owner</x:v>
      </x:c>
      <x:c r="F12"/>
      <x:c r="G12"/>
      <x:c r="H12"/>
      <x:c r="I12"/>
      <x:c r="J12"/>
      <x:c r="K12"/>
      <x:c r="L12"/>
    </x:row>
    <x:row r="13" ht="72" customHeight="1">
      <x:c r="A13" s="113" t="str">
        <x:v>T-108</x:v>
      </x:c>
      <x:c r="B13" s="113" t="str">
        <x:v>Task Validation</x:v>
      </x:c>
      <x:c r="C13" s="113" t="str">
        <x:v>Change one source row and confirm projection processes a bounded delta rather than a full scan, evidenced by rows-scanned telemetry.</x:v>
      </x:c>
      <x:c r="D13" s="113" t="str">
        <x:v>Change one source row and confirm projection processes a bounded delta rather than a full scan, evidenced by rows-scanned telemetry.
v2.22.0 — Use more equal-watermark records than three page limits, numeric/timestamp/composite cursors, declared key changes, source updates, no change, de-DE/en-US serialization, crash before and after commit and racing workers. Prove no missed rows/no duplicate accepted source revision, and checkpoint advanced only with durable effects. Over-budget incremental reads issue no source query. Replay of a partially failed import preserves legitimate later versions of the same business key. One changed source row produces bounded downstream work with recorded counts.</x:v>
      </x:c>
      <x:c r="E13" s="113" t="str">
        <x:v>Total-order, replay and source-load acceptance</x:v>
      </x:c>
      <x:c r="F13"/>
      <x:c r="G13"/>
      <x:c r="H13"/>
      <x:c r="I13"/>
      <x:c r="J13"/>
      <x:c r="K13"/>
      <x:c r="L13"/>
    </x:row>
    <x:row r="14" ht="72" customHeight="1">
      <x:c r="A14" s="113" t="str">
        <x:v>T-108</x:v>
      </x:c>
      <x:c r="B14" s="113" t="str">
        <x:v>Task Name</x:v>
      </x:c>
      <x:c r="C14" s="113" t="str">
        <x:v>stage_watermarks and delta-scoped projection</x:v>
      </x:c>
      <x:c r="D14" s="113" t="str">
        <x:v>End-to-end delta correctness: source cursor, load protection, replay and projection watermark</x:v>
      </x:c>
      <x:c r="E14" s="113" t="str">
        <x:v>Approved delta scope expansion</x:v>
      </x:c>
      <x:c r="F14"/>
      <x:c r="G14"/>
      <x:c r="H14"/>
      <x:c r="I14"/>
      <x:c r="J14"/>
      <x:c r="K14"/>
      <x:c r="L14"/>
    </x:row>
    <x:row r="15" ht="72" customHeight="1">
      <x:c r="A15" s="113" t="str">
        <x:v>T-108</x:v>
      </x:c>
      <x:c r="B15" s="113" t="str">
        <x:v>Secondary Capability IDs</x:v>
      </x:c>
      <x:c r="C15" s="113" t="str">
        <x:v>L1.3</x:v>
      </x:c>
      <x:c r="D15" s="113" t="str">
        <x:v>L1.3; L1.1; L1.7</x:v>
      </x:c>
      <x:c r="E15" s="113" t="str">
        <x:v>Traceability coverage</x:v>
      </x:c>
      <x:c r="F15"/>
      <x:c r="G15"/>
      <x:c r="H15"/>
      <x:c r="I15"/>
      <x:c r="J15"/>
      <x:c r="K15"/>
      <x:c r="L15"/>
    </x:row>
    <x:row r="16" ht="72" customHeight="1">
      <x:c r="A16" s="113" t="str">
        <x:v>T-108</x:v>
      </x:c>
      <x:c r="B16" s="113" t="str">
        <x:v>Depends On (IDs only)</x:v>
      </x:c>
      <x:c r="C16" s="113"/>
      <x:c r="D16" s="113" t="str">
        <x:v>T-099; T-104</x:v>
      </x:c>
      <x:c r="E16" s="113" t="str">
        <x:v>Dependency aligned to owning producer</x:v>
      </x:c>
      <x:c r="F16"/>
      <x:c r="G16"/>
      <x:c r="H16"/>
      <x:c r="I16"/>
      <x:c r="J16"/>
      <x:c r="K16"/>
      <x:c r="L16"/>
    </x:row>
    <x:row r="17" ht="72" customHeight="1">
      <x:c r="A17" s="113" t="str">
        <x:v>T-110</x:v>
      </x:c>
      <x:c r="B17" s="113" t="str">
        <x:v>Task Description</x:v>
      </x:c>
      <x:c r="C17" s="113" t="str">
        <x:v>Implement Chapter 4 5.3.9.6a: bounded chunks with receipts, checkpoint and resume after interruption, and a deterministic merge so a resumed run produces the same result as an uninterrupted one.</x:v>
      </x:c>
      <x:c r="D17" s="113" t="str">
        <x:v>Implement Chapter 4 5.3.9.6a: bounded chunks with receipts, checkpoint and resume after interruption, and a deterministic merge so a resumed run produces the same result as an uninterrupted one.
v2.22.0 — Absorb T-111 runtime scan-budget enforcement: bounded row/byte chunks, receipts, checkpoint/resume, deterministic merge, explicit scan mode, cumulative scan budget and abort/finding. T-155 owns calibrated constants/Scan Amplification bands; T-159 owns C1-C4 certification. M2 T-108/T-109 must still deliver safe bounded delta execution and replay; moving advanced chunk machinery does not waive Day-1 source limits or safe cancellation.</x:v>
      </x:c>
      <x:c r="E17" s="113" t="str">
        <x:v>Merge T111 runtime into scale execution</x:v>
      </x:c>
      <x:c r="F17"/>
      <x:c r="G17"/>
      <x:c r="H17"/>
      <x:c r="I17"/>
      <x:c r="J17"/>
      <x:c r="K17"/>
      <x:c r="L17"/>
    </x:row>
    <x:row r="18" ht="72" customHeight="1">
      <x:c r="A18" s="113" t="str">
        <x:v>T-110</x:v>
      </x:c>
      <x:c r="B18" s="113" t="str">
        <x:v>Task Validation</x:v>
      </x:c>
      <x:c r="C18" s="113" t="str">
        <x:v>Kill a running job at 60 percent, restart it, and confirm the final result is byte-identical to an uninterrupted run over the same input.</x:v>
      </x:c>
      <x:c r="D18" s="113" t="str">
        <x:v>Kill a running job at 60 percent, restart it, and confirm the final result is byte-identical to an uninterrupted run over the same input.
v2.22.0 — Record a baseline, then deliberately remove a delta scope and confirm the gate goes red. Restore and confirm green. Prove chunk parallelism 1 vs 8 business output parity; abort above cumulative scan budget; uncommitted chunk rolls back; resumes exactly from committed receipts; preserved input/version pins.</x:v>
      </x:c>
      <x:c r="E18" s="113" t="str">
        <x:v>Conserve T111 negative control</x:v>
      </x:c>
      <x:c r="F18"/>
      <x:c r="G18"/>
      <x:c r="H18"/>
      <x:c r="I18"/>
      <x:c r="J18"/>
      <x:c r="K18"/>
      <x:c r="L18"/>
    </x:row>
    <x:row r="19" ht="72" customHeight="1">
      <x:c r="A19" s="113" t="str">
        <x:v>T-110</x:v>
      </x:c>
      <x:c r="B19" s="113" t="str">
        <x:v>Task Name</x:v>
      </x:c>
      <x:c r="C19" s="113" t="str">
        <x:v>Chunk manifests, checkpoint, resume and deterministic merge</x:v>
      </x:c>
      <x:c r="D19" s="113" t="str">
        <x:v>Bounded delta execution: chunks, resume, deterministic merge and scan budgets</x:v>
      </x:c>
      <x:c r="E19" s="113" t="str">
        <x:v>Merge and move</x:v>
      </x:c>
      <x:c r="F19"/>
      <x:c r="G19"/>
      <x:c r="H19"/>
      <x:c r="I19"/>
      <x:c r="J19"/>
      <x:c r="K19"/>
      <x:c r="L19"/>
    </x:row>
    <x:row r="20" ht="72" customHeight="1">
      <x:c r="A20" s="113" t="str">
        <x:v>T-110</x:v>
      </x:c>
      <x:c r="B20" s="113" t="str">
        <x:v>Hours</x:v>
      </x:c>
      <x:c r="C20" s="113" t="n">
        <x:v>12</x:v>
      </x:c>
      <x:c r="D20" s="113" t="n">
        <x:v>24</x:v>
      </x:c>
      <x:c r="E20" s="113" t="str">
        <x:v>Conservative combined baseline estimate; calibration allocations need re-estimation</x:v>
      </x:c>
      <x:c r="F20"/>
      <x:c r="G20"/>
      <x:c r="H20"/>
      <x:c r="I20"/>
      <x:c r="J20"/>
      <x:c r="K20"/>
      <x:c r="L20"/>
    </x:row>
    <x:row r="21" ht="72" customHeight="1">
      <x:c r="A21" s="113" t="str">
        <x:v>T-110</x:v>
      </x:c>
      <x:c r="B21" s="113" t="str">
        <x:v>Depends On (IDs only)</x:v>
      </x:c>
      <x:c r="C21" s="113"/>
      <x:c r="D21" s="113" t="str">
        <x:v>T-108; T-109</x:v>
      </x:c>
      <x:c r="E21" s="113" t="str">
        <x:v>Dependency aligned to owning producer</x:v>
      </x:c>
      <x:c r="F21"/>
      <x:c r="G21"/>
      <x:c r="H21"/>
      <x:c r="I21"/>
      <x:c r="J21"/>
      <x:c r="K21"/>
      <x:c r="L21"/>
    </x:row>
    <x:row r="22" ht="72" customHeight="1">
      <x:c r="A22" s="113" t="str">
        <x:v>T-110</x:v>
      </x:c>
      <x:c r="B22" s="113" t="str">
        <x:v>Milestone Id</x:v>
      </x:c>
      <x:c r="C22" s="113" t="str">
        <x:v>M2</x:v>
      </x:c>
      <x:c r="D22" s="113" t="str">
        <x:v>M3</x:v>
      </x:c>
      <x:c r="E22" s="113" t="str">
        <x:v>Owner-approved release placement</x:v>
      </x:c>
      <x:c r="F22"/>
      <x:c r="G22"/>
      <x:c r="H22"/>
      <x:c r="I22"/>
      <x:c r="J22"/>
      <x:c r="K22"/>
      <x:c r="L22"/>
    </x:row>
    <x:row r="23" ht="72" customHeight="1">
      <x:c r="A23" s="113" t="str">
        <x:v>T-110</x:v>
      </x:c>
      <x:c r="B23" s="113" t="str">
        <x:v>Phase Id</x:v>
      </x:c>
      <x:c r="C23" s="113" t="str">
        <x:v>P2</x:v>
      </x:c>
      <x:c r="D23" s="113" t="str">
        <x:v>P1</x:v>
      </x:c>
      <x:c r="E23" s="113" t="str">
        <x:v>Owner-approved release placement</x:v>
      </x:c>
      <x:c r="F23"/>
      <x:c r="G23"/>
      <x:c r="H23"/>
      <x:c r="I23"/>
      <x:c r="J23"/>
      <x:c r="K23"/>
      <x:c r="L23"/>
    </x:row>
    <x:row r="24" ht="72" customHeight="1">
      <x:c r="A24" s="113" t="str">
        <x:v>T-110</x:v>
      </x:c>
      <x:c r="B24" s="113" t="str">
        <x:v>Release Criticality</x:v>
      </x:c>
      <x:c r="C24" s="113" t="str">
        <x:v>Release 1 MUST</x:v>
      </x:c>
      <x:c r="D24" s="113" t="str">
        <x:v>Release 2 MUST</x:v>
      </x:c>
      <x:c r="E24" s="113" t="str">
        <x:v>Owner-approved release placement</x:v>
      </x:c>
      <x:c r="F24"/>
      <x:c r="G24"/>
      <x:c r="H24"/>
      <x:c r="I24"/>
      <x:c r="J24"/>
      <x:c r="K24"/>
      <x:c r="L24"/>
    </x:row>
    <x:row r="25" ht="72" customHeight="1">
      <x:c r="A25" s="113" t="str">
        <x:v>T-110</x:v>
      </x:c>
      <x:c r="B25" s="113" t="str">
        <x:v>Release Scope</x:v>
      </x:c>
      <x:c r="C25" s="113" t="str">
        <x:v>R1</x:v>
      </x:c>
      <x:c r="D25" s="113" t="str">
        <x:v>R2</x:v>
      </x:c>
      <x:c r="E25" s="113" t="str">
        <x:v>Owner-approved release placement</x:v>
      </x:c>
      <x:c r="F25"/>
      <x:c r="G25"/>
      <x:c r="H25"/>
      <x:c r="I25"/>
      <x:c r="J25"/>
      <x:c r="K25"/>
      <x:c r="L25"/>
    </x:row>
    <x:row r="26" ht="72" customHeight="1">
      <x:c r="A26" s="113" t="str">
        <x:v>T-246</x:v>
      </x:c>
      <x:c r="B26" s="113" t="str">
        <x:v>Milestone Id</x:v>
      </x:c>
      <x:c r="C26" s="113" t="str">
        <x:v>M2</x:v>
      </x:c>
      <x:c r="D26" s="113" t="str">
        <x:v>M3</x:v>
      </x:c>
      <x:c r="E26" s="113" t="str">
        <x:v>Owner-approved release placement</x:v>
      </x:c>
      <x:c r="F26"/>
      <x:c r="G26"/>
      <x:c r="H26"/>
      <x:c r="I26"/>
      <x:c r="J26"/>
      <x:c r="K26"/>
      <x:c r="L26"/>
    </x:row>
    <x:row r="27" ht="72" customHeight="1">
      <x:c r="A27" s="113" t="str">
        <x:v>T-246</x:v>
      </x:c>
      <x:c r="B27" s="113" t="str">
        <x:v>Phase Id</x:v>
      </x:c>
      <x:c r="C27" s="113" t="str">
        <x:v>P2</x:v>
      </x:c>
      <x:c r="D27" s="113" t="str">
        <x:v>P4</x:v>
      </x:c>
      <x:c r="E27" s="113" t="str">
        <x:v>Owner-approved release placement</x:v>
      </x:c>
      <x:c r="F27"/>
      <x:c r="G27"/>
      <x:c r="H27"/>
      <x:c r="I27"/>
      <x:c r="J27"/>
      <x:c r="K27"/>
      <x:c r="L27"/>
    </x:row>
    <x:row r="28" ht="72" customHeight="1">
      <x:c r="A28" s="113" t="str">
        <x:v>T-246</x:v>
      </x:c>
      <x:c r="B28" s="113" t="str">
        <x:v>Release Criticality</x:v>
      </x:c>
      <x:c r="C28" s="113" t="str">
        <x:v>Release 1 MUST</x:v>
      </x:c>
      <x:c r="D28" s="113" t="str">
        <x:v>Release 2 MUST</x:v>
      </x:c>
      <x:c r="E28" s="113" t="str">
        <x:v>Owner-approved release placement</x:v>
      </x:c>
      <x:c r="F28"/>
      <x:c r="G28"/>
      <x:c r="H28"/>
      <x:c r="I28"/>
      <x:c r="J28"/>
      <x:c r="K28"/>
      <x:c r="L28"/>
    </x:row>
    <x:row r="29" ht="72" customHeight="1">
      <x:c r="A29" s="113" t="str">
        <x:v>T-246</x:v>
      </x:c>
      <x:c r="B29" s="113" t="str">
        <x:v>Release Scope</x:v>
      </x:c>
      <x:c r="C29" s="113" t="str">
        <x:v>R1</x:v>
      </x:c>
      <x:c r="D29" s="113" t="str">
        <x:v>R2</x:v>
      </x:c>
      <x:c r="E29" s="113" t="str">
        <x:v>Owner-approved release placement</x:v>
      </x:c>
      <x:c r="F29"/>
      <x:c r="G29"/>
      <x:c r="H29"/>
      <x:c r="I29"/>
      <x:c r="J29"/>
      <x:c r="K29"/>
      <x:c r="L29"/>
    </x:row>
    <x:row r="30" ht="72" customHeight="1">
      <x:c r="A30" s="113" t="str">
        <x:v>T-246</x:v>
      </x:c>
      <x:c r="B30" s="113" t="str">
        <x:v>Depends On (IDs only)</x:v>
      </x:c>
      <x:c r="C30" s="113" t="str">
        <x:v>T-243; T-130; T-137</x:v>
      </x:c>
      <x:c r="D30" s="113" t="str">
        <x:v>T-243; T-130; T-137; T-187</x:v>
      </x:c>
      <x:c r="E30" s="113" t="str">
        <x:v>Dependency aligned to owning producer</x:v>
      </x:c>
      <x:c r="F30"/>
      <x:c r="G30"/>
      <x:c r="H30"/>
      <x:c r="I30"/>
      <x:c r="J30"/>
      <x:c r="K30"/>
      <x:c r="L30"/>
    </x:row>
    <x:row r="31" ht="72" customHeight="1">
      <x:c r="A31" s="113" t="str">
        <x:v>T-248</x:v>
      </x:c>
      <x:c r="B31" s="113" t="str">
        <x:v>Depends On (IDs only)</x:v>
      </x:c>
      <x:c r="C31" s="113" t="str">
        <x:v>T-148; T-202; T-203; T-204; T-205; T-228; T-241; T-243; T-244; T-245; T-246; T-257</x:v>
      </x:c>
      <x:c r="D31" s="113" t="str">
        <x:v>T-148; T-202; T-203; T-204; T-205; T-228; T-241; T-243; T-244; T-245; T-257</x:v>
      </x:c>
      <x:c r="E31" s="113" t="str">
        <x:v>Authoring grammar closure is not dependent on commissioned model family</x:v>
      </x:c>
      <x:c r="F31"/>
      <x:c r="G31"/>
      <x:c r="H31"/>
      <x:c r="I31"/>
      <x:c r="J31"/>
      <x:c r="K31"/>
      <x:c r="L31"/>
    </x:row>
    <x:row r="32" ht="72" customHeight="1">
      <x:c r="A32" s="113" t="str">
        <x:v>T-101</x:v>
      </x:c>
      <x:c r="B32" s="113" t="str">
        <x:v>Task Description</x:v>
      </x:c>
      <x:c r="C32" s="113" t="str">
        <x:v>Complete the C2 Mapping Health page against Chapter 3 4.4 C2: issues grouped by code, example rows, and Reprocess after the mapping is corrected. The M1 version delivered the shape; this delivers the full class set and the retry semantics.</x:v>
      </x:c>
      <x:c r="D32" s="113" t="str">
        <x:v>Complete the C2 Mapping Health page against Chapter 3 4.4 C2: issues grouped by code, example rows, and Reprocess after the mapping is corrected. The M1 version delivered the shape; this delivers the full class set and the retry semantics.
v2.22.0 — Quarantine inspection API/UI and schema-drift enforcement. Keep one drift event authority and reuse current schemas/compatibility safely.</x:v>
      </x:c>
      <x:c r="E32" s="113" t="str">
        <x:v>Approved audit correction</x:v>
      </x:c>
      <x:c r="F32"/>
      <x:c r="G32"/>
      <x:c r="H32"/>
      <x:c r="I32"/>
      <x:c r="J32"/>
      <x:c r="K32"/>
      <x:c r="L32"/>
    </x:row>
    <x:row r="33" ht="72" customHeight="1">
      <x:c r="A33" s="113" t="str">
        <x:v>T-101</x:v>
      </x:c>
      <x:c r="B33" s="113" t="str">
        <x:v>Task Validation</x:v>
      </x:c>
      <x:c r="C33" s="113" t="str">
        <x:v>Quarantine rows under three different codes, correct one mapping, reprocess, and confirm only the affected rows clear. The M1 continuity snapshot of this page must still match.</x:v>
      </x:c>
      <x:c r="D33" s="113" t="str">
        <x:v>Quarantine rows under three different codes, correct one mapping, reprocess, and confirm only the affected rows clear. The M1 continuity snapshot of this page must still match.
v2.22.0 — GET quarantine list/detail filtered by code, dataset and batch with staging lineage/correction hint; tenant denial; remove mapped source object/field -&gt; typed execution refusal and persisted C2 event; corrected reprocess uses declared version and records outcome.</x:v>
      </x:c>
      <x:c r="E33" s="113" t="str">
        <x:v>Named acceptance conservation/extension</x:v>
      </x:c>
      <x:c r="F33"/>
      <x:c r="G33"/>
      <x:c r="H33"/>
      <x:c r="I33"/>
      <x:c r="J33"/>
      <x:c r="K33"/>
      <x:c r="L33"/>
    </x:row>
    <x:row r="34" ht="72" customHeight="1">
      <x:c r="A34" s="113" t="str">
        <x:v>T-103</x:v>
      </x:c>
      <x:c r="B34" s="113" t="str">
        <x:v>Task Description</x:v>
      </x:c>
      <x:c r="C34" s="113" t="str">
        <x:v>Confirm the genealogy layer walks both directions on the customer's own keys and that attribution weights are enforced to sum to exactly 1.0 per child by the database trigger on genealogy_edges.contribution_weight numeric(9,6).</x:v>
      </x:c>
      <x:c r="D34" s="113" t="str">
        <x:v>Confirm the genealogy layer walks both directions on the customer's own keys and that attribution weights are enforced to sum to exactly 1.0 per child by the database trigger on genealogy_edges.contribution_weight numeric(9,6).
v2.22.0 — Retain genealogy semantics and add explicit cyclic/self-edge protection at service and database boundaries.</x:v>
      </x:c>
      <x:c r="E34" s="113" t="str">
        <x:v>Approved audit correction</x:v>
      </x:c>
      <x:c r="F34"/>
      <x:c r="G34"/>
      <x:c r="H34"/>
      <x:c r="I34"/>
      <x:c r="J34"/>
      <x:c r="K34"/>
      <x:c r="L34"/>
    </x:row>
    <x:row r="35" ht="72" customHeight="1">
      <x:c r="A35" s="113" t="str">
        <x:v>T-103</x:v>
      </x:c>
      <x:c r="B35" s="113" t="str">
        <x:v>Task Validation</x:v>
      </x:c>
      <x:c r="C35" s="113" t="str">
        <x:v>Walk a chain backward and forward and confirm the same edges are traversed. Attempt an insert whose weights sum to 0.99 inside a transaction and confirm the trigger rejects it, then roll back.</x:v>
      </x:c>
      <x:c r="D35" s="113" t="str">
        <x:v>Walk a chain backward and forward and confirm the same edges are traversed. Attempt an insert whose weights sum to 0.99 inside a transaction and confirm the trigger rejects it, then roll back.
v2.22.0 — Negative controls: self-edge, two-node and longer cycles refused; ordered weighted genealogy valid paths remain accepted; no silent deletion of lineage.</x:v>
      </x:c>
      <x:c r="E35" s="113" t="str">
        <x:v>Named acceptance conservation/extension</x:v>
      </x:c>
      <x:c r="F35"/>
      <x:c r="G35"/>
      <x:c r="H35"/>
      <x:c r="I35"/>
      <x:c r="J35"/>
      <x:c r="K35"/>
      <x:c r="L35"/>
    </x:row>
    <x:row r="36" ht="72" customHeight="1">
      <x:c r="A36" s="113" t="str">
        <x:v>T-243</x:v>
      </x:c>
      <x:c r="B36" s="113" t="str">
        <x:v>Task Description</x:v>
      </x:c>
      <x:c r="C36" s="113" t="str">
        <x:v>Persist the shared canvas graph through the unified definition_store/definition_versions authority. Save block positions, typed connections, parameters and purpose; reopen and edit a published/draft version under the existing lifecycle. No canvas-specific shadow store.</x:v>
      </x:c>
      <x:c r="D36" s="113" t="str">
        <x:v>Persist the shared canvas graph through the unified definition_store/definition_versions authority. Save block positions, typed connections, parameters and purpose; reopen and edit a published/draft version under the existing lifecycle. No canvas-specific shadow store.
v2.22.0 — Extend the existing saved-board lifecycle to transactional relationship publication. Publish via existing IRelationshipPublicationService; derive only customer-declared joins/grains/attribution, not every arbitrary join inferred as a business relation. No shadow store. Legacy VisualMapper must route through canonical lifecycle or be retired compatibility-safely.</x:v>
      </x:c>
      <x:c r="E36" s="113" t="str">
        <x:v>Approved audit correction</x:v>
      </x:c>
      <x:c r="F36"/>
      <x:c r="G36"/>
      <x:c r="H36"/>
      <x:c r="I36"/>
      <x:c r="J36"/>
      <x:c r="K36"/>
      <x:c r="L36"/>
    </x:row>
    <x:row r="37" ht="72" customHeight="1">
      <x:c r="A37" s="113" t="str">
        <x:v>T-243</x:v>
      </x:c>
      <x:c r="B37" s="113" t="str">
        <x:v>Task Validation</x:v>
      </x:c>
      <x:c r="C37" s="113" t="str">
        <x:v>Create/save/reopen/edit round-trip preserves semantic graph content; version history is immutable; rollback selects an existing version; no second definition lifecycle/table is introduced. The governed output target/Analysis Subject identity introduced by T-253 is part of the semantic round-trip and cannot collapse to a hardcoded material target.</x:v>
      </x:c>
      <x:c r="D37" s="113" t="str">
        <x:v>Create/save/reopen/edit round-trip preserves semantic graph content; version history is immutable; rollback selects an existing version; no second definition lifecycle/table is introduced. The governed output target/Analysis Subject identity introduced by T-253 is part of the semantic round-trip and cannot collapse to a hardcoded material target.
v2.22.0 — Publish a declared multi-member relationship and verify resolver consumption; republish supersedes not deletes; rollback/history remains explainable; simulated failure leaves neither a partially published definition nor a partially retired/emitted relationship set. Retain existing board/hash/Graph-SQL/reopen evidence; unproven new requirements do not erase previous implementation.</x:v>
      </x:c>
      <x:c r="E37" s="113" t="str">
        <x:v>Named acceptance conservation/extension</x:v>
      </x:c>
      <x:c r="F37"/>
      <x:c r="G37"/>
      <x:c r="H37"/>
      <x:c r="I37"/>
      <x:c r="J37"/>
      <x:c r="K37"/>
      <x:c r="L37"/>
    </x:row>
    <x:row r="38" ht="72" customHeight="1">
      <x:c r="A38" s="113" t="str">
        <x:v>T-254</x:v>
      </x:c>
      <x:c r="B38" s="113" t="str">
        <x:v>Task Description</x:v>
      </x:c>
      <x:c r="C38" s="113" t="str">
        <x:v>Eliminate independent frontend/website capability claims for connectors and source systems. Availability, browse/read/subscription/import certification, Planned/Unavailable/Certified state and descriptive capability text are rendered from the backend connector truth snapshot or a generated artifact derived from it. Remove static 'live source' counts/claims that are not backed by current executed certification evidence.</x:v>
      </x:c>
      <x:c r="D38" s="113" t="str">
        <x:v>Eliminate independent frontend/website capability claims for connectors and source systems. Availability, browse/read/subscription/import certification, Planned/Unavailable/Certified state and descriptive capability text are rendered from the backend connector truth snapshot or a generated artifact derived from it. Remove static 'live source' counts/claims that are not backed by current executed certification evidence.
v2.22.0 — Converge backend provider validation and customer-facing truth on one authority; no independent provider capability list. Unimplemented SAP/REST remain explicitly non-executable; OPC metadata must equal runtime facts. This is bounded newly reviewed scope, not blanket reopening of earlier closures.</x:v>
      </x:c>
      <x:c r="E38" s="113" t="str">
        <x:v>Approved audit correction</x:v>
      </x:c>
      <x:c r="F38"/>
      <x:c r="G38"/>
      <x:c r="H38"/>
      <x:c r="I38"/>
      <x:c r="J38"/>
      <x:c r="K38"/>
      <x:c r="L38"/>
    </x:row>
    <x:row r="39" ht="72" customHeight="1">
      <x:c r="A39" s="113" t="str">
        <x:v>T-254</x:v>
      </x:c>
      <x:c r="B39" s="113" t="str">
        <x:v>Task Validation</x:v>
      </x:c>
      <x:c r="C39" s="113" t="str">
        <x:v>Change a connector capability/certification state in a backend fixture and prove the DB Configuration UI and generated website proof change without editing frontend/website source. Unsupported/planned connectors remain dimmed and attempts retain the typed refusal from T-207. Static gate finds no second provider-capability availability registry and no unqualified '6 live source systems' claim.</x:v>
      </x:c>
      <x:c r="D39" s="113" t="str">
        <x:v>Change a connector capability/certification state in a backend fixture and prove the DB Configuration UI and generated website proof change without editing frontend/website source. Unsupported/planned connectors remain dimmed and attempts retain the typed refusal from T-207. Static gate finds no second provider-capability availability registry and no unqualified '6 live source systems' claim.
v2.22.0 — Profile create validation, /provider-types, UI, website and execution capability agree; architecture and behavioral test enumerate unsupported families; changing one authority is reflected by all consumers; preserve valid T-207/T-254 historical proof.</x:v>
      </x:c>
      <x:c r="E39" s="113" t="str">
        <x:v>Named acceptance conservation/extension</x:v>
      </x:c>
      <x:c r="F39"/>
      <x:c r="G39"/>
      <x:c r="H39"/>
      <x:c r="I39"/>
      <x:c r="J39"/>
      <x:c r="K39"/>
      <x:c r="L39"/>
    </x:row>
    <x:row r="40" ht="72" customHeight="1">
      <x:c r="A40" s="113" t="str">
        <x:v>T-113</x:v>
      </x:c>
      <x:c r="B40" s="113" t="str">
        <x:v>Task Description</x:v>
      </x:c>
      <x:c r="C40" s="113" t="str">
        <x:v>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
v2.20.0 REVIEW ADDENDUM — remove the dead PPIQ_RUN_E2E runtime-env knob now that canonical Jenkins E2E is unconditionally blocking. Production administration must require MFA by default (or require an explicit, auditable production exception); Release-1 evidence must include one MFA-enabled admin path.</x:v>
      </x:c>
      <x:c r="D40" s="113" t="str">
        <x:v>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
v2.20.0 REVIEW ADDENDUM — remove the dead PPIQ_RUN_E2E runtime-env knob now that canonical Jenkins E2E is unconditionally blocking. Production administration must require MFA by default (or require an explicit, auditable production exception); Release-1 evidence must include one MFA-enabled admin path.
v2.22.0 — Enforce release-profile secret/configuration and unsafe legacy route boundary. Secrets only through references; reject/migrate secret-bearing options, protect logs/backups; release profile disables bootstrap defaults, seeds/dev minting and hand-entered-outcome runtime exposure.</x:v>
      </x:c>
      <x:c r="E40" s="113" t="str">
        <x:v>Approved audit correction</x:v>
      </x:c>
      <x:c r="F40"/>
      <x:c r="G40"/>
      <x:c r="H40"/>
      <x:c r="I40"/>
      <x:c r="J40"/>
      <x:c r="K40"/>
      <x:c r="L40"/>
    </x:row>
    <x:row r="41" ht="72" customHeight="1">
      <x:c r="A41" s="113" t="str">
        <x:v>T-113</x:v>
      </x:c>
      <x:c r="B41" s="113" t="str">
        <x:v>Task Validation</x:v>
      </x:c>
      <x:c r="C41" s="113" t="str">
        <x:v>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 Confirm no executable production/runtime script supplies the retired server IP as a fallback. Confirm PPIQ_RUN_E2E is absent from runtime profile generation. A Production profile with privileged-admin MFA disabled fails the configuration gate unless an explicit governed exception fixture is supplied. Run one privileged-admin E2E path with MFA enabled.</x:v>
      </x:c>
      <x:c r="D41" s="113" t="str">
        <x:v>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 Confirm no executable production/runtime script supplies the retired server IP as a fallback. Confirm PPIQ_RUN_E2E is absent from runtime profile generation. A Production profile with privileged-admin MFA disabled fails the configuration gate unless an explicit governed exception fixture is supplied. Run one privileged-admin E2E path with MFA enabled.
v2.22.0 — Harmless sentinel round trip on create/update/get/list and logs; test setup failures fail tests; no secrets in profile row/response/log; no demo seed on production path; release-profile negative probes for dev/legacy routes; secret-scan evidence without printing secrets.</x:v>
      </x:c>
      <x:c r="E41" s="113" t="str">
        <x:v>Named acceptance conservation/extension</x:v>
      </x:c>
      <x:c r="F41"/>
      <x:c r="G41"/>
      <x:c r="H41"/>
      <x:c r="I41"/>
      <x:c r="J41"/>
      <x:c r="K41"/>
      <x:c r="L41"/>
    </x:row>
    <x:row r="42" ht="72" customHeight="1">
      <x:c r="A42" s="113" t="str">
        <x:v>T-121</x:v>
      </x:c>
      <x:c r="B42" s="113" t="str">
        <x:v>Task Description</x:v>
      </x:c>
      <x:c r="C42" s="113" t="str">
        <x:v>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
v2.10.2 PAGE-COVERAGE EXPANSION — this owner also delivers the required F3 Authoring Quota and Limits route /admin/quota. F2 shows licence/entitlement and total meters; F3 allocates authoring quotas by role/user with current consumption, Amber at &gt;=80%, create disabled at 100%, and no lost draft.
v2.20.0 TRUST-ROOT RULING — production licence issuance/signing authority is vendor-side. Customer databases contain verification/public-key material and licence artifacts, not a production private signing key capable of minting a valid licence. Any development-only local signing key is explicitly non-production and either truly encrypted at rest or stored under a truthful non-encrypted name; an `_encrypted` column may not contain raw PEM.</x:v>
      </x:c>
      <x:c r="D42" s="113" t="str">
        <x:v>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
v2.10.2 PAGE-COVERAGE EXPANSION — this owner also delivers the required F3 Authoring Quota and Limits route /admin/quota. F2 shows licence/entitlement and total meters; F3 allocates authoring quotas by role/user with current consumption, Amber at &gt;=80%, create disabled at 100%, and no lost draft.
v2.20.0 TRUST-ROOT RULING — production licence issuance/signing authority is vendor-side. Customer databases contain verification/public-key material and licence artifacts, not a production private signing key capable of minting a valid licence. Any development-only local signing key is explicitly non-production and either truly encrypted at rest or stored under a truthful non-encrypted name; an `_encrypted` column may not contain raw PEM.
v2.22.0 — Preserve vendor-only signing and existing F2/F3 quota ownership. Remove shadow ILicenseService registrations; dev signing storage/naming truthful and non-production.</x:v>
      </x:c>
      <x:c r="E42" s="113" t="str">
        <x:v>Approved audit correction</x:v>
      </x:c>
      <x:c r="F42"/>
      <x:c r="G42"/>
      <x:c r="H42"/>
      <x:c r="I42"/>
      <x:c r="J42"/>
      <x:c r="K42"/>
      <x:c r="L42"/>
    </x:row>
    <x:row r="43" ht="72" customHeight="1">
      <x:c r="A43" s="113" t="str">
        <x:v>T-121</x:v>
      </x:c>
      <x:c r="B43" s="113" t="str">
        <x:v>Task Validation</x:v>
      </x:c>
      <x:c r="C43" s="113" t="str">
        <x:v>Exceed a meter and confirm the import queues and the job waits for a slot rather than failing. Confirm the customer can see their own approach to each meter in the interface, since a limit the customer cannot see is a trap.
In addition to licence-meter tests, open /admin/quota, change one role quota and one user override, approach 80% and 100%, and prove warning/disable semantics plus audit. Non-admin roles are denied by the final page contract. Issue a production-shaped licence outside the customer database, verify it on the customer installation, tamper and prove refusal. Prove the customer database alone cannot mint a valid production licence. Inspect signing-key persistence and prove no raw private PEM is stored in a field/schema claiming encryption.</x:v>
      </x:c>
      <x:c r="D43" s="113" t="str">
        <x:v>Exceed a meter and confirm the import queues and the job waits for a slot rather than failing. Confirm the customer can see their own approach to each meter in the interface, since a limit the customer cannot see is a trap.
In addition to licence-meter tests, open /admin/quota, change one role quota and one user override, approach 80% and 100%, and prove warning/disable semantics plus audit. Non-admin roles are denied by the final page contract. Issue a production-shaped licence outside the customer database, verify it on the customer installation, tamper and prove refusal. Prove the customer database alone cannot mint a valid production licence. Inspect signing-key persistence and prove no raw private PEM is stored in a field/schema claiming encryption.
v2.22.0 — Exactly one effective registration; valid/tampered/expired licenses; no production signing secret; dev mint endpoint denied/unmapped in release profile; keep quota 80%/100%, role/user override and no lost draft acceptance.</x:v>
      </x:c>
      <x:c r="E43" s="113" t="str">
        <x:v>Named acceptance conservation/extension</x:v>
      </x:c>
      <x:c r="F43"/>
      <x:c r="G43"/>
      <x:c r="H43"/>
      <x:c r="I43"/>
      <x:c r="J43"/>
      <x:c r="K43"/>
      <x:c r="L43"/>
    </x:row>
    <x:row r="44" ht="72" customHeight="1">
      <x:c r="A44" s="113" t="str">
        <x:v>T-123</x:v>
      </x:c>
      <x:c r="B44" s="113" t="str">
        <x:v>Task Description</x:v>
      </x:c>
      <x:c r="C44" s="113" t="str">
        <x:v>Build the fresh installation and upgrade paths from Chapter 6 6.1.4, including what an upgrade may never do, and a rollback path. Migration runs as a deployment step rather than as a manual action. Explicitly own in-place upgrade of a long-lived installation: canonical migration ledger/watermark continuity, upgrade from an older valid schema without rebuild, rollback boundary, and reconciliation of a development DB whose migration ledger is missing/stale. Do not conflate populated plant data with migration-ledger correctness.
v2.20.0 DEPLOYMENT HARDENING — Release-1 production containers run with explicit non-root runtime users, and customer/public hostnames/IPs come from selected configuration profiles; executable install/smoke scripts have no legacy-server IP fallback. Do not wait for M3 isolated-ML container work to establish these minimum production properties.</x:v>
      </x:c>
      <x:c r="D44" s="113" t="str">
        <x:v>Build the fresh installation and upgrade paths from Chapter 6 6.1.4, including what an upgrade may never do, and a rollback path. Migration runs as a deployment step rather than as a manual action. Explicitly own in-place upgrade of a long-lived installation: canonical migration ledger/watermark continuity, upgrade from an older valid schema without rebuild, rollback boundary, and reconciliation of a development DB whose migration ledger is missing/stale. Do not conflate populated plant data with migration-ledger correctness.
v2.20.0 DEPLOYMENT HARDENING — Release-1 production containers run with explicit non-root runtime users, and customer/public hostnames/IPs come from selected configuration profiles; executable install/smoke scripts have no legacy-server IP fallback. Do not wait for M3 isolated-ML container work to establish these minimum production properties.
v2.22.0 — Keep deterministic install/upgrade/rollback. Production schema migration and demo/presentation seed authorities are separated; operational profile values are external to product source.</x:v>
      </x:c>
      <x:c r="E44" s="113" t="str">
        <x:v>Approved audit correction</x:v>
      </x:c>
      <x:c r="F44"/>
      <x:c r="G44"/>
      <x:c r="H44"/>
      <x:c r="I44"/>
      <x:c r="J44"/>
      <x:c r="K44"/>
      <x:c r="L44"/>
    </x:row>
    <x:row r="45" ht="72" customHeight="1">
      <x:c r="A45" s="113" t="str">
        <x:v>T-123</x:v>
      </x:c>
      <x:c r="B45" s="113" t="str">
        <x:v>Task Validation</x:v>
      </x:c>
      <x:c r="C45" s="113" t="str">
        <x:v>Install on a clean machine, upgrade from the previous version, then roll back. All three complete without manual database intervention. Run the fourteen post-deployment acceptance checks from 6.1.4.6. Clone an older populated installation, upgrade it in place through the canonical runner, prove schema_migrations/EF history records the executed path, preserve customer rows, and prove rollback/failed-upgrade recovery without substituting a fresh empty database. Inspect every Release-1 runtime image and prove its effective UID is non-root. Provision two different host/domain profiles without editing repository files and complete install/upgrade/smoke on both. A missing required production host value fails configuration rather than falling back to the historical server.</x:v>
      </x:c>
      <x:c r="D45" s="113" t="str">
        <x:v>Install on a clean machine, upgrade from the previous version, then roll back. All three complete without manual database intervention. Run the fourteen post-deployment acceptance checks from 6.1.4.6. Clone an older populated installation, upgrade it in place through the canonical runner, prove schema_migrations/EF history records the executed path, preserve customer rows, and prove rollback/failed-upgrade recovery without substituting a fresh empty database. Inspect every Release-1 runtime image and prove its effective UID is non-root. Provision two different host/domain profiles without editing repository files and complete install/upgrade/smoke on both. A missing required production host value fails configuration rather than falling back to the historical server.
v2.22.0 — Fresh production install has no demo/customer facts, no automatic presentation seed, external host/secret config, and restart/upgrade/rollback proof. Non-root process/container checks apply to the deployment profile actually shipped.</x:v>
      </x:c>
      <x:c r="E45" s="113" t="str">
        <x:v>Named acceptance conservation/extension</x:v>
      </x:c>
      <x:c r="F45"/>
      <x:c r="G45"/>
      <x:c r="H45"/>
      <x:c r="I45"/>
      <x:c r="J45"/>
      <x:c r="K45"/>
      <x:c r="L45"/>
    </x:row>
    <x:row r="46" ht="72" customHeight="1">
      <x:c r="A46" s="113" t="str">
        <x:v>T-235</x:v>
      </x:c>
      <x:c r="B46" s="113" t="str">
        <x:v>Task Description</x:v>
      </x:c>
      <x:c r="C46" s="113" t="str">
        <x:v>Persist process_transition_definitions and process_transition_events plus effective-dated stabilisation policy, provenance and query API under the canonical definition/tenant authority. Do not model changeover as downtime by default; overlap is allowed and explicit.</x:v>
      </x:c>
      <x:c r="D46" s="113" t="str">
        <x:v>Persist process_transition_definitions and process_transition_events plus effective-dated stabilisation policy, provenance and query API under the canonical definition/tenant authority. Do not model changeover as downtime by default; overlap is allowed and explicit.
v2.22.0 — Wire existing TransitionAwarePoolingGuard into production statistics/correlation using persisted regime authority. This is M2 correctness, not a claim that every customer necessarily has transitions.</x:v>
      </x:c>
      <x:c r="E46" s="113" t="str">
        <x:v>Approved audit correction</x:v>
      </x:c>
      <x:c r="F46"/>
      <x:c r="G46"/>
      <x:c r="H46"/>
      <x:c r="I46"/>
      <x:c r="J46"/>
      <x:c r="K46"/>
      <x:c r="L46"/>
    </x:row>
    <x:row r="47" ht="72" customHeight="1">
      <x:c r="A47" s="113" t="str">
        <x:v>T-235</x:v>
      </x:c>
      <x:c r="B47" s="113" t="str">
        <x:v>Task Validation</x:v>
      </x:c>
      <x:c r="C47" s="113" t="str">
        <x:v>Fresh migration/replay green. A customer-authored transition definition and event round-trip with scope/from-to context/stabilisation rule; no shipped industry values. Querying an interval returns exact transition/stabilisation overlaps and evidence.</x:v>
      </x:c>
      <x:c r="D47" s="113" t="str">
        <x:v>Fresh migration/replay green. A customer-authored transition definition and event round-trip with scope/from-to context/stabilisation rule; no shipped industry values. Querying an interval returns exact transition/stabilisation overlaps and evidence.
v2.22.0 — Declared transitions/stabilisation are excluded or stratified per policy; undefined required regime context refuses rather than pooling; declared no-transition case supported with evidence; known-answer production-path test and provenance.</x:v>
      </x:c>
      <x:c r="E47" s="113" t="str">
        <x:v>Named acceptance conservation/extension</x:v>
      </x:c>
      <x:c r="F47"/>
      <x:c r="G47"/>
      <x:c r="H47"/>
      <x:c r="I47"/>
      <x:c r="J47"/>
      <x:c r="K47"/>
      <x:c r="L47"/>
    </x:row>
    <x:row r="48" ht="72" customHeight="1">
      <x:c r="A48" s="113" t="str">
        <x:v>T-145</x:v>
      </x:c>
      <x:c r="B48" s="113" t="str">
        <x:v>Task Description</x:v>
      </x:c>
      <x:c r="C48" s="113" t="str">
        <x:v>Capture observed outcomes, prediction/remediation evaluation and escalation records. Intervened instances are reported separately from ordinary prediction-accuracy metrics. Escalation is a record, never an automatic decision.</x:v>
      </x:c>
      <x:c r="D48" s="113" t="str">
        <x:v>Capture observed outcomes, prediction/remediation evaluation and escalation records. Intervened instances are reported separately from ordinary prediction-accuracy metrics. Escalation is a record, never an automatic decision.
v2.22.0 — Own canonical outcome, effectiveness and feedback quality/poisoning boundary. Retire the parallel hand-entered Phase-8 outcome authority with T-190; do not delete historical evidence unsafely.</x:v>
      </x:c>
      <x:c r="E48" s="113" t="str">
        <x:v>Approved audit correction</x:v>
      </x:c>
      <x:c r="F48"/>
      <x:c r="G48"/>
      <x:c r="H48"/>
      <x:c r="I48"/>
      <x:c r="J48"/>
      <x:c r="K48"/>
      <x:c r="L48"/>
    </x:row>
    <x:row r="49" ht="72" customHeight="1">
      <x:c r="A49" s="113" t="str">
        <x:v>T-145</x:v>
      </x:c>
      <x:c r="B49" s="113" t="str">
        <x:v>Task Validation</x:v>
      </x:c>
      <x:c r="C49" s="113" t="str">
        <x:v>Accept a candidate, let the outcome arrive and prove evaluation closes the loop with intervention state preserved. Confirm intervened instances are excluded from ordinary accuracy calculation and an escalation creates no action automatically.</x:v>
      </x:c>
      <x:c r="D49" s="113" t="str">
        <x:v>Accept a candidate, let the outcome arrive and prove evaluation closes the loop with intervention state preserved. Confirm intervened instances are excluded from ordinary accuracy calculation and an escalation creates no action automatically.
v2.22.0 — Canonical-only outcome (DC03), complete action record before eligible feedback, actor concentration DC07 evidence, eligible-only supervisor proposals, feedback IDs retained and no auto-retraining. M2 unsafe route denial belongs to T-113.</x:v>
      </x:c>
      <x:c r="E49" s="113" t="str">
        <x:v>Named acceptance conservation/extension</x:v>
      </x:c>
      <x:c r="F49"/>
      <x:c r="G49"/>
      <x:c r="H49"/>
      <x:c r="I49"/>
      <x:c r="J49"/>
      <x:c r="K49"/>
      <x:c r="L49"/>
    </x:row>
    <x:row r="50" ht="72" customHeight="1">
      <x:c r="A50" s="113" t="str">
        <x:v>T-146</x:v>
      </x:c>
      <x:c r="B50" s="113" t="str">
        <x:v>Task Description</x:v>
      </x:c>
      <x:c r="C50" s="113" t="str">
        <x:v>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x:v>
      </x:c>
      <x:c r="D50" s="113" t="str">
        <x:v>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
v2.22.0 — Converge production statistical methods and discipline onto the accepted authorities; absorb/retire duplicate StatisticalDiscipline code only after all consumer and test obligations move. No performance/style-only rewrite.</x:v>
      </x:c>
      <x:c r="E50" s="113" t="str">
        <x:v>Approved audit correction</x:v>
      </x:c>
      <x:c r="F50"/>
      <x:c r="G50"/>
      <x:c r="H50"/>
      <x:c r="I50"/>
      <x:c r="J50"/>
      <x:c r="K50"/>
      <x:c r="L50"/>
    </x:row>
    <x:row r="51" ht="72" customHeight="1">
      <x:c r="A51" s="113" t="str">
        <x:v>T-146</x:v>
      </x:c>
      <x:c r="B51" s="113" t="str">
        <x:v>Task Validation</x:v>
      </x:c>
      <x:c r="C51" s="113" t="str">
        <x:v>Only one production correlation engine is reachable. Known-answer fixtures cover Numeric×Numeric, Binary×Numeric, Categorical×Categorical and Numeric×Categorical. Numeric×Categorical selects ANOVA when assumptions hold and Kruskal-Wallis otherwise. Constant, unsupported and insufficient-sample cases retain distinct reasons. Re-run the M1 analysis continuity checks and prove no visible regression.</x:v>
      </x:c>
      <x:c r="D51" s="113" t="str">
        <x:v>Only one production correlation engine is reachable. Known-answer fixtures cover Numeric×Numeric, Binary×Numeric, Categorical×Categorical and Numeric×Categorical. Numeric×Categorical selects ANOVA when assumptions hold and Kruskal-Wallis otherwise. Constant, unsupported and insufficient-sample cases retain distinct reasons. Re-run the M1 analysis continuity checks and prove no visible regression.
v2.22.0 — One production discipline path; known-answer regression and required FDR/effect/stratification/refusal outputs survive. Reuse accepted kernel evidence; absence of callers alone is not justification to erase future integration work.</x:v>
      </x:c>
      <x:c r="E51" s="113" t="str">
        <x:v>Named acceptance conservation/extension</x:v>
      </x:c>
      <x:c r="F51"/>
      <x:c r="G51"/>
      <x:c r="H51"/>
      <x:c r="I51"/>
      <x:c r="J51"/>
      <x:c r="K51"/>
      <x:c r="L51"/>
    </x:row>
    <x:row r="52" ht="72" customHeight="1">
      <x:c r="A52" s="113" t="str">
        <x:v>T-186</x:v>
      </x:c>
      <x:c r="B52" s="113" t="str">
        <x:v>Task Description</x:v>
      </x:c>
      <x:c r="C52" s="113" t="str">
        <x:v>Persist the T-171 capability profile per outcome/grain/manifest and implement governed prediction-point candidates plus the model-count governor. Only capabilities supported by measured data become eligible; collapsed dimensions and refusal reasons remain visible. Prediction points are activated under policy rather than multiplying models blindly.</x:v>
      </x:c>
      <x:c r="D52" s="113" t="str">
        <x:v>Persist the T-171 capability profile per outcome/grain/manifest and implement governed prediction-point candidates plus the model-count governor. Only capabilities supported by measured data become eligible; collapsed dimensions and refusal reasons remain visible. Prediction points are activated under policy rather than multiplying models blindly.
v2.22.0 — Persist and integrate CapabilityProfiler while preserving one readiness decision authority; coordinate T-146 consumers so a second production readiness result cannot disagree.</x:v>
      </x:c>
      <x:c r="E52" s="113" t="str">
        <x:v>Approved audit correction</x:v>
      </x:c>
      <x:c r="F52"/>
      <x:c r="G52"/>
      <x:c r="H52"/>
      <x:c r="I52"/>
      <x:c r="J52"/>
      <x:c r="K52"/>
      <x:c r="L52"/>
    </x:row>
    <x:row r="53" ht="72" customHeight="1">
      <x:c r="A53" s="113" t="str">
        <x:v>T-186</x:v>
      </x:c>
      <x:c r="B53" s="113" t="str">
        <x:v>Task Validation</x:v>
      </x:c>
      <x:c r="C53" s="113" t="str">
        <x:v>On one rich and one sparse reference population, persist different capability states with their measured basis. Generate prediction-point candidates and prove the governor caps/chooses them deterministically. An unsupported model family remains MODEL_NOT_READY/NOT_APPLICABLE rather than creating a placeholder model.</x:v>
      </x:c>
      <x:c r="D53" s="113" t="str">
        <x:v>On one rich and one sparse reference population, persist different capability states with their measured basis. Generate prediction-point candidates and prove the governor caps/chooses them deterministically. An unsupported model family remains MODEL_NOT_READY/NOT_APPLICABLE rather than creating a placeholder model.
v2.22.0 — Same population/definition/manifest yields same gate decision at all consumers; values/thresholds/refusal evidence visible; missing data fail-closed.</x:v>
      </x:c>
      <x:c r="E53" s="113" t="str">
        <x:v>Named acceptance conservation/extension</x:v>
      </x:c>
      <x:c r="F53"/>
      <x:c r="G53"/>
      <x:c r="H53"/>
      <x:c r="I53"/>
      <x:c r="J53"/>
      <x:c r="K53"/>
      <x:c r="L53"/>
    </x:row>
    <x:row r="54" ht="72" customHeight="1">
      <x:c r="A54" s="113" t="str">
        <x:v>T-165</x:v>
      </x:c>
      <x:c r="B54" s="113" t="str">
        <x:v>Task Description</x:v>
      </x:c>
      <x:c r="C54" s="113" t="str">
        <x:v>Validate the real user, page, job, DB-link and data bands against measured infrastructure, and build the Sales Administration and capacity calculator from Chapter 6 6.3.8.</x:v>
      </x:c>
      <x:c r="D54" s="113" t="str">
        <x:v>Validate the real user, page, job, DB-link and data bands against measured infrastructure, and build the Sales Administration and capacity calculator from Chapter 6 6.3.8.
v2.22.0 — Explicitly deliver infrastructure-cost formula Ch6 6.3.5 and licence-price function 6.3.6 with their separate assumptions and units; avoid conflating entitlement with commercial price.</x:v>
      </x:c>
      <x:c r="E54" s="113" t="str">
        <x:v>Approved audit correction</x:v>
      </x:c>
      <x:c r="F54"/>
      <x:c r="G54"/>
      <x:c r="H54"/>
      <x:c r="I54"/>
      <x:c r="J54"/>
      <x:c r="K54"/>
      <x:c r="L54"/>
    </x:row>
    <x:row r="55" ht="72" customHeight="1">
      <x:c r="A55" s="113" t="str">
        <x:v>T-165</x:v>
      </x:c>
      <x:c r="B55" s="113" t="str">
        <x:v>Task Validation</x:v>
      </x:c>
      <x:c r="C55" s="113" t="str">
        <x:v>A quote produced by the calculator matches the measured server class for the same inputs.</x:v>
      </x:c>
      <x:c r="D55" s="113" t="str">
        <x:v>A quote produced by the calculator matches the measured server class for the same inputs.
v2.22.0 — Known-answer cost and price inputs/outputs; unit/currency/time basis; invalid/missing assumptions refuse; customer figures not fabricated.</x:v>
      </x:c>
      <x:c r="E55" s="113" t="str">
        <x:v>Named acceptance conservation/extension</x:v>
      </x:c>
      <x:c r="F55"/>
      <x:c r="G55"/>
      <x:c r="H55"/>
      <x:c r="I55"/>
      <x:c r="J55"/>
      <x:c r="K55"/>
      <x:c r="L55"/>
    </x:row>
    <x:row r="56" ht="72" customHeight="1">
      <x:c r="A56" s="113" t="str">
        <x:v>T-248</x:v>
      </x:c>
      <x:c r="B56" s="113" t="str">
        <x:v>Task Description</x:v>
      </x:c>
      <x:c r="C56" s="113" t="str">
        <x:v>Close the Release-2 remainder of the founder-approved F01-F15, S01-S30 and E01-E30 outcome matrix using native PPIQ semantics. Explicitly include Scoped Measure Context, Named Comparison State, pending lasso/range confirm-cancel, story/live-source return, complete current-state export matrix, advanced exploration, mini-overview navigation where applicable, and reusable versioned subflows as the PPIQ equivalent of script Include/Must_Include.
v2.20.0 ENTERPRISE-BI PARITY EXPANSION — the 75-item matrix explicitly includes context-sensitive property inspection, named selections/bookmarks, pivot/crosstab or governed PPIQ-equivalent, conditional formatting, export/print fidelity, design-token/theme governance, accessibility/keyboard authoring, and removal of localStorage as a fallback for server-owned page/widget layout state.
v2.20.0 AUTHORING-SEMANTICS CONVERGENCE — close the historical T-242/Layer-B placement contradiction without reopening T-242. For newly authored definitions, arithmetic/comparison/logic are expression configuration inside the block they configure, while FOR/WHILE-style control flow is Job orchestration. Existing persisted T-242 definitions remain reopenable through an explicit compatibility translation/representation; do not strand customer-authored history.</x:v>
      </x:c>
      <x:c r="D56" s="113" t="str">
        <x:v>Close the Release-2 remainder of the founder-approved F01-F15, S01-S30 and E01-E30 outcome matrix using native PPIQ semantics. Explicitly include Scoped Measure Context, Named Comparison State, pending lasso/range confirm-cancel, story/live-source return, complete current-state export matrix, advanced exploration, mini-overview navigation where applicable, and reusable versioned subflows as the PPIQ equivalent of script Include/Must_Include.
v2.20.0 ENTERPRISE-BI PARITY EXPANSION — the 75-item matrix explicitly includes context-sensitive property inspection, named selections/bookmarks, pivot/crosstab or governed PPIQ-equivalent, conditional formatting, export/print fidelity, design-token/theme governance, accessibility/keyboard authoring, and removal of localStorage as a fallback for server-owned page/widget layout state.
v2.20.0 AUTHORING-SEMANTICS CONVERGENCE — close the historical T-242/Layer-B placement contradiction without reopening T-242. For newly authored definitions, arithmetic/comparison/logic are expression configuration inside the block they configure, while FOR/WHILE-style control flow is Job orchestration. Existing persisted T-242 definitions remain reopenable through an explicit compatibility translation/representation; do not strand customer-authored history.
v2.22.0 — Add G3 global search/command palette and G6 activity tray, preserving role/tenant scope, keyboard/focus, cross-page progress and reconnection. Use UI/Figma companion frames as visual implementation reference, not new behavior authority.</x:v>
      </x:c>
      <x:c r="E56" s="113" t="str">
        <x:v>Approved audit correction</x:v>
      </x:c>
      <x:c r="F56"/>
      <x:c r="G56"/>
      <x:c r="H56"/>
      <x:c r="I56"/>
      <x:c r="J56"/>
      <x:c r="K56"/>
      <x:c r="L56"/>
    </x:row>
    <x:row r="57" ht="72" customHeight="1">
      <x:c r="A57" s="113" t="str">
        <x:v>T-248</x:v>
      </x:c>
      <x:c r="B57" s="113" t="str">
        <x:v>Task Validation</x:v>
      </x:c>
      <x:c r="C57" s="113" t="str">
        <x:v>A 75-row acceptance matrix has no Unowned or Missing row. Every row is Implemented or PPIQ-Equivalent, has an automated/visual acceptance or an explicit non-applicability proof, and no proprietary Qlik syntax is required. Comparative acceptance against the defined PPIQ outcomes demonstrates no missing enterprise authoring row for inspector/style, bookmark/selection, pivot/crosstab, formatting, export and accessibility. Server-owned layouts survive a clean browser profile with localStorage cleared. Raw component colour literals are within an explicit design-token allowlist.
A new definition authors arithmetic/logic through expression configuration and schedules repetition/control flow through the Job authority. A persisted legacy T-242 board definition reopens with semantic equivalence and an explicit compatibility marker; save-as-new converges to the current representation without losing history.</x:v>
      </x:c>
      <x:c r="D57" s="113" t="str">
        <x:v>A 75-row acceptance matrix has no Unowned or Missing row. Every row is Implemented or PPIQ-Equivalent, has an automated/visual acceptance or an explicit non-applicability proof, and no proprietary Qlik syntax is required. Comparative acceptance against the defined PPIQ outcomes demonstrates no missing enterprise authoring row for inspector/style, bookmark/selection, pivot/crosstab, formatting, export and accessibility. Server-owned layouts survive a clean browser profile with localStorage cleared. Raw component colour literals are within an explicit design-token allowlist.
A new definition authors arithmetic/logic through expression configuration and schedules repetition/control flow through the Job authority. A persisted legacy T-242 board definition reopens with semantic equivalence and an explicit compatibility marker; save-as-new converges to the current representation without losing history.
v2.22.0 — Search scopes results/actions correctly; keyboard select/escape; tray shows run identity/state/progress with polling fallback and no fake percent; empty/failed/denied variants; existing 75-item authoring/BI acceptance retained.</x:v>
      </x:c>
      <x:c r="E57" s="113" t="str">
        <x:v>Named acceptance conservation/extension</x:v>
      </x:c>
      <x:c r="F57"/>
      <x:c r="G57"/>
      <x:c r="H57"/>
      <x:c r="I57"/>
      <x:c r="J57"/>
      <x:c r="K57"/>
      <x:c r="L57"/>
    </x:row>
    <x:row r="58" ht="72" customHeight="1">
      <x:c r="A58" s="113" t="str">
        <x:v>T-116</x:v>
      </x:c>
      <x:c r="B58" s="113" t="str">
        <x:v>Task Description</x:v>
      </x:c>
      <x:c r="C58" s="113" t="str">
        <x:v>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
v2.20.0 ORDERING — perform namespace renaming after T-256 has decided which material/legacy runtime surfaces remain legitimate compatibility surfaces. Do not preserve a semantically invalid endpoint merely to give it a cleaner URL.</x:v>
      </x:c>
      <x:c r="D58" s="113" t="str">
        <x:v>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
v2.20.0 ORDERING — perform namespace renaming after T-256 has decided which material/legacy runtime surfaces remain legitimate compatibility surfaces. Do not preserve a semantically invalid endpoint merely to give it a cleaner URL.
v2.22.0 — Maintain bounded-compatibility consumer register. Move live canon/public consumers to governed authorities before retiring compatibility objects; no delete-probes-first hotfix.</x:v>
      </x:c>
      <x:c r="E58" s="113" t="str">
        <x:v>Approved audit correction</x:v>
      </x:c>
      <x:c r="F58"/>
      <x:c r="G58"/>
      <x:c r="H58"/>
      <x:c r="I58"/>
      <x:c r="J58"/>
      <x:c r="K58"/>
      <x:c r="L58"/>
    </x:row>
    <x:row r="59" ht="72" customHeight="1">
      <x:c r="A59" s="113" t="str">
        <x:v>T-116</x:v>
      </x:c>
      <x:c r="B59" s="113" t="str">
        <x:v>Task Validation</x:v>
      </x:c>
      <x:c r="C59" s="113" t="str">
        <x:v>Every one of the 544 routes appears exactly once in the mapping table. Both the old and the new path return identical responses for a sample of twenty routes.</x:v>
      </x:c>
      <x:c r="D59" s="113" t="str">
        <x:v>Every one of the 544 routes appears exactly once in the mapping table. Both the old and the new path return identical responses for a sample of twenty routes.
v2.22.0 — Inventory each consumer/object, positive and negative parity tests, old history remains readable, retirement only after no active dependency remains; upgrade/fresh install agree.</x:v>
      </x:c>
      <x:c r="E59" s="113" t="str">
        <x:v>Named acceptance conservation/extension</x:v>
      </x:c>
      <x:c r="F59"/>
      <x:c r="G59"/>
      <x:c r="H59"/>
      <x:c r="I59"/>
      <x:c r="J59"/>
      <x:c r="K59"/>
      <x:c r="L59"/>
    </x:row>
    <x:row r="60" ht="72" customHeight="1">
      <x:c r="A60" s="113" t="str">
        <x:v>T-190</x:v>
      </x:c>
      <x:c r="B60" s="113" t="str">
        <x:v>Task Description</x:v>
      </x:c>
      <x:c r="C60" s="113" t="str">
        <x:v>Bind D6 Suggestions to canonical remediation candidates/eligibility/decision records. Suppressed candidates never render. Accept/Reject/Defer controls obey server can_accept and preserve the human/read-only boundary. Preserve the M1 visual contract while deleting presentation-only decision data paths.</x:v>
      </x:c>
      <x:c r="D60" s="113" t="str">
        <x:v>Bind D6 Suggestions to canonical remediation candidates/eligibility/decision records. Suppressed candidates never render. Accept/Reject/Defer controls obey server can_accept and preserve the human/read-only boundary. Preserve the M1 visual contract while deleting presentation-only decision data paths.
v2.22.0 — Retire Phase8SuggestionOutcomeLoopEndpoints as an alternate decision/outcome authority during canonical cutover; preserve relevant historical records and route compatibility only where semantically lawful.</x:v>
      </x:c>
      <x:c r="E60" s="113" t="str">
        <x:v>Approved audit correction</x:v>
      </x:c>
      <x:c r="F60"/>
      <x:c r="G60"/>
      <x:c r="H60"/>
      <x:c r="I60"/>
      <x:c r="J60"/>
      <x:c r="K60"/>
      <x:c r="L60"/>
    </x:row>
    <x:row r="61" ht="72" customHeight="1">
      <x:c r="A61" s="113" t="str">
        <x:v>T-190</x:v>
      </x:c>
      <x:c r="B61" s="113" t="str">
        <x:v>Task Validation</x:v>
      </x:c>
      <x:c r="C61" s="113" t="str">
        <x:v>Run continuity snapshots. Attempt client-side manipulation to enable a forbidden decision and prove the server refuses it. Exercise actionable/evidence_only/exploratory/suppressed cases and confirm only allowed states appear with evidence and actor/reason history.</x:v>
      </x:c>
      <x:c r="D61" s="113" t="str">
        <x:v>Run continuity snapshots. Attempt client-side manipulation to enable a forbidden decision and prove the server refuses it. Exercise actionable/evidence_only/exploratory/suppressed cases and confirm only allowed states appear with evidence and actor/reason history.
v2.22.0 — No new hand-entered actual outcomes; canonical feedback loop with actor/time/provenance; disabled legacy routes cannot mutate production state.</x:v>
      </x:c>
      <x:c r="E61" s="113" t="str">
        <x:v>Named acceptance conservation/extension</x:v>
      </x:c>
      <x:c r="F61"/>
      <x:c r="G61"/>
      <x:c r="H61"/>
      <x:c r="I61"/>
      <x:c r="J61"/>
      <x:c r="K61"/>
      <x:c r="L61"/>
    </x:row>
    <x:row r="62" ht="72" customHeight="1">
      <x:c r="A62" s="113" t="str">
        <x:v>T-155</x:v>
      </x:c>
      <x:c r="B62" s="113" t="str">
        <x:v>Task Description</x:v>
      </x:c>
      <x:c r="C62" s="113" t="str">
        <x:v>On site hardware, jointly execute resource measurements for lane max_concurrency/resource_capacity/compute_weight and the hard online reservation, plus scan-amplification and warm-model/assistant memory. This task supplies measured capacity values; it does not redesign the architecture.</x:v>
      </x:c>
      <x:c r="D62" s="113" t="str">
        <x:v>On site hardware, jointly execute resource measurements for lane max_concurrency/resource_capacity/compute_weight and the hard online reservation, plus scan-amplification and warm-model/assistant memory. This task supplies measured capacity values; it does not redesign the architecture.
v2.22.0 — Absorb T-111 measured Scan Amplification baseline/calibrated bands. T-110 owns runtime enforcement.</x:v>
      </x:c>
      <x:c r="E62" s="113" t="str">
        <x:v>Approved audit correction</x:v>
      </x:c>
      <x:c r="F62"/>
      <x:c r="G62"/>
      <x:c r="H62"/>
      <x:c r="I62"/>
      <x:c r="J62"/>
      <x:c r="K62"/>
      <x:c r="L62"/>
    </x:row>
    <x:row r="63" ht="72" customHeight="1">
      <x:c r="A63" s="113" t="str">
        <x:v>T-155</x:v>
      </x:c>
      <x:c r="B63" s="113" t="str">
        <x:v>Task Validation</x:v>
      </x:c>
      <x:c r="C63" s="113" t="str">
        <x:v>Record hardware, commit and load profile. Saturate training/batch and prove online p95 remains inside the actionable budget. Publish measured lane values and before/after Scan Amplification with no starvation.</x:v>
      </x:c>
      <x:c r="D63" s="113" t="str">
        <x:v>Record hardware, commit and load profile. Saturate training/batch and prove online p95 remains inside the actionable budget. Publish measured lane values and before/after Scan Amplification with no starvation.
v2.22.0 — Measure under declared profiles and record formula, numerator/denominator and scope; known missing delta predicate triggers breach, not a tuned threshold.</x:v>
      </x:c>
      <x:c r="E63" s="113" t="str">
        <x:v>Named acceptance conservation/extension</x:v>
      </x:c>
      <x:c r="F63"/>
      <x:c r="G63"/>
      <x:c r="H63"/>
      <x:c r="I63"/>
      <x:c r="J63"/>
      <x:c r="K63"/>
      <x:c r="L63"/>
    </x:row>
    <x:row r="64" ht="72" customHeight="1">
      <x:c r="A64" s="113" t="str">
        <x:v>T-159</x:v>
      </x:c>
      <x:c r="B64" s="113" t="str">
        <x:v>Task Description</x:v>
      </x:c>
      <x:c r="C64" s="113" t="str">
        <x:v>Run the four Chapter 6 capacity profiles and site certification, consuming the measured benchmark outputs from B-01..B-09 where they affect sizing. Replace only CALIBRATION_REQUIRED/REFERENCE_ASSUMPTION constants with measured values and freeze Chapter 6 when all certification gates pass.</x:v>
      </x:c>
      <x:c r="D64" s="113" t="str">
        <x:v>Run the four Chapter 6 capacity profiles and site certification, consuming the measured benchmark outputs from B-01..B-09 where they affect sizing. Replace only CALIBRATION_REQUIRED/REFERENCE_ASSUMPTION constants with measured values and freeze Chapter 6 when all certification gates pass.
v2.22.0 — Absorb T-111 capacity/regression certification; verify T-110 runtime scan guard using C1-C4 proofs.</x:v>
      </x:c>
      <x:c r="E64" s="113" t="str">
        <x:v>Approved audit correction</x:v>
      </x:c>
      <x:c r="F64"/>
      <x:c r="G64"/>
      <x:c r="H64"/>
      <x:c r="I64"/>
      <x:c r="J64"/>
      <x:c r="K64"/>
      <x:c r="L64"/>
    </x:row>
    <x:row r="65" ht="72" customHeight="1">
      <x:c r="A65" s="113" t="str">
        <x:v>T-159</x:v>
      </x:c>
      <x:c r="B65" s="113" t="str">
        <x:v>Task Validation</x:v>
      </x:c>
      <x:c r="C65" s="113" t="str">
        <x:v>Every worked sizing example recomputes from measured constants; C1-C4 profiles pass their promised envelope. The certification bundle records hardware, commit, dataset, benchmark outputs and sign-off.</x:v>
      </x:c>
      <x:c r="D65" s="113" t="str">
        <x:v>Every worked sizing example recomputes from measured constants; C1-C4 profiles pass their promised envelope. The certification bundle records hardware, commit, dataset, benchmark outputs and sign-off.
v2.22.0 — Known negative control exceeds scan band/aborts; restored predicate passes; results, workload, topology and sampled period pinned.</x:v>
      </x:c>
      <x:c r="E65" s="113" t="str">
        <x:v>Named acceptance conservation/extension</x:v>
      </x:c>
      <x:c r="F65"/>
      <x:c r="G65"/>
      <x:c r="H65"/>
      <x:c r="I65"/>
      <x:c r="J65"/>
      <x:c r="K65"/>
      <x:c r="L65"/>
    </x:row>
    <x:row r="66" ht="72" customHeight="1">
      <x:c r="A66" s="113" t="str">
        <x:v>T-101</x:v>
      </x:c>
      <x:c r="B66" s="113" t="str">
        <x:v>Secondary Capability IDs</x:v>
      </x:c>
      <x:c r="C66" s="113" t="str">
        <x:v>L1.6</x:v>
      </x:c>
      <x:c r="D66" s="113" t="str">
        <x:v>L1.6; L1.2</x:v>
      </x:c>
      <x:c r="E66" s="113" t="str">
        <x:v>Traceability coverage</x:v>
      </x:c>
      <x:c r="F66"/>
      <x:c r="G66"/>
      <x:c r="H66"/>
      <x:c r="I66"/>
      <x:c r="J66"/>
      <x:c r="K66"/>
      <x:c r="L66"/>
    </x:row>
    <x:row r="67" ht="72" customHeight="1">
      <x:c r="A67" s="113" t="str">
        <x:v>T-121</x:v>
      </x:c>
      <x:c r="B67" s="113" t="str">
        <x:v>Secondary Capability IDs</x:v>
      </x:c>
      <x:c r="C67" s="113"/>
      <x:c r="D67" s="113" t="str">
        <x:v>L7.4</x:v>
      </x:c>
      <x:c r="E67" s="113" t="str">
        <x:v>Traceability coverage</x:v>
      </x:c>
      <x:c r="F67"/>
      <x:c r="G67"/>
      <x:c r="H67"/>
      <x:c r="I67"/>
      <x:c r="J67"/>
      <x:c r="K67"/>
      <x:c r="L67"/>
    </x:row>
    <x:row r="68" ht="72" customHeight="1">
      <x:c r="A68" s="113" t="str">
        <x:v>T-145</x:v>
      </x:c>
      <x:c r="B68" s="113" t="str">
        <x:v>Secondary Capability IDs</x:v>
      </x:c>
      <x:c r="C68" s="113" t="str">
        <x:v>L9.6; L6.4</x:v>
      </x:c>
      <x:c r="D68" s="113" t="str">
        <x:v>L9.6; L6.4; L9.8</x:v>
      </x:c>
      <x:c r="E68" s="113" t="str">
        <x:v>Traceability coverage</x:v>
      </x:c>
      <x:c r="F68"/>
      <x:c r="G68"/>
      <x:c r="H68"/>
      <x:c r="I68"/>
      <x:c r="J68"/>
      <x:c r="K68"/>
      <x:c r="L68"/>
    </x:row>
    <x:row r="69" ht="72" customHeight="1">
      <x:c r="A69" s="113" t="str">
        <x:v>T-248</x:v>
      </x:c>
      <x:c r="B69" s="113" t="str">
        <x:v>Secondary Capability IDs</x:v>
      </x:c>
      <x:c r="C69" s="113" t="str">
        <x:v>L3.1; L3.3; L3.4; L3.5; L3.6; L3.9</x:v>
      </x:c>
      <x:c r="D69" s="113" t="str">
        <x:v>L3.1; L3.3; L3.4; L3.5; L3.6; L3.9; L6.7</x:v>
      </x:c>
      <x:c r="E69" s="113" t="str">
        <x:v>Traceability coverage</x:v>
      </x:c>
      <x:c r="F69"/>
      <x:c r="G69"/>
      <x:c r="H69"/>
      <x:c r="I69"/>
      <x:c r="J69"/>
      <x:c r="K69"/>
      <x:c r="L69"/>
    </x:row>
    <x:row r="70" ht="72" customHeight="1">
      <x:c r="A70" s="113" t="str">
        <x:v>T-243</x:v>
      </x:c>
      <x:c r="B70" s="113" t="str">
        <x:v>Secondary Capability IDs</x:v>
      </x:c>
      <x:c r="C70" s="113" t="str">
        <x:v>L3.5; L3.6</x:v>
      </x:c>
      <x:c r="D70" s="113" t="str">
        <x:v>L3.5; L3.6; L2.2</x:v>
      </x:c>
      <x:c r="E70" s="113" t="str">
        <x:v>Traceability coverage</x:v>
      </x:c>
      <x:c r="F70"/>
      <x:c r="G70"/>
      <x:c r="H70"/>
      <x:c r="I70"/>
      <x:c r="J70"/>
      <x:c r="K70"/>
      <x:c r="L70"/>
    </x:row>
    <x:row r="71" ht="72" customHeight="1">
      <x:c r="A71" s="113" t="str">
        <x:v>T-254</x:v>
      </x:c>
      <x:c r="B71" s="113" t="str">
        <x:v>Secondary Capability IDs</x:v>
      </x:c>
      <x:c r="C71" s="113"/>
      <x:c r="D71" s="113" t="str">
        <x:v>L1.4</x:v>
      </x:c>
      <x:c r="E71" s="113" t="str">
        <x:v>Traceability coverage</x:v>
      </x:c>
      <x:c r="F71"/>
      <x:c r="G71"/>
      <x:c r="H71"/>
      <x:c r="I71"/>
      <x:c r="J71"/>
      <x:c r="K71"/>
      <x:c r="L71"/>
    </x:row>
    <x:row r="72" ht="72" customHeight="1">
      <x:c r="A72" s="113" t="str">
        <x:v>T-243</x:v>
      </x:c>
      <x:c r="B72" s="113" t="str">
        <x:v>Status</x:v>
      </x:c>
      <x:c r="C72" s="113" t="str">
        <x:v>Not Started</x:v>
      </x:c>
      <x:c r="D72" s="113" t="str">
        <x:v>In Progress</x:v>
      </x:c>
      <x:c r="E72" s="113" t="str">
        <x:v>Source present; newly expanded publication acceptance unproven</x:v>
      </x:c>
      <x:c r="F72"/>
      <x:c r="G72"/>
      <x:c r="H72"/>
      <x:c r="I72"/>
      <x:c r="J72"/>
      <x:c r="K72"/>
      <x:c r="L72"/>
    </x:row>
    <x:row r="73" ht="72" customHeight="1">
      <x:c r="A73" s="113" t="str">
        <x:v>T-245</x:v>
      </x:c>
      <x:c r="B73" s="113" t="str">
        <x:v>Status</x:v>
      </x:c>
      <x:c r="C73" s="113" t="str">
        <x:v>In Progress</x:v>
      </x:c>
      <x:c r="D73" s="113" t="str">
        <x:v>Not Started</x:v>
      </x:c>
      <x:c r="E73" s="113" t="str">
        <x:v>Queued until producer closures, preserve existing binding work evidence</x:v>
      </x:c>
      <x:c r="F73"/>
      <x:c r="G73"/>
      <x:c r="H73"/>
      <x:c r="I73"/>
      <x:c r="J73"/>
      <x:c r="K73"/>
      <x:c r="L73"/>
    </x:row>
    <x:row r="74" ht="72" customHeight="1">
      <x:c r="A74" s="113" t="str">
        <x:v>T-261</x:v>
      </x:c>
      <x:c r="B74" s="113" t="str">
        <x:v>Depends On (IDs only)</x:v>
      </x:c>
      <x:c r="C74" s="113" t="str">
        <x:v>T-106; T-241; T-242; T-243</x:v>
      </x:c>
      <x:c r="D74" s="113" t="str">
        <x:v>T-106; T-241; T-242; T-243; T-099; T-262</x:v>
      </x:c>
      <x:c r="E74" s="113" t="str">
        <x:v>Dependency aligned to owning producer</x:v>
      </x:c>
      <x:c r="F74"/>
      <x:c r="G74"/>
      <x:c r="H74"/>
      <x:c r="I74"/>
      <x:c r="J74"/>
      <x:c r="K74"/>
      <x:c r="L74"/>
    </x:row>
    <x:row r="75" ht="72" customHeight="1">
      <x:c r="A75" s="113" t="str">
        <x:v>T-104</x:v>
      </x:c>
      <x:c r="B75" s="113" t="str">
        <x:v>Depends On (IDs only)</x:v>
      </x:c>
      <x:c r="C75" s="113" t="str">
        <x:v>T-090; T-095; T-099</x:v>
      </x:c>
      <x:c r="D75" s="113" t="str">
        <x:v>T-090; T-095; T-099; T-261</x:v>
      </x:c>
      <x:c r="E75" s="113" t="str">
        <x:v>Dependency aligned to owning producer</x:v>
      </x:c>
      <x:c r="F75"/>
      <x:c r="G75"/>
      <x:c r="H75"/>
      <x:c r="I75"/>
      <x:c r="J75"/>
      <x:c r="K75"/>
      <x:c r="L75"/>
    </x:row>
    <x:row r="76" ht="72" customHeight="1">
      <x:c r="A76" s="113" t="str">
        <x:v>T-104</x:v>
      </x:c>
      <x:c r="B76" s="113" t="str">
        <x:v>Must Precede (IDs only)</x:v>
      </x:c>
      <x:c r="C76" s="113" t="str">
        <x:v>T-105; T-107; T-109; T-128; T-183</x:v>
      </x:c>
      <x:c r="D76" s="113" t="str">
        <x:v>T-107; T-109; T-128; T-183</x:v>
      </x:c>
      <x:c r="E76" s="113" t="str">
        <x:v>Replace retired dependencies</x:v>
      </x:c>
      <x:c r="F76"/>
      <x:c r="G76"/>
      <x:c r="H76"/>
      <x:c r="I76"/>
      <x:c r="J76"/>
      <x:c r="K76"/>
      <x:c r="L76"/>
    </x:row>
    <x:row r="77" ht="72" customHeight="1">
      <x:c r="A77" s="113" t="str">
        <x:v>T-107</x:v>
      </x:c>
      <x:c r="B77" s="113" t="str">
        <x:v>Depends On (IDs only)</x:v>
      </x:c>
      <x:c r="C77" s="113" t="str">
        <x:v>T-095; T-096; T-097; T-098; T-099; T-100; T-101; T-102; T-103; T-104; T-105; T-106</x:v>
      </x:c>
      <x:c r="D77" s="113" t="str">
        <x:v>T-095; T-096; T-097; T-098; T-099; T-100; T-101; T-102; T-103; T-104; T-106</x:v>
      </x:c>
      <x:c r="E77" s="113" t="str">
        <x:v>Replace retired dependencies</x:v>
      </x:c>
      <x:c r="F77"/>
      <x:c r="G77"/>
      <x:c r="H77"/>
      <x:c r="I77"/>
      <x:c r="J77"/>
      <x:c r="K77"/>
      <x:c r="L77"/>
    </x:row>
    <x:row r="78" ht="72" customHeight="1">
      <x:c r="A78" s="113" t="str">
        <x:v>T-109</x:v>
      </x:c>
      <x:c r="B78" s="113" t="str">
        <x:v>Depends On (IDs only)</x:v>
      </x:c>
      <x:c r="C78" s="113" t="str">
        <x:v>T-095; T-096; T-097; T-098; T-099; T-100; T-101; T-102; T-103; T-104; T-105; T-108</x:v>
      </x:c>
      <x:c r="D78" s="113" t="str">
        <x:v>T-095; T-096; T-097; T-098; T-099; T-100; T-101; T-102; T-103; T-104; T-108</x:v>
      </x:c>
      <x:c r="E78" s="113" t="str">
        <x:v>Replace retired dependencies</x:v>
      </x:c>
      <x:c r="F78"/>
      <x:c r="G78"/>
      <x:c r="H78"/>
      <x:c r="I78"/>
      <x:c r="J78"/>
      <x:c r="K78"/>
      <x:c r="L78"/>
    </x:row>
    <x:row r="79" ht="72" customHeight="1">
      <x:c r="A79" s="113" t="str">
        <x:v>T-128</x:v>
      </x:c>
      <x:c r="B79" s="113" t="str">
        <x:v>Depends On (IDs only)</x:v>
      </x:c>
      <x:c r="C79" s="113" t="str">
        <x:v>T-087; T-088; T-089; T-090; T-091; T-092; T-093; T-094; T-095; T-096; T-097; T-098; T-099; T-100; T-101; T-102; T-103; T-104; T-105; T-112; T-114; T-231; T-210</x:v>
      </x:c>
      <x:c r="D79" s="113" t="str">
        <x:v>T-087; T-088; T-089; T-090; T-091; T-092; T-093; T-094; T-095; T-096; T-097; T-098; T-099; T-100; T-101; T-102; T-103; T-104; T-112; T-114; T-231; T-210</x:v>
      </x:c>
      <x:c r="E79" s="113" t="str">
        <x:v>Replace retired dependencies</x:v>
      </x:c>
      <x:c r="F79"/>
      <x:c r="G79"/>
      <x:c r="H79"/>
      <x:c r="I79"/>
      <x:c r="J79"/>
      <x:c r="K79"/>
      <x:c r="L79"/>
    </x:row>
    <x:row r="80" ht="72" customHeight="1">
      <x:c r="A80" s="113" t="str">
        <x:v>T-183</x:v>
      </x:c>
      <x:c r="B80" s="113" t="str">
        <x:v>Depends On (IDs only)</x:v>
      </x:c>
      <x:c r="C80" s="113" t="str">
        <x:v>T-089; T-090; T-091; T-092; T-093; T-094; T-095; T-096; T-097; T-098; T-099; T-100; T-101; T-102; T-103; T-104; T-105; T-112; T-114</x:v>
      </x:c>
      <x:c r="D80" s="113" t="str">
        <x:v>T-089; T-090; T-091; T-092; T-093; T-094; T-095; T-096; T-097; T-098; T-099; T-100; T-101; T-102; T-103; T-104; T-112; T-114</x:v>
      </x:c>
      <x:c r="E80" s="113" t="str">
        <x:v>Replace retired dependencies</x:v>
      </x:c>
      <x:c r="F80"/>
      <x:c r="G80"/>
      <x:c r="H80"/>
      <x:c r="I80"/>
      <x:c r="J80"/>
      <x:c r="K80"/>
      <x:c r="L80"/>
    </x:row>
    <x:row r="81" ht="72" customHeight="1">
      <x:c r="A81" s="113" t="str">
        <x:v>T-262</x:v>
      </x:c>
      <x:c r="B81" s="113" t="str">
        <x:v>ADD</x:v>
      </x:c>
      <x:c r="C81" s="113"/>
      <x:c r="D81" s="113" t="str">
        <x:v>Governed projection declaration and canonical field-binding contract</x:v>
      </x:c>
      <x:c r="E81" s="113" t="str">
        <x:v>Owner-authorised task; hours not fabricated</x:v>
      </x:c>
      <x:c r="F81"/>
      <x:c r="G81"/>
      <x:c r="H81"/>
      <x:c r="I81"/>
      <x:c r="J81"/>
      <x:c r="K81"/>
      <x:c r="L81"/>
    </x:row>
    <x:row r="82" ht="72" customHeight="1">
      <x:c r="A82" s="113" t="str">
        <x:v>T-263</x:v>
      </x:c>
      <x:c r="B82" s="113" t="str">
        <x:v>ADD</x:v>
      </x:c>
      <x:c r="C82" s="113"/>
      <x:c r="D82" s="113" t="str">
        <x:v>Governed reports, export and scheduled delivery</x:v>
      </x:c>
      <x:c r="E82" s="113" t="str">
        <x:v>Owner-authorised task; hours not fabricated</x:v>
      </x:c>
      <x:c r="F82"/>
      <x:c r="G82"/>
      <x:c r="H82"/>
      <x:c r="I82"/>
      <x:c r="J82"/>
      <x:c r="K82"/>
      <x:c r="L82"/>
    </x:row>
    <x:row r="83" ht="72" customHeight="1">
      <x:c r="A83" s="113" t="str">
        <x:v>T-264</x:v>
      </x:c>
      <x:c r="B83" s="113" t="str">
        <x:v>ADD</x:v>
      </x:c>
      <x:c r="C83" s="113"/>
      <x:c r="D83" s="113" t="str">
        <x:v>Registry-driven internal benchmarking</x:v>
      </x:c>
      <x:c r="E83" s="113" t="str">
        <x:v>Owner-authorised task; hours not fabricated</x:v>
      </x:c>
      <x:c r="F83"/>
      <x:c r="G83"/>
      <x:c r="H83"/>
      <x:c r="I83"/>
      <x:c r="J83"/>
      <x:c r="K83"/>
      <x:c r="L83"/>
    </x:row>
    <x:row r="84" ht="72" customHeight="1">
      <x:c r="A84" s="113" t="str">
        <x:v>T-249</x:v>
      </x:c>
      <x:c r="B84" s="113" t="str">
        <x:v>Depends On (IDs only)</x:v>
      </x:c>
      <x:c r="C84" s="113" t="str">
        <x:v>T-153; T-159; T-160; T-161; T-162; T-163; T-164; T-167; T-193; T-230; T-240; T-248</x:v>
      </x:c>
      <x:c r="D84" s="113" t="str">
        <x:v>T-153; T-159; T-160; T-161; T-162; T-163; T-164; T-167; T-193; T-230; T-240; T-248; T-263; T-264; T-246; T-110</x:v>
      </x:c>
      <x:c r="E84" s="113" t="str">
        <x:v>Dependency aligned to owning producer</x:v>
      </x:c>
      <x:c r="F84"/>
      <x:c r="G84"/>
      <x:c r="H84"/>
      <x:c r="I84"/>
      <x:c r="J84"/>
      <x:c r="K84"/>
      <x:c r="L84"/>
    </x:row>
    <x:row r="85" ht="72" customHeight="1">
      <x:c r="A85" s="113" t="str">
        <x:v>T-247</x:v>
      </x:c>
      <x:c r="B85" s="113" t="str">
        <x:v>Depends On (IDs only)</x:v>
      </x:c>
      <x:c r="C85" s="113" t="str">
        <x:v>T-092; T-207; T-212; T-213; T-241; T-242; T-243; T-244; T-245; T-253; T-254; T-256; T-258</x:v>
      </x:c>
      <x:c r="D85" s="113" t="str">
        <x:v>T-092; T-207; T-212; T-213; T-241; T-242; T-243; T-244; T-245; T-253; T-254; T-256; T-258; T-104; T-108; T-211; T-235</x:v>
      </x:c>
      <x:c r="E85" s="113" t="str">
        <x:v>Dependency aligned to owning producer</x:v>
      </x:c>
      <x:c r="F85"/>
      <x:c r="G85"/>
      <x:c r="H85"/>
      <x:c r="I85"/>
      <x:c r="J85"/>
      <x:c r="K85"/>
      <x:c r="L85"/>
    </x:row>
    <x:row r="86" ht="72" customHeight="1">
      <x:c r="A86" s="113" t="str">
        <x:v>T-086</x:v>
      </x:c>
      <x:c r="B86" s="113" t="str">
        <x:v>Delivery Target</x:v>
      </x:c>
      <x:c r="C86" s="113" t="str">
        <x:v>2026-09-30 Release 1</x:v>
      </x:c>
      <x:c r="D86" s="113" t="str">
        <x:v>M2: ~1 month from owner planning checkpoint; exact date not committed</x:v>
      </x:c>
      <x:c r="E86" s="113" t="str">
        <x:v>Latest owner planning supersedes old calendar targets</x:v>
      </x:c>
      <x:c r="F86"/>
      <x:c r="G86"/>
      <x:c r="H86"/>
      <x:c r="I86"/>
      <x:c r="J86"/>
      <x:c r="K86"/>
      <x:c r="L86"/>
    </x:row>
    <x:row r="87" ht="72" customHeight="1">
      <x:c r="A87" s="113" t="str">
        <x:v>T-087</x:v>
      </x:c>
      <x:c r="B87" s="113" t="str">
        <x:v>Delivery Target</x:v>
      </x:c>
      <x:c r="C87" s="113" t="str">
        <x:v>2026-09-30 Release 1</x:v>
      </x:c>
      <x:c r="D87" s="113" t="str">
        <x:v>M2: ~1 month from owner planning checkpoint; exact date not committed</x:v>
      </x:c>
      <x:c r="E87" s="113" t="str">
        <x:v>Latest owner planning supersedes old calendar targets</x:v>
      </x:c>
      <x:c r="F87"/>
      <x:c r="G87"/>
      <x:c r="H87"/>
      <x:c r="I87"/>
      <x:c r="J87"/>
      <x:c r="K87"/>
      <x:c r="L87"/>
    </x:row>
    <x:row r="88" ht="72" customHeight="1">
      <x:c r="A88" s="113" t="str">
        <x:v>T-088</x:v>
      </x:c>
      <x:c r="B88" s="113" t="str">
        <x:v>Delivery Target</x:v>
      </x:c>
      <x:c r="C88" s="113" t="str">
        <x:v>2026-09-30 Release 1</x:v>
      </x:c>
      <x:c r="D88" s="113" t="str">
        <x:v>M2: ~1 month from owner planning checkpoint; exact date not committed</x:v>
      </x:c>
      <x:c r="E88" s="113" t="str">
        <x:v>Latest owner planning supersedes old calendar targets</x:v>
      </x:c>
      <x:c r="F88"/>
      <x:c r="G88"/>
      <x:c r="H88"/>
      <x:c r="I88"/>
      <x:c r="J88"/>
      <x:c r="K88"/>
      <x:c r="L88"/>
    </x:row>
    <x:row r="89" ht="72" customHeight="1">
      <x:c r="A89" s="113" t="str">
        <x:v>T-089</x:v>
      </x:c>
      <x:c r="B89" s="113" t="str">
        <x:v>Delivery Target</x:v>
      </x:c>
      <x:c r="C89" s="113" t="str">
        <x:v>2026-09-30 Release 1</x:v>
      </x:c>
      <x:c r="D89" s="113" t="str">
        <x:v>M2: ~1 month from owner planning checkpoint; exact date not committed</x:v>
      </x:c>
      <x:c r="E89" s="113" t="str">
        <x:v>Latest owner planning supersedes old calendar targets</x:v>
      </x:c>
      <x:c r="F89"/>
      <x:c r="G89"/>
      <x:c r="H89"/>
      <x:c r="I89"/>
      <x:c r="J89"/>
      <x:c r="K89"/>
      <x:c r="L89"/>
    </x:row>
    <x:row r="90" ht="72" customHeight="1">
      <x:c r="A90" s="113" t="str">
        <x:v>T-090</x:v>
      </x:c>
      <x:c r="B90" s="113" t="str">
        <x:v>Delivery Target</x:v>
      </x:c>
      <x:c r="C90" s="113" t="str">
        <x:v>2026-09-30 Release 1</x:v>
      </x:c>
      <x:c r="D90" s="113" t="str">
        <x:v>M2: ~1 month from owner planning checkpoint; exact date not committed</x:v>
      </x:c>
      <x:c r="E90" s="113" t="str">
        <x:v>Latest owner planning supersedes old calendar targets</x:v>
      </x:c>
      <x:c r="F90"/>
      <x:c r="G90"/>
      <x:c r="H90"/>
      <x:c r="I90"/>
      <x:c r="J90"/>
      <x:c r="K90"/>
      <x:c r="L90"/>
    </x:row>
    <x:row r="91" ht="72" customHeight="1">
      <x:c r="A91" s="113" t="str">
        <x:v>T-091</x:v>
      </x:c>
      <x:c r="B91" s="113" t="str">
        <x:v>Delivery Target</x:v>
      </x:c>
      <x:c r="C91" s="113" t="str">
        <x:v>2026-09-30 Release 1</x:v>
      </x:c>
      <x:c r="D91" s="113" t="str">
        <x:v>M2: ~1 month from owner planning checkpoint; exact date not committed</x:v>
      </x:c>
      <x:c r="E91" s="113" t="str">
        <x:v>Latest owner planning supersedes old calendar targets</x:v>
      </x:c>
      <x:c r="F91"/>
      <x:c r="G91"/>
      <x:c r="H91"/>
      <x:c r="I91"/>
      <x:c r="J91"/>
      <x:c r="K91"/>
      <x:c r="L91"/>
    </x:row>
    <x:row r="92" ht="72" customHeight="1">
      <x:c r="A92" s="113" t="str">
        <x:v>T-092</x:v>
      </x:c>
      <x:c r="B92" s="113" t="str">
        <x:v>Delivery Target</x:v>
      </x:c>
      <x:c r="C92" s="113" t="str">
        <x:v>2026-09-30 Release 1</x:v>
      </x:c>
      <x:c r="D92" s="113" t="str">
        <x:v>M2: ~1 month from owner planning checkpoint; exact date not committed</x:v>
      </x:c>
      <x:c r="E92" s="113" t="str">
        <x:v>Latest owner planning supersedes old calendar targets</x:v>
      </x:c>
      <x:c r="F92"/>
      <x:c r="G92"/>
      <x:c r="H92"/>
      <x:c r="I92"/>
      <x:c r="J92"/>
      <x:c r="K92"/>
      <x:c r="L92"/>
    </x:row>
    <x:row r="93" ht="72" customHeight="1">
      <x:c r="A93" s="113" t="str">
        <x:v>T-093</x:v>
      </x:c>
      <x:c r="B93" s="113" t="str">
        <x:v>Delivery Target</x:v>
      </x:c>
      <x:c r="C93" s="113" t="str">
        <x:v>2026-09-30 Release 1</x:v>
      </x:c>
      <x:c r="D93" s="113" t="str">
        <x:v>M2: ~1 month from owner planning checkpoint; exact date not committed</x:v>
      </x:c>
      <x:c r="E93" s="113" t="str">
        <x:v>Latest owner planning supersedes old calendar targets</x:v>
      </x:c>
      <x:c r="F93"/>
      <x:c r="G93"/>
      <x:c r="H93"/>
      <x:c r="I93"/>
      <x:c r="J93"/>
      <x:c r="K93"/>
      <x:c r="L93"/>
    </x:row>
    <x:row r="94" ht="72" customHeight="1">
      <x:c r="A94" s="113" t="str">
        <x:v>T-094</x:v>
      </x:c>
      <x:c r="B94" s="113" t="str">
        <x:v>Delivery Target</x:v>
      </x:c>
      <x:c r="C94" s="113" t="str">
        <x:v>2026-09-30 Release 1</x:v>
      </x:c>
      <x:c r="D94" s="113" t="str">
        <x:v>M2: ~1 month from owner planning checkpoint; exact date not committed</x:v>
      </x:c>
      <x:c r="E94" s="113" t="str">
        <x:v>Latest owner planning supersedes old calendar targets</x:v>
      </x:c>
      <x:c r="F94"/>
      <x:c r="G94"/>
      <x:c r="H94"/>
      <x:c r="I94"/>
      <x:c r="J94"/>
      <x:c r="K94"/>
      <x:c r="L94"/>
    </x:row>
    <x:row r="95" ht="72" customHeight="1">
      <x:c r="A95" s="113" t="str">
        <x:v>T-201</x:v>
      </x:c>
      <x:c r="B95" s="113" t="str">
        <x:v>Delivery Target</x:v>
      </x:c>
      <x:c r="C95" s="113" t="str">
        <x:v>2026-09-30 Release 1</x:v>
      </x:c>
      <x:c r="D95" s="113" t="str">
        <x:v>M2: ~1 month from owner planning checkpoint; exact date not committed</x:v>
      </x:c>
      <x:c r="E95" s="113" t="str">
        <x:v>Latest owner planning supersedes old calendar targets</x:v>
      </x:c>
      <x:c r="F95"/>
      <x:c r="G95"/>
      <x:c r="H95"/>
      <x:c r="I95"/>
      <x:c r="J95"/>
      <x:c r="K95"/>
      <x:c r="L95"/>
    </x:row>
    <x:row r="96" ht="72" customHeight="1">
      <x:c r="A96" s="113" t="str">
        <x:v>T-202</x:v>
      </x:c>
      <x:c r="B96" s="113" t="str">
        <x:v>Delivery Target</x:v>
      </x:c>
      <x:c r="C96" s="113" t="str">
        <x:v>2026-09-30 Release 1</x:v>
      </x:c>
      <x:c r="D96" s="113" t="str">
        <x:v>M2: ~1 month from owner planning checkpoint; exact date not committed</x:v>
      </x:c>
      <x:c r="E96" s="113" t="str">
        <x:v>Latest owner planning supersedes old calendar targets</x:v>
      </x:c>
      <x:c r="F96"/>
      <x:c r="G96"/>
      <x:c r="H96"/>
      <x:c r="I96"/>
      <x:c r="J96"/>
      <x:c r="K96"/>
      <x:c r="L96"/>
    </x:row>
    <x:row r="97" ht="72" customHeight="1">
      <x:c r="A97" s="113" t="str">
        <x:v>T-203</x:v>
      </x:c>
      <x:c r="B97" s="113" t="str">
        <x:v>Delivery Target</x:v>
      </x:c>
      <x:c r="C97" s="113" t="str">
        <x:v>2026-09-30 Release 1</x:v>
      </x:c>
      <x:c r="D97" s="113" t="str">
        <x:v>M2: ~1 month from owner planning checkpoint; exact date not committed</x:v>
      </x:c>
      <x:c r="E97" s="113" t="str">
        <x:v>Latest owner planning supersedes old calendar targets</x:v>
      </x:c>
      <x:c r="F97"/>
      <x:c r="G97"/>
      <x:c r="H97"/>
      <x:c r="I97"/>
      <x:c r="J97"/>
      <x:c r="K97"/>
      <x:c r="L97"/>
    </x:row>
    <x:row r="98" ht="72" customHeight="1">
      <x:c r="A98" s="113" t="str">
        <x:v>T-204</x:v>
      </x:c>
      <x:c r="B98" s="113" t="str">
        <x:v>Delivery Target</x:v>
      </x:c>
      <x:c r="C98" s="113" t="str">
        <x:v>2026-09-30 Release 1</x:v>
      </x:c>
      <x:c r="D98" s="113" t="str">
        <x:v>M2: ~1 month from owner planning checkpoint; exact date not committed</x:v>
      </x:c>
      <x:c r="E98" s="113" t="str">
        <x:v>Latest owner planning supersedes old calendar targets</x:v>
      </x:c>
      <x:c r="F98"/>
      <x:c r="G98"/>
      <x:c r="H98"/>
      <x:c r="I98"/>
      <x:c r="J98"/>
      <x:c r="K98"/>
      <x:c r="L98"/>
    </x:row>
    <x:row r="99" ht="72" customHeight="1">
      <x:c r="A99" s="113" t="str">
        <x:v>T-205</x:v>
      </x:c>
      <x:c r="B99" s="113" t="str">
        <x:v>Delivery Target</x:v>
      </x:c>
      <x:c r="C99" s="113" t="str">
        <x:v>2026-09-30 Release 1</x:v>
      </x:c>
      <x:c r="D99" s="113" t="str">
        <x:v>M2: ~1 month from owner planning checkpoint; exact date not committed</x:v>
      </x:c>
      <x:c r="E99" s="113" t="str">
        <x:v>Latest owner planning supersedes old calendar targets</x:v>
      </x:c>
      <x:c r="F99"/>
      <x:c r="G99"/>
      <x:c r="H99"/>
      <x:c r="I99"/>
      <x:c r="J99"/>
      <x:c r="K99"/>
      <x:c r="L99"/>
    </x:row>
    <x:row r="100" ht="72" customHeight="1">
      <x:c r="A100" s="113" t="str">
        <x:v>T-206</x:v>
      </x:c>
      <x:c r="B100" s="113" t="str">
        <x:v>Delivery Target</x:v>
      </x:c>
      <x:c r="C100" s="113" t="str">
        <x:v>2026-09-30 Release 1</x:v>
      </x:c>
      <x:c r="D100" s="113" t="str">
        <x:v>M2: ~1 month from owner planning checkpoint; exact date not committed</x:v>
      </x:c>
      <x:c r="E100" s="113" t="str">
        <x:v>Latest owner planning supersedes old calendar targets</x:v>
      </x:c>
      <x:c r="F100"/>
      <x:c r="G100"/>
      <x:c r="H100"/>
      <x:c r="I100"/>
      <x:c r="J100"/>
      <x:c r="K100"/>
      <x:c r="L100"/>
    </x:row>
    <x:row r="101" ht="72" customHeight="1">
      <x:c r="A101" s="113" t="str">
        <x:v>T-208</x:v>
      </x:c>
      <x:c r="B101" s="113" t="str">
        <x:v>Delivery Target</x:v>
      </x:c>
      <x:c r="C101" s="113" t="str">
        <x:v>2026-09-30 Release 1</x:v>
      </x:c>
      <x:c r="D101" s="113" t="str">
        <x:v>M2: ~1 month from owner planning checkpoint; exact date not committed</x:v>
      </x:c>
      <x:c r="E101" s="113" t="str">
        <x:v>Latest owner planning supersedes old calendar targets</x:v>
      </x:c>
      <x:c r="F101"/>
      <x:c r="G101"/>
      <x:c r="H101"/>
      <x:c r="I101"/>
      <x:c r="J101"/>
      <x:c r="K101"/>
      <x:c r="L101"/>
    </x:row>
    <x:row r="102" ht="72" customHeight="1">
      <x:c r="A102" s="113" t="str">
        <x:v>T-209</x:v>
      </x:c>
      <x:c r="B102" s="113" t="str">
        <x:v>Delivery Target</x:v>
      </x:c>
      <x:c r="C102" s="113" t="str">
        <x:v>2026-09-30 Release 1</x:v>
      </x:c>
      <x:c r="D102" s="113" t="str">
        <x:v>M2: ~1 month from owner planning checkpoint; exact date not committed</x:v>
      </x:c>
      <x:c r="E102" s="113" t="str">
        <x:v>Latest owner planning supersedes old calendar targets</x:v>
      </x:c>
      <x:c r="F102"/>
      <x:c r="G102"/>
      <x:c r="H102"/>
      <x:c r="I102"/>
      <x:c r="J102"/>
      <x:c r="K102"/>
      <x:c r="L102"/>
    </x:row>
    <x:row r="103" ht="72" customHeight="1">
      <x:c r="A103" s="113" t="str">
        <x:v>T-210</x:v>
      </x:c>
      <x:c r="B103" s="113" t="str">
        <x:v>Delivery Target</x:v>
      </x:c>
      <x:c r="C103" s="113" t="str">
        <x:v>2026-09-30 Release 1</x:v>
      </x:c>
      <x:c r="D103" s="113" t="str">
        <x:v>M2: ~1 month from owner planning checkpoint; exact date not committed</x:v>
      </x:c>
      <x:c r="E103" s="113" t="str">
        <x:v>Latest owner planning supersedes old calendar targets</x:v>
      </x:c>
      <x:c r="F103"/>
      <x:c r="G103"/>
      <x:c r="H103"/>
      <x:c r="I103"/>
      <x:c r="J103"/>
      <x:c r="K103"/>
      <x:c r="L103"/>
    </x:row>
    <x:row r="104" ht="72" customHeight="1">
      <x:c r="A104" s="113" t="str">
        <x:v>T-216</x:v>
      </x:c>
      <x:c r="B104" s="113" t="str">
        <x:v>Delivery Target</x:v>
      </x:c>
      <x:c r="C104" s="113" t="str">
        <x:v>2026-09-30 Release 1</x:v>
      </x:c>
      <x:c r="D104" s="113" t="str">
        <x:v>M2: ~1 month from owner planning checkpoint; exact date not committed</x:v>
      </x:c>
      <x:c r="E104" s="113" t="str">
        <x:v>Latest owner planning supersedes old calendar targets</x:v>
      </x:c>
      <x:c r="F104"/>
      <x:c r="G104"/>
      <x:c r="H104"/>
      <x:c r="I104"/>
      <x:c r="J104"/>
      <x:c r="K104"/>
      <x:c r="L104"/>
    </x:row>
    <x:row r="105" ht="72" customHeight="1">
      <x:c r="A105" s="113" t="str">
        <x:v>T-231</x:v>
      </x:c>
      <x:c r="B105" s="113" t="str">
        <x:v>Delivery Target</x:v>
      </x:c>
      <x:c r="C105" s="113" t="str">
        <x:v>2026-09-30 Release 1</x:v>
      </x:c>
      <x:c r="D105" s="113" t="str">
        <x:v>M2: ~1 month from owner planning checkpoint; exact date not committed</x:v>
      </x:c>
      <x:c r="E105" s="113" t="str">
        <x:v>Latest owner planning supersedes old calendar targets</x:v>
      </x:c>
      <x:c r="F105"/>
      <x:c r="G105"/>
      <x:c r="H105"/>
      <x:c r="I105"/>
      <x:c r="J105"/>
      <x:c r="K105"/>
      <x:c r="L105"/>
    </x:row>
    <x:row r="106" ht="72" customHeight="1">
      <x:c r="A106" s="113" t="str">
        <x:v>T-095</x:v>
      </x:c>
      <x:c r="B106" s="113" t="str">
        <x:v>Delivery Target</x:v>
      </x:c>
      <x:c r="C106" s="113" t="str">
        <x:v>2026-09-30 Release 1</x:v>
      </x:c>
      <x:c r="D106" s="113" t="str">
        <x:v>M2: ~1 month from owner planning checkpoint; exact date not committed</x:v>
      </x:c>
      <x:c r="E106" s="113" t="str">
        <x:v>Latest owner planning supersedes old calendar targets</x:v>
      </x:c>
      <x:c r="F106"/>
      <x:c r="G106"/>
      <x:c r="H106"/>
      <x:c r="I106"/>
      <x:c r="J106"/>
      <x:c r="K106"/>
      <x:c r="L106"/>
    </x:row>
    <x:row r="107" ht="72" customHeight="1">
      <x:c r="A107" s="113" t="str">
        <x:v>T-096</x:v>
      </x:c>
      <x:c r="B107" s="113" t="str">
        <x:v>Delivery Target</x:v>
      </x:c>
      <x:c r="C107" s="113" t="str">
        <x:v>2026-09-30 Release 1</x:v>
      </x:c>
      <x:c r="D107" s="113" t="str">
        <x:v>M2: ~1 month from owner planning checkpoint; exact date not committed</x:v>
      </x:c>
      <x:c r="E107" s="113" t="str">
        <x:v>Latest owner planning supersedes old calendar targets</x:v>
      </x:c>
      <x:c r="F107"/>
      <x:c r="G107"/>
      <x:c r="H107"/>
      <x:c r="I107"/>
      <x:c r="J107"/>
      <x:c r="K107"/>
      <x:c r="L107"/>
    </x:row>
    <x:row r="108" ht="72" customHeight="1">
      <x:c r="A108" s="113" t="str">
        <x:v>T-097</x:v>
      </x:c>
      <x:c r="B108" s="113" t="str">
        <x:v>Delivery Target</x:v>
      </x:c>
      <x:c r="C108" s="113" t="str">
        <x:v>2026-09-30 Release 1</x:v>
      </x:c>
      <x:c r="D108" s="113" t="str">
        <x:v>M2: ~1 month from owner planning checkpoint; exact date not committed</x:v>
      </x:c>
      <x:c r="E108" s="113" t="str">
        <x:v>Latest owner planning supersedes old calendar targets</x:v>
      </x:c>
      <x:c r="F108"/>
      <x:c r="G108"/>
      <x:c r="H108"/>
      <x:c r="I108"/>
      <x:c r="J108"/>
      <x:c r="K108"/>
      <x:c r="L108"/>
    </x:row>
    <x:row r="109" ht="72" customHeight="1">
      <x:c r="A109" s="113" t="str">
        <x:v>T-098</x:v>
      </x:c>
      <x:c r="B109" s="113" t="str">
        <x:v>Delivery Target</x:v>
      </x:c>
      <x:c r="C109" s="113" t="str">
        <x:v>2026-09-30 Release 1</x:v>
      </x:c>
      <x:c r="D109" s="113" t="str">
        <x:v>M2: ~1 month from owner planning checkpoint; exact date not committed</x:v>
      </x:c>
      <x:c r="E109" s="113" t="str">
        <x:v>Latest owner planning supersedes old calendar targets</x:v>
      </x:c>
      <x:c r="F109"/>
      <x:c r="G109"/>
      <x:c r="H109"/>
      <x:c r="I109"/>
      <x:c r="J109"/>
      <x:c r="K109"/>
      <x:c r="L109"/>
    </x:row>
    <x:row r="110" ht="72" customHeight="1">
      <x:c r="A110" s="113" t="str">
        <x:v>T-099</x:v>
      </x:c>
      <x:c r="B110" s="113" t="str">
        <x:v>Delivery Target</x:v>
      </x:c>
      <x:c r="C110" s="113" t="str">
        <x:v>2026-09-30 Release 1</x:v>
      </x:c>
      <x:c r="D110" s="113" t="str">
        <x:v>M2: ~1 month from owner planning checkpoint; exact date not committed</x:v>
      </x:c>
      <x:c r="E110" s="113" t="str">
        <x:v>Latest owner planning supersedes old calendar targets</x:v>
      </x:c>
      <x:c r="F110"/>
      <x:c r="G110"/>
      <x:c r="H110"/>
      <x:c r="I110"/>
      <x:c r="J110"/>
      <x:c r="K110"/>
      <x:c r="L110"/>
    </x:row>
    <x:row r="111" ht="72" customHeight="1">
      <x:c r="A111" s="113" t="str">
        <x:v>T-100</x:v>
      </x:c>
      <x:c r="B111" s="113" t="str">
        <x:v>Delivery Target</x:v>
      </x:c>
      <x:c r="C111" s="113" t="str">
        <x:v>2026-09-30 Release 1</x:v>
      </x:c>
      <x:c r="D111" s="113" t="str">
        <x:v>M2: ~1 month from owner planning checkpoint; exact date not committed</x:v>
      </x:c>
      <x:c r="E111" s="113" t="str">
        <x:v>Latest owner planning supersedes old calendar targets</x:v>
      </x:c>
      <x:c r="F111"/>
      <x:c r="G111"/>
      <x:c r="H111"/>
      <x:c r="I111"/>
      <x:c r="J111"/>
      <x:c r="K111"/>
      <x:c r="L111"/>
    </x:row>
    <x:row r="112" ht="72" customHeight="1">
      <x:c r="A112" s="113" t="str">
        <x:v>T-101</x:v>
      </x:c>
      <x:c r="B112" s="113" t="str">
        <x:v>Delivery Target</x:v>
      </x:c>
      <x:c r="C112" s="113" t="str">
        <x:v>2026-09-30 Release 1</x:v>
      </x:c>
      <x:c r="D112" s="113" t="str">
        <x:v>M2: ~1 month from owner planning checkpoint; exact date not committed</x:v>
      </x:c>
      <x:c r="E112" s="113" t="str">
        <x:v>Latest owner planning supersedes old calendar targets</x:v>
      </x:c>
      <x:c r="F112"/>
      <x:c r="G112"/>
      <x:c r="H112"/>
      <x:c r="I112"/>
      <x:c r="J112"/>
      <x:c r="K112"/>
      <x:c r="L112"/>
    </x:row>
    <x:row r="113" ht="72" customHeight="1">
      <x:c r="A113" s="113" t="str">
        <x:v>T-102</x:v>
      </x:c>
      <x:c r="B113" s="113" t="str">
        <x:v>Delivery Target</x:v>
      </x:c>
      <x:c r="C113" s="113" t="str">
        <x:v>2026-09-30 Release 1</x:v>
      </x:c>
      <x:c r="D113" s="113" t="str">
        <x:v>M2: ~1 month from owner planning checkpoint; exact date not committed</x:v>
      </x:c>
      <x:c r="E113" s="113" t="str">
        <x:v>Latest owner planning supersedes old calendar targets</x:v>
      </x:c>
      <x:c r="F113"/>
      <x:c r="G113"/>
      <x:c r="H113"/>
      <x:c r="I113"/>
      <x:c r="J113"/>
      <x:c r="K113"/>
      <x:c r="L113"/>
    </x:row>
    <x:row r="114" ht="72" customHeight="1">
      <x:c r="A114" s="113" t="str">
        <x:v>T-103</x:v>
      </x:c>
      <x:c r="B114" s="113" t="str">
        <x:v>Delivery Target</x:v>
      </x:c>
      <x:c r="C114" s="113" t="str">
        <x:v>2026-09-30 Release 1</x:v>
      </x:c>
      <x:c r="D114" s="113" t="str">
        <x:v>M2: ~1 month from owner planning checkpoint; exact date not committed</x:v>
      </x:c>
      <x:c r="E114" s="113" t="str">
        <x:v>Latest owner planning supersedes old calendar targets</x:v>
      </x:c>
      <x:c r="F114"/>
      <x:c r="G114"/>
      <x:c r="H114"/>
      <x:c r="I114"/>
      <x:c r="J114"/>
      <x:c r="K114"/>
      <x:c r="L114"/>
    </x:row>
    <x:row r="115" ht="72" customHeight="1">
      <x:c r="A115" s="113" t="str">
        <x:v>T-104</x:v>
      </x:c>
      <x:c r="B115" s="113" t="str">
        <x:v>Delivery Target</x:v>
      </x:c>
      <x:c r="C115" s="113" t="str">
        <x:v>2026-09-30 Release 1</x:v>
      </x:c>
      <x:c r="D115" s="113" t="str">
        <x:v>M2: ~1 month from owner planning checkpoint; exact date not committed</x:v>
      </x:c>
      <x:c r="E115" s="113" t="str">
        <x:v>Latest owner planning supersedes old calendar targets</x:v>
      </x:c>
      <x:c r="F115"/>
      <x:c r="G115"/>
      <x:c r="H115"/>
      <x:c r="I115"/>
      <x:c r="J115"/>
      <x:c r="K115"/>
      <x:c r="L115"/>
    </x:row>
    <x:row r="116" ht="72" customHeight="1">
      <x:c r="A116" s="113" t="str">
        <x:v>T-106</x:v>
      </x:c>
      <x:c r="B116" s="113" t="str">
        <x:v>Delivery Target</x:v>
      </x:c>
      <x:c r="C116" s="113" t="str">
        <x:v>2026-09-30 Release 1</x:v>
      </x:c>
      <x:c r="D116" s="113" t="str">
        <x:v>M2: ~1 month from owner planning checkpoint; exact date not committed</x:v>
      </x:c>
      <x:c r="E116" s="113" t="str">
        <x:v>Latest owner planning supersedes old calendar targets</x:v>
      </x:c>
      <x:c r="F116"/>
      <x:c r="G116"/>
      <x:c r="H116"/>
      <x:c r="I116"/>
      <x:c r="J116"/>
      <x:c r="K116"/>
      <x:c r="L116"/>
    </x:row>
    <x:row r="117" ht="72" customHeight="1">
      <x:c r="A117" s="113" t="str">
        <x:v>T-106</x:v>
      </x:c>
      <x:c r="B117" s="113" t="str">
        <x:v>AI Start / Dependency Gate</x:v>
      </x:c>
      <x:c r="C117" s="113" t="str">
        <x:v>WAIT for Presentation RC freeze/tag + clean index/worktree. Then: T-064 functional contract + T-089 + T-090 canonical definition authority.</x:v>
      </x:c>
      <x:c r="D117" s="113" t="str">
        <x:v>Consume accepted producer contracts; remaining dependencies: T-064; T-089; T-090; T-252. No private scheduler/definition authority. Source-present is not closure proof.</x:v>
      </x:c>
      <x:c r="E117" s="113" t="str">
        <x:v>Replace stale contradictory gate</x:v>
      </x:c>
      <x:c r="F117"/>
      <x:c r="G117"/>
      <x:c r="H117"/>
      <x:c r="I117"/>
      <x:c r="J117"/>
      <x:c r="K117"/>
      <x:c r="L117"/>
    </x:row>
    <x:row r="118" ht="72" customHeight="1">
      <x:c r="A118" s="113" t="str">
        <x:v>T-106</x:v>
      </x:c>
      <x:c r="B118" s="113" t="str">
        <x:v>Tech-Lead Ruling</x:v>
      </x:c>
      <x:c r="C118" s="113" t="str">
        <x:v>M2 P2 — Day-1 Data Workbench — DB Link, Canvas, Jobs &amp; OPC. Release 1 is genuine early production / first-week customer work.</x:v>
      </x:c>
      <x:c r="D118" s="113" t="str">
        <x:v>v2.22.0 owner-approved scope and release disposition; original evidence remains in change log/archive.</x:v>
      </x:c>
      <x:c r="E118" s="113" t="str">
        <x:v>Current ruling replaces superseded active notes</x:v>
      </x:c>
      <x:c r="F118"/>
      <x:c r="G118"/>
      <x:c r="H118"/>
      <x:c r="I118"/>
      <x:c r="J118"/>
      <x:c r="K118"/>
      <x:c r="L118"/>
    </x:row>
    <x:row r="119" ht="72" customHeight="1">
      <x:c r="A119" s="113" t="str">
        <x:v>T-107</x:v>
      </x:c>
      <x:c r="B119" s="113" t="str">
        <x:v>Delivery Target</x:v>
      </x:c>
      <x:c r="C119" s="113" t="str">
        <x:v>2026-09-30 Release 1</x:v>
      </x:c>
      <x:c r="D119" s="113" t="str">
        <x:v>M2: ~1 month from owner planning checkpoint; exact date not committed</x:v>
      </x:c>
      <x:c r="E119" s="113" t="str">
        <x:v>Latest owner planning supersedes old calendar targets</x:v>
      </x:c>
      <x:c r="F119"/>
      <x:c r="G119"/>
      <x:c r="H119"/>
      <x:c r="I119"/>
      <x:c r="J119"/>
      <x:c r="K119"/>
      <x:c r="L119"/>
    </x:row>
    <x:row r="120" ht="72" customHeight="1">
      <x:c r="A120" s="113" t="str">
        <x:v>T-108</x:v>
      </x:c>
      <x:c r="B120" s="113" t="str">
        <x:v>Delivery Target</x:v>
      </x:c>
      <x:c r="C120" s="113" t="str">
        <x:v>2026-09-30 Release 1</x:v>
      </x:c>
      <x:c r="D120" s="113" t="str">
        <x:v>M2: ~1 month from owner planning checkpoint; exact date not committed</x:v>
      </x:c>
      <x:c r="E120" s="113" t="str">
        <x:v>Latest owner planning supersedes old calendar targets</x:v>
      </x:c>
      <x:c r="F120"/>
      <x:c r="G120"/>
      <x:c r="H120"/>
      <x:c r="I120"/>
      <x:c r="J120"/>
      <x:c r="K120"/>
      <x:c r="L120"/>
    </x:row>
    <x:row r="121" ht="72" customHeight="1">
      <x:c r="A121" s="113" t="str">
        <x:v>T-108</x:v>
      </x:c>
      <x:c r="B121" s="113" t="str">
        <x:v>AI Start / Dependency Gate</x:v>
      </x:c>
      <x:c r="C121" s="113" t="str">
        <x:v>WAIT for Presentation RC freeze/tag + clean index/worktree. Then: Release 1 dependency order</x:v>
      </x:c>
      <x:c r="D121" s="113" t="str">
        <x:v>Consume accepted producer contracts; remaining dependencies: T-099; T-104. No private scheduler/definition authority. Source-present is not closure proof.</x:v>
      </x:c>
      <x:c r="E121" s="113" t="str">
        <x:v>Replace stale contradictory gate</x:v>
      </x:c>
      <x:c r="F121"/>
      <x:c r="G121"/>
      <x:c r="H121"/>
      <x:c r="I121"/>
      <x:c r="J121"/>
      <x:c r="K121"/>
      <x:c r="L121"/>
    </x:row>
    <x:row r="122" ht="72" customHeight="1">
      <x:c r="A122" s="113" t="str">
        <x:v>T-108</x:v>
      </x:c>
      <x:c r="B122" s="113" t="str">
        <x:v>Tech-Lead Ruling</x:v>
      </x:c>
      <x:c r="C122" s="113" t="str">
        <x:v>M2 P2 — Day-1 Data Workbench — DB Link, Canvas, Jobs &amp; OPC. Release 1 is genuine early production / first-week customer work.</x:v>
      </x:c>
      <x:c r="D122" s="113" t="str">
        <x:v>v2.22.0 owner-approved scope and release disposition; original evidence remains in change log/archive.</x:v>
      </x:c>
      <x:c r="E122" s="113" t="str">
        <x:v>Current ruling replaces superseded active notes</x:v>
      </x:c>
      <x:c r="F122"/>
      <x:c r="G122"/>
      <x:c r="H122"/>
      <x:c r="I122"/>
      <x:c r="J122"/>
      <x:c r="K122"/>
      <x:c r="L122"/>
    </x:row>
    <x:row r="123" ht="72" customHeight="1">
      <x:c r="A123" s="113" t="str">
        <x:v>T-109</x:v>
      </x:c>
      <x:c r="B123" s="113" t="str">
        <x:v>Delivery Target</x:v>
      </x:c>
      <x:c r="C123" s="113" t="str">
        <x:v>2026-09-30 Release 1</x:v>
      </x:c>
      <x:c r="D123" s="113" t="str">
        <x:v>M2: ~1 month from owner planning checkpoint; exact date not committed</x:v>
      </x:c>
      <x:c r="E123" s="113" t="str">
        <x:v>Latest owner planning supersedes old calendar targets</x:v>
      </x:c>
      <x:c r="F123"/>
      <x:c r="G123"/>
      <x:c r="H123"/>
      <x:c r="I123"/>
      <x:c r="J123"/>
      <x:c r="K123"/>
      <x:c r="L123"/>
    </x:row>
    <x:row r="124" ht="72" customHeight="1">
      <x:c r="A124" s="113" t="str">
        <x:v>T-110</x:v>
      </x:c>
      <x:c r="B124" s="113" t="str">
        <x:v>Delivery Target</x:v>
      </x:c>
      <x:c r="C124" s="113" t="str">
        <x:v>2026-09-30 Release 1</x:v>
      </x:c>
      <x:c r="D124" s="113" t="str">
        <x:v>M3: 45 days after M2 completion</x:v>
      </x:c>
      <x:c r="E124" s="113" t="str">
        <x:v>Latest owner planning supersedes old calendar targets</x:v>
      </x:c>
      <x:c r="F124"/>
      <x:c r="G124"/>
      <x:c r="H124"/>
      <x:c r="I124"/>
      <x:c r="J124"/>
      <x:c r="K124"/>
      <x:c r="L124"/>
    </x:row>
    <x:row r="125" ht="72" customHeight="1">
      <x:c r="A125" s="113" t="str">
        <x:v>T-110</x:v>
      </x:c>
      <x:c r="B125" s="113" t="str">
        <x:v>AI Sequence Wave</x:v>
      </x:c>
      <x:c r="C125" s="113" t="str">
        <x:v>M2-P2</x:v>
      </x:c>
      <x:c r="D125" s="113" t="str">
        <x:v>M3-P1</x:v>
      </x:c>
      <x:c r="E125" s="113" t="str">
        <x:v>Release/phase synchronization</x:v>
      </x:c>
      <x:c r="F125"/>
      <x:c r="G125"/>
      <x:c r="H125"/>
      <x:c r="I125"/>
      <x:c r="J125"/>
      <x:c r="K125"/>
      <x:c r="L125"/>
    </x:row>
    <x:row r="126" ht="72" customHeight="1">
      <x:c r="A126" s="113" t="str">
        <x:v>T-110</x:v>
      </x:c>
      <x:c r="B126" s="113" t="str">
        <x:v>Product Track</x:v>
      </x:c>
      <x:c r="C126" s="113" t="str">
        <x:v>Day-1 Data Workbench — DB Link, Canvas, Jobs &amp; OPC</x:v>
      </x:c>
      <x:c r="D126" s="113" t="str">
        <x:v>Scale &amp; OT Resilience</x:v>
      </x:c>
      <x:c r="E126" s="113" t="str">
        <x:v>Release/phase synchronization</x:v>
      </x:c>
      <x:c r="F126"/>
      <x:c r="G126"/>
      <x:c r="H126"/>
      <x:c r="I126"/>
      <x:c r="J126"/>
      <x:c r="K126"/>
      <x:c r="L126"/>
    </x:row>
    <x:row r="127" ht="72" customHeight="1">
      <x:c r="A127" s="113" t="str">
        <x:v>T-110</x:v>
      </x:c>
      <x:c r="B127" s="113" t="str">
        <x:v>AI Start / Dependency Gate</x:v>
      </x:c>
      <x:c r="C127" s="113" t="str">
        <x:v>WAIT for Presentation RC freeze/tag + clean index/worktree. Then: Release 1 dependency order</x:v>
      </x:c>
      <x:c r="D127" s="113" t="str">
        <x:v>Consume accepted producer contracts; remaining dependencies: T-108; T-109. No private scheduler/definition authority. Source-present is not closure proof.</x:v>
      </x:c>
      <x:c r="E127" s="113" t="str">
        <x:v>Replace stale contradictory gate</x:v>
      </x:c>
      <x:c r="F127"/>
      <x:c r="G127"/>
      <x:c r="H127"/>
      <x:c r="I127"/>
      <x:c r="J127"/>
      <x:c r="K127"/>
      <x:c r="L127"/>
    </x:row>
    <x:row r="128" ht="72" customHeight="1">
      <x:c r="A128" s="113" t="str">
        <x:v>T-110</x:v>
      </x:c>
      <x:c r="B128" s="113" t="str">
        <x:v>Tech-Lead Ruling</x:v>
      </x:c>
      <x:c r="C128" s="113" t="str">
        <x:v>M2 P2 — Day-1 Data Workbench — DB Link, Canvas, Jobs &amp; OPC. Release 1 is genuine early production / first-week customer work.</x:v>
      </x:c>
      <x:c r="D128" s="113" t="str">
        <x:v>v2.22.0 owner-approved scope and release disposition; original evidence remains in change log/archive.</x:v>
      </x:c>
      <x:c r="E128" s="113" t="str">
        <x:v>Current ruling replaces superseded active notes</x:v>
      </x:c>
      <x:c r="F128"/>
      <x:c r="G128"/>
      <x:c r="H128"/>
      <x:c r="I128"/>
      <x:c r="J128"/>
      <x:c r="K128"/>
      <x:c r="L128"/>
    </x:row>
    <x:row r="129" ht="72" customHeight="1">
      <x:c r="A129" s="113" t="str">
        <x:v>T-207</x:v>
      </x:c>
      <x:c r="B129" s="113" t="str">
        <x:v>Delivery Target</x:v>
      </x:c>
      <x:c r="C129" s="113" t="str">
        <x:v>2026-09-30 Release 1</x:v>
      </x:c>
      <x:c r="D129" s="113" t="str">
        <x:v>M2: ~1 month from owner planning checkpoint; exact date not committed</x:v>
      </x:c>
      <x:c r="E129" s="113" t="str">
        <x:v>Latest owner planning supersedes old calendar targets</x:v>
      </x:c>
      <x:c r="F129"/>
      <x:c r="G129"/>
      <x:c r="H129"/>
      <x:c r="I129"/>
      <x:c r="J129"/>
      <x:c r="K129"/>
      <x:c r="L129"/>
    </x:row>
    <x:row r="130" ht="72" customHeight="1">
      <x:c r="A130" s="113" t="str">
        <x:v>T-212</x:v>
      </x:c>
      <x:c r="B130" s="113" t="str">
        <x:v>Delivery Target</x:v>
      </x:c>
      <x:c r="C130" s="113" t="str">
        <x:v>2026-09-30 Release 1</x:v>
      </x:c>
      <x:c r="D130" s="113" t="str">
        <x:v>M2: ~1 month from owner planning checkpoint; exact date not committed</x:v>
      </x:c>
      <x:c r="E130" s="113" t="str">
        <x:v>Latest owner planning supersedes old calendar targets</x:v>
      </x:c>
      <x:c r="F130"/>
      <x:c r="G130"/>
      <x:c r="H130"/>
      <x:c r="I130"/>
      <x:c r="J130"/>
      <x:c r="K130"/>
      <x:c r="L130"/>
    </x:row>
    <x:row r="131" ht="72" customHeight="1">
      <x:c r="A131" s="113" t="str">
        <x:v>T-213</x:v>
      </x:c>
      <x:c r="B131" s="113" t="str">
        <x:v>Delivery Target</x:v>
      </x:c>
      <x:c r="C131" s="113" t="str">
        <x:v>2026-09-30 Release 1</x:v>
      </x:c>
      <x:c r="D131" s="113" t="str">
        <x:v>M2: ~1 month from owner planning checkpoint; exact date not committed</x:v>
      </x:c>
      <x:c r="E131" s="113" t="str">
        <x:v>Latest owner planning supersedes old calendar targets</x:v>
      </x:c>
      <x:c r="F131"/>
      <x:c r="G131"/>
      <x:c r="H131"/>
      <x:c r="I131"/>
      <x:c r="J131"/>
      <x:c r="K131"/>
      <x:c r="L131"/>
    </x:row>
    <x:row r="132" ht="72" customHeight="1">
      <x:c r="A132" s="113" t="str">
        <x:v>T-224</x:v>
      </x:c>
      <x:c r="B132" s="113" t="str">
        <x:v>Delivery Target</x:v>
      </x:c>
      <x:c r="C132" s="113" t="str">
        <x:v>2026-09-30 Release 1</x:v>
      </x:c>
      <x:c r="D132" s="113" t="str">
        <x:v>M2: ~1 month from owner planning checkpoint; exact date not committed</x:v>
      </x:c>
      <x:c r="E132" s="113" t="str">
        <x:v>Latest owner planning supersedes old calendar targets</x:v>
      </x:c>
      <x:c r="F132"/>
      <x:c r="G132"/>
      <x:c r="H132"/>
      <x:c r="I132"/>
      <x:c r="J132"/>
      <x:c r="K132"/>
      <x:c r="L132"/>
    </x:row>
    <x:row r="133" ht="72" customHeight="1">
      <x:c r="A133" s="113" t="str">
        <x:v>T-225</x:v>
      </x:c>
      <x:c r="B133" s="113" t="str">
        <x:v>Delivery Target</x:v>
      </x:c>
      <x:c r="C133" s="113" t="str">
        <x:v>2026-09-30 Release 1</x:v>
      </x:c>
      <x:c r="D133" s="113" t="str">
        <x:v>M2: ~1 month from owner planning checkpoint; exact date not committed</x:v>
      </x:c>
      <x:c r="E133" s="113" t="str">
        <x:v>Latest owner planning supersedes old calendar targets</x:v>
      </x:c>
      <x:c r="F133"/>
      <x:c r="G133"/>
      <x:c r="H133"/>
      <x:c r="I133"/>
      <x:c r="J133"/>
      <x:c r="K133"/>
      <x:c r="L133"/>
    </x:row>
    <x:row r="134" ht="72" customHeight="1">
      <x:c r="A134" s="113" t="str">
        <x:v>T-226</x:v>
      </x:c>
      <x:c r="B134" s="113" t="str">
        <x:v>Delivery Target</x:v>
      </x:c>
      <x:c r="C134" s="113" t="str">
        <x:v>2026-09-30 Release 1</x:v>
      </x:c>
      <x:c r="D134" s="113" t="str">
        <x:v>M2: ~1 month from owner planning checkpoint; exact date not committed</x:v>
      </x:c>
      <x:c r="E134" s="113" t="str">
        <x:v>Latest owner planning supersedes old calendar targets</x:v>
      </x:c>
      <x:c r="F134"/>
      <x:c r="G134"/>
      <x:c r="H134"/>
      <x:c r="I134"/>
      <x:c r="J134"/>
      <x:c r="K134"/>
      <x:c r="L134"/>
    </x:row>
    <x:row r="135" ht="72" customHeight="1">
      <x:c r="A135" s="113" t="str">
        <x:v>T-232</x:v>
      </x:c>
      <x:c r="B135" s="113" t="str">
        <x:v>Delivery Target</x:v>
      </x:c>
      <x:c r="C135" s="113" t="str">
        <x:v>2026-09-30 Release 1</x:v>
      </x:c>
      <x:c r="D135" s="113" t="str">
        <x:v>M2: ~1 month from owner planning checkpoint; exact date not committed</x:v>
      </x:c>
      <x:c r="E135" s="113" t="str">
        <x:v>Latest owner planning supersedes old calendar targets</x:v>
      </x:c>
      <x:c r="F135"/>
      <x:c r="G135"/>
      <x:c r="H135"/>
      <x:c r="I135"/>
      <x:c r="J135"/>
      <x:c r="K135"/>
      <x:c r="L135"/>
    </x:row>
    <x:row r="136" ht="72" customHeight="1">
      <x:c r="A136" s="113" t="str">
        <x:v>T-233</x:v>
      </x:c>
      <x:c r="B136" s="113" t="str">
        <x:v>Delivery Target</x:v>
      </x:c>
      <x:c r="C136" s="113" t="str">
        <x:v>2026-09-30 Release 1</x:v>
      </x:c>
      <x:c r="D136" s="113" t="str">
        <x:v>M2: ~1 month from owner planning checkpoint; exact date not committed</x:v>
      </x:c>
      <x:c r="E136" s="113" t="str">
        <x:v>Latest owner planning supersedes old calendar targets</x:v>
      </x:c>
      <x:c r="F136"/>
      <x:c r="G136"/>
      <x:c r="H136"/>
      <x:c r="I136"/>
      <x:c r="J136"/>
      <x:c r="K136"/>
      <x:c r="L136"/>
    </x:row>
    <x:row r="137" ht="72" customHeight="1">
      <x:c r="A137" s="113" t="str">
        <x:v>T-235</x:v>
      </x:c>
      <x:c r="B137" s="113" t="str">
        <x:v>Delivery Target</x:v>
      </x:c>
      <x:c r="C137" s="113" t="str">
        <x:v>2026-09-30 Release 1</x:v>
      </x:c>
      <x:c r="D137" s="113" t="str">
        <x:v>M2: ~1 month from owner planning checkpoint; exact date not committed</x:v>
      </x:c>
      <x:c r="E137" s="113" t="str">
        <x:v>Latest owner planning supersedes old calendar targets</x:v>
      </x:c>
      <x:c r="F137"/>
      <x:c r="G137"/>
      <x:c r="H137"/>
      <x:c r="I137"/>
      <x:c r="J137"/>
      <x:c r="K137"/>
      <x:c r="L137"/>
    </x:row>
    <x:row r="138" ht="72" customHeight="1">
      <x:c r="A138" s="113" t="str">
        <x:v>T-241</x:v>
      </x:c>
      <x:c r="B138" s="113" t="str">
        <x:v>Delivery Target</x:v>
      </x:c>
      <x:c r="C138" s="113" t="str">
        <x:v>2026-09-30 Release 1</x:v>
      </x:c>
      <x:c r="D138" s="113" t="str">
        <x:v>M2: ~1 month from owner planning checkpoint; exact date not committed</x:v>
      </x:c>
      <x:c r="E138" s="113" t="str">
        <x:v>Latest owner planning supersedes old calendar targets</x:v>
      </x:c>
      <x:c r="F138"/>
      <x:c r="G138"/>
      <x:c r="H138"/>
      <x:c r="I138"/>
      <x:c r="J138"/>
      <x:c r="K138"/>
      <x:c r="L138"/>
    </x:row>
    <x:row r="139" ht="72" customHeight="1">
      <x:c r="A139" s="113" t="str">
        <x:v>T-242</x:v>
      </x:c>
      <x:c r="B139" s="113" t="str">
        <x:v>Delivery Target</x:v>
      </x:c>
      <x:c r="C139" s="113" t="str">
        <x:v>2026-09-30 Release 1</x:v>
      </x:c>
      <x:c r="D139" s="113" t="str">
        <x:v>M2: ~1 month from owner planning checkpoint; exact date not committed</x:v>
      </x:c>
      <x:c r="E139" s="113" t="str">
        <x:v>Latest owner planning supersedes old calendar targets</x:v>
      </x:c>
      <x:c r="F139"/>
      <x:c r="G139"/>
      <x:c r="H139"/>
      <x:c r="I139"/>
      <x:c r="J139"/>
      <x:c r="K139"/>
      <x:c r="L139"/>
    </x:row>
    <x:row r="140" ht="72" customHeight="1">
      <x:c r="A140" s="113" t="str">
        <x:v>T-243</x:v>
      </x:c>
      <x:c r="B140" s="113" t="str">
        <x:v>Delivery Target</x:v>
      </x:c>
      <x:c r="C140" s="113" t="str">
        <x:v>2026-09-30 Release 1</x:v>
      </x:c>
      <x:c r="D140" s="113" t="str">
        <x:v>M2: ~1 month from owner planning checkpoint; exact date not committed</x:v>
      </x:c>
      <x:c r="E140" s="113" t="str">
        <x:v>Latest owner planning supersedes old calendar targets</x:v>
      </x:c>
      <x:c r="F140"/>
      <x:c r="G140"/>
      <x:c r="H140"/>
      <x:c r="I140"/>
      <x:c r="J140"/>
      <x:c r="K140"/>
      <x:c r="L140"/>
    </x:row>
    <x:row r="141" ht="72" customHeight="1">
      <x:c r="A141" s="113" t="str">
        <x:v>T-243</x:v>
      </x:c>
      <x:c r="B141" s="113" t="str">
        <x:v>AI Start / Dependency Gate</x:v>
      </x:c>
      <x:c r="C141" s="113" t="str">
        <x:v>NOT STARTED — measured 08-Sep current main HEAD is T-242 closure with zero T-243 product-source changes. Start fresh only after T-253 is CLOSED GREEN/committed; consume its canonical outputTarget contract rather than re-investigating target identity.</x:v>
      </x:c>
      <x:c r="D141" s="113" t="str">
        <x:v>Consume accepted producer contracts; remaining dependencies: T-241; T-242; T-089; T-090; T-253. No private scheduler/definition authority. Source-present is not closure proof.</x:v>
      </x:c>
      <x:c r="E141" s="113" t="str">
        <x:v>Replace stale contradictory gate</x:v>
      </x:c>
      <x:c r="F141"/>
      <x:c r="G141"/>
      <x:c r="H141"/>
      <x:c r="I141"/>
      <x:c r="J141"/>
      <x:c r="K141"/>
      <x:c r="L141"/>
    </x:row>
    <x:row r="142" ht="72" customHeight="1">
      <x:c r="A142" s="113" t="str">
        <x:v>T-243</x:v>
      </x:c>
      <x:c r="B142" s="113" t="str">
        <x:v>Tech-Lead Ruling</x:v>
      </x:c>
      <x:c r="C142" s="113" t="str">
        <x:v>CENTRAL v2.20.2 measured-source correction: current main has zero T-243 product-source work. Status is Not Started; begin fresh only after T-253 closes.</x:v>
      </x:c>
      <x:c r="D142" s="113" t="str">
        <x:v>v2.22.0 owner-approved scope and release disposition; original evidence remains in change log/archive.</x:v>
      </x:c>
      <x:c r="E142" s="113" t="str">
        <x:v>Current ruling replaces superseded active notes</x:v>
      </x:c>
      <x:c r="F142"/>
      <x:c r="G142"/>
      <x:c r="H142"/>
      <x:c r="I142"/>
      <x:c r="J142"/>
      <x:c r="K142"/>
      <x:c r="L142"/>
    </x:row>
    <x:row r="143" ht="72" customHeight="1">
      <x:c r="A143" s="113" t="str">
        <x:v>T-244</x:v>
      </x:c>
      <x:c r="B143" s="113" t="str">
        <x:v>Delivery Target</x:v>
      </x:c>
      <x:c r="C143" s="113" t="str">
        <x:v>2026-09-30 Release 1</x:v>
      </x:c>
      <x:c r="D143" s="113" t="str">
        <x:v>M2: ~1 month from owner planning checkpoint; exact date not committed</x:v>
      </x:c>
      <x:c r="E143" s="113" t="str">
        <x:v>Latest owner planning supersedes old calendar targets</x:v>
      </x:c>
      <x:c r="F143"/>
      <x:c r="G143"/>
      <x:c r="H143"/>
      <x:c r="I143"/>
      <x:c r="J143"/>
      <x:c r="K143"/>
      <x:c r="L143"/>
    </x:row>
    <x:row r="144" ht="72" customHeight="1">
      <x:c r="A144" s="113" t="str">
        <x:v>T-245</x:v>
      </x:c>
      <x:c r="B144" s="113" t="str">
        <x:v>Delivery Target</x:v>
      </x:c>
      <x:c r="C144" s="113" t="str">
        <x:v>2026-09-30 Release 1</x:v>
      </x:c>
      <x:c r="D144" s="113" t="str">
        <x:v>M2: ~1 month from owner planning checkpoint; exact date not committed</x:v>
      </x:c>
      <x:c r="E144" s="113" t="str">
        <x:v>Latest owner planning supersedes old calendar targets</x:v>
      </x:c>
      <x:c r="F144"/>
      <x:c r="G144"/>
      <x:c r="H144"/>
      <x:c r="I144"/>
      <x:c r="J144"/>
      <x:c r="K144"/>
      <x:c r="L144"/>
    </x:row>
    <x:row r="145" ht="72" customHeight="1">
      <x:c r="A145" s="113" t="str">
        <x:v>T-245</x:v>
      </x:c>
      <x:c r="B145" s="113" t="str">
        <x:v>AI Start / Dependency Gate</x:v>
      </x:c>
      <x:c r="C145" s="113" t="str">
        <x:v>QUEUED — start only after T-243, T-106 and T-261 are CLOSED GREEN; T-244 is already closed. T-245 consumes the governed Transformation executor and canonical job target/version authority; it must not invent a private Canvas scheduler.</x:v>
      </x:c>
      <x:c r="D145" s="113" t="str">
        <x:v>Consume accepted producer contracts; remaining dependencies: T-243; T-244; T-106; T-261. No private scheduler/definition authority. Source-present is not closure proof.</x:v>
      </x:c>
      <x:c r="E145" s="113" t="str">
        <x:v>Replace stale contradictory gate</x:v>
      </x:c>
      <x:c r="F145"/>
      <x:c r="G145"/>
      <x:c r="H145"/>
      <x:c r="I145"/>
      <x:c r="J145"/>
      <x:c r="K145"/>
      <x:c r="L145"/>
    </x:row>
    <x:row r="146" ht="72" customHeight="1">
      <x:c r="A146" s="113" t="str">
        <x:v>T-245</x:v>
      </x:c>
      <x:c r="B146" s="113" t="str">
        <x:v>Tech-Lead Ruling</x:v>
      </x:c>
      <x:c r="C146" s="113" t="str">
        <x:v>CENTRAL 04-Sep-2026: remove 'After 30-Sep MUST lane'. A Release-1-MUST task cannot be scheduled after its own release date.</x:v>
      </x:c>
      <x:c r="D146" s="113" t="str">
        <x:v>v2.22.0 owner-approved scope and release disposition; original evidence remains in change log/archive.</x:v>
      </x:c>
      <x:c r="E146" s="113" t="str">
        <x:v>Current ruling replaces superseded active notes</x:v>
      </x:c>
      <x:c r="F146"/>
      <x:c r="G146"/>
      <x:c r="H146"/>
      <x:c r="I146"/>
      <x:c r="J146"/>
      <x:c r="K146"/>
      <x:c r="L146"/>
    </x:row>
    <x:row r="147" ht="72" customHeight="1">
      <x:c r="A147" s="113" t="str">
        <x:v>T-246</x:v>
      </x:c>
      <x:c r="B147" s="113" t="str">
        <x:v>Delivery Target</x:v>
      </x:c>
      <x:c r="C147" s="113" t="str">
        <x:v>2026-09-30 Release 1</x:v>
      </x:c>
      <x:c r="D147" s="113" t="str">
        <x:v>M3: 45 days after M2 completion</x:v>
      </x:c>
      <x:c r="E147" s="113" t="str">
        <x:v>Latest owner planning supersedes old calendar targets</x:v>
      </x:c>
      <x:c r="F147"/>
      <x:c r="G147"/>
      <x:c r="H147"/>
      <x:c r="I147"/>
      <x:c r="J147"/>
      <x:c r="K147"/>
      <x:c r="L147"/>
    </x:row>
    <x:row r="148" ht="72" customHeight="1">
      <x:c r="A148" s="113" t="str">
        <x:v>T-246</x:v>
      </x:c>
      <x:c r="B148" s="113" t="str">
        <x:v>AI Sequence Wave</x:v>
      </x:c>
      <x:c r="C148" s="113" t="str">
        <x:v>M2-P2</x:v>
      </x:c>
      <x:c r="D148" s="113" t="str">
        <x:v>M3-P4</x:v>
      </x:c>
      <x:c r="E148" s="113" t="str">
        <x:v>Release/phase synchronization</x:v>
      </x:c>
      <x:c r="F148"/>
      <x:c r="G148"/>
      <x:c r="H148"/>
      <x:c r="I148"/>
      <x:c r="J148"/>
      <x:c r="K148"/>
      <x:c r="L148"/>
    </x:row>
    <x:row r="149" ht="72" customHeight="1">
      <x:c r="A149" s="113" t="str">
        <x:v>T-246</x:v>
      </x:c>
      <x:c r="B149" s="113" t="str">
        <x:v>Product Track</x:v>
      </x:c>
      <x:c r="C149" s="113" t="str">
        <x:v>Day-1 Data Workbench — DB Link, Canvas, Jobs &amp; OPC</x:v>
      </x:c>
      <x:c r="D149" s="113" t="str">
        <x:v>Advanced ML, Optimisation &amp; Value</x:v>
      </x:c>
      <x:c r="E149" s="113" t="str">
        <x:v>Release/phase synchronization</x:v>
      </x:c>
      <x:c r="F149"/>
      <x:c r="G149"/>
      <x:c r="H149"/>
      <x:c r="I149"/>
      <x:c r="J149"/>
      <x:c r="K149"/>
      <x:c r="L149"/>
    </x:row>
    <x:row r="150" ht="72" customHeight="1">
      <x:c r="A150" s="113" t="str">
        <x:v>T-246</x:v>
      </x:c>
      <x:c r="B150" s="113" t="str">
        <x:v>AI Start / Dependency Gate</x:v>
      </x:c>
      <x:c r="C150" s="113" t="str">
        <x:v>Release 1 MUST — execute after T-243 and governed model/intelligence contracts. Not a prerequisite of T-247 unless T-247 acceptance is amended to invoke a model block.</x:v>
      </x:c>
      <x:c r="D150" s="113" t="str">
        <x:v>Consume accepted producer contracts; remaining dependencies: T-243; T-130; T-137; T-187. No private scheduler/definition authority. Source-present is not closure proof.</x:v>
      </x:c>
      <x:c r="E150" s="113" t="str">
        <x:v>Replace stale contradictory gate</x:v>
      </x:c>
      <x:c r="F150"/>
      <x:c r="G150"/>
      <x:c r="H150"/>
      <x:c r="I150"/>
      <x:c r="J150"/>
      <x:c r="K150"/>
      <x:c r="L150"/>
    </x:row>
    <x:row r="151" ht="72" customHeight="1">
      <x:c r="A151" s="113" t="str">
        <x:v>T-246</x:v>
      </x:c>
      <x:c r="B151" s="113" t="str">
        <x:v>Tech-Lead Ruling</x:v>
      </x:c>
      <x:c r="C151" s="113" t="str">
        <x:v>CENTRAL 04-Sep-2026: remove 'After 30-Sep MUST lane'. A Release-1-MUST task cannot be scheduled after its own release date.</x:v>
      </x:c>
      <x:c r="D151" s="113" t="str">
        <x:v>v2.22.0 owner-approved scope and release disposition; original evidence remains in change log/archive.</x:v>
      </x:c>
      <x:c r="E151" s="113" t="str">
        <x:v>Current ruling replaces superseded active notes</x:v>
      </x:c>
      <x:c r="F151"/>
      <x:c r="G151"/>
      <x:c r="H151"/>
      <x:c r="I151"/>
      <x:c r="J151"/>
      <x:c r="K151"/>
      <x:c r="L151"/>
    </x:row>
    <x:row r="152" ht="72" customHeight="1">
      <x:c r="A152" s="113" t="str">
        <x:v>T-247</x:v>
      </x:c>
      <x:c r="B152" s="113" t="str">
        <x:v>Delivery Target</x:v>
      </x:c>
      <x:c r="C152" s="113" t="str">
        <x:v>2026-09-30 Release 1</x:v>
      </x:c>
      <x:c r="D152" s="113" t="str">
        <x:v>M2: ~1 month from owner planning checkpoint; exact date not committed</x:v>
      </x:c>
      <x:c r="E152" s="113" t="str">
        <x:v>Latest owner planning supersedes old calendar targets</x:v>
      </x:c>
      <x:c r="F152"/>
      <x:c r="G152"/>
      <x:c r="H152"/>
      <x:c r="I152"/>
      <x:c r="J152"/>
      <x:c r="K152"/>
      <x:c r="L152"/>
    </x:row>
    <x:row r="153" ht="72" customHeight="1">
      <x:c r="A153" s="113" t="str">
        <x:v>T-253</x:v>
      </x:c>
      <x:c r="B153" s="113" t="str">
        <x:v>Delivery Target</x:v>
      </x:c>
      <x:c r="C153" s="113" t="str">
        <x:v>2026-09-30 Release 1</x:v>
      </x:c>
      <x:c r="D153" s="113" t="str">
        <x:v>M2: ~1 month from owner planning checkpoint; exact date not committed</x:v>
      </x:c>
      <x:c r="E153" s="113" t="str">
        <x:v>Latest owner planning supersedes old calendar targets</x:v>
      </x:c>
      <x:c r="F153"/>
      <x:c r="G153"/>
      <x:c r="H153"/>
      <x:c r="I153"/>
      <x:c r="J153"/>
      <x:c r="K153"/>
      <x:c r="L153"/>
    </x:row>
    <x:row r="154" ht="72" customHeight="1">
      <x:c r="A154" s="113" t="str">
        <x:v>T-254</x:v>
      </x:c>
      <x:c r="B154" s="113" t="str">
        <x:v>Delivery Target</x:v>
      </x:c>
      <x:c r="C154" s="113" t="str">
        <x:v>2026-09-30 Release 1</x:v>
      </x:c>
      <x:c r="D154" s="113" t="str">
        <x:v>M2: ~1 month from owner planning checkpoint; exact date not committed</x:v>
      </x:c>
      <x:c r="E154" s="113" t="str">
        <x:v>Latest owner planning supersedes old calendar targets</x:v>
      </x:c>
      <x:c r="F154"/>
      <x:c r="G154"/>
      <x:c r="H154"/>
      <x:c r="I154"/>
      <x:c r="J154"/>
      <x:c r="K154"/>
      <x:c r="L154"/>
    </x:row>
    <x:row r="155" ht="72" customHeight="1">
      <x:c r="A155" s="113" t="str">
        <x:v>T-258</x:v>
      </x:c>
      <x:c r="B155" s="113" t="str">
        <x:v>Delivery Target</x:v>
      </x:c>
      <x:c r="C155" s="113" t="str">
        <x:v>2026-09-30 Release 1</x:v>
      </x:c>
      <x:c r="D155" s="113" t="str">
        <x:v>M2: ~1 month from owner planning checkpoint; exact date not committed</x:v>
      </x:c>
      <x:c r="E155" s="113" t="str">
        <x:v>Latest owner planning supersedes old calendar targets</x:v>
      </x:c>
      <x:c r="F155"/>
      <x:c r="G155"/>
      <x:c r="H155"/>
      <x:c r="I155"/>
      <x:c r="J155"/>
      <x:c r="K155"/>
      <x:c r="L155"/>
    </x:row>
    <x:row r="156" ht="72" customHeight="1">
      <x:c r="A156" s="113" t="str">
        <x:v>T-148</x:v>
      </x:c>
      <x:c r="B156" s="113" t="str">
        <x:v>Delivery Target</x:v>
      </x:c>
      <x:c r="C156" s="113" t="str">
        <x:v>2026-09-30 Release 1</x:v>
      </x:c>
      <x:c r="D156" s="113" t="str">
        <x:v>M2: ~1 month from owner planning checkpoint; exact date not committed</x:v>
      </x:c>
      <x:c r="E156" s="113" t="str">
        <x:v>Latest owner planning supersedes old calendar targets</x:v>
      </x:c>
      <x:c r="F156"/>
      <x:c r="G156"/>
      <x:c r="H156"/>
      <x:c r="I156"/>
      <x:c r="J156"/>
      <x:c r="K156"/>
      <x:c r="L156"/>
    </x:row>
    <x:row r="157" ht="72" customHeight="1">
      <x:c r="A157" s="113" t="str">
        <x:v>T-215</x:v>
      </x:c>
      <x:c r="B157" s="113" t="str">
        <x:v>Delivery Target</x:v>
      </x:c>
      <x:c r="C157" s="113" t="str">
        <x:v>2026-09-30 Release 1</x:v>
      </x:c>
      <x:c r="D157" s="113" t="str">
        <x:v>M2: ~1 month from owner planning checkpoint; exact date not committed</x:v>
      </x:c>
      <x:c r="E157" s="113" t="str">
        <x:v>Latest owner planning supersedes old calendar targets</x:v>
      </x:c>
      <x:c r="F157"/>
      <x:c r="G157"/>
      <x:c r="H157"/>
      <x:c r="I157"/>
      <x:c r="J157"/>
      <x:c r="K157"/>
      <x:c r="L157"/>
    </x:row>
    <x:row r="158" ht="72" customHeight="1">
      <x:c r="A158" s="113" t="str">
        <x:v>T-222</x:v>
      </x:c>
      <x:c r="B158" s="113" t="str">
        <x:v>Delivery Target</x:v>
      </x:c>
      <x:c r="C158" s="113" t="str">
        <x:v>2026-09-30 Release 1</x:v>
      </x:c>
      <x:c r="D158" s="113" t="str">
        <x:v>M2: ~1 month from owner planning checkpoint; exact date not committed</x:v>
      </x:c>
      <x:c r="E158" s="113" t="str">
        <x:v>Latest owner planning supersedes old calendar targets</x:v>
      </x:c>
      <x:c r="F158"/>
      <x:c r="G158"/>
      <x:c r="H158"/>
      <x:c r="I158"/>
      <x:c r="J158"/>
      <x:c r="K158"/>
      <x:c r="L158"/>
    </x:row>
    <x:row r="159" ht="72" customHeight="1">
      <x:c r="A159" s="113" t="str">
        <x:v>T-137</x:v>
      </x:c>
      <x:c r="B159" s="113" t="str">
        <x:v>Delivery Target</x:v>
      </x:c>
      <x:c r="C159" s="113" t="str">
        <x:v>2026-09-30 Release 1</x:v>
      </x:c>
      <x:c r="D159" s="113" t="str">
        <x:v>M2: ~1 month from owner planning checkpoint; exact date not committed</x:v>
      </x:c>
      <x:c r="E159" s="113" t="str">
        <x:v>Latest owner planning supersedes old calendar targets</x:v>
      </x:c>
      <x:c r="F159"/>
      <x:c r="G159"/>
      <x:c r="H159"/>
      <x:c r="I159"/>
      <x:c r="J159"/>
      <x:c r="K159"/>
      <x:c r="L159"/>
    </x:row>
    <x:row r="160" ht="72" customHeight="1">
      <x:c r="A160" s="113" t="str">
        <x:v>T-137</x:v>
      </x:c>
      <x:c r="B160" s="113" t="str">
        <x:v>Product Track</x:v>
      </x:c>
      <x:c r="C160" s="113" t="str">
        <x:v>Industrial Intelligence — Reference, Reconciliation &amp; Assistant</x:v>
      </x:c>
      <x:c r="D160" s="113" t="str">
        <x:v>Industrial Intelligence — References, Reconciliation &amp; Assistant</x:v>
      </x:c>
      <x:c r="E160" s="113" t="str">
        <x:v>Release/phase synchronization</x:v>
      </x:c>
      <x:c r="F160"/>
      <x:c r="G160"/>
      <x:c r="H160"/>
      <x:c r="I160"/>
      <x:c r="J160"/>
      <x:c r="K160"/>
      <x:c r="L160"/>
    </x:row>
    <x:row r="161" ht="72" customHeight="1">
      <x:c r="A161" s="113" t="str">
        <x:v>T-168</x:v>
      </x:c>
      <x:c r="B161" s="113" t="str">
        <x:v>Delivery Target</x:v>
      </x:c>
      <x:c r="C161" s="113" t="str">
        <x:v>2026-09-30 Release 1</x:v>
      </x:c>
      <x:c r="D161" s="113" t="str">
        <x:v>M2: ~1 month from owner planning checkpoint; exact date not committed</x:v>
      </x:c>
      <x:c r="E161" s="113" t="str">
        <x:v>Latest owner planning supersedes old calendar targets</x:v>
      </x:c>
      <x:c r="F161"/>
      <x:c r="G161"/>
      <x:c r="H161"/>
      <x:c r="I161"/>
      <x:c r="J161"/>
      <x:c r="K161"/>
      <x:c r="L161"/>
    </x:row>
    <x:row r="162" ht="72" customHeight="1">
      <x:c r="A162" s="113" t="str">
        <x:v>T-168</x:v>
      </x:c>
      <x:c r="B162" s="113" t="str">
        <x:v>Product Track</x:v>
      </x:c>
      <x:c r="C162" s="113" t="str">
        <x:v>Industrial Intelligence — Reference, Reconciliation &amp; Assistant</x:v>
      </x:c>
      <x:c r="D162" s="113" t="str">
        <x:v>Industrial Intelligence — References, Reconciliation &amp; Assistant</x:v>
      </x:c>
      <x:c r="E162" s="113" t="str">
        <x:v>Release/phase synchronization</x:v>
      </x:c>
      <x:c r="F162"/>
      <x:c r="G162"/>
      <x:c r="H162"/>
      <x:c r="I162"/>
      <x:c r="J162"/>
      <x:c r="K162"/>
      <x:c r="L162"/>
    </x:row>
    <x:row r="163" ht="72" customHeight="1">
      <x:c r="A163" s="113" t="str">
        <x:v>T-169</x:v>
      </x:c>
      <x:c r="B163" s="113" t="str">
        <x:v>Delivery Target</x:v>
      </x:c>
      <x:c r="C163" s="113" t="str">
        <x:v>2026-09-30 Release 1</x:v>
      </x:c>
      <x:c r="D163" s="113" t="str">
        <x:v>M2: ~1 month from owner planning checkpoint; exact date not committed</x:v>
      </x:c>
      <x:c r="E163" s="113" t="str">
        <x:v>Latest owner planning supersedes old calendar targets</x:v>
      </x:c>
      <x:c r="F163"/>
      <x:c r="G163"/>
      <x:c r="H163"/>
      <x:c r="I163"/>
      <x:c r="J163"/>
      <x:c r="K163"/>
      <x:c r="L163"/>
    </x:row>
    <x:row r="164" ht="72" customHeight="1">
      <x:c r="A164" s="113" t="str">
        <x:v>T-169</x:v>
      </x:c>
      <x:c r="B164" s="113" t="str">
        <x:v>Product Track</x:v>
      </x:c>
      <x:c r="C164" s="113" t="str">
        <x:v>Industrial Intelligence — Reference, Reconciliation &amp; Assistant</x:v>
      </x:c>
      <x:c r="D164" s="113" t="str">
        <x:v>Industrial Intelligence — References, Reconciliation &amp; Assistant</x:v>
      </x:c>
      <x:c r="E164" s="113" t="str">
        <x:v>Release/phase synchronization</x:v>
      </x:c>
      <x:c r="F164"/>
      <x:c r="G164"/>
      <x:c r="H164"/>
      <x:c r="I164"/>
      <x:c r="J164"/>
      <x:c r="K164"/>
      <x:c r="L164"/>
    </x:row>
    <x:row r="165" ht="72" customHeight="1">
      <x:c r="A165" s="113" t="str">
        <x:v>T-170</x:v>
      </x:c>
      <x:c r="B165" s="113" t="str">
        <x:v>Delivery Target</x:v>
      </x:c>
      <x:c r="C165" s="113" t="str">
        <x:v>2026-09-30 Release 1</x:v>
      </x:c>
      <x:c r="D165" s="113" t="str">
        <x:v>M2: ~1 month from owner planning checkpoint; exact date not committed</x:v>
      </x:c>
      <x:c r="E165" s="113" t="str">
        <x:v>Latest owner planning supersedes old calendar targets</x:v>
      </x:c>
      <x:c r="F165"/>
      <x:c r="G165"/>
      <x:c r="H165"/>
      <x:c r="I165"/>
      <x:c r="J165"/>
      <x:c r="K165"/>
      <x:c r="L165"/>
    </x:row>
    <x:row r="166" ht="72" customHeight="1">
      <x:c r="A166" s="113" t="str">
        <x:v>T-170</x:v>
      </x:c>
      <x:c r="B166" s="113" t="str">
        <x:v>Product Track</x:v>
      </x:c>
      <x:c r="C166" s="113" t="str">
        <x:v>Industrial Intelligence — Reference, Reconciliation &amp; Assistant</x:v>
      </x:c>
      <x:c r="D166" s="113" t="str">
        <x:v>Industrial Intelligence — References, Reconciliation &amp; Assistant</x:v>
      </x:c>
      <x:c r="E166" s="113" t="str">
        <x:v>Release/phase synchronization</x:v>
      </x:c>
      <x:c r="F166"/>
      <x:c r="G166"/>
      <x:c r="H166"/>
      <x:c r="I166"/>
      <x:c r="J166"/>
      <x:c r="K166"/>
      <x:c r="L166"/>
    </x:row>
    <x:row r="167" ht="72" customHeight="1">
      <x:c r="A167" s="113" t="str">
        <x:v>T-171</x:v>
      </x:c>
      <x:c r="B167" s="113" t="str">
        <x:v>Delivery Target</x:v>
      </x:c>
      <x:c r="C167" s="113" t="str">
        <x:v>2026-09-30 Release 1</x:v>
      </x:c>
      <x:c r="D167" s="113" t="str">
        <x:v>M2: ~1 month from owner planning checkpoint; exact date not committed</x:v>
      </x:c>
      <x:c r="E167" s="113" t="str">
        <x:v>Latest owner planning supersedes old calendar targets</x:v>
      </x:c>
      <x:c r="F167"/>
      <x:c r="G167"/>
      <x:c r="H167"/>
      <x:c r="I167"/>
      <x:c r="J167"/>
      <x:c r="K167"/>
      <x:c r="L167"/>
    </x:row>
    <x:row r="168" ht="72" customHeight="1">
      <x:c r="A168" s="113" t="str">
        <x:v>T-171</x:v>
      </x:c>
      <x:c r="B168" s="113" t="str">
        <x:v>Product Track</x:v>
      </x:c>
      <x:c r="C168" s="113" t="str">
        <x:v>Industrial Intelligence — Reference, Reconciliation &amp; Assistant</x:v>
      </x:c>
      <x:c r="D168" s="113" t="str">
        <x:v>Industrial Intelligence — References, Reconciliation &amp; Assistant</x:v>
      </x:c>
      <x:c r="E168" s="113" t="str">
        <x:v>Release/phase synchronization</x:v>
      </x:c>
      <x:c r="F168"/>
      <x:c r="G168"/>
      <x:c r="H168"/>
      <x:c r="I168"/>
      <x:c r="J168"/>
      <x:c r="K168"/>
      <x:c r="L168"/>
    </x:row>
    <x:row r="169" ht="72" customHeight="1">
      <x:c r="A169" s="113" t="str">
        <x:v>T-172</x:v>
      </x:c>
      <x:c r="B169" s="113" t="str">
        <x:v>Delivery Target</x:v>
      </x:c>
      <x:c r="C169" s="113" t="str">
        <x:v>2026-09-30 Release 1</x:v>
      </x:c>
      <x:c r="D169" s="113" t="str">
        <x:v>M2: ~1 month from owner planning checkpoint; exact date not committed</x:v>
      </x:c>
      <x:c r="E169" s="113" t="str">
        <x:v>Latest owner planning supersedes old calendar targets</x:v>
      </x:c>
      <x:c r="F169"/>
      <x:c r="G169"/>
      <x:c r="H169"/>
      <x:c r="I169"/>
      <x:c r="J169"/>
      <x:c r="K169"/>
      <x:c r="L169"/>
    </x:row>
    <x:row r="170" ht="72" customHeight="1">
      <x:c r="A170" s="113" t="str">
        <x:v>T-172</x:v>
      </x:c>
      <x:c r="B170" s="113" t="str">
        <x:v>Product Track</x:v>
      </x:c>
      <x:c r="C170" s="113" t="str">
        <x:v>Industrial Intelligence — Reference, Reconciliation &amp; Assistant</x:v>
      </x:c>
      <x:c r="D170" s="113" t="str">
        <x:v>Industrial Intelligence — References, Reconciliation &amp; Assistant</x:v>
      </x:c>
      <x:c r="E170" s="113" t="str">
        <x:v>Release/phase synchronization</x:v>
      </x:c>
      <x:c r="F170"/>
      <x:c r="G170"/>
      <x:c r="H170"/>
      <x:c r="I170"/>
      <x:c r="J170"/>
      <x:c r="K170"/>
      <x:c r="L170"/>
    </x:row>
    <x:row r="171" ht="72" customHeight="1">
      <x:c r="A171" s="113" t="str">
        <x:v>T-173</x:v>
      </x:c>
      <x:c r="B171" s="113" t="str">
        <x:v>Delivery Target</x:v>
      </x:c>
      <x:c r="C171" s="113" t="str">
        <x:v>2026-09-30 Release 1</x:v>
      </x:c>
      <x:c r="D171" s="113" t="str">
        <x:v>M2: ~1 month from owner planning checkpoint; exact date not committed</x:v>
      </x:c>
      <x:c r="E171" s="113" t="str">
        <x:v>Latest owner planning supersedes old calendar targets</x:v>
      </x:c>
      <x:c r="F171"/>
      <x:c r="G171"/>
      <x:c r="H171"/>
      <x:c r="I171"/>
      <x:c r="J171"/>
      <x:c r="K171"/>
      <x:c r="L171"/>
    </x:row>
    <x:row r="172" ht="72" customHeight="1">
      <x:c r="A172" s="113" t="str">
        <x:v>T-173</x:v>
      </x:c>
      <x:c r="B172" s="113" t="str">
        <x:v>Product Track</x:v>
      </x:c>
      <x:c r="C172" s="113" t="str">
        <x:v>Industrial Intelligence — Reference, Reconciliation &amp; Assistant</x:v>
      </x:c>
      <x:c r="D172" s="113" t="str">
        <x:v>Industrial Intelligence — References, Reconciliation &amp; Assistant</x:v>
      </x:c>
      <x:c r="E172" s="113" t="str">
        <x:v>Release/phase synchronization</x:v>
      </x:c>
      <x:c r="F172"/>
      <x:c r="G172"/>
      <x:c r="H172"/>
      <x:c r="I172"/>
      <x:c r="J172"/>
      <x:c r="K172"/>
      <x:c r="L172"/>
    </x:row>
    <x:row r="173" ht="72" customHeight="1">
      <x:c r="A173" s="113" t="str">
        <x:v>T-174</x:v>
      </x:c>
      <x:c r="B173" s="113" t="str">
        <x:v>Delivery Target</x:v>
      </x:c>
      <x:c r="C173" s="113" t="str">
        <x:v>2026-09-30 Release 1</x:v>
      </x:c>
      <x:c r="D173" s="113" t="str">
        <x:v>M2: ~1 month from owner planning checkpoint; exact date not committed</x:v>
      </x:c>
      <x:c r="E173" s="113" t="str">
        <x:v>Latest owner planning supersedes old calendar targets</x:v>
      </x:c>
      <x:c r="F173"/>
      <x:c r="G173"/>
      <x:c r="H173"/>
      <x:c r="I173"/>
      <x:c r="J173"/>
      <x:c r="K173"/>
      <x:c r="L173"/>
    </x:row>
    <x:row r="174" ht="72" customHeight="1">
      <x:c r="A174" s="113" t="str">
        <x:v>T-174</x:v>
      </x:c>
      <x:c r="B174" s="113" t="str">
        <x:v>Product Track</x:v>
      </x:c>
      <x:c r="C174" s="113" t="str">
        <x:v>Industrial Intelligence — Reference, Reconciliation &amp; Assistant</x:v>
      </x:c>
      <x:c r="D174" s="113" t="str">
        <x:v>Industrial Intelligence — References, Reconciliation &amp; Assistant</x:v>
      </x:c>
      <x:c r="E174" s="113" t="str">
        <x:v>Release/phase synchronization</x:v>
      </x:c>
      <x:c r="F174"/>
      <x:c r="G174"/>
      <x:c r="H174"/>
      <x:c r="I174"/>
      <x:c r="J174"/>
      <x:c r="K174"/>
      <x:c r="L174"/>
    </x:row>
    <x:row r="175" ht="72" customHeight="1">
      <x:c r="A175" s="113" t="str">
        <x:v>T-175</x:v>
      </x:c>
      <x:c r="B175" s="113" t="str">
        <x:v>Delivery Target</x:v>
      </x:c>
      <x:c r="C175" s="113" t="str">
        <x:v>2026-09-30 Release 1</x:v>
      </x:c>
      <x:c r="D175" s="113" t="str">
        <x:v>M2: ~1 month from owner planning checkpoint; exact date not committed</x:v>
      </x:c>
      <x:c r="E175" s="113" t="str">
        <x:v>Latest owner planning supersedes old calendar targets</x:v>
      </x:c>
      <x:c r="F175"/>
      <x:c r="G175"/>
      <x:c r="H175"/>
      <x:c r="I175"/>
      <x:c r="J175"/>
      <x:c r="K175"/>
      <x:c r="L175"/>
    </x:row>
    <x:row r="176" ht="72" customHeight="1">
      <x:c r="A176" s="113" t="str">
        <x:v>T-175</x:v>
      </x:c>
      <x:c r="B176" s="113" t="str">
        <x:v>Product Track</x:v>
      </x:c>
      <x:c r="C176" s="113" t="str">
        <x:v>Industrial Intelligence — Reference, Reconciliation &amp; Assistant</x:v>
      </x:c>
      <x:c r="D176" s="113" t="str">
        <x:v>Industrial Intelligence — References, Reconciliation &amp; Assistant</x:v>
      </x:c>
      <x:c r="E176" s="113" t="str">
        <x:v>Release/phase synchronization</x:v>
      </x:c>
      <x:c r="F176"/>
      <x:c r="G176"/>
      <x:c r="H176"/>
      <x:c r="I176"/>
      <x:c r="J176"/>
      <x:c r="K176"/>
      <x:c r="L176"/>
    </x:row>
    <x:row r="177" ht="72" customHeight="1">
      <x:c r="A177" s="113" t="str">
        <x:v>T-176</x:v>
      </x:c>
      <x:c r="B177" s="113" t="str">
        <x:v>Delivery Target</x:v>
      </x:c>
      <x:c r="C177" s="113" t="str">
        <x:v>2026-09-30 Release 1</x:v>
      </x:c>
      <x:c r="D177" s="113" t="str">
        <x:v>M2: ~1 month from owner planning checkpoint; exact date not committed</x:v>
      </x:c>
      <x:c r="E177" s="113" t="str">
        <x:v>Latest owner planning supersedes old calendar targets</x:v>
      </x:c>
      <x:c r="F177"/>
      <x:c r="G177"/>
      <x:c r="H177"/>
      <x:c r="I177"/>
      <x:c r="J177"/>
      <x:c r="K177"/>
      <x:c r="L177"/>
    </x:row>
    <x:row r="178" ht="72" customHeight="1">
      <x:c r="A178" s="113" t="str">
        <x:v>T-176</x:v>
      </x:c>
      <x:c r="B178" s="113" t="str">
        <x:v>Product Track</x:v>
      </x:c>
      <x:c r="C178" s="113" t="str">
        <x:v>Industrial Intelligence — Reference, Reconciliation &amp; Assistant</x:v>
      </x:c>
      <x:c r="D178" s="113" t="str">
        <x:v>Industrial Intelligence — References, Reconciliation &amp; Assistant</x:v>
      </x:c>
      <x:c r="E178" s="113" t="str">
        <x:v>Release/phase synchronization</x:v>
      </x:c>
      <x:c r="F178"/>
      <x:c r="G178"/>
      <x:c r="H178"/>
      <x:c r="I178"/>
      <x:c r="J178"/>
      <x:c r="K178"/>
      <x:c r="L178"/>
    </x:row>
    <x:row r="179" ht="72" customHeight="1">
      <x:c r="A179" s="113" t="str">
        <x:v>T-177</x:v>
      </x:c>
      <x:c r="B179" s="113" t="str">
        <x:v>Delivery Target</x:v>
      </x:c>
      <x:c r="C179" s="113" t="str">
        <x:v>2026-09-30 Release 1</x:v>
      </x:c>
      <x:c r="D179" s="113" t="str">
        <x:v>M2: ~1 month from owner planning checkpoint; exact date not committed</x:v>
      </x:c>
      <x:c r="E179" s="113" t="str">
        <x:v>Latest owner planning supersedes old calendar targets</x:v>
      </x:c>
      <x:c r="F179"/>
      <x:c r="G179"/>
      <x:c r="H179"/>
      <x:c r="I179"/>
      <x:c r="J179"/>
      <x:c r="K179"/>
      <x:c r="L179"/>
    </x:row>
    <x:row r="180" ht="72" customHeight="1">
      <x:c r="A180" s="113" t="str">
        <x:v>T-177</x:v>
      </x:c>
      <x:c r="B180" s="113" t="str">
        <x:v>Product Track</x:v>
      </x:c>
      <x:c r="C180" s="113" t="str">
        <x:v>Industrial Intelligence — Reference, Reconciliation &amp; Assistant</x:v>
      </x:c>
      <x:c r="D180" s="113" t="str">
        <x:v>Industrial Intelligence — References, Reconciliation &amp; Assistant</x:v>
      </x:c>
      <x:c r="E180" s="113" t="str">
        <x:v>Release/phase synchronization</x:v>
      </x:c>
      <x:c r="F180"/>
      <x:c r="G180"/>
      <x:c r="H180"/>
      <x:c r="I180"/>
      <x:c r="J180"/>
      <x:c r="K180"/>
      <x:c r="L180"/>
    </x:row>
    <x:row r="181" ht="72" customHeight="1">
      <x:c r="A181" s="113" t="str">
        <x:v>T-178</x:v>
      </x:c>
      <x:c r="B181" s="113" t="str">
        <x:v>Delivery Target</x:v>
      </x:c>
      <x:c r="C181" s="113" t="str">
        <x:v>2026-09-30 Release 1</x:v>
      </x:c>
      <x:c r="D181" s="113" t="str">
        <x:v>M2: ~1 month from owner planning checkpoint; exact date not committed</x:v>
      </x:c>
      <x:c r="E181" s="113" t="str">
        <x:v>Latest owner planning supersedes old calendar targets</x:v>
      </x:c>
      <x:c r="F181"/>
      <x:c r="G181"/>
      <x:c r="H181"/>
      <x:c r="I181"/>
      <x:c r="J181"/>
      <x:c r="K181"/>
      <x:c r="L181"/>
    </x:row>
    <x:row r="182" ht="72" customHeight="1">
      <x:c r="A182" s="113" t="str">
        <x:v>T-178</x:v>
      </x:c>
      <x:c r="B182" s="113" t="str">
        <x:v>Product Track</x:v>
      </x:c>
      <x:c r="C182" s="113" t="str">
        <x:v>Industrial Intelligence — Reference, Reconciliation &amp; Assistant</x:v>
      </x:c>
      <x:c r="D182" s="113" t="str">
        <x:v>Industrial Intelligence — References, Reconciliation &amp; Assistant</x:v>
      </x:c>
      <x:c r="E182" s="113" t="str">
        <x:v>Release/phase synchronization</x:v>
      </x:c>
      <x:c r="F182"/>
      <x:c r="G182"/>
      <x:c r="H182"/>
      <x:c r="I182"/>
      <x:c r="J182"/>
      <x:c r="K182"/>
      <x:c r="L182"/>
    </x:row>
    <x:row r="183" ht="72" customHeight="1">
      <x:c r="A183" s="113" t="str">
        <x:v>T-179</x:v>
      </x:c>
      <x:c r="B183" s="113" t="str">
        <x:v>Delivery Target</x:v>
      </x:c>
      <x:c r="C183" s="113" t="str">
        <x:v>2026-09-30 Release 1</x:v>
      </x:c>
      <x:c r="D183" s="113" t="str">
        <x:v>M2: ~1 month from owner planning checkpoint; exact date not committed</x:v>
      </x:c>
      <x:c r="E183" s="113" t="str">
        <x:v>Latest owner planning supersedes old calendar targets</x:v>
      </x:c>
      <x:c r="F183"/>
      <x:c r="G183"/>
      <x:c r="H183"/>
      <x:c r="I183"/>
      <x:c r="J183"/>
      <x:c r="K183"/>
      <x:c r="L183"/>
    </x:row>
    <x:row r="184" ht="72" customHeight="1">
      <x:c r="A184" s="113" t="str">
        <x:v>T-179</x:v>
      </x:c>
      <x:c r="B184" s="113" t="str">
        <x:v>Product Track</x:v>
      </x:c>
      <x:c r="C184" s="113" t="str">
        <x:v>Industrial Intelligence — Reference, Reconciliation &amp; Assistant</x:v>
      </x:c>
      <x:c r="D184" s="113" t="str">
        <x:v>Industrial Intelligence — References, Reconciliation &amp; Assistant</x:v>
      </x:c>
      <x:c r="E184" s="113" t="str">
        <x:v>Release/phase synchronization</x:v>
      </x:c>
      <x:c r="F184"/>
      <x:c r="G184"/>
      <x:c r="H184"/>
      <x:c r="I184"/>
      <x:c r="J184"/>
      <x:c r="K184"/>
      <x:c r="L184"/>
    </x:row>
    <x:row r="185" ht="72" customHeight="1">
      <x:c r="A185" s="113" t="str">
        <x:v>T-180</x:v>
      </x:c>
      <x:c r="B185" s="113" t="str">
        <x:v>Delivery Target</x:v>
      </x:c>
      <x:c r="C185" s="113" t="str">
        <x:v>2026-09-30 Release 1</x:v>
      </x:c>
      <x:c r="D185" s="113" t="str">
        <x:v>M2: ~1 month from owner planning checkpoint; exact date not committed</x:v>
      </x:c>
      <x:c r="E185" s="113" t="str">
        <x:v>Latest owner planning supersedes old calendar targets</x:v>
      </x:c>
      <x:c r="F185"/>
      <x:c r="G185"/>
      <x:c r="H185"/>
      <x:c r="I185"/>
      <x:c r="J185"/>
      <x:c r="K185"/>
      <x:c r="L185"/>
    </x:row>
    <x:row r="186" ht="72" customHeight="1">
      <x:c r="A186" s="113" t="str">
        <x:v>T-180</x:v>
      </x:c>
      <x:c r="B186" s="113" t="str">
        <x:v>Product Track</x:v>
      </x:c>
      <x:c r="C186" s="113" t="str">
        <x:v>Industrial Intelligence — Reference, Reconciliation &amp; Assistant</x:v>
      </x:c>
      <x:c r="D186" s="113" t="str">
        <x:v>Industrial Intelligence — References, Reconciliation &amp; Assistant</x:v>
      </x:c>
      <x:c r="E186" s="113" t="str">
        <x:v>Release/phase synchronization</x:v>
      </x:c>
      <x:c r="F186"/>
      <x:c r="G186"/>
      <x:c r="H186"/>
      <x:c r="I186"/>
      <x:c r="J186"/>
      <x:c r="K186"/>
      <x:c r="L186"/>
    </x:row>
    <x:row r="187" ht="72" customHeight="1">
      <x:c r="A187" s="113" t="str">
        <x:v>T-181</x:v>
      </x:c>
      <x:c r="B187" s="113" t="str">
        <x:v>Delivery Target</x:v>
      </x:c>
      <x:c r="C187" s="113" t="str">
        <x:v>2026-09-30 Release 1</x:v>
      </x:c>
      <x:c r="D187" s="113" t="str">
        <x:v>M2: ~1 month from owner planning checkpoint; exact date not committed</x:v>
      </x:c>
      <x:c r="E187" s="113" t="str">
        <x:v>Latest owner planning supersedes old calendar targets</x:v>
      </x:c>
      <x:c r="F187"/>
      <x:c r="G187"/>
      <x:c r="H187"/>
      <x:c r="I187"/>
      <x:c r="J187"/>
      <x:c r="K187"/>
      <x:c r="L187"/>
    </x:row>
    <x:row r="188" ht="72" customHeight="1">
      <x:c r="A188" s="113" t="str">
        <x:v>T-181</x:v>
      </x:c>
      <x:c r="B188" s="113" t="str">
        <x:v>Product Track</x:v>
      </x:c>
      <x:c r="C188" s="113" t="str">
        <x:v>Industrial Intelligence — Reference, Reconciliation &amp; Assistant</x:v>
      </x:c>
      <x:c r="D188" s="113" t="str">
        <x:v>Industrial Intelligence — References, Reconciliation &amp; Assistant</x:v>
      </x:c>
      <x:c r="E188" s="113" t="str">
        <x:v>Release/phase synchronization</x:v>
      </x:c>
      <x:c r="F188"/>
      <x:c r="G188"/>
      <x:c r="H188"/>
      <x:c r="I188"/>
      <x:c r="J188"/>
      <x:c r="K188"/>
      <x:c r="L188"/>
    </x:row>
    <x:row r="189" ht="72" customHeight="1">
      <x:c r="A189" s="113" t="str">
        <x:v>T-182</x:v>
      </x:c>
      <x:c r="B189" s="113" t="str">
        <x:v>Delivery Target</x:v>
      </x:c>
      <x:c r="C189" s="113" t="str">
        <x:v>2026-09-30 Release 1</x:v>
      </x:c>
      <x:c r="D189" s="113" t="str">
        <x:v>M2: ~1 month from owner planning checkpoint; exact date not committed</x:v>
      </x:c>
      <x:c r="E189" s="113" t="str">
        <x:v>Latest owner planning supersedes old calendar targets</x:v>
      </x:c>
      <x:c r="F189"/>
      <x:c r="G189"/>
      <x:c r="H189"/>
      <x:c r="I189"/>
      <x:c r="J189"/>
      <x:c r="K189"/>
      <x:c r="L189"/>
    </x:row>
    <x:row r="190" ht="72" customHeight="1">
      <x:c r="A190" s="113" t="str">
        <x:v>T-182</x:v>
      </x:c>
      <x:c r="B190" s="113" t="str">
        <x:v>Product Track</x:v>
      </x:c>
      <x:c r="C190" s="113" t="str">
        <x:v>Industrial Intelligence — Reference, Reconciliation &amp; Assistant</x:v>
      </x:c>
      <x:c r="D190" s="113" t="str">
        <x:v>Industrial Intelligence — References, Reconciliation &amp; Assistant</x:v>
      </x:c>
      <x:c r="E190" s="113" t="str">
        <x:v>Release/phase synchronization</x:v>
      </x:c>
      <x:c r="F190"/>
      <x:c r="G190"/>
      <x:c r="H190"/>
      <x:c r="I190"/>
      <x:c r="J190"/>
      <x:c r="K190"/>
      <x:c r="L190"/>
    </x:row>
    <x:row r="191" ht="72" customHeight="1">
      <x:c r="A191" s="113" t="str">
        <x:v>T-211</x:v>
      </x:c>
      <x:c r="B191" s="113" t="str">
        <x:v>Delivery Target</x:v>
      </x:c>
      <x:c r="C191" s="113" t="str">
        <x:v>2026-09-30 Release 1</x:v>
      </x:c>
      <x:c r="D191" s="113" t="str">
        <x:v>M2: ~1 month from owner planning checkpoint; exact date not committed</x:v>
      </x:c>
      <x:c r="E191" s="113" t="str">
        <x:v>Latest owner planning supersedes old calendar targets</x:v>
      </x:c>
      <x:c r="F191"/>
      <x:c r="G191"/>
      <x:c r="H191"/>
      <x:c r="I191"/>
      <x:c r="J191"/>
      <x:c r="K191"/>
      <x:c r="L191"/>
    </x:row>
    <x:row r="192" ht="72" customHeight="1">
      <x:c r="A192" s="113" t="str">
        <x:v>T-211</x:v>
      </x:c>
      <x:c r="B192" s="113" t="str">
        <x:v>Product Track</x:v>
      </x:c>
      <x:c r="C192" s="113" t="str">
        <x:v>Industrial Intelligence — Reference, Reconciliation &amp; Assistant</x:v>
      </x:c>
      <x:c r="D192" s="113" t="str">
        <x:v>Industrial Intelligence — References, Reconciliation &amp; Assistant</x:v>
      </x:c>
      <x:c r="E192" s="113" t="str">
        <x:v>Release/phase synchronization</x:v>
      </x:c>
      <x:c r="F192"/>
      <x:c r="G192"/>
      <x:c r="H192"/>
      <x:c r="I192"/>
      <x:c r="J192"/>
      <x:c r="K192"/>
      <x:c r="L192"/>
    </x:row>
    <x:row r="193" ht="72" customHeight="1">
      <x:c r="A193" s="113" t="str">
        <x:v>T-214</x:v>
      </x:c>
      <x:c r="B193" s="113" t="str">
        <x:v>Delivery Target</x:v>
      </x:c>
      <x:c r="C193" s="113" t="str">
        <x:v>2026-09-30 Release 1</x:v>
      </x:c>
      <x:c r="D193" s="113" t="str">
        <x:v>M2: ~1 month from owner planning checkpoint; exact date not committed</x:v>
      </x:c>
      <x:c r="E193" s="113" t="str">
        <x:v>Latest owner planning supersedes old calendar targets</x:v>
      </x:c>
      <x:c r="F193"/>
      <x:c r="G193"/>
      <x:c r="H193"/>
      <x:c r="I193"/>
      <x:c r="J193"/>
      <x:c r="K193"/>
      <x:c r="L193"/>
    </x:row>
    <x:row r="194" ht="72" customHeight="1">
      <x:c r="A194" s="113" t="str">
        <x:v>T-214</x:v>
      </x:c>
      <x:c r="B194" s="113" t="str">
        <x:v>Product Track</x:v>
      </x:c>
      <x:c r="C194" s="113" t="str">
        <x:v>Industrial Intelligence — Reference, Reconciliation &amp; Assistant</x:v>
      </x:c>
      <x:c r="D194" s="113" t="str">
        <x:v>Industrial Intelligence — References, Reconciliation &amp; Assistant</x:v>
      </x:c>
      <x:c r="E194" s="113" t="str">
        <x:v>Release/phase synchronization</x:v>
      </x:c>
      <x:c r="F194"/>
      <x:c r="G194"/>
      <x:c r="H194"/>
      <x:c r="I194"/>
      <x:c r="J194"/>
      <x:c r="K194"/>
      <x:c r="L194"/>
    </x:row>
    <x:row r="195" ht="72" customHeight="1">
      <x:c r="A195" s="113" t="str">
        <x:v>T-217</x:v>
      </x:c>
      <x:c r="B195" s="113" t="str">
        <x:v>Delivery Target</x:v>
      </x:c>
      <x:c r="C195" s="113" t="str">
        <x:v>2026-09-30 Release 1</x:v>
      </x:c>
      <x:c r="D195" s="113" t="str">
        <x:v>M2: ~1 month from owner planning checkpoint; exact date not committed</x:v>
      </x:c>
      <x:c r="E195" s="113" t="str">
        <x:v>Latest owner planning supersedes old calendar targets</x:v>
      </x:c>
      <x:c r="F195"/>
      <x:c r="G195"/>
      <x:c r="H195"/>
      <x:c r="I195"/>
      <x:c r="J195"/>
      <x:c r="K195"/>
      <x:c r="L195"/>
    </x:row>
    <x:row r="196" ht="72" customHeight="1">
      <x:c r="A196" s="113" t="str">
        <x:v>T-217</x:v>
      </x:c>
      <x:c r="B196" s="113" t="str">
        <x:v>Product Track</x:v>
      </x:c>
      <x:c r="C196" s="113" t="str">
        <x:v>Industrial Intelligence — Reference, Reconciliation &amp; Assistant</x:v>
      </x:c>
      <x:c r="D196" s="113" t="str">
        <x:v>Industrial Intelligence — References, Reconciliation &amp; Assistant</x:v>
      </x:c>
      <x:c r="E196" s="113" t="str">
        <x:v>Release/phase synchronization</x:v>
      </x:c>
      <x:c r="F196"/>
      <x:c r="G196"/>
      <x:c r="H196"/>
      <x:c r="I196"/>
      <x:c r="J196"/>
      <x:c r="K196"/>
      <x:c r="L196"/>
    </x:row>
    <x:row r="197" ht="72" customHeight="1">
      <x:c r="A197" s="113" t="str">
        <x:v>T-218</x:v>
      </x:c>
      <x:c r="B197" s="113" t="str">
        <x:v>Delivery Target</x:v>
      </x:c>
      <x:c r="C197" s="113" t="str">
        <x:v>2026-09-30 Release 1</x:v>
      </x:c>
      <x:c r="D197" s="113" t="str">
        <x:v>M2: ~1 month from owner planning checkpoint; exact date not committed</x:v>
      </x:c>
      <x:c r="E197" s="113" t="str">
        <x:v>Latest owner planning supersedes old calendar targets</x:v>
      </x:c>
      <x:c r="F197"/>
      <x:c r="G197"/>
      <x:c r="H197"/>
      <x:c r="I197"/>
      <x:c r="J197"/>
      <x:c r="K197"/>
      <x:c r="L197"/>
    </x:row>
    <x:row r="198" ht="72" customHeight="1">
      <x:c r="A198" s="113" t="str">
        <x:v>T-218</x:v>
      </x:c>
      <x:c r="B198" s="113" t="str">
        <x:v>Product Track</x:v>
      </x:c>
      <x:c r="C198" s="113" t="str">
        <x:v>Industrial Intelligence — Reference, Reconciliation &amp; Assistant</x:v>
      </x:c>
      <x:c r="D198" s="113" t="str">
        <x:v>Industrial Intelligence — References, Reconciliation &amp; Assistant</x:v>
      </x:c>
      <x:c r="E198" s="113" t="str">
        <x:v>Release/phase synchronization</x:v>
      </x:c>
      <x:c r="F198"/>
      <x:c r="G198"/>
      <x:c r="H198"/>
      <x:c r="I198"/>
      <x:c r="J198"/>
      <x:c r="K198"/>
      <x:c r="L198"/>
    </x:row>
    <x:row r="199" ht="72" customHeight="1">
      <x:c r="A199" s="113" t="str">
        <x:v>T-219</x:v>
      </x:c>
      <x:c r="B199" s="113" t="str">
        <x:v>Delivery Target</x:v>
      </x:c>
      <x:c r="C199" s="113" t="str">
        <x:v>2026-09-30 Release 1</x:v>
      </x:c>
      <x:c r="D199" s="113" t="str">
        <x:v>M2: ~1 month from owner planning checkpoint; exact date not committed</x:v>
      </x:c>
      <x:c r="E199" s="113" t="str">
        <x:v>Latest owner planning supersedes old calendar targets</x:v>
      </x:c>
      <x:c r="F199"/>
      <x:c r="G199"/>
      <x:c r="H199"/>
      <x:c r="I199"/>
      <x:c r="J199"/>
      <x:c r="K199"/>
      <x:c r="L199"/>
    </x:row>
    <x:row r="200" ht="72" customHeight="1">
      <x:c r="A200" s="113" t="str">
        <x:v>T-219</x:v>
      </x:c>
      <x:c r="B200" s="113" t="str">
        <x:v>Product Track</x:v>
      </x:c>
      <x:c r="C200" s="113" t="str">
        <x:v>Industrial Intelligence — Reference, Reconciliation &amp; Assistant</x:v>
      </x:c>
      <x:c r="D200" s="113" t="str">
        <x:v>Industrial Intelligence — References, Reconciliation &amp; Assistant</x:v>
      </x:c>
      <x:c r="E200" s="113" t="str">
        <x:v>Release/phase synchronization</x:v>
      </x:c>
      <x:c r="F200"/>
      <x:c r="G200"/>
      <x:c r="H200"/>
      <x:c r="I200"/>
      <x:c r="J200"/>
      <x:c r="K200"/>
      <x:c r="L200"/>
    </x:row>
    <x:row r="201" ht="72" customHeight="1">
      <x:c r="A201" s="113" t="str">
        <x:v>T-220</x:v>
      </x:c>
      <x:c r="B201" s="113" t="str">
        <x:v>Delivery Target</x:v>
      </x:c>
      <x:c r="C201" s="113" t="str">
        <x:v>2026-09-30 Release 1</x:v>
      </x:c>
      <x:c r="D201" s="113" t="str">
        <x:v>M2: ~1 month from owner planning checkpoint; exact date not committed</x:v>
      </x:c>
      <x:c r="E201" s="113" t="str">
        <x:v>Latest owner planning supersedes old calendar targets</x:v>
      </x:c>
      <x:c r="F201"/>
      <x:c r="G201"/>
      <x:c r="H201"/>
      <x:c r="I201"/>
      <x:c r="J201"/>
      <x:c r="K201"/>
      <x:c r="L201"/>
    </x:row>
    <x:row r="202" ht="72" customHeight="1">
      <x:c r="A202" s="113" t="str">
        <x:v>T-220</x:v>
      </x:c>
      <x:c r="B202" s="113" t="str">
        <x:v>Product Track</x:v>
      </x:c>
      <x:c r="C202" s="113" t="str">
        <x:v>Industrial Intelligence — Reference, Reconciliation &amp; Assistant</x:v>
      </x:c>
      <x:c r="D202" s="113" t="str">
        <x:v>Industrial Intelligence — References, Reconciliation &amp; Assistant</x:v>
      </x:c>
      <x:c r="E202" s="113" t="str">
        <x:v>Release/phase synchronization</x:v>
      </x:c>
      <x:c r="F202"/>
      <x:c r="G202"/>
      <x:c r="H202"/>
      <x:c r="I202"/>
      <x:c r="J202"/>
      <x:c r="K202"/>
      <x:c r="L202"/>
    </x:row>
    <x:row r="203" ht="72" customHeight="1">
      <x:c r="A203" s="113" t="str">
        <x:v>T-221</x:v>
      </x:c>
      <x:c r="B203" s="113" t="str">
        <x:v>Delivery Target</x:v>
      </x:c>
      <x:c r="C203" s="113" t="str">
        <x:v>2026-09-30 Release 1</x:v>
      </x:c>
      <x:c r="D203" s="113" t="str">
        <x:v>M2: ~1 month from owner planning checkpoint; exact date not committed</x:v>
      </x:c>
      <x:c r="E203" s="113" t="str">
        <x:v>Latest owner planning supersedes old calendar targets</x:v>
      </x:c>
      <x:c r="F203"/>
      <x:c r="G203"/>
      <x:c r="H203"/>
      <x:c r="I203"/>
      <x:c r="J203"/>
      <x:c r="K203"/>
      <x:c r="L203"/>
    </x:row>
    <x:row r="204" ht="72" customHeight="1">
      <x:c r="A204" s="113" t="str">
        <x:v>T-221</x:v>
      </x:c>
      <x:c r="B204" s="113" t="str">
        <x:v>Product Track</x:v>
      </x:c>
      <x:c r="C204" s="113" t="str">
        <x:v>Industrial Intelligence — Reference, Reconciliation &amp; Assistant</x:v>
      </x:c>
      <x:c r="D204" s="113" t="str">
        <x:v>Industrial Intelligence — References, Reconciliation &amp; Assistant</x:v>
      </x:c>
      <x:c r="E204" s="113" t="str">
        <x:v>Release/phase synchronization</x:v>
      </x:c>
      <x:c r="F204"/>
      <x:c r="G204"/>
      <x:c r="H204"/>
      <x:c r="I204"/>
      <x:c r="J204"/>
      <x:c r="K204"/>
      <x:c r="L204"/>
    </x:row>
    <x:row r="205" ht="72" customHeight="1">
      <x:c r="A205" s="113" t="str">
        <x:v>T-223</x:v>
      </x:c>
      <x:c r="B205" s="113" t="str">
        <x:v>Delivery Target</x:v>
      </x:c>
      <x:c r="C205" s="113" t="str">
        <x:v>2026-09-30 Release 1</x:v>
      </x:c>
      <x:c r="D205" s="113" t="str">
        <x:v>M2: ~1 month from owner planning checkpoint; exact date not committed</x:v>
      </x:c>
      <x:c r="E205" s="113" t="str">
        <x:v>Latest owner planning supersedes old calendar targets</x:v>
      </x:c>
      <x:c r="F205"/>
      <x:c r="G205"/>
      <x:c r="H205"/>
      <x:c r="I205"/>
      <x:c r="J205"/>
      <x:c r="K205"/>
      <x:c r="L205"/>
    </x:row>
    <x:row r="206" ht="72" customHeight="1">
      <x:c r="A206" s="113" t="str">
        <x:v>T-223</x:v>
      </x:c>
      <x:c r="B206" s="113" t="str">
        <x:v>Product Track</x:v>
      </x:c>
      <x:c r="C206" s="113" t="str">
        <x:v>Industrial Intelligence — Reference, Reconciliation &amp; Assistant</x:v>
      </x:c>
      <x:c r="D206" s="113" t="str">
        <x:v>Industrial Intelligence — References, Reconciliation &amp; Assistant</x:v>
      </x:c>
      <x:c r="E206" s="113" t="str">
        <x:v>Release/phase synchronization</x:v>
      </x:c>
      <x:c r="F206"/>
      <x:c r="G206"/>
      <x:c r="H206"/>
      <x:c r="I206"/>
      <x:c r="J206"/>
      <x:c r="K206"/>
      <x:c r="L206"/>
    </x:row>
    <x:row r="207" ht="72" customHeight="1">
      <x:c r="A207" s="113" t="str">
        <x:v>T-234</x:v>
      </x:c>
      <x:c r="B207" s="113" t="str">
        <x:v>Delivery Target</x:v>
      </x:c>
      <x:c r="C207" s="113" t="str">
        <x:v>2026-09-30 Release 1</x:v>
      </x:c>
      <x:c r="D207" s="113" t="str">
        <x:v>M2: ~1 month from owner planning checkpoint; exact date not committed</x:v>
      </x:c>
      <x:c r="E207" s="113" t="str">
        <x:v>Latest owner planning supersedes old calendar targets</x:v>
      </x:c>
      <x:c r="F207"/>
      <x:c r="G207"/>
      <x:c r="H207"/>
      <x:c r="I207"/>
      <x:c r="J207"/>
      <x:c r="K207"/>
      <x:c r="L207"/>
    </x:row>
    <x:row r="208" ht="72" customHeight="1">
      <x:c r="A208" s="113" t="str">
        <x:v>T-234</x:v>
      </x:c>
      <x:c r="B208" s="113" t="str">
        <x:v>Product Track</x:v>
      </x:c>
      <x:c r="C208" s="113" t="str">
        <x:v>Industrial Intelligence — Reference, Reconciliation &amp; Assistant</x:v>
      </x:c>
      <x:c r="D208" s="113" t="str">
        <x:v>Industrial Intelligence — References, Reconciliation &amp; Assistant</x:v>
      </x:c>
      <x:c r="E208" s="113" t="str">
        <x:v>Release/phase synchronization</x:v>
      </x:c>
      <x:c r="F208"/>
      <x:c r="G208"/>
      <x:c r="H208"/>
      <x:c r="I208"/>
      <x:c r="J208"/>
      <x:c r="K208"/>
      <x:c r="L208"/>
    </x:row>
    <x:row r="209" ht="72" customHeight="1">
      <x:c r="A209" s="113" t="str">
        <x:v>T-236</x:v>
      </x:c>
      <x:c r="B209" s="113" t="str">
        <x:v>Delivery Target</x:v>
      </x:c>
      <x:c r="C209" s="113" t="str">
        <x:v>2026-09-30 Release 1</x:v>
      </x:c>
      <x:c r="D209" s="113" t="str">
        <x:v>M2: ~1 month from owner planning checkpoint; exact date not committed</x:v>
      </x:c>
      <x:c r="E209" s="113" t="str">
        <x:v>Latest owner planning supersedes old calendar targets</x:v>
      </x:c>
      <x:c r="F209"/>
      <x:c r="G209"/>
      <x:c r="H209"/>
      <x:c r="I209"/>
      <x:c r="J209"/>
      <x:c r="K209"/>
      <x:c r="L209"/>
    </x:row>
    <x:row r="210" ht="72" customHeight="1">
      <x:c r="A210" s="113" t="str">
        <x:v>T-236</x:v>
      </x:c>
      <x:c r="B210" s="113" t="str">
        <x:v>Product Track</x:v>
      </x:c>
      <x:c r="C210" s="113" t="str">
        <x:v>Industrial Intelligence — Reference, Reconciliation &amp; Assistant</x:v>
      </x:c>
      <x:c r="D210" s="113" t="str">
        <x:v>Industrial Intelligence — References, Reconciliation &amp; Assistant</x:v>
      </x:c>
      <x:c r="E210" s="113" t="str">
        <x:v>Release/phase synchronization</x:v>
      </x:c>
      <x:c r="F210"/>
      <x:c r="G210"/>
      <x:c r="H210"/>
      <x:c r="I210"/>
      <x:c r="J210"/>
      <x:c r="K210"/>
      <x:c r="L210"/>
    </x:row>
    <x:row r="211" ht="72" customHeight="1">
      <x:c r="A211" s="113" t="str">
        <x:v>T-237</x:v>
      </x:c>
      <x:c r="B211" s="113" t="str">
        <x:v>Delivery Target</x:v>
      </x:c>
      <x:c r="C211" s="113" t="str">
        <x:v>2026-09-30 Release 1</x:v>
      </x:c>
      <x:c r="D211" s="113" t="str">
        <x:v>M2: ~1 month from owner planning checkpoint; exact date not committed</x:v>
      </x:c>
      <x:c r="E211" s="113" t="str">
        <x:v>Latest owner planning supersedes old calendar targets</x:v>
      </x:c>
      <x:c r="F211"/>
      <x:c r="G211"/>
      <x:c r="H211"/>
      <x:c r="I211"/>
      <x:c r="J211"/>
      <x:c r="K211"/>
      <x:c r="L211"/>
    </x:row>
    <x:row r="212" ht="72" customHeight="1">
      <x:c r="A212" s="113" t="str">
        <x:v>T-237</x:v>
      </x:c>
      <x:c r="B212" s="113" t="str">
        <x:v>Product Track</x:v>
      </x:c>
      <x:c r="C212" s="113" t="str">
        <x:v>Industrial Intelligence — Reference, Reconciliation &amp; Assistant</x:v>
      </x:c>
      <x:c r="D212" s="113" t="str">
        <x:v>Industrial Intelligence — References, Reconciliation &amp; Assistant</x:v>
      </x:c>
      <x:c r="E212" s="113" t="str">
        <x:v>Release/phase synchronization</x:v>
      </x:c>
      <x:c r="F212"/>
      <x:c r="G212"/>
      <x:c r="H212"/>
      <x:c r="I212"/>
      <x:c r="J212"/>
      <x:c r="K212"/>
      <x:c r="L212"/>
    </x:row>
    <x:row r="213" ht="72" customHeight="1">
      <x:c r="A213" s="113" t="str">
        <x:v>T-112</x:v>
      </x:c>
      <x:c r="B213" s="113" t="str">
        <x:v>Delivery Target</x:v>
      </x:c>
      <x:c r="C213" s="113" t="str">
        <x:v>2026-09-30 Release 1</x:v>
      </x:c>
      <x:c r="D213" s="113" t="str">
        <x:v>M2: ~1 month from owner planning checkpoint; exact date not committed</x:v>
      </x:c>
      <x:c r="E213" s="113" t="str">
        <x:v>Latest owner planning supersedes old calendar targets</x:v>
      </x:c>
      <x:c r="F213"/>
      <x:c r="G213"/>
      <x:c r="H213"/>
      <x:c r="I213"/>
      <x:c r="J213"/>
      <x:c r="K213"/>
      <x:c r="L213"/>
    </x:row>
    <x:row r="214" ht="72" customHeight="1">
      <x:c r="A214" s="113" t="str">
        <x:v>T-113</x:v>
      </x:c>
      <x:c r="B214" s="113" t="str">
        <x:v>Delivery Target</x:v>
      </x:c>
      <x:c r="C214" s="113" t="str">
        <x:v>2026-09-30 Release 1</x:v>
      </x:c>
      <x:c r="D214" s="113" t="str">
        <x:v>M2: ~1 month from owner planning checkpoint; exact date not committed</x:v>
      </x:c>
      <x:c r="E214" s="113" t="str">
        <x:v>Latest owner planning supersedes old calendar targets</x:v>
      </x:c>
      <x:c r="F214"/>
      <x:c r="G214"/>
      <x:c r="H214"/>
      <x:c r="I214"/>
      <x:c r="J214"/>
      <x:c r="K214"/>
      <x:c r="L214"/>
    </x:row>
    <x:row r="215" ht="72" customHeight="1">
      <x:c r="A215" s="113" t="str">
        <x:v>T-114</x:v>
      </x:c>
      <x:c r="B215" s="113" t="str">
        <x:v>Delivery Target</x:v>
      </x:c>
      <x:c r="C215" s="113" t="str">
        <x:v>2026-09-30 Release 1</x:v>
      </x:c>
      <x:c r="D215" s="113" t="str">
        <x:v>M2: ~1 month from owner planning checkpoint; exact date not committed</x:v>
      </x:c>
      <x:c r="E215" s="113" t="str">
        <x:v>Latest owner planning supersedes old calendar targets</x:v>
      </x:c>
      <x:c r="F215"/>
      <x:c r="G215"/>
      <x:c r="H215"/>
      <x:c r="I215"/>
      <x:c r="J215"/>
      <x:c r="K215"/>
      <x:c r="L215"/>
    </x:row>
    <x:row r="216" ht="72" customHeight="1">
      <x:c r="A216" s="113" t="str">
        <x:v>T-115</x:v>
      </x:c>
      <x:c r="B216" s="113" t="str">
        <x:v>Delivery Target</x:v>
      </x:c>
      <x:c r="C216" s="113" t="str">
        <x:v>2026-09-30 Release 1</x:v>
      </x:c>
      <x:c r="D216" s="113" t="str">
        <x:v>M2: ~1 month from owner planning checkpoint; exact date not committed</x:v>
      </x:c>
      <x:c r="E216" s="113" t="str">
        <x:v>Latest owner planning supersedes old calendar targets</x:v>
      </x:c>
      <x:c r="F216"/>
      <x:c r="G216"/>
      <x:c r="H216"/>
      <x:c r="I216"/>
      <x:c r="J216"/>
      <x:c r="K216"/>
      <x:c r="L216"/>
    </x:row>
    <x:row r="217" ht="72" customHeight="1">
      <x:c r="A217" s="113" t="str">
        <x:v>T-119</x:v>
      </x:c>
      <x:c r="B217" s="113" t="str">
        <x:v>Delivery Target</x:v>
      </x:c>
      <x:c r="C217" s="113" t="str">
        <x:v>2026-09-30 Release 1</x:v>
      </x:c>
      <x:c r="D217" s="113" t="str">
        <x:v>M2: ~1 month from owner planning checkpoint; exact date not committed</x:v>
      </x:c>
      <x:c r="E217" s="113" t="str">
        <x:v>Latest owner planning supersedes old calendar targets</x:v>
      </x:c>
      <x:c r="F217"/>
      <x:c r="G217"/>
      <x:c r="H217"/>
      <x:c r="I217"/>
      <x:c r="J217"/>
      <x:c r="K217"/>
      <x:c r="L217"/>
    </x:row>
    <x:row r="218" ht="72" customHeight="1">
      <x:c r="A218" s="113" t="str">
        <x:v>T-120</x:v>
      </x:c>
      <x:c r="B218" s="113" t="str">
        <x:v>Delivery Target</x:v>
      </x:c>
      <x:c r="C218" s="113" t="str">
        <x:v>2026-09-30 Release 1</x:v>
      </x:c>
      <x:c r="D218" s="113" t="str">
        <x:v>M2: ~1 month from owner planning checkpoint; exact date not committed</x:v>
      </x:c>
      <x:c r="E218" s="113" t="str">
        <x:v>Latest owner planning supersedes old calendar targets</x:v>
      </x:c>
      <x:c r="F218"/>
      <x:c r="G218"/>
      <x:c r="H218"/>
      <x:c r="I218"/>
      <x:c r="J218"/>
      <x:c r="K218"/>
      <x:c r="L218"/>
    </x:row>
    <x:row r="219" ht="72" customHeight="1">
      <x:c r="A219" s="113" t="str">
        <x:v>T-121</x:v>
      </x:c>
      <x:c r="B219" s="113" t="str">
        <x:v>Delivery Target</x:v>
      </x:c>
      <x:c r="C219" s="113" t="str">
        <x:v>2026-09-30 Release 1</x:v>
      </x:c>
      <x:c r="D219" s="113" t="str">
        <x:v>M2: ~1 month from owner planning checkpoint; exact date not committed</x:v>
      </x:c>
      <x:c r="E219" s="113" t="str">
        <x:v>Latest owner planning supersedes old calendar targets</x:v>
      </x:c>
      <x:c r="F219"/>
      <x:c r="G219"/>
      <x:c r="H219"/>
      <x:c r="I219"/>
      <x:c r="J219"/>
      <x:c r="K219"/>
      <x:c r="L219"/>
    </x:row>
    <x:row r="220" ht="72" customHeight="1">
      <x:c r="A220" s="113" t="str">
        <x:v>T-123</x:v>
      </x:c>
      <x:c r="B220" s="113" t="str">
        <x:v>Delivery Target</x:v>
      </x:c>
      <x:c r="C220" s="113" t="str">
        <x:v>2026-09-30 Release 1</x:v>
      </x:c>
      <x:c r="D220" s="113" t="str">
        <x:v>M2: ~1 month from owner planning checkpoint; exact date not committed</x:v>
      </x:c>
      <x:c r="E220" s="113" t="str">
        <x:v>Latest owner planning supersedes old calendar targets</x:v>
      </x:c>
      <x:c r="F220"/>
      <x:c r="G220"/>
      <x:c r="H220"/>
      <x:c r="I220"/>
      <x:c r="J220"/>
      <x:c r="K220"/>
      <x:c r="L220"/>
    </x:row>
    <x:row r="221" ht="72" customHeight="1">
      <x:c r="A221" s="113" t="str">
        <x:v>T-124</x:v>
      </x:c>
      <x:c r="B221" s="113" t="str">
        <x:v>Delivery Target</x:v>
      </x:c>
      <x:c r="C221" s="113" t="str">
        <x:v>2026-09-30 Release 1</x:v>
      </x:c>
      <x:c r="D221" s="113" t="str">
        <x:v>M2: ~1 month from owner planning checkpoint; exact date not committed</x:v>
      </x:c>
      <x:c r="E221" s="113" t="str">
        <x:v>Latest owner planning supersedes old calendar targets</x:v>
      </x:c>
      <x:c r="F221"/>
      <x:c r="G221"/>
      <x:c r="H221"/>
      <x:c r="I221"/>
      <x:c r="J221"/>
      <x:c r="K221"/>
      <x:c r="L221"/>
    </x:row>
    <x:row r="222" ht="72" customHeight="1">
      <x:c r="A222" s="113" t="str">
        <x:v>T-125</x:v>
      </x:c>
      <x:c r="B222" s="113" t="str">
        <x:v>Delivery Target</x:v>
      </x:c>
      <x:c r="C222" s="113" t="str">
        <x:v>2026-09-30 Release 1</x:v>
      </x:c>
      <x:c r="D222" s="113" t="str">
        <x:v>M2: ~1 month from owner planning checkpoint; exact date not committed</x:v>
      </x:c>
      <x:c r="E222" s="113" t="str">
        <x:v>Latest owner planning supersedes old calendar targets</x:v>
      </x:c>
      <x:c r="F222"/>
      <x:c r="G222"/>
      <x:c r="H222"/>
      <x:c r="I222"/>
      <x:c r="J222"/>
      <x:c r="K222"/>
      <x:c r="L222"/>
    </x:row>
    <x:row r="223" ht="72" customHeight="1">
      <x:c r="A223" s="113" t="str">
        <x:v>T-126</x:v>
      </x:c>
      <x:c r="B223" s="113" t="str">
        <x:v>Delivery Target</x:v>
      </x:c>
      <x:c r="C223" s="113" t="str">
        <x:v>2026-09-30 Release 1</x:v>
      </x:c>
      <x:c r="D223" s="113" t="str">
        <x:v>M2: ~1 month from owner planning checkpoint; exact date not committed</x:v>
      </x:c>
      <x:c r="E223" s="113" t="str">
        <x:v>Latest owner planning supersedes old calendar targets</x:v>
      </x:c>
      <x:c r="F223"/>
      <x:c r="G223"/>
      <x:c r="H223"/>
      <x:c r="I223"/>
      <x:c r="J223"/>
      <x:c r="K223"/>
      <x:c r="L223"/>
    </x:row>
    <x:row r="224" ht="72" customHeight="1">
      <x:c r="A224" s="113" t="str">
        <x:v>T-150</x:v>
      </x:c>
      <x:c r="B224" s="113" t="str">
        <x:v>Delivery Target</x:v>
      </x:c>
      <x:c r="C224" s="113" t="str">
        <x:v>2026-09-30 Release 1</x:v>
      </x:c>
      <x:c r="D224" s="113" t="str">
        <x:v>M2: ~1 month from owner planning checkpoint; exact date not committed</x:v>
      </x:c>
      <x:c r="E224" s="113" t="str">
        <x:v>Latest owner planning supersedes old calendar targets</x:v>
      </x:c>
      <x:c r="F224"/>
      <x:c r="G224"/>
      <x:c r="H224"/>
      <x:c r="I224"/>
      <x:c r="J224"/>
      <x:c r="K224"/>
      <x:c r="L224"/>
    </x:row>
    <x:row r="225" ht="72" customHeight="1">
      <x:c r="A225" s="113" t="str">
        <x:v>T-227</x:v>
      </x:c>
      <x:c r="B225" s="113" t="str">
        <x:v>Delivery Target</x:v>
      </x:c>
      <x:c r="C225" s="113" t="str">
        <x:v>2026-09-30 Release 1</x:v>
      </x:c>
      <x:c r="D225" s="113" t="str">
        <x:v>M2: ~1 month from owner planning checkpoint; exact date not committed</x:v>
      </x:c>
      <x:c r="E225" s="113" t="str">
        <x:v>Latest owner planning supersedes old calendar targets</x:v>
      </x:c>
      <x:c r="F225"/>
      <x:c r="G225"/>
      <x:c r="H225"/>
      <x:c r="I225"/>
      <x:c r="J225"/>
      <x:c r="K225"/>
      <x:c r="L225"/>
    </x:row>
    <x:row r="226" ht="72" customHeight="1">
      <x:c r="A226" s="113" t="str">
        <x:v>T-122</x:v>
      </x:c>
      <x:c r="B226" s="113" t="str">
        <x:v>Delivery Target</x:v>
      </x:c>
      <x:c r="C226" s="113" t="str">
        <x:v>2026-10-30 Release 2</x:v>
      </x:c>
      <x:c r="D226" s="113" t="str">
        <x:v>M3: 45 days after M2 completion</x:v>
      </x:c>
      <x:c r="E226" s="113" t="str">
        <x:v>Latest owner planning supersedes old calendar targets</x:v>
      </x:c>
      <x:c r="F226"/>
      <x:c r="G226"/>
      <x:c r="H226"/>
      <x:c r="I226"/>
      <x:c r="J226"/>
      <x:c r="K226"/>
      <x:c r="L226"/>
    </x:row>
    <x:row r="227" ht="72" customHeight="1">
      <x:c r="A227" s="113" t="str">
        <x:v>T-151</x:v>
      </x:c>
      <x:c r="B227" s="113" t="str">
        <x:v>Delivery Target</x:v>
      </x:c>
      <x:c r="C227" s="113" t="str">
        <x:v>2026-10-30 Release 2</x:v>
      </x:c>
      <x:c r="D227" s="113" t="str">
        <x:v>M3: 45 days after M2 completion</x:v>
      </x:c>
      <x:c r="E227" s="113" t="str">
        <x:v>Latest owner planning supersedes old calendar targets</x:v>
      </x:c>
      <x:c r="F227"/>
      <x:c r="G227"/>
      <x:c r="H227"/>
      <x:c r="I227"/>
      <x:c r="J227"/>
      <x:c r="K227"/>
      <x:c r="L227"/>
    </x:row>
    <x:row r="228" ht="72" customHeight="1">
      <x:c r="A228" s="113" t="str">
        <x:v>T-152</x:v>
      </x:c>
      <x:c r="B228" s="113" t="str">
        <x:v>Delivery Target</x:v>
      </x:c>
      <x:c r="C228" s="113" t="str">
        <x:v>2026-10-30 Release 2</x:v>
      </x:c>
      <x:c r="D228" s="113" t="str">
        <x:v>M3: 45 days after M2 completion</x:v>
      </x:c>
      <x:c r="E228" s="113" t="str">
        <x:v>Latest owner planning supersedes old calendar targets</x:v>
      </x:c>
      <x:c r="F228"/>
      <x:c r="G228"/>
      <x:c r="H228"/>
      <x:c r="I228"/>
      <x:c r="J228"/>
      <x:c r="K228"/>
      <x:c r="L228"/>
    </x:row>
    <x:row r="229" ht="72" customHeight="1">
      <x:c r="A229" s="113" t="str">
        <x:v>T-153</x:v>
      </x:c>
      <x:c r="B229" s="113" t="str">
        <x:v>Delivery Target</x:v>
      </x:c>
      <x:c r="C229" s="113" t="str">
        <x:v>2026-10-30 Release 2</x:v>
      </x:c>
      <x:c r="D229" s="113" t="str">
        <x:v>M3: 45 days after M2 completion</x:v>
      </x:c>
      <x:c r="E229" s="113" t="str">
        <x:v>Latest owner planning supersedes old calendar targets</x:v>
      </x:c>
      <x:c r="F229"/>
      <x:c r="G229"/>
      <x:c r="H229"/>
      <x:c r="I229"/>
      <x:c r="J229"/>
      <x:c r="K229"/>
      <x:c r="L229"/>
    </x:row>
    <x:row r="230" ht="72" customHeight="1">
      <x:c r="A230" s="113" t="str">
        <x:v>T-154</x:v>
      </x:c>
      <x:c r="B230" s="113" t="str">
        <x:v>Delivery Target</x:v>
      </x:c>
      <x:c r="C230" s="113" t="str">
        <x:v>2026-10-30 Release 2</x:v>
      </x:c>
      <x:c r="D230" s="113" t="str">
        <x:v>M3: 45 days after M2 completion</x:v>
      </x:c>
      <x:c r="E230" s="113" t="str">
        <x:v>Latest owner planning supersedes old calendar targets</x:v>
      </x:c>
      <x:c r="F230"/>
      <x:c r="G230"/>
      <x:c r="H230"/>
      <x:c r="I230"/>
      <x:c r="J230"/>
      <x:c r="K230"/>
      <x:c r="L230"/>
    </x:row>
    <x:row r="231" ht="72" customHeight="1">
      <x:c r="A231" s="113" t="str">
        <x:v>T-155</x:v>
      </x:c>
      <x:c r="B231" s="113" t="str">
        <x:v>Delivery Target</x:v>
      </x:c>
      <x:c r="C231" s="113" t="str">
        <x:v>2026-10-30 Release 2</x:v>
      </x:c>
      <x:c r="D231" s="113" t="str">
        <x:v>M3: 45 days after M2 completion</x:v>
      </x:c>
      <x:c r="E231" s="113" t="str">
        <x:v>Latest owner planning supersedes old calendar targets</x:v>
      </x:c>
      <x:c r="F231"/>
      <x:c r="G231"/>
      <x:c r="H231"/>
      <x:c r="I231"/>
      <x:c r="J231"/>
      <x:c r="K231"/>
      <x:c r="L231"/>
    </x:row>
    <x:row r="232" ht="72" customHeight="1">
      <x:c r="A232" s="113" t="str">
        <x:v>T-159</x:v>
      </x:c>
      <x:c r="B232" s="113" t="str">
        <x:v>Delivery Target</x:v>
      </x:c>
      <x:c r="C232" s="113" t="str">
        <x:v>2026-10-30 Release 2</x:v>
      </x:c>
      <x:c r="D232" s="113" t="str">
        <x:v>M3: 45 days after M2 completion</x:v>
      </x:c>
      <x:c r="E232" s="113" t="str">
        <x:v>Latest owner planning supersedes old calendar targets</x:v>
      </x:c>
      <x:c r="F232"/>
      <x:c r="G232"/>
      <x:c r="H232"/>
      <x:c r="I232"/>
      <x:c r="J232"/>
      <x:c r="K232"/>
      <x:c r="L232"/>
    </x:row>
    <x:row r="233" ht="72" customHeight="1">
      <x:c r="A233" s="113" t="str">
        <x:v>T-160</x:v>
      </x:c>
      <x:c r="B233" s="113" t="str">
        <x:v>Delivery Target</x:v>
      </x:c>
      <x:c r="C233" s="113" t="str">
        <x:v>2026-10-30 Release 2</x:v>
      </x:c>
      <x:c r="D233" s="113" t="str">
        <x:v>M3: 45 days after M2 completion</x:v>
      </x:c>
      <x:c r="E233" s="113" t="str">
        <x:v>Latest owner planning supersedes old calendar targets</x:v>
      </x:c>
      <x:c r="F233"/>
      <x:c r="G233"/>
      <x:c r="H233"/>
      <x:c r="I233"/>
      <x:c r="J233"/>
      <x:c r="K233"/>
      <x:c r="L233"/>
    </x:row>
    <x:row r="234" ht="72" customHeight="1">
      <x:c r="A234" s="113" t="str">
        <x:v>T-163</x:v>
      </x:c>
      <x:c r="B234" s="113" t="str">
        <x:v>Delivery Target</x:v>
      </x:c>
      <x:c r="C234" s="113" t="str">
        <x:v>2026-10-30 Release 2</x:v>
      </x:c>
      <x:c r="D234" s="113" t="str">
        <x:v>M3: 45 days after M2 completion</x:v>
      </x:c>
      <x:c r="E234" s="113" t="str">
        <x:v>Latest owner planning supersedes old calendar targets</x:v>
      </x:c>
      <x:c r="F234"/>
      <x:c r="G234"/>
      <x:c r="H234"/>
      <x:c r="I234"/>
      <x:c r="J234"/>
      <x:c r="K234"/>
      <x:c r="L234"/>
    </x:row>
    <x:row r="235" ht="72" customHeight="1">
      <x:c r="A235" s="113" t="str">
        <x:v>T-116</x:v>
      </x:c>
      <x:c r="B235" s="113" t="str">
        <x:v>Delivery Target</x:v>
      </x:c>
      <x:c r="C235" s="113" t="str">
        <x:v>2026-10-30 Release 2</x:v>
      </x:c>
      <x:c r="D235" s="113" t="str">
        <x:v>M3: 45 days after M2 completion</x:v>
      </x:c>
      <x:c r="E235" s="113" t="str">
        <x:v>Latest owner planning supersedes old calendar targets</x:v>
      </x:c>
      <x:c r="F235"/>
      <x:c r="G235"/>
      <x:c r="H235"/>
      <x:c r="I235"/>
      <x:c r="J235"/>
      <x:c r="K235"/>
      <x:c r="L235"/>
    </x:row>
    <x:row r="236" ht="72" customHeight="1">
      <x:c r="A236" s="113" t="str">
        <x:v>T-117</x:v>
      </x:c>
      <x:c r="B236" s="113" t="str">
        <x:v>Delivery Target</x:v>
      </x:c>
      <x:c r="C236" s="113" t="str">
        <x:v>2026-10-30 Release 2</x:v>
      </x:c>
      <x:c r="D236" s="113" t="str">
        <x:v>M3: 45 days after M2 completion</x:v>
      </x:c>
      <x:c r="E236" s="113" t="str">
        <x:v>Latest owner planning supersedes old calendar targets</x:v>
      </x:c>
      <x:c r="F236"/>
      <x:c r="G236"/>
      <x:c r="H236"/>
      <x:c r="I236"/>
      <x:c r="J236"/>
      <x:c r="K236"/>
      <x:c r="L236"/>
    </x:row>
    <x:row r="237" ht="72" customHeight="1">
      <x:c r="A237" s="113" t="str">
        <x:v>T-127</x:v>
      </x:c>
      <x:c r="B237" s="113" t="str">
        <x:v>Delivery Target</x:v>
      </x:c>
      <x:c r="C237" s="113" t="str">
        <x:v>2026-10-30 Release 2</x:v>
      </x:c>
      <x:c r="D237" s="113" t="str">
        <x:v>M3: 45 days after M2 completion</x:v>
      </x:c>
      <x:c r="E237" s="113" t="str">
        <x:v>Latest owner planning supersedes old calendar targets</x:v>
      </x:c>
      <x:c r="F237"/>
      <x:c r="G237"/>
      <x:c r="H237"/>
      <x:c r="I237"/>
      <x:c r="J237"/>
      <x:c r="K237"/>
      <x:c r="L237"/>
    </x:row>
    <x:row r="238" ht="72" customHeight="1">
      <x:c r="A238" s="113" t="str">
        <x:v>T-149</x:v>
      </x:c>
      <x:c r="B238" s="113" t="str">
        <x:v>Delivery Target</x:v>
      </x:c>
      <x:c r="C238" s="113" t="str">
        <x:v>2026-10-30 Release 2</x:v>
      </x:c>
      <x:c r="D238" s="113" t="str">
        <x:v>M3: 45 days after M2 completion</x:v>
      </x:c>
      <x:c r="E238" s="113" t="str">
        <x:v>Latest owner planning supersedes old calendar targets</x:v>
      </x:c>
      <x:c r="F238"/>
      <x:c r="G238"/>
      <x:c r="H238"/>
      <x:c r="I238"/>
      <x:c r="J238"/>
      <x:c r="K238"/>
      <x:c r="L238"/>
    </x:row>
    <x:row r="239" ht="72" customHeight="1">
      <x:c r="A239" s="113" t="str">
        <x:v>T-161</x:v>
      </x:c>
      <x:c r="B239" s="113" t="str">
        <x:v>Delivery Target</x:v>
      </x:c>
      <x:c r="C239" s="113" t="str">
        <x:v>2026-10-30 Release 2</x:v>
      </x:c>
      <x:c r="D239" s="113" t="str">
        <x:v>M3: 45 days after M2 completion</x:v>
      </x:c>
      <x:c r="E239" s="113" t="str">
        <x:v>Latest owner planning supersedes old calendar targets</x:v>
      </x:c>
      <x:c r="F239"/>
      <x:c r="G239"/>
      <x:c r="H239"/>
      <x:c r="I239"/>
      <x:c r="J239"/>
      <x:c r="K239"/>
      <x:c r="L239"/>
    </x:row>
    <x:row r="240" ht="72" customHeight="1">
      <x:c r="A240" s="113" t="str">
        <x:v>T-162</x:v>
      </x:c>
      <x:c r="B240" s="113" t="str">
        <x:v>Delivery Target</x:v>
      </x:c>
      <x:c r="C240" s="113" t="str">
        <x:v>2026-10-30 Release 2</x:v>
      </x:c>
      <x:c r="D240" s="113" t="str">
        <x:v>M3: 45 days after M2 completion</x:v>
      </x:c>
      <x:c r="E240" s="113" t="str">
        <x:v>Latest owner planning supersedes old calendar targets</x:v>
      </x:c>
      <x:c r="F240"/>
      <x:c r="G240"/>
      <x:c r="H240"/>
      <x:c r="I240"/>
      <x:c r="J240"/>
      <x:c r="K240"/>
      <x:c r="L240"/>
    </x:row>
    <x:row r="241" ht="72" customHeight="1">
      <x:c r="A241" s="113" t="str">
        <x:v>T-194</x:v>
      </x:c>
      <x:c r="B241" s="113" t="str">
        <x:v>Delivery Target</x:v>
      </x:c>
      <x:c r="C241" s="113" t="str">
        <x:v>2026-10-30 Release 2</x:v>
      </x:c>
      <x:c r="D241" s="113" t="str">
        <x:v>M3: 45 days after M2 completion</x:v>
      </x:c>
      <x:c r="E241" s="113" t="str">
        <x:v>Latest owner planning supersedes old calendar targets</x:v>
      </x:c>
      <x:c r="F241"/>
      <x:c r="G241"/>
      <x:c r="H241"/>
      <x:c r="I241"/>
      <x:c r="J241"/>
      <x:c r="K241"/>
      <x:c r="L241"/>
    </x:row>
    <x:row r="242" ht="72" customHeight="1">
      <x:c r="A242" s="113" t="str">
        <x:v>T-196</x:v>
      </x:c>
      <x:c r="B242" s="113" t="str">
        <x:v>Delivery Target</x:v>
      </x:c>
      <x:c r="C242" s="113" t="str">
        <x:v>2026-10-30 Release 2</x:v>
      </x:c>
      <x:c r="D242" s="113" t="str">
        <x:v>M3: 45 days after M2 completion</x:v>
      </x:c>
      <x:c r="E242" s="113" t="str">
        <x:v>Latest owner planning supersedes old calendar targets</x:v>
      </x:c>
      <x:c r="F242"/>
      <x:c r="G242"/>
      <x:c r="H242"/>
      <x:c r="I242"/>
      <x:c r="J242"/>
      <x:c r="K242"/>
      <x:c r="L242"/>
    </x:row>
    <x:row r="243" ht="72" customHeight="1">
      <x:c r="A243" s="113" t="str">
        <x:v>T-197</x:v>
      </x:c>
      <x:c r="B243" s="113" t="str">
        <x:v>Delivery Target</x:v>
      </x:c>
      <x:c r="C243" s="113" t="str">
        <x:v>2026-10-30 Release 2</x:v>
      </x:c>
      <x:c r="D243" s="113" t="str">
        <x:v>M3: 45 days after M2 completion</x:v>
      </x:c>
      <x:c r="E243" s="113" t="str">
        <x:v>Latest owner planning supersedes old calendar targets</x:v>
      </x:c>
      <x:c r="F243"/>
      <x:c r="G243"/>
      <x:c r="H243"/>
      <x:c r="I243"/>
      <x:c r="J243"/>
      <x:c r="K243"/>
      <x:c r="L243"/>
    </x:row>
    <x:row r="244" ht="72" customHeight="1">
      <x:c r="A244" s="113" t="str">
        <x:v>T-198</x:v>
      </x:c>
      <x:c r="B244" s="113" t="str">
        <x:v>Delivery Target</x:v>
      </x:c>
      <x:c r="C244" s="113" t="str">
        <x:v>2026-10-30 Release 2</x:v>
      </x:c>
      <x:c r="D244" s="113" t="str">
        <x:v>M3: 45 days after M2 completion</x:v>
      </x:c>
      <x:c r="E244" s="113" t="str">
        <x:v>Latest owner planning supersedes old calendar targets</x:v>
      </x:c>
      <x:c r="F244"/>
      <x:c r="G244"/>
      <x:c r="H244"/>
      <x:c r="I244"/>
      <x:c r="J244"/>
      <x:c r="K244"/>
      <x:c r="L244"/>
    </x:row>
    <x:row r="245" ht="72" customHeight="1">
      <x:c r="A245" s="113" t="str">
        <x:v>T-199</x:v>
      </x:c>
      <x:c r="B245" s="113" t="str">
        <x:v>Delivery Target</x:v>
      </x:c>
      <x:c r="C245" s="113" t="str">
        <x:v>2026-10-30 Release 2</x:v>
      </x:c>
      <x:c r="D245" s="113" t="str">
        <x:v>M3: 45 days after M2 completion</x:v>
      </x:c>
      <x:c r="E245" s="113" t="str">
        <x:v>Latest owner planning supersedes old calendar targets</x:v>
      </x:c>
      <x:c r="F245"/>
      <x:c r="G245"/>
      <x:c r="H245"/>
      <x:c r="I245"/>
      <x:c r="J245"/>
      <x:c r="K245"/>
      <x:c r="L245"/>
    </x:row>
    <x:row r="246" ht="72" customHeight="1">
      <x:c r="A246" s="113" t="str">
        <x:v>T-200</x:v>
      </x:c>
      <x:c r="B246" s="113" t="str">
        <x:v>Delivery Target</x:v>
      </x:c>
      <x:c r="C246" s="113" t="str">
        <x:v>2026-10-30 Release 2</x:v>
      </x:c>
      <x:c r="D246" s="113" t="str">
        <x:v>M3: 45 days after M2 completion</x:v>
      </x:c>
      <x:c r="E246" s="113" t="str">
        <x:v>Latest owner planning supersedes old calendar targets</x:v>
      </x:c>
      <x:c r="F246"/>
      <x:c r="G246"/>
      <x:c r="H246"/>
      <x:c r="I246"/>
      <x:c r="J246"/>
      <x:c r="K246"/>
      <x:c r="L246"/>
    </x:row>
    <x:row r="247" ht="72" customHeight="1">
      <x:c r="A247" s="113" t="str">
        <x:v>T-156</x:v>
      </x:c>
      <x:c r="B247" s="113" t="str">
        <x:v>Delivery Target</x:v>
      </x:c>
      <x:c r="C247" s="113" t="str">
        <x:v>2026-10-30 Release 2</x:v>
      </x:c>
      <x:c r="D247" s="113" t="str">
        <x:v>M3: 45 days after M2 completion</x:v>
      </x:c>
      <x:c r="E247" s="113" t="str">
        <x:v>Latest owner planning supersedes old calendar targets</x:v>
      </x:c>
      <x:c r="F247"/>
      <x:c r="G247"/>
      <x:c r="H247"/>
      <x:c r="I247"/>
      <x:c r="J247"/>
      <x:c r="K247"/>
      <x:c r="L247"/>
    </x:row>
    <x:row r="248" ht="72" customHeight="1">
      <x:c r="A248" s="113" t="str">
        <x:v>T-166</x:v>
      </x:c>
      <x:c r="B248" s="113" t="str">
        <x:v>Delivery Target</x:v>
      </x:c>
      <x:c r="C248" s="113" t="str">
        <x:v>2026-10-30 Release 2</x:v>
      </x:c>
      <x:c r="D248" s="113" t="str">
        <x:v>M3: 45 days after M2 completion</x:v>
      </x:c>
      <x:c r="E248" s="113" t="str">
        <x:v>Latest owner planning supersedes old calendar targets</x:v>
      </x:c>
      <x:c r="F248"/>
      <x:c r="G248"/>
      <x:c r="H248"/>
      <x:c r="I248"/>
      <x:c r="J248"/>
      <x:c r="K248"/>
      <x:c r="L248"/>
    </x:row>
    <x:row r="249" ht="72" customHeight="1">
      <x:c r="A249" s="113" t="str">
        <x:v>T-228</x:v>
      </x:c>
      <x:c r="B249" s="113" t="str">
        <x:v>Delivery Target</x:v>
      </x:c>
      <x:c r="C249" s="113" t="str">
        <x:v>2026-10-30 Release 2</x:v>
      </x:c>
      <x:c r="D249" s="113" t="str">
        <x:v>M3: 45 days after M2 completion</x:v>
      </x:c>
      <x:c r="E249" s="113" t="str">
        <x:v>Latest owner planning supersedes old calendar targets</x:v>
      </x:c>
      <x:c r="F249"/>
      <x:c r="G249"/>
      <x:c r="H249"/>
      <x:c r="I249"/>
      <x:c r="J249"/>
      <x:c r="K249"/>
      <x:c r="L249"/>
    </x:row>
    <x:row r="250" ht="72" customHeight="1">
      <x:c r="A250" s="113" t="str">
        <x:v>T-229</x:v>
      </x:c>
      <x:c r="B250" s="113" t="str">
        <x:v>Delivery Target</x:v>
      </x:c>
      <x:c r="C250" s="113" t="str">
        <x:v>2026-10-30 Release 2</x:v>
      </x:c>
      <x:c r="D250" s="113" t="str">
        <x:v>M3: 45 days after M2 completion</x:v>
      </x:c>
      <x:c r="E250" s="113" t="str">
        <x:v>Latest owner planning supersedes old calendar targets</x:v>
      </x:c>
      <x:c r="F250"/>
      <x:c r="G250"/>
      <x:c r="H250"/>
      <x:c r="I250"/>
      <x:c r="J250"/>
      <x:c r="K250"/>
      <x:c r="L250"/>
    </x:row>
    <x:row r="251" ht="72" customHeight="1">
      <x:c r="A251" s="113" t="str">
        <x:v>T-230</x:v>
      </x:c>
      <x:c r="B251" s="113" t="str">
        <x:v>Delivery Target</x:v>
      </x:c>
      <x:c r="C251" s="113" t="str">
        <x:v>2026-10-30 Release 2</x:v>
      </x:c>
      <x:c r="D251" s="113" t="str">
        <x:v>M3: 45 days after M2 completion</x:v>
      </x:c>
      <x:c r="E251" s="113" t="str">
        <x:v>Latest owner planning supersedes old calendar targets</x:v>
      </x:c>
      <x:c r="F251"/>
      <x:c r="G251"/>
      <x:c r="H251"/>
      <x:c r="I251"/>
      <x:c r="J251"/>
      <x:c r="K251"/>
      <x:c r="L251"/>
    </x:row>
    <x:row r="252" ht="72" customHeight="1">
      <x:c r="A252" s="113" t="str">
        <x:v>T-248</x:v>
      </x:c>
      <x:c r="B252" s="113" t="str">
        <x:v>Delivery Target</x:v>
      </x:c>
      <x:c r="C252" s="113" t="str">
        <x:v>2026-10-30 Release 2</x:v>
      </x:c>
      <x:c r="D252" s="113" t="str">
        <x:v>M3: 45 days after M2 completion</x:v>
      </x:c>
      <x:c r="E252" s="113" t="str">
        <x:v>Latest owner planning supersedes old calendar targets</x:v>
      </x:c>
      <x:c r="F252"/>
      <x:c r="G252"/>
      <x:c r="H252"/>
      <x:c r="I252"/>
      <x:c r="J252"/>
      <x:c r="K252"/>
      <x:c r="L252"/>
    </x:row>
    <x:row r="253" ht="72" customHeight="1">
      <x:c r="A253" s="113" t="str">
        <x:v>T-128</x:v>
      </x:c>
      <x:c r="B253" s="113" t="str">
        <x:v>Delivery Target</x:v>
      </x:c>
      <x:c r="C253" s="113" t="str">
        <x:v>2026-10-30 Release 2</x:v>
      </x:c>
      <x:c r="D253" s="113" t="str">
        <x:v>M3: 45 days after M2 completion</x:v>
      </x:c>
      <x:c r="E253" s="113" t="str">
        <x:v>Latest owner planning supersedes old calendar targets</x:v>
      </x:c>
      <x:c r="F253"/>
      <x:c r="G253"/>
      <x:c r="H253"/>
      <x:c r="I253"/>
      <x:c r="J253"/>
      <x:c r="K253"/>
      <x:c r="L253"/>
    </x:row>
    <x:row r="254" ht="72" customHeight="1">
      <x:c r="A254" s="113" t="str">
        <x:v>T-129</x:v>
      </x:c>
      <x:c r="B254" s="113" t="str">
        <x:v>Delivery Target</x:v>
      </x:c>
      <x:c r="C254" s="113" t="str">
        <x:v>2026-10-30 Release 2</x:v>
      </x:c>
      <x:c r="D254" s="113" t="str">
        <x:v>M3: 45 days after M2 completion</x:v>
      </x:c>
      <x:c r="E254" s="113" t="str">
        <x:v>Latest owner planning supersedes old calendar targets</x:v>
      </x:c>
      <x:c r="F254"/>
      <x:c r="G254"/>
      <x:c r="H254"/>
      <x:c r="I254"/>
      <x:c r="J254"/>
      <x:c r="K254"/>
      <x:c r="L254"/>
    </x:row>
    <x:row r="255" ht="72" customHeight="1">
      <x:c r="A255" s="113" t="str">
        <x:v>T-130</x:v>
      </x:c>
      <x:c r="B255" s="113" t="str">
        <x:v>Delivery Target</x:v>
      </x:c>
      <x:c r="C255" s="113" t="str">
        <x:v>2026-10-30 Release 2</x:v>
      </x:c>
      <x:c r="D255" s="113" t="str">
        <x:v>M3: 45 days after M2 completion</x:v>
      </x:c>
      <x:c r="E255" s="113" t="str">
        <x:v>Latest owner planning supersedes old calendar targets</x:v>
      </x:c>
      <x:c r="F255"/>
      <x:c r="G255"/>
      <x:c r="H255"/>
      <x:c r="I255"/>
      <x:c r="J255"/>
      <x:c r="K255"/>
      <x:c r="L255"/>
    </x:row>
    <x:row r="256" ht="72" customHeight="1">
      <x:c r="A256" s="113" t="str">
        <x:v>T-131</x:v>
      </x:c>
      <x:c r="B256" s="113" t="str">
        <x:v>Delivery Target</x:v>
      </x:c>
      <x:c r="C256" s="113" t="str">
        <x:v>2026-10-30 Release 2</x:v>
      </x:c>
      <x:c r="D256" s="113" t="str">
        <x:v>M3: 45 days after M2 completion</x:v>
      </x:c>
      <x:c r="E256" s="113" t="str">
        <x:v>Latest owner planning supersedes old calendar targets</x:v>
      </x:c>
      <x:c r="F256"/>
      <x:c r="G256"/>
      <x:c r="H256"/>
      <x:c r="I256"/>
      <x:c r="J256"/>
      <x:c r="K256"/>
      <x:c r="L256"/>
    </x:row>
    <x:row r="257" ht="72" customHeight="1">
      <x:c r="A257" s="113" t="str">
        <x:v>T-132</x:v>
      </x:c>
      <x:c r="B257" s="113" t="str">
        <x:v>Delivery Target</x:v>
      </x:c>
      <x:c r="C257" s="113" t="str">
        <x:v>2026-10-30 Release 2</x:v>
      </x:c>
      <x:c r="D257" s="113" t="str">
        <x:v>M3: 45 days after M2 completion</x:v>
      </x:c>
      <x:c r="E257" s="113" t="str">
        <x:v>Latest owner planning supersedes old calendar targets</x:v>
      </x:c>
      <x:c r="F257"/>
      <x:c r="G257"/>
      <x:c r="H257"/>
      <x:c r="I257"/>
      <x:c r="J257"/>
      <x:c r="K257"/>
      <x:c r="L257"/>
    </x:row>
    <x:row r="258" ht="72" customHeight="1">
      <x:c r="A258" s="113" t="str">
        <x:v>T-133</x:v>
      </x:c>
      <x:c r="B258" s="113" t="str">
        <x:v>Delivery Target</x:v>
      </x:c>
      <x:c r="C258" s="113" t="str">
        <x:v>2026-10-30 Release 2</x:v>
      </x:c>
      <x:c r="D258" s="113" t="str">
        <x:v>M3: 45 days after M2 completion</x:v>
      </x:c>
      <x:c r="E258" s="113" t="str">
        <x:v>Latest owner planning supersedes old calendar targets</x:v>
      </x:c>
      <x:c r="F258"/>
      <x:c r="G258"/>
      <x:c r="H258"/>
      <x:c r="I258"/>
      <x:c r="J258"/>
      <x:c r="K258"/>
      <x:c r="L258"/>
    </x:row>
    <x:row r="259" ht="72" customHeight="1">
      <x:c r="A259" s="113" t="str">
        <x:v>T-134</x:v>
      </x:c>
      <x:c r="B259" s="113" t="str">
        <x:v>Delivery Target</x:v>
      </x:c>
      <x:c r="C259" s="113" t="str">
        <x:v>2026-10-30 Release 2</x:v>
      </x:c>
      <x:c r="D259" s="113" t="str">
        <x:v>M3: 45 days after M2 completion</x:v>
      </x:c>
      <x:c r="E259" s="113" t="str">
        <x:v>Latest owner planning supersedes old calendar targets</x:v>
      </x:c>
      <x:c r="F259"/>
      <x:c r="G259"/>
      <x:c r="H259"/>
      <x:c r="I259"/>
      <x:c r="J259"/>
      <x:c r="K259"/>
      <x:c r="L259"/>
    </x:row>
    <x:row r="260" ht="72" customHeight="1">
      <x:c r="A260" s="113" t="str">
        <x:v>T-135</x:v>
      </x:c>
      <x:c r="B260" s="113" t="str">
        <x:v>Delivery Target</x:v>
      </x:c>
      <x:c r="C260" s="113" t="str">
        <x:v>2026-10-30 Release 2</x:v>
      </x:c>
      <x:c r="D260" s="113" t="str">
        <x:v>M3: 45 days after M2 completion</x:v>
      </x:c>
      <x:c r="E260" s="113" t="str">
        <x:v>Latest owner planning supersedes old calendar targets</x:v>
      </x:c>
      <x:c r="F260"/>
      <x:c r="G260"/>
      <x:c r="H260"/>
      <x:c r="I260"/>
      <x:c r="J260"/>
      <x:c r="K260"/>
      <x:c r="L260"/>
    </x:row>
    <x:row r="261" ht="72" customHeight="1">
      <x:c r="A261" s="113" t="str">
        <x:v>T-136</x:v>
      </x:c>
      <x:c r="B261" s="113" t="str">
        <x:v>Delivery Target</x:v>
      </x:c>
      <x:c r="C261" s="113" t="str">
        <x:v>2026-10-30 Release 2</x:v>
      </x:c>
      <x:c r="D261" s="113" t="str">
        <x:v>M3: 45 days after M2 completion</x:v>
      </x:c>
      <x:c r="E261" s="113" t="str">
        <x:v>Latest owner planning supersedes old calendar targets</x:v>
      </x:c>
      <x:c r="F261"/>
      <x:c r="G261"/>
      <x:c r="H261"/>
      <x:c r="I261"/>
      <x:c r="J261"/>
      <x:c r="K261"/>
      <x:c r="L261"/>
    </x:row>
    <x:row r="262" ht="72" customHeight="1">
      <x:c r="A262" s="113" t="str">
        <x:v>T-138</x:v>
      </x:c>
      <x:c r="B262" s="113" t="str">
        <x:v>Delivery Target</x:v>
      </x:c>
      <x:c r="C262" s="113" t="str">
        <x:v>2026-10-30 Release 2</x:v>
      </x:c>
      <x:c r="D262" s="113" t="str">
        <x:v>M3: 45 days after M2 completion</x:v>
      </x:c>
      <x:c r="E262" s="113" t="str">
        <x:v>Latest owner planning supersedes old calendar targets</x:v>
      </x:c>
      <x:c r="F262"/>
      <x:c r="G262"/>
      <x:c r="H262"/>
      <x:c r="I262"/>
      <x:c r="J262"/>
      <x:c r="K262"/>
      <x:c r="L262"/>
    </x:row>
    <x:row r="263" ht="72" customHeight="1">
      <x:c r="A263" s="113" t="str">
        <x:v>T-139</x:v>
      </x:c>
      <x:c r="B263" s="113" t="str">
        <x:v>Delivery Target</x:v>
      </x:c>
      <x:c r="C263" s="113" t="str">
        <x:v>2026-10-30 Release 2</x:v>
      </x:c>
      <x:c r="D263" s="113" t="str">
        <x:v>M3: 45 days after M2 completion</x:v>
      </x:c>
      <x:c r="E263" s="113" t="str">
        <x:v>Latest owner planning supersedes old calendar targets</x:v>
      </x:c>
      <x:c r="F263"/>
      <x:c r="G263"/>
      <x:c r="H263"/>
      <x:c r="I263"/>
      <x:c r="J263"/>
      <x:c r="K263"/>
      <x:c r="L263"/>
    </x:row>
    <x:row r="264" ht="72" customHeight="1">
      <x:c r="A264" s="113" t="str">
        <x:v>T-140</x:v>
      </x:c>
      <x:c r="B264" s="113" t="str">
        <x:v>Delivery Target</x:v>
      </x:c>
      <x:c r="C264" s="113" t="str">
        <x:v>2026-10-30 Release 2</x:v>
      </x:c>
      <x:c r="D264" s="113" t="str">
        <x:v>M3: 45 days after M2 completion</x:v>
      </x:c>
      <x:c r="E264" s="113" t="str">
        <x:v>Latest owner planning supersedes old calendar targets</x:v>
      </x:c>
      <x:c r="F264"/>
      <x:c r="G264"/>
      <x:c r="H264"/>
      <x:c r="I264"/>
      <x:c r="J264"/>
      <x:c r="K264"/>
      <x:c r="L264"/>
    </x:row>
    <x:row r="265" ht="72" customHeight="1">
      <x:c r="A265" s="113" t="str">
        <x:v>T-141</x:v>
      </x:c>
      <x:c r="B265" s="113" t="str">
        <x:v>Delivery Target</x:v>
      </x:c>
      <x:c r="C265" s="113" t="str">
        <x:v>2026-10-30 Release 2</x:v>
      </x:c>
      <x:c r="D265" s="113" t="str">
        <x:v>M3: 45 days after M2 completion</x:v>
      </x:c>
      <x:c r="E265" s="113" t="str">
        <x:v>Latest owner planning supersedes old calendar targets</x:v>
      </x:c>
      <x:c r="F265"/>
      <x:c r="G265"/>
      <x:c r="H265"/>
      <x:c r="I265"/>
      <x:c r="J265"/>
      <x:c r="K265"/>
      <x:c r="L265"/>
    </x:row>
    <x:row r="266" ht="72" customHeight="1">
      <x:c r="A266" s="113" t="str">
        <x:v>T-142</x:v>
      </x:c>
      <x:c r="B266" s="113" t="str">
        <x:v>Delivery Target</x:v>
      </x:c>
      <x:c r="C266" s="113" t="str">
        <x:v>2026-10-30 Release 2</x:v>
      </x:c>
      <x:c r="D266" s="113" t="str">
        <x:v>M3: 45 days after M2 completion</x:v>
      </x:c>
      <x:c r="E266" s="113" t="str">
        <x:v>Latest owner planning supersedes old calendar targets</x:v>
      </x:c>
      <x:c r="F266"/>
      <x:c r="G266"/>
      <x:c r="H266"/>
      <x:c r="I266"/>
      <x:c r="J266"/>
      <x:c r="K266"/>
      <x:c r="L266"/>
    </x:row>
    <x:row r="267" ht="72" customHeight="1">
      <x:c r="A267" s="113" t="str">
        <x:v>T-143</x:v>
      </x:c>
      <x:c r="B267" s="113" t="str">
        <x:v>Delivery Target</x:v>
      </x:c>
      <x:c r="C267" s="113" t="str">
        <x:v>2026-10-30 Release 2</x:v>
      </x:c>
      <x:c r="D267" s="113" t="str">
        <x:v>M3: 45 days after M2 completion</x:v>
      </x:c>
      <x:c r="E267" s="113" t="str">
        <x:v>Latest owner planning supersedes old calendar targets</x:v>
      </x:c>
      <x:c r="F267"/>
      <x:c r="G267"/>
      <x:c r="H267"/>
      <x:c r="I267"/>
      <x:c r="J267"/>
      <x:c r="K267"/>
      <x:c r="L267"/>
    </x:row>
    <x:row r="268" ht="72" customHeight="1">
      <x:c r="A268" s="113" t="str">
        <x:v>T-144</x:v>
      </x:c>
      <x:c r="B268" s="113" t="str">
        <x:v>Delivery Target</x:v>
      </x:c>
      <x:c r="C268" s="113" t="str">
        <x:v>2026-10-30 Release 2</x:v>
      </x:c>
      <x:c r="D268" s="113" t="str">
        <x:v>M3: 45 days after M2 completion</x:v>
      </x:c>
      <x:c r="E268" s="113" t="str">
        <x:v>Latest owner planning supersedes old calendar targets</x:v>
      </x:c>
      <x:c r="F268"/>
      <x:c r="G268"/>
      <x:c r="H268"/>
      <x:c r="I268"/>
      <x:c r="J268"/>
      <x:c r="K268"/>
      <x:c r="L268"/>
    </x:row>
    <x:row r="269" ht="72" customHeight="1">
      <x:c r="A269" s="113" t="str">
        <x:v>T-145</x:v>
      </x:c>
      <x:c r="B269" s="113" t="str">
        <x:v>Delivery Target</x:v>
      </x:c>
      <x:c r="C269" s="113" t="str">
        <x:v>2026-10-30 Release 2</x:v>
      </x:c>
      <x:c r="D269" s="113" t="str">
        <x:v>M3: 45 days after M2 completion</x:v>
      </x:c>
      <x:c r="E269" s="113" t="str">
        <x:v>Latest owner planning supersedes old calendar targets</x:v>
      </x:c>
      <x:c r="F269"/>
      <x:c r="G269"/>
      <x:c r="H269"/>
      <x:c r="I269"/>
      <x:c r="J269"/>
      <x:c r="K269"/>
      <x:c r="L269"/>
    </x:row>
    <x:row r="270" ht="72" customHeight="1">
      <x:c r="A270" s="113" t="str">
        <x:v>T-146</x:v>
      </x:c>
      <x:c r="B270" s="113" t="str">
        <x:v>Delivery Target</x:v>
      </x:c>
      <x:c r="C270" s="113" t="str">
        <x:v>2026-10-30 Release 2</x:v>
      </x:c>
      <x:c r="D270" s="113" t="str">
        <x:v>M3: 45 days after M2 completion</x:v>
      </x:c>
      <x:c r="E270" s="113" t="str">
        <x:v>Latest owner planning supersedes old calendar targets</x:v>
      </x:c>
      <x:c r="F270"/>
      <x:c r="G270"/>
      <x:c r="H270"/>
      <x:c r="I270"/>
      <x:c r="J270"/>
      <x:c r="K270"/>
      <x:c r="L270"/>
    </x:row>
    <x:row r="271" ht="72" customHeight="1">
      <x:c r="A271" s="113" t="str">
        <x:v>T-147</x:v>
      </x:c>
      <x:c r="B271" s="113" t="str">
        <x:v>Delivery Target</x:v>
      </x:c>
      <x:c r="C271" s="113" t="str">
        <x:v>2026-10-30 Release 2</x:v>
      </x:c>
      <x:c r="D271" s="113" t="str">
        <x:v>M3: 45 days after M2 completion</x:v>
      </x:c>
      <x:c r="E271" s="113" t="str">
        <x:v>Latest owner planning supersedes old calendar targets</x:v>
      </x:c>
      <x:c r="F271"/>
      <x:c r="G271"/>
      <x:c r="H271"/>
      <x:c r="I271"/>
      <x:c r="J271"/>
      <x:c r="K271"/>
      <x:c r="L271"/>
    </x:row>
    <x:row r="272" ht="72" customHeight="1">
      <x:c r="A272" s="113" t="str">
        <x:v>T-157</x:v>
      </x:c>
      <x:c r="B272" s="113" t="str">
        <x:v>Delivery Target</x:v>
      </x:c>
      <x:c r="C272" s="113" t="str">
        <x:v>2026-10-30 Release 2</x:v>
      </x:c>
      <x:c r="D272" s="113" t="str">
        <x:v>M3: 45 days after M2 completion</x:v>
      </x:c>
      <x:c r="E272" s="113" t="str">
        <x:v>Latest owner planning supersedes old calendar targets</x:v>
      </x:c>
      <x:c r="F272"/>
      <x:c r="G272"/>
      <x:c r="H272"/>
      <x:c r="I272"/>
      <x:c r="J272"/>
      <x:c r="K272"/>
      <x:c r="L272"/>
    </x:row>
    <x:row r="273" ht="72" customHeight="1">
      <x:c r="A273" s="113" t="str">
        <x:v>T-158</x:v>
      </x:c>
      <x:c r="B273" s="113" t="str">
        <x:v>Delivery Target</x:v>
      </x:c>
      <x:c r="C273" s="113" t="str">
        <x:v>2026-10-30 Release 2</x:v>
      </x:c>
      <x:c r="D273" s="113" t="str">
        <x:v>M3: 45 days after M2 completion</x:v>
      </x:c>
      <x:c r="E273" s="113" t="str">
        <x:v>Latest owner planning supersedes old calendar targets</x:v>
      </x:c>
      <x:c r="F273"/>
      <x:c r="G273"/>
      <x:c r="H273"/>
      <x:c r="I273"/>
      <x:c r="J273"/>
      <x:c r="K273"/>
      <x:c r="L273"/>
    </x:row>
    <x:row r="274" ht="72" customHeight="1">
      <x:c r="A274" s="113" t="str">
        <x:v>T-164</x:v>
      </x:c>
      <x:c r="B274" s="113" t="str">
        <x:v>Delivery Target</x:v>
      </x:c>
      <x:c r="C274" s="113" t="str">
        <x:v>2026-10-30 Release 2</x:v>
      </x:c>
      <x:c r="D274" s="113" t="str">
        <x:v>M3: 45 days after M2 completion</x:v>
      </x:c>
      <x:c r="E274" s="113" t="str">
        <x:v>Latest owner planning supersedes old calendar targets</x:v>
      </x:c>
      <x:c r="F274"/>
      <x:c r="G274"/>
      <x:c r="H274"/>
      <x:c r="I274"/>
      <x:c r="J274"/>
      <x:c r="K274"/>
      <x:c r="L274"/>
    </x:row>
    <x:row r="275" ht="72" customHeight="1">
      <x:c r="A275" s="113" t="str">
        <x:v>T-165</x:v>
      </x:c>
      <x:c r="B275" s="113" t="str">
        <x:v>Delivery Target</x:v>
      </x:c>
      <x:c r="C275" s="113" t="str">
        <x:v>2026-10-30 Release 2</x:v>
      </x:c>
      <x:c r="D275" s="113" t="str">
        <x:v>M3: 45 days after M2 completion</x:v>
      </x:c>
      <x:c r="E275" s="113" t="str">
        <x:v>Latest owner planning supersedes old calendar targets</x:v>
      </x:c>
      <x:c r="F275"/>
      <x:c r="G275"/>
      <x:c r="H275"/>
      <x:c r="I275"/>
      <x:c r="J275"/>
      <x:c r="K275"/>
      <x:c r="L275"/>
    </x:row>
    <x:row r="276" ht="72" customHeight="1">
      <x:c r="A276" s="113" t="str">
        <x:v>T-183</x:v>
      </x:c>
      <x:c r="B276" s="113" t="str">
        <x:v>Delivery Target</x:v>
      </x:c>
      <x:c r="C276" s="113" t="str">
        <x:v>2026-10-30 Release 2</x:v>
      </x:c>
      <x:c r="D276" s="113" t="str">
        <x:v>M3: 45 days after M2 completion</x:v>
      </x:c>
      <x:c r="E276" s="113" t="str">
        <x:v>Latest owner planning supersedes old calendar targets</x:v>
      </x:c>
      <x:c r="F276"/>
      <x:c r="G276"/>
      <x:c r="H276"/>
      <x:c r="I276"/>
      <x:c r="J276"/>
      <x:c r="K276"/>
      <x:c r="L276"/>
    </x:row>
    <x:row r="277" ht="72" customHeight="1">
      <x:c r="A277" s="113" t="str">
        <x:v>T-184</x:v>
      </x:c>
      <x:c r="B277" s="113" t="str">
        <x:v>Delivery Target</x:v>
      </x:c>
      <x:c r="C277" s="113" t="str">
        <x:v>2026-10-30 Release 2</x:v>
      </x:c>
      <x:c r="D277" s="113" t="str">
        <x:v>M3: 45 days after M2 completion</x:v>
      </x:c>
      <x:c r="E277" s="113" t="str">
        <x:v>Latest owner planning supersedes old calendar targets</x:v>
      </x:c>
      <x:c r="F277"/>
      <x:c r="G277"/>
      <x:c r="H277"/>
      <x:c r="I277"/>
      <x:c r="J277"/>
      <x:c r="K277"/>
      <x:c r="L277"/>
    </x:row>
    <x:row r="278" ht="72" customHeight="1">
      <x:c r="A278" s="113" t="str">
        <x:v>T-185</x:v>
      </x:c>
      <x:c r="B278" s="113" t="str">
        <x:v>Delivery Target</x:v>
      </x:c>
      <x:c r="C278" s="113" t="str">
        <x:v>2026-10-30 Release 2</x:v>
      </x:c>
      <x:c r="D278" s="113" t="str">
        <x:v>M3: 45 days after M2 completion</x:v>
      </x:c>
      <x:c r="E278" s="113" t="str">
        <x:v>Latest owner planning supersedes old calendar targets</x:v>
      </x:c>
      <x:c r="F278"/>
      <x:c r="G278"/>
      <x:c r="H278"/>
      <x:c r="I278"/>
      <x:c r="J278"/>
      <x:c r="K278"/>
      <x:c r="L278"/>
    </x:row>
    <x:row r="279" ht="72" customHeight="1">
      <x:c r="A279" s="113" t="str">
        <x:v>T-186</x:v>
      </x:c>
      <x:c r="B279" s="113" t="str">
        <x:v>Delivery Target</x:v>
      </x:c>
      <x:c r="C279" s="113" t="str">
        <x:v>2026-10-30 Release 2</x:v>
      </x:c>
      <x:c r="D279" s="113" t="str">
        <x:v>M3: 45 days after M2 completion</x:v>
      </x:c>
      <x:c r="E279" s="113" t="str">
        <x:v>Latest owner planning supersedes old calendar targets</x:v>
      </x:c>
      <x:c r="F279"/>
      <x:c r="G279"/>
      <x:c r="H279"/>
      <x:c r="I279"/>
      <x:c r="J279"/>
      <x:c r="K279"/>
      <x:c r="L279"/>
    </x:row>
    <x:row r="280" ht="72" customHeight="1">
      <x:c r="A280" s="113" t="str">
        <x:v>T-187</x:v>
      </x:c>
      <x:c r="B280" s="113" t="str">
        <x:v>Delivery Target</x:v>
      </x:c>
      <x:c r="C280" s="113" t="str">
        <x:v>2026-10-30 Release 2</x:v>
      </x:c>
      <x:c r="D280" s="113" t="str">
        <x:v>M3: 45 days after M2 completion</x:v>
      </x:c>
      <x:c r="E280" s="113" t="str">
        <x:v>Latest owner planning supersedes old calendar targets</x:v>
      </x:c>
      <x:c r="F280"/>
      <x:c r="G280"/>
      <x:c r="H280"/>
      <x:c r="I280"/>
      <x:c r="J280"/>
      <x:c r="K280"/>
      <x:c r="L280"/>
    </x:row>
    <x:row r="281" ht="72" customHeight="1">
      <x:c r="A281" s="113" t="str">
        <x:v>T-188</x:v>
      </x:c>
      <x:c r="B281" s="113" t="str">
        <x:v>Delivery Target</x:v>
      </x:c>
      <x:c r="C281" s="113" t="str">
        <x:v>2026-10-30 Release 2</x:v>
      </x:c>
      <x:c r="D281" s="113" t="str">
        <x:v>M3: 45 days after M2 completion</x:v>
      </x:c>
      <x:c r="E281" s="113" t="str">
        <x:v>Latest owner planning supersedes old calendar targets</x:v>
      </x:c>
      <x:c r="F281"/>
      <x:c r="G281"/>
      <x:c r="H281"/>
      <x:c r="I281"/>
      <x:c r="J281"/>
      <x:c r="K281"/>
      <x:c r="L281"/>
    </x:row>
    <x:row r="282" ht="72" customHeight="1">
      <x:c r="A282" s="113" t="str">
        <x:v>T-189</x:v>
      </x:c>
      <x:c r="B282" s="113" t="str">
        <x:v>Delivery Target</x:v>
      </x:c>
      <x:c r="C282" s="113" t="str">
        <x:v>2026-10-30 Release 2</x:v>
      </x:c>
      <x:c r="D282" s="113" t="str">
        <x:v>M3: 45 days after M2 completion</x:v>
      </x:c>
      <x:c r="E282" s="113" t="str">
        <x:v>Latest owner planning supersedes old calendar targets</x:v>
      </x:c>
      <x:c r="F282"/>
      <x:c r="G282"/>
      <x:c r="H282"/>
      <x:c r="I282"/>
      <x:c r="J282"/>
      <x:c r="K282"/>
      <x:c r="L282"/>
    </x:row>
    <x:row r="283" ht="72" customHeight="1">
      <x:c r="A283" s="113" t="str">
        <x:v>T-190</x:v>
      </x:c>
      <x:c r="B283" s="113" t="str">
        <x:v>Delivery Target</x:v>
      </x:c>
      <x:c r="C283" s="113" t="str">
        <x:v>2026-10-30 Release 2</x:v>
      </x:c>
      <x:c r="D283" s="113" t="str">
        <x:v>M3: 45 days after M2 completion</x:v>
      </x:c>
      <x:c r="E283" s="113" t="str">
        <x:v>Latest owner planning supersedes old calendar targets</x:v>
      </x:c>
      <x:c r="F283"/>
      <x:c r="G283"/>
      <x:c r="H283"/>
      <x:c r="I283"/>
      <x:c r="J283"/>
      <x:c r="K283"/>
      <x:c r="L283"/>
    </x:row>
    <x:row r="284" ht="72" customHeight="1">
      <x:c r="A284" s="113" t="str">
        <x:v>T-191</x:v>
      </x:c>
      <x:c r="B284" s="113" t="str">
        <x:v>Delivery Target</x:v>
      </x:c>
      <x:c r="C284" s="113" t="str">
        <x:v>2026-10-30 Release 2</x:v>
      </x:c>
      <x:c r="D284" s="113" t="str">
        <x:v>M3: 45 days after M2 completion</x:v>
      </x:c>
      <x:c r="E284" s="113" t="str">
        <x:v>Latest owner planning supersedes old calendar targets</x:v>
      </x:c>
      <x:c r="F284"/>
      <x:c r="G284"/>
      <x:c r="H284"/>
      <x:c r="I284"/>
      <x:c r="J284"/>
      <x:c r="K284"/>
      <x:c r="L284"/>
    </x:row>
    <x:row r="285" ht="72" customHeight="1">
      <x:c r="A285" s="113" t="str">
        <x:v>T-192</x:v>
      </x:c>
      <x:c r="B285" s="113" t="str">
        <x:v>Delivery Target</x:v>
      </x:c>
      <x:c r="C285" s="113" t="str">
        <x:v>2026-10-30 Release 2</x:v>
      </x:c>
      <x:c r="D285" s="113" t="str">
        <x:v>M3: 45 days after M2 completion</x:v>
      </x:c>
      <x:c r="E285" s="113" t="str">
        <x:v>Latest owner planning supersedes old calendar targets</x:v>
      </x:c>
      <x:c r="F285"/>
      <x:c r="G285"/>
      <x:c r="H285"/>
      <x:c r="I285"/>
      <x:c r="J285"/>
      <x:c r="K285"/>
      <x:c r="L285"/>
    </x:row>
    <x:row r="286" ht="72" customHeight="1">
      <x:c r="A286" s="113" t="str">
        <x:v>T-193</x:v>
      </x:c>
      <x:c r="B286" s="113" t="str">
        <x:v>Delivery Target</x:v>
      </x:c>
      <x:c r="C286" s="113" t="str">
        <x:v>2026-10-30 Release 2</x:v>
      </x:c>
      <x:c r="D286" s="113" t="str">
        <x:v>M3: 45 days after M2 completion</x:v>
      </x:c>
      <x:c r="E286" s="113" t="str">
        <x:v>Latest owner planning supersedes old calendar targets</x:v>
      </x:c>
      <x:c r="F286"/>
      <x:c r="G286"/>
      <x:c r="H286"/>
      <x:c r="I286"/>
      <x:c r="J286"/>
      <x:c r="K286"/>
      <x:c r="L286"/>
    </x:row>
    <x:row r="287" ht="72" customHeight="1">
      <x:c r="A287" s="113" t="str">
        <x:v>T-195</x:v>
      </x:c>
      <x:c r="B287" s="113" t="str">
        <x:v>Delivery Target</x:v>
      </x:c>
      <x:c r="C287" s="113" t="str">
        <x:v>2026-10-30 Release 2</x:v>
      </x:c>
      <x:c r="D287" s="113" t="str">
        <x:v>M3: 45 days after M2 completion</x:v>
      </x:c>
      <x:c r="E287" s="113" t="str">
        <x:v>Latest owner planning supersedes old calendar targets</x:v>
      </x:c>
      <x:c r="F287"/>
      <x:c r="G287"/>
      <x:c r="H287"/>
      <x:c r="I287"/>
      <x:c r="J287"/>
      <x:c r="K287"/>
      <x:c r="L287"/>
    </x:row>
    <x:row r="288" ht="72" customHeight="1">
      <x:c r="A288" s="113" t="str">
        <x:v>T-238</x:v>
      </x:c>
      <x:c r="B288" s="113" t="str">
        <x:v>Delivery Target</x:v>
      </x:c>
      <x:c r="C288" s="113" t="str">
        <x:v>2026-10-30 Release 2</x:v>
      </x:c>
      <x:c r="D288" s="113" t="str">
        <x:v>M3: 45 days after M2 completion</x:v>
      </x:c>
      <x:c r="E288" s="113" t="str">
        <x:v>Latest owner planning supersedes old calendar targets</x:v>
      </x:c>
      <x:c r="F288"/>
      <x:c r="G288"/>
      <x:c r="H288"/>
      <x:c r="I288"/>
      <x:c r="J288"/>
      <x:c r="K288"/>
      <x:c r="L288"/>
    </x:row>
    <x:row r="289" ht="72" customHeight="1">
      <x:c r="A289" s="113" t="str">
        <x:v>T-239</x:v>
      </x:c>
      <x:c r="B289" s="113" t="str">
        <x:v>Delivery Target</x:v>
      </x:c>
      <x:c r="C289" s="113" t="str">
        <x:v>2026-10-30 Release 2</x:v>
      </x:c>
      <x:c r="D289" s="113" t="str">
        <x:v>M3: 45 days after M2 completion</x:v>
      </x:c>
      <x:c r="E289" s="113" t="str">
        <x:v>Latest owner planning supersedes old calendar targets</x:v>
      </x:c>
      <x:c r="F289"/>
      <x:c r="G289"/>
      <x:c r="H289"/>
      <x:c r="I289"/>
      <x:c r="J289"/>
      <x:c r="K289"/>
      <x:c r="L289"/>
    </x:row>
    <x:row r="290" ht="72" customHeight="1">
      <x:c r="A290" s="113" t="str">
        <x:v>T-240</x:v>
      </x:c>
      <x:c r="B290" s="113" t="str">
        <x:v>Delivery Target</x:v>
      </x:c>
      <x:c r="C290" s="113" t="str">
        <x:v>2026-10-30 Release 2</x:v>
      </x:c>
      <x:c r="D290" s="113" t="str">
        <x:v>M3: 45 days after M2 completion</x:v>
      </x:c>
      <x:c r="E290" s="113" t="str">
        <x:v>Latest owner planning supersedes old calendar targets</x:v>
      </x:c>
      <x:c r="F290"/>
      <x:c r="G290"/>
      <x:c r="H290"/>
      <x:c r="I290"/>
      <x:c r="J290"/>
      <x:c r="K290"/>
      <x:c r="L290"/>
    </x:row>
    <x:row r="291" ht="72" customHeight="1">
      <x:c r="A291" s="113" t="str">
        <x:v>T-167</x:v>
      </x:c>
      <x:c r="B291" s="113" t="str">
        <x:v>Delivery Target</x:v>
      </x:c>
      <x:c r="C291" s="113" t="str">
        <x:v>2026-10-30 Release 2</x:v>
      </x:c>
      <x:c r="D291" s="113" t="str">
        <x:v>M3: 45 days after M2 completion</x:v>
      </x:c>
      <x:c r="E291" s="113" t="str">
        <x:v>Latest owner planning supersedes old calendar targets</x:v>
      </x:c>
      <x:c r="F291"/>
      <x:c r="G291"/>
      <x:c r="H291"/>
      <x:c r="I291"/>
      <x:c r="J291"/>
      <x:c r="K291"/>
      <x:c r="L291"/>
    </x:row>
    <x:row r="292" ht="72" customHeight="1">
      <x:c r="A292" s="113" t="str">
        <x:v>T-249</x:v>
      </x:c>
      <x:c r="B292" s="113" t="str">
        <x:v>Delivery Target</x:v>
      </x:c>
      <x:c r="C292" s="113" t="str">
        <x:v>2026-10-30 Release 2</x:v>
      </x:c>
      <x:c r="D292" s="113" t="str">
        <x:v>M3: 45 days after M2 completion</x:v>
      </x:c>
      <x:c r="E292" s="113" t="str">
        <x:v>Latest owner planning supersedes old calendar targets</x:v>
      </x:c>
      <x:c r="F292"/>
      <x:c r="G292"/>
      <x:c r="H292"/>
      <x:c r="I292"/>
      <x:c r="J292"/>
      <x:c r="K292"/>
      <x:c r="L292"/>
    </x:row>
    <x:row r="293" ht="72" customHeight="1">
      <x:c r="A293" s="113" t="str">
        <x:v>T-250</x:v>
      </x:c>
      <x:c r="B293" s="113" t="str">
        <x:v>Delivery Target</x:v>
      </x:c>
      <x:c r="C293" s="113" t="str">
        <x:v>2026-09-30 Release 1</x:v>
      </x:c>
      <x:c r="D293" s="113" t="str">
        <x:v>M2: ~1 month from owner planning checkpoint; exact date not committed</x:v>
      </x:c>
      <x:c r="E293" s="113" t="str">
        <x:v>Latest owner planning supersedes old calendar targets</x:v>
      </x:c>
      <x:c r="F293"/>
      <x:c r="G293"/>
      <x:c r="H293"/>
      <x:c r="I293"/>
      <x:c r="J293"/>
      <x:c r="K293"/>
      <x:c r="L293"/>
    </x:row>
    <x:row r="294" ht="72" customHeight="1">
      <x:c r="A294" s="113" t="str">
        <x:v>T-251</x:v>
      </x:c>
      <x:c r="B294" s="113" t="str">
        <x:v>Delivery Target</x:v>
      </x:c>
      <x:c r="C294" s="113" t="str">
        <x:v>2026-09-30 Release 1</x:v>
      </x:c>
      <x:c r="D294" s="113" t="str">
        <x:v>M2: ~1 month from owner planning checkpoint; exact date not committed</x:v>
      </x:c>
      <x:c r="E294" s="113" t="str">
        <x:v>Latest owner planning supersedes old calendar targets</x:v>
      </x:c>
      <x:c r="F294"/>
      <x:c r="G294"/>
      <x:c r="H294"/>
      <x:c r="I294"/>
      <x:c r="J294"/>
      <x:c r="K294"/>
      <x:c r="L294"/>
    </x:row>
    <x:row r="295" ht="72" customHeight="1">
      <x:c r="A295" s="113" t="str">
        <x:v>T-260</x:v>
      </x:c>
      <x:c r="B295" s="113" t="str">
        <x:v>Delivery Target</x:v>
      </x:c>
      <x:c r="C295" s="113" t="str">
        <x:v>2026-09-30 Release 1</x:v>
      </x:c>
      <x:c r="D295" s="113" t="str">
        <x:v>M2: ~1 month from owner planning checkpoint; exact date not committed</x:v>
      </x:c>
      <x:c r="E295" s="113" t="str">
        <x:v>Latest owner planning supersedes old calendar targets</x:v>
      </x:c>
      <x:c r="F295"/>
      <x:c r="G295"/>
      <x:c r="H295"/>
      <x:c r="I295"/>
      <x:c r="J295"/>
      <x:c r="K295"/>
      <x:c r="L295"/>
    </x:row>
    <x:row r="296" ht="72" customHeight="1">
      <x:c r="A296" s="113" t="str">
        <x:v>T-259</x:v>
      </x:c>
      <x:c r="B296" s="113" t="str">
        <x:v>Delivery Target</x:v>
      </x:c>
      <x:c r="C296" s="113" t="str">
        <x:v>2026-09-30 Release 1</x:v>
      </x:c>
      <x:c r="D296" s="113" t="str">
        <x:v>M2: ~1 month from owner planning checkpoint; exact date not committed</x:v>
      </x:c>
      <x:c r="E296" s="113" t="str">
        <x:v>Latest owner planning supersedes old calendar targets</x:v>
      </x:c>
      <x:c r="F296"/>
      <x:c r="G296"/>
      <x:c r="H296"/>
      <x:c r="I296"/>
      <x:c r="J296"/>
      <x:c r="K296"/>
      <x:c r="L296"/>
    </x:row>
    <x:row r="297" ht="72" customHeight="1">
      <x:c r="A297" s="113" t="str">
        <x:v>T-252</x:v>
      </x:c>
      <x:c r="B297" s="113" t="str">
        <x:v>Delivery Target</x:v>
      </x:c>
      <x:c r="C297" s="113" t="str">
        <x:v>2026-09-30 Release 1</x:v>
      </x:c>
      <x:c r="D297" s="113" t="str">
        <x:v>M2: ~1 month from owner planning checkpoint; exact date not committed</x:v>
      </x:c>
      <x:c r="E297" s="113" t="str">
        <x:v>Latest owner planning supersedes old calendar targets</x:v>
      </x:c>
      <x:c r="F297"/>
      <x:c r="G297"/>
      <x:c r="H297"/>
      <x:c r="I297"/>
      <x:c r="J297"/>
      <x:c r="K297"/>
      <x:c r="L297"/>
    </x:row>
    <x:row r="298" ht="72" customHeight="1">
      <x:c r="A298" s="113" t="str">
        <x:v>T-256</x:v>
      </x:c>
      <x:c r="B298" s="113" t="str">
        <x:v>Delivery Target</x:v>
      </x:c>
      <x:c r="C298" s="113" t="str">
        <x:v>2026-09-30 Release 1</x:v>
      </x:c>
      <x:c r="D298" s="113" t="str">
        <x:v>M2: ~1 month from owner planning checkpoint; exact date not committed</x:v>
      </x:c>
      <x:c r="E298" s="113" t="str">
        <x:v>Latest owner planning supersedes old calendar targets</x:v>
      </x:c>
      <x:c r="F298"/>
      <x:c r="G298"/>
      <x:c r="H298"/>
      <x:c r="I298"/>
      <x:c r="J298"/>
      <x:c r="K298"/>
      <x:c r="L298"/>
    </x:row>
    <x:row r="299" ht="72" customHeight="1">
      <x:c r="A299" s="113" t="str">
        <x:v>T-255</x:v>
      </x:c>
      <x:c r="B299" s="113" t="str">
        <x:v>Delivery Target</x:v>
      </x:c>
      <x:c r="C299" s="113" t="str">
        <x:v>2026-09-30 Release 1</x:v>
      </x:c>
      <x:c r="D299" s="113" t="str">
        <x:v>M2: ~1 month from owner planning checkpoint; exact date not committed</x:v>
      </x:c>
      <x:c r="E299" s="113" t="str">
        <x:v>Latest owner planning supersedes old calendar targets</x:v>
      </x:c>
      <x:c r="F299"/>
      <x:c r="G299"/>
      <x:c r="H299"/>
      <x:c r="I299"/>
      <x:c r="J299"/>
      <x:c r="K299"/>
      <x:c r="L299"/>
    </x:row>
    <x:row r="300" ht="72" customHeight="1">
      <x:c r="A300" s="113" t="str">
        <x:v>T-257</x:v>
      </x:c>
      <x:c r="B300" s="113" t="str">
        <x:v>Delivery Target</x:v>
      </x:c>
      <x:c r="C300" s="113" t="str">
        <x:v>2026-09-30 Release 1</x:v>
      </x:c>
      <x:c r="D300" s="113" t="str">
        <x:v>M2: ~1 month from owner planning checkpoint; exact date not committed</x:v>
      </x:c>
      <x:c r="E300" s="113" t="str">
        <x:v>Latest owner planning supersedes old calendar targets</x:v>
      </x:c>
      <x:c r="F300"/>
      <x:c r="G300"/>
      <x:c r="H300"/>
      <x:c r="I300"/>
      <x:c r="J300"/>
      <x:c r="K300"/>
      <x:c r="L300"/>
    </x:row>
    <x:row r="301" ht="72" customHeight="1">
      <x:c r="A301" s="113" t="str">
        <x:v>T-261</x:v>
      </x:c>
      <x:c r="B301" s="113" t="str">
        <x:v>Delivery Target</x:v>
      </x:c>
      <x:c r="C301" s="113" t="str">
        <x:v>2026-09-30 Release 1</x:v>
      </x:c>
      <x:c r="D301" s="113" t="str">
        <x:v>M2: ~1 month from owner planning checkpoint; exact date not committed</x:v>
      </x:c>
      <x:c r="E301" s="113" t="str">
        <x:v>Latest owner planning supersedes old calendar targets</x:v>
      </x:c>
      <x:c r="F301"/>
      <x:c r="G301"/>
      <x:c r="H301"/>
      <x:c r="I301"/>
      <x:c r="J301"/>
      <x:c r="K301"/>
      <x:c r="L301"/>
    </x:row>
    <x:row r="302" ht="72" customHeight="1">
      <x:c r="A302" s="113" t="str">
        <x:v>T-261</x:v>
      </x:c>
      <x:c r="B302" s="113" t="str">
        <x:v>AI Start / Dependency Gate</x:v>
      </x:c>
      <x:c r="C302" s="113" t="str">
        <x:v>Start only after T-106, T-241, T-242 and T-243 are CLOSED GREEN. Close T-261 as a separate semantic commit before resuming T-245.</x:v>
      </x:c>
      <x:c r="D302" s="113" t="str">
        <x:v>Consume accepted producer contracts; remaining dependencies: T-106; T-241; T-242; T-243; T-099; T-262. No private scheduler/definition authority. Source-present is not closure proof.</x:v>
      </x:c>
      <x:c r="E302" s="113" t="str">
        <x:v>Replace stale contradictory gate</x:v>
      </x:c>
      <x:c r="F302"/>
      <x:c r="G302"/>
      <x:c r="H302"/>
      <x:c r="I302"/>
      <x:c r="J302"/>
      <x:c r="K302"/>
      <x:c r="L302"/>
    </x:row>
    <x:row r="303" ht="72" customHeight="1">
      <x:c r="A303" s="113" t="str">
        <x:v>T-261</x:v>
      </x:c>
      <x:c r="B303" s="113" t="str">
        <x:v>Tech-Lead Ruling</x:v>
      </x:c>
      <x:c r="C303" s="113" t="str">
        <x:v>CENTRAL 11-Sep-2026: new Release-1 prerequisite created from measured T-245 preflight. Binding already exists; this task commissions honest governed Transformation execution.</x:v>
      </x:c>
      <x:c r="D303" s="113" t="str">
        <x:v>v2.22.0 owner-approved scope and release disposition; original evidence remains in change log/archive.</x:v>
      </x:c>
      <x:c r="E303" s="113" t="str">
        <x:v>Current ruling replaces superseded active notes</x:v>
      </x:c>
      <x:c r="F303"/>
      <x:c r="G303"/>
      <x:c r="H303"/>
      <x:c r="I303"/>
      <x:c r="J303"/>
      <x:c r="K303"/>
      <x:c r="L303"/>
    </x:row>
    <x:row r="304" ht="72" customHeight="1">
      <x:c r="A304" s="113" t="str">
        <x:v>T-262</x:v>
      </x:c>
      <x:c r="B304" s="113" t="str">
        <x:v>Delivery Target</x:v>
      </x:c>
      <x:c r="C304" s="113"/>
      <x:c r="D304" s="113" t="str">
        <x:v>M2: ~1 month from owner planning checkpoint; exact date not committed</x:v>
      </x:c>
      <x:c r="E304" s="113" t="str">
        <x:v>Latest owner planning supersedes old calendar targets</x:v>
      </x:c>
      <x:c r="F304"/>
      <x:c r="G304"/>
      <x:c r="H304"/>
      <x:c r="I304"/>
      <x:c r="J304"/>
      <x:c r="K304"/>
      <x:c r="L304"/>
    </x:row>
    <x:row r="305" ht="72" customHeight="1">
      <x:c r="A305" s="113" t="str">
        <x:v>T-262</x:v>
      </x:c>
      <x:c r="B305" s="113" t="str">
        <x:v>Product Track</x:v>
      </x:c>
      <x:c r="C305" s="113"/>
      <x:c r="D305" s="113" t="str">
        <x:v>Day-1 Data Workbench — DB Link, Canvas, Jobs &amp; OPC</x:v>
      </x:c>
      <x:c r="E305" s="113" t="str">
        <x:v>Release/phase synchronization</x:v>
      </x:c>
      <x:c r="F305"/>
      <x:c r="G305"/>
      <x:c r="H305"/>
      <x:c r="I305"/>
      <x:c r="J305"/>
      <x:c r="K305"/>
      <x:c r="L305"/>
    </x:row>
    <x:row r="306" ht="72" customHeight="1">
      <x:c r="A306" s="113" t="str">
        <x:v>T-262</x:v>
      </x:c>
      <x:c r="B306" s="113" t="str">
        <x:v>AI Start / Dependency Gate</x:v>
      </x:c>
      <x:c r="C306" s="113" t="str">
        <x:v>Use producer contracts; close only after listed dependencies and targeted evidence.</x:v>
      </x:c>
      <x:c r="D306" s="113" t="str">
        <x:v>Consume accepted producer contracts; remaining dependencies: T-253; T-243. No private scheduler/definition authority. Source-present is not closure proof.</x:v>
      </x:c>
      <x:c r="E306" s="113" t="str">
        <x:v>Replace stale contradictory gate</x:v>
      </x:c>
      <x:c r="F306"/>
      <x:c r="G306"/>
      <x:c r="H306"/>
      <x:c r="I306"/>
      <x:c r="J306"/>
      <x:c r="K306"/>
      <x:c r="L306"/>
    </x:row>
    <x:row r="307" ht="72" customHeight="1">
      <x:c r="A307" s="113" t="str">
        <x:v>T-262</x:v>
      </x:c>
      <x:c r="B307" s="113" t="str">
        <x:v>Tech-Lead Ruling</x:v>
      </x:c>
      <x:c r="C307" s="113"/>
      <x:c r="D307" s="113" t="str">
        <x:v>v2.22.0 owner-approved scope and release disposition; original evidence remains in change log/archive.</x:v>
      </x:c>
      <x:c r="E307" s="113" t="str">
        <x:v>Current ruling replaces superseded active notes</x:v>
      </x:c>
      <x:c r="F307"/>
      <x:c r="G307"/>
      <x:c r="H307"/>
      <x:c r="I307"/>
      <x:c r="J307"/>
      <x:c r="K307"/>
      <x:c r="L307"/>
    </x:row>
    <x:row r="308" ht="72" customHeight="1">
      <x:c r="A308" s="113" t="str">
        <x:v>T-263</x:v>
      </x:c>
      <x:c r="B308" s="113" t="str">
        <x:v>Delivery Target</x:v>
      </x:c>
      <x:c r="C308" s="113"/>
      <x:c r="D308" s="113" t="str">
        <x:v>M3: 45 days after M2 completion</x:v>
      </x:c>
      <x:c r="E308" s="113" t="str">
        <x:v>Latest owner planning supersedes old calendar targets</x:v>
      </x:c>
      <x:c r="F308"/>
      <x:c r="G308"/>
      <x:c r="H308"/>
      <x:c r="I308"/>
      <x:c r="J308"/>
      <x:c r="K308"/>
      <x:c r="L308"/>
    </x:row>
    <x:row r="309" ht="72" customHeight="1">
      <x:c r="A309" s="113" t="str">
        <x:v>T-263</x:v>
      </x:c>
      <x:c r="B309" s="113" t="str">
        <x:v>Product Track</x:v>
      </x:c>
      <x:c r="C309" s="113"/>
      <x:c r="D309" s="113" t="str">
        <x:v>Advanced BI, Authoring &amp; Insight Boards</x:v>
      </x:c>
      <x:c r="E309" s="113" t="str">
        <x:v>Release/phase synchronization</x:v>
      </x:c>
      <x:c r="F309"/>
      <x:c r="G309"/>
      <x:c r="H309"/>
      <x:c r="I309"/>
      <x:c r="J309"/>
      <x:c r="K309"/>
      <x:c r="L309"/>
    </x:row>
    <x:row r="310" ht="72" customHeight="1">
      <x:c r="A310" s="113" t="str">
        <x:v>T-263</x:v>
      </x:c>
      <x:c r="B310" s="113" t="str">
        <x:v>AI Start / Dependency Gate</x:v>
      </x:c>
      <x:c r="C310" s="113" t="str">
        <x:v>Use producer contracts; close only after listed dependencies and targeted evidence.</x:v>
      </x:c>
      <x:c r="D310" s="113" t="str">
        <x:v>Consume accepted producer contracts; remaining dependencies: T-106; T-248. No private scheduler/definition authority. Source-present is not closure proof.</x:v>
      </x:c>
      <x:c r="E310" s="113" t="str">
        <x:v>Replace stale contradictory gate</x:v>
      </x:c>
      <x:c r="F310"/>
      <x:c r="G310"/>
      <x:c r="H310"/>
      <x:c r="I310"/>
      <x:c r="J310"/>
      <x:c r="K310"/>
      <x:c r="L310"/>
    </x:row>
    <x:row r="311" ht="72" customHeight="1">
      <x:c r="A311" s="113" t="str">
        <x:v>T-263</x:v>
      </x:c>
      <x:c r="B311" s="113" t="str">
        <x:v>Tech-Lead Ruling</x:v>
      </x:c>
      <x:c r="C311" s="113"/>
      <x:c r="D311" s="113" t="str">
        <x:v>v2.22.0 owner-approved scope and release disposition; original evidence remains in change log/archive.</x:v>
      </x:c>
      <x:c r="E311" s="113" t="str">
        <x:v>Current ruling replaces superseded active notes</x:v>
      </x:c>
      <x:c r="F311"/>
      <x:c r="G311"/>
      <x:c r="H311"/>
      <x:c r="I311"/>
      <x:c r="J311"/>
      <x:c r="K311"/>
      <x:c r="L311"/>
    </x:row>
    <x:row r="312" ht="72" customHeight="1">
      <x:c r="A312" s="113" t="str">
        <x:v>T-264</x:v>
      </x:c>
      <x:c r="B312" s="113" t="str">
        <x:v>Delivery Target</x:v>
      </x:c>
      <x:c r="C312" s="113"/>
      <x:c r="D312" s="113" t="str">
        <x:v>M3: 45 days after M2 completion</x:v>
      </x:c>
      <x:c r="E312" s="113" t="str">
        <x:v>Latest owner planning supersedes old calendar targets</x:v>
      </x:c>
      <x:c r="F312"/>
      <x:c r="G312"/>
      <x:c r="H312"/>
      <x:c r="I312"/>
      <x:c r="J312"/>
      <x:c r="K312"/>
      <x:c r="L312"/>
    </x:row>
    <x:row r="313" ht="72" customHeight="1">
      <x:c r="A313" s="113" t="str">
        <x:v>T-264</x:v>
      </x:c>
      <x:c r="B313" s="113" t="str">
        <x:v>Product Track</x:v>
      </x:c>
      <x:c r="C313" s="113"/>
      <x:c r="D313" s="113" t="str">
        <x:v>Advanced ML, Optimisation &amp; Value</x:v>
      </x:c>
      <x:c r="E313" s="113" t="str">
        <x:v>Release/phase synchronization</x:v>
      </x:c>
      <x:c r="F313"/>
      <x:c r="G313"/>
      <x:c r="H313"/>
      <x:c r="I313"/>
      <x:c r="J313"/>
      <x:c r="K313"/>
      <x:c r="L313"/>
    </x:row>
    <x:row r="314" ht="72" customHeight="1">
      <x:c r="A314" s="113" t="str">
        <x:v>T-264</x:v>
      </x:c>
      <x:c r="B314" s="113" t="str">
        <x:v>AI Start / Dependency Gate</x:v>
      </x:c>
      <x:c r="C314" s="113" t="str">
        <x:v>Use producer contracts; close only after listed dependencies and targeted evidence.</x:v>
      </x:c>
      <x:c r="D314" s="113" t="str">
        <x:v>Consume accepted producer contracts; remaining dependencies: T-214; T-240. No private scheduler/definition authority. Source-present is not closure proof.</x:v>
      </x:c>
      <x:c r="E314" s="113" t="str">
        <x:v>Replace stale contradictory gate</x:v>
      </x:c>
      <x:c r="F314"/>
      <x:c r="G314"/>
      <x:c r="H314"/>
      <x:c r="I314"/>
      <x:c r="J314"/>
      <x:c r="K314"/>
      <x:c r="L314"/>
    </x:row>
    <x:row r="315" ht="72" customHeight="1">
      <x:c r="A315" s="113" t="str">
        <x:v>T-264</x:v>
      </x:c>
      <x:c r="B315" s="113" t="str">
        <x:v>Tech-Lead Ruling</x:v>
      </x:c>
      <x:c r="C315" s="113"/>
      <x:c r="D315" s="113" t="str">
        <x:v>v2.22.0 owner-approved scope and release disposition; original evidence remains in change log/archive.</x:v>
      </x:c>
      <x:c r="E315" s="113" t="str">
        <x:v>Current ruling replaces superseded active notes</x:v>
      </x:c>
      <x:c r="F315"/>
      <x:c r="G315"/>
      <x:c r="H315"/>
      <x:c r="I315"/>
      <x:c r="J315"/>
      <x:c r="K315"/>
      <x:c r="L315"/>
    </x:row>
    <x:row r="316" ht="72" customHeight="1">
      <x:c r="A316" s="113" t="str">
        <x:v>T-087</x:v>
      </x:c>
      <x:c r="B316" s="113" t="str">
        <x:v>Must Precede (IDs only)</x:v>
      </x:c>
      <x:c r="C316" s="113" t="str">
        <x:v>T-061; T-089; T-099; T-102; T-112; T-114; T-128; T-196; T-233</x:v>
      </x:c>
      <x:c r="D316" s="113" t="str">
        <x:v>T-089; T-099; T-102; T-233; T-112; T-114; T-196; T-128; T-251; T-252</x:v>
      </x:c>
      <x:c r="E316" s="113" t="str">
        <x:v>Derived reverse dependency, not second authority</x:v>
      </x:c>
      <x:c r="F316"/>
      <x:c r="G316"/>
      <x:c r="H316"/>
      <x:c r="I316"/>
      <x:c r="J316"/>
      <x:c r="K316"/>
      <x:c r="L316"/>
    </x:row>
    <x:row r="317" ht="72" customHeight="1">
      <x:c r="A317" s="113" t="str">
        <x:v>T-088</x:v>
      </x:c>
      <x:c r="B317" s="113" t="str">
        <x:v>Must Precede (IDs only)</x:v>
      </x:c>
      <x:c r="C317" s="113" t="str">
        <x:v>T-087; T-089; T-112; T-128</x:v>
      </x:c>
      <x:c r="D317" s="113" t="str">
        <x:v>T-087; T-089; T-112; T-128; T-251; T-260; T-252; T-256</x:v>
      </x:c>
      <x:c r="E317" s="113" t="str">
        <x:v>Derived reverse dependency, not second authority</x:v>
      </x:c>
      <x:c r="F317"/>
      <x:c r="G317"/>
      <x:c r="H317"/>
      <x:c r="I317"/>
      <x:c r="J317"/>
      <x:c r="K317"/>
      <x:c r="L317"/>
    </x:row>
    <x:row r="318" ht="72" customHeight="1">
      <x:c r="A318" s="113" t="str">
        <x:v>T-089</x:v>
      </x:c>
      <x:c r="B318" s="113" t="str">
        <x:v>Must Precede (IDs only)</x:v>
      </x:c>
      <x:c r="C318" s="113" t="str">
        <x:v>T-061; T-090; T-092; T-095; T-099; T-106; T-114; T-128; T-183; T-243; T-244</x:v>
      </x:c>
      <x:c r="D318" s="113" t="str">
        <x:v>T-090; T-092; T-095; T-099; T-106; T-243; T-244; T-114; T-128; T-183</x:v>
      </x:c>
      <x:c r="E318" s="113" t="str">
        <x:v>Derived reverse dependency, not second authority</x:v>
      </x:c>
      <x:c r="F318"/>
      <x:c r="G318"/>
      <x:c r="H318"/>
      <x:c r="I318"/>
      <x:c r="J318"/>
      <x:c r="K318"/>
      <x:c r="L318"/>
    </x:row>
    <x:row r="319" ht="72" customHeight="1">
      <x:c r="A319" s="113" t="str">
        <x:v>T-090</x:v>
      </x:c>
      <x:c r="B319" s="113" t="str">
        <x:v>Must Precede (IDs only)</x:v>
      </x:c>
      <x:c r="C319" s="113" t="str">
        <x:v>T-061; T-091; T-092; T-095; T-099; T-104; T-106; T-114; T-128; T-134; T-147; T-183; T-195; T-210; T-221; T-228; T-231; T-232; T-233; T-235; T-239; T-243; T-244</x:v>
      </x:c>
      <x:c r="D319" s="113" t="str">
        <x:v>T-091; T-092; T-210; T-231; T-095; T-099; T-104; T-106; T-232; T-233; T-235; T-243; T-244; T-221; T-114; T-228; T-128; T-134; T-147; T-183; T-195; T-239</x:v>
      </x:c>
      <x:c r="E319" s="113" t="str">
        <x:v>Derived reverse dependency, not second authority</x:v>
      </x:c>
      <x:c r="F319"/>
      <x:c r="G319"/>
      <x:c r="H319"/>
      <x:c r="I319"/>
      <x:c r="J319"/>
      <x:c r="K319"/>
      <x:c r="L319"/>
    </x:row>
    <x:row r="320" ht="72" customHeight="1">
      <x:c r="A320" s="113" t="str">
        <x:v>T-092</x:v>
      </x:c>
      <x:c r="B320" s="113" t="str">
        <x:v>Must Precede (IDs only)</x:v>
      </x:c>
      <x:c r="C320" s="113" t="str">
        <x:v>T-093; T-094; T-128; T-183; T-212; T-215; T-228; T-237; T-247</x:v>
      </x:c>
      <x:c r="D320" s="113" t="str">
        <x:v>T-093; T-094; T-212; T-247; T-215; T-237; T-228; T-128; T-183</x:v>
      </x:c>
      <x:c r="E320" s="113" t="str">
        <x:v>Derived reverse dependency, not second authority</x:v>
      </x:c>
      <x:c r="F320"/>
      <x:c r="G320"/>
      <x:c r="H320"/>
      <x:c r="I320"/>
      <x:c r="J320"/>
      <x:c r="K320"/>
      <x:c r="L320"/>
    </x:row>
    <x:row r="321" ht="72" customHeight="1">
      <x:c r="A321" s="113" t="str">
        <x:v>T-094</x:v>
      </x:c>
      <x:c r="B321" s="113" t="str">
        <x:v>Must Precede (IDs only)</x:v>
      </x:c>
      <x:c r="C321" s="113" t="str">
        <x:v>T-095; T-128; T-183; T-196</x:v>
      </x:c>
      <x:c r="D321" s="113" t="str">
        <x:v>T-095; T-253; T-258; T-196; T-128; T-183; T-256</x:v>
      </x:c>
      <x:c r="E321" s="113" t="str">
        <x:v>Derived reverse dependency, not second authority</x:v>
      </x:c>
      <x:c r="F321"/>
      <x:c r="G321"/>
      <x:c r="H321"/>
      <x:c r="I321"/>
      <x:c r="J321"/>
      <x:c r="K321"/>
      <x:c r="L321"/>
    </x:row>
    <x:row r="322" ht="72" customHeight="1">
      <x:c r="A322" s="113" t="str">
        <x:v>T-201</x:v>
      </x:c>
      <x:c r="B322" s="113" t="str">
        <x:v>Must Precede (IDs only)</x:v>
      </x:c>
      <x:c r="C322" s="113" t="str">
        <x:v>T-086; T-202; T-203; T-204; T-205; T-206; T-207; T-208; T-213; T-241</x:v>
      </x:c>
      <x:c r="D322" s="113" t="str">
        <x:v>T-086; T-202; T-203; T-204; T-205; T-206; T-208; T-207; T-213; T-241</x:v>
      </x:c>
      <x:c r="E322" s="113" t="str">
        <x:v>Derived reverse dependency, not second authority</x:v>
      </x:c>
      <x:c r="F322"/>
      <x:c r="G322"/>
      <x:c r="H322"/>
      <x:c r="I322"/>
      <x:c r="J322"/>
      <x:c r="K322"/>
      <x:c r="L322"/>
    </x:row>
    <x:row r="323" ht="72" customHeight="1">
      <x:c r="A323" s="113" t="str">
        <x:v>T-202</x:v>
      </x:c>
      <x:c r="B323" s="113" t="str">
        <x:v>Must Precede (IDs only)</x:v>
      </x:c>
      <x:c r="C323" s="113" t="str">
        <x:v>T-150; T-212</x:v>
      </x:c>
      <x:c r="D323" s="113" t="str">
        <x:v>T-212; T-248</x:v>
      </x:c>
      <x:c r="E323" s="113" t="str">
        <x:v>Derived reverse dependency, not second authority</x:v>
      </x:c>
      <x:c r="F323"/>
      <x:c r="G323"/>
      <x:c r="H323"/>
      <x:c r="I323"/>
      <x:c r="J323"/>
      <x:c r="K323"/>
      <x:c r="L323"/>
    </x:row>
    <x:row r="324" ht="72" customHeight="1">
      <x:c r="A324" s="113" t="str">
        <x:v>T-203</x:v>
      </x:c>
      <x:c r="B324" s="113" t="str">
        <x:v>Must Precede (IDs only)</x:v>
      </x:c>
      <x:c r="C324" s="113" t="str">
        <x:v>T-150; T-222</x:v>
      </x:c>
      <x:c r="D324" s="113" t="str">
        <x:v>T-222; T-248</x:v>
      </x:c>
      <x:c r="E324" s="113" t="str">
        <x:v>Derived reverse dependency, not second authority</x:v>
      </x:c>
      <x:c r="F324"/>
      <x:c r="G324"/>
      <x:c r="H324"/>
      <x:c r="I324"/>
      <x:c r="J324"/>
      <x:c r="K324"/>
      <x:c r="L324"/>
    </x:row>
    <x:row r="325" ht="72" customHeight="1">
      <x:c r="A325" s="113" t="str">
        <x:v>T-204</x:v>
      </x:c>
      <x:c r="B325" s="113" t="str">
        <x:v>Must Precede (IDs only)</x:v>
      </x:c>
      <x:c r="C325" s="113" t="str">
        <x:v>T-150; T-222</x:v>
      </x:c>
      <x:c r="D325" s="113" t="str">
        <x:v>T-222; T-248</x:v>
      </x:c>
      <x:c r="E325" s="113" t="str">
        <x:v>Derived reverse dependency, not second authority</x:v>
      </x:c>
      <x:c r="F325"/>
      <x:c r="G325"/>
      <x:c r="H325"/>
      <x:c r="I325"/>
      <x:c r="J325"/>
      <x:c r="K325"/>
      <x:c r="L325"/>
    </x:row>
    <x:row r="326" ht="72" customHeight="1">
      <x:c r="A326" s="113" t="str">
        <x:v>T-205</x:v>
      </x:c>
      <x:c r="B326" s="113" t="str">
        <x:v>Must Precede (IDs only)</x:v>
      </x:c>
      <x:c r="C326" s="113" t="str">
        <x:v>T-150; T-250</x:v>
      </x:c>
      <x:c r="D326" s="113" t="str">
        <x:v>T-150; T-248; T-250; T-255; T-257</x:v>
      </x:c>
      <x:c r="E326" s="113" t="str">
        <x:v>Derived reverse dependency, not second authority</x:v>
      </x:c>
      <x:c r="F326"/>
      <x:c r="G326"/>
      <x:c r="H326"/>
      <x:c r="I326"/>
      <x:c r="J326"/>
      <x:c r="K326"/>
      <x:c r="L326"/>
    </x:row>
    <x:row r="327" ht="72" customHeight="1">
      <x:c r="A327" s="113" t="str">
        <x:v>T-206</x:v>
      </x:c>
      <x:c r="B327" s="113" t="str">
        <x:v>Must Precede (IDs only)</x:v>
      </x:c>
      <x:c r="C327" s="113" t="str">
        <x:v>T-093; T-150; T-213</x:v>
      </x:c>
      <x:c r="D327" s="113" t="str">
        <x:v>T-093; T-213</x:v>
      </x:c>
      <x:c r="E327" s="113" t="str">
        <x:v>Derived reverse dependency, not second authority</x:v>
      </x:c>
      <x:c r="F327"/>
      <x:c r="G327"/>
      <x:c r="H327"/>
      <x:c r="I327"/>
      <x:c r="J327"/>
      <x:c r="K327"/>
      <x:c r="L327"/>
    </x:row>
    <x:row r="328" ht="72" customHeight="1">
      <x:c r="A328" s="113" t="str">
        <x:v>T-208</x:v>
      </x:c>
      <x:c r="B328" s="113" t="str">
        <x:v>Must Precede (IDs only)</x:v>
      </x:c>
      <x:c r="C328" s="113" t="str">
        <x:v>T-150; T-209; T-211; T-216; T-217; T-218; T-234; T-238</x:v>
      </x:c>
      <x:c r="D328" s="113" t="str">
        <x:v>T-209; T-216; T-211; T-217; T-218; T-234; T-238</x:v>
      </x:c>
      <x:c r="E328" s="113" t="str">
        <x:v>Derived reverse dependency, not second authority</x:v>
      </x:c>
      <x:c r="F328"/>
      <x:c r="G328"/>
      <x:c r="H328"/>
      <x:c r="I328"/>
      <x:c r="J328"/>
      <x:c r="K328"/>
      <x:c r="L328"/>
    </x:row>
    <x:row r="329" ht="72" customHeight="1">
      <x:c r="A329" s="113" t="str">
        <x:v>T-209</x:v>
      </x:c>
      <x:c r="B329" s="113" t="str">
        <x:v>Must Precede (IDs only)</x:v>
      </x:c>
      <x:c r="C329" s="113" t="str">
        <x:v>T-094; T-210; T-214; T-231; T-234</x:v>
      </x:c>
      <x:c r="D329" s="113" t="str">
        <x:v>T-094; T-210; T-231; T-253; T-214; T-234</x:v>
      </x:c>
      <x:c r="E329" s="113" t="str">
        <x:v>Derived reverse dependency, not second authority</x:v>
      </x:c>
      <x:c r="F329"/>
      <x:c r="G329"/>
      <x:c r="H329"/>
      <x:c r="I329"/>
      <x:c r="J329"/>
      <x:c r="K329"/>
      <x:c r="L329"/>
    </x:row>
    <x:row r="330" ht="72" customHeight="1">
      <x:c r="A330" s="113" t="str">
        <x:v>T-210</x:v>
      </x:c>
      <x:c r="B330" s="113" t="str">
        <x:v>Must Precede (IDs only)</x:v>
      </x:c>
      <x:c r="C330" s="113" t="str">
        <x:v>T-092; T-128; T-211; T-212; T-242</x:v>
      </x:c>
      <x:c r="D330" s="113" t="str">
        <x:v>T-092; T-212; T-242; T-211; T-128</x:v>
      </x:c>
      <x:c r="E330" s="113" t="str">
        <x:v>Derived reverse dependency, not second authority</x:v>
      </x:c>
      <x:c r="F330"/>
      <x:c r="G330"/>
      <x:c r="H330"/>
      <x:c r="I330"/>
      <x:c r="J330"/>
      <x:c r="K330"/>
      <x:c r="L330"/>
    </x:row>
    <x:row r="331" ht="72" customHeight="1">
      <x:c r="A331" s="113" t="str">
        <x:v>T-216</x:v>
      </x:c>
      <x:c r="B331" s="113" t="str">
        <x:v>Must Precede (IDs only)</x:v>
      </x:c>
      <x:c r="C331" s="113" t="str">
        <x:v>T-200; T-217; T-233</x:v>
      </x:c>
      <x:c r="D331" s="113" t="str">
        <x:v>T-233; T-217; T-200</x:v>
      </x:c>
      <x:c r="E331" s="113" t="str">
        <x:v>Derived reverse dependency, not second authority</x:v>
      </x:c>
      <x:c r="F331"/>
      <x:c r="G331"/>
      <x:c r="H331"/>
      <x:c r="I331"/>
      <x:c r="J331"/>
      <x:c r="K331"/>
      <x:c r="L331"/>
    </x:row>
    <x:row r="332" ht="72" customHeight="1">
      <x:c r="A332" s="113" t="str">
        <x:v>T-231</x:v>
      </x:c>
      <x:c r="B332" s="113" t="str">
        <x:v>Must Precede (IDs only)</x:v>
      </x:c>
      <x:c r="C332" s="113" t="str">
        <x:v>T-092; T-128; T-139; T-232; T-235</x:v>
      </x:c>
      <x:c r="D332" s="113" t="str">
        <x:v>T-092; T-232; T-235; T-128; T-139</x:v>
      </x:c>
      <x:c r="E332" s="113" t="str">
        <x:v>Derived reverse dependency, not second authority</x:v>
      </x:c>
      <x:c r="F332"/>
      <x:c r="G332"/>
      <x:c r="H332"/>
      <x:c r="I332"/>
      <x:c r="J332"/>
      <x:c r="K332"/>
      <x:c r="L332"/>
    </x:row>
    <x:row r="333" ht="72" customHeight="1">
      <x:c r="A333" s="113" t="str">
        <x:v>T-095</x:v>
      </x:c>
      <x:c r="B333" s="113" t="str">
        <x:v>Must Precede (IDs only)</x:v>
      </x:c>
      <x:c r="C333" s="113" t="str">
        <x:v>T-096; T-098; T-102; T-103; T-104; T-107; T-109; T-114; T-128; T-134; T-183; T-196; T-221</x:v>
      </x:c>
      <x:c r="D333" s="113" t="str">
        <x:v>T-096; T-098; T-102; T-103; T-104; T-107; T-109; T-221; T-114; T-196; T-128; T-134; T-183</x:v>
      </x:c>
      <x:c r="E333" s="113" t="str">
        <x:v>Derived reverse dependency, not second authority</x:v>
      </x:c>
      <x:c r="F333"/>
      <x:c r="G333"/>
      <x:c r="H333"/>
      <x:c r="I333"/>
      <x:c r="J333"/>
      <x:c r="K333"/>
      <x:c r="L333"/>
    </x:row>
    <x:row r="334" ht="72" customHeight="1">
      <x:c r="A334" s="113" t="str">
        <x:v>T-096</x:v>
      </x:c>
      <x:c r="B334" s="113" t="str">
        <x:v>Must Precede (IDs only)</x:v>
      </x:c>
      <x:c r="C334" s="113" t="str">
        <x:v>T-097; T-098; T-107; T-109; T-128; T-134; T-183; T-221</x:v>
      </x:c>
      <x:c r="D334" s="113" t="str">
        <x:v>T-097; T-098; T-107; T-109; T-221; T-128; T-134; T-183</x:v>
      </x:c>
      <x:c r="E334" s="113" t="str">
        <x:v>Derived reverse dependency, not second authority</x:v>
      </x:c>
      <x:c r="F334"/>
      <x:c r="G334"/>
      <x:c r="H334"/>
      <x:c r="I334"/>
      <x:c r="J334"/>
      <x:c r="K334"/>
      <x:c r="L334"/>
    </x:row>
    <x:row r="335" ht="72" customHeight="1">
      <x:c r="A335" s="113" t="str">
        <x:v>T-099</x:v>
      </x:c>
      <x:c r="B335" s="113" t="str">
        <x:v>Must Precede (IDs only)</x:v>
      </x:c>
      <x:c r="C335" s="113" t="str">
        <x:v>T-061; T-100; T-101; T-104; T-107; T-109; T-114; T-128; T-183</x:v>
      </x:c>
      <x:c r="D335" s="113" t="str">
        <x:v>T-100; T-101; T-104; T-107; T-108; T-109; T-114; T-128; T-183; T-261</x:v>
      </x:c>
      <x:c r="E335" s="113" t="str">
        <x:v>Derived reverse dependency, not second authority</x:v>
      </x:c>
      <x:c r="F335"/>
      <x:c r="G335"/>
      <x:c r="H335"/>
      <x:c r="I335"/>
      <x:c r="J335"/>
      <x:c r="K335"/>
      <x:c r="L335"/>
    </x:row>
    <x:row r="336" ht="72" customHeight="1">
      <x:c r="A336" s="113" t="str">
        <x:v>T-104</x:v>
      </x:c>
      <x:c r="B336" s="113" t="str">
        <x:v>Must Precede (IDs only)</x:v>
      </x:c>
      <x:c r="C336" s="113" t="str">
        <x:v>T-107; T-109; T-128; T-183</x:v>
      </x:c>
      <x:c r="D336" s="113" t="str">
        <x:v>T-107; T-108; T-109; T-247; T-128; T-183</x:v>
      </x:c>
      <x:c r="E336" s="113" t="str">
        <x:v>Derived reverse dependency, not second authority</x:v>
      </x:c>
      <x:c r="F336"/>
      <x:c r="G336"/>
      <x:c r="H336"/>
      <x:c r="I336"/>
      <x:c r="J336"/>
      <x:c r="K336"/>
      <x:c r="L336"/>
    </x:row>
    <x:row r="337" ht="72" customHeight="1">
      <x:c r="A337" s="113" t="str">
        <x:v>T-106</x:v>
      </x:c>
      <x:c r="B337" s="113" t="str">
        <x:v>Must Precede (IDs only)</x:v>
      </x:c>
      <x:c r="C337" s="113" t="str">
        <x:v>T-107; T-122; T-245; T-125; T-261</x:v>
      </x:c>
      <x:c r="D337" s="113" t="str">
        <x:v>T-107; T-245; T-125; T-122; T-261; T-263</x:v>
      </x:c>
      <x:c r="E337" s="113" t="str">
        <x:v>Derived reverse dependency, not second authority</x:v>
      </x:c>
      <x:c r="F337"/>
      <x:c r="G337"/>
      <x:c r="H337"/>
      <x:c r="I337"/>
      <x:c r="J337"/>
      <x:c r="K337"/>
      <x:c r="L337"/>
    </x:row>
    <x:row r="338" ht="72" customHeight="1">
      <x:c r="A338" s="113" t="str">
        <x:v>T-107</x:v>
      </x:c>
      <x:c r="B338" s="113" t="str">
        <x:v>Must Precede (IDs only)</x:v>
      </x:c>
      <x:c r="C338" s="113" t="str">
        <x:v>T-122; T-141; T-187; T-192; T-125</x:v>
      </x:c>
      <x:c r="D338" s="113" t="str">
        <x:v>T-125; T-122; T-141; T-187; T-192</x:v>
      </x:c>
      <x:c r="E338" s="113" t="str">
        <x:v>Derived reverse dependency, not second authority</x:v>
      </x:c>
      <x:c r="F338"/>
      <x:c r="G338"/>
      <x:c r="H338"/>
      <x:c r="I338"/>
      <x:c r="J338"/>
      <x:c r="K338"/>
      <x:c r="L338"/>
    </x:row>
    <x:row r="339" ht="72" customHeight="1">
      <x:c r="A339" s="113" t="str">
        <x:v>T-108</x:v>
      </x:c>
      <x:c r="B339" s="113" t="str">
        <x:v>Must Precede (IDs only)</x:v>
      </x:c>
      <x:c r="C339" s="113" t="str">
        <x:v>T-109</x:v>
      </x:c>
      <x:c r="D339" s="113" t="str">
        <x:v>T-109; T-110; T-247</x:v>
      </x:c>
      <x:c r="E339" s="113" t="str">
        <x:v>Derived reverse dependency, not second authority</x:v>
      </x:c>
      <x:c r="F339"/>
      <x:c r="G339"/>
      <x:c r="H339"/>
      <x:c r="I339"/>
      <x:c r="J339"/>
      <x:c r="K339"/>
      <x:c r="L339"/>
    </x:row>
    <x:row r="340" ht="72" customHeight="1">
      <x:c r="A340" s="113" t="str">
        <x:v>T-109</x:v>
      </x:c>
      <x:c r="B340" s="113" t="str">
        <x:v>Must Precede (IDs only)</x:v>
      </x:c>
      <x:c r="C340" s="113" t="str">
        <x:v>T-136; T-187</x:v>
      </x:c>
      <x:c r="D340" s="113" t="str">
        <x:v>T-110; T-136; T-187</x:v>
      </x:c>
      <x:c r="E340" s="113" t="str">
        <x:v>Derived reverse dependency, not second authority</x:v>
      </x:c>
      <x:c r="F340"/>
      <x:c r="G340"/>
      <x:c r="H340"/>
      <x:c r="I340"/>
      <x:c r="J340"/>
      <x:c r="K340"/>
      <x:c r="L340"/>
    </x:row>
    <x:row r="341" ht="72" customHeight="1">
      <x:c r="A341" s="113" t="str">
        <x:v>T-110</x:v>
      </x:c>
      <x:c r="B341" s="113" t="str">
        <x:v>Must Precede (IDs only)</x:v>
      </x:c>
      <x:c r="C341" s="113"/>
      <x:c r="D341" s="113" t="str">
        <x:v>T-249</x:v>
      </x:c>
      <x:c r="E341" s="113" t="str">
        <x:v>Derived reverse dependency, not second authority</x:v>
      </x:c>
      <x:c r="F341"/>
      <x:c r="G341"/>
      <x:c r="H341"/>
      <x:c r="I341"/>
      <x:c r="J341"/>
      <x:c r="K341"/>
      <x:c r="L341"/>
    </x:row>
    <x:row r="342" ht="72" customHeight="1">
      <x:c r="A342" s="113" t="str">
        <x:v>T-207</x:v>
      </x:c>
      <x:c r="B342" s="113" t="str">
        <x:v>Must Precede (IDs only)</x:v>
      </x:c>
      <x:c r="C342" s="113" t="str">
        <x:v>T-150; T-224</x:v>
      </x:c>
      <x:c r="D342" s="113" t="str">
        <x:v>T-224; T-247; T-254; T-150</x:v>
      </x:c>
      <x:c r="E342" s="113" t="str">
        <x:v>Derived reverse dependency, not second authority</x:v>
      </x:c>
      <x:c r="F342"/>
      <x:c r="G342"/>
      <x:c r="H342"/>
      <x:c r="I342"/>
      <x:c r="J342"/>
      <x:c r="K342"/>
      <x:c r="L342"/>
    </x:row>
    <x:row r="343" ht="72" customHeight="1">
      <x:c r="A343" s="113" t="str">
        <x:v>T-212</x:v>
      </x:c>
      <x:c r="B343" s="113" t="str">
        <x:v>Must Precede (IDs only)</x:v>
      </x:c>
      <x:c r="C343" s="113"/>
      <x:c r="D343" s="113" t="str">
        <x:v>T-247; T-150</x:v>
      </x:c>
      <x:c r="E343" s="113" t="str">
        <x:v>Derived reverse dependency, not second authority</x:v>
      </x:c>
      <x:c r="F343"/>
      <x:c r="G343"/>
      <x:c r="H343"/>
      <x:c r="I343"/>
      <x:c r="J343"/>
      <x:c r="K343"/>
      <x:c r="L343"/>
    </x:row>
    <x:row r="344" ht="72" customHeight="1">
      <x:c r="A344" s="113" t="str">
        <x:v>T-213</x:v>
      </x:c>
      <x:c r="B344" s="113" t="str">
        <x:v>Must Precede (IDs only)</x:v>
      </x:c>
      <x:c r="C344" s="113" t="str">
        <x:v>T-227; T-247</x:v>
      </x:c>
      <x:c r="D344" s="113" t="str">
        <x:v>T-247; T-227</x:v>
      </x:c>
      <x:c r="E344" s="113" t="str">
        <x:v>Derived reverse dependency, not second authority</x:v>
      </x:c>
      <x:c r="F344"/>
      <x:c r="G344"/>
      <x:c r="H344"/>
      <x:c r="I344"/>
      <x:c r="J344"/>
      <x:c r="K344"/>
      <x:c r="L344"/>
    </x:row>
    <x:row r="345" ht="72" customHeight="1">
      <x:c r="A345" s="113" t="str">
        <x:v>T-224</x:v>
      </x:c>
      <x:c r="B345" s="113" t="str">
        <x:v>Must Precede (IDs only)</x:v>
      </x:c>
      <x:c r="C345" s="113" t="str">
        <x:v>T-153; T-225</x:v>
      </x:c>
      <x:c r="D345" s="113" t="str">
        <x:v>T-225; T-153</x:v>
      </x:c>
      <x:c r="E345" s="113" t="str">
        <x:v>Derived reverse dependency, not second authority</x:v>
      </x:c>
      <x:c r="F345"/>
      <x:c r="G345"/>
      <x:c r="H345"/>
      <x:c r="I345"/>
      <x:c r="J345"/>
      <x:c r="K345"/>
      <x:c r="L345"/>
    </x:row>
    <x:row r="346" ht="72" customHeight="1">
      <x:c r="A346" s="113" t="str">
        <x:v>T-225</x:v>
      </x:c>
      <x:c r="B346" s="113" t="str">
        <x:v>Must Precede (IDs only)</x:v>
      </x:c>
      <x:c r="C346" s="113" t="str">
        <x:v>T-153; T-226</x:v>
      </x:c>
      <x:c r="D346" s="113" t="str">
        <x:v>T-226; T-153</x:v>
      </x:c>
      <x:c r="E346" s="113" t="str">
        <x:v>Derived reverse dependency, not second authority</x:v>
      </x:c>
      <x:c r="F346"/>
      <x:c r="G346"/>
      <x:c r="H346"/>
      <x:c r="I346"/>
      <x:c r="J346"/>
      <x:c r="K346"/>
      <x:c r="L346"/>
    </x:row>
    <x:row r="347" ht="72" customHeight="1">
      <x:c r="A347" s="113" t="str">
        <x:v>T-226</x:v>
      </x:c>
      <x:c r="B347" s="113" t="str">
        <x:v>Must Precede (IDs only)</x:v>
      </x:c>
      <x:c r="C347" s="113" t="str">
        <x:v>T-153</x:v>
      </x:c>
      <x:c r="D347" s="113" t="str">
        <x:v>T-150; T-153</x:v>
      </x:c>
      <x:c r="E347" s="113" t="str">
        <x:v>Derived reverse dependency, not second authority</x:v>
      </x:c>
      <x:c r="F347"/>
      <x:c r="G347"/>
      <x:c r="H347"/>
      <x:c r="I347"/>
      <x:c r="J347"/>
      <x:c r="K347"/>
      <x:c r="L347"/>
    </x:row>
    <x:row r="348" ht="72" customHeight="1">
      <x:c r="A348" s="113" t="str">
        <x:v>T-233</x:v>
      </x:c>
      <x:c r="B348" s="113" t="str">
        <x:v>Must Precede (IDs only)</x:v>
      </x:c>
      <x:c r="C348" s="113" t="str">
        <x:v>T-221; T-226</x:v>
      </x:c>
      <x:c r="D348" s="113" t="str">
        <x:v>T-226; T-221</x:v>
      </x:c>
      <x:c r="E348" s="113" t="str">
        <x:v>Derived reverse dependency, not second authority</x:v>
      </x:c>
      <x:c r="F348"/>
      <x:c r="G348"/>
      <x:c r="H348"/>
      <x:c r="I348"/>
      <x:c r="J348"/>
      <x:c r="K348"/>
      <x:c r="L348"/>
    </x:row>
    <x:row r="349" ht="72" customHeight="1">
      <x:c r="A349" s="113" t="str">
        <x:v>T-235</x:v>
      </x:c>
      <x:c r="B349" s="113" t="str">
        <x:v>Must Precede (IDs only)</x:v>
      </x:c>
      <x:c r="C349" s="113" t="str">
        <x:v>T-164; T-212; T-237</x:v>
      </x:c>
      <x:c r="D349" s="113" t="str">
        <x:v>T-212; T-247; T-237; T-164</x:v>
      </x:c>
      <x:c r="E349" s="113" t="str">
        <x:v>Derived reverse dependency, not second authority</x:v>
      </x:c>
      <x:c r="F349"/>
      <x:c r="G349"/>
      <x:c r="H349"/>
      <x:c r="I349"/>
      <x:c r="J349"/>
      <x:c r="K349"/>
      <x:c r="L349"/>
    </x:row>
    <x:row r="350" ht="72" customHeight="1">
      <x:c r="A350" s="113" t="str">
        <x:v>T-241</x:v>
      </x:c>
      <x:c r="B350" s="113" t="str">
        <x:v>Must Precede (IDs only)</x:v>
      </x:c>
      <x:c r="C350" s="113" t="str">
        <x:v>T-242; T-243; T-261</x:v>
      </x:c>
      <x:c r="D350" s="113" t="str">
        <x:v>T-242; T-243; T-247; T-253; T-248; T-261</x:v>
      </x:c>
      <x:c r="E350" s="113" t="str">
        <x:v>Derived reverse dependency, not second authority</x:v>
      </x:c>
      <x:c r="F350"/>
      <x:c r="G350"/>
      <x:c r="H350"/>
      <x:c r="I350"/>
      <x:c r="J350"/>
      <x:c r="K350"/>
      <x:c r="L350"/>
    </x:row>
    <x:row r="351" ht="72" customHeight="1">
      <x:c r="A351" s="113" t="str">
        <x:v>T-242</x:v>
      </x:c>
      <x:c r="B351" s="113" t="str">
        <x:v>Must Precede (IDs only)</x:v>
      </x:c>
      <x:c r="C351" s="113" t="str">
        <x:v>T-243; T-261</x:v>
      </x:c>
      <x:c r="D351" s="113" t="str">
        <x:v>T-243; T-247; T-261</x:v>
      </x:c>
      <x:c r="E351" s="113" t="str">
        <x:v>Derived reverse dependency, not second authority</x:v>
      </x:c>
      <x:c r="F351"/>
      <x:c r="G351"/>
      <x:c r="H351"/>
      <x:c r="I351"/>
      <x:c r="J351"/>
      <x:c r="K351"/>
      <x:c r="L351"/>
    </x:row>
    <x:row r="352" ht="72" customHeight="1">
      <x:c r="A352" s="113" t="str">
        <x:v>T-243</x:v>
      </x:c>
      <x:c r="B352" s="113" t="str">
        <x:v>Must Precede (IDs only)</x:v>
      </x:c>
      <x:c r="C352" s="113" t="str">
        <x:v>T-245; T-246; T-261</x:v>
      </x:c>
      <x:c r="D352" s="113" t="str">
        <x:v>T-245; T-246; T-247; T-248; T-261; T-262</x:v>
      </x:c>
      <x:c r="E352" s="113" t="str">
        <x:v>Derived reverse dependency, not second authority</x:v>
      </x:c>
      <x:c r="F352"/>
      <x:c r="G352"/>
      <x:c r="H352"/>
      <x:c r="I352"/>
      <x:c r="J352"/>
      <x:c r="K352"/>
      <x:c r="L352"/>
    </x:row>
    <x:row r="353" ht="72" customHeight="1">
      <x:c r="A353" s="113" t="str">
        <x:v>T-244</x:v>
      </x:c>
      <x:c r="B353" s="113" t="str">
        <x:v>Must Precede (IDs only)</x:v>
      </x:c>
      <x:c r="C353" s="113" t="str">
        <x:v>T-245</x:v>
      </x:c>
      <x:c r="D353" s="113" t="str">
        <x:v>T-245; T-247; T-253; T-248</x:v>
      </x:c>
      <x:c r="E353" s="113" t="str">
        <x:v>Derived reverse dependency, not second authority</x:v>
      </x:c>
      <x:c r="F353"/>
      <x:c r="G353"/>
      <x:c r="H353"/>
      <x:c r="I353"/>
      <x:c r="J353"/>
      <x:c r="K353"/>
      <x:c r="L353"/>
    </x:row>
    <x:row r="354" ht="72" customHeight="1">
      <x:c r="A354" s="113" t="str">
        <x:v>T-245</x:v>
      </x:c>
      <x:c r="B354" s="113" t="str">
        <x:v>Must Precede (IDs only)</x:v>
      </x:c>
      <x:c r="C354" s="113"/>
      <x:c r="D354" s="113" t="str">
        <x:v>T-247; T-248</x:v>
      </x:c>
      <x:c r="E354" s="113" t="str">
        <x:v>Derived reverse dependency, not second authority</x:v>
      </x:c>
      <x:c r="F354"/>
      <x:c r="G354"/>
      <x:c r="H354"/>
      <x:c r="I354"/>
      <x:c r="J354"/>
      <x:c r="K354"/>
      <x:c r="L354"/>
    </x:row>
    <x:row r="355" ht="72" customHeight="1">
      <x:c r="A355" s="113" t="str">
        <x:v>T-246</x:v>
      </x:c>
      <x:c r="B355" s="113" t="str">
        <x:v>Must Precede (IDs only)</x:v>
      </x:c>
      <x:c r="C355" s="113"/>
      <x:c r="D355" s="113" t="str">
        <x:v>T-249</x:v>
      </x:c>
      <x:c r="E355" s="113" t="str">
        <x:v>Derived reverse dependency, not second authority</x:v>
      </x:c>
      <x:c r="F355"/>
      <x:c r="G355"/>
      <x:c r="H355"/>
      <x:c r="I355"/>
      <x:c r="J355"/>
      <x:c r="K355"/>
      <x:c r="L355"/>
    </x:row>
    <x:row r="356" ht="72" customHeight="1">
      <x:c r="A356" s="113" t="str">
        <x:v>T-247</x:v>
      </x:c>
      <x:c r="B356" s="113" t="str">
        <x:v>Must Precede (IDs only)</x:v>
      </x:c>
      <x:c r="C356" s="113"/>
      <x:c r="D356" s="113" t="str">
        <x:v>T-150</x:v>
      </x:c>
      <x:c r="E356" s="113" t="str">
        <x:v>Derived reverse dependency, not second authority</x:v>
      </x:c>
      <x:c r="F356"/>
      <x:c r="G356"/>
      <x:c r="H356"/>
      <x:c r="I356"/>
      <x:c r="J356"/>
      <x:c r="K356"/>
      <x:c r="L356"/>
    </x:row>
    <x:row r="357" ht="72" customHeight="1">
      <x:c r="A357" s="113" t="str">
        <x:v>T-253</x:v>
      </x:c>
      <x:c r="B357" s="113" t="str">
        <x:v>Must Precede (IDs only)</x:v>
      </x:c>
      <x:c r="C357" s="113" t="str">
        <x:v>T-243; T-245; T-247; T-150</x:v>
      </x:c>
      <x:c r="D357" s="113" t="str">
        <x:v>T-243; T-247; T-150; T-256; T-262</x:v>
      </x:c>
      <x:c r="E357" s="113" t="str">
        <x:v>Derived reverse dependency, not second authority</x:v>
      </x:c>
      <x:c r="F357"/>
      <x:c r="G357"/>
      <x:c r="H357"/>
      <x:c r="I357"/>
      <x:c r="J357"/>
      <x:c r="K357"/>
      <x:c r="L357"/>
    </x:row>
    <x:row r="358" ht="72" customHeight="1">
      <x:c r="A358" s="113" t="str">
        <x:v>T-148</x:v>
      </x:c>
      <x:c r="B358" s="113" t="str">
        <x:v>Must Precede (IDs only)</x:v>
      </x:c>
      <x:c r="C358" s="113" t="str">
        <x:v>T-150</x:v>
      </x:c>
      <x:c r="D358" s="113" t="str">
        <x:v>T-248</x:v>
      </x:c>
      <x:c r="E358" s="113" t="str">
        <x:v>Derived reverse dependency, not second authority</x:v>
      </x:c>
      <x:c r="F358"/>
      <x:c r="G358"/>
      <x:c r="H358"/>
      <x:c r="I358"/>
      <x:c r="J358"/>
      <x:c r="K358"/>
      <x:c r="L358"/>
    </x:row>
    <x:row r="359" ht="72" customHeight="1">
      <x:c r="A359" s="113" t="str">
        <x:v>T-215</x:v>
      </x:c>
      <x:c r="B359" s="113" t="str">
        <x:v>Must Precede (IDs only)</x:v>
      </x:c>
      <x:c r="C359" s="113" t="str">
        <x:v>T-222</x:v>
      </x:c>
      <x:c r="D359" s="113" t="str">
        <x:v>T-222; T-150</x:v>
      </x:c>
      <x:c r="E359" s="113" t="str">
        <x:v>Derived reverse dependency, not second authority</x:v>
      </x:c>
      <x:c r="F359"/>
      <x:c r="G359"/>
      <x:c r="H359"/>
      <x:c r="I359"/>
      <x:c r="J359"/>
      <x:c r="K359"/>
      <x:c r="L359"/>
    </x:row>
    <x:row r="360" ht="72" customHeight="1">
      <x:c r="A360" s="113" t="str">
        <x:v>T-222</x:v>
      </x:c>
      <x:c r="B360" s="113" t="str">
        <x:v>Must Precede (IDs only)</x:v>
      </x:c>
      <x:c r="C360" s="113"/>
      <x:c r="D360" s="113" t="str">
        <x:v>T-150</x:v>
      </x:c>
      <x:c r="E360" s="113" t="str">
        <x:v>Derived reverse dependency, not second authority</x:v>
      </x:c>
      <x:c r="F360"/>
      <x:c r="G360"/>
      <x:c r="H360"/>
      <x:c r="I360"/>
      <x:c r="J360"/>
      <x:c r="K360"/>
      <x:c r="L360"/>
    </x:row>
    <x:row r="361" ht="72" customHeight="1">
      <x:c r="A361" s="113" t="str">
        <x:v>T-137</x:v>
      </x:c>
      <x:c r="B361" s="113" t="str">
        <x:v>Must Precede (IDs only)</x:v>
      </x:c>
      <x:c r="C361" s="113" t="str">
        <x:v>T-122; T-138; T-246</x:v>
      </x:c>
      <x:c r="D361" s="113" t="str">
        <x:v>T-246; T-122; T-138</x:v>
      </x:c>
      <x:c r="E361" s="113" t="str">
        <x:v>Derived reverse dependency, not second authority</x:v>
      </x:c>
      <x:c r="F361"/>
      <x:c r="G361"/>
      <x:c r="H361"/>
      <x:c r="I361"/>
      <x:c r="J361"/>
      <x:c r="K361"/>
      <x:c r="L361"/>
    </x:row>
    <x:row r="362" ht="72" customHeight="1">
      <x:c r="A362" s="113" t="str">
        <x:v>T-168</x:v>
      </x:c>
      <x:c r="B362" s="113" t="str">
        <x:v>Must Precede (IDs only)</x:v>
      </x:c>
      <x:c r="C362" s="113" t="str">
        <x:v>T-122; T-175; T-187</x:v>
      </x:c>
      <x:c r="D362" s="113" t="str">
        <x:v>T-175; T-122; T-187</x:v>
      </x:c>
      <x:c r="E362" s="113" t="str">
        <x:v>Derived reverse dependency, not second authority</x:v>
      </x:c>
      <x:c r="F362"/>
      <x:c r="G362"/>
      <x:c r="H362"/>
      <x:c r="I362"/>
      <x:c r="J362"/>
      <x:c r="K362"/>
      <x:c r="L362"/>
    </x:row>
    <x:row r="363" ht="72" customHeight="1">
      <x:c r="A363" s="113" t="str">
        <x:v>T-179</x:v>
      </x:c>
      <x:c r="B363" s="113" t="str">
        <x:v>Must Precede (IDs only)</x:v>
      </x:c>
      <x:c r="C363" s="113" t="str">
        <x:v>T-138; T-223; T-228</x:v>
      </x:c>
      <x:c r="D363" s="113" t="str">
        <x:v>T-223; T-228; T-138</x:v>
      </x:c>
      <x:c r="E363" s="113" t="str">
        <x:v>Derived reverse dependency, not second authority</x:v>
      </x:c>
      <x:c r="F363"/>
      <x:c r="G363"/>
      <x:c r="H363"/>
      <x:c r="I363"/>
      <x:c r="J363"/>
      <x:c r="K363"/>
      <x:c r="L363"/>
    </x:row>
    <x:row r="364" ht="72" customHeight="1">
      <x:c r="A364" s="113" t="str">
        <x:v>T-180</x:v>
      </x:c>
      <x:c r="B364" s="113" t="str">
        <x:v>Must Precede (IDs only)</x:v>
      </x:c>
      <x:c r="C364" s="113" t="str">
        <x:v>T-138; T-223; T-228</x:v>
      </x:c>
      <x:c r="D364" s="113" t="str">
        <x:v>T-223; T-228; T-138</x:v>
      </x:c>
      <x:c r="E364" s="113" t="str">
        <x:v>Derived reverse dependency, not second authority</x:v>
      </x:c>
      <x:c r="F364"/>
      <x:c r="G364"/>
      <x:c r="H364"/>
      <x:c r="I364"/>
      <x:c r="J364"/>
      <x:c r="K364"/>
      <x:c r="L364"/>
    </x:row>
    <x:row r="365" ht="72" customHeight="1">
      <x:c r="A365" s="113" t="str">
        <x:v>T-181</x:v>
      </x:c>
      <x:c r="B365" s="113" t="str">
        <x:v>Must Precede (IDs only)</x:v>
      </x:c>
      <x:c r="C365" s="113" t="str">
        <x:v>T-138; T-223; T-228</x:v>
      </x:c>
      <x:c r="D365" s="113" t="str">
        <x:v>T-223; T-228; T-138</x:v>
      </x:c>
      <x:c r="E365" s="113" t="str">
        <x:v>Derived reverse dependency, not second authority</x:v>
      </x:c>
      <x:c r="F365"/>
      <x:c r="G365"/>
      <x:c r="H365"/>
      <x:c r="I365"/>
      <x:c r="J365"/>
      <x:c r="K365"/>
      <x:c r="L365"/>
    </x:row>
    <x:row r="366" ht="72" customHeight="1">
      <x:c r="A366" s="113" t="str">
        <x:v>T-211</x:v>
      </x:c>
      <x:c r="B366" s="113" t="str">
        <x:v>Must Precede (IDs only)</x:v>
      </x:c>
      <x:c r="C366" s="113" t="str">
        <x:v>T-212</x:v>
      </x:c>
      <x:c r="D366" s="113" t="str">
        <x:v>T-212; T-247</x:v>
      </x:c>
      <x:c r="E366" s="113" t="str">
        <x:v>Derived reverse dependency, not second authority</x:v>
      </x:c>
      <x:c r="F366"/>
      <x:c r="G366"/>
      <x:c r="H366"/>
      <x:c r="I366"/>
      <x:c r="J366"/>
      <x:c r="K366"/>
      <x:c r="L366"/>
    </x:row>
    <x:row r="367" ht="72" customHeight="1">
      <x:c r="A367" s="113" t="str">
        <x:v>T-214</x:v>
      </x:c>
      <x:c r="B367" s="113" t="str">
        <x:v>Must Precede (IDs only)</x:v>
      </x:c>
      <x:c r="C367" s="113" t="str">
        <x:v>T-215; T-223; T-232; T-238; T-239</x:v>
      </x:c>
      <x:c r="D367" s="113" t="str">
        <x:v>T-232; T-215; T-223; T-238; T-239; T-264</x:v>
      </x:c>
      <x:c r="E367" s="113" t="str">
        <x:v>Derived reverse dependency, not second authority</x:v>
      </x:c>
      <x:c r="F367"/>
      <x:c r="G367"/>
      <x:c r="H367"/>
      <x:c r="I367"/>
      <x:c r="J367"/>
      <x:c r="K367"/>
      <x:c r="L367"/>
    </x:row>
    <x:row r="368" ht="72" customHeight="1">
      <x:c r="A368" s="113" t="str">
        <x:v>T-219</x:v>
      </x:c>
      <x:c r="B368" s="113" t="str">
        <x:v>Must Precede (IDs only)</x:v>
      </x:c>
      <x:c r="C368" s="113" t="str">
        <x:v>T-220; T-221; T-222; T-223</x:v>
      </x:c>
      <x:c r="D368" s="113" t="str">
        <x:v>T-222; T-220; T-221; T-223</x:v>
      </x:c>
      <x:c r="E368" s="113" t="str">
        <x:v>Derived reverse dependency, not second authority</x:v>
      </x:c>
      <x:c r="F368"/>
      <x:c r="G368"/>
      <x:c r="H368"/>
      <x:c r="I368"/>
      <x:c r="J368"/>
      <x:c r="K368"/>
      <x:c r="L368"/>
    </x:row>
    <x:row r="369" ht="72" customHeight="1">
      <x:c r="A369" s="113" t="str">
        <x:v>T-220</x:v>
      </x:c>
      <x:c r="B369" s="113" t="str">
        <x:v>Must Precede (IDs only)</x:v>
      </x:c>
      <x:c r="C369" s="113" t="str">
        <x:v>T-221; T-222; T-223</x:v>
      </x:c>
      <x:c r="D369" s="113" t="str">
        <x:v>T-222; T-221; T-223</x:v>
      </x:c>
      <x:c r="E369" s="113" t="str">
        <x:v>Derived reverse dependency, not second authority</x:v>
      </x:c>
      <x:c r="F369"/>
      <x:c r="G369"/>
      <x:c r="H369"/>
      <x:c r="I369"/>
      <x:c r="J369"/>
      <x:c r="K369"/>
      <x:c r="L369"/>
    </x:row>
    <x:row r="370" ht="72" customHeight="1">
      <x:c r="A370" s="113" t="str">
        <x:v>T-223</x:v>
      </x:c>
      <x:c r="B370" s="113" t="str">
        <x:v>Must Precede (IDs only)</x:v>
      </x:c>
      <x:c r="C370" s="113"/>
      <x:c r="D370" s="113" t="str">
        <x:v>T-150</x:v>
      </x:c>
      <x:c r="E370" s="113" t="str">
        <x:v>Derived reverse dependency, not second authority</x:v>
      </x:c>
      <x:c r="F370"/>
      <x:c r="G370"/>
      <x:c r="H370"/>
      <x:c r="I370"/>
      <x:c r="J370"/>
      <x:c r="K370"/>
      <x:c r="L370"/>
    </x:row>
    <x:row r="371" ht="72" customHeight="1">
      <x:c r="A371" s="113" t="str">
        <x:v>T-112</x:v>
      </x:c>
      <x:c r="B371" s="113" t="str">
        <x:v>Must Precede (IDs only)</x:v>
      </x:c>
      <x:c r="C371" s="113" t="str">
        <x:v>T-122; T-128; T-129; T-130; T-135; T-183; T-184; T-185; T-187; T-195; T-198; T-221; T-230</x:v>
      </x:c>
      <x:c r="D371" s="113" t="str">
        <x:v>T-221; T-122; T-198; T-230; T-128; T-129; T-130; T-135; T-183; T-184; T-185; T-187; T-195</x:v>
      </x:c>
      <x:c r="E371" s="113" t="str">
        <x:v>Derived reverse dependency, not second authority</x:v>
      </x:c>
      <x:c r="F371"/>
      <x:c r="G371"/>
      <x:c r="H371"/>
      <x:c r="I371"/>
      <x:c r="J371"/>
      <x:c r="K371"/>
      <x:c r="L371"/>
    </x:row>
    <x:row r="372" ht="72" customHeight="1">
      <x:c r="A372" s="113" t="str">
        <x:v>T-114</x:v>
      </x:c>
      <x:c r="B372" s="113" t="str">
        <x:v>Must Precede (IDs only)</x:v>
      </x:c>
      <x:c r="C372" s="113" t="str">
        <x:v>T-122; T-128; T-129; T-130; T-135; T-183; T-184; T-185; T-187; T-195; T-198; T-221; T-230</x:v>
      </x:c>
      <x:c r="D372" s="113" t="str">
        <x:v>T-221; T-122; T-198; T-230; T-128; T-129; T-130; T-135; T-183; T-184; T-185; T-187; T-195</x:v>
      </x:c>
      <x:c r="E372" s="113" t="str">
        <x:v>Derived reverse dependency, not second authority</x:v>
      </x:c>
      <x:c r="F372"/>
      <x:c r="G372"/>
      <x:c r="H372"/>
      <x:c r="I372"/>
      <x:c r="J372"/>
      <x:c r="K372"/>
      <x:c r="L372"/>
    </x:row>
    <x:row r="373" ht="72" customHeight="1">
      <x:c r="A373" s="113" t="str">
        <x:v>T-115</x:v>
      </x:c>
      <x:c r="B373" s="113" t="str">
        <x:v>Must Precede (IDs only)</x:v>
      </x:c>
      <x:c r="C373" s="113"/>
      <x:c r="D373" s="113" t="str">
        <x:v>T-150</x:v>
      </x:c>
      <x:c r="E373" s="113" t="str">
        <x:v>Derived reverse dependency, not second authority</x:v>
      </x:c>
      <x:c r="F373"/>
      <x:c r="G373"/>
      <x:c r="H373"/>
      <x:c r="I373"/>
      <x:c r="J373"/>
      <x:c r="K373"/>
      <x:c r="L373"/>
    </x:row>
    <x:row r="374" ht="72" customHeight="1">
      <x:c r="A374" s="113" t="str">
        <x:v>T-123</x:v>
      </x:c>
      <x:c r="B374" s="113" t="str">
        <x:v>Must Precede (IDs only)</x:v>
      </x:c>
      <x:c r="C374" s="113"/>
      <x:c r="D374" s="113" t="str">
        <x:v>T-150; T-122</x:v>
      </x:c>
      <x:c r="E374" s="113" t="str">
        <x:v>Derived reverse dependency, not second authority</x:v>
      </x:c>
      <x:c r="F374"/>
      <x:c r="G374"/>
      <x:c r="H374"/>
      <x:c r="I374"/>
      <x:c r="J374"/>
      <x:c r="K374"/>
      <x:c r="L374"/>
    </x:row>
    <x:row r="375" ht="72" customHeight="1">
      <x:c r="A375" s="113" t="str">
        <x:v>T-124</x:v>
      </x:c>
      <x:c r="B375" s="113" t="str">
        <x:v>Must Precede (IDs only)</x:v>
      </x:c>
      <x:c r="C375" s="113" t="str">
        <x:v>T-199</x:v>
      </x:c>
      <x:c r="D375" s="113" t="str">
        <x:v>T-150; T-199</x:v>
      </x:c>
      <x:c r="E375" s="113" t="str">
        <x:v>Derived reverse dependency, not second authority</x:v>
      </x:c>
      <x:c r="F375"/>
      <x:c r="G375"/>
      <x:c r="H375"/>
      <x:c r="I375"/>
      <x:c r="J375"/>
      <x:c r="K375"/>
      <x:c r="L375"/>
    </x:row>
    <x:row r="376" ht="72" customHeight="1">
      <x:c r="A376" s="113" t="str">
        <x:v>T-125</x:v>
      </x:c>
      <x:c r="B376" s="113" t="str">
        <x:v>Must Precede (IDs only)</x:v>
      </x:c>
      <x:c r="C376" s="113"/>
      <x:c r="D376" s="113" t="str">
        <x:v>T-150</x:v>
      </x:c>
      <x:c r="E376" s="113" t="str">
        <x:v>Derived reverse dependency, not second authority</x:v>
      </x:c>
      <x:c r="F376"/>
      <x:c r="G376"/>
      <x:c r="H376"/>
      <x:c r="I376"/>
      <x:c r="J376"/>
      <x:c r="K376"/>
      <x:c r="L376"/>
    </x:row>
    <x:row r="377" ht="72" customHeight="1">
      <x:c r="A377" s="113" t="str">
        <x:v>T-126</x:v>
      </x:c>
      <x:c r="B377" s="113" t="str">
        <x:v>Must Precede (IDs only)</x:v>
      </x:c>
      <x:c r="C377" s="113"/>
      <x:c r="D377" s="113" t="str">
        <x:v>T-150</x:v>
      </x:c>
      <x:c r="E377" s="113" t="str">
        <x:v>Derived reverse dependency, not second authority</x:v>
      </x:c>
      <x:c r="F377"/>
      <x:c r="G377"/>
      <x:c r="H377"/>
      <x:c r="I377"/>
      <x:c r="J377"/>
      <x:c r="K377"/>
      <x:c r="L377"/>
    </x:row>
    <x:row r="378" ht="72" customHeight="1">
      <x:c r="A378" s="113" t="str">
        <x:v>T-153</x:v>
      </x:c>
      <x:c r="B378" s="113" t="str">
        <x:v>Must Precede (IDs only)</x:v>
      </x:c>
      <x:c r="C378" s="113"/>
      <x:c r="D378" s="113" t="str">
        <x:v>T-249</x:v>
      </x:c>
      <x:c r="E378" s="113" t="str">
        <x:v>Derived reverse dependency, not second authority</x:v>
      </x:c>
      <x:c r="F378"/>
      <x:c r="G378"/>
      <x:c r="H378"/>
      <x:c r="I378"/>
      <x:c r="J378"/>
      <x:c r="K378"/>
      <x:c r="L378"/>
    </x:row>
    <x:row r="379" ht="72" customHeight="1">
      <x:c r="A379" s="113" t="str">
        <x:v>T-159</x:v>
      </x:c>
      <x:c r="B379" s="113" t="str">
        <x:v>Must Precede (IDs only)</x:v>
      </x:c>
      <x:c r="C379" s="113"/>
      <x:c r="D379" s="113" t="str">
        <x:v>T-249</x:v>
      </x:c>
      <x:c r="E379" s="113" t="str">
        <x:v>Derived reverse dependency, not second authority</x:v>
      </x:c>
      <x:c r="F379"/>
      <x:c r="G379"/>
      <x:c r="H379"/>
      <x:c r="I379"/>
      <x:c r="J379"/>
      <x:c r="K379"/>
      <x:c r="L379"/>
    </x:row>
    <x:row r="380" ht="72" customHeight="1">
      <x:c r="A380" s="113" t="str">
        <x:v>T-160</x:v>
      </x:c>
      <x:c r="B380" s="113" t="str">
        <x:v>Must Precede (IDs only)</x:v>
      </x:c>
      <x:c r="C380" s="113"/>
      <x:c r="D380" s="113" t="str">
        <x:v>T-249</x:v>
      </x:c>
      <x:c r="E380" s="113" t="str">
        <x:v>Derived reverse dependency, not second authority</x:v>
      </x:c>
      <x:c r="F380"/>
      <x:c r="G380"/>
      <x:c r="H380"/>
      <x:c r="I380"/>
      <x:c r="J380"/>
      <x:c r="K380"/>
      <x:c r="L380"/>
    </x:row>
    <x:row r="381" ht="72" customHeight="1">
      <x:c r="A381" s="113" t="str">
        <x:v>T-163</x:v>
      </x:c>
      <x:c r="B381" s="113" t="str">
        <x:v>Must Precede (IDs only)</x:v>
      </x:c>
      <x:c r="C381" s="113"/>
      <x:c r="D381" s="113" t="str">
        <x:v>T-249</x:v>
      </x:c>
      <x:c r="E381" s="113" t="str">
        <x:v>Derived reverse dependency, not second authority</x:v>
      </x:c>
      <x:c r="F381"/>
      <x:c r="G381"/>
      <x:c r="H381"/>
      <x:c r="I381"/>
      <x:c r="J381"/>
      <x:c r="K381"/>
      <x:c r="L381"/>
    </x:row>
    <x:row r="382" ht="72" customHeight="1">
      <x:c r="A382" s="113" t="str">
        <x:v>T-161</x:v>
      </x:c>
      <x:c r="B382" s="113" t="str">
        <x:v>Must Precede (IDs only)</x:v>
      </x:c>
      <x:c r="C382" s="113"/>
      <x:c r="D382" s="113" t="str">
        <x:v>T-249</x:v>
      </x:c>
      <x:c r="E382" s="113" t="str">
        <x:v>Derived reverse dependency, not second authority</x:v>
      </x:c>
      <x:c r="F382"/>
      <x:c r="G382"/>
      <x:c r="H382"/>
      <x:c r="I382"/>
      <x:c r="J382"/>
      <x:c r="K382"/>
      <x:c r="L382"/>
    </x:row>
    <x:row r="383" ht="72" customHeight="1">
      <x:c r="A383" s="113" t="str">
        <x:v>T-162</x:v>
      </x:c>
      <x:c r="B383" s="113" t="str">
        <x:v>Must Precede (IDs only)</x:v>
      </x:c>
      <x:c r="C383" s="113"/>
      <x:c r="D383" s="113" t="str">
        <x:v>T-249</x:v>
      </x:c>
      <x:c r="E383" s="113" t="str">
        <x:v>Derived reverse dependency, not second authority</x:v>
      </x:c>
      <x:c r="F383"/>
      <x:c r="G383"/>
      <x:c r="H383"/>
      <x:c r="I383"/>
      <x:c r="J383"/>
      <x:c r="K383"/>
      <x:c r="L383"/>
    </x:row>
    <x:row r="384" ht="72" customHeight="1">
      <x:c r="A384" s="113" t="str">
        <x:v>T-194</x:v>
      </x:c>
      <x:c r="B384" s="113" t="str">
        <x:v>Must Precede (IDs only)</x:v>
      </x:c>
      <x:c r="C384" s="113" t="str">
        <x:v>T-150</x:v>
      </x:c>
      <x:c r="D384" s="113"/>
      <x:c r="E384" s="113" t="str">
        <x:v>Derived reverse dependency, not second authority</x:v>
      </x:c>
      <x:c r="F384"/>
      <x:c r="G384"/>
      <x:c r="H384"/>
      <x:c r="I384"/>
      <x:c r="J384"/>
      <x:c r="K384"/>
      <x:c r="L384"/>
    </x:row>
    <x:row r="385" ht="72" customHeight="1">
      <x:c r="A385" s="113" t="str">
        <x:v>T-196</x:v>
      </x:c>
      <x:c r="B385" s="113" t="str">
        <x:v>Must Precede (IDs only)</x:v>
      </x:c>
      <x:c r="C385" s="113" t="str">
        <x:v>T-127; T-148</x:v>
      </x:c>
      <x:c r="D385" s="113" t="str">
        <x:v>T-148; T-127</x:v>
      </x:c>
      <x:c r="E385" s="113" t="str">
        <x:v>Derived reverse dependency, not second authority</x:v>
      </x:c>
      <x:c r="F385"/>
      <x:c r="G385"/>
      <x:c r="H385"/>
      <x:c r="I385"/>
      <x:c r="J385"/>
      <x:c r="K385"/>
      <x:c r="L385"/>
    </x:row>
    <x:row r="386" ht="72" customHeight="1">
      <x:c r="A386" s="113" t="str">
        <x:v>T-197</x:v>
      </x:c>
      <x:c r="B386" s="113" t="str">
        <x:v>Must Precede (IDs only)</x:v>
      </x:c>
      <x:c r="C386" s="113" t="str">
        <x:v>T-127; T-148</x:v>
      </x:c>
      <x:c r="D386" s="113" t="str">
        <x:v>T-148; T-127</x:v>
      </x:c>
      <x:c r="E386" s="113" t="str">
        <x:v>Derived reverse dependency, not second authority</x:v>
      </x:c>
      <x:c r="F386"/>
      <x:c r="G386"/>
      <x:c r="H386"/>
      <x:c r="I386"/>
      <x:c r="J386"/>
      <x:c r="K386"/>
      <x:c r="L386"/>
    </x:row>
    <x:row r="387" ht="72" customHeight="1">
      <x:c r="A387" s="113" t="str">
        <x:v>T-198</x:v>
      </x:c>
      <x:c r="B387" s="113" t="str">
        <x:v>Must Precede (IDs only)</x:v>
      </x:c>
      <x:c r="C387" s="113" t="str">
        <x:v>T-127; T-148; T-197; T-199</x:v>
      </x:c>
      <x:c r="D387" s="113" t="str">
        <x:v>T-148; T-127; T-197; T-199</x:v>
      </x:c>
      <x:c r="E387" s="113" t="str">
        <x:v>Derived reverse dependency, not second authority</x:v>
      </x:c>
      <x:c r="F387"/>
      <x:c r="G387"/>
      <x:c r="H387"/>
      <x:c r="I387"/>
      <x:c r="J387"/>
      <x:c r="K387"/>
      <x:c r="L387"/>
    </x:row>
    <x:row r="388" ht="72" customHeight="1">
      <x:c r="A388" s="113" t="str">
        <x:v>T-199</x:v>
      </x:c>
      <x:c r="B388" s="113" t="str">
        <x:v>Must Precede (IDs only)</x:v>
      </x:c>
      <x:c r="C388" s="113" t="str">
        <x:v>T-127; T-148</x:v>
      </x:c>
      <x:c r="D388" s="113" t="str">
        <x:v>T-148; T-127</x:v>
      </x:c>
      <x:c r="E388" s="113" t="str">
        <x:v>Derived reverse dependency, not second authority</x:v>
      </x:c>
      <x:c r="F388"/>
      <x:c r="G388"/>
      <x:c r="H388"/>
      <x:c r="I388"/>
      <x:c r="J388"/>
      <x:c r="K388"/>
      <x:c r="L388"/>
    </x:row>
    <x:row r="389" ht="72" customHeight="1">
      <x:c r="A389" s="113" t="str">
        <x:v>T-200</x:v>
      </x:c>
      <x:c r="B389" s="113" t="str">
        <x:v>Must Precede (IDs only)</x:v>
      </x:c>
      <x:c r="C389" s="113" t="str">
        <x:v>T-127; T-148</x:v>
      </x:c>
      <x:c r="D389" s="113" t="str">
        <x:v>T-148; T-127</x:v>
      </x:c>
      <x:c r="E389" s="113" t="str">
        <x:v>Derived reverse dependency, not second authority</x:v>
      </x:c>
      <x:c r="F389"/>
      <x:c r="G389"/>
      <x:c r="H389"/>
      <x:c r="I389"/>
      <x:c r="J389"/>
      <x:c r="K389"/>
      <x:c r="L389"/>
    </x:row>
    <x:row r="390" ht="72" customHeight="1">
      <x:c r="A390" s="113" t="str">
        <x:v>T-228</x:v>
      </x:c>
      <x:c r="B390" s="113" t="str">
        <x:v>Must Precede (IDs only)</x:v>
      </x:c>
      <x:c r="C390" s="113" t="str">
        <x:v>T-229</x:v>
      </x:c>
      <x:c r="D390" s="113" t="str">
        <x:v>T-229; T-248</x:v>
      </x:c>
      <x:c r="E390" s="113" t="str">
        <x:v>Derived reverse dependency, not second authority</x:v>
      </x:c>
      <x:c r="F390"/>
      <x:c r="G390"/>
      <x:c r="H390"/>
      <x:c r="I390"/>
      <x:c r="J390"/>
      <x:c r="K390"/>
      <x:c r="L390"/>
    </x:row>
    <x:row r="391" ht="72" customHeight="1">
      <x:c r="A391" s="113" t="str">
        <x:v>T-230</x:v>
      </x:c>
      <x:c r="B391" s="113" t="str">
        <x:v>Must Precede (IDs only)</x:v>
      </x:c>
      <x:c r="C391" s="113"/>
      <x:c r="D391" s="113" t="str">
        <x:v>T-249</x:v>
      </x:c>
      <x:c r="E391" s="113" t="str">
        <x:v>Derived reverse dependency, not second authority</x:v>
      </x:c>
      <x:c r="F391"/>
      <x:c r="G391"/>
      <x:c r="H391"/>
      <x:c r="I391"/>
      <x:c r="J391"/>
      <x:c r="K391"/>
      <x:c r="L391"/>
    </x:row>
    <x:row r="392" ht="72" customHeight="1">
      <x:c r="A392" s="113" t="str">
        <x:v>T-248</x:v>
      </x:c>
      <x:c r="B392" s="113" t="str">
        <x:v>Must Precede (IDs only)</x:v>
      </x:c>
      <x:c r="C392" s="113" t="str">
        <x:v>T-249</x:v>
      </x:c>
      <x:c r="D392" s="113" t="str">
        <x:v>T-249; T-263</x:v>
      </x:c>
      <x:c r="E392" s="113" t="str">
        <x:v>Derived reverse dependency, not second authority</x:v>
      </x:c>
      <x:c r="F392"/>
      <x:c r="G392"/>
      <x:c r="H392"/>
      <x:c r="I392"/>
      <x:c r="J392"/>
      <x:c r="K392"/>
      <x:c r="L392"/>
    </x:row>
    <x:row r="393" ht="72" customHeight="1">
      <x:c r="A393" s="113" t="str">
        <x:v>T-130</x:v>
      </x:c>
      <x:c r="B393" s="113" t="str">
        <x:v>Must Precede (IDs only)</x:v>
      </x:c>
      <x:c r="C393" s="113" t="str">
        <x:v>T-134; T-135; T-139; T-188; T-191; T-193; T-246</x:v>
      </x:c>
      <x:c r="D393" s="113" t="str">
        <x:v>T-246; T-134; T-135; T-139; T-188; T-191; T-193</x:v>
      </x:c>
      <x:c r="E393" s="113" t="str">
        <x:v>Derived reverse dependency, not second authority</x:v>
      </x:c>
      <x:c r="F393"/>
      <x:c r="G393"/>
      <x:c r="H393"/>
      <x:c r="I393"/>
      <x:c r="J393"/>
      <x:c r="K393"/>
      <x:c r="L393"/>
    </x:row>
    <x:row r="394" ht="72" customHeight="1">
      <x:c r="A394" s="113" t="str">
        <x:v>T-134</x:v>
      </x:c>
      <x:c r="B394" s="113" t="str">
        <x:v>Must Precede (IDs only)</x:v>
      </x:c>
      <x:c r="C394" s="113" t="str">
        <x:v>T-138; T-228; T-229</x:v>
      </x:c>
      <x:c r="D394" s="113" t="str">
        <x:v>T-228; T-229; T-138</x:v>
      </x:c>
      <x:c r="E394" s="113" t="str">
        <x:v>Derived reverse dependency, not second authority</x:v>
      </x:c>
      <x:c r="F394"/>
      <x:c r="G394"/>
      <x:c r="H394"/>
      <x:c r="I394"/>
      <x:c r="J394"/>
      <x:c r="K394"/>
      <x:c r="L394"/>
    </x:row>
    <x:row r="395" ht="72" customHeight="1">
      <x:c r="A395" s="113" t="str">
        <x:v>T-164</x:v>
      </x:c>
      <x:c r="B395" s="113" t="str">
        <x:v>Must Precede (IDs only)</x:v>
      </x:c>
      <x:c r="C395" s="113"/>
      <x:c r="D395" s="113" t="str">
        <x:v>T-249</x:v>
      </x:c>
      <x:c r="E395" s="113" t="str">
        <x:v>Derived reverse dependency, not second authority</x:v>
      </x:c>
      <x:c r="F395"/>
      <x:c r="G395"/>
      <x:c r="H395"/>
      <x:c r="I395"/>
      <x:c r="J395"/>
      <x:c r="K395"/>
      <x:c r="L395"/>
    </x:row>
    <x:row r="396" ht="72" customHeight="1">
      <x:c r="A396" s="113" t="str">
        <x:v>T-187</x:v>
      </x:c>
      <x:c r="B396" s="113" t="str">
        <x:v>Must Precede (IDs only)</x:v>
      </x:c>
      <x:c r="C396" s="113" t="str">
        <x:v>T-139; T-141; T-191; T-192; T-193</x:v>
      </x:c>
      <x:c r="D396" s="113" t="str">
        <x:v>T-246; T-139; T-141; T-191; T-192; T-193</x:v>
      </x:c>
      <x:c r="E396" s="113" t="str">
        <x:v>Derived reverse dependency, not second authority</x:v>
      </x:c>
      <x:c r="F396"/>
      <x:c r="G396"/>
      <x:c r="H396"/>
      <x:c r="I396"/>
      <x:c r="J396"/>
      <x:c r="K396"/>
      <x:c r="L396"/>
    </x:row>
    <x:row r="397" ht="72" customHeight="1">
      <x:c r="A397" s="113" t="str">
        <x:v>T-192</x:v>
      </x:c>
      <x:c r="B397" s="113" t="str">
        <x:v>Must Precede (IDs only)</x:v>
      </x:c>
      <x:c r="C397" s="113" t="str">
        <x:v>T-150</x:v>
      </x:c>
      <x:c r="D397" s="113"/>
      <x:c r="E397" s="113" t="str">
        <x:v>Derived reverse dependency, not second authority</x:v>
      </x:c>
      <x:c r="F397"/>
      <x:c r="G397"/>
      <x:c r="H397"/>
      <x:c r="I397"/>
      <x:c r="J397"/>
      <x:c r="K397"/>
      <x:c r="L397"/>
    </x:row>
    <x:row r="398" ht="72" customHeight="1">
      <x:c r="A398" s="113" t="str">
        <x:v>T-193</x:v>
      </x:c>
      <x:c r="B398" s="113" t="str">
        <x:v>Must Precede (IDs only)</x:v>
      </x:c>
      <x:c r="C398" s="113"/>
      <x:c r="D398" s="113" t="str">
        <x:v>T-249</x:v>
      </x:c>
      <x:c r="E398" s="113" t="str">
        <x:v>Derived reverse dependency, not second authority</x:v>
      </x:c>
      <x:c r="F398"/>
      <x:c r="G398"/>
      <x:c r="H398"/>
      <x:c r="I398"/>
      <x:c r="J398"/>
      <x:c r="K398"/>
      <x:c r="L398"/>
    </x:row>
    <x:row r="399" ht="72" customHeight="1">
      <x:c r="A399" s="113" t="str">
        <x:v>T-195</x:v>
      </x:c>
      <x:c r="B399" s="113" t="str">
        <x:v>Must Precede (IDs only)</x:v>
      </x:c>
      <x:c r="C399" s="113" t="str">
        <x:v>T-066; T-186; T-187; T-188</x:v>
      </x:c>
      <x:c r="D399" s="113" t="str">
        <x:v>T-186; T-187; T-188</x:v>
      </x:c>
      <x:c r="E399" s="113" t="str">
        <x:v>Derived reverse dependency, not second authority</x:v>
      </x:c>
      <x:c r="F399"/>
      <x:c r="G399"/>
      <x:c r="H399"/>
      <x:c r="I399"/>
      <x:c r="J399"/>
      <x:c r="K399"/>
      <x:c r="L399"/>
    </x:row>
    <x:row r="400" ht="72" customHeight="1">
      <x:c r="A400" s="113" t="str">
        <x:v>T-240</x:v>
      </x:c>
      <x:c r="B400" s="113" t="str">
        <x:v>Must Precede (IDs only)</x:v>
      </x:c>
      <x:c r="C400" s="113"/>
      <x:c r="D400" s="113" t="str">
        <x:v>T-249; T-264</x:v>
      </x:c>
      <x:c r="E400" s="113" t="str">
        <x:v>Derived reverse dependency, not second authority</x:v>
      </x:c>
      <x:c r="F400"/>
      <x:c r="G400"/>
      <x:c r="H400"/>
      <x:c r="I400"/>
      <x:c r="J400"/>
      <x:c r="K400"/>
      <x:c r="L400"/>
    </x:row>
    <x:row r="401" ht="72" customHeight="1">
      <x:c r="A401" s="113" t="str">
        <x:v>T-167</x:v>
      </x:c>
      <x:c r="B401" s="113" t="str">
        <x:v>Must Precede (IDs only)</x:v>
      </x:c>
      <x:c r="C401" s="113"/>
      <x:c r="D401" s="113" t="str">
        <x:v>T-249</x:v>
      </x:c>
      <x:c r="E401" s="113" t="str">
        <x:v>Derived reverse dependency, not second authority</x:v>
      </x:c>
      <x:c r="F401"/>
      <x:c r="G401"/>
      <x:c r="H401"/>
      <x:c r="I401"/>
      <x:c r="J401"/>
      <x:c r="K401"/>
      <x:c r="L401"/>
    </x:row>
    <x:row r="402" ht="72" customHeight="1">
      <x:c r="A402" s="113" t="str">
        <x:v>T-250</x:v>
      </x:c>
      <x:c r="B402" s="113" t="str">
        <x:v>Must Precede (IDs only)</x:v>
      </x:c>
      <x:c r="C402" s="113" t="str">
        <x:v>T-150</x:v>
      </x:c>
      <x:c r="D402" s="113" t="str">
        <x:v>T-258; T-150; T-255; T-257</x:v>
      </x:c>
      <x:c r="E402" s="113" t="str">
        <x:v>Derived reverse dependency, not second authority</x:v>
      </x:c>
      <x:c r="F402"/>
      <x:c r="G402"/>
      <x:c r="H402"/>
      <x:c r="I402"/>
      <x:c r="J402"/>
      <x:c r="K402"/>
      <x:c r="L402"/>
    </x:row>
    <x:row r="403" ht="72" customHeight="1">
      <x:c r="A403" s="113" t="str">
        <x:v>T-251</x:v>
      </x:c>
      <x:c r="B403" s="113" t="str">
        <x:v>Must Precede (IDs only)</x:v>
      </x:c>
      <x:c r="C403" s="113" t="str">
        <x:v>T-115; T-123; T-150</x:v>
      </x:c>
      <x:c r="D403" s="113" t="str">
        <x:v>T-112; T-150; T-259; T-252; T-256</x:v>
      </x:c>
      <x:c r="E403" s="113" t="str">
        <x:v>Derived reverse dependency, not second authority</x:v>
      </x:c>
      <x:c r="F403"/>
      <x:c r="G403"/>
      <x:c r="H403"/>
      <x:c r="I403"/>
      <x:c r="J403"/>
      <x:c r="K403"/>
      <x:c r="L403"/>
    </x:row>
    <x:row r="404" ht="72" customHeight="1">
      <x:c r="A404" s="113" t="str">
        <x:v>T-260</x:v>
      </x:c>
      <x:c r="B404" s="113" t="str">
        <x:v>Must Precede (IDs only)</x:v>
      </x:c>
      <x:c r="C404" s="113" t="str">
        <x:v>T-251; T-259</x:v>
      </x:c>
      <x:c r="D404" s="113" t="str">
        <x:v>T-251</x:v>
      </x:c>
      <x:c r="E404" s="113" t="str">
        <x:v>Derived reverse dependency, not second authority</x:v>
      </x:c>
      <x:c r="F404"/>
      <x:c r="G404"/>
      <x:c r="H404"/>
      <x:c r="I404"/>
      <x:c r="J404"/>
      <x:c r="K404"/>
      <x:c r="L404"/>
    </x:row>
    <x:row r="405" ht="72" customHeight="1">
      <x:c r="A405" s="113" t="str">
        <x:v>T-259</x:v>
      </x:c>
      <x:c r="B405" s="113" t="str">
        <x:v>Must Precede (IDs only)</x:v>
      </x:c>
      <x:c r="C405" s="113" t="str">
        <x:v>T-252; T-257; T-227; T-150</x:v>
      </x:c>
      <x:c r="D405" s="113" t="str">
        <x:v>T-150; T-227; T-252; T-257</x:v>
      </x:c>
      <x:c r="E405" s="113" t="str">
        <x:v>Derived reverse dependency, not second authority</x:v>
      </x:c>
      <x:c r="F405"/>
      <x:c r="G405"/>
      <x:c r="H405"/>
      <x:c r="I405"/>
      <x:c r="J405"/>
      <x:c r="K405"/>
      <x:c r="L405"/>
    </x:row>
    <x:row r="406" ht="72" customHeight="1">
      <x:c r="A406" s="113" t="str">
        <x:v>T-252</x:v>
      </x:c>
      <x:c r="B406" s="113" t="str">
        <x:v>Must Precede (IDs only)</x:v>
      </x:c>
      <x:c r="C406" s="113" t="str">
        <x:v>T-150; T-256</x:v>
      </x:c>
      <x:c r="D406" s="113" t="str">
        <x:v>T-106; T-112; T-150; T-256</x:v>
      </x:c>
      <x:c r="E406" s="113" t="str">
        <x:v>Derived reverse dependency, not second authority</x:v>
      </x:c>
      <x:c r="F406"/>
      <x:c r="G406"/>
      <x:c r="H406"/>
      <x:c r="I406"/>
      <x:c r="J406"/>
      <x:c r="K406"/>
      <x:c r="L406"/>
    </x:row>
    <x:row r="407" ht="72" customHeight="1">
      <x:c r="A407" s="113" t="str">
        <x:v>T-256</x:v>
      </x:c>
      <x:c r="B407" s="113" t="str">
        <x:v>Must Precede (IDs only)</x:v>
      </x:c>
      <x:c r="C407" s="113" t="str">
        <x:v>T-247; T-150; T-116; T-258</x:v>
      </x:c>
      <x:c r="D407" s="113" t="str">
        <x:v>T-247; T-258; T-150; T-116</x:v>
      </x:c>
      <x:c r="E407" s="113" t="str">
        <x:v>Derived reverse dependency, not second authority</x:v>
      </x:c>
      <x:c r="F407"/>
      <x:c r="G407"/>
      <x:c r="H407"/>
      <x:c r="I407"/>
      <x:c r="J407"/>
      <x:c r="K407"/>
      <x:c r="L407"/>
    </x:row>
    <x:row r="408" ht="72" customHeight="1">
      <x:c r="A408" s="113" t="str">
        <x:v>T-255</x:v>
      </x:c>
      <x:c r="B408" s="113" t="str">
        <x:v>Must Precede (IDs only)</x:v>
      </x:c>
      <x:c r="C408" s="113" t="str">
        <x:v>T-150; T-249</x:v>
      </x:c>
      <x:c r="D408" s="113" t="str">
        <x:v>T-150</x:v>
      </x:c>
      <x:c r="E408" s="113" t="str">
        <x:v>Derived reverse dependency, not second authority</x:v>
      </x:c>
      <x:c r="F408"/>
      <x:c r="G408"/>
      <x:c r="H408"/>
      <x:c r="I408"/>
      <x:c r="J408"/>
      <x:c r="K408"/>
      <x:c r="L408"/>
    </x:row>
    <x:row r="409" ht="72" customHeight="1">
      <x:c r="A409" s="113" t="str">
        <x:v>T-261</x:v>
      </x:c>
      <x:c r="B409" s="113" t="str">
        <x:v>Must Precede (IDs only)</x:v>
      </x:c>
      <x:c r="C409" s="113" t="str">
        <x:v>T-245</x:v>
      </x:c>
      <x:c r="D409" s="113" t="str">
        <x:v>T-104; T-245</x:v>
      </x:c>
      <x:c r="E409" s="113" t="str">
        <x:v>Derived reverse dependency, not second authority</x:v>
      </x:c>
      <x:c r="F409"/>
      <x:c r="G409"/>
      <x:c r="H409"/>
      <x:c r="I409"/>
      <x:c r="J409"/>
      <x:c r="K409"/>
      <x:c r="L409"/>
    </x:row>
    <x:row r="410" ht="72" customHeight="1">
      <x:c r="A410" s="113" t="str">
        <x:v>T-262</x:v>
      </x:c>
      <x:c r="B410" s="113" t="str">
        <x:v>Must Precede (IDs only)</x:v>
      </x:c>
      <x:c r="C410" s="113"/>
      <x:c r="D410" s="113" t="str">
        <x:v>T-261</x:v>
      </x:c>
      <x:c r="E410" s="113" t="str">
        <x:v>Derived reverse dependency, not second authority</x:v>
      </x:c>
      <x:c r="F410"/>
      <x:c r="G410"/>
      <x:c r="H410"/>
      <x:c r="I410"/>
      <x:c r="J410"/>
      <x:c r="K410"/>
      <x:c r="L410"/>
    </x:row>
    <x:row r="411" ht="72" customHeight="1">
      <x:c r="A411" s="113" t="str">
        <x:v>T-263</x:v>
      </x:c>
      <x:c r="B411" s="113" t="str">
        <x:v>Must Precede (IDs only)</x:v>
      </x:c>
      <x:c r="C411" s="113"/>
      <x:c r="D411" s="113" t="str">
        <x:v>T-249</x:v>
      </x:c>
      <x:c r="E411" s="113" t="str">
        <x:v>Derived reverse dependency, not second authority</x:v>
      </x:c>
      <x:c r="F411"/>
      <x:c r="G411"/>
      <x:c r="H411"/>
      <x:c r="I411"/>
      <x:c r="J411"/>
      <x:c r="K411"/>
      <x:c r="L411"/>
    </x:row>
    <x:row r="412" ht="72" customHeight="1">
      <x:c r="A412" s="113" t="str">
        <x:v>T-264</x:v>
      </x:c>
      <x:c r="B412" s="113" t="str">
        <x:v>Must Precede (IDs only)</x:v>
      </x:c>
      <x:c r="C412" s="113"/>
      <x:c r="D412" s="113" t="str">
        <x:v>T-249</x:v>
      </x:c>
      <x:c r="E412" s="113" t="str">
        <x:v>Derived reverse dependency, not second authority</x:v>
      </x:c>
      <x:c r="F412"/>
      <x:c r="G412"/>
      <x:c r="H412"/>
      <x:c r="I412"/>
      <x:c r="J412"/>
      <x:c r="K412"/>
      <x:c r="L412"/>
    </x:row>
    <x:row r="413" ht="110" customHeight="1">
      <x:c r="A413" s="101" t="str">
        <x:v>T-148</x:v>
      </x:c>
      <x:c r="B413" s="101" t="str">
        <x:v>Completion vs contract dependency</x:v>
      </x:c>
      <x:c r="C413" s="101" t="str">
        <x:v>T-196; T-197; T-198; T-199; T-200</x:v>
      </x:c>
      <x:c r="D413" s="101" t="str">
        <x:v>T-196; T-197; T-198; T-199; T-200 (contract-ready only)</x:v>
      </x:c>
      <x:c r="E413" s="101" t="str">
        <x:v>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ht="26" customHeight="1">
      <x:c r="A1" s="235" t="str">
        <x:v>Phase × Worker — v2.23.0 | blanks are unknown effort, never zero</x:v>
      </x:c>
      <x:c r="B1" s="235"/>
      <x:c r="C1" s="235"/>
      <x:c r="D1" s="235"/>
      <x:c r="E1" s="235"/>
      <x:c r="F1" s="235"/>
      <x:c r="G1" s="235"/>
      <x:c r="H1" s="235"/>
      <x:c r="I1" s="235"/>
      <x:c r="J1" s="235"/>
      <x:c r="K1" s="233"/>
      <x:c r="L1" s="233"/>
      <x:c r="M1" s="233"/>
      <x:c r="N1" s="233"/>
    </x:row>
    <x:row r="2" ht="36" customHeight="1">
      <x:c r="A2" s="208" t="str">
        <x:v>Release</x:v>
      </x:c>
      <x:c r="B2" s="208" t="str">
        <x:v>Phase</x:v>
      </x:c>
      <x:c r="C2" s="208" t="str">
        <x:v>Worker</x:v>
      </x:c>
      <x:c r="D2" s="208" t="str">
        <x:v>Active tasks</x:v>
      </x:c>
      <x:c r="E2" s="208" t="str">
        <x:v>Done tasks</x:v>
      </x:c>
      <x:c r="F2" s="208" t="str">
        <x:v>Open tasks</x:v>
      </x:c>
      <x:c r="G2" s="208" t="str">
        <x:v>Known scope h</x:v>
      </x:c>
      <x:c r="H2" s="208" t="str">
        <x:v>Known done h</x:v>
      </x:c>
      <x:c r="I2" s="208" t="str">
        <x:v>Known open h</x:v>
      </x:c>
      <x:c r="J2" s="208" t="str">
        <x:v>Unestimated rows</x:v>
      </x:c>
      <x:c r="K2"/>
      <x:c r="L2"/>
    </x:row>
    <x:row r="3" ht="26" customHeight="1">
      <x:c r="A3" s="206" t="str">
        <x:v>M2</x:v>
      </x:c>
      <x:c r="B3" s="206" t="str">
        <x:v>P1</x:v>
      </x:c>
      <x:c r="C3" s="206" t="str">
        <x:v>Worker 1</x:v>
      </x:c>
      <x:c r="D3" s="206" t="n">
        <x:f>COUNTIFS(Backlog!$B$2:$B$180,A3,Backlog!$C$2:$C$180,B3,Backlog!$L$2:$L$180,C3)</x:f>
        <x:v>17</x:v>
      </x:c>
      <x:c r="E3" s="206" t="n">
        <x:f>COUNTIFS(Backlog!$B$2:$B$180,A3,Backlog!$C$2:$C$180,B3,Backlog!$L$2:$L$180,C3,Backlog!$K$2:$K$180,"Done")</x:f>
        <x:v>17</x:v>
      </x:c>
      <x:c r="F3" s="206" t="n">
        <x:f>D3-E3</x:f>
        <x:v>0</x:v>
      </x:c>
      <x:c r="G3" s="206" t="n">
        <x:f>SUMIFS(Backlog!$J$2:$J$180,Backlog!$B$2:$B$180,A3,Backlog!$C$2:$C$180,B3,Backlog!$L$2:$L$180,C3)</x:f>
        <x:v>172</x:v>
      </x:c>
      <x:c r="H3" s="206" t="n">
        <x:f>SUMIFS(Backlog!$J$2:$J$180,Backlog!$B$2:$B$180,A3,Backlog!$C$2:$C$180,B3,Backlog!$L$2:$L$180,C3,Backlog!$K$2:$K$180,"Done")</x:f>
        <x:v>172</x:v>
      </x:c>
      <x:c r="I3" s="206" t="n">
        <x:f>G3-H3</x:f>
        <x:v>0</x:v>
      </x:c>
      <x:c r="J3" s="206" t="n">
        <x:f>COUNTIFS(Backlog!$B$2:$B$180,A3,Backlog!$C$2:$C$180,B3,Backlog!$L$2:$L$180,C3,Backlog!$AM$2:$AM$180,0)</x:f>
        <x:v>0</x:v>
      </x:c>
      <x:c r="K3"/>
      <x:c r="L3"/>
    </x:row>
    <x:row r="4" ht="26" customHeight="1">
      <x:c r="A4" s="206" t="str">
        <x:v>M2</x:v>
      </x:c>
      <x:c r="B4" s="206" t="str">
        <x:v>P1</x:v>
      </x:c>
      <x:c r="C4" s="206" t="str">
        <x:v>Worker 2</x:v>
      </x:c>
      <x:c r="D4" s="206" t="n">
        <x:f>COUNTIFS(Backlog!$B$2:$B$180,A4,Backlog!$C$2:$C$180,B4,Backlog!$L$2:$L$180,C4)</x:f>
        <x:v>5</x:v>
      </x:c>
      <x:c r="E4" s="206" t="n">
        <x:f>COUNTIFS(Backlog!$B$2:$B$180,A4,Backlog!$C$2:$C$180,B4,Backlog!$L$2:$L$180,C4,Backlog!$K$2:$K$180,"Done")</x:f>
        <x:v>5</x:v>
      </x:c>
      <x:c r="F4" s="206" t="n">
        <x:f>D4-E4</x:f>
        <x:v>0</x:v>
      </x:c>
      <x:c r="G4" s="206" t="n">
        <x:f>SUMIFS(Backlog!$J$2:$J$180,Backlog!$B$2:$B$180,A4,Backlog!$C$2:$C$180,B4,Backlog!$L$2:$L$180,C4)</x:f>
        <x:v>44</x:v>
      </x:c>
      <x:c r="H4" s="206" t="n">
        <x:f>SUMIFS(Backlog!$J$2:$J$180,Backlog!$B$2:$B$180,A4,Backlog!$C$2:$C$180,B4,Backlog!$L$2:$L$180,C4,Backlog!$K$2:$K$180,"Done")</x:f>
        <x:v>44</x:v>
      </x:c>
      <x:c r="I4" s="206" t="n">
        <x:f>G4-H4</x:f>
        <x:v>0</x:v>
      </x:c>
      <x:c r="J4" s="206" t="n">
        <x:f>COUNTIFS(Backlog!$B$2:$B$180,A4,Backlog!$C$2:$C$180,B4,Backlog!$L$2:$L$180,C4,Backlog!$AM$2:$AM$180,0)</x:f>
        <x:v>0</x:v>
      </x:c>
      <x:c r="K4"/>
      <x:c r="L4"/>
    </x:row>
    <x:row r="5" ht="26" customHeight="1">
      <x:c r="A5" s="206" t="str">
        <x:v>M2</x:v>
      </x:c>
      <x:c r="B5" s="206" t="str">
        <x:v>P1</x:v>
      </x:c>
      <x:c r="C5" s="206" t="str">
        <x:v>Worker 3</x:v>
      </x:c>
      <x:c r="D5" s="206" t="n">
        <x:f>COUNTIFS(Backlog!$B$2:$B$180,A5,Backlog!$C$2:$C$180,B5,Backlog!$L$2:$L$180,C5)</x:f>
        <x:v>4</x:v>
      </x:c>
      <x:c r="E5" s="206" t="n">
        <x:f>COUNTIFS(Backlog!$B$2:$B$180,A5,Backlog!$C$2:$C$180,B5,Backlog!$L$2:$L$180,C5,Backlog!$K$2:$K$180,"Done")</x:f>
        <x:v>4</x:v>
      </x:c>
      <x:c r="F5" s="206" t="n">
        <x:f>D5-E5</x:f>
        <x:v>0</x:v>
      </x:c>
      <x:c r="G5" s="206" t="n">
        <x:f>SUMIFS(Backlog!$J$2:$J$180,Backlog!$B$2:$B$180,A5,Backlog!$C$2:$C$180,B5,Backlog!$L$2:$L$180,C5)</x:f>
        <x:v>29</x:v>
      </x:c>
      <x:c r="H5" s="206" t="n">
        <x:f>SUMIFS(Backlog!$J$2:$J$180,Backlog!$B$2:$B$180,A5,Backlog!$C$2:$C$180,B5,Backlog!$L$2:$L$180,C5,Backlog!$K$2:$K$180,"Done")</x:f>
        <x:v>29</x:v>
      </x:c>
      <x:c r="I5" s="206" t="n">
        <x:f>G5-H5</x:f>
        <x:v>0</x:v>
      </x:c>
      <x:c r="J5" s="206" t="n">
        <x:f>COUNTIFS(Backlog!$B$2:$B$180,A5,Backlog!$C$2:$C$180,B5,Backlog!$L$2:$L$180,C5,Backlog!$AM$2:$AM$180,0)</x:f>
        <x:v>0</x:v>
      </x:c>
      <x:c r="K5"/>
      <x:c r="L5"/>
    </x:row>
    <x:row r="6" ht="26" customHeight="1">
      <x:c r="A6" s="206" t="str">
        <x:v>M2</x:v>
      </x:c>
      <x:c r="B6" s="206" t="str">
        <x:v>P2</x:v>
      </x:c>
      <x:c r="C6" s="206" t="str">
        <x:v>Worker 1</x:v>
      </x:c>
      <x:c r="D6" s="206" t="n">
        <x:f>COUNTIFS(Backlog!$B$2:$B$180,A6,Backlog!$C$2:$C$180,B6,Backlog!$L$2:$L$180,C6)</x:f>
        <x:v>16</x:v>
      </x:c>
      <x:c r="E6" s="206" t="n">
        <x:f>COUNTIFS(Backlog!$B$2:$B$180,A6,Backlog!$C$2:$C$180,B6,Backlog!$L$2:$L$180,C6,Backlog!$K$2:$K$180,"Done")</x:f>
        <x:v>5</x:v>
      </x:c>
      <x:c r="F6" s="206" t="n">
        <x:f>D6-E6</x:f>
        <x:v>11</x:v>
      </x:c>
      <x:c r="G6" s="206" t="n">
        <x:f>SUMIFS(Backlog!$J$2:$J$180,Backlog!$B$2:$B$180,A6,Backlog!$C$2:$C$180,B6,Backlog!$L$2:$L$180,C6)</x:f>
        <x:v>129</x:v>
      </x:c>
      <x:c r="H6" s="206" t="n">
        <x:f>SUMIFS(Backlog!$J$2:$J$180,Backlog!$B$2:$B$180,A6,Backlog!$C$2:$C$180,B6,Backlog!$L$2:$L$180,C6,Backlog!$K$2:$K$180,"Done")</x:f>
        <x:v>40</x:v>
      </x:c>
      <x:c r="I6" s="206" t="n">
        <x:f>G6-H6</x:f>
        <x:v>89</x:v>
      </x:c>
      <x:c r="J6" s="206" t="n">
        <x:f>COUNTIFS(Backlog!$B$2:$B$180,A6,Backlog!$C$2:$C$180,B6,Backlog!$L$2:$L$180,C6,Backlog!$AM$2:$AM$180,0)</x:f>
        <x:v>1</x:v>
      </x:c>
      <x:c r="K6"/>
      <x:c r="L6"/>
    </x:row>
    <x:row r="7" ht="26" customHeight="1">
      <x:c r="A7" s="206" t="str">
        <x:v>M2</x:v>
      </x:c>
      <x:c r="B7" s="206" t="str">
        <x:v>P2</x:v>
      </x:c>
      <x:c r="C7" s="206" t="str">
        <x:v>Worker 2</x:v>
      </x:c>
      <x:c r="D7" s="206" t="n">
        <x:f>COUNTIFS(Backlog!$B$2:$B$180,A7,Backlog!$C$2:$C$180,B7,Backlog!$L$2:$L$180,C7)</x:f>
        <x:v>15</x:v>
      </x:c>
      <x:c r="E7" s="206" t="n">
        <x:f>COUNTIFS(Backlog!$B$2:$B$180,A7,Backlog!$C$2:$C$180,B7,Backlog!$L$2:$L$180,C7,Backlog!$K$2:$K$180,"Done")</x:f>
        <x:v>5</x:v>
      </x:c>
      <x:c r="F7" s="206" t="n">
        <x:f>D7-E7</x:f>
        <x:v>10</x:v>
      </x:c>
      <x:c r="G7" s="206" t="n">
        <x:f>SUMIFS(Backlog!$J$2:$J$180,Backlog!$B$2:$B$180,A7,Backlog!$C$2:$C$180,B7,Backlog!$L$2:$L$180,C7)</x:f>
        <x:v>148</x:v>
      </x:c>
      <x:c r="H7" s="206" t="n">
        <x:f>SUMIFS(Backlog!$J$2:$J$180,Backlog!$B$2:$B$180,A7,Backlog!$C$2:$C$180,B7,Backlog!$L$2:$L$180,C7,Backlog!$K$2:$K$180,"Done")</x:f>
        <x:v>60</x:v>
      </x:c>
      <x:c r="I7" s="206" t="n">
        <x:f>G7-H7</x:f>
        <x:v>88</x:v>
      </x:c>
      <x:c r="J7" s="206" t="n">
        <x:f>COUNTIFS(Backlog!$B$2:$B$180,A7,Backlog!$C$2:$C$180,B7,Backlog!$L$2:$L$180,C7,Backlog!$AM$2:$AM$180,0)</x:f>
        <x:v>2</x:v>
      </x:c>
      <x:c r="K7"/>
      <x:c r="L7"/>
    </x:row>
    <x:row r="8" ht="26" customHeight="1">
      <x:c r="A8" s="206" t="str">
        <x:v>M2</x:v>
      </x:c>
      <x:c r="B8" s="206" t="str">
        <x:v>P2</x:v>
      </x:c>
      <x:c r="C8" s="206" t="str">
        <x:v>Worker 3</x:v>
      </x:c>
      <x:c r="D8" s="206" t="n">
        <x:f>COUNTIFS(Backlog!$B$2:$B$180,A8,Backlog!$C$2:$C$180,B8,Backlog!$L$2:$L$180,C8)</x:f>
        <x:v>3</x:v>
      </x:c>
      <x:c r="E8" s="206" t="n">
        <x:f>COUNTIFS(Backlog!$B$2:$B$180,A8,Backlog!$C$2:$C$180,B8,Backlog!$L$2:$L$180,C8,Backlog!$K$2:$K$180,"Done")</x:f>
        <x:v>0</x:v>
      </x:c>
      <x:c r="F8" s="206" t="n">
        <x:f>D8-E8</x:f>
        <x:v>3</x:v>
      </x:c>
      <x:c r="G8" s="206" t="n">
        <x:f>SUMIFS(Backlog!$J$2:$J$180,Backlog!$B$2:$B$180,A8,Backlog!$C$2:$C$180,B8,Backlog!$L$2:$L$180,C8)</x:f>
        <x:v>22</x:v>
      </x:c>
      <x:c r="H8" s="206" t="n">
        <x:f>SUMIFS(Backlog!$J$2:$J$180,Backlog!$B$2:$B$180,A8,Backlog!$C$2:$C$180,B8,Backlog!$L$2:$L$180,C8,Backlog!$K$2:$K$180,"Done")</x:f>
        <x:v>0</x:v>
      </x:c>
      <x:c r="I8" s="206" t="n">
        <x:f>G8-H8</x:f>
        <x:v>22</x:v>
      </x:c>
      <x:c r="J8" s="206" t="n">
        <x:f>COUNTIFS(Backlog!$B$2:$B$180,A8,Backlog!$C$2:$C$180,B8,Backlog!$L$2:$L$180,C8,Backlog!$AM$2:$AM$180,0)</x:f>
        <x:v>1</x:v>
      </x:c>
      <x:c r="K8"/>
      <x:c r="L8"/>
    </x:row>
    <x:row r="9" ht="26" customHeight="1">
      <x:c r="A9" s="206" t="str">
        <x:v>M2</x:v>
      </x:c>
      <x:c r="B9" s="206" t="str">
        <x:v>P3</x:v>
      </x:c>
      <x:c r="C9" s="206" t="str">
        <x:v>Worker 1</x:v>
      </x:c>
      <x:c r="D9" s="206" t="n">
        <x:f>COUNTIFS(Backlog!$B$2:$B$180,A9,Backlog!$C$2:$C$180,B9,Backlog!$L$2:$L$180,C9)</x:f>
        <x:v>0</x:v>
      </x:c>
      <x:c r="E9" s="206" t="n">
        <x:f>COUNTIFS(Backlog!$B$2:$B$180,A9,Backlog!$C$2:$C$180,B9,Backlog!$L$2:$L$180,C9,Backlog!$K$2:$K$180,"Done")</x:f>
        <x:v>0</x:v>
      </x:c>
      <x:c r="F9" s="206" t="n">
        <x:f>D9-E9</x:f>
        <x:v>0</x:v>
      </x:c>
      <x:c r="G9" s="206" t="n">
        <x:f>SUMIFS(Backlog!$J$2:$J$180,Backlog!$B$2:$B$180,A9,Backlog!$C$2:$C$180,B9,Backlog!$L$2:$L$180,C9)</x:f>
        <x:v>0</x:v>
      </x:c>
      <x:c r="H9" s="206" t="n">
        <x:f>SUMIFS(Backlog!$J$2:$J$180,Backlog!$B$2:$B$180,A9,Backlog!$C$2:$C$180,B9,Backlog!$L$2:$L$180,C9,Backlog!$K$2:$K$180,"Done")</x:f>
        <x:v>0</x:v>
      </x:c>
      <x:c r="I9" s="206" t="n">
        <x:f>G9-H9</x:f>
        <x:v>0</x:v>
      </x:c>
      <x:c r="J9" s="206" t="n">
        <x:f>COUNTIFS(Backlog!$B$2:$B$180,A9,Backlog!$C$2:$C$180,B9,Backlog!$L$2:$L$180,C9,Backlog!$AM$2:$AM$180,0)</x:f>
        <x:v>0</x:v>
      </x:c>
      <x:c r="K9"/>
      <x:c r="L9"/>
    </x:row>
    <x:row r="10" ht="26" customHeight="1">
      <x:c r="A10" s="206" t="str">
        <x:v>M2</x:v>
      </x:c>
      <x:c r="B10" s="206" t="str">
        <x:v>P3</x:v>
      </x:c>
      <x:c r="C10" s="206" t="str">
        <x:v>Worker 2</x:v>
      </x:c>
      <x:c r="D10" s="206" t="n">
        <x:f>COUNTIFS(Backlog!$B$2:$B$180,A10,Backlog!$C$2:$C$180,B10,Backlog!$L$2:$L$180,C10)</x:f>
        <x:v>5</x:v>
      </x:c>
      <x:c r="E10" s="206" t="n">
        <x:f>COUNTIFS(Backlog!$B$2:$B$180,A10,Backlog!$C$2:$C$180,B10,Backlog!$L$2:$L$180,C10,Backlog!$K$2:$K$180,"Done")</x:f>
        <x:v>0</x:v>
      </x:c>
      <x:c r="F10" s="206" t="n">
        <x:f>D10-E10</x:f>
        <x:v>5</x:v>
      </x:c>
      <x:c r="G10" s="206" t="n">
        <x:f>SUMIFS(Backlog!$J$2:$J$180,Backlog!$B$2:$B$180,A10,Backlog!$C$2:$C$180,B10,Backlog!$L$2:$L$180,C10)</x:f>
        <x:v>36</x:v>
      </x:c>
      <x:c r="H10" s="206" t="n">
        <x:f>SUMIFS(Backlog!$J$2:$J$180,Backlog!$B$2:$B$180,A10,Backlog!$C$2:$C$180,B10,Backlog!$L$2:$L$180,C10,Backlog!$K$2:$K$180,"Done")</x:f>
        <x:v>0</x:v>
      </x:c>
      <x:c r="I10" s="206" t="n">
        <x:f>G10-H10</x:f>
        <x:v>36</x:v>
      </x:c>
      <x:c r="J10" s="206" t="n">
        <x:f>COUNTIFS(Backlog!$B$2:$B$180,A10,Backlog!$C$2:$C$180,B10,Backlog!$L$2:$L$180,C10,Backlog!$AM$2:$AM$180,0)</x:f>
        <x:v>1</x:v>
      </x:c>
      <x:c r="K10"/>
      <x:c r="L10"/>
    </x:row>
    <x:row r="11" ht="26" customHeight="1">
      <x:c r="A11" s="206" t="str">
        <x:v>M2</x:v>
      </x:c>
      <x:c r="B11" s="206" t="str">
        <x:v>P3</x:v>
      </x:c>
      <x:c r="C11" s="206" t="str">
        <x:v>Worker 3</x:v>
      </x:c>
      <x:c r="D11" s="206" t="n">
        <x:f>COUNTIFS(Backlog!$B$2:$B$180,A11,Backlog!$C$2:$C$180,B11,Backlog!$L$2:$L$180,C11)</x:f>
        <x:v>0</x:v>
      </x:c>
      <x:c r="E11" s="206" t="n">
        <x:f>COUNTIFS(Backlog!$B$2:$B$180,A11,Backlog!$C$2:$C$180,B11,Backlog!$L$2:$L$180,C11,Backlog!$K$2:$K$180,"Done")</x:f>
        <x:v>0</x:v>
      </x:c>
      <x:c r="F11" s="206" t="n">
        <x:f>D11-E11</x:f>
        <x:v>0</x:v>
      </x:c>
      <x:c r="G11" s="206" t="n">
        <x:f>SUMIFS(Backlog!$J$2:$J$180,Backlog!$B$2:$B$180,A11,Backlog!$C$2:$C$180,B11,Backlog!$L$2:$L$180,C11)</x:f>
        <x:v>0</x:v>
      </x:c>
      <x:c r="H11" s="206" t="n">
        <x:f>SUMIFS(Backlog!$J$2:$J$180,Backlog!$B$2:$B$180,A11,Backlog!$C$2:$C$180,B11,Backlog!$L$2:$L$180,C11,Backlog!$K$2:$K$180,"Done")</x:f>
        <x:v>0</x:v>
      </x:c>
      <x:c r="I11" s="206" t="n">
        <x:f>G11-H11</x:f>
        <x:v>0</x:v>
      </x:c>
      <x:c r="J11" s="206" t="n">
        <x:f>COUNTIFS(Backlog!$B$2:$B$180,A11,Backlog!$C$2:$C$180,B11,Backlog!$L$2:$L$180,C11,Backlog!$AM$2:$AM$180,0)</x:f>
        <x:v>0</x:v>
      </x:c>
      <x:c r="K11"/>
      <x:c r="L11"/>
    </x:row>
    <x:row r="12" ht="26" customHeight="1">
      <x:c r="A12" s="206" t="str">
        <x:v>M2</x:v>
      </x:c>
      <x:c r="B12" s="206" t="str">
        <x:v>P4</x:v>
      </x:c>
      <x:c r="C12" s="206" t="str">
        <x:v>Worker 1</x:v>
      </x:c>
      <x:c r="D12" s="206" t="n">
        <x:f>COUNTIFS(Backlog!$B$2:$B$180,A12,Backlog!$C$2:$C$180,B12,Backlog!$L$2:$L$180,C12)</x:f>
        <x:v>0</x:v>
      </x:c>
      <x:c r="E12" s="206" t="n">
        <x:f>COUNTIFS(Backlog!$B$2:$B$180,A12,Backlog!$C$2:$C$180,B12,Backlog!$L$2:$L$180,C12,Backlog!$K$2:$K$180,"Done")</x:f>
        <x:v>0</x:v>
      </x:c>
      <x:c r="F12" s="206" t="n">
        <x:f>D12-E12</x:f>
        <x:v>0</x:v>
      </x:c>
      <x:c r="G12" s="206" t="n">
        <x:f>SUMIFS(Backlog!$J$2:$J$180,Backlog!$B$2:$B$180,A12,Backlog!$C$2:$C$180,B12,Backlog!$L$2:$L$180,C12)</x:f>
        <x:v>0</x:v>
      </x:c>
      <x:c r="H12" s="206" t="n">
        <x:f>SUMIFS(Backlog!$J$2:$J$180,Backlog!$B$2:$B$180,A12,Backlog!$C$2:$C$180,B12,Backlog!$L$2:$L$180,C12,Backlog!$K$2:$K$180,"Done")</x:f>
        <x:v>0</x:v>
      </x:c>
      <x:c r="I12" s="206" t="n">
        <x:f>G12-H12</x:f>
        <x:v>0</x:v>
      </x:c>
      <x:c r="J12" s="206" t="n">
        <x:f>COUNTIFS(Backlog!$B$2:$B$180,A12,Backlog!$C$2:$C$180,B12,Backlog!$L$2:$L$180,C12,Backlog!$AM$2:$AM$180,0)</x:f>
        <x:v>0</x:v>
      </x:c>
      <x:c r="K12"/>
      <x:c r="L12"/>
    </x:row>
    <x:row r="13" ht="26" customHeight="1">
      <x:c r="A13" s="206" t="str">
        <x:v>M2</x:v>
      </x:c>
      <x:c r="B13" s="206" t="str">
        <x:v>P4</x:v>
      </x:c>
      <x:c r="C13" s="206" t="str">
        <x:v>Worker 2</x:v>
      </x:c>
      <x:c r="D13" s="206" t="n">
        <x:f>COUNTIFS(Backlog!$B$2:$B$180,A13,Backlog!$C$2:$C$180,B13,Backlog!$L$2:$L$180,C13)</x:f>
        <x:v>1</x:v>
      </x:c>
      <x:c r="E13" s="206" t="n">
        <x:f>COUNTIFS(Backlog!$B$2:$B$180,A13,Backlog!$C$2:$C$180,B13,Backlog!$L$2:$L$180,C13,Backlog!$K$2:$K$180,"Done")</x:f>
        <x:v>0</x:v>
      </x:c>
      <x:c r="F13" s="206" t="n">
        <x:f>D13-E13</x:f>
        <x:v>1</x:v>
      </x:c>
      <x:c r="G13" s="206" t="n">
        <x:f>SUMIFS(Backlog!$J$2:$J$180,Backlog!$B$2:$B$180,A13,Backlog!$C$2:$C$180,B13,Backlog!$L$2:$L$180,C13)</x:f>
        <x:v>10</x:v>
      </x:c>
      <x:c r="H13" s="206" t="n">
        <x:f>SUMIFS(Backlog!$J$2:$J$180,Backlog!$B$2:$B$180,A13,Backlog!$C$2:$C$180,B13,Backlog!$L$2:$L$180,C13,Backlog!$K$2:$K$180,"Done")</x:f>
        <x:v>0</x:v>
      </x:c>
      <x:c r="I13" s="206" t="n">
        <x:f>G13-H13</x:f>
        <x:v>10</x:v>
      </x:c>
      <x:c r="J13" s="206" t="n">
        <x:f>COUNTIFS(Backlog!$B$2:$B$180,A13,Backlog!$C$2:$C$180,B13,Backlog!$L$2:$L$180,C13,Backlog!$AM$2:$AM$180,0)</x:f>
        <x:v>0</x:v>
      </x:c>
      <x:c r="K13"/>
      <x:c r="L13"/>
    </x:row>
    <x:row r="14" ht="26" customHeight="1">
      <x:c r="A14" s="206" t="str">
        <x:v>M2</x:v>
      </x:c>
      <x:c r="B14" s="206" t="str">
        <x:v>P4</x:v>
      </x:c>
      <x:c r="C14" s="206" t="str">
        <x:v>Worker 3</x:v>
      </x:c>
      <x:c r="D14" s="206" t="n">
        <x:f>COUNTIFS(Backlog!$B$2:$B$180,A14,Backlog!$C$2:$C$180,B14,Backlog!$L$2:$L$180,C14)</x:f>
        <x:v>10</x:v>
      </x:c>
      <x:c r="E14" s="206" t="n">
        <x:f>COUNTIFS(Backlog!$B$2:$B$180,A14,Backlog!$C$2:$C$180,B14,Backlog!$L$2:$L$180,C14,Backlog!$K$2:$K$180,"Done")</x:f>
        <x:v>6</x:v>
      </x:c>
      <x:c r="F14" s="206" t="n">
        <x:f>D14-E14</x:f>
        <x:v>4</x:v>
      </x:c>
      <x:c r="G14" s="206" t="n">
        <x:f>SUMIFS(Backlog!$J$2:$J$180,Backlog!$B$2:$B$180,A14,Backlog!$C$2:$C$180,B14,Backlog!$L$2:$L$180,C14)</x:f>
        <x:v>94</x:v>
      </x:c>
      <x:c r="H14" s="206" t="n">
        <x:f>SUMIFS(Backlog!$J$2:$J$180,Backlog!$B$2:$B$180,A14,Backlog!$C$2:$C$180,B14,Backlog!$L$2:$L$180,C14,Backlog!$K$2:$K$180,"Done")</x:f>
        <x:v>56</x:v>
      </x:c>
      <x:c r="I14" s="206" t="n">
        <x:f>G14-H14</x:f>
        <x:v>38</x:v>
      </x:c>
      <x:c r="J14" s="206" t="n">
        <x:f>COUNTIFS(Backlog!$B$2:$B$180,A14,Backlog!$C$2:$C$180,B14,Backlog!$L$2:$L$180,C14,Backlog!$AM$2:$AM$180,0)</x:f>
        <x:v>0</x:v>
      </x:c>
      <x:c r="K14"/>
      <x:c r="L14"/>
    </x:row>
    <x:row r="15" ht="26" customHeight="1">
      <x:c r="A15" s="206" t="str">
        <x:v>M2</x:v>
      </x:c>
      <x:c r="B15" s="206" t="str">
        <x:v>P5</x:v>
      </x:c>
      <x:c r="C15" s="206" t="str">
        <x:v>Worker 1</x:v>
      </x:c>
      <x:c r="D15" s="206" t="n">
        <x:f>COUNTIFS(Backlog!$B$2:$B$180,A15,Backlog!$C$2:$C$180,B15,Backlog!$L$2:$L$180,C15)</x:f>
        <x:v>12</x:v>
      </x:c>
      <x:c r="E15" s="206" t="n">
        <x:f>COUNTIFS(Backlog!$B$2:$B$180,A15,Backlog!$C$2:$C$180,B15,Backlog!$L$2:$L$180,C15,Backlog!$K$2:$K$180,"Done")</x:f>
        <x:v>0</x:v>
      </x:c>
      <x:c r="F15" s="206" t="n">
        <x:f>D15-E15</x:f>
        <x:v>12</x:v>
      </x:c>
      <x:c r="G15" s="206" t="n">
        <x:f>SUMIFS(Backlog!$J$2:$J$180,Backlog!$B$2:$B$180,A15,Backlog!$C$2:$C$180,B15,Backlog!$L$2:$L$180,C15)</x:f>
        <x:v>128</x:v>
      </x:c>
      <x:c r="H15" s="206" t="n">
        <x:f>SUMIFS(Backlog!$J$2:$J$180,Backlog!$B$2:$B$180,A15,Backlog!$C$2:$C$180,B15,Backlog!$L$2:$L$180,C15,Backlog!$K$2:$K$180,"Done")</x:f>
        <x:v>0</x:v>
      </x:c>
      <x:c r="I15" s="206" t="n">
        <x:f>G15-H15</x:f>
        <x:v>128</x:v>
      </x:c>
      <x:c r="J15" s="206" t="n">
        <x:f>COUNTIFS(Backlog!$B$2:$B$180,A15,Backlog!$C$2:$C$180,B15,Backlog!$L$2:$L$180,C15,Backlog!$AM$2:$AM$180,0)</x:f>
        <x:v>0</x:v>
      </x:c>
      <x:c r="K15"/>
      <x:c r="L15"/>
    </x:row>
    <x:row r="16" ht="26" customHeight="1">
      <x:c r="A16" s="206" t="str">
        <x:v>M2</x:v>
      </x:c>
      <x:c r="B16" s="206" t="str">
        <x:v>P5</x:v>
      </x:c>
      <x:c r="C16" s="206" t="str">
        <x:v>Worker 2</x:v>
      </x:c>
      <x:c r="D16" s="206" t="n">
        <x:f>COUNTIFS(Backlog!$B$2:$B$180,A16,Backlog!$C$2:$C$180,B16,Backlog!$L$2:$L$180,C16)</x:f>
        <x:v>2</x:v>
      </x:c>
      <x:c r="E16" s="206" t="n">
        <x:f>COUNTIFS(Backlog!$B$2:$B$180,A16,Backlog!$C$2:$C$180,B16,Backlog!$L$2:$L$180,C16,Backlog!$K$2:$K$180,"Done")</x:f>
        <x:v>0</x:v>
      </x:c>
      <x:c r="F16" s="206" t="n">
        <x:f>D16-E16</x:f>
        <x:v>2</x:v>
      </x:c>
      <x:c r="G16" s="206" t="n">
        <x:f>SUMIFS(Backlog!$J$2:$J$180,Backlog!$B$2:$B$180,A16,Backlog!$C$2:$C$180,B16,Backlog!$L$2:$L$180,C16)</x:f>
        <x:v>18</x:v>
      </x:c>
      <x:c r="H16" s="206" t="n">
        <x:f>SUMIFS(Backlog!$J$2:$J$180,Backlog!$B$2:$B$180,A16,Backlog!$C$2:$C$180,B16,Backlog!$L$2:$L$180,C16,Backlog!$K$2:$K$180,"Done")</x:f>
        <x:v>0</x:v>
      </x:c>
      <x:c r="I16" s="206" t="n">
        <x:f>G16-H16</x:f>
        <x:v>18</x:v>
      </x:c>
      <x:c r="J16" s="206" t="n">
        <x:f>COUNTIFS(Backlog!$B$2:$B$180,A16,Backlog!$C$2:$C$180,B16,Backlog!$L$2:$L$180,C16,Backlog!$AM$2:$AM$180,0)</x:f>
        <x:v>0</x:v>
      </x:c>
      <x:c r="K16"/>
      <x:c r="L16"/>
    </x:row>
    <x:row r="17" ht="26" customHeight="1">
      <x:c r="A17" s="206" t="str">
        <x:v>M2</x:v>
      </x:c>
      <x:c r="B17" s="206" t="str">
        <x:v>P5</x:v>
      </x:c>
      <x:c r="C17" s="206" t="str">
        <x:v>Worker 3</x:v>
      </x:c>
      <x:c r="D17" s="206" t="n">
        <x:f>COUNTIFS(Backlog!$B$2:$B$180,A17,Backlog!$C$2:$C$180,B17,Backlog!$L$2:$L$180,C17)</x:f>
        <x:v>1</x:v>
      </x:c>
      <x:c r="E17" s="206" t="n">
        <x:f>COUNTIFS(Backlog!$B$2:$B$180,A17,Backlog!$C$2:$C$180,B17,Backlog!$L$2:$L$180,C17,Backlog!$K$2:$K$180,"Done")</x:f>
        <x:v>0</x:v>
      </x:c>
      <x:c r="F17" s="206" t="n">
        <x:f>D17-E17</x:f>
        <x:v>1</x:v>
      </x:c>
      <x:c r="G17" s="206" t="n">
        <x:f>SUMIFS(Backlog!$J$2:$J$180,Backlog!$B$2:$B$180,A17,Backlog!$C$2:$C$180,B17,Backlog!$L$2:$L$180,C17)</x:f>
        <x:v>8</x:v>
      </x:c>
      <x:c r="H17" s="206" t="n">
        <x:f>SUMIFS(Backlog!$J$2:$J$180,Backlog!$B$2:$B$180,A17,Backlog!$C$2:$C$180,B17,Backlog!$L$2:$L$180,C17,Backlog!$K$2:$K$180,"Done")</x:f>
        <x:v>0</x:v>
      </x:c>
      <x:c r="I17" s="206" t="n">
        <x:f>G17-H17</x:f>
        <x:v>8</x:v>
      </x:c>
      <x:c r="J17" s="206" t="n">
        <x:f>COUNTIFS(Backlog!$B$2:$B$180,A17,Backlog!$C$2:$C$180,B17,Backlog!$L$2:$L$180,C17,Backlog!$AM$2:$AM$180,0)</x:f>
        <x:v>0</x:v>
      </x:c>
      <x:c r="K17"/>
      <x:c r="L17"/>
    </x:row>
    <x:row r="18" ht="26" customHeight="1">
      <x:c r="A18" s="206" t="str">
        <x:v>M3</x:v>
      </x:c>
      <x:c r="B18" s="206" t="str">
        <x:v>P1</x:v>
      </x:c>
      <x:c r="C18" s="206" t="str">
        <x:v>Worker 1</x:v>
      </x:c>
      <x:c r="D18" s="206" t="n">
        <x:f>COUNTIFS(Backlog!$B$2:$B$180,A18,Backlog!$C$2:$C$180,B18,Backlog!$L$2:$L$180,C18)</x:f>
        <x:v>8</x:v>
      </x:c>
      <x:c r="E18" s="206" t="n">
        <x:f>COUNTIFS(Backlog!$B$2:$B$180,A18,Backlog!$C$2:$C$180,B18,Backlog!$L$2:$L$180,C18,Backlog!$K$2:$K$180,"Done")</x:f>
        <x:v>0</x:v>
      </x:c>
      <x:c r="F18" s="206" t="n">
        <x:f>D18-E18</x:f>
        <x:v>8</x:v>
      </x:c>
      <x:c r="G18" s="206" t="n">
        <x:f>SUMIFS(Backlog!$J$2:$J$180,Backlog!$B$2:$B$180,A18,Backlog!$C$2:$C$180,B18,Backlog!$L$2:$L$180,C18)</x:f>
        <x:v>108</x:v>
      </x:c>
      <x:c r="H18" s="206" t="n">
        <x:f>SUMIFS(Backlog!$J$2:$J$180,Backlog!$B$2:$B$180,A18,Backlog!$C$2:$C$180,B18,Backlog!$L$2:$L$180,C18,Backlog!$K$2:$K$180,"Done")</x:f>
        <x:v>0</x:v>
      </x:c>
      <x:c r="I18" s="206" t="n">
        <x:f>G18-H18</x:f>
        <x:v>108</x:v>
      </x:c>
      <x:c r="J18" s="206" t="n">
        <x:f>COUNTIFS(Backlog!$B$2:$B$180,A18,Backlog!$C$2:$C$180,B18,Backlog!$L$2:$L$180,C18,Backlog!$AM$2:$AM$180,0)</x:f>
        <x:v>0</x:v>
      </x:c>
      <x:c r="K18"/>
      <x:c r="L18"/>
    </x:row>
    <x:row r="19" ht="26" customHeight="1">
      <x:c r="A19" s="206" t="str">
        <x:v>M3</x:v>
      </x:c>
      <x:c r="B19" s="206" t="str">
        <x:v>P1</x:v>
      </x:c>
      <x:c r="C19" s="206" t="str">
        <x:v>Worker 2</x:v>
      </x:c>
      <x:c r="D19" s="206" t="n">
        <x:f>COUNTIFS(Backlog!$B$2:$B$180,A19,Backlog!$C$2:$C$180,B19,Backlog!$L$2:$L$180,C19)</x:f>
        <x:v>0</x:v>
      </x:c>
      <x:c r="E19" s="206" t="n">
        <x:f>COUNTIFS(Backlog!$B$2:$B$180,A19,Backlog!$C$2:$C$180,B19,Backlog!$L$2:$L$180,C19,Backlog!$K$2:$K$180,"Done")</x:f>
        <x:v>0</x:v>
      </x:c>
      <x:c r="F19" s="206" t="n">
        <x:f>D19-E19</x:f>
        <x:v>0</x:v>
      </x:c>
      <x:c r="G19" s="206" t="n">
        <x:f>SUMIFS(Backlog!$J$2:$J$180,Backlog!$B$2:$B$180,A19,Backlog!$C$2:$C$180,B19,Backlog!$L$2:$L$180,C19)</x:f>
        <x:v>0</x:v>
      </x:c>
      <x:c r="H19" s="206" t="n">
        <x:f>SUMIFS(Backlog!$J$2:$J$180,Backlog!$B$2:$B$180,A19,Backlog!$C$2:$C$180,B19,Backlog!$L$2:$L$180,C19,Backlog!$K$2:$K$180,"Done")</x:f>
        <x:v>0</x:v>
      </x:c>
      <x:c r="I19" s="206" t="n">
        <x:f>G19-H19</x:f>
        <x:v>0</x:v>
      </x:c>
      <x:c r="J19" s="206" t="n">
        <x:f>COUNTIFS(Backlog!$B$2:$B$180,A19,Backlog!$C$2:$C$180,B19,Backlog!$L$2:$L$180,C19,Backlog!$AM$2:$AM$180,0)</x:f>
        <x:v>0</x:v>
      </x:c>
      <x:c r="K19"/>
      <x:c r="L19"/>
    </x:row>
    <x:row r="20" ht="26" customHeight="1">
      <x:c r="A20" s="206" t="str">
        <x:v>M3</x:v>
      </x:c>
      <x:c r="B20" s="206" t="str">
        <x:v>P1</x:v>
      </x:c>
      <x:c r="C20" s="206" t="str">
        <x:v>Worker 3</x:v>
      </x:c>
      <x:c r="D20" s="206" t="n">
        <x:f>COUNTIFS(Backlog!$B$2:$B$180,A20,Backlog!$C$2:$C$180,B20,Backlog!$L$2:$L$180,C20)</x:f>
        <x:v>2</x:v>
      </x:c>
      <x:c r="E20" s="206" t="n">
        <x:f>COUNTIFS(Backlog!$B$2:$B$180,A20,Backlog!$C$2:$C$180,B20,Backlog!$L$2:$L$180,C20,Backlog!$K$2:$K$180,"Done")</x:f>
        <x:v>0</x:v>
      </x:c>
      <x:c r="F20" s="206" t="n">
        <x:f>D20-E20</x:f>
        <x:v>2</x:v>
      </x:c>
      <x:c r="G20" s="206" t="n">
        <x:f>SUMIFS(Backlog!$J$2:$J$180,Backlog!$B$2:$B$180,A20,Backlog!$C$2:$C$180,B20,Backlog!$L$2:$L$180,C20)</x:f>
        <x:v>24</x:v>
      </x:c>
      <x:c r="H20" s="206" t="n">
        <x:f>SUMIFS(Backlog!$J$2:$J$180,Backlog!$B$2:$B$180,A20,Backlog!$C$2:$C$180,B20,Backlog!$L$2:$L$180,C20,Backlog!$K$2:$K$180,"Done")</x:f>
        <x:v>0</x:v>
      </x:c>
      <x:c r="I20" s="206" t="n">
        <x:f>G20-H20</x:f>
        <x:v>24</x:v>
      </x:c>
      <x:c r="J20" s="206" t="n">
        <x:f>COUNTIFS(Backlog!$B$2:$B$180,A20,Backlog!$C$2:$C$180,B20,Backlog!$L$2:$L$180,C20,Backlog!$AM$2:$AM$180,0)</x:f>
        <x:v>0</x:v>
      </x:c>
      <x:c r="K20"/>
      <x:c r="L20"/>
    </x:row>
    <x:row r="21" ht="26" customHeight="1">
      <x:c r="A21" s="206" t="str">
        <x:v>M3</x:v>
      </x:c>
      <x:c r="B21" s="206" t="str">
        <x:v>P2</x:v>
      </x:c>
      <x:c r="C21" s="206" t="str">
        <x:v>Worker 1</x:v>
      </x:c>
      <x:c r="D21" s="206" t="n">
        <x:f>COUNTIFS(Backlog!$B$2:$B$180,A21,Backlog!$C$2:$C$180,B21,Backlog!$L$2:$L$180,C21)</x:f>
        <x:v>5</x:v>
      </x:c>
      <x:c r="E21" s="206" t="n">
        <x:f>COUNTIFS(Backlog!$B$2:$B$180,A21,Backlog!$C$2:$C$180,B21,Backlog!$L$2:$L$180,C21,Backlog!$K$2:$K$180,"Done")</x:f>
        <x:v>0</x:v>
      </x:c>
      <x:c r="F21" s="206" t="n">
        <x:f>D21-E21</x:f>
        <x:v>5</x:v>
      </x:c>
      <x:c r="G21" s="206" t="n">
        <x:f>SUMIFS(Backlog!$J$2:$J$180,Backlog!$B$2:$B$180,A21,Backlog!$C$2:$C$180,B21,Backlog!$L$2:$L$180,C21)</x:f>
        <x:v>44</x:v>
      </x:c>
      <x:c r="H21" s="206" t="n">
        <x:f>SUMIFS(Backlog!$J$2:$J$180,Backlog!$B$2:$B$180,A21,Backlog!$C$2:$C$180,B21,Backlog!$L$2:$L$180,C21,Backlog!$K$2:$K$180,"Done")</x:f>
        <x:v>0</x:v>
      </x:c>
      <x:c r="I21" s="206" t="n">
        <x:f>G21-H21</x:f>
        <x:v>44</x:v>
      </x:c>
      <x:c r="J21" s="206" t="n">
        <x:f>COUNTIFS(Backlog!$B$2:$B$180,A21,Backlog!$C$2:$C$180,B21,Backlog!$L$2:$L$180,C21,Backlog!$AM$2:$AM$180,0)</x:f>
        <x:v>0</x:v>
      </x:c>
      <x:c r="K21"/>
      <x:c r="L21"/>
    </x:row>
    <x:row r="22" ht="26" customHeight="1">
      <x:c r="A22" s="206" t="str">
        <x:v>M3</x:v>
      </x:c>
      <x:c r="B22" s="206" t="str">
        <x:v>P2</x:v>
      </x:c>
      <x:c r="C22" s="206" t="str">
        <x:v>Worker 2</x:v>
      </x:c>
      <x:c r="D22" s="206" t="n">
        <x:f>COUNTIFS(Backlog!$B$2:$B$180,A22,Backlog!$C$2:$C$180,B22,Backlog!$L$2:$L$180,C22)</x:f>
        <x:v>7</x:v>
      </x:c>
      <x:c r="E22" s="206" t="n">
        <x:f>COUNTIFS(Backlog!$B$2:$B$180,A22,Backlog!$C$2:$C$180,B22,Backlog!$L$2:$L$180,C22,Backlog!$K$2:$K$180,"Done")</x:f>
        <x:v>0</x:v>
      </x:c>
      <x:c r="F22" s="206" t="n">
        <x:f>D22-E22</x:f>
        <x:v>7</x:v>
      </x:c>
      <x:c r="G22" s="206" t="n">
        <x:f>SUMIFS(Backlog!$J$2:$J$180,Backlog!$B$2:$B$180,A22,Backlog!$C$2:$C$180,B22,Backlog!$L$2:$L$180,C22)</x:f>
        <x:v>70</x:v>
      </x:c>
      <x:c r="H22" s="206" t="n">
        <x:f>SUMIFS(Backlog!$J$2:$J$180,Backlog!$B$2:$B$180,A22,Backlog!$C$2:$C$180,B22,Backlog!$L$2:$L$180,C22,Backlog!$K$2:$K$180,"Done")</x:f>
        <x:v>0</x:v>
      </x:c>
      <x:c r="I22" s="206" t="n">
        <x:f>G22-H22</x:f>
        <x:v>70</x:v>
      </x:c>
      <x:c r="J22" s="206" t="n">
        <x:f>COUNTIFS(Backlog!$B$2:$B$180,A22,Backlog!$C$2:$C$180,B22,Backlog!$L$2:$L$180,C22,Backlog!$AM$2:$AM$180,0)</x:f>
        <x:v>0</x:v>
      </x:c>
      <x:c r="K22"/>
      <x:c r="L22"/>
    </x:row>
    <x:row r="23" ht="26" customHeight="1">
      <x:c r="A23" s="206" t="str">
        <x:v>M3</x:v>
      </x:c>
      <x:c r="B23" s="206" t="str">
        <x:v>P2</x:v>
      </x:c>
      <x:c r="C23" s="206" t="str">
        <x:v>Worker 3</x:v>
      </x:c>
      <x:c r="D23" s="206" t="n">
        <x:f>COUNTIFS(Backlog!$B$2:$B$180,A23,Backlog!$C$2:$C$180,B23,Backlog!$L$2:$L$180,C23)</x:f>
        <x:v>0</x:v>
      </x:c>
      <x:c r="E23" s="206" t="n">
        <x:f>COUNTIFS(Backlog!$B$2:$B$180,A23,Backlog!$C$2:$C$180,B23,Backlog!$L$2:$L$180,C23,Backlog!$K$2:$K$180,"Done")</x:f>
        <x:v>0</x:v>
      </x:c>
      <x:c r="F23" s="206" t="n">
        <x:f>D23-E23</x:f>
        <x:v>0</x:v>
      </x:c>
      <x:c r="G23" s="206" t="n">
        <x:f>SUMIFS(Backlog!$J$2:$J$180,Backlog!$B$2:$B$180,A23,Backlog!$C$2:$C$180,B23,Backlog!$L$2:$L$180,C23)</x:f>
        <x:v>0</x:v>
      </x:c>
      <x:c r="H23" s="206" t="n">
        <x:f>SUMIFS(Backlog!$J$2:$J$180,Backlog!$B$2:$B$180,A23,Backlog!$C$2:$C$180,B23,Backlog!$L$2:$L$180,C23,Backlog!$K$2:$K$180,"Done")</x:f>
        <x:v>0</x:v>
      </x:c>
      <x:c r="I23" s="206" t="n">
        <x:f>G23-H23</x:f>
        <x:v>0</x:v>
      </x:c>
      <x:c r="J23" s="206" t="n">
        <x:f>COUNTIFS(Backlog!$B$2:$B$180,A23,Backlog!$C$2:$C$180,B23,Backlog!$L$2:$L$180,C23,Backlog!$AM$2:$AM$180,0)</x:f>
        <x:v>0</x:v>
      </x:c>
      <x:c r="K23"/>
      <x:c r="L23"/>
    </x:row>
    <x:row r="24" ht="26" customHeight="1">
      <x:c r="A24" s="206" t="str">
        <x:v>M3</x:v>
      </x:c>
      <x:c r="B24" s="206" t="str">
        <x:v>P3</x:v>
      </x:c>
      <x:c r="C24" s="206" t="str">
        <x:v>Worker 1</x:v>
      </x:c>
      <x:c r="D24" s="206" t="n">
        <x:f>COUNTIFS(Backlog!$B$2:$B$180,A24,Backlog!$C$2:$C$180,B24,Backlog!$L$2:$L$180,C24)</x:f>
        <x:v>0</x:v>
      </x:c>
      <x:c r="E24" s="206" t="n">
        <x:f>COUNTIFS(Backlog!$B$2:$B$180,A24,Backlog!$C$2:$C$180,B24,Backlog!$L$2:$L$180,C24,Backlog!$K$2:$K$180,"Done")</x:f>
        <x:v>0</x:v>
      </x:c>
      <x:c r="F24" s="206" t="n">
        <x:f>D24-E24</x:f>
        <x:v>0</x:v>
      </x:c>
      <x:c r="G24" s="206" t="n">
        <x:f>SUMIFS(Backlog!$J$2:$J$180,Backlog!$B$2:$B$180,A24,Backlog!$C$2:$C$180,B24,Backlog!$L$2:$L$180,C24)</x:f>
        <x:v>0</x:v>
      </x:c>
      <x:c r="H24" s="206" t="n">
        <x:f>SUMIFS(Backlog!$J$2:$J$180,Backlog!$B$2:$B$180,A24,Backlog!$C$2:$C$180,B24,Backlog!$L$2:$L$180,C24,Backlog!$K$2:$K$180,"Done")</x:f>
        <x:v>0</x:v>
      </x:c>
      <x:c r="I24" s="206" t="n">
        <x:f>G24-H24</x:f>
        <x:v>0</x:v>
      </x:c>
      <x:c r="J24" s="206" t="n">
        <x:f>COUNTIFS(Backlog!$B$2:$B$180,A24,Backlog!$C$2:$C$180,B24,Backlog!$L$2:$L$180,C24,Backlog!$AM$2:$AM$180,0)</x:f>
        <x:v>0</x:v>
      </x:c>
      <x:c r="K24"/>
      <x:c r="L24"/>
    </x:row>
    <x:row r="25" ht="26" customHeight="1">
      <x:c r="A25" s="206" t="str">
        <x:v>M3</x:v>
      </x:c>
      <x:c r="B25" s="206" t="str">
        <x:v>P3</x:v>
      </x:c>
      <x:c r="C25" s="206" t="str">
        <x:v>Worker 2</x:v>
      </x:c>
      <x:c r="D25" s="206" t="n">
        <x:f>COUNTIFS(Backlog!$B$2:$B$180,A25,Backlog!$C$2:$C$180,B25,Backlog!$L$2:$L$180,C25)</x:f>
        <x:v>5</x:v>
      </x:c>
      <x:c r="E25" s="206" t="n">
        <x:f>COUNTIFS(Backlog!$B$2:$B$180,A25,Backlog!$C$2:$C$180,B25,Backlog!$L$2:$L$180,C25,Backlog!$K$2:$K$180,"Done")</x:f>
        <x:v>0</x:v>
      </x:c>
      <x:c r="F25" s="206" t="n">
        <x:f>D25-E25</x:f>
        <x:v>5</x:v>
      </x:c>
      <x:c r="G25" s="206" t="n">
        <x:f>SUMIFS(Backlog!$J$2:$J$180,Backlog!$B$2:$B$180,A25,Backlog!$C$2:$C$180,B25,Backlog!$L$2:$L$180,C25)</x:f>
        <x:v>54</x:v>
      </x:c>
      <x:c r="H25" s="206" t="n">
        <x:f>SUMIFS(Backlog!$J$2:$J$180,Backlog!$B$2:$B$180,A25,Backlog!$C$2:$C$180,B25,Backlog!$L$2:$L$180,C25,Backlog!$K$2:$K$180,"Done")</x:f>
        <x:v>0</x:v>
      </x:c>
      <x:c r="I25" s="206" t="n">
        <x:f>G25-H25</x:f>
        <x:v>54</x:v>
      </x:c>
      <x:c r="J25" s="206" t="n">
        <x:f>COUNTIFS(Backlog!$B$2:$B$180,A25,Backlog!$C$2:$C$180,B25,Backlog!$L$2:$L$180,C25,Backlog!$AM$2:$AM$180,0)</x:f>
        <x:v>2</x:v>
      </x:c>
      <x:c r="K25"/>
      <x:c r="L25"/>
    </x:row>
    <x:row r="26" ht="26" customHeight="1">
      <x:c r="A26" s="206" t="str">
        <x:v>M3</x:v>
      </x:c>
      <x:c r="B26" s="206" t="str">
        <x:v>P3</x:v>
      </x:c>
      <x:c r="C26" s="206" t="str">
        <x:v>Worker 3</x:v>
      </x:c>
      <x:c r="D26" s="206" t="n">
        <x:f>COUNTIFS(Backlog!$B$2:$B$180,A26,Backlog!$C$2:$C$180,B26,Backlog!$L$2:$L$180,C26)</x:f>
        <x:v>3</x:v>
      </x:c>
      <x:c r="E26" s="206" t="n">
        <x:f>COUNTIFS(Backlog!$B$2:$B$180,A26,Backlog!$C$2:$C$180,B26,Backlog!$L$2:$L$180,C26,Backlog!$K$2:$K$180,"Done")</x:f>
        <x:v>0</x:v>
      </x:c>
      <x:c r="F26" s="206" t="n">
        <x:f>D26-E26</x:f>
        <x:v>3</x:v>
      </x:c>
      <x:c r="G26" s="206" t="n">
        <x:f>SUMIFS(Backlog!$J$2:$J$180,Backlog!$B$2:$B$180,A26,Backlog!$C$2:$C$180,B26,Backlog!$L$2:$L$180,C26)</x:f>
        <x:v>34</x:v>
      </x:c>
      <x:c r="H26" s="206" t="n">
        <x:f>SUMIFS(Backlog!$J$2:$J$180,Backlog!$B$2:$B$180,A26,Backlog!$C$2:$C$180,B26,Backlog!$L$2:$L$180,C26,Backlog!$K$2:$K$180,"Done")</x:f>
        <x:v>0</x:v>
      </x:c>
      <x:c r="I26" s="206" t="n">
        <x:f>G26-H26</x:f>
        <x:v>34</x:v>
      </x:c>
      <x:c r="J26" s="206" t="n">
        <x:f>COUNTIFS(Backlog!$B$2:$B$180,A26,Backlog!$C$2:$C$180,B26,Backlog!$L$2:$L$180,C26,Backlog!$AM$2:$AM$180,0)</x:f>
        <x:v>0</x:v>
      </x:c>
      <x:c r="K26"/>
      <x:c r="L26"/>
    </x:row>
    <x:row r="27" ht="26" customHeight="1">
      <x:c r="A27" s="206" t="str">
        <x:v>M3</x:v>
      </x:c>
      <x:c r="B27" s="206" t="str">
        <x:v>P4</x:v>
      </x:c>
      <x:c r="C27" s="206" t="str">
        <x:v>Worker 1</x:v>
      </x:c>
      <x:c r="D27" s="206" t="n">
        <x:f>COUNTIFS(Backlog!$B$2:$B$180,A27,Backlog!$C$2:$C$180,B27,Backlog!$L$2:$L$180,C27)</x:f>
        <x:v>3</x:v>
      </x:c>
      <x:c r="E27" s="206" t="n">
        <x:f>COUNTIFS(Backlog!$B$2:$B$180,A27,Backlog!$C$2:$C$180,B27,Backlog!$L$2:$L$180,C27,Backlog!$K$2:$K$180,"Done")</x:f>
        <x:v>0</x:v>
      </x:c>
      <x:c r="F27" s="206" t="n">
        <x:f>D27-E27</x:f>
        <x:v>3</x:v>
      </x:c>
      <x:c r="G27" s="206" t="n">
        <x:f>SUMIFS(Backlog!$J$2:$J$180,Backlog!$B$2:$B$180,A27,Backlog!$C$2:$C$180,B27,Backlog!$L$2:$L$180,C27)</x:f>
        <x:v>32</x:v>
      </x:c>
      <x:c r="H27" s="206" t="n">
        <x:f>SUMIFS(Backlog!$J$2:$J$180,Backlog!$B$2:$B$180,A27,Backlog!$C$2:$C$180,B27,Backlog!$L$2:$L$180,C27,Backlog!$K$2:$K$180,"Done")</x:f>
        <x:v>0</x:v>
      </x:c>
      <x:c r="I27" s="206" t="n">
        <x:f>G27-H27</x:f>
        <x:v>32</x:v>
      </x:c>
      <x:c r="J27" s="206" t="n">
        <x:f>COUNTIFS(Backlog!$B$2:$B$180,A27,Backlog!$C$2:$C$180,B27,Backlog!$L$2:$L$180,C27,Backlog!$AM$2:$AM$180,0)</x:f>
        <x:v>0</x:v>
      </x:c>
      <x:c r="K27"/>
      <x:c r="L27"/>
    </x:row>
    <x:row r="28" ht="26" customHeight="1">
      <x:c r="A28" s="206" t="str">
        <x:v>M3</x:v>
      </x:c>
      <x:c r="B28" s="206" t="str">
        <x:v>P4</x:v>
      </x:c>
      <x:c r="C28" s="206" t="str">
        <x:v>Worker 2</x:v>
      </x:c>
      <x:c r="D28" s="206" t="n">
        <x:f>COUNTIFS(Backlog!$B$2:$B$180,A28,Backlog!$C$2:$C$180,B28,Backlog!$L$2:$L$180,C28)</x:f>
        <x:v>1</x:v>
      </x:c>
      <x:c r="E28" s="206" t="n">
        <x:f>COUNTIFS(Backlog!$B$2:$B$180,A28,Backlog!$C$2:$C$180,B28,Backlog!$L$2:$L$180,C28,Backlog!$K$2:$K$180,"Done")</x:f>
        <x:v>0</x:v>
      </x:c>
      <x:c r="F28" s="206" t="n">
        <x:f>D28-E28</x:f>
        <x:v>1</x:v>
      </x:c>
      <x:c r="G28" s="206" t="n">
        <x:f>SUMIFS(Backlog!$J$2:$J$180,Backlog!$B$2:$B$180,A28,Backlog!$C$2:$C$180,B28,Backlog!$L$2:$L$180,C28)</x:f>
        <x:v>11</x:v>
      </x:c>
      <x:c r="H28" s="206" t="n">
        <x:f>SUMIFS(Backlog!$J$2:$J$180,Backlog!$B$2:$B$180,A28,Backlog!$C$2:$C$180,B28,Backlog!$L$2:$L$180,C28,Backlog!$K$2:$K$180,"Done")</x:f>
        <x:v>0</x:v>
      </x:c>
      <x:c r="I28" s="206" t="n">
        <x:f>G28-H28</x:f>
        <x:v>11</x:v>
      </x:c>
      <x:c r="J28" s="206" t="n">
        <x:f>COUNTIFS(Backlog!$B$2:$B$180,A28,Backlog!$C$2:$C$180,B28,Backlog!$L$2:$L$180,C28,Backlog!$AM$2:$AM$180,0)</x:f>
        <x:v>0</x:v>
      </x:c>
      <x:c r="K28"/>
      <x:c r="L28"/>
    </x:row>
    <x:row r="29" ht="26" customHeight="1">
      <x:c r="A29" s="206" t="str">
        <x:v>M3</x:v>
      </x:c>
      <x:c r="B29" s="206" t="str">
        <x:v>P4</x:v>
      </x:c>
      <x:c r="C29" s="206" t="str">
        <x:v>Worker 3</x:v>
      </x:c>
      <x:c r="D29" s="206" t="n">
        <x:f>COUNTIFS(Backlog!$B$2:$B$180,A29,Backlog!$C$2:$C$180,B29,Backlog!$L$2:$L$180,C29)</x:f>
        <x:v>36</x:v>
      </x:c>
      <x:c r="E29" s="206" t="n">
        <x:f>COUNTIFS(Backlog!$B$2:$B$180,A29,Backlog!$C$2:$C$180,B29,Backlog!$L$2:$L$180,C29,Backlog!$K$2:$K$180,"Done")</x:f>
        <x:v>0</x:v>
      </x:c>
      <x:c r="F29" s="206" t="n">
        <x:f>D29-E29</x:f>
        <x:v>36</x:v>
      </x:c>
      <x:c r="G29" s="206" t="n">
        <x:f>SUMIFS(Backlog!$J$2:$J$180,Backlog!$B$2:$B$180,A29,Backlog!$C$2:$C$180,B29,Backlog!$L$2:$L$180,C29)</x:f>
        <x:v>388</x:v>
      </x:c>
      <x:c r="H29" s="206" t="n">
        <x:f>SUMIFS(Backlog!$J$2:$J$180,Backlog!$B$2:$B$180,A29,Backlog!$C$2:$C$180,B29,Backlog!$L$2:$L$180,C29,Backlog!$K$2:$K$180,"Done")</x:f>
        <x:v>0</x:v>
      </x:c>
      <x:c r="I29" s="206" t="n">
        <x:f>G29-H29</x:f>
        <x:v>388</x:v>
      </x:c>
      <x:c r="J29" s="206" t="n">
        <x:f>COUNTIFS(Backlog!$B$2:$B$180,A29,Backlog!$C$2:$C$180,B29,Backlog!$L$2:$L$180,C29,Backlog!$AM$2:$AM$180,0)</x:f>
        <x:v>1</x:v>
      </x:c>
      <x:c r="K29"/>
      <x:c r="L29"/>
    </x:row>
    <x:row r="30" ht="26" customHeight="1">
      <x:c r="A30" s="206" t="str">
        <x:v>M3</x:v>
      </x:c>
      <x:c r="B30" s="206" t="str">
        <x:v>P5</x:v>
      </x:c>
      <x:c r="C30" s="206" t="str">
        <x:v>Worker 1</x:v>
      </x:c>
      <x:c r="D30" s="206" t="n">
        <x:f>COUNTIFS(Backlog!$B$2:$B$180,A30,Backlog!$C$2:$C$180,B30,Backlog!$L$2:$L$180,C30)</x:f>
        <x:v>1</x:v>
      </x:c>
      <x:c r="E30" s="206" t="n">
        <x:f>COUNTIFS(Backlog!$B$2:$B$180,A30,Backlog!$C$2:$C$180,B30,Backlog!$L$2:$L$180,C30,Backlog!$K$2:$K$180,"Done")</x:f>
        <x:v>0</x:v>
      </x:c>
      <x:c r="F30" s="206" t="n">
        <x:f>D30-E30</x:f>
        <x:v>1</x:v>
      </x:c>
      <x:c r="G30" s="206" t="n">
        <x:f>SUMIFS(Backlog!$J$2:$J$180,Backlog!$B$2:$B$180,A30,Backlog!$C$2:$C$180,B30,Backlog!$L$2:$L$180,C30)</x:f>
        <x:v>12</x:v>
      </x:c>
      <x:c r="H30" s="206" t="n">
        <x:f>SUMIFS(Backlog!$J$2:$J$180,Backlog!$B$2:$B$180,A30,Backlog!$C$2:$C$180,B30,Backlog!$L$2:$L$180,C30,Backlog!$K$2:$K$180,"Done")</x:f>
        <x:v>0</x:v>
      </x:c>
      <x:c r="I30" s="206" t="n">
        <x:f>G30-H30</x:f>
        <x:v>12</x:v>
      </x:c>
      <x:c r="J30" s="206" t="n">
        <x:f>COUNTIFS(Backlog!$B$2:$B$180,A30,Backlog!$C$2:$C$180,B30,Backlog!$L$2:$L$180,C30,Backlog!$AM$2:$AM$180,0)</x:f>
        <x:v>0</x:v>
      </x:c>
      <x:c r="K30"/>
      <x:c r="L30"/>
    </x:row>
    <x:row r="31" ht="26" customHeight="1">
      <x:c r="A31" s="206" t="str">
        <x:v>M3</x:v>
      </x:c>
      <x:c r="B31" s="206" t="str">
        <x:v>P5</x:v>
      </x:c>
      <x:c r="C31" s="206" t="str">
        <x:v>Worker 2</x:v>
      </x:c>
      <x:c r="D31" s="206" t="n">
        <x:f>COUNTIFS(Backlog!$B$2:$B$180,A31,Backlog!$C$2:$C$180,B31,Backlog!$L$2:$L$180,C31)</x:f>
        <x:v>1</x:v>
      </x:c>
      <x:c r="E31" s="206" t="n">
        <x:f>COUNTIFS(Backlog!$B$2:$B$180,A31,Backlog!$C$2:$C$180,B31,Backlog!$L$2:$L$180,C31,Backlog!$K$2:$K$180,"Done")</x:f>
        <x:v>0</x:v>
      </x:c>
      <x:c r="F31" s="206" t="n">
        <x:f>D31-E31</x:f>
        <x:v>1</x:v>
      </x:c>
      <x:c r="G31" s="206" t="n">
        <x:f>SUMIFS(Backlog!$J$2:$J$180,Backlog!$B$2:$B$180,A31,Backlog!$C$2:$C$180,B31,Backlog!$L$2:$L$180,C31)</x:f>
        <x:v>12</x:v>
      </x:c>
      <x:c r="H31" s="206" t="n">
        <x:f>SUMIFS(Backlog!$J$2:$J$180,Backlog!$B$2:$B$180,A31,Backlog!$C$2:$C$180,B31,Backlog!$L$2:$L$180,C31,Backlog!$K$2:$K$180,"Done")</x:f>
        <x:v>0</x:v>
      </x:c>
      <x:c r="I31" s="206" t="n">
        <x:f>G31-H31</x:f>
        <x:v>12</x:v>
      </x:c>
      <x:c r="J31" s="206" t="n">
        <x:f>COUNTIFS(Backlog!$B$2:$B$180,A31,Backlog!$C$2:$C$180,B31,Backlog!$L$2:$L$180,C31,Backlog!$AM$2:$AM$180,0)</x:f>
        <x:v>0</x:v>
      </x:c>
      <x:c r="K31"/>
      <x:c r="L31"/>
    </x:row>
    <x:row r="32" ht="26" customHeight="1">
      <x:c r="A32" s="206" t="str">
        <x:v>M3</x:v>
      </x:c>
      <x:c r="B32" s="206" t="str">
        <x:v>P5</x:v>
      </x:c>
      <x:c r="C32" s="206" t="str">
        <x:v>Worker 3</x:v>
      </x:c>
      <x:c r="D32" s="206" t="n">
        <x:f>COUNTIFS(Backlog!$B$2:$B$180,A32,Backlog!$C$2:$C$180,B32,Backlog!$L$2:$L$180,C32)</x:f>
        <x:v>0</x:v>
      </x:c>
      <x:c r="E32" s="206" t="n">
        <x:f>COUNTIFS(Backlog!$B$2:$B$180,A32,Backlog!$C$2:$C$180,B32,Backlog!$L$2:$L$180,C32,Backlog!$K$2:$K$180,"Done")</x:f>
        <x:v>0</x:v>
      </x:c>
      <x:c r="F32" s="206" t="n">
        <x:f>D32-E32</x:f>
        <x:v>0</x:v>
      </x:c>
      <x:c r="G32" s="206" t="n">
        <x:f>SUMIFS(Backlog!$J$2:$J$180,Backlog!$B$2:$B$180,A32,Backlog!$C$2:$C$180,B32,Backlog!$L$2:$L$180,C32)</x:f>
        <x:v>0</x:v>
      </x:c>
      <x:c r="H32" s="206" t="n">
        <x:f>SUMIFS(Backlog!$J$2:$J$180,Backlog!$B$2:$B$180,A32,Backlog!$C$2:$C$180,B32,Backlog!$L$2:$L$180,C32,Backlog!$K$2:$K$180,"Done")</x:f>
        <x:v>0</x:v>
      </x:c>
      <x:c r="I32" s="206" t="n">
        <x:f>G32-H32</x:f>
        <x:v>0</x:v>
      </x:c>
      <x:c r="J32" s="206" t="n">
        <x:f>COUNTIFS(Backlog!$B$2:$B$180,A32,Backlog!$C$2:$C$180,B32,Backlog!$L$2:$L$180,C32,Backlog!$AM$2:$AM$180,0)</x:f>
        <x:v>0</x:v>
      </x:c>
      <x:c r="K32"/>
      <x:c r="L32"/>
    </x:row>
    <x:row r="33">
      <x:c r="A33"/>
      <x:c r="B33"/>
      <x:c r="C33"/>
      <x:c r="D33"/>
      <x:c r="E33"/>
      <x:c r="F33"/>
      <x:c r="G33"/>
      <x:c r="H33"/>
      <x:c r="I33"/>
      <x:c r="J33"/>
      <x:c r="K33"/>
      <x:c r="L33"/>
    </x:row>
    <x:row r="34">
      <x:c r="A34"/>
      <x:c r="B34"/>
      <x:c r="C34"/>
      <x:c r="D34"/>
      <x:c r="E34"/>
      <x:c r="F34"/>
      <x:c r="G34"/>
      <x:c r="H34"/>
      <x:c r="I34"/>
      <x:c r="J34"/>
      <x:c r="K34"/>
      <x:c r="L34"/>
    </x:row>
  </x:sheetData>
  <x:mergeCells>
    <x:mergeCell ref="A1:J1"/>
  </x:mergeCells>
  <x:pageMargins left="0.7" right="0.7" top="0.75" bottom="0.75" header="0.3" footer="0.3"/>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20" hidden="0" customWidth="1"/>
  </x:cols>
  <x:sheetData>
    <x:row r="1" ht="32" customHeight="1">
      <x:c r="A1" s="123" t="str">
        <x:v>Original sheet</x:v>
      </x:c>
      <x:c r="B1" s="123" t="str">
        <x:v>Row</x:v>
      </x:c>
      <x:c r="C1" s="123" t="str">
        <x:v>Cell contents — preserved as historical evidence</x:v>
      </x:c>
      <x:c r="D1"/>
      <x:c r="E1"/>
      <x:c r="F1"/>
      <x:c r="G1"/>
      <x:c r="H1"/>
      <x:c r="I1"/>
      <x:c r="J1"/>
      <x:c r="K1"/>
      <x:c r="L1"/>
    </x:row>
    <x:row r="2" ht="32" customHeight="1">
      <x:c r="A2" s="113" t="str">
        <x:v>Current Authority</x:v>
      </x:c>
      <x:c r="B2" s="113" t="n">
        <x:v>1</x:v>
      </x:c>
      <x:c r="C2" s="113" t="str">
        <x:v>["PPIQ Backlog v2.21.0 — Product Capability Traceability + Governed Projection Executor", null, null, null]</x:v>
      </x:c>
      <x:c r="D2"/>
      <x:c r="E2"/>
      <x:c r="F2"/>
      <x:c r="G2"/>
      <x:c r="H2"/>
      <x:c r="I2"/>
      <x:c r="J2"/>
      <x:c r="K2"/>
      <x:c r="L2"/>
    </x:row>
    <x:row r="3" ht="32" customHeight="1">
      <x:c r="A3" s="113" t="str">
        <x:v>Current Authority</x:v>
      </x:c>
      <x:c r="B3" s="113" t="n">
        <x:v>2</x:v>
      </x:c>
      <x:c r="C3" s="113" t="str">
        <x:v>[null, null, null, null]</x:v>
      </x:c>
      <x:c r="D3"/>
      <x:c r="E3"/>
      <x:c r="F3"/>
      <x:c r="G3"/>
      <x:c r="H3"/>
      <x:c r="I3"/>
      <x:c r="J3"/>
      <x:c r="K3"/>
      <x:c r="L3"/>
    </x:row>
    <x:row r="4" ht="32" customHeight="1">
      <x:c r="A4" s="113" t="str">
        <x:v>Current Authority</x:v>
      </x:c>
      <x:c r="B4" s="113" t="n">
        <x:v>3</x:v>
      </x:c>
      <x:c r="C4" s="113" t="str">
        <x:v>["Authority", "Current value", "Date", "Meaning"]</x:v>
      </x:c>
      <x:c r="D4"/>
      <x:c r="E4"/>
      <x:c r="F4"/>
      <x:c r="G4"/>
      <x:c r="H4"/>
      <x:c r="I4"/>
      <x:c r="J4"/>
      <x:c r="K4"/>
      <x:c r="L4"/>
    </x:row>
    <x:row r="5" ht="32" customHeight="1">
      <x:c r="A5" s="113" t="str">
        <x:v>Current Authority</x:v>
      </x:c>
      <x:c r="B5" s="113" t="n">
        <x:v>4</x:v>
      </x:c>
      <x:c r="C5" s="113" t="str">
        <x:v>["Master Design", "v4.10.1", "2026-09-04", "Six design chapters only"]</x:v>
      </x:c>
      <x:c r="D5"/>
      <x:c r="E5"/>
      <x:c r="F5"/>
      <x:c r="G5"/>
      <x:c r="H5"/>
      <x:c r="I5"/>
      <x:c r="J5"/>
      <x:c r="K5"/>
      <x:c r="L5"/>
    </x:row>
    <x:row r="6" ht="32" customHeight="1">
      <x:c r="A6" s="113" t="str">
        <x:v>Current Authority</x:v>
      </x:c>
      <x:c r="B6" s="113" t="n">
        <x:v>5</x:v>
      </x:c>
      <x:c r="C6" s="113" t="str">
        <x:v>["Execution Backlog", "v2.21.0", 46276, "This workbook is the v2.21.0 execution authority. Capability traceability and T-261 are current; legacy summary sheets retaining v220 labels are preserved as prior generated views and are not the source of task/capability truth."]</x:v>
      </x:c>
      <x:c r="D6"/>
      <x:c r="E6"/>
      <x:c r="F6"/>
      <x:c r="G6"/>
      <x:c r="H6"/>
      <x:c r="I6"/>
      <x:c r="J6"/>
      <x:c r="K6"/>
      <x:c r="L6"/>
    </x:row>
    <x:row r="7" ht="32" customHeight="1">
      <x:c r="A7" s="113" t="str">
        <x:v>Current Authority</x:v>
      </x:c>
      <x:c r="B7" s="113" t="n">
        <x:v>6</x:v>
      </x:c>
      <x:c r="C7" s="113" t="str">
        <x:v>["Release 1", "M2 — 30 Sep 2026", null, "Early production / customer first-week ready"]</x:v>
      </x:c>
      <x:c r="D7"/>
      <x:c r="E7"/>
      <x:c r="F7"/>
      <x:c r="G7"/>
      <x:c r="H7"/>
      <x:c r="I7"/>
      <x:c r="J7"/>
      <x:c r="K7"/>
      <x:c r="L7"/>
    </x:row>
    <x:row r="8" ht="32" customHeight="1">
      <x:c r="A8" s="113" t="str">
        <x:v>Current Authority</x:v>
      </x:c>
      <x:c r="B8" s="113" t="n">
        <x:v>7</x:v>
      </x:c>
      <x:c r="C8" s="113" t="str">
        <x:v>["Release 2", "M3 — 30 Oct 2026", null, "Heavy production / more users / more data"]</x:v>
      </x:c>
      <x:c r="D8"/>
      <x:c r="E8"/>
      <x:c r="F8"/>
      <x:c r="G8"/>
      <x:c r="H8"/>
      <x:c r="I8"/>
      <x:c r="J8"/>
      <x:c r="K8"/>
      <x:c r="L8"/>
    </x:row>
    <x:row r="9" ht="32" customHeight="1">
      <x:c r="A9" s="113" t="str">
        <x:v>Current Authority</x:v>
      </x:c>
      <x:c r="B9" s="113" t="n">
        <x:v>8</x:v>
      </x:c>
      <x:c r="C9" s="113" t="str">
        <x:v>["Phase vocabulary", "P1 · P2 · P3 · P4 · P5", null, "No alternative milestone/phase codes are current authority"]</x:v>
      </x:c>
      <x:c r="D9"/>
      <x:c r="E9"/>
      <x:c r="F9"/>
      <x:c r="G9"/>
      <x:c r="H9"/>
      <x:c r="I9"/>
      <x:c r="J9"/>
      <x:c r="K9"/>
      <x:c r="L9"/>
    </x:row>
    <x:row r="10" ht="32" customHeight="1">
      <x:c r="A10" s="113" t="str">
        <x:v>Current Authority</x:v>
      </x:c>
      <x:c r="B10" s="113" t="n">
        <x:v>9</x:v>
      </x:c>
      <x:c r="C10" s="113" t="str">
        <x:v>["Mirror law", "100% traceability required", null, "Every design requirement maps to backlog acceptance; every task maps to design"]</x:v>
      </x:c>
      <x:c r="D10"/>
      <x:c r="E10"/>
      <x:c r="F10"/>
      <x:c r="G10"/>
      <x:c r="H10"/>
      <x:c r="I10"/>
      <x:c r="J10"/>
      <x:c r="K10"/>
      <x:c r="L10"/>
    </x:row>
    <x:row r="11" ht="32" customHeight="1">
      <x:c r="A11" s="113" t="str">
        <x:v>Current Authority</x:v>
      </x:c>
      <x:c r="B11" s="113" t="n">
        <x:v>10</x:v>
      </x:c>
      <x:c r="C11" s="113" t="str">
        <x:v>["Historical work", "Archive only", null, "Prior M1/Fleet-specific work is evidence, not current execution scope"]</x:v>
      </x:c>
      <x:c r="D11"/>
      <x:c r="E11"/>
      <x:c r="F11"/>
      <x:c r="G11"/>
      <x:c r="H11"/>
      <x:c r="I11"/>
      <x:c r="J11"/>
      <x:c r="K11"/>
      <x:c r="L11"/>
    </x:row>
    <x:row r="12" ht="32" customHeight="1">
      <x:c r="A12" s="113" t="str">
        <x:v>Current Authority</x:v>
      </x:c>
      <x:c r="B12" s="113" t="n">
        <x:v>11</x:v>
      </x:c>
      <x:c r="C12" s="113" t="str">
        <x:v>["Latest revision", "T-261 added as the governed Transformation/Projection executor prerequisite for T-245. Product Capability Traceability Standard v1.1 mapped every backlog task to a stable capability point.", 46276, "v2.21.0 is a semantic version change because T-261 is a genuine new task. Capability mapping itself changes traceability/reporting only and does not redefine existing task scope."]</x:v>
      </x:c>
      <x:c r="D12"/>
      <x:c r="E12"/>
      <x:c r="F12"/>
      <x:c r="G12"/>
      <x:c r="H12"/>
      <x:c r="I12"/>
      <x:c r="J12"/>
      <x:c r="K12"/>
      <x:c r="L12"/>
    </x:row>
    <x:row r="13" ht="32" customHeight="1">
      <x:c r="A13" s="113" t="str">
        <x:v>Governance</x:v>
      </x:c>
      <x:c r="B13" s="113" t="n">
        <x:v>1</x:v>
      </x:c>
      <x:c r="C13" s="113" t="str">
        <x:v>["Execution Governance &amp; Vocabulary", null, null]</x:v>
      </x:c>
      <x:c r="D13"/>
      <x:c r="E13"/>
      <x:c r="F13"/>
      <x:c r="G13"/>
      <x:c r="H13"/>
      <x:c r="I13"/>
      <x:c r="J13"/>
      <x:c r="K13"/>
      <x:c r="L13"/>
    </x:row>
    <x:row r="14" ht="32" customHeight="1">
      <x:c r="A14" s="113" t="str">
        <x:v>Governance</x:v>
      </x:c>
      <x:c r="B14" s="113" t="n">
        <x:v>2</x:v>
      </x:c>
      <x:c r="C14" s="113" t="str">
        <x:v>[null, null, null]</x:v>
      </x:c>
      <x:c r="D14"/>
      <x:c r="E14"/>
      <x:c r="F14"/>
      <x:c r="G14"/>
      <x:c r="H14"/>
      <x:c r="I14"/>
      <x:c r="J14"/>
      <x:c r="K14"/>
      <x:c r="L14"/>
    </x:row>
    <x:row r="15" ht="32" customHeight="1">
      <x:c r="A15" s="113" t="str">
        <x:v>Governance</x:v>
      </x:c>
      <x:c r="B15" s="113" t="n">
        <x:v>3</x:v>
      </x:c>
      <x:c r="C15" s="113" t="str">
        <x:v>["Rule", "Current authority", "Why"]</x:v>
      </x:c>
      <x:c r="D15"/>
      <x:c r="E15"/>
      <x:c r="F15"/>
      <x:c r="G15"/>
      <x:c r="H15"/>
      <x:c r="I15"/>
      <x:c r="J15"/>
      <x:c r="K15"/>
      <x:c r="L15"/>
    </x:row>
    <x:row r="16" ht="32" customHeight="1">
      <x:c r="A16" s="113" t="str">
        <x:v>Governance</x:v>
      </x:c>
      <x:c r="B16" s="113" t="n">
        <x:v>4</x:v>
      </x:c>
      <x:c r="C16" s="113" t="str">
        <x:v>["Release vocabulary", "Only M2 and M3", "No alternative roadmap names are current authority"]</x:v>
      </x:c>
      <x:c r="D16"/>
      <x:c r="E16"/>
      <x:c r="F16"/>
      <x:c r="G16"/>
      <x:c r="H16"/>
      <x:c r="I16"/>
      <x:c r="J16"/>
      <x:c r="K16"/>
      <x:c r="L16"/>
    </x:row>
    <x:row r="17" ht="32" customHeight="1">
      <x:c r="A17" s="113" t="str">
        <x:v>Governance</x:v>
      </x:c>
      <x:c r="B17" s="113" t="n">
        <x:v>5</x:v>
      </x:c>
      <x:c r="C17" s="113" t="str">
        <x:v>["Phase vocabulary", "Only P1/P2/P3/P4/P5", "Immediately shows before/after and product purpose"]</x:v>
      </x:c>
      <x:c r="D17"/>
      <x:c r="E17"/>
      <x:c r="F17"/>
      <x:c r="G17"/>
      <x:c r="H17"/>
      <x:c r="I17"/>
      <x:c r="J17"/>
      <x:c r="K17"/>
      <x:c r="L17"/>
    </x:row>
    <x:row r="18" ht="32" customHeight="1">
      <x:c r="A18" s="113" t="str">
        <x:v>Governance</x:v>
      </x:c>
      <x:c r="B18" s="113" t="n">
        <x:v>6</x:v>
      </x:c>
      <x:c r="C18" s="113" t="str">
        <x:v>["M2 meaning", "Release 1 — real early production", "Not demo, not pilot-only, not presentation branch"]</x:v>
      </x:c>
      <x:c r="D18"/>
      <x:c r="E18"/>
      <x:c r="F18"/>
      <x:c r="G18"/>
      <x:c r="H18"/>
      <x:c r="I18"/>
      <x:c r="J18"/>
      <x:c r="K18"/>
      <x:c r="L18"/>
    </x:row>
    <x:row r="19" ht="32" customHeight="1">
      <x:c r="A19" s="113" t="str">
        <x:v>Governance</x:v>
      </x:c>
      <x:c r="B19" s="113" t="n">
        <x:v>7</x:v>
      </x:c>
      <x:c r="C19" s="113" t="str">
        <x:v>["M3 meaning", "Release 2 — heavy production", "More users, more data, sustained runtime and deeper capability"]</x:v>
      </x:c>
      <x:c r="D19"/>
      <x:c r="E19"/>
      <x:c r="F19"/>
      <x:c r="G19"/>
      <x:c r="H19"/>
      <x:c r="I19"/>
      <x:c r="J19"/>
      <x:c r="K19"/>
      <x:c r="L19"/>
    </x:row>
    <x:row r="20" ht="32" customHeight="1">
      <x:c r="A20" s="113" t="str">
        <x:v>Governance</x:v>
      </x:c>
      <x:c r="B20" s="113" t="n">
        <x:v>8</x:v>
      </x:c>
      <x:c r="C20" s="113" t="str">
        <x:v>["One task / one owner", "Mandatory", "No cross-worker implementation ownership"]</x:v>
      </x:c>
      <x:c r="D20"/>
      <x:c r="E20"/>
      <x:c r="F20"/>
      <x:c r="G20"/>
      <x:c r="H20"/>
      <x:c r="I20"/>
      <x:c r="J20"/>
      <x:c r="K20"/>
      <x:c r="L20"/>
    </x:row>
    <x:row r="21" ht="32" customHeight="1">
      <x:c r="A21" s="113" t="str">
        <x:v>Governance</x:v>
      </x:c>
      <x:c r="B21" s="113" t="n">
        <x:v>9</x:v>
      </x:c>
      <x:c r="C21" s="113" t="str">
        <x:v>["Dependencies", "IDs only", "Machine-readable semicolon-separated Task IDs"]</x:v>
      </x:c>
      <x:c r="D21"/>
      <x:c r="E21"/>
      <x:c r="F21"/>
      <x:c r="G21"/>
      <x:c r="H21"/>
      <x:c r="I21"/>
      <x:c r="J21"/>
      <x:c r="K21"/>
      <x:c r="L21"/>
    </x:row>
    <x:row r="22" ht="32" customHeight="1">
      <x:c r="A22" s="113" t="str">
        <x:v>Governance</x:v>
      </x:c>
      <x:c r="B22" s="113" t="n">
        <x:v>10</x:v>
      </x:c>
      <x:c r="C22" s="113" t="str">
        <x:v>["Release truth", "Browser walk is final confirmation", "Basic defects must fail automated gates before browser walk"]</x:v>
      </x:c>
      <x:c r="D22"/>
      <x:c r="E22"/>
      <x:c r="F22"/>
      <x:c r="G22"/>
      <x:c r="H22"/>
      <x:c r="I22"/>
      <x:c r="J22"/>
      <x:c r="K22"/>
      <x:c r="L22"/>
    </x:row>
    <x:row r="23" ht="32" customHeight="1">
      <x:c r="A23" s="113" t="str">
        <x:v>Governance</x:v>
      </x:c>
      <x:c r="B23" s="113" t="n">
        <x:v>11</x:v>
      </x:c>
      <x:c r="C23" s="113" t="str">
        <x:v>["Genericity", "Same binary; customer changes configuration, not product", "Customer-specific product code fails onboarding"]</x:v>
      </x:c>
      <x:c r="D23"/>
      <x:c r="E23"/>
      <x:c r="F23"/>
      <x:c r="G23"/>
      <x:c r="H23"/>
      <x:c r="I23"/>
      <x:c r="J23"/>
      <x:c r="K23"/>
      <x:c r="L23"/>
    </x:row>
    <x:row r="24" ht="32" customHeight="1">
      <x:c r="A24" s="113" t="str">
        <x:v>Governance</x:v>
      </x:c>
      <x:c r="B24" s="113" t="n">
        <x:v>12</x:v>
      </x:c>
      <x:c r="C24" s="113" t="str">
        <x:v>["Canvas expression / control-flow placement", "Layer-B is final semantic authority: arithmetic/comparison/logic are expression configuration; FOR/WHILE are Job orchestration. T-242 closed artifacts are compatibility inputs only; no new board-level expansion.", "Preserves valid T-242 closure while preventing the backlog/design contradiction from propagating into S3/S4 and Release 2."]</x:v>
      </x:c>
      <x:c r="D24"/>
      <x:c r="E24"/>
      <x:c r="F24"/>
      <x:c r="G24"/>
      <x:c r="H24"/>
      <x:c r="I24"/>
      <x:c r="J24"/>
      <x:c r="K24"/>
      <x:c r="L24"/>
    </x:row>
    <x:row r="25" ht="32" customHeight="1">
      <x:c r="A25" s="113" t="str">
        <x:v>Governance</x:v>
      </x:c>
      <x:c r="B25" s="113" t="n">
        <x:v>13</x:v>
      </x:c>
      <x:c r="C25" s="113" t="str">
        <x:v>["OPC", "Read-only/outbound edge", "No control/writeback path"]</x:v>
      </x:c>
      <x:c r="D25"/>
      <x:c r="E25"/>
      <x:c r="F25"/>
      <x:c r="G25"/>
      <x:c r="H25"/>
      <x:c r="I25"/>
      <x:c r="J25"/>
      <x:c r="K25"/>
      <x:c r="L25"/>
    </x:row>
    <x:row r="26" ht="32" customHeight="1">
      <x:c r="A26" s="113" t="str">
        <x:v>Governance</x:v>
      </x:c>
      <x:c r="B26" s="113" t="n">
        <x:v>14</x:v>
      </x:c>
      <x:c r="C26" s="113" t="str">
        <x:v>["Assistant", "Evidence-first", "No invented numbers or unsupported root-cause certainty"]</x:v>
      </x:c>
      <x:c r="D26"/>
      <x:c r="E26"/>
      <x:c r="F26"/>
      <x:c r="G26"/>
      <x:c r="H26"/>
      <x:c r="I26"/>
      <x:c r="J26"/>
      <x:c r="K26"/>
      <x:c r="L26"/>
    </x:row>
    <x:row r="27" ht="32" customHeight="1">
      <x:c r="A27" s="113" t="str">
        <x:v>Governance</x:v>
      </x:c>
      <x:c r="B27" s="113" t="n">
        <x:v>15</x:v>
      </x:c>
      <x:c r="C27" s="113" t="str">
        <x:v>["Value", "Bounded and evidenced", "Potential value ≠ realised value"]</x:v>
      </x:c>
      <x:c r="D27"/>
      <x:c r="E27"/>
      <x:c r="F27"/>
      <x:c r="G27"/>
      <x:c r="H27"/>
      <x:c r="I27"/>
      <x:c r="J27"/>
      <x:c r="K27"/>
      <x:c r="L27"/>
    </x:row>
    <x:row r="28" ht="32" customHeight="1">
      <x:c r="A28" s="113" t="str">
        <x:v>Governance</x:v>
      </x:c>
      <x:c r="B28" s="113" t="n">
        <x:v>16</x:v>
      </x:c>
      <x:c r="C28" s="113" t="str">
        <x:v>["Repository mutation ownership", "No Task ID = no repository mutation", "Every code/test/config change or corrective finding maps to an existing task or a newly created task; closed tasks stay closed."]</x:v>
      </x:c>
      <x:c r="D28"/>
      <x:c r="E28"/>
      <x:c r="F28"/>
      <x:c r="G28"/>
      <x:c r="H28"/>
      <x:c r="I28"/>
      <x:c r="J28"/>
      <x:c r="K28"/>
      <x:c r="L28"/>
    </x:row>
    <x:row r="29" ht="32" customHeight="1">
      <x:c r="A29" s="113" t="str">
        <x:v>Governance</x:v>
      </x:c>
      <x:c r="B29" s="113" t="n">
        <x:v>17</x:v>
      </x:c>
      <x:c r="C29" s="113" t="str">
        <x:v>["Test execution economy", "Narrow affected tests first; expensive full certification only at the owning gate or when that gate changes", "Prevents repeated hour-scale reruns while preserving final release truth."]</x:v>
      </x:c>
      <x:c r="D29"/>
      <x:c r="E29"/>
      <x:c r="F29"/>
      <x:c r="G29"/>
      <x:c r="H29"/>
      <x:c r="I29"/>
      <x:c r="J29"/>
      <x:c r="K29"/>
      <x:c r="L29"/>
    </x:row>
    <x:row r="30" ht="32" customHeight="1">
      <x:c r="A30" s="113" t="str">
        <x:v>Governance</x:v>
      </x:c>
      <x:c r="B30" s="113" t="n">
        <x:v>18</x:v>
      </x:c>
      <x:c r="C30" s="113" t="str">
        <x:v>["Release gate completeness", "T-150 enumerates every M2 row with Release Criticality = Release 1 MUST", "Direct Depends-On is sequencing metadata, never a substitute for complete release acceptance."]</x:v>
      </x:c>
      <x:c r="D30"/>
      <x:c r="E30"/>
      <x:c r="F30"/>
      <x:c r="G30"/>
      <x:c r="H30"/>
      <x:c r="I30"/>
      <x:c r="J30"/>
      <x:c r="K30"/>
      <x:c r="L30"/>
    </x:row>
    <x:row r="31" ht="32" customHeight="1">
      <x:c r="A31" s="113" t="str">
        <x:v>Governance</x:v>
      </x:c>
      <x:c r="B31" s="113" t="n">
        <x:v>19</x:v>
      </x:c>
      <x:c r="C31" s="113" t="str">
        <x:v>["Physical database authority", "Zero unknown product tables/columns on fresh certification DB", "Every object has schema, family, lifecycle, owner, design clause and generated dictionary entry."]</x:v>
      </x:c>
      <x:c r="D31"/>
      <x:c r="E31"/>
      <x:c r="F31"/>
      <x:c r="G31"/>
      <x:c r="H31"/>
      <x:c r="I31"/>
      <x:c r="J31"/>
      <x:c r="K31"/>
      <x:c r="L31"/>
    </x:row>
    <x:row r="32" ht="32" customHeight="1">
      <x:c r="A32" s="113" t="str">
        <x:v>Governance</x:v>
      </x:c>
      <x:c r="B32" s="113" t="n">
        <x:v>20</x:v>
      </x:c>
      <x:c r="C32" s="113" t="str">
        <x:v>["Disposable database lifecycle", "CREATE DATABASE implies owner + finally DROP unless explicitly declared persistent", "Prevents probe/scratch/backup debris and cross-worker shared-DB contamination."]</x:v>
      </x:c>
      <x:c r="D32"/>
      <x:c r="E32"/>
      <x:c r="F32"/>
      <x:c r="G32"/>
      <x:c r="H32"/>
      <x:c r="I32"/>
      <x:c r="J32"/>
      <x:c r="K32"/>
      <x:c r="L32"/>
    </x:row>
    <x:row r="33" ht="32" customHeight="1">
      <x:c r="A33" s="113" t="str">
        <x:v>Governance</x:v>
      </x:c>
      <x:c r="B33" s="113" t="n">
        <x:v>21</x:v>
      </x:c>
      <x:c r="C33" s="113" t="str">
        <x:v>["Database naming", "Forward snake_case + no customer vocabulary + no redundant ppiq_ prefix in governed schemas", "Existing names are grandfathered; no mass rename without owned compatibility proof."]</x:v>
      </x:c>
      <x:c r="D33"/>
      <x:c r="E33"/>
      <x:c r="F33"/>
      <x:c r="G33"/>
      <x:c r="H33"/>
      <x:c r="I33"/>
      <x:c r="J33"/>
      <x:c r="K33"/>
      <x:c r="L33"/>
    </x:row>
    <x:row r="34" ht="32" customHeight="1">
      <x:c r="A34" s="113" t="str">
        <x:v>Governance</x:v>
      </x:c>
      <x:c r="B34" s="113" t="n">
        <x:v>22</x:v>
      </x:c>
      <x:c r="C34" s="113" t="str">
        <x:v>["Authority precedence", "Current Master Design / frozen Layer-B semantic rulings &gt; current Backlog execution wording &gt; historical task prose.", "When two current documents conflict semantically, Central must rule and amend future scope; workers are not blamed for following the then-current backlog."]</x:v>
      </x:c>
      <x:c r="D34"/>
      <x:c r="E34"/>
      <x:c r="F34"/>
      <x:c r="G34"/>
      <x:c r="H34"/>
      <x:c r="I34"/>
      <x:c r="J34"/>
      <x:c r="K34"/>
      <x:c r="L34"/>
    </x:row>
    <x:row r="35" ht="32" customHeight="1">
      <x:c r="A35" s="113" t="str">
        <x:v>Governance</x:v>
      </x:c>
      <x:c r="B35" s="113" t="n">
        <x:v>23</x:v>
      </x:c>
      <x:c r="C35" s="113" t="str">
        <x:v>["Closed-task regression handling", "Do not broadly reopen closed tasks. A newly discovered concrete regression receives a narrow new Task ID unless the original closure evidence itself is proven false.", "Prevents scope erosion and preserves auditability."]</x:v>
      </x:c>
      <x:c r="D35"/>
      <x:c r="E35"/>
      <x:c r="F35"/>
      <x:c r="G35"/>
      <x:c r="H35"/>
      <x:c r="I35"/>
      <x:c r="J35"/>
      <x:c r="K35"/>
      <x:c r="L35"/>
    </x:row>
    <x:row r="36" ht="32" customHeight="1">
      <x:c r="A36" s="113" t="str">
        <x:v>Governance</x:v>
      </x:c>
      <x:c r="B36" s="113" t="n">
        <x:v>24</x:v>
      </x:c>
      <x:c r="C36" s="113" t="str">
        <x:v>["Release evidence envelope", "T-227 owns one canonical machine-readable schema; T-252/T-257 emit producer-specific evidence into it; T-150 aggregates it.", "Prevents duplicated skip-count formats and keeps final release gate from redefining evidence semantics late."]</x:v>
      </x:c>
      <x:c r="D36"/>
      <x:c r="E36"/>
      <x:c r="F36"/>
      <x:c r="G36"/>
      <x:c r="H36"/>
      <x:c r="I36"/>
      <x:c r="J36"/>
      <x:c r="K36"/>
      <x:c r="L36"/>
    </x:row>
    <x:row r="37" ht="32" customHeight="1">
      <x:c r="A37" s="113" t="str">
        <x:v>Governance</x:v>
      </x:c>
      <x:c r="B37" s="113" t="n">
        <x:v>25</x:v>
      </x:c>
      <x:c r="C37" s="113" t="str">
        <x:v>["Cross-worker genericity handoff", "Backend runtime convergence and frontend material-surface convergence have separate owners: T-256 Worker 1, T-258 Worker 2.", "Worker 1 must not repair Worker-2 frontend files; compatibility must remain green across the handoff."]</x:v>
      </x:c>
      <x:c r="D37"/>
      <x:c r="E37"/>
      <x:c r="F37"/>
      <x:c r="G37"/>
      <x:c r="H37"/>
      <x:c r="I37"/>
      <x:c r="J37"/>
      <x:c r="K37"/>
      <x:c r="L37"/>
    </x:row>
    <x:row r="38" ht="32" customHeight="1">
      <x:c r="A38" s="113" t="str">
        <x:v>Governance</x:v>
      </x:c>
      <x:c r="B38" s="113" t="n">
        <x:v>26</x:v>
      </x:c>
      <x:c r="C38" s="113" t="str">
        <x:v>["Canvas output-target namespace", "Canonical entity name from ICanonicalEntityCatalog; never physical relation name and never an overloaded Analysis Subject key.", "Graph and SQL share one governed output identity while Analysis Subject remains a separate semantic authority."]</x:v>
      </x:c>
      <x:c r="D38"/>
      <x:c r="E38"/>
      <x:c r="F38"/>
      <x:c r="G38"/>
      <x:c r="H38"/>
      <x:c r="I38"/>
      <x:c r="J38"/>
      <x:c r="K38"/>
      <x:c r="L38"/>
    </x:row>
    <x:row r="39" ht="32" customHeight="1">
      <x:c r="A39" s="113" t="str">
        <x:v>Governance</x:v>
      </x:c>
      <x:c r="B39" s="113" t="n">
        <x:v>27</x:v>
      </x:c>
      <x:c r="C39" s="113" t="str">
        <x:v>["Canvas output-target hashing", "New Graph/SQL saves carry root `outputTarget` in hashed canonical content. Legacy Graph may derive from graph.targetEntity; legacy SQL missing target returns null, never fabricated.", "Hash change on re-save legitimately creates a new immutable version; prior version remains untouched."]</x:v>
      </x:c>
      <x:c r="D39"/>
      <x:c r="E39"/>
      <x:c r="F39"/>
      <x:c r="G39"/>
      <x:c r="H39"/>
      <x:c r="I39"/>
      <x:c r="J39"/>
      <x:c r="K39"/>
      <x:c r="L39"/>
    </x:row>
    <x:row r="40" ht="32" customHeight="1">
      <x:c r="A40" s="113" t="str">
        <x:v>Governance</x:v>
      </x:c>
      <x:c r="B40" s="113" t="n">
        <x:v>28</x:v>
      </x:c>
      <x:c r="C40" s="113" t="str">
        <x:v>["Release evidence envelope v1", "T-259 owns the small shared machine-readable envelope contract. T-252/T-257 produce it; T-227 owns scorecard/policy; T-150 aggregates.", "Removes the impossible dependency where producers needed a P5 schema that did not yet exist."]</x:v>
      </x:c>
      <x:c r="D40"/>
      <x:c r="E40"/>
      <x:c r="F40"/>
      <x:c r="G40"/>
      <x:c r="H40"/>
      <x:c r="I40"/>
      <x:c r="J40"/>
      <x:c r="K40"/>
      <x:c r="L40"/>
    </x:row>
    <x:row r="41" ht="32" customHeight="1">
      <x:c r="A41" s="113" t="str">
        <x:v>Governance</x:v>
      </x:c>
      <x:c r="B41" s="113" t="n">
        <x:v>29</x:v>
      </x:c>
      <x:c r="C41" s="113" t="str">
        <x:v>["Release evidence count semantics", "total_count = executed_count + skipped_count; executed_count = passed_count + failed_count; skipped work is never counted as executed.", "Prevents an all-skipped suite from appearing fully exercised."]</x:v>
      </x:c>
      <x:c r="D41"/>
      <x:c r="E41"/>
      <x:c r="F41"/>
      <x:c r="G41"/>
      <x:c r="H41"/>
      <x:c r="I41"/>
      <x:c r="J41"/>
      <x:c r="K41"/>
      <x:c r="L41"/>
    </x:row>
    <x:row r="42" ht="32" customHeight="1">
      <x:c r="A42" s="113" t="str">
        <x:v>Governance</x:v>
      </x:c>
      <x:c r="B42" s="113" t="n">
        <x:v>30</x:v>
      </x:c>
      <x:c r="C42" s="113" t="str">
        <x:v>["Canonical projection-target eligibility", "Canonical entity identity and projection-target eligibility are separate facts. Eligibility is an explicit model/type-sourced capability, not 'all mapped entities' and not schema-only.", "Prevents ImportBatch/JobRunHistory/etc. from becoming Canvas/mapping targets while preserving valid reference targets outside ppiq_plant."]</x:v>
      </x:c>
      <x:c r="D42"/>
      <x:c r="E42"/>
      <x:c r="F42"/>
      <x:c r="G42"/>
      <x:c r="H42"/>
      <x:c r="I42"/>
      <x:c r="J42"/>
      <x:c r="K42"/>
      <x:c r="L42"/>
    </x:row>
    <x:row r="43" ht="32" customHeight="1">
      <x:c r="A43" s="113" t="str">
        <x:v>Governance</x:v>
      </x:c>
      <x:c r="B43" s="113" t="n">
        <x:v>31</x:v>
      </x:c>
      <x:c r="C43" s="113" t="str">
        <x:v>["Schema role in target eligibility", "ppiq_plant/ppiq_meta topology is a consistency/governance signal, not the sole target predicate.", "ParameterDefinition/DefectCatalog are valid current targets outside ppiq_plant; ppiq_plant also contains analytical outputs."]</x:v>
      </x:c>
      <x:c r="D43"/>
      <x:c r="E43"/>
      <x:c r="F43"/>
      <x:c r="G43"/>
      <x:c r="H43"/>
      <x:c r="I43"/>
      <x:c r="J43"/>
      <x:c r="K43"/>
      <x:c r="L43"/>
    </x:row>
    <x:row r="44" ht="32" customHeight="1">
      <x:c r="A44" s="113" t="str">
        <x:v>Governance</x:v>
      </x:c>
      <x:c r="B44" s="113" t="n">
        <x:v>32</x:v>
      </x:c>
      <x:c r="C44" s="113" t="str">
        <x:v>["T-256 synchronization", "T-253 is a hard dependency of T-256. If Worker 1 reaches the gate first, CENTRAL assigns a disjoint lane rather than allowing duplicate target-classification work.", "Correctness and single authority take precedence over keeping P1 locally wait-free."]</x:v>
      </x:c>
      <x:c r="D44"/>
      <x:c r="E44"/>
      <x:c r="F44"/>
      <x:c r="G44"/>
      <x:c r="H44"/>
      <x:c r="I44"/>
      <x:c r="J44"/>
      <x:c r="K44"/>
      <x:c r="L44"/>
    </x:row>
    <x:row r="45" ht="32" customHeight="1">
      <x:c r="A45" s="113" t="str">
        <x:v>Governance</x:v>
      </x:c>
      <x:c r="B45" s="113" t="n">
        <x:v>33</x:v>
      </x:c>
      <x:c r="C45" s="113" t="str">
        <x:v>["Fresh certification DB authority", "A database called ppiq_acceptance_empty is not authoritative merely by name; it must be constructed by the complete canonical migration-order authority.", "Prevents catalogue/adjudication against a partial fresh build."]</x:v>
      </x:c>
      <x:c r="D45"/>
      <x:c r="E45"/>
      <x:c r="F45"/>
      <x:c r="G45"/>
      <x:c r="H45"/>
      <x:c r="I45"/>
      <x:c r="J45"/>
      <x:c r="K45"/>
      <x:c r="L45"/>
    </x:row>
    <x:row r="46" ht="32" customHeight="1">
      <x:c r="A46" s="113" t="str">
        <x:v>Governance</x:v>
      </x:c>
      <x:c r="B46" s="113" t="n">
        <x:v>34</x:v>
      </x:c>
      <x:c r="C46" s="113" t="str">
        <x:v>["T-251/T-260 split", "T-251 owns read-only physical truth; T-260 owns correction of the fresh certification DB builder discovered by T-251.", "Avoids violating T-251's read-only lock while preventing false classification work."]</x:v>
      </x:c>
      <x:c r="D46"/>
      <x:c r="E46"/>
      <x:c r="F46"/>
      <x:c r="G46"/>
      <x:c r="H46"/>
      <x:c r="I46"/>
      <x:c r="J46"/>
      <x:c r="K46"/>
      <x:c r="L46"/>
    </x:row>
    <x:row r="47" ht="32" customHeight="1">
      <x:c r="A47" s="113" t="str">
        <x:v>Governance</x:v>
      </x:c>
      <x:c r="B47" s="113" t="n">
        <x:v>35</x:v>
      </x:c>
      <x:c r="C47" s="113" t="str">
        <x:v>["Adjudication order", "Do not classify the old 106/81 fresh-DB queue. Correct/rebuild first, rerun census second, adjudicate only the remaining true queue.", "Avoids spending governance effort on objects stranded by an incomplete build path."]</x:v>
      </x:c>
      <x:c r="D47"/>
      <x:c r="E47"/>
      <x:c r="F47"/>
      <x:c r="G47"/>
      <x:c r="H47"/>
      <x:c r="I47"/>
      <x:c r="J47"/>
      <x:c r="K47"/>
      <x:c r="L47"/>
    </x:row>
    <x:row r="48" ht="32" customHeight="1">
      <x:c r="A48" s="113" t="str">
        <x:v>Method &amp; Notes</x:v>
      </x:c>
      <x:c r="B48" s="113" t="n">
        <x:v>1</x:v>
      </x:c>
      <x:c r="C48" s="113" t="str">
        <x:v>["Method, evidence hierarchy, and v2.20.4 reconciliation", null]</x:v>
      </x:c>
      <x:c r="D48"/>
      <x:c r="E48"/>
      <x:c r="F48"/>
      <x:c r="G48"/>
      <x:c r="H48"/>
      <x:c r="I48"/>
      <x:c r="J48"/>
      <x:c r="K48"/>
      <x:c r="L48"/>
    </x:row>
    <x:row r="49" ht="32" customHeight="1">
      <x:c r="A49" s="113" t="str">
        <x:v>Method &amp; Notes</x:v>
      </x:c>
      <x:c r="B49" s="113" t="n">
        <x:v>2</x:v>
      </x:c>
      <x:c r="C49" s="113" t="str">
        <x:v>[null, null]</x:v>
      </x:c>
      <x:c r="D49"/>
      <x:c r="E49"/>
      <x:c r="F49"/>
      <x:c r="G49"/>
      <x:c r="H49"/>
      <x:c r="I49"/>
      <x:c r="J49"/>
      <x:c r="K49"/>
      <x:c r="L49"/>
    </x:row>
    <x:row r="50" ht="32" customHeight="1">
      <x:c r="A50" s="113" t="str">
        <x:v>Method &amp; Notes</x:v>
      </x:c>
      <x:c r="B50" s="113" t="n">
        <x:v>3</x:v>
      </x:c>
      <x:c r="C50" s="113" t="str">
        <x:v>["Topic", "Rule / interpretation"]</x:v>
      </x:c>
      <x:c r="D50"/>
      <x:c r="E50"/>
      <x:c r="F50"/>
      <x:c r="G50"/>
      <x:c r="H50"/>
      <x:c r="I50"/>
      <x:c r="J50"/>
      <x:c r="K50"/>
      <x:c r="L50"/>
    </x:row>
    <x:row r="51" ht="32" customHeight="1">
      <x:c r="A51" s="113" t="str">
        <x:v>Method &amp; Notes</x:v>
      </x:c>
      <x:c r="B51" s="113" t="n">
        <x:v>4</x:v>
      </x:c>
      <x:c r="C51" s="113" t="str">
        <x:v>["Execution authority", "PPIQ Backlog v2.20.2 dated 08-Sep-2026. It supersedes v2.20.1 after Worker-2 current-tree measurement and Worker-1 evidence-envelope dependency review."]</x:v>
      </x:c>
      <x:c r="D51"/>
      <x:c r="E51"/>
      <x:c r="F51"/>
      <x:c r="G51"/>
      <x:c r="H51"/>
      <x:c r="I51"/>
      <x:c r="J51"/>
      <x:c r="K51"/>
      <x:c r="L51"/>
    </x:row>
    <x:row r="52" ht="32" customHeight="1">
      <x:c r="A52" s="113" t="str">
        <x:v>Method &amp; Notes</x:v>
      </x:c>
      <x:c r="B52" s="113" t="n">
        <x:v>5</x:v>
      </x:c>
      <x:c r="C52" s="113" t="str">
        <x:v>["Hours denominator", "Nominal Hours remain the progress denominator. The review added real uncovered scope and retired one duplicate task, so M2 scope changes from 993h to 1035h."]</x:v>
      </x:c>
      <x:c r="D52"/>
      <x:c r="E52"/>
      <x:c r="F52"/>
      <x:c r="G52"/>
      <x:c r="H52"/>
      <x:c r="I52"/>
      <x:c r="J52"/>
      <x:c r="K52"/>
      <x:c r="L52"/>
    </x:row>
    <x:row r="53" ht="32" customHeight="1">
      <x:c r="A53" s="113" t="str">
        <x:v>Method &amp; Notes</x:v>
      </x:c>
      <x:c r="B53" s="113" t="n">
        <x:v>6</x:v>
      </x:c>
      <x:c r="C53" s="113" t="str">
        <x:v>["Strict completion", "In Progress receives zero closed-hour credit. Only Verified/Backlog Status = Done earns the task's full nominal hours."]</x:v>
      </x:c>
      <x:c r="D53"/>
      <x:c r="E53"/>
      <x:c r="F53"/>
      <x:c r="G53"/>
      <x:c r="H53"/>
      <x:c r="I53"/>
      <x:c r="J53"/>
      <x:c r="K53"/>
      <x:c r="L53"/>
    </x:row>
    <x:row r="54" ht="32" customHeight="1">
      <x:c r="A54" s="113" t="str">
        <x:v>Method &amp; Notes</x:v>
      </x:c>
      <x:c r="B54" s="113" t="n">
        <x:v>7</x:v>
      </x:c>
      <x:c r="C54" s="113" t="str">
        <x:v>["Regression law", "Valid closed tasks stay closed. Concrete regressions discovered after closure receive narrow new Task IDs unless closure evidence itself is invalidated."]</x:v>
      </x:c>
      <x:c r="D54"/>
      <x:c r="E54"/>
      <x:c r="F54"/>
      <x:c r="G54"/>
      <x:c r="H54"/>
      <x:c r="I54"/>
      <x:c r="J54"/>
      <x:c r="K54"/>
      <x:c r="L54"/>
    </x:row>
    <x:row r="55" ht="32" customHeight="1">
      <x:c r="A55" s="113" t="str">
        <x:v>Method &amp; Notes</x:v>
      </x:c>
      <x:c r="B55" s="113" t="n">
        <x:v>8</x:v>
      </x:c>
      <x:c r="C55" s="113" t="str">
        <x:v>["T-245 ruling", "T-245 is Not Started / QUEUED. It starts only after T-243 and T-106 are CLOSED GREEN; T-244 is already closed."]</x:v>
      </x:c>
      <x:c r="D55"/>
      <x:c r="E55"/>
      <x:c r="F55"/>
      <x:c r="G55"/>
      <x:c r="H55"/>
      <x:c r="I55"/>
      <x:c r="J55"/>
      <x:c r="K55"/>
      <x:c r="L55"/>
    </x:row>
    <x:row r="56" ht="32" customHeight="1">
      <x:c r="A56" s="113" t="str">
        <x:v>Method &amp; Notes</x:v>
      </x:c>
      <x:c r="B56" s="113" t="n">
        <x:v>9</x:v>
      </x:c>
      <x:c r="C56" s="113" t="str">
        <x:v>["T-252 ruling", "T-252 is M2-P1 and explicitly depends on T-251 in the dependency cell. Worker-1 P1 sequence is mechanically T-251 → T-252 → T-256."]</x:v>
      </x:c>
      <x:c r="D56"/>
      <x:c r="E56"/>
      <x:c r="F56"/>
      <x:c r="G56"/>
      <x:c r="H56"/>
      <x:c r="I56"/>
      <x:c r="J56"/>
      <x:c r="K56"/>
      <x:c r="L56"/>
    </x:row>
    <x:row r="57" ht="32" customHeight="1">
      <x:c r="A57" s="113" t="str">
        <x:v>Method &amp; Notes</x:v>
      </x:c>
      <x:c r="B57" s="113" t="n">
        <x:v>10</x:v>
      </x:c>
      <x:c r="C57" s="113" t="str">
        <x:v>["T-118 ruling", "T-118 is retired from active scope as a duplicate commissioning umbrella. Historical evidence is preserved in Prior Baseline Archive."]</x:v>
      </x:c>
      <x:c r="D57"/>
      <x:c r="E57"/>
      <x:c r="F57"/>
      <x:c r="G57"/>
      <x:c r="H57"/>
      <x:c r="I57"/>
      <x:c r="J57"/>
      <x:c r="K57"/>
      <x:c r="L57"/>
    </x:row>
    <x:row r="58" ht="32" customHeight="1">
      <x:c r="A58" s="113" t="str">
        <x:v>Method &amp; Notes</x:v>
      </x:c>
      <x:c r="B58" s="113" t="n">
        <x:v>11</x:v>
      </x:c>
      <x:c r="C58" s="113" t="str">
        <x:v>["Canvas semantic ruling", "Layer-B governs placement: arithmetic/comparison/logic are expression configuration and FOR/WHILE are Job orchestration. T-242 remains closed; existing persisted artifacts are compatibility inputs and future authoring converges without data loss."]</x:v>
      </x:c>
      <x:c r="D58"/>
      <x:c r="E58"/>
      <x:c r="F58"/>
      <x:c r="G58"/>
      <x:c r="H58"/>
      <x:c r="I58"/>
      <x:c r="J58"/>
      <x:c r="K58"/>
      <x:c r="L58"/>
    </x:row>
    <x:row r="59" ht="32" customHeight="1">
      <x:c r="A59" s="113" t="str">
        <x:v>Method &amp; Notes</x:v>
      </x:c>
      <x:c r="B59" s="113" t="n">
        <x:v>12</x:v>
      </x:c>
      <x:c r="C59" s="113" t="str">
        <x:v>["CI correction", "Worker-1 review correction accepted: the live canonical Jenkinsfile has blocking E2E. Historical gated copies exist only in backups. Remaining test-truth work concerns enumeration-only --list scripts, skips and release-profile evidence."]</x:v>
      </x:c>
      <x:c r="D59"/>
      <x:c r="E59"/>
      <x:c r="F59"/>
      <x:c r="G59"/>
      <x:c r="H59"/>
      <x:c r="I59"/>
      <x:c r="J59"/>
      <x:c r="K59"/>
      <x:c r="L59"/>
    </x:row>
    <x:row r="60" ht="32" customHeight="1">
      <x:c r="A60" s="113" t="str">
        <x:v>Method &amp; Notes</x:v>
      </x:c>
      <x:c r="B60" s="113" t="n">
        <x:v>13</x:v>
      </x:c>
      <x:c r="C60" s="113" t="str">
        <x:v>["Commit date", "A Commit Date may be exact Git date or closure-session date depending on evidence. Missing subject/date is left unrecovered rather than guessed."]</x:v>
      </x:c>
      <x:c r="D60"/>
      <x:c r="E60"/>
      <x:c r="F60"/>
      <x:c r="G60"/>
      <x:c r="H60"/>
      <x:c r="I60"/>
      <x:c r="J60"/>
      <x:c r="K60"/>
      <x:c r="L60"/>
    </x:row>
    <x:row r="61" ht="32" customHeight="1">
      <x:c r="A61" s="113" t="str">
        <x:v>Method &amp; Notes</x:v>
      </x:c>
      <x:c r="B61" s="113" t="n">
        <x:v>14</x:v>
      </x:c>
      <x:c r="C61" s="113" t="str">
        <x:v>["Audit package safety", "The 08-Sep UltimateAudit package was generated with Mask Secrets=False and is internal engineering evidence only; external evidence must be regenerated masked."]</x:v>
      </x:c>
      <x:c r="D61"/>
      <x:c r="E61"/>
      <x:c r="F61"/>
      <x:c r="G61"/>
      <x:c r="H61"/>
      <x:c r="I61"/>
      <x:c r="J61"/>
      <x:c r="K61"/>
      <x:c r="L61"/>
    </x:row>
    <x:row r="62" ht="32" customHeight="1">
      <x:c r="A62" s="113" t="str">
        <x:v>Method &amp; Notes</x:v>
      </x:c>
      <x:c r="B62" s="113" t="n">
        <x:v>15</x:v>
      </x:c>
      <x:c r="C62" s="113" t="str">
        <x:v>["Evidence hierarchy", "Current runtime/source path + executed tests &gt; current source trace &gt; commit/closure &gt; handover &gt; backlog/design prose. Backup/archive copies never override the live path."]</x:v>
      </x:c>
      <x:c r="D62"/>
      <x:c r="E62"/>
      <x:c r="F62"/>
      <x:c r="G62"/>
      <x:c r="H62"/>
      <x:c r="I62"/>
      <x:c r="J62"/>
      <x:c r="K62"/>
      <x:c r="L62"/>
    </x:row>
    <x:row r="63" ht="32" customHeight="1">
      <x:c r="A63" s="113" t="str">
        <x:v>Method &amp; Notes</x:v>
      </x:c>
      <x:c r="B63" s="113" t="n">
        <x:v>16</x:v>
      </x:c>
      <x:c r="C63" s="113" t="str">
        <x:v>["Evidence-envelope ownership", "T-227 owns the canonical Release-1 machine-readable evidence-envelope schema. T-252 and T-257 are producers for DB-fixture and frontend/E2E results respectively. T-150 only aggregates/validates the shared envelope."]</x:v>
      </x:c>
      <x:c r="D63"/>
      <x:c r="E63"/>
      <x:c r="F63"/>
      <x:c r="G63"/>
      <x:c r="H63"/>
      <x:c r="I63"/>
      <x:c r="J63"/>
      <x:c r="K63"/>
      <x:c r="L63"/>
    </x:row>
    <x:row r="64" ht="32" customHeight="1">
      <x:c r="A64" s="113" t="str">
        <x:v>Method &amp; Notes</x:v>
      </x:c>
      <x:c r="B64" s="113" t="n">
        <x:v>17</x:v>
      </x:c>
      <x:c r="C64" s="113" t="str">
        <x:v>["T-256/T-258 ownership split", "T-256 is backend/API/DB-runtime only. Frontend MaterialAnalytics/routes/types are Worker-2 T-258. T-256 must preserve a bounded compatibility handoff so it does not leave the generic frontend red."]</x:v>
      </x:c>
      <x:c r="D64"/>
      <x:c r="E64"/>
      <x:c r="F64"/>
      <x:c r="G64"/>
      <x:c r="H64"/>
      <x:c r="I64"/>
      <x:c r="J64"/>
      <x:c r="K64"/>
      <x:c r="L64"/>
    </x:row>
    <x:row r="65" ht="32" customHeight="1">
      <x:c r="A65" s="113" t="str">
        <x:v>Method &amp; Notes</x:v>
      </x:c>
      <x:c r="B65" s="113" t="n">
        <x:v>18</x:v>
      </x:c>
      <x:c r="C65" s="113" t="str">
        <x:v>["Fresh certification DB", "The named fresh canonical certification database for T-251 is `ppiq_acceptance_empty`; do not invent ad-hoc fresh database names before T-252 lifecycle authority."]</x:v>
      </x:c>
      <x:c r="D65"/>
      <x:c r="E65"/>
      <x:c r="F65"/>
      <x:c r="G65"/>
      <x:c r="H65"/>
      <x:c r="I65"/>
      <x:c r="J65"/>
      <x:c r="K65"/>
      <x:c r="L65"/>
    </x:row>
    <x:row r="66" ht="32" customHeight="1">
      <x:c r="A66" s="113" t="str">
        <x:v>Method &amp; Notes</x:v>
      </x:c>
      <x:c r="B66" s="113" t="n">
        <x:v>19</x:v>
      </x:c>
      <x:c r="C66" s="113" t="str">
        <x:v>["T-253 measured ruling", "Current main HEAD is T-242 (`aa57a503`) with zero T-243 product-source changes. T-253 is current; T-243 is Not Started and begins fresh after T-253."]</x:v>
      </x:c>
      <x:c r="D66"/>
      <x:c r="E66"/>
      <x:c r="F66"/>
      <x:c r="G66"/>
      <x:c r="H66"/>
      <x:c r="I66"/>
      <x:c r="J66"/>
      <x:c r="K66"/>
      <x:c r="L66"/>
    </x:row>
    <x:row r="67" ht="32" customHeight="1">
      <x:c r="A67" s="113" t="str">
        <x:v>Method &amp; Notes</x:v>
      </x:c>
      <x:c r="B67" s="113" t="n">
        <x:v>20</x:v>
      </x:c>
      <x:c r="C67" s="113" t="str">
        <x:v>["T-253 target identity", "Persist canonical entity name. New hashed root `outputTarget` is representation-independent; graph.targetEntity remains compatibility data and must match on new graph writes."]</x:v>
      </x:c>
      <x:c r="D67"/>
      <x:c r="E67"/>
      <x:c r="F67"/>
      <x:c r="G67"/>
      <x:c r="H67"/>
      <x:c r="I67"/>
      <x:c r="J67"/>
      <x:c r="K67"/>
      <x:c r="L67"/>
    </x:row>
    <x:row r="68" ht="32" customHeight="1">
      <x:c r="A68" s="113" t="str">
        <x:v>Method &amp; Notes</x:v>
      </x:c>
      <x:c r="B68" s="113" t="n">
        <x:v>21</x:v>
      </x:c>
      <x:c r="C68" s="113" t="str">
        <x:v>["T-253 legacy compatibility", "Legacy Graph lacking root outputTarget may derive it from graph.targetEntity; legacy SQL lacking it returns null. Re-save under the new content schema creates a new immutable version."]</x:v>
      </x:c>
      <x:c r="D68"/>
      <x:c r="E68"/>
      <x:c r="F68"/>
      <x:c r="G68"/>
      <x:c r="H68"/>
      <x:c r="I68"/>
      <x:c r="J68"/>
      <x:c r="K68"/>
      <x:c r="L68"/>
    </x:row>
    <x:row r="69" ht="32" customHeight="1">
      <x:c r="A69" s="113" t="str">
        <x:v>Method &amp; Notes</x:v>
      </x:c>
      <x:c r="B69" s="113" t="n">
        <x:v>22</x:v>
      </x:c>
      <x:c r="C69" s="113" t="str">
        <x:v>["T-253 picker", "Enumerate ICanonicalEntityCatalog through a minimal existing-authoring-support read endpoint. Do not use MappingDefinitionService.AllowedTargetEntities and do not add MaterialUnit as global UA-08 vocabulary."]</x:v>
      </x:c>
      <x:c r="D69"/>
      <x:c r="E69"/>
      <x:c r="F69"/>
      <x:c r="G69"/>
      <x:c r="H69"/>
      <x:c r="I69"/>
      <x:c r="J69"/>
      <x:c r="K69"/>
      <x:c r="L69"/>
    </x:row>
    <x:row r="70" ht="32" customHeight="1">
      <x:c r="A70" s="113" t="str">
        <x:v>Method &amp; Notes</x:v>
      </x:c>
      <x:c r="B70" s="113" t="n">
        <x:v>23</x:v>
      </x:c>
      <x:c r="C70" s="113" t="str">
        <x:v>["T-259 ruling", "Option A accepted: 2h P1 Release Evidence Envelope v1 contract after T-251 and before T-252/T-257. T-227 stays P5 scorecard/policy owner."]</x:v>
      </x:c>
      <x:c r="D70"/>
      <x:c r="E70"/>
      <x:c r="F70"/>
      <x:c r="G70"/>
      <x:c r="H70"/>
      <x:c r="I70"/>
      <x:c r="J70"/>
      <x:c r="K70"/>
      <x:c r="L70"/>
    </x:row>
    <x:row r="71" ht="32" customHeight="1">
      <x:c r="A71" s="113" t="str">
        <x:v>Method &amp; Notes</x:v>
      </x:c>
      <x:c r="B71" s="113" t="n">
        <x:v>24</x:v>
      </x:c>
      <x:c r="C71" s="113" t="str">
        <x:v>["Dirty-tree checkpoint", "Unrelated Documentation/audit dirt does not mean T-243 source exists. T-253 may proceed only with clean owned product paths, strict path staging and T-244 ancestor proof; task-number preflight filename must be renamed semantically before commit."]</x:v>
      </x:c>
      <x:c r="D71"/>
      <x:c r="E71"/>
      <x:c r="F71"/>
      <x:c r="G71"/>
      <x:c r="H71"/>
      <x:c r="I71"/>
      <x:c r="J71"/>
      <x:c r="K71"/>
      <x:c r="L71"/>
    </x:row>
    <x:row r="72" ht="32" customHeight="1">
      <x:c r="A72" s="113" t="str">
        <x:v>Method &amp; Notes</x:v>
      </x:c>
      <x:c r="B72" s="113" t="n">
        <x:v>25</x:v>
      </x:c>
      <x:c r="C72" s="113" t="str">
        <x:v>["T-259 count correction", "Skipped tests are not executed. Envelope v1 requires total_count=executed_count+skipped_count and executed_count=passed_count+failed_count."]</x:v>
      </x:c>
      <x:c r="D72"/>
      <x:c r="E72"/>
      <x:c r="F72"/>
      <x:c r="G72"/>
      <x:c r="H72"/>
      <x:c r="I72"/>
      <x:c r="J72"/>
      <x:c r="K72"/>
      <x:c r="L72"/>
    </x:row>
    <x:row r="73" ht="32" customHeight="1">
      <x:c r="A73" s="113" t="str">
        <x:v>Method &amp; Notes</x:v>
      </x:c>
      <x:c r="B73" s="113" t="n">
        <x:v>26</x:v>
      </x:c>
      <x:c r="C73" s="113" t="str">
        <x:v>["T-227 ownership check", "v2.20.2 already removed the accidental schema ownership from T-227. Its 6h remains because that was the original scorecard/policy task size; no funded hours were transferred out. Stale T-252/T-257 references to T-227 fields are corrected to T-259."]</x:v>
      </x:c>
      <x:c r="D73"/>
      <x:c r="E73"/>
      <x:c r="F73"/>
      <x:c r="G73"/>
      <x:c r="H73"/>
      <x:c r="I73"/>
      <x:c r="J73"/>
      <x:c r="K73"/>
      <x:c r="L73"/>
    </x:row>
    <x:row r="74" ht="32" customHeight="1">
      <x:c r="A74" s="113" t="str">
        <x:v>Method &amp; Notes</x:v>
      </x:c>
      <x:c r="B74" s="113" t="n">
        <x:v>27</x:v>
      </x:c>
      <x:c r="C74" s="113" t="str">
        <x:v>["Projection-target predicate", "Do not enumerate every mapped entity and do not use schema-only eligibility. T-253 creates one explicit model/type-sourced projection-target capability; catalog identity stays CLR canonical name."]</x:v>
      </x:c>
      <x:c r="D74"/>
      <x:c r="E74"/>
      <x:c r="F74"/>
      <x:c r="G74"/>
      <x:c r="H74"/>
      <x:c r="I74"/>
      <x:c r="J74"/>
      <x:c r="K74"/>
      <x:c r="L74"/>
    </x:row>
    <x:row r="75" ht="32" customHeight="1">
      <x:c r="A75" s="113" t="str">
        <x:v>Method &amp; Notes</x:v>
      </x:c>
      <x:c r="B75" s="113" t="n">
        <x:v>28</x:v>
      </x:c>
      <x:c r="C75" s="113" t="str">
        <x:v>["T-251 relationship", "T-251 logical-family catalogue later cross-checks the projection-target capability but does not define runtime target eligibility; T-253 can proceed independently."]</x:v>
      </x:c>
      <x:c r="D75"/>
      <x:c r="E75"/>
      <x:c r="F75"/>
      <x:c r="G75"/>
      <x:c r="H75"/>
      <x:c r="I75"/>
      <x:c r="J75"/>
      <x:c r="K75"/>
      <x:c r="L75"/>
    </x:row>
    <x:row r="76" ht="32" customHeight="1">
      <x:c r="A76" s="113" t="str">
        <x:v>Method &amp; Notes</x:v>
      </x:c>
      <x:c r="B76" s="113" t="n">
        <x:v>29</x:v>
      </x:c>
      <x:c r="C76" s="113" t="str">
        <x:v>["T-256 dependency", "T-253 is intentionally hard in T-256 Depends On. If T-253 is late, Worker 1 stops after T-252 and CENTRAL selects a disjoint lane."]</x:v>
      </x:c>
      <x:c r="D76"/>
      <x:c r="E76"/>
      <x:c r="F76"/>
      <x:c r="G76"/>
      <x:c r="H76"/>
      <x:c r="I76"/>
      <x:c r="J76"/>
      <x:c r="K76"/>
      <x:c r="L76"/>
    </x:row>
    <x:row r="77" ht="32" customHeight="1">
      <x:c r="A77" s="113" t="str">
        <x:v>Method &amp; Notes</x:v>
      </x:c>
      <x:c r="B77" s="113" t="n">
        <x:v>30</x:v>
      </x:c>
      <x:c r="C77" s="113" t="str">
        <x:v>["T-260 trigger", "T-251 runner is valid/deterministic, but its fresh reference DB exposed an incomplete builder path (EF+scripts without required topology/views)."]</x:v>
      </x:c>
      <x:c r="D77"/>
      <x:c r="E77"/>
      <x:c r="F77"/>
      <x:c r="G77"/>
      <x:c r="H77"/>
      <x:c r="I77"/>
      <x:c r="J77"/>
      <x:c r="K77"/>
      <x:c r="L77"/>
    </x:row>
    <x:row r="78" ht="32" customHeight="1">
      <x:c r="A78" s="113" t="str">
        <x:v>Method &amp; Notes</x:v>
      </x:c>
      <x:c r="B78" s="113" t="n">
        <x:v>31</x:v>
      </x:c>
      <x:c r="C78" s="113" t="str">
        <x:v>["T-260 execution", "Build a disposable candidate using the canonical order first; only replace/recreate ppiq_acceptance_empty after candidate GREEN. Never mutate ppiq_app/ppiq_presentation."]</x:v>
      </x:c>
      <x:c r="D78"/>
      <x:c r="E78"/>
      <x:c r="F78"/>
      <x:c r="G78"/>
      <x:c r="H78"/>
      <x:c r="I78"/>
      <x:c r="J78"/>
      <x:c r="K78"/>
      <x:c r="L78"/>
    </x:row>
    <x:row r="79" ht="32" customHeight="1">
      <x:c r="A79" s="113" t="str">
        <x:v>Method &amp; Notes</x:v>
      </x:c>
      <x:c r="B79" s="113" t="n">
        <x:v>32</x:v>
      </x:c>
      <x:c r="C79" s="113" t="str">
        <x:v>["T-251 resume", "After T-260, rerun catalogue from scratch. The old 106 unclassified / 81 public-offender counts are diagnostic history, not classification input."]</x:v>
      </x:c>
      <x:c r="D79"/>
      <x:c r="E79"/>
      <x:c r="F79"/>
      <x:c r="G79"/>
      <x:c r="H79"/>
      <x:c r="I79"/>
      <x:c r="J79"/>
      <x:c r="K79"/>
      <x:c r="L79"/>
    </x:row>
    <x:row r="80" ht="32" customHeight="1">
      <x:c r="A80" s="113" t="str">
        <x:v>Method &amp; Notes</x:v>
      </x:c>
      <x:c r="B80" s="113" t="n">
        <x:v>33</x:v>
      </x:c>
      <x:c r="C80" s="113" t="str">
        <x:v>["Platform allowlist", "`public.__EFMigrationsHistory` is platform migration bookkeeping and may be allowlisted in T-251 after the corrected rebuild; dead assumed-pattern rules should be removed rather than preserved."]</x:v>
      </x:c>
      <x:c r="D80"/>
      <x:c r="E80"/>
      <x:c r="F80"/>
      <x:c r="G80"/>
      <x:c r="H80"/>
      <x:c r="I80"/>
      <x:c r="J80"/>
      <x:c r="K80"/>
      <x:c r="L80"/>
    </x:row>
    <x:row r="81" ht="32" customHeight="1">
      <x:c r="A81" s="113" t="str">
        <x:v>Method &amp; Notes</x:v>
      </x:c>
      <x:c r="B81" s="113" t="n">
        <x:v>34</x:v>
      </x:c>
      <x:c r="C81" s="113" t="str">
        <x:v>["Capability standard", "Product capability mapping follows PPIQ_Product_Analysis_and_Evaluation_Standard_v1.1 (10 layers, 78 capability points)."]</x:v>
      </x:c>
      <x:c r="D81"/>
      <x:c r="E81"/>
      <x:c r="F81"/>
      <x:c r="G81"/>
      <x:c r="H81"/>
      <x:c r="I81"/>
      <x:c r="J81"/>
      <x:c r="K81"/>
      <x:c r="L81"/>
    </x:row>
    <x:row r="82" ht="32" customHeight="1">
      <x:c r="A82" s="113" t="str">
        <x:v>Method &amp; Notes</x:v>
      </x:c>
      <x:c r="B82" s="113" t="n">
        <x:v>35</x:v>
      </x:c>
      <x:c r="C82" s="113" t="str">
        <x:v>["Primary mapping law", "Every product task has one Primary Capability ID. Secondary IDs are used only where task acceptance genuinely advances another capability."]</x:v>
      </x:c>
      <x:c r="D82"/>
      <x:c r="E82"/>
      <x:c r="F82"/>
      <x:c r="G82"/>
      <x:c r="H82"/>
      <x:c r="I82"/>
      <x:c r="J82"/>
      <x:c r="K82"/>
      <x:c r="L82"/>
    </x:row>
    <x:row r="83" ht="32" customHeight="1">
      <x:c r="A83" s="113" t="str">
        <x:v>Method &amp; Notes</x:v>
      </x:c>
      <x:c r="B83" s="113" t="n">
        <x:v>36</x:v>
      </x:c>
      <x:c r="C83" s="113" t="str">
        <x:v>["Task closure law", "Closing mapped tasks does not make a capability 5/5. D1–D5 product evidence remains the completeness authority."]</x:v>
      </x:c>
      <x:c r="D83"/>
      <x:c r="E83"/>
      <x:c r="F83"/>
      <x:c r="G83"/>
      <x:c r="H83"/>
      <x:c r="I83"/>
      <x:c r="J83"/>
      <x:c r="K83"/>
      <x:c r="L83"/>
    </x:row>
    <x:row r="84" ht="32" customHeight="1">
      <x:c r="A84" s="113" t="str">
        <x:v>Method &amp; Notes</x:v>
      </x:c>
      <x:c r="B84" s="113" t="n">
        <x:v>37</x:v>
      </x:c>
      <x:c r="C84" s="113" t="str">
        <x:v>["Non-capability work", "Pure execution instruments may use NO-CAP — Execution Tooling; product-boundary work is labelled explicitly rather than forced into a PPIQ capability."]</x:v>
      </x:c>
      <x:c r="D84"/>
      <x:c r="E84"/>
      <x:c r="F84"/>
      <x:c r="G84"/>
      <x:c r="H84"/>
      <x:c r="I84"/>
      <x:c r="J84"/>
      <x:c r="K84"/>
      <x:c r="L84"/>
    </x:row>
    <x:row r="85" ht="32" customHeight="1">
      <x:c r="A85" s="113" t="str">
        <x:v>Method &amp; Notes</x:v>
      </x:c>
      <x:c r="B85" s="113" t="n">
        <x:v>38</x:v>
      </x:c>
      <x:c r="C85" s="113" t="str">
        <x:v>["Summary-sheet authority", "Backlog + Current Authority + Capability Map v1.1 are current for v2.21.0. Existing v220 dashboard/phase summary sheets are preserved snapshots and must not override task rows or capability mapping."]</x:v>
      </x:c>
      <x:c r="D85"/>
      <x:c r="E85"/>
      <x:c r="F85"/>
      <x:c r="G85"/>
      <x:c r="H85"/>
      <x:c r="I85"/>
      <x:c r="J85"/>
      <x:c r="K85"/>
      <x:c r="L85"/>
    </x:row>
    <x:row r="86" ht="32" customHeight="1">
      <x:c r="A86" s="113" t="str">
        <x:v>Requirement Traceability</x:v>
      </x:c>
      <x:c r="B86" s="113" t="n">
        <x:v>1</x:v>
      </x:c>
      <x:c r="C86" s="113" t="str">
        <x:v>["Design ↔ Backlog Mirror — Product Requirement Traceability", null, null, null, null, null, null, null, null, null]</x:v>
      </x:c>
      <x:c r="D86"/>
      <x:c r="E86"/>
      <x:c r="F86"/>
      <x:c r="G86"/>
      <x:c r="H86"/>
      <x:c r="I86"/>
      <x:c r="J86"/>
      <x:c r="K86"/>
      <x:c r="L86"/>
    </x:row>
    <x:row r="87" ht="32" customHeight="1">
      <x:c r="A87" s="113" t="str">
        <x:v>Requirement Traceability</x:v>
      </x:c>
      <x:c r="B87" s="113" t="n">
        <x:v>2</x:v>
      </x:c>
      <x:c r="C87" s="113" t="str">
        <x:v>[null, null, null, null, null, null, null, null, null, null]</x:v>
      </x:c>
      <x:c r="D87"/>
      <x:c r="E87"/>
      <x:c r="F87"/>
      <x:c r="G87"/>
      <x:c r="H87"/>
      <x:c r="I87"/>
      <x:c r="J87"/>
      <x:c r="K87"/>
      <x:c r="L87"/>
    </x:row>
    <x:row r="88" ht="32" customHeight="1">
      <x:c r="A88" s="113" t="str">
        <x:v>Requirement Traceability</x:v>
      </x:c>
      <x:c r="B88" s="113" t="n">
        <x:v>3</x:v>
      </x:c>
      <x:c r="C88" s="113" t="str">
        <x:v>["Requirement family", "Design authority", "M2 Release 1", "M3 Release 2", "Primary tasks", "M2 acceptance", "M3 acceptance", "Customer use", "Mirror state", "Ruling"]</x:v>
      </x:c>
      <x:c r="D88"/>
      <x:c r="E88"/>
      <x:c r="F88"/>
      <x:c r="G88"/>
      <x:c r="H88"/>
      <x:c r="I88"/>
      <x:c r="J88"/>
      <x:c r="K88"/>
      <x:c r="L88"/>
    </x:row>
    <x:row r="89" ht="32" customHeight="1">
      <x:c r="A89" s="113" t="str">
        <x:v>Requirement Traceability</x:v>
      </x:c>
      <x:c r="B89" s="113" t="n">
        <x:v>4</x:v>
      </x:c>
      <x:c r="C89" s="113" t="str">
        <x:v>["DB Link / external databases", "Ch3 4.5 + Ch4 5.0.0", "Day-1 production", "Scale/certification", "T-207; T-247; T-254; T-095..105", "Connect→browse→preview→map→import→canonical with no product-code diff; capability/certification copy comes from one executable truth", "Real-source endurance and complex relationship certification", "Customer IT day 1", "MIRRORED", "M2 first priority"]</x:v>
      </x:c>
      <x:c r="D89"/>
      <x:c r="E89"/>
      <x:c r="F89"/>
      <x:c r="G89"/>
      <x:c r="H89"/>
      <x:c r="I89"/>
      <x:c r="J89"/>
      <x:c r="K89"/>
      <x:c r="L89"/>
    </x:row>
    <x:row r="90" ht="32" customHeight="1">
      <x:c r="A90" s="113" t="str">
        <x:v>Requirement Traceability</x:v>
      </x:c>
      <x:c r="B90" s="113" t="n">
        <x:v>5</x:v>
      </x:c>
      <x:c r="C90" s="113" t="str">
        <x:v>["Canvas / SQL / data preparation", "Ch4 5.0.0 + 5.2", "Day-1 production core", "Advanced authoring parity", "T-241..246; T-253; T-248", "Typed Canvas/SQL, governed output target, validate/dry-run, save/version, Job bind; no hardcoded plant/material output identity", "Scoped measure, named states, advanced story/export/subflow parity", "Customer IT day 1", "MIRRORED", "No unbounded loops"]</x:v>
      </x:c>
      <x:c r="D90"/>
      <x:c r="E90"/>
      <x:c r="F90"/>
      <x:c r="G90"/>
      <x:c r="H90"/>
      <x:c r="I90"/>
      <x:c r="J90"/>
      <x:c r="K90"/>
      <x:c r="L90"/>
    </x:row>
    <x:row r="91" ht="32" customHeight="1">
      <x:c r="A91" s="113" t="str">
        <x:v>Requirement Traceability</x:v>
      </x:c>
      <x:c r="B91" s="113" t="n">
        <x:v>6</x:v>
      </x:c>
      <x:c r="C91" s="113" t="str">
        <x:v>["Jobs / scheduling / logs", "Ch4 5.3 + Ch6 runtime", "Day-1 run/schedule/monitor/log", "High-volume lanes/capacity", "T-106..111; T-125; T-245; T-227", "Registered executors, target/version, DAG, bounded admission/parallelism, run/monitor/log with mandatory run identity", "Capacity, scan amplification, checkpoint/resume under heavy load", "Customer IT day 1", "MIRRORED", "Core in M2, scale in M3"]</x:v>
      </x:c>
      <x:c r="D91"/>
      <x:c r="E91"/>
      <x:c r="F91"/>
      <x:c r="G91"/>
      <x:c r="H91"/>
      <x:c r="I91"/>
      <x:c r="J91"/>
      <x:c r="K91"/>
      <x:c r="L91"/>
    </x:row>
    <x:row r="92" ht="32" customHeight="1">
      <x:c r="A92" s="113" t="str">
        <x:v>Requirement Traceability</x:v>
      </x:c>
      <x:c r="B92" s="113" t="n">
        <x:v>7</x:v>
      </x:c>
      <x:c r="C92" s="113" t="str">
        <x:v>["Enterprise BI/HMI", "Ch3 pages + Ch4 5.0.0/5.1", "Enterprise core", "Advanced parity", "T-148; T-202..205; T-212; T-215; T-222; T-250; T-257; T-258; T-248", "Associative/persisted enterprise core, frontend execution truth, and generic customer HMI with material-specific surfaces bounded to presentation compatibility; advanced BI parity in Release 2.", "75-item matrix fully closed incl advanced states/story/export", "All users day 1", "MIRRORED", "Qlik-class outcome, PPIQ semantics"]</x:v>
      </x:c>
      <x:c r="D92"/>
      <x:c r="E92"/>
      <x:c r="F92"/>
      <x:c r="G92"/>
      <x:c r="H92"/>
      <x:c r="I92"/>
      <x:c r="J92"/>
      <x:c r="K92"/>
      <x:c r="L92"/>
    </x:row>
    <x:row r="93" ht="32" customHeight="1">
      <x:c r="A93" s="113" t="str">
        <x:v>Requirement Traceability</x:v>
      </x:c>
      <x:c r="B93" s="113" t="n">
        <x:v>8</x:v>
      </x:c>
      <x:c r="C93" s="113" t="str">
        <x:v>["Production OPC UA", "Ch2 OT boundary + Ch6 edge", "Read-only production path", "Endurance/certification", "T-207; T-224..226; T-153", "Real session/browse/subscription/quality/timestamps/spool-to-canonical", "Real-source endurance and site certification", "Operations week 1", "MIRRORED", "No fake sample claim"]</x:v>
      </x:c>
      <x:c r="D93"/>
      <x:c r="E93"/>
      <x:c r="F93"/>
      <x:c r="G93"/>
      <x:c r="H93"/>
      <x:c r="I93"/>
      <x:c r="J93"/>
      <x:c r="K93"/>
      <x:c r="L93"/>
    </x:row>
    <x:row r="94" ht="32" customHeight="1">
      <x:c r="A94" s="113" t="str">
        <x:v>Requirement Traceability</x:v>
      </x:c>
      <x:c r="B94" s="113" t="n">
        <x:v>9</x:v>
      </x:c>
      <x:c r="C94" s="113" t="str">
        <x:v>["Performance Reference", "Ch3/Ch4 reference authority", "Visible and usable", "Deeper scale/authoring", "T-214; T-232; T-215", "Customer standard/target/envelope visible with correct scoring direction", "Advanced authoring and large-scale governance", "Operations/Quality", "MIRRORED", "Reference can be 100% aim"]</x:v>
      </x:c>
      <x:c r="D94"/>
      <x:c r="E94"/>
      <x:c r="F94"/>
      <x:c r="G94"/>
      <x:c r="H94"/>
      <x:c r="I94"/>
      <x:c r="J94"/>
      <x:c r="K94"/>
      <x:c r="L94"/>
    </x:row>
    <x:row r="95" ht="32" customHeight="1">
      <x:c r="A95" s="113" t="str">
        <x:v>Requirement Traceability</x:v>
      </x:c>
      <x:c r="B95" s="113" t="n">
        <x:v>10</x:v>
      </x:c>
      <x:c r="C95" s="113" t="str">
        <x:v>["Reconciliation / root cause", "Ch3/Ch4 evidence authority", "Historical + live evidence", "Persisted/advanced", "T-217..223; T-221", "Seven evidence states + causal confidence + grounded explanation", "Canonical persistence at scale and richer workflows", "Operations/Quality", "MIRRORED", "Never claim human intent/lie"]</x:v>
      </x:c>
      <x:c r="D95"/>
      <x:c r="E95"/>
      <x:c r="F95"/>
      <x:c r="G95"/>
      <x:c r="H95"/>
      <x:c r="I95"/>
      <x:c r="J95"/>
      <x:c r="K95"/>
      <x:c r="L95"/>
    </x:row>
    <x:row r="96" ht="32" customHeight="1">
      <x:c r="A96" s="113" t="str">
        <x:v>Requirement Traceability</x:v>
      </x:c>
      <x:c r="B96" s="113" t="n">
        <x:v>11</x:v>
      </x:c>
      <x:c r="C96" s="113" t="str">
        <x:v>["Assistant / LLM", "Ch4 Layer-B + Assistant contracts", "Grounded investigation", "InsightBoard composition", "T-179..181; T-223; T-138; T-228..230", "Governed tools/evidence; no material-specific KPI authority; provider labels require concrete adapters/conformance", "Auto-generated governed investigation boards", "All analytical users", "MIRRORED", "LLM never invents plant numbers"]</x:v>
      </x:c>
      <x:c r="D96"/>
      <x:c r="E96"/>
      <x:c r="F96"/>
      <x:c r="G96"/>
      <x:c r="H96"/>
      <x:c r="I96"/>
      <x:c r="J96"/>
      <x:c r="K96"/>
      <x:c r="L96"/>
    </x:row>
    <x:row r="97" ht="32" customHeight="1">
      <x:c r="A97" s="113" t="str">
        <x:v>Requirement Traceability</x:v>
      </x:c>
      <x:c r="B97" s="113" t="n">
        <x:v>12</x:v>
      </x:c>
      <x:c r="C97" s="113" t="str">
        <x:v>["Multi-objective best practice", "Ch4 practice intelligence", "Foundation available", "Full Pareto/product integration", "T-171..176; T-238..240", "Underlying kernels available; not Release-1 blocker", "Objective sets, Pareto/non-dominance, trade-off explanation", "Operations/CEO", "MIRRORED", "No hidden weights"]</x:v>
      </x:c>
      <x:c r="D97"/>
      <x:c r="E97"/>
      <x:c r="F97"/>
      <x:c r="G97"/>
      <x:c r="H97"/>
      <x:c r="I97"/>
      <x:c r="J97"/>
      <x:c r="K97"/>
      <x:c r="L97"/>
    </x:row>
    <x:row r="98" ht="32" customHeight="1">
      <x:c r="A98" s="113" t="str">
        <x:v>Requirement Traceability</x:v>
      </x:c>
      <x:c r="B98" s="113" t="n">
        <x:v>13</x:v>
      </x:c>
      <x:c r="C98" s="113" t="str">
        <x:v>["Transition / stabilisation", "Ch3/Ch4 regime context", "Correctness gate", "Scale/learning integration", "T-234..236; T-235", "Findings state stable/transition/stabilising/mixed and refuse unsafe pooling", "Extended real-data calibration", "Operations/Quality", "MIRRORED", "Prevents confident wrong correlation"]</x:v>
      </x:c>
      <x:c r="D98"/>
      <x:c r="E98"/>
      <x:c r="F98"/>
      <x:c r="G98"/>
      <x:c r="H98"/>
      <x:c r="I98"/>
      <x:c r="J98"/>
      <x:c r="K98"/>
      <x:c r="L98"/>
    </x:row>
    <x:row r="99" ht="32" customHeight="1">
      <x:c r="A99" s="113" t="str">
        <x:v>Requirement Traceability</x:v>
      </x:c>
      <x:c r="B99" s="113" t="n">
        <x:v>14</x:v>
      </x:c>
      <x:c r="C99" s="113" t="str">
        <x:v>["Financial value / ROI", "Ch1 value promise + Ch4/Ch6 Value Engine", "Existing potential-value evidence may be shown bounded", "Customer-grade realised ROI", "T-164; existing value engine + T-237", "No ungoverned monetary promise", "Real assumptions, realised-value ledger, heavy-use value certification", "CEO", "MIRRORED", "M3 owns customer-certified €/$ value"]</x:v>
      </x:c>
      <x:c r="D99"/>
      <x:c r="E99"/>
      <x:c r="F99"/>
      <x:c r="G99"/>
      <x:c r="H99"/>
      <x:c r="I99"/>
      <x:c r="J99"/>
      <x:c r="K99"/>
      <x:c r="L99"/>
    </x:row>
    <x:row r="100" ht="32" customHeight="1">
      <x:c r="A100" s="113" t="str">
        <x:v>Requirement Traceability</x:v>
      </x:c>
      <x:c r="B100" s="113" t="n">
        <x:v>15</x:v>
      </x:c>
      <x:c r="C100" s="113" t="str">
        <x:v>["Users / roles / licence / security", "Ch3/Ch6 administration/security", "Minimum production-safe controls", "Deep enterprise administration", "T-112..121; T-161..162; T-198..200", "RLS behavioral proof, fail-closed eight-role mapping, vendor-held licence trust root, secret/config/MFA hygiene", "SSO, advanced admin/logging/retention/site hardening", "Admin/IT", "MIRRORED", "Important but not allowed to starve Day-1 workbench"]</x:v>
      </x:c>
      <x:c r="D100"/>
      <x:c r="E100"/>
      <x:c r="F100"/>
      <x:c r="G100"/>
      <x:c r="H100"/>
      <x:c r="I100"/>
      <x:c r="J100"/>
      <x:c r="K100"/>
      <x:c r="L100"/>
    </x:row>
    <x:row r="101" ht="32" customHeight="1">
      <x:c r="A101" s="113" t="str">
        <x:v>Requirement Traceability</x:v>
      </x:c>
      <x:c r="B101" s="113" t="n">
        <x:v>16</x:v>
      </x:c>
      <x:c r="C101" s="113" t="str">
        <x:v>["Database schema authority / physical dictionary", "Ch3 4.5.2/4.5.5b/4.5.20a", "Zero-unknown fresh schema + upgrade reconciliation", "Heavy-use schema evolution and compatibility-safe convergence", "T-087; T-088; T-115; T-123; T-251; T-252; T-256; T-258", "Zero-unknown physical catalogue + disposable certification DBs + backend runtime three-schema/genericity convergence + frontend consumer handoff with no cross-owner mutation.", "Schema evolution remains generated, reversible where possible and customer-operable at scale", "Developer + Customer IT", "MIRRORED", "Table count is not a defect; unowned/undocumented authority is."]</x:v>
      </x:c>
      <x:c r="D101"/>
      <x:c r="E101"/>
      <x:c r="F101"/>
      <x:c r="G101"/>
      <x:c r="H101"/>
      <x:c r="I101"/>
      <x:c r="J101"/>
      <x:c r="K101"/>
      <x:c r="L101"/>
    </x:row>
    <x:row r="102" ht="32" customHeight="1">
      <x:c r="A102" s="113" t="str">
        <x:v>Requirement Traceability</x:v>
      </x:c>
      <x:c r="B102" s="113" t="n">
        <x:v>17</x:v>
      </x:c>
      <x:c r="C102" s="113" t="str">
        <x:v>["Repository / audit / release-truth source authority", "Governance + Ch6 release truth", "Forward-clean source authority and truthful executed gates", "Sustained release governance", "T-205; T-250; T-255; T-257; T-150; T-249", "Root allowlist; no transient run-state/pack payload; audit severity excludes self/backups/generated; gate scripts execute, release profile zero unapproved skips", "Same rules remain green under Release-2 production certification", "Developer / Customer IT", "MIRRORED", "No mass-renaming of grandfathered task-ID files; forward gate prevents new violations"]</x:v>
      </x:c>
      <x:c r="D102"/>
      <x:c r="E102"/>
      <x:c r="F102"/>
      <x:c r="G102"/>
      <x:c r="H102"/>
      <x:c r="I102"/>
      <x:c r="J102"/>
      <x:c r="K102"/>
      <x:c r="L102"/>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7" hidden="0" customWidth="1"/>
    <x:col min="2" max="2" width="13" hidden="0" customWidth="1"/>
    <x:col min="3" max="3" width="13" hidden="0" customWidth="1"/>
    <x:col min="4" max="4" width="13" hidden="0" customWidth="1"/>
    <x:col min="5" max="5" width="4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ht="36" customHeight="1">
      <x:c r="A1" s="239" t="str">
        <x:v>PLANTPROCESS IQ | BACKLOG v2.23.0</x:v>
      </x:c>
      <x:c r="B1" s="239"/>
      <x:c r="C1" s="239"/>
      <x:c r="D1" s="239"/>
      <x:c r="E1" s="240"/>
      <x:c r="F1" s="240"/>
      <x:c r="G1" s="240"/>
      <x:c r="H1" s="240"/>
      <x:c r="I1" s="240"/>
      <x:c r="J1" s="240"/>
      <x:c r="K1" s="240"/>
      <x:c r="L1" s="240"/>
      <x:c r="M1" s="240"/>
      <x:c r="N1" s="240"/>
      <x:c r="O1" s="220"/>
      <x:c r="P1" s="147"/>
    </x:row>
    <x:row r="2" ht="32" customHeight="1">
      <x:c r="A2" s="221" t="str">
        <x:v>Repaired baseline preserved • 3 UI design tasks added • Design v4.10.3 • No new product completion</x:v>
      </x:c>
      <x:c r="B2" s="221"/>
      <x:c r="C2" s="221"/>
      <x:c r="D2" s="221"/>
      <x:c r="E2" s="221"/>
      <x:c r="F2" s="221"/>
      <x:c r="G2" s="221"/>
      <x:c r="H2" s="221"/>
      <x:c r="I2" s="221"/>
      <x:c r="J2" s="221"/>
      <x:c r="K2" s="221"/>
      <x:c r="L2" s="221"/>
      <x:c r="M2" s="221"/>
      <x:c r="N2" s="221"/>
      <x:c r="O2" s="221"/>
      <x:c r="P2" s="153"/>
    </x:row>
    <x:row r="3" ht="32" customHeight="1">
      <x:c r="A3" s="227"/>
      <x:c r="B3" s="227"/>
      <x:c r="C3" s="227"/>
      <x:c r="D3" s="227"/>
      <x:c r="E3" s="228"/>
      <x:c r="F3" s="228"/>
      <x:c r="G3"/>
      <x:c r="H3"/>
      <x:c r="I3"/>
      <x:c r="J3"/>
      <x:c r="K3"/>
      <x:c r="L3"/>
      <x:c r="M3"/>
      <x:c r="N3"/>
      <x:c r="O3"/>
      <x:c r="P3"/>
    </x:row>
    <x:row r="4" ht="34" customHeight="1">
      <x:c r="A4" s="207" t="str">
        <x:v>Metric</x:v>
      </x:c>
      <x:c r="B4" s="207" t="str">
        <x:v>M2</x:v>
      </x:c>
      <x:c r="C4" s="207" t="str">
        <x:v>M3</x:v>
      </x:c>
      <x:c r="D4" s="207" t="str">
        <x:v>Total</x:v>
      </x:c>
      <x:c r="E4" s="190" t="str">
        <x:v>Interpretation</x:v>
      </x:c>
      <x:c r="F4"/>
      <x:c r="G4" t="str">
        <x:v>Status</x:v>
      </x:c>
      <x:c r="H4" t="str">
        <x:v>M2</x:v>
      </x:c>
      <x:c r="I4" t="str">
        <x:v>M3</x:v>
      </x:c>
      <x:c r="J4"/>
      <x:c r="K4"/>
      <x:c r="L4"/>
      <x:c r="M4"/>
      <x:c r="N4"/>
      <x:c r="O4"/>
      <x:c r="P4"/>
    </x:row>
    <x:row r="5" ht="38" customHeight="1">
      <x:c r="A5" s="223" t="str">
        <x:v>Active tasks</x:v>
      </x:c>
      <x:c r="B5" s="223" t="n">
        <x:f>COUNTIF(Backlog!$B$2:$B$180,"M2")</x:f>
        <x:v>107</x:v>
      </x:c>
      <x:c r="C5" s="223" t="n">
        <x:f>COUNTIF(Backlog!$B$2:$B$180,"M3")</x:f>
        <x:v>72</x:v>
      </x:c>
      <x:c r="D5" s="223" t="n">
        <x:f>B5+C5</x:f>
        <x:v>179</x:v>
      </x:c>
      <x:c r="E5" s="224" t="str">
        <x:v>176 repaired baseline tasks + 3 UI design tasks</x:v>
      </x:c>
      <x:c r="F5"/>
      <x:c r="G5" t="str">
        <x:v>Done</x:v>
      </x:c>
      <x:c r="H5" t="n">
        <x:f>COUNTIFS(Backlog!$B$2:$B$180,"M2",Backlog!$K$2:$K$180,G5)</x:f>
        <x:v>58</x:v>
      </x:c>
      <x:c r="I5" t="n">
        <x:f>COUNTIFS(Backlog!$B$2:$B$180,"M3",Backlog!$K$2:$K$180,G5)</x:f>
        <x:v>0</x:v>
      </x:c>
      <x:c r="J5"/>
      <x:c r="K5"/>
      <x:c r="L5"/>
      <x:c r="M5"/>
      <x:c r="N5"/>
      <x:c r="O5"/>
      <x:c r="P5"/>
    </x:row>
    <x:row r="6" ht="38" customHeight="1">
      <x:c r="A6" s="223" t="str">
        <x:v>Done</x:v>
      </x:c>
      <x:c r="B6" s="223" t="n">
        <x:f>COUNTIFS(Backlog!$B$2:$B$180,"M2",Backlog!$K$2:$K$180,"Done")</x:f>
        <x:v>58</x:v>
      </x:c>
      <x:c r="C6" s="223" t="n">
        <x:f>COUNTIFS(Backlog!$B$2:$B$180,"M3",Backlog!$K$2:$K$180,"Done")</x:f>
        <x:v>0</x:v>
      </x:c>
      <x:c r="D6" s="223" t="n">
        <x:f>B6+C6</x:f>
        <x:v>58</x:v>
      </x:c>
      <x:c r="E6" s="224" t="str">
        <x:v>Includes owner-reported T-099 closure</x:v>
      </x:c>
      <x:c r="F6"/>
      <x:c r="G6" t="str">
        <x:v>In Progress</x:v>
      </x:c>
      <x:c r="H6" t="n">
        <x:f>COUNTIFS(Backlog!$B$2:$B$180,"M2",Backlog!$K$2:$K$180,G6)</x:f>
        <x:v>4</x:v>
      </x:c>
      <x:c r="I6" t="n">
        <x:f>COUNTIFS(Backlog!$B$2:$B$180,"M3",Backlog!$K$2:$K$180,G6)</x:f>
        <x:v>0</x:v>
      </x:c>
      <x:c r="J6"/>
      <x:c r="K6"/>
      <x:c r="L6"/>
      <x:c r="M6"/>
      <x:c r="N6"/>
      <x:c r="O6"/>
      <x:c r="P6"/>
    </x:row>
    <x:row r="7" ht="38" customHeight="1">
      <x:c r="A7" s="223" t="str">
        <x:v>In progress</x:v>
      </x:c>
      <x:c r="B7" s="223" t="n">
        <x:f>COUNTIFS(Backlog!$B$2:$B$180,"M2",Backlog!$K$2:$K$180,"In Progress")</x:f>
        <x:v>4</x:v>
      </x:c>
      <x:c r="C7" s="223" t="n">
        <x:f>COUNTIFS(Backlog!$B$2:$B$180,"M3",Backlog!$K$2:$K$180,"In Progress")</x:f>
        <x:v>0</x:v>
      </x:c>
      <x:c r="D7" s="223" t="n">
        <x:f>B7+C7</x:f>
        <x:v>4</x:v>
      </x:c>
      <x:c r="E7" s="224" t="str">
        <x:v>T-262 remains source-present / unclosed</x:v>
      </x:c>
      <x:c r="F7"/>
      <x:c r="G7" t="str">
        <x:v>Not Started</x:v>
      </x:c>
      <x:c r="H7" t="n">
        <x:f>COUNTIFS(Backlog!$B$2:$B$180,"M2",Backlog!$K$2:$K$180,G7)</x:f>
        <x:v>45</x:v>
      </x:c>
      <x:c r="I7" t="n">
        <x:f>COUNTIFS(Backlog!$B$2:$B$180,"M3",Backlog!$K$2:$K$180,G7)</x:f>
        <x:v>72</x:v>
      </x:c>
      <x:c r="J7"/>
      <x:c r="K7"/>
      <x:c r="L7"/>
      <x:c r="M7"/>
      <x:c r="N7"/>
      <x:c r="O7"/>
      <x:c r="P7"/>
    </x:row>
    <x:row r="8" ht="38" customHeight="1">
      <x:c r="A8" s="223" t="str">
        <x:v>Not started</x:v>
      </x:c>
      <x:c r="B8" s="223" t="n">
        <x:f>COUNTIFS(Backlog!$B$2:$B$180,"M2",Backlog!$K$2:$K$180,"Not Started")</x:f>
        <x:v>45</x:v>
      </x:c>
      <x:c r="C8" s="223" t="n">
        <x:f>COUNTIFS(Backlog!$B$2:$B$180,"M3",Backlog!$K$2:$K$180,"Not Started")</x:f>
        <x:v>72</x:v>
      </x:c>
      <x:c r="D8" s="223" t="n">
        <x:f>B8+C8</x:f>
        <x:v>117</x:v>
      </x:c>
      <x:c r="E8" s="224" t="str">
        <x:v>No inferred implementation completion</x:v>
      </x:c>
      <x:c r="F8"/>
      <x:c r="G8"/>
      <x:c r="H8"/>
      <x:c r="I8"/>
      <x:c r="J8"/>
      <x:c r="K8"/>
      <x:c r="L8"/>
      <x:c r="M8"/>
      <x:c r="N8"/>
      <x:c r="O8"/>
      <x:c r="P8"/>
    </x:row>
    <x:row r="9" ht="38" customHeight="1">
      <x:c r="A9" s="223" t="str">
        <x:v>Known scope hours</x:v>
      </x:c>
      <x:c r="B9" s="223" t="n">
        <x:f>SUMIF(Backlog!$B$2:$B$180,"M2",Backlog!$J$2:$J$180)</x:f>
        <x:v>1010</x:v>
      </x:c>
      <x:c r="C9" s="223" t="n">
        <x:f>SUMIF(Backlog!$B$2:$B$180,"M3",Backlog!$J$2:$J$180)</x:f>
        <x:v>789</x:v>
      </x:c>
      <x:c r="D9" s="223" t="n">
        <x:f>B9+C9</x:f>
        <x:v>1799</x:v>
      </x:c>
      <x:c r="E9" s="224" t="str">
        <x:v>Partial sum: eight estimates unresolved</x:v>
      </x:c>
      <x:c r="F9"/>
      <x:c r="G9"/>
      <x:c r="H9"/>
      <x:c r="I9"/>
      <x:c r="J9"/>
      <x:c r="K9"/>
      <x:c r="L9"/>
      <x:c r="M9"/>
      <x:c r="N9"/>
      <x:c r="O9"/>
      <x:c r="P9"/>
    </x:row>
    <x:row r="10" ht="38" customHeight="1">
      <x:c r="A10" s="223" t="str">
        <x:v>Known open hours</x:v>
      </x:c>
      <x:c r="B10" s="223" t="n">
        <x:f>SUMIFS(Backlog!$J$2:$J$180,Backlog!$B$2:$B$180,"M2",Backlog!$K$2:$K$180,"&lt;&gt;Done")</x:f>
        <x:v>437</x:v>
      </x:c>
      <x:c r="C10" s="223" t="n">
        <x:f>SUMIFS(Backlog!$J$2:$J$180,Backlog!$B$2:$B$180,"M3",Backlog!$K$2:$K$180,"&lt;&gt;Done")</x:f>
        <x:v>789</x:v>
      </x:c>
      <x:c r="D10" s="223" t="n">
        <x:f>B10+C10</x:f>
        <x:v>1226</x:v>
      </x:c>
      <x:c r="E10" s="224" t="str">
        <x:v>Not a remaining-time commitment</x:v>
      </x:c>
      <x:c r="F10"/>
      <x:c r="G10"/>
      <x:c r="H10"/>
      <x:c r="I10"/>
      <x:c r="J10"/>
      <x:c r="K10"/>
      <x:c r="L10"/>
      <x:c r="M10"/>
      <x:c r="N10"/>
      <x:c r="O10"/>
      <x:c r="P10"/>
    </x:row>
    <x:row r="11" ht="38" customHeight="1">
      <x:c r="A11" s="223" t="str">
        <x:v>Unestimated rows</x:v>
      </x:c>
      <x:c r="B11" s="223" t="n">
        <x:f>COUNTIFS(Backlog!$B$2:$B$180,"M2",Backlog!$AM$2:$AM$180,0)</x:f>
        <x:v>5</x:v>
      </x:c>
      <x:c r="C11" s="223" t="n">
        <x:f>COUNTIFS(Backlog!$B$2:$B$180,"M3",Backlog!$AM$2:$AM$180,0)</x:f>
        <x:v>3</x:v>
      </x:c>
      <x:c r="D11" s="223" t="n">
        <x:f>B11+C11</x:f>
        <x:v>8</x:v>
      </x:c>
      <x:c r="E11" s="224" t="str">
        <x:v>T-106 / T-108 / T-262–T-267</x:v>
      </x:c>
      <x:c r="F11"/>
      <x:c r="G11"/>
      <x:c r="H11"/>
      <x:c r="I11"/>
      <x:c r="J11"/>
      <x:c r="K11"/>
      <x:c r="L11"/>
      <x:c r="M11"/>
      <x:c r="N11"/>
      <x:c r="O11"/>
      <x:c r="P11"/>
    </x:row>
    <x:row r="12" ht="38" customHeight="1">
      <x:c r="A12" s="223"/>
      <x:c r="B12" s="223"/>
      <x:c r="C12" s="223"/>
      <x:c r="D12" s="223"/>
      <x:c r="E12" s="224"/>
      <x:c r="F12"/>
      <x:c r="G12"/>
      <x:c r="H12"/>
      <x:c r="I12"/>
      <x:c r="J12"/>
      <x:c r="K12"/>
      <x:c r="L12"/>
      <x:c r="M12"/>
      <x:c r="N12"/>
      <x:c r="O12"/>
      <x:c r="P12"/>
    </x:row>
    <x:row r="13" ht="38" customHeight="1">
      <x:c r="A13" s="223"/>
      <x:c r="B13" s="223"/>
      <x:c r="C13" s="223"/>
      <x:c r="D13" s="223"/>
      <x:c r="E13" s="224"/>
      <x:c r="F13"/>
      <x:c r="G13"/>
      <x:c r="H13"/>
      <x:c r="I13"/>
      <x:c r="J13"/>
      <x:c r="K13"/>
      <x:c r="L13"/>
      <x:c r="M13"/>
      <x:c r="N13"/>
      <x:c r="O13"/>
      <x:c r="P13"/>
    </x:row>
    <x:row r="14" ht="38" customHeight="1">
      <x:c r="A14" s="225" t="str">
        <x:v>CRITICAL HANDOFF — T-262</x:v>
      </x:c>
      <x:c r="B14" s="225"/>
      <x:c r="C14" s="225"/>
      <x:c r="D14" s="225"/>
      <x:c r="E14" s="226"/>
      <x:c r="F14"/>
      <x:c r="G14"/>
      <x:c r="H14"/>
      <x:c r="I14"/>
      <x:c r="J14"/>
      <x:c r="K14"/>
      <x:c r="L14"/>
      <x:c r="M14"/>
      <x:c r="N14"/>
      <x:c r="O14"/>
      <x:c r="P14"/>
    </x:row>
    <x:row r="15" ht="38" customHeight="1">
      <x:c r="A15" s="223" t="str">
        <x:v>Depends: T-253; T-243   →   Must precede: T-261; T-245; T-247</x:v>
      </x:c>
      <x:c r="B15" s="223"/>
      <x:c r="C15" s="223"/>
      <x:c r="D15" s="223"/>
      <x:c r="E15" s="224"/>
      <x:c r="F15"/>
      <x:c r="G15"/>
      <x:c r="H15"/>
      <x:c r="I15"/>
      <x:c r="J15"/>
      <x:c r="K15"/>
      <x:c r="L15"/>
      <x:c r="M15"/>
      <x:c r="N15"/>
      <x:c r="O15"/>
      <x:c r="P15"/>
    </x:row>
    <x:row r="16" ht="38" customHeight="1">
      <x:c r="A16" s="223"/>
      <x:c r="B16" s="223"/>
      <x:c r="C16" s="223"/>
      <x:c r="D16" s="223"/>
      <x:c r="E16" s="224"/>
      <x:c r="F16"/>
      <x:c r="G16"/>
      <x:c r="H16"/>
      <x:c r="I16"/>
      <x:c r="J16"/>
      <x:c r="K16"/>
      <x:c r="L16"/>
      <x:c r="M16"/>
      <x:c r="N16"/>
      <x:c r="O16"/>
      <x:c r="P16"/>
    </x:row>
    <x:row r="17" ht="38" customHeight="1">
      <x:c r="A17" s="223" t="str">
        <x:v>T-099: task CLOSED GREEN; Gate O keeps 1 exact inherited DefinitionKind RED. Follow-up is T-115, not reopening T-099.</x:v>
      </x:c>
      <x:c r="B17" s="223"/>
      <x:c r="C17" s="223"/>
      <x:c r="D17" s="223"/>
      <x:c r="E17" s="224"/>
      <x:c r="F17"/>
      <x:c r="G17"/>
      <x:c r="H17"/>
      <x:c r="I17"/>
      <x:c r="J17"/>
      <x:c r="K17"/>
      <x:c r="L17"/>
      <x:c r="M17"/>
      <x:c r="N17"/>
      <x:c r="O17"/>
      <x:c r="P17"/>
    </x:row>
    <x:row r="18" ht="38" customHeight="1">
      <x:c r="A18" s="223"/>
      <x:c r="B18" s="223"/>
      <x:c r="C18" s="223"/>
      <x:c r="D18" s="223"/>
      <x:c r="E18" s="224"/>
      <x:c r="F18"/>
      <x:c r="G18"/>
      <x:c r="H18"/>
      <x:c r="I18"/>
      <x:c r="J18"/>
      <x:c r="K18"/>
      <x:c r="L18"/>
      <x:c r="M18"/>
      <x:c r="N18"/>
      <x:c r="O18"/>
      <x:c r="P18"/>
    </x:row>
    <x:row r="19" ht="38" customHeight="1">
      <x:c r="A19" s="223" t="str">
        <x:v>Use v2.23.0. Both earlier v2.22.1 forks are superseded; no product functionality is implied by design-task counts.</x:v>
      </x:c>
      <x:c r="B19" s="223"/>
      <x:c r="C19" s="223"/>
      <x:c r="D19" s="223"/>
      <x:c r="E19" s="224"/>
      <x:c r="F19"/>
      <x:c r="G19"/>
      <x:c r="H19"/>
      <x:c r="I19"/>
      <x:c r="J19"/>
      <x:c r="K19"/>
      <x:c r="L19"/>
      <x:c r="M19"/>
      <x:c r="N19"/>
      <x:c r="O19"/>
      <x:c r="P19"/>
    </x:row>
    <x:row r="20" ht="38" customHeight="1">
      <x:c r="A20" s="223"/>
      <x:c r="B20" s="223"/>
      <x:c r="C20" s="223"/>
      <x:c r="D20" s="223"/>
      <x:c r="E20" s="224"/>
      <x:c r="F20"/>
      <x:c r="G20"/>
      <x:c r="H20"/>
      <x:c r="I20"/>
      <x:c r="J20"/>
      <x:c r="K20"/>
      <x:c r="L20"/>
      <x:c r="M20"/>
      <x:c r="N20"/>
      <x:c r="O20"/>
      <x:c r="P20"/>
    </x:row>
    <x:row r="21" ht="38" customHeight="1">
      <x:c r="A21" s="223" t="str">
        <x:v>B4 monitoring: T-101 UI + T-125 operational API. Fixture/BOM/known-red follow-up: T-115.</x:v>
      </x:c>
      <x:c r="B21" s="223"/>
      <x:c r="C21" s="223"/>
      <x:c r="D21" s="223"/>
      <x:c r="E21" s="224"/>
      <x:c r="F21"/>
      <x:c r="G21"/>
      <x:c r="H21"/>
      <x:c r="I21"/>
      <x:c r="J21"/>
      <x:c r="K21"/>
      <x:c r="L21"/>
      <x:c r="M21"/>
      <x:c r="N21"/>
      <x:c r="O21"/>
      <x:c r="P21"/>
    </x:row>
    <x:row r="22">
      <x:c r="A22"/>
      <x:c r="B22"/>
      <x:c r="C22"/>
      <x:c r="D22"/>
      <x:c r="E22"/>
      <x:c r="F22"/>
      <x:c r="G22"/>
      <x:c r="H22"/>
      <x:c r="I22"/>
      <x:c r="J22"/>
      <x:c r="K22"/>
      <x:c r="L22"/>
      <x:c r="M22"/>
      <x:c r="N22"/>
      <x:c r="O22"/>
      <x:c r="P22"/>
    </x:row>
    <x:row r="23">
      <x:c r="A23"/>
      <x:c r="B23"/>
      <x:c r="C23"/>
      <x:c r="D23"/>
      <x:c r="E23"/>
      <x:c r="F23"/>
      <x:c r="G23"/>
      <x:c r="H23"/>
      <x:c r="I23"/>
      <x:c r="J23"/>
      <x:c r="K23"/>
      <x:c r="L23"/>
      <x:c r="M23"/>
      <x:c r="N23"/>
      <x:c r="O23"/>
      <x:c r="P23"/>
    </x:row>
    <x:row r="24">
      <x:c r="A24"/>
      <x:c r="B24"/>
      <x:c r="C24"/>
      <x:c r="D24"/>
      <x:c r="E24"/>
      <x:c r="F24"/>
      <x:c r="G24"/>
      <x:c r="H24"/>
      <x:c r="I24"/>
      <x:c r="J24"/>
      <x:c r="K24"/>
      <x:c r="L24"/>
      <x:c r="M24"/>
      <x:c r="N24"/>
      <x:c r="O24"/>
      <x:c r="P24"/>
    </x:row>
    <x:row r="25">
      <x:c r="A25"/>
      <x:c r="B25"/>
      <x:c r="C25"/>
      <x:c r="D25"/>
      <x:c r="E25"/>
      <x:c r="F25"/>
      <x:c r="G25"/>
      <x:c r="H25"/>
      <x:c r="I25"/>
      <x:c r="J25"/>
      <x:c r="K25"/>
      <x:c r="L25"/>
      <x:c r="M25"/>
      <x:c r="N25"/>
      <x:c r="O25"/>
      <x:c r="P25"/>
    </x:row>
    <x:row r="26">
      <x:c r="A26"/>
      <x:c r="B26"/>
      <x:c r="C26"/>
      <x:c r="D26"/>
      <x:c r="E26"/>
      <x:c r="F26"/>
      <x:c r="G26"/>
      <x:c r="H26"/>
      <x:c r="I26"/>
      <x:c r="J26"/>
      <x:c r="K26"/>
      <x:c r="L26"/>
      <x:c r="M26"/>
      <x:c r="N26"/>
      <x:c r="O26"/>
      <x:c r="P26"/>
    </x:row>
    <x:row r="27">
      <x:c r="A27"/>
      <x:c r="B27"/>
      <x:c r="C27"/>
      <x:c r="D27"/>
      <x:c r="E27"/>
      <x:c r="F27"/>
      <x:c r="G27"/>
      <x:c r="H27"/>
      <x:c r="I27"/>
      <x:c r="J27"/>
      <x:c r="K27"/>
      <x:c r="L27"/>
      <x:c r="M27"/>
      <x:c r="N27"/>
      <x:c r="O27"/>
      <x:c r="P27"/>
    </x:row>
    <x:row r="28">
      <x:c r="A28"/>
      <x:c r="B28"/>
      <x:c r="C28"/>
      <x:c r="D28"/>
      <x:c r="E28"/>
      <x:c r="F28"/>
      <x:c r="G28"/>
      <x:c r="H28"/>
      <x:c r="I28"/>
      <x:c r="J28"/>
      <x:c r="K28"/>
      <x:c r="L28"/>
      <x:c r="M28"/>
      <x:c r="N28"/>
      <x:c r="O28"/>
      <x:c r="P28"/>
    </x:row>
    <x:row r="29">
      <x:c r="A29"/>
      <x:c r="B29"/>
      <x:c r="C29"/>
      <x:c r="D29"/>
      <x:c r="E29"/>
      <x:c r="F29"/>
      <x:c r="G29"/>
      <x:c r="H29"/>
      <x:c r="I29"/>
      <x:c r="J29"/>
      <x:c r="K29"/>
      <x:c r="L29"/>
      <x:c r="M29"/>
      <x:c r="N29"/>
      <x:c r="O29"/>
      <x:c r="P29"/>
    </x:row>
    <x:row r="30">
      <x:c r="A30"/>
      <x:c r="B30"/>
      <x:c r="C30"/>
      <x:c r="D30"/>
      <x:c r="E30"/>
      <x:c r="F30"/>
      <x:c r="G30"/>
      <x:c r="H30"/>
      <x:c r="I30"/>
      <x:c r="J30"/>
      <x:c r="K30"/>
      <x:c r="L30"/>
      <x:c r="M30"/>
      <x:c r="N30"/>
      <x:c r="O30"/>
      <x:c r="P30"/>
    </x:row>
    <x:row r="31">
      <x:c r="A31"/>
      <x:c r="B31"/>
      <x:c r="C31"/>
      <x:c r="D31"/>
      <x:c r="E31"/>
      <x:c r="F31"/>
      <x:c r="G31"/>
      <x:c r="H31"/>
      <x:c r="I31"/>
      <x:c r="J31"/>
      <x:c r="K31"/>
      <x:c r="L31"/>
      <x:c r="M31"/>
      <x:c r="N31"/>
      <x:c r="O31"/>
      <x:c r="P31"/>
    </x:row>
    <x:row r="32">
      <x:c r="A32"/>
      <x:c r="B32"/>
      <x:c r="C32"/>
      <x:c r="D32"/>
      <x:c r="E32"/>
      <x:c r="F32"/>
      <x:c r="G32"/>
      <x:c r="H32"/>
      <x:c r="I32"/>
      <x:c r="J32"/>
      <x:c r="K32"/>
      <x:c r="L32"/>
      <x:c r="M32"/>
      <x:c r="N32"/>
      <x:c r="O32"/>
      <x:c r="P32"/>
    </x:row>
    <x:row r="33">
      <x:c r="A33"/>
      <x:c r="B33"/>
      <x:c r="C33"/>
      <x:c r="D33"/>
      <x:c r="E33"/>
      <x:c r="F33"/>
      <x:c r="G33"/>
      <x:c r="H33"/>
      <x:c r="I33"/>
      <x:c r="J33"/>
      <x:c r="K33"/>
      <x:c r="L33"/>
      <x:c r="M33"/>
      <x:c r="N33"/>
      <x:c r="O33"/>
      <x:c r="P33"/>
    </x:row>
    <x:row r="34">
      <x:c r="A34"/>
      <x:c r="B34"/>
      <x:c r="C34"/>
      <x:c r="D34"/>
      <x:c r="E34"/>
      <x:c r="F34"/>
      <x:c r="G34"/>
      <x:c r="H34"/>
      <x:c r="I34"/>
      <x:c r="J34"/>
      <x:c r="K34"/>
      <x:c r="L34"/>
      <x:c r="M34"/>
      <x:c r="N34"/>
      <x:c r="O34"/>
      <x:c r="P34"/>
    </x:row>
    <x:row r="35">
      <x:c r="A35"/>
      <x:c r="B35"/>
      <x:c r="C35"/>
      <x:c r="D35"/>
      <x:c r="E35"/>
      <x:c r="F35"/>
      <x:c r="G35"/>
      <x:c r="H35"/>
      <x:c r="I35"/>
      <x:c r="J35"/>
      <x:c r="K35"/>
      <x:c r="L35"/>
      <x:c r="M35"/>
      <x:c r="N35"/>
      <x:c r="O35"/>
      <x:c r="P35"/>
    </x:row>
    <x:row r="36">
      <x:c r="A36"/>
      <x:c r="B36"/>
      <x:c r="C36"/>
      <x:c r="D36"/>
      <x:c r="E36"/>
      <x:c r="F36"/>
      <x:c r="G36"/>
      <x:c r="H36"/>
      <x:c r="I36"/>
      <x:c r="J36"/>
      <x:c r="K36"/>
      <x:c r="L36"/>
      <x:c r="M36"/>
      <x:c r="N36"/>
      <x:c r="O36"/>
      <x:c r="P36"/>
    </x:row>
    <x:row r="37">
      <x:c r="A37"/>
      <x:c r="B37"/>
      <x:c r="C37"/>
      <x:c r="D37"/>
      <x:c r="E37"/>
      <x:c r="F37"/>
      <x:c r="G37"/>
      <x:c r="H37"/>
      <x:c r="I37"/>
      <x:c r="J37"/>
      <x:c r="K37"/>
      <x:c r="L37"/>
      <x:c r="M37"/>
      <x:c r="N37"/>
      <x:c r="O37"/>
      <x:c r="P37"/>
    </x:row>
    <x:row r="38">
      <x:c r="A38"/>
      <x:c r="B38"/>
      <x:c r="C38"/>
      <x:c r="D38"/>
      <x:c r="E38"/>
      <x:c r="F38"/>
      <x:c r="G38"/>
      <x:c r="H38"/>
      <x:c r="I38"/>
      <x:c r="J38"/>
      <x:c r="K38"/>
      <x:c r="L38"/>
      <x:c r="M38"/>
      <x:c r="N38"/>
      <x:c r="O38"/>
      <x:c r="P38"/>
    </x:row>
    <x:row r="39">
      <x:c r="A39"/>
      <x:c r="B39"/>
      <x:c r="C39"/>
      <x:c r="D39"/>
      <x:c r="E39"/>
      <x:c r="F39"/>
      <x:c r="G39"/>
      <x:c r="H39"/>
      <x:c r="I39"/>
      <x:c r="J39"/>
      <x:c r="K39"/>
      <x:c r="L39"/>
      <x:c r="M39"/>
      <x:c r="N39"/>
      <x:c r="O39"/>
      <x:c r="P39"/>
    </x:row>
    <x:row r="40">
      <x:c r="A40"/>
      <x:c r="B40"/>
      <x:c r="C40"/>
      <x:c r="D40"/>
      <x:c r="E40"/>
      <x:c r="F40"/>
      <x:c r="G40"/>
      <x:c r="H40"/>
      <x:c r="I40"/>
      <x:c r="J40"/>
      <x:c r="K40"/>
      <x:c r="L40"/>
      <x:c r="M40"/>
      <x:c r="N40"/>
      <x:c r="O40"/>
      <x:c r="P40"/>
    </x:row>
    <x:row r="41">
      <x:c r="A41"/>
      <x:c r="B41"/>
      <x:c r="C41"/>
      <x:c r="D41"/>
      <x:c r="E41"/>
      <x:c r="F41"/>
      <x:c r="G41"/>
      <x:c r="H41"/>
      <x:c r="I41"/>
      <x:c r="J41"/>
      <x:c r="K41"/>
      <x:c r="L41"/>
      <x:c r="M41"/>
      <x:c r="N41"/>
      <x:c r="O41"/>
      <x:c r="P41"/>
    </x:row>
    <x:row r="42">
      <x:c r="A42"/>
      <x:c r="B42"/>
      <x:c r="C42"/>
      <x:c r="D42"/>
      <x:c r="E42"/>
      <x:c r="F42"/>
      <x:c r="G42"/>
      <x:c r="H42"/>
      <x:c r="I42"/>
      <x:c r="J42"/>
      <x:c r="K42"/>
      <x:c r="L42"/>
      <x:c r="M42"/>
      <x:c r="N42"/>
      <x:c r="O42"/>
      <x:c r="P42"/>
    </x:row>
  </x:sheetData>
  <x:mergeCells>
    <x:mergeCell ref="A1:O1"/>
    <x:mergeCell ref="A2:O2"/>
    <x:mergeCell ref="A14:E14"/>
    <x:mergeCell ref="A15:E15"/>
    <x:mergeCell ref="A17:E17"/>
    <x:mergeCell ref="A19:E19"/>
    <x:mergeCell ref="A21:E21"/>
  </x:mergeCells>
  <x:pageMargins left="0.7" right="0.7" top="0.75" bottom="0.75" header="0.3" footer="0.3"/>
  <x:drawing xmlns:r="http://schemas.openxmlformats.org/officeDocument/2006/relationships" r:id="R8b5b286c95a04d8b"/>
</x:worksheet>
</file>

<file path=xl/worksheets/sheet21.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40" hidden="0" customWidth="1"/>
    <x:col min="7" max="7" width="40" hidden="0" customWidth="1"/>
  </x:cols>
  <x:sheetData>
    <x:row r="1" ht="36" customHeight="1">
      <x:c r="A1" s="205" t="str">
        <x:v>Consumer</x:v>
      </x:c>
      <x:c r="B1" s="205" t="str">
        <x:v>Producer</x:v>
      </x:c>
      <x:c r="C1" s="205" t="str">
        <x:v>Consumer release</x:v>
      </x:c>
      <x:c r="D1" s="205" t="str">
        <x:v>Producer release</x:v>
      </x:c>
      <x:c r="E1" s="205" t="str">
        <x:v>Type</x:v>
      </x:c>
      <x:c r="F1" s="205" t="str">
        <x:v>Required evidence</x:v>
      </x:c>
      <x:c r="G1" s="205" t="str">
        <x:v>Status</x:v>
      </x:c>
    </x:row>
    <x:row r="2" ht="48" customHeight="1">
      <x:c r="A2" s="194" t="str">
        <x:v>T-148</x:v>
      </x:c>
      <x:c r="B2" s="194" t="str">
        <x:v>T-196</x:v>
      </x:c>
      <x:c r="C2" s="194" t="str">
        <x:v>M2</x:v>
      </x:c>
      <x:c r="D2" s="194" t="str">
        <x:v>M3</x:v>
      </x:c>
      <x:c r="E2" s="194" t="str">
        <x:v>CONTRACT_READY — not completion</x:v>
      </x:c>
      <x:c r="F2" s="194" t="str">
        <x:v>Frozen route/field/state/permission/response semantics from chapter and producer; identity + revision/evidence reference required.</x:v>
      </x:c>
      <x:c r="G2" s="194" t="str">
        <x:v>Record per-surface contract evidence; do not wait for full producer closure</x:v>
      </x:c>
    </x:row>
    <x:row r="3" ht="48" customHeight="1">
      <x:c r="A3" s="194" t="str">
        <x:v>T-148</x:v>
      </x:c>
      <x:c r="B3" s="194" t="str">
        <x:v>T-197</x:v>
      </x:c>
      <x:c r="C3" s="194" t="str">
        <x:v>M2</x:v>
      </x:c>
      <x:c r="D3" s="194" t="str">
        <x:v>M3</x:v>
      </x:c>
      <x:c r="E3" s="194" t="str">
        <x:v>CONTRACT_READY — not completion</x:v>
      </x:c>
      <x:c r="F3" s="194" t="str">
        <x:v>Frozen route/field/state/permission/response semantics from chapter and producer; identity + revision/evidence reference required.</x:v>
      </x:c>
      <x:c r="G3" s="194" t="str">
        <x:v>Record per-surface contract evidence; do not wait for full producer closure</x:v>
      </x:c>
    </x:row>
    <x:row r="4" ht="48" customHeight="1">
      <x:c r="A4" s="194" t="str">
        <x:v>T-148</x:v>
      </x:c>
      <x:c r="B4" s="194" t="str">
        <x:v>T-198</x:v>
      </x:c>
      <x:c r="C4" s="194" t="str">
        <x:v>M2</x:v>
      </x:c>
      <x:c r="D4" s="194" t="str">
        <x:v>M3</x:v>
      </x:c>
      <x:c r="E4" s="194" t="str">
        <x:v>CONTRACT_READY — not completion</x:v>
      </x:c>
      <x:c r="F4" s="194" t="str">
        <x:v>Frozen route/field/state/permission/response semantics from chapter and producer; identity + revision/evidence reference required.</x:v>
      </x:c>
      <x:c r="G4" s="194" t="str">
        <x:v>Record per-surface contract evidence; do not wait for full producer closure</x:v>
      </x:c>
    </x:row>
    <x:row r="5" ht="48" customHeight="1">
      <x:c r="A5" s="194" t="str">
        <x:v>T-148</x:v>
      </x:c>
      <x:c r="B5" s="194" t="str">
        <x:v>T-199</x:v>
      </x:c>
      <x:c r="C5" s="194" t="str">
        <x:v>M2</x:v>
      </x:c>
      <x:c r="D5" s="194" t="str">
        <x:v>M3</x:v>
      </x:c>
      <x:c r="E5" s="194" t="str">
        <x:v>CONTRACT_READY — not completion</x:v>
      </x:c>
      <x:c r="F5" s="194" t="str">
        <x:v>Frozen route/field/state/permission/response semantics from chapter and producer; identity + revision/evidence reference required.</x:v>
      </x:c>
      <x:c r="G5" s="194" t="str">
        <x:v>Record per-surface contract evidence; do not wait for full producer closure</x:v>
      </x:c>
    </x:row>
    <x:row r="6" ht="48" customHeight="1">
      <x:c r="A6" s="194" t="str">
        <x:v>T-148</x:v>
      </x:c>
      <x:c r="B6" s="194" t="str">
        <x:v>T-200</x:v>
      </x:c>
      <x:c r="C6" s="194" t="str">
        <x:v>M2</x:v>
      </x:c>
      <x:c r="D6" s="194" t="str">
        <x:v>M3</x:v>
      </x:c>
      <x:c r="E6" s="194" t="str">
        <x:v>CONTRACT_READY — not completion</x:v>
      </x:c>
      <x:c r="F6" s="194" t="str">
        <x:v>Frozen route/field/state/permission/response semantics from chapter and producer; identity + revision/evidence reference required.</x:v>
      </x:c>
      <x:c r="G6" s="194" t="str">
        <x:v>Record per-surface contract evidence; do not wait for full producer closure</x:v>
      </x:c>
    </x:row>
    <x:row r="7" ht="48" customHeight="1">
      <x:c r="A7" s="101" t="str">
        <x:v>T-148</x:v>
      </x:c>
      <x:c r="B7" s="101" t="str">
        <x:v>T-265</x:v>
      </x:c>
      <x:c r="C7" s="101" t="str">
        <x:v>M2</x:v>
      </x:c>
      <x:c r="D7" s="101" t="str">
        <x:v>M2</x:v>
      </x:c>
      <x:c r="E7" s="101" t="str">
        <x:v>CONTRACT_READY — not completion</x:v>
      </x:c>
      <x:c r="F7" s="101" t="str">
        <x:v>Frozen route/field/state/permission/response semantics from chapter and producer; identity + revision/evidence reference required.</x:v>
      </x:c>
      <x:c r="G7" s="101" t="str">
        <x:v>Record per-surface contract evidence; do not wait for full producer closure</x:v>
      </x:c>
    </x:row>
    <x:row r="8" ht="48" customHeight="1">
      <x:c r="A8" s="101" t="str">
        <x:v>T-148</x:v>
      </x:c>
      <x:c r="B8" s="101" t="str">
        <x:v>T-266</x:v>
      </x:c>
      <x:c r="C8" s="101" t="str">
        <x:v>M2</x:v>
      </x:c>
      <x:c r="D8" s="101" t="str">
        <x:v>M2</x:v>
      </x:c>
      <x:c r="E8" s="101" t="str">
        <x:v>CONTRACT_READY — not completion</x:v>
      </x:c>
      <x:c r="F8" s="101" t="str">
        <x:v>Frozen route/field/state/permission/response semantics from chapter and producer; identity + revision/evidence reference required.</x:v>
      </x:c>
      <x:c r="G8" s="101" t="str">
        <x:v>Record per-surface contract evidence; do not wait for full producer closure</x:v>
      </x:c>
    </x:row>
    <x:row r="9" ht="48" customHeight="1">
      <x:c r="A9" s="101" t="str">
        <x:v>T-265</x:v>
      </x:c>
      <x:c r="B9" s="101" t="str">
        <x:v>T-099</x:v>
      </x:c>
      <x:c r="C9" s="101" t="str">
        <x:v>M2</x:v>
      </x:c>
      <x:c r="D9" s="101" t="str">
        <x:v>M2</x:v>
      </x:c>
      <x:c r="E9" s="101" t="str">
        <x:v>CONTRACT_READY — not completion</x:v>
      </x:c>
      <x:c r="F9" s="101" t="str">
        <x:v>Frozen route/field/state/permission/response semantics from chapter and producer; identity + revision/evidence reference required.</x:v>
      </x:c>
      <x:c r="G9" s="101" t="str">
        <x:v>Record per-surface contract evidence; do not wait for full producer closure</x:v>
      </x:c>
    </x:row>
    <x:row r="10" ht="48" customHeight="1">
      <x:c r="A10" s="101" t="str">
        <x:v>T-265</x:v>
      </x:c>
      <x:c r="B10" s="101" t="str">
        <x:v>T-106</x:v>
      </x:c>
      <x:c r="C10" s="101" t="str">
        <x:v>M2</x:v>
      </x:c>
      <x:c r="D10" s="101" t="str">
        <x:v>M2</x:v>
      </x:c>
      <x:c r="E10" s="101" t="str">
        <x:v>CONTRACT_READY — not completion</x:v>
      </x:c>
      <x:c r="F10" s="101" t="str">
        <x:v>Frozen route/field/state/permission/response semantics from chapter and producer; identity + revision/evidence reference required.</x:v>
      </x:c>
      <x:c r="G10" s="101" t="str">
        <x:v>Record per-surface contract evidence; do not wait for full producer closure</x:v>
      </x:c>
    </x:row>
    <x:row r="11" ht="48" customHeight="1">
      <x:c r="A11" s="101" t="str">
        <x:v>T-265</x:v>
      </x:c>
      <x:c r="B11" s="101" t="str">
        <x:v>T-253</x:v>
      </x:c>
      <x:c r="C11" s="101" t="str">
        <x:v>M2</x:v>
      </x:c>
      <x:c r="D11" s="101" t="str">
        <x:v>M2</x:v>
      </x:c>
      <x:c r="E11" s="101" t="str">
        <x:v>CONTRACT_READY — not completion</x:v>
      </x:c>
      <x:c r="F11" s="101" t="str">
        <x:v>Frozen route/field/state/permission/response semantics from chapter and producer; identity + revision/evidence reference required.</x:v>
      </x:c>
      <x:c r="G11" s="101" t="str">
        <x:v>Record per-surface contract evidence; do not wait for full producer closure</x:v>
      </x:c>
    </x:row>
    <x:row r="12" ht="48" customHeight="1">
      <x:c r="A12" s="101" t="str">
        <x:v>T-265</x:v>
      </x:c>
      <x:c r="B12" s="101" t="str">
        <x:v>T-262</x:v>
      </x:c>
      <x:c r="C12" s="101" t="str">
        <x:v>M2</x:v>
      </x:c>
      <x:c r="D12" s="101" t="str">
        <x:v>M2</x:v>
      </x:c>
      <x:c r="E12" s="101" t="str">
        <x:v>CONTRACT_READY — not completion</x:v>
      </x:c>
      <x:c r="F12" s="101" t="str">
        <x:v>Frozen route/field/state/permission/response semantics from chapter and producer; identity + revision/evidence reference required.</x:v>
      </x:c>
      <x:c r="G12" s="101" t="str">
        <x:v>Record per-surface contract evidence; do not wait for full producer closure</x:v>
      </x:c>
    </x:row>
    <x:row r="13" ht="48" customHeight="1">
      <x:c r="A13" s="101" t="str">
        <x:v>T-265</x:v>
      </x:c>
      <x:c r="B13" s="101" t="str">
        <x:v>T-101</x:v>
      </x:c>
      <x:c r="C13" s="101" t="str">
        <x:v>M2</x:v>
      </x:c>
      <x:c r="D13" s="101" t="str">
        <x:v>M2</x:v>
      </x:c>
      <x:c r="E13" s="101" t="str">
        <x:v>CONTRACT_READY — not completion</x:v>
      </x:c>
      <x:c r="F13" s="101" t="str">
        <x:v>Frozen route/field/state/permission/response semantics from chapter and producer; identity + revision/evidence reference required.</x:v>
      </x:c>
      <x:c r="G13" s="101" t="str">
        <x:v>Record per-surface contract evidence; do not wait for full producer closure</x:v>
      </x:c>
    </x:row>
    <x:row r="14" ht="48" customHeight="1">
      <x:c r="A14" s="101" t="str">
        <x:v>T-265</x:v>
      </x:c>
      <x:c r="B14" s="101" t="str">
        <x:v>T-125</x:v>
      </x:c>
      <x:c r="C14" s="101" t="str">
        <x:v>M2</x:v>
      </x:c>
      <x:c r="D14" s="101" t="str">
        <x:v>M2</x:v>
      </x:c>
      <x:c r="E14" s="101" t="str">
        <x:v>CONTRACT_READY — not completion</x:v>
      </x:c>
      <x:c r="F14" s="101" t="str">
        <x:v>Frozen route/field/state/permission/response semantics from chapter and producer; identity + revision/evidence reference required.</x:v>
      </x:c>
      <x:c r="G14" s="101" t="str">
        <x:v>Record per-surface contract evidence; do not wait for full producer closure</x:v>
      </x:c>
    </x:row>
    <x:row r="15" ht="48" customHeight="1">
      <x:c r="A15" s="101" t="str">
        <x:v>T-266</x:v>
      </x:c>
      <x:c r="B15" s="101" t="str">
        <x:v>T-224</x:v>
      </x:c>
      <x:c r="C15" s="101" t="str">
        <x:v>M2</x:v>
      </x:c>
      <x:c r="D15" s="101" t="str">
        <x:v>M2</x:v>
      </x:c>
      <x:c r="E15" s="101" t="str">
        <x:v>CONTRACT_READY — not completion</x:v>
      </x:c>
      <x:c r="F15" s="101" t="str">
        <x:v>Frozen route/field/state/permission/response semantics from chapter and producer; identity + revision/evidence reference required.</x:v>
      </x:c>
      <x:c r="G15" s="101" t="str">
        <x:v>Record per-surface contract evidence; do not wait for full producer closure</x:v>
      </x:c>
    </x:row>
    <x:row r="16" ht="48" customHeight="1">
      <x:c r="A16" s="101" t="str">
        <x:v>T-266</x:v>
      </x:c>
      <x:c r="B16" s="101" t="str">
        <x:v>T-225</x:v>
      </x:c>
      <x:c r="C16" s="101" t="str">
        <x:v>M2</x:v>
      </x:c>
      <x:c r="D16" s="101" t="str">
        <x:v>M2</x:v>
      </x:c>
      <x:c r="E16" s="101" t="str">
        <x:v>CONTRACT_READY — not completion</x:v>
      </x:c>
      <x:c r="F16" s="101" t="str">
        <x:v>Frozen route/field/state/permission/response semantics from chapter and producer; identity + revision/evidence reference required.</x:v>
      </x:c>
      <x:c r="G16" s="101" t="str">
        <x:v>Record per-surface contract evidence; do not wait for full producer closure</x:v>
      </x:c>
    </x:row>
    <x:row r="17" ht="48" customHeight="1">
      <x:c r="A17" s="101" t="str">
        <x:v>T-266</x:v>
      </x:c>
      <x:c r="B17" s="101" t="str">
        <x:v>T-226</x:v>
      </x:c>
      <x:c r="C17" s="101" t="str">
        <x:v>M2</x:v>
      </x:c>
      <x:c r="D17" s="101" t="str">
        <x:v>M2</x:v>
      </x:c>
      <x:c r="E17" s="101" t="str">
        <x:v>CONTRACT_READY — not completion</x:v>
      </x:c>
      <x:c r="F17" s="101" t="str">
        <x:v>Frozen route/field/state/permission/response semantics from chapter and producer; identity + revision/evidence reference required.</x:v>
      </x:c>
      <x:c r="G17" s="101" t="str">
        <x:v>Record per-surface contract evidence; do not wait for full producer closure</x:v>
      </x:c>
    </x:row>
    <x:row r="18" ht="48" customHeight="1">
      <x:c r="A18" s="101" t="str">
        <x:v>T-266</x:v>
      </x:c>
      <x:c r="B18" s="101" t="str">
        <x:v>T-233</x:v>
      </x:c>
      <x:c r="C18" s="101" t="str">
        <x:v>M2</x:v>
      </x:c>
      <x:c r="D18" s="101" t="str">
        <x:v>M2</x:v>
      </x:c>
      <x:c r="E18" s="101" t="str">
        <x:v>CONTRACT_READY — not completion</x:v>
      </x:c>
      <x:c r="F18" s="101" t="str">
        <x:v>Frozen route/field/state/permission/response semantics from chapter and producer; identity + revision/evidence reference required.</x:v>
      </x:c>
      <x:c r="G18" s="101" t="str">
        <x:v>Record per-surface contract evidence; do not wait for full producer closure</x:v>
      </x:c>
    </x:row>
    <x:row r="19" ht="48" customHeight="1">
      <x:c r="A19" s="101" t="str">
        <x:v>T-267</x:v>
      </x:c>
      <x:c r="B19" s="101" t="str">
        <x:v>T-248</x:v>
      </x:c>
      <x:c r="C19" s="101" t="str">
        <x:v>M3</x:v>
      </x:c>
      <x:c r="D19" s="101" t="str">
        <x:v>M3</x:v>
      </x:c>
      <x:c r="E19" s="101" t="str">
        <x:v>CONTRACT_READY — not completion</x:v>
      </x:c>
      <x:c r="F19" s="101" t="str">
        <x:v>Frozen route/field/state/permission/response semantics from chapter and producer; identity + revision/evidence reference required.</x:v>
      </x:c>
      <x:c r="G19" s="101" t="str">
        <x:v>Record per-surface contract evidence; do not wait for full producer closure</x:v>
      </x:c>
    </x:row>
    <x:row r="20" ht="48" customHeight="1">
      <x:c r="A20" s="101" t="str">
        <x:v>T-267</x:v>
      </x:c>
      <x:c r="B20" s="101" t="str">
        <x:v>T-263</x:v>
      </x:c>
      <x:c r="C20" s="101" t="str">
        <x:v>M3</x:v>
      </x:c>
      <x:c r="D20" s="101" t="str">
        <x:v>M3</x:v>
      </x:c>
      <x:c r="E20" s="101" t="str">
        <x:v>CONTRACT_READY — not completion</x:v>
      </x:c>
      <x:c r="F20" s="101" t="str">
        <x:v>Frozen route/field/state/permission/response semantics from chapter and producer; identity + revision/evidence reference required.</x:v>
      </x:c>
      <x:c r="G20" s="101" t="str">
        <x:v>Record per-surface contract evidence; do not wait for full producer closure</x:v>
      </x:c>
    </x:row>
    <x:row r="21" ht="48" customHeight="1">
      <x:c r="A21" s="101" t="str">
        <x:v>T-267</x:v>
      </x:c>
      <x:c r="B21" s="101" t="str">
        <x:v>T-264</x:v>
      </x:c>
      <x:c r="C21" s="101" t="str">
        <x:v>M3</x:v>
      </x:c>
      <x:c r="D21" s="101" t="str">
        <x:v>M3</x:v>
      </x:c>
      <x:c r="E21" s="101" t="str">
        <x:v>CONTRACT_READY — not completion</x:v>
      </x:c>
      <x:c r="F21" s="101" t="str">
        <x:v>Frozen route/field/state/permission/response semantics from chapter and producer; identity + revision/evidence reference required.</x:v>
      </x:c>
      <x:c r="G21" s="101" t="str">
        <x:v>Record per-surface contract evidence; do not wait for full producer closure</x:v>
      </x:c>
    </x:row>
    <x:row r="22" ht="48" customHeight="1">
      <x:c r="A22" s="101" t="str">
        <x:v>T-267</x:v>
      </x:c>
      <x:c r="B22" s="101" t="str">
        <x:v>T-196</x:v>
      </x:c>
      <x:c r="C22" s="101" t="str">
        <x:v>M3</x:v>
      </x:c>
      <x:c r="D22" s="101" t="str">
        <x:v>M3</x:v>
      </x:c>
      <x:c r="E22" s="101" t="str">
        <x:v>CONTRACT_READY — not completion</x:v>
      </x:c>
      <x:c r="F22" s="101" t="str">
        <x:v>Frozen route/field/state/permission/response semantics from chapter and producer; identity + revision/evidence reference required.</x:v>
      </x:c>
      <x:c r="G22" s="101" t="str">
        <x:v>Record per-surface contract evidence; do not wait for full producer closure</x:v>
      </x:c>
    </x:row>
    <x:row r="23" ht="48" customHeight="1">
      <x:c r="A23" s="101" t="str">
        <x:v>T-267</x:v>
      </x:c>
      <x:c r="B23" s="101" t="str">
        <x:v>T-197</x:v>
      </x:c>
      <x:c r="C23" s="101" t="str">
        <x:v>M3</x:v>
      </x:c>
      <x:c r="D23" s="101" t="str">
        <x:v>M3</x:v>
      </x:c>
      <x:c r="E23" s="101" t="str">
        <x:v>CONTRACT_READY — not completion</x:v>
      </x:c>
      <x:c r="F23" s="101" t="str">
        <x:v>Frozen route/field/state/permission/response semantics from chapter and producer; identity + revision/evidence reference required.</x:v>
      </x:c>
      <x:c r="G23" s="101" t="str">
        <x:v>Record per-surface contract evidence; do not wait for full producer closure</x:v>
      </x:c>
    </x:row>
    <x:row r="24" ht="48" customHeight="1">
      <x:c r="A24" s="101" t="str">
        <x:v>T-267</x:v>
      </x:c>
      <x:c r="B24" s="101" t="str">
        <x:v>T-198</x:v>
      </x:c>
      <x:c r="C24" s="101" t="str">
        <x:v>M3</x:v>
      </x:c>
      <x:c r="D24" s="101" t="str">
        <x:v>M3</x:v>
      </x:c>
      <x:c r="E24" s="101" t="str">
        <x:v>CONTRACT_READY — not completion</x:v>
      </x:c>
      <x:c r="F24" s="101" t="str">
        <x:v>Frozen route/field/state/permission/response semantics from chapter and producer; identity + revision/evidence reference required.</x:v>
      </x:c>
      <x:c r="G24" s="101" t="str">
        <x:v>Record per-surface contract evidence; do not wait for full producer closure</x:v>
      </x:c>
    </x:row>
    <x:row r="25" ht="48" customHeight="1">
      <x:c r="A25" s="101" t="str">
        <x:v>T-267</x:v>
      </x:c>
      <x:c r="B25" s="101" t="str">
        <x:v>T-199</x:v>
      </x:c>
      <x:c r="C25" s="101" t="str">
        <x:v>M3</x:v>
      </x:c>
      <x:c r="D25" s="101" t="str">
        <x:v>M3</x:v>
      </x:c>
      <x:c r="E25" s="101" t="str">
        <x:v>CONTRACT_READY — not completion</x:v>
      </x:c>
      <x:c r="F25" s="101" t="str">
        <x:v>Frozen route/field/state/permission/response semantics from chapter and producer; identity + revision/evidence reference required.</x:v>
      </x:c>
      <x:c r="G25" s="101" t="str">
        <x:v>Record per-surface contract evidence; do not wait for full producer closure</x:v>
      </x:c>
    </x:row>
    <x:row r="26" ht="48" customHeight="1">
      <x:c r="A26" s="101" t="str">
        <x:v>T-267</x:v>
      </x:c>
      <x:c r="B26" s="101" t="str">
        <x:v>T-200</x:v>
      </x:c>
      <x:c r="C26" s="101" t="str">
        <x:v>M3</x:v>
      </x:c>
      <x:c r="D26" s="101" t="str">
        <x:v>M3</x:v>
      </x:c>
      <x:c r="E26" s="101" t="str">
        <x:v>CONTRACT_READY — not completion</x:v>
      </x:c>
      <x:c r="F26" s="101" t="str">
        <x:v>Frozen route/field/state/permission/response semantics from chapter and producer; identity + revision/evidence reference required.</x:v>
      </x:c>
      <x:c r="G26" s="101" t="str">
        <x:v>Record per-surface contract evidence; do not wait for full producer closure</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40" hidden="0" customWidth="1"/>
    <x:col min="5" max="5" width="20" hidden="0" customWidth="1"/>
    <x:col min="6" max="6" width="20" hidden="0" customWidth="1"/>
    <x:col min="7" max="7" width="34" hidden="0" customWidth="1"/>
  </x:cols>
  <x:sheetData>
    <x:row r="1" ht="36" customHeight="1">
      <x:c r="A1" s="205" t="str">
        <x:v>Task Id</x:v>
      </x:c>
      <x:c r="B1" s="205" t="str">
        <x:v>Prior hours</x:v>
      </x:c>
      <x:c r="C1" s="205" t="str">
        <x:v>Prior AI P80 h</x:v>
      </x:c>
      <x:c r="D1" s="205" t="str">
        <x:v>Disposition</x:v>
      </x:c>
      <x:c r="E1" s="205" t="str">
        <x:v>Owner</x:v>
      </x:c>
      <x:c r="F1" s="205" t="str">
        <x:v>Current hours</x:v>
      </x:c>
      <x:c r="G1" s="205" t="str">
        <x:v>Current estimate state</x:v>
      </x:c>
    </x:row>
    <x:row r="2" ht="26" customHeight="1">
      <x:c r="A2" s="194" t="str">
        <x:v>T-106</x:v>
      </x:c>
      <x:c r="B2" s="194" t="n">
        <x:v>16</x:v>
      </x:c>
      <x:c r="C2" s="194" t="n">
        <x:v>1.7999999999999998</x:v>
      </x:c>
      <x:c r="D2" s="194" t="str">
        <x:v>WITHDRAWN — widened scope requires owner re-estimation</x:v>
      </x:c>
      <x:c r="E2" s="194" t="str">
        <x:f>IF(INDEX(Backlog!$L$2:$L$180,MATCH($A2,Backlog!$A$2:$A$180,0))="","",INDEX(Backlog!$L$2:$L$180,MATCH($A2,Backlog!$A$2:$A$180,0)))</x:f>
        <x:v>Worker 3</x:v>
      </x:c>
      <x:c r="F2" s="194" t="str">
        <x:f>IF(INDEX(Backlog!$J$2:$J$180,MATCH($A2,Backlog!$A$2:$A$180,0))="","",INDEX(Backlog!$J$2:$J$180,MATCH($A2,Backlog!$A$2:$A$180,0)))</x:f>
      </x:c>
      <x:c r="G2" s="194" t="str">
        <x:f>IF(INDEX(Backlog!$AR$2:$AR$180,MATCH($A2,Backlog!$A$2:$A$180,0))="","",INDEX(Backlog!$AR$2:$AR$180,MATCH($A2,Backlog!$A$2:$A$180,0)))</x:f>
        <x:v>RE-ESTIMATE REQUIRED</x:v>
      </x:c>
    </x:row>
    <x:row r="3" ht="26" customHeight="1">
      <x:c r="A3" s="194" t="str">
        <x:v>T-108</x:v>
      </x:c>
      <x:c r="B3" s="194" t="n">
        <x:v>8</x:v>
      </x:c>
      <x:c r="C3" s="194" t="n">
        <x:v>1.2000000000000002</x:v>
      </x:c>
      <x:c r="D3" s="194" t="str">
        <x:v>WITHDRAWN — widened scope requires owner re-estimation</x:v>
      </x:c>
      <x:c r="E3" s="194" t="str">
        <x:f>IF(INDEX(Backlog!$L$2:$L$180,MATCH($A3,Backlog!$A$2:$A$180,0))="","",INDEX(Backlog!$L$2:$L$180,MATCH($A3,Backlog!$A$2:$A$180,0)))</x:f>
        <x:v>Worker 1</x:v>
      </x:c>
      <x:c r="F3" s="194" t="str">
        <x:f>IF(INDEX(Backlog!$J$2:$J$180,MATCH($A3,Backlog!$A$2:$A$180,0))="","",INDEX(Backlog!$J$2:$J$180,MATCH($A3,Backlog!$A$2:$A$180,0)))</x:f>
      </x:c>
      <x:c r="G3" s="194" t="str">
        <x:f>IF(INDEX(Backlog!$AR$2:$AR$180,MATCH($A3,Backlog!$A$2:$A$180,0))="","",INDEX(Backlog!$AR$2:$AR$180,MATCH($A3,Backlog!$A$2:$A$180,0)))</x:f>
        <x:v>RE-ESTIMATE REQUIRED</x:v>
      </x:c>
    </x:row>
    <x:row r="4" ht="26" customHeight="1">
      <x:c r="A4" s="194" t="str">
        <x:v>T-262</x:v>
      </x:c>
      <x:c r="B4" s="194"/>
      <x:c r="C4" s="194"/>
      <x:c r="D4" s="194" t="str">
        <x:v>UNESTIMATED — owner calibration required</x:v>
      </x:c>
      <x:c r="E4" s="194" t="str">
        <x:f>IF(INDEX(Backlog!$L$2:$L$180,MATCH($A4,Backlog!$A$2:$A$180,0))="","",INDEX(Backlog!$L$2:$L$180,MATCH($A4,Backlog!$A$2:$A$180,0)))</x:f>
        <x:v>Worker 2</x:v>
      </x:c>
      <x:c r="F4" s="194" t="str">
        <x:f>IF(INDEX(Backlog!$J$2:$J$180,MATCH($A4,Backlog!$A$2:$A$180,0))="","",INDEX(Backlog!$J$2:$J$180,MATCH($A4,Backlog!$A$2:$A$180,0)))</x:f>
      </x:c>
      <x:c r="G4" s="194" t="str">
        <x:f>IF(INDEX(Backlog!$AR$2:$AR$180,MATCH($A4,Backlog!$A$2:$A$180,0))="","",INDEX(Backlog!$AR$2:$AR$180,MATCH($A4,Backlog!$A$2:$A$180,0)))</x:f>
        <x:v>UNESTIMATED</x:v>
      </x:c>
    </x:row>
    <x:row r="5" ht="26" customHeight="1">
      <x:c r="A5" s="194" t="str">
        <x:v>T-263</x:v>
      </x:c>
      <x:c r="B5" s="194"/>
      <x:c r="C5" s="194"/>
      <x:c r="D5" s="194" t="str">
        <x:v>UNESTIMATED — owner calibration required</x:v>
      </x:c>
      <x:c r="E5" s="194" t="str">
        <x:f>IF(INDEX(Backlog!$L$2:$L$180,MATCH($A5,Backlog!$A$2:$A$180,0))="","",INDEX(Backlog!$L$2:$L$180,MATCH($A5,Backlog!$A$2:$A$180,0)))</x:f>
        <x:v>Worker 2</x:v>
      </x:c>
      <x:c r="F5" s="194" t="str">
        <x:f>IF(INDEX(Backlog!$J$2:$J$180,MATCH($A5,Backlog!$A$2:$A$180,0))="","",INDEX(Backlog!$J$2:$J$180,MATCH($A5,Backlog!$A$2:$A$180,0)))</x:f>
      </x:c>
      <x:c r="G5" s="194" t="str">
        <x:f>IF(INDEX(Backlog!$AR$2:$AR$180,MATCH($A5,Backlog!$A$2:$A$180,0))="","",INDEX(Backlog!$AR$2:$AR$180,MATCH($A5,Backlog!$A$2:$A$180,0)))</x:f>
        <x:v>UNESTIMATED</x:v>
      </x:c>
    </x:row>
    <x:row r="6" ht="26" customHeight="1">
      <x:c r="A6" s="194" t="str">
        <x:v>T-264</x:v>
      </x:c>
      <x:c r="B6" s="194"/>
      <x:c r="C6" s="194"/>
      <x:c r="D6" s="194" t="str">
        <x:v>UNESTIMATED — owner calibration required</x:v>
      </x:c>
      <x:c r="E6" s="194" t="str">
        <x:f>IF(INDEX(Backlog!$L$2:$L$180,MATCH($A6,Backlog!$A$2:$A$180,0))="","",INDEX(Backlog!$L$2:$L$180,MATCH($A6,Backlog!$A$2:$A$180,0)))</x:f>
        <x:v>Worker 3</x:v>
      </x:c>
      <x:c r="F6" s="194" t="str">
        <x:f>IF(INDEX(Backlog!$J$2:$J$180,MATCH($A6,Backlog!$A$2:$A$180,0))="","",INDEX(Backlog!$J$2:$J$180,MATCH($A6,Backlog!$A$2:$A$180,0)))</x:f>
      </x:c>
      <x:c r="G6" s="194" t="str">
        <x:f>IF(INDEX(Backlog!$AR$2:$AR$180,MATCH($A6,Backlog!$A$2:$A$180,0))="","",INDEX(Backlog!$AR$2:$AR$180,MATCH($A6,Backlog!$A$2:$A$180,0)))</x:f>
        <x:v>UNESTIMATED</x:v>
      </x:c>
    </x:row>
    <x:row r="7" ht="52" customHeight="1">
      <x:c r="A7" s="101" t="str">
        <x:v>T-265</x:v>
      </x:c>
      <x:c r="B7" s="101" t="n">
        <x:v>40</x:v>
      </x:c>
      <x:c r="C7" s="101" t="n">
        <x:v>40</x:v>
      </x:c>
      <x:c r="D7" s="101" t="str">
        <x:v>FABLE PROPOSAL ONLY — unconfirmed, not accepted P80; withheld from live sums</x:v>
      </x:c>
      <x:c r="E7" s="101" t="str">
        <x:v>Worker 2</x:v>
      </x:c>
      <x:c r="F7" s="101" t="str">
        <x:f>IF(INDEX(Backlog!$J$2:$J$180,MATCH($A7,Backlog!$A$2:$A$180,0))="","",INDEX(Backlog!$J$2:$J$180,MATCH($A7,Backlog!$A$2:$A$180,0)))</x:f>
      </x:c>
      <x:c r="G7" s="101" t="str">
        <x:f>IF(INDEX(Backlog!$AR$2:$AR$180,MATCH($A7,Backlog!$A$2:$A$180,0))="","",INDEX(Backlog!$AR$2:$AR$180,MATCH($A7,Backlog!$A$2:$A$180,0)))</x:f>
        <x:v>UNCONFIRMED DESIGN ESTIMATE</x:v>
      </x:c>
    </x:row>
    <x:row r="8" ht="52" customHeight="1">
      <x:c r="A8" s="101" t="str">
        <x:v>T-266</x:v>
      </x:c>
      <x:c r="B8" s="101" t="n">
        <x:v>16</x:v>
      </x:c>
      <x:c r="C8" s="101" t="n">
        <x:v>16</x:v>
      </x:c>
      <x:c r="D8" s="101" t="str">
        <x:v>FABLE PROPOSAL ONLY — unconfirmed, not accepted P80; withheld from live sums</x:v>
      </x:c>
      <x:c r="E8" s="101" t="str">
        <x:v>Worker 2</x:v>
      </x:c>
      <x:c r="F8" s="101" t="str">
        <x:f>IF(INDEX(Backlog!$J$2:$J$180,MATCH($A8,Backlog!$A$2:$A$180,0))="","",INDEX(Backlog!$J$2:$J$180,MATCH($A8,Backlog!$A$2:$A$180,0)))</x:f>
      </x:c>
      <x:c r="G8" s="101" t="str">
        <x:f>IF(INDEX(Backlog!$AR$2:$AR$180,MATCH($A8,Backlog!$A$2:$A$180,0))="","",INDEX(Backlog!$AR$2:$AR$180,MATCH($A8,Backlog!$A$2:$A$180,0)))</x:f>
        <x:v>UNCONFIRMED DESIGN ESTIMATE</x:v>
      </x:c>
    </x:row>
    <x:row r="9" ht="52" customHeight="1">
      <x:c r="A9" s="101" t="str">
        <x:v>T-267</x:v>
      </x:c>
      <x:c r="B9" s="101" t="n">
        <x:v>32</x:v>
      </x:c>
      <x:c r="C9" s="101" t="n">
        <x:v>32</x:v>
      </x:c>
      <x:c r="D9" s="101" t="str">
        <x:v>FABLE PROPOSAL ONLY — unconfirmed, not accepted P80; withheld from live sums</x:v>
      </x:c>
      <x:c r="E9" s="101" t="str">
        <x:v>Worker 2</x:v>
      </x:c>
      <x:c r="F9" s="101" t="str">
        <x:f>IF(INDEX(Backlog!$J$2:$J$180,MATCH($A9,Backlog!$A$2:$A$180,0))="","",INDEX(Backlog!$J$2:$J$180,MATCH($A9,Backlog!$A$2:$A$180,0)))</x:f>
      </x:c>
      <x:c r="G9" s="101" t="str">
        <x:f>IF(INDEX(Backlog!$AR$2:$AR$180,MATCH($A9,Backlog!$A$2:$A$180,0))="","",INDEX(Backlog!$AR$2:$AR$180,MATCH($A9,Backlog!$A$2:$A$180,0)))</x:f>
        <x:v>UNCONFIRMED DESIGN ESTIMATE</x:v>
      </x:c>
    </x:row>
    <x:row r="10">
      <x:c r="A10"/>
      <x:c r="B10"/>
      <x:c r="C10"/>
      <x:c r="D10"/>
      <x:c r="E10"/>
      <x:c r="F10"/>
      <x:c r="G10"/>
    </x:row>
    <x:row r="11">
      <x:c r="A11"/>
      <x:c r="B11"/>
      <x:c r="C11"/>
      <x:c r="D11"/>
      <x:c r="E11"/>
      <x:c r="F11"/>
      <x:c r="G11"/>
    </x:row>
    <x:row r="12">
      <x:c r="A12"/>
      <x:c r="B12"/>
      <x:c r="C12"/>
      <x:c r="D12"/>
      <x:c r="E12"/>
      <x:c r="F12"/>
      <x:c r="G12"/>
    </x:row>
  </x:sheetData>
  <x:mergeCells>
    <x:mergeCell ref="A8:G8"/>
  </x:mergeCells>
  <x:pageMargins left="0.7" right="0.7" top="0.75" bottom="0.75" header="0.3" footer="0.3"/>
</x:worksheet>
</file>

<file path=xl/worksheets/sheet23.xml><?xml version="1.0" encoding="utf-8"?>
<x:worksheet xmlns:x="http://schemas.openxmlformats.org/spreadsheetml/2006/main">
  <x:sheetFormatPr defaultRowHeight="15"/>
  <x:cols>
    <x:col min="1" max="1" width="12" hidden="0" customWidth="1"/>
    <x:col min="2" max="2" width="12" hidden="0" customWidth="1"/>
    <x:col min="3" max="3" width="40" hidden="0" customWidth="1"/>
    <x:col min="4" max="4" width="40" hidden="0" customWidth="1"/>
    <x:col min="5" max="5" width="40" hidden="0" customWidth="1"/>
    <x:col min="6" max="6" width="40" hidden="0" customWidth="1"/>
  </x:cols>
  <x:sheetData>
    <x:row r="1" ht="36" customHeight="1">
      <x:c r="A1" s="205" t="str">
        <x:v>Task Id</x:v>
      </x:c>
      <x:c r="B1" s="205" t="str">
        <x:v>Column</x:v>
      </x:c>
      <x:c r="C1" s="205" t="str">
        <x:v>Field</x:v>
      </x:c>
      <x:c r="D1" s="205" t="str">
        <x:v>Rejected v2.22.0</x:v>
      </x:c>
      <x:c r="E1" s="205" t="str">
        <x:v>Corrected v2.22.1</x:v>
      </x:c>
      <x:c r="F1" s="205" t="str">
        <x:v>Reason</x:v>
      </x:c>
    </x:row>
    <x:row r="2" ht="70" customHeight="1">
      <x:c r="A2" s="194" t="str">
        <x:v>T-086</x:v>
      </x:c>
      <x:c r="B2" s="194" t="str">
        <x:v>AO</x:v>
      </x:c>
      <x:c r="C2" s="194" t="str">
        <x:v>Evidence State</x:v>
      </x:c>
      <x:c r="D2" s="194"/>
      <x:c r="E2" s="194" t="str">
        <x:v>Recorded closed — inherited evidence</x:v>
      </x:c>
      <x:c r="F2" s="194" t="str">
        <x:v>Add explicit evidence / estimation provenance in repair revision.</x:v>
      </x:c>
    </x:row>
    <x:row r="3" ht="70" customHeight="1">
      <x:c r="A3" s="194" t="str">
        <x:v>T-086</x:v>
      </x:c>
      <x:c r="B3" s="194" t="str">
        <x:v>AP</x:v>
      </x:c>
      <x:c r="C3" s="194" t="str">
        <x:v>Closure Evidence Basis</x:v>
      </x:c>
      <x:c r="D3" s="194"/>
      <x:c r="E3" s="194" t="str">
        <x:v>Inherited v2.22.0 intended record; no new runtime certification in this repair.</x:v>
      </x:c>
      <x:c r="F3" s="194" t="str">
        <x:v>Add explicit evidence / estimation provenance in repair revision.</x:v>
      </x:c>
    </x:row>
    <x:row r="4" ht="70" customHeight="1">
      <x:c r="A4" s="194" t="str">
        <x:v>T-086</x:v>
      </x:c>
      <x:c r="B4" s="194" t="str">
        <x:v>AR</x:v>
      </x:c>
      <x:c r="C4" s="194" t="str">
        <x:v>Estimate Status</x:v>
      </x:c>
      <x:c r="D4" s="194"/>
      <x:c r="E4" s="194" t="str">
        <x:v>INHERITED ESTIMATE</x:v>
      </x:c>
      <x:c r="F4" s="194" t="str">
        <x:v>Add explicit evidence / estimation provenance in repair revision.</x:v>
      </x:c>
    </x:row>
    <x:row r="5" ht="70" customHeight="1">
      <x:c r="A5" s="194" t="str">
        <x:v>T-087</x:v>
      </x:c>
      <x:c r="B5" s="194" t="str">
        <x:v>AO</x:v>
      </x:c>
      <x:c r="C5" s="194" t="str">
        <x:v>Evidence State</x:v>
      </x:c>
      <x:c r="D5" s="194"/>
      <x:c r="E5" s="194" t="str">
        <x:v>Recorded closed — inherited evidence</x:v>
      </x:c>
      <x:c r="F5" s="194" t="str">
        <x:v>Add explicit evidence / estimation provenance in repair revision.</x:v>
      </x:c>
    </x:row>
    <x:row r="6" ht="70" customHeight="1">
      <x:c r="A6" s="194" t="str">
        <x:v>T-087</x:v>
      </x:c>
      <x:c r="B6" s="194" t="str">
        <x:v>AP</x:v>
      </x:c>
      <x:c r="C6" s="194" t="str">
        <x:v>Closure Evidence Basis</x:v>
      </x:c>
      <x:c r="D6" s="194"/>
      <x:c r="E6" s="194" t="str">
        <x:v>Inherited v2.22.0 intended record; no new runtime certification in this repair.</x:v>
      </x:c>
      <x:c r="F6" s="194" t="str">
        <x:v>Add explicit evidence / estimation provenance in repair revision.</x:v>
      </x:c>
    </x:row>
    <x:row r="7" ht="70" customHeight="1">
      <x:c r="A7" s="194" t="str">
        <x:v>T-087</x:v>
      </x:c>
      <x:c r="B7" s="194" t="str">
        <x:v>AR</x:v>
      </x:c>
      <x:c r="C7" s="194" t="str">
        <x:v>Estimate Status</x:v>
      </x:c>
      <x:c r="D7" s="194"/>
      <x:c r="E7" s="194" t="str">
        <x:v>INHERITED ESTIMATE</x:v>
      </x:c>
      <x:c r="F7" s="194" t="str">
        <x:v>Add explicit evidence / estimation provenance in repair revision.</x:v>
      </x:c>
    </x:row>
    <x:row r="8" ht="70" customHeight="1">
      <x:c r="A8" s="194" t="str">
        <x:v>T-088</x:v>
      </x:c>
      <x:c r="B8" s="194" t="str">
        <x:v>AO</x:v>
      </x:c>
      <x:c r="C8" s="194" t="str">
        <x:v>Evidence State</x:v>
      </x:c>
      <x:c r="D8" s="194"/>
      <x:c r="E8" s="194" t="str">
        <x:v>Recorded closed — inherited evidence</x:v>
      </x:c>
      <x:c r="F8" s="194" t="str">
        <x:v>Add explicit evidence / estimation provenance in repair revision.</x:v>
      </x:c>
    </x:row>
    <x:row r="9" ht="70" customHeight="1">
      <x:c r="A9" s="194" t="str">
        <x:v>T-088</x:v>
      </x:c>
      <x:c r="B9" s="194" t="str">
        <x:v>AP</x:v>
      </x:c>
      <x:c r="C9" s="194" t="str">
        <x:v>Closure Evidence Basis</x:v>
      </x:c>
      <x:c r="D9" s="194"/>
      <x:c r="E9" s="194" t="str">
        <x:v>Inherited v2.22.0 intended record; no new runtime certification in this repair.</x:v>
      </x:c>
      <x:c r="F9" s="194" t="str">
        <x:v>Add explicit evidence / estimation provenance in repair revision.</x:v>
      </x:c>
    </x:row>
    <x:row r="10" ht="70" customHeight="1">
      <x:c r="A10" s="194" t="str">
        <x:v>T-088</x:v>
      </x:c>
      <x:c r="B10" s="194" t="str">
        <x:v>AR</x:v>
      </x:c>
      <x:c r="C10" s="194" t="str">
        <x:v>Estimate Status</x:v>
      </x:c>
      <x:c r="D10" s="194"/>
      <x:c r="E10" s="194" t="str">
        <x:v>INHERITED ESTIMATE</x:v>
      </x:c>
      <x:c r="F10" s="194" t="str">
        <x:v>Add explicit evidence / estimation provenance in repair revision.</x:v>
      </x:c>
    </x:row>
    <x:row r="11" ht="70" customHeight="1">
      <x:c r="A11" s="194" t="str">
        <x:v>T-089</x:v>
      </x:c>
      <x:c r="B11" s="194" t="str">
        <x:v>AO</x:v>
      </x:c>
      <x:c r="C11" s="194" t="str">
        <x:v>Evidence State</x:v>
      </x:c>
      <x:c r="D11" s="194"/>
      <x:c r="E11" s="194" t="str">
        <x:v>Recorded closed — inherited evidence</x:v>
      </x:c>
      <x:c r="F11" s="194" t="str">
        <x:v>Add explicit evidence / estimation provenance in repair revision.</x:v>
      </x:c>
    </x:row>
    <x:row r="12" ht="70" customHeight="1">
      <x:c r="A12" s="194" t="str">
        <x:v>T-089</x:v>
      </x:c>
      <x:c r="B12" s="194" t="str">
        <x:v>AP</x:v>
      </x:c>
      <x:c r="C12" s="194" t="str">
        <x:v>Closure Evidence Basis</x:v>
      </x:c>
      <x:c r="D12" s="194"/>
      <x:c r="E12" s="194" t="str">
        <x:v>Inherited v2.22.0 intended record; no new runtime certification in this repair.</x:v>
      </x:c>
      <x:c r="F12" s="194" t="str">
        <x:v>Add explicit evidence / estimation provenance in repair revision.</x:v>
      </x:c>
    </x:row>
    <x:row r="13" ht="70" customHeight="1">
      <x:c r="A13" s="194" t="str">
        <x:v>T-089</x:v>
      </x:c>
      <x:c r="B13" s="194" t="str">
        <x:v>AR</x:v>
      </x:c>
      <x:c r="C13" s="194" t="str">
        <x:v>Estimate Status</x:v>
      </x:c>
      <x:c r="D13" s="194"/>
      <x:c r="E13" s="194" t="str">
        <x:v>INHERITED ESTIMATE</x:v>
      </x:c>
      <x:c r="F13" s="194" t="str">
        <x:v>Add explicit evidence / estimation provenance in repair revision.</x:v>
      </x:c>
    </x:row>
    <x:row r="14" ht="70" customHeight="1">
      <x:c r="A14" s="194" t="str">
        <x:v>T-090</x:v>
      </x:c>
      <x:c r="B14" s="194" t="str">
        <x:v>AO</x:v>
      </x:c>
      <x:c r="C14" s="194" t="str">
        <x:v>Evidence State</x:v>
      </x:c>
      <x:c r="D14" s="194"/>
      <x:c r="E14" s="194" t="str">
        <x:v>Recorded closed — inherited evidence</x:v>
      </x:c>
      <x:c r="F14" s="194" t="str">
        <x:v>Add explicit evidence / estimation provenance in repair revision.</x:v>
      </x:c>
    </x:row>
    <x:row r="15" ht="70" customHeight="1">
      <x:c r="A15" s="194" t="str">
        <x:v>T-090</x:v>
      </x:c>
      <x:c r="B15" s="194" t="str">
        <x:v>AP</x:v>
      </x:c>
      <x:c r="C15" s="194" t="str">
        <x:v>Closure Evidence Basis</x:v>
      </x:c>
      <x:c r="D15" s="194"/>
      <x:c r="E15" s="194" t="str">
        <x:v>Inherited v2.22.0 intended record; no new runtime certification in this repair.</x:v>
      </x:c>
      <x:c r="F15" s="194" t="str">
        <x:v>Add explicit evidence / estimation provenance in repair revision.</x:v>
      </x:c>
    </x:row>
    <x:row r="16" ht="70" customHeight="1">
      <x:c r="A16" s="194" t="str">
        <x:v>T-090</x:v>
      </x:c>
      <x:c r="B16" s="194" t="str">
        <x:v>AR</x:v>
      </x:c>
      <x:c r="C16" s="194" t="str">
        <x:v>Estimate Status</x:v>
      </x:c>
      <x:c r="D16" s="194"/>
      <x:c r="E16" s="194" t="str">
        <x:v>INHERITED ESTIMATE</x:v>
      </x:c>
      <x:c r="F16" s="194" t="str">
        <x:v>Add explicit evidence / estimation provenance in repair revision.</x:v>
      </x:c>
    </x:row>
    <x:row r="17" ht="70" customHeight="1">
      <x:c r="A17" s="194" t="str">
        <x:v>T-091</x:v>
      </x:c>
      <x:c r="B17" s="194" t="str">
        <x:v>AO</x:v>
      </x:c>
      <x:c r="C17" s="194" t="str">
        <x:v>Evidence State</x:v>
      </x:c>
      <x:c r="D17" s="194"/>
      <x:c r="E17" s="194" t="str">
        <x:v>Recorded closed — inherited evidence</x:v>
      </x:c>
      <x:c r="F17" s="194" t="str">
        <x:v>Add explicit evidence / estimation provenance in repair revision.</x:v>
      </x:c>
    </x:row>
    <x:row r="18" ht="70" customHeight="1">
      <x:c r="A18" s="194" t="str">
        <x:v>T-091</x:v>
      </x:c>
      <x:c r="B18" s="194" t="str">
        <x:v>AP</x:v>
      </x:c>
      <x:c r="C18" s="194" t="str">
        <x:v>Closure Evidence Basis</x:v>
      </x:c>
      <x:c r="D18" s="194"/>
      <x:c r="E18" s="194" t="str">
        <x:v>Inherited v2.22.0 intended record; no new runtime certification in this repair.</x:v>
      </x:c>
      <x:c r="F18" s="194" t="str">
        <x:v>Add explicit evidence / estimation provenance in repair revision.</x:v>
      </x:c>
    </x:row>
    <x:row r="19" ht="70" customHeight="1">
      <x:c r="A19" s="194" t="str">
        <x:v>T-091</x:v>
      </x:c>
      <x:c r="B19" s="194" t="str">
        <x:v>AR</x:v>
      </x:c>
      <x:c r="C19" s="194" t="str">
        <x:v>Estimate Status</x:v>
      </x:c>
      <x:c r="D19" s="194"/>
      <x:c r="E19" s="194" t="str">
        <x:v>INHERITED ESTIMATE</x:v>
      </x:c>
      <x:c r="F19" s="194" t="str">
        <x:v>Add explicit evidence / estimation provenance in repair revision.</x:v>
      </x:c>
    </x:row>
    <x:row r="20" ht="70" customHeight="1">
      <x:c r="A20" s="194" t="str">
        <x:v>T-092</x:v>
      </x:c>
      <x:c r="B20" s="194" t="str">
        <x:v>AO</x:v>
      </x:c>
      <x:c r="C20" s="194" t="str">
        <x:v>Evidence State</x:v>
      </x:c>
      <x:c r="D20" s="194"/>
      <x:c r="E20" s="194" t="str">
        <x:v>Recorded closed — inherited evidence</x:v>
      </x:c>
      <x:c r="F20" s="194" t="str">
        <x:v>Add explicit evidence / estimation provenance in repair revision.</x:v>
      </x:c>
    </x:row>
    <x:row r="21" ht="70" customHeight="1">
      <x:c r="A21" s="194" t="str">
        <x:v>T-092</x:v>
      </x:c>
      <x:c r="B21" s="194" t="str">
        <x:v>AP</x:v>
      </x:c>
      <x:c r="C21" s="194" t="str">
        <x:v>Closure Evidence Basis</x:v>
      </x:c>
      <x:c r="D21" s="194"/>
      <x:c r="E21" s="194" t="str">
        <x:v>Inherited v2.22.0 intended record; no new runtime certification in this repair.</x:v>
      </x:c>
      <x:c r="F21" s="194" t="str">
        <x:v>Add explicit evidence / estimation provenance in repair revision.</x:v>
      </x:c>
    </x:row>
    <x:row r="22" ht="70" customHeight="1">
      <x:c r="A22" s="194" t="str">
        <x:v>T-092</x:v>
      </x:c>
      <x:c r="B22" s="194" t="str">
        <x:v>AR</x:v>
      </x:c>
      <x:c r="C22" s="194" t="str">
        <x:v>Estimate Status</x:v>
      </x:c>
      <x:c r="D22" s="194"/>
      <x:c r="E22" s="194" t="str">
        <x:v>INHERITED ESTIMATE</x:v>
      </x:c>
      <x:c r="F22" s="194" t="str">
        <x:v>Add explicit evidence / estimation provenance in repair revision.</x:v>
      </x:c>
    </x:row>
    <x:row r="23" ht="70" customHeight="1">
      <x:c r="A23" s="194" t="str">
        <x:v>T-093</x:v>
      </x:c>
      <x:c r="B23" s="194" t="str">
        <x:v>AO</x:v>
      </x:c>
      <x:c r="C23" s="194" t="str">
        <x:v>Evidence State</x:v>
      </x:c>
      <x:c r="D23" s="194"/>
      <x:c r="E23" s="194" t="str">
        <x:v>Recorded closed — inherited evidence</x:v>
      </x:c>
      <x:c r="F23" s="194" t="str">
        <x:v>Add explicit evidence / estimation provenance in repair revision.</x:v>
      </x:c>
    </x:row>
    <x:row r="24" ht="70" customHeight="1">
      <x:c r="A24" s="194" t="str">
        <x:v>T-093</x:v>
      </x:c>
      <x:c r="B24" s="194" t="str">
        <x:v>AP</x:v>
      </x:c>
      <x:c r="C24" s="194" t="str">
        <x:v>Closure Evidence Basis</x:v>
      </x:c>
      <x:c r="D24" s="194"/>
      <x:c r="E24" s="194" t="str">
        <x:v>Inherited v2.22.0 intended record; no new runtime certification in this repair.</x:v>
      </x:c>
      <x:c r="F24" s="194" t="str">
        <x:v>Add explicit evidence / estimation provenance in repair revision.</x:v>
      </x:c>
    </x:row>
    <x:row r="25" ht="70" customHeight="1">
      <x:c r="A25" s="194" t="str">
        <x:v>T-093</x:v>
      </x:c>
      <x:c r="B25" s="194" t="str">
        <x:v>AR</x:v>
      </x:c>
      <x:c r="C25" s="194" t="str">
        <x:v>Estimate Status</x:v>
      </x:c>
      <x:c r="D25" s="194"/>
      <x:c r="E25" s="194" t="str">
        <x:v>INHERITED ESTIMATE</x:v>
      </x:c>
      <x:c r="F25" s="194" t="str">
        <x:v>Add explicit evidence / estimation provenance in repair revision.</x:v>
      </x:c>
    </x:row>
    <x:row r="26" ht="70" customHeight="1">
      <x:c r="A26" s="194" t="str">
        <x:v>T-094</x:v>
      </x:c>
      <x:c r="B26" s="194" t="str">
        <x:v>AO</x:v>
      </x:c>
      <x:c r="C26" s="194" t="str">
        <x:v>Evidence State</x:v>
      </x:c>
      <x:c r="D26" s="194"/>
      <x:c r="E26" s="194" t="str">
        <x:v>Recorded closed — inherited evidence</x:v>
      </x:c>
      <x:c r="F26" s="194" t="str">
        <x:v>Add explicit evidence / estimation provenance in repair revision.</x:v>
      </x:c>
    </x:row>
    <x:row r="27" ht="70" customHeight="1">
      <x:c r="A27" s="194" t="str">
        <x:v>T-094</x:v>
      </x:c>
      <x:c r="B27" s="194" t="str">
        <x:v>AP</x:v>
      </x:c>
      <x:c r="C27" s="194" t="str">
        <x:v>Closure Evidence Basis</x:v>
      </x:c>
      <x:c r="D27" s="194"/>
      <x:c r="E27" s="194" t="str">
        <x:v>Inherited v2.22.0 intended record; no new runtime certification in this repair.</x:v>
      </x:c>
      <x:c r="F27" s="194" t="str">
        <x:v>Add explicit evidence / estimation provenance in repair revision.</x:v>
      </x:c>
    </x:row>
    <x:row r="28" ht="70" customHeight="1">
      <x:c r="A28" s="194" t="str">
        <x:v>T-094</x:v>
      </x:c>
      <x:c r="B28" s="194" t="str">
        <x:v>AR</x:v>
      </x:c>
      <x:c r="C28" s="194" t="str">
        <x:v>Estimate Status</x:v>
      </x:c>
      <x:c r="D28" s="194"/>
      <x:c r="E28" s="194" t="str">
        <x:v>INHERITED ESTIMATE</x:v>
      </x:c>
      <x:c r="F28" s="194" t="str">
        <x:v>Add explicit evidence / estimation provenance in repair revision.</x:v>
      </x:c>
    </x:row>
    <x:row r="29" ht="70" customHeight="1">
      <x:c r="A29" s="194" t="str">
        <x:v>T-201</x:v>
      </x:c>
      <x:c r="B29" s="194" t="str">
        <x:v>AO</x:v>
      </x:c>
      <x:c r="C29" s="194" t="str">
        <x:v>Evidence State</x:v>
      </x:c>
      <x:c r="D29" s="194"/>
      <x:c r="E29" s="194" t="str">
        <x:v>Recorded closed — inherited evidence</x:v>
      </x:c>
      <x:c r="F29" s="194" t="str">
        <x:v>Add explicit evidence / estimation provenance in repair revision.</x:v>
      </x:c>
    </x:row>
    <x:row r="30" ht="70" customHeight="1">
      <x:c r="A30" s="194" t="str">
        <x:v>T-201</x:v>
      </x:c>
      <x:c r="B30" s="194" t="str">
        <x:v>AP</x:v>
      </x:c>
      <x:c r="C30" s="194" t="str">
        <x:v>Closure Evidence Basis</x:v>
      </x:c>
      <x:c r="D30" s="194"/>
      <x:c r="E30" s="194" t="str">
        <x:v>Inherited v2.22.0 intended record; no new runtime certification in this repair.</x:v>
      </x:c>
      <x:c r="F30" s="194" t="str">
        <x:v>Add explicit evidence / estimation provenance in repair revision.</x:v>
      </x:c>
    </x:row>
    <x:row r="31" ht="70" customHeight="1">
      <x:c r="A31" s="194" t="str">
        <x:v>T-201</x:v>
      </x:c>
      <x:c r="B31" s="194" t="str">
        <x:v>AR</x:v>
      </x:c>
      <x:c r="C31" s="194" t="str">
        <x:v>Estimate Status</x:v>
      </x:c>
      <x:c r="D31" s="194"/>
      <x:c r="E31" s="194" t="str">
        <x:v>INHERITED ESTIMATE</x:v>
      </x:c>
      <x:c r="F31" s="194" t="str">
        <x:v>Add explicit evidence / estimation provenance in repair revision.</x:v>
      </x:c>
    </x:row>
    <x:row r="32" ht="70" customHeight="1">
      <x:c r="A32" s="194" t="str">
        <x:v>T-202</x:v>
      </x:c>
      <x:c r="B32" s="194" t="str">
        <x:v>AO</x:v>
      </x:c>
      <x:c r="C32" s="194" t="str">
        <x:v>Evidence State</x:v>
      </x:c>
      <x:c r="D32" s="194"/>
      <x:c r="E32" s="194" t="str">
        <x:v>Recorded closed — inherited evidence</x:v>
      </x:c>
      <x:c r="F32" s="194" t="str">
        <x:v>Add explicit evidence / estimation provenance in repair revision.</x:v>
      </x:c>
    </x:row>
    <x:row r="33" ht="70" customHeight="1">
      <x:c r="A33" s="194" t="str">
        <x:v>T-202</x:v>
      </x:c>
      <x:c r="B33" s="194" t="str">
        <x:v>AP</x:v>
      </x:c>
      <x:c r="C33" s="194" t="str">
        <x:v>Closure Evidence Basis</x:v>
      </x:c>
      <x:c r="D33" s="194"/>
      <x:c r="E33" s="194" t="str">
        <x:v>Inherited v2.22.0 intended record; no new runtime certification in this repair.</x:v>
      </x:c>
      <x:c r="F33" s="194" t="str">
        <x:v>Add explicit evidence / estimation provenance in repair revision.</x:v>
      </x:c>
    </x:row>
    <x:row r="34" ht="70" customHeight="1">
      <x:c r="A34" s="194" t="str">
        <x:v>T-202</x:v>
      </x:c>
      <x:c r="B34" s="194" t="str">
        <x:v>AR</x:v>
      </x:c>
      <x:c r="C34" s="194" t="str">
        <x:v>Estimate Status</x:v>
      </x:c>
      <x:c r="D34" s="194"/>
      <x:c r="E34" s="194" t="str">
        <x:v>INHERITED ESTIMATE</x:v>
      </x:c>
      <x:c r="F34" s="194" t="str">
        <x:v>Add explicit evidence / estimation provenance in repair revision.</x:v>
      </x:c>
    </x:row>
    <x:row r="35" ht="70" customHeight="1">
      <x:c r="A35" s="194" t="str">
        <x:v>T-203</x:v>
      </x:c>
      <x:c r="B35" s="194" t="str">
        <x:v>AO</x:v>
      </x:c>
      <x:c r="C35" s="194" t="str">
        <x:v>Evidence State</x:v>
      </x:c>
      <x:c r="D35" s="194"/>
      <x:c r="E35" s="194" t="str">
        <x:v>Recorded closed — inherited evidence</x:v>
      </x:c>
      <x:c r="F35" s="194" t="str">
        <x:v>Add explicit evidence / estimation provenance in repair revision.</x:v>
      </x:c>
    </x:row>
    <x:row r="36" ht="70" customHeight="1">
      <x:c r="A36" s="194" t="str">
        <x:v>T-203</x:v>
      </x:c>
      <x:c r="B36" s="194" t="str">
        <x:v>AP</x:v>
      </x:c>
      <x:c r="C36" s="194" t="str">
        <x:v>Closure Evidence Basis</x:v>
      </x:c>
      <x:c r="D36" s="194"/>
      <x:c r="E36" s="194" t="str">
        <x:v>Inherited v2.22.0 intended record; no new runtime certification in this repair.</x:v>
      </x:c>
      <x:c r="F36" s="194" t="str">
        <x:v>Add explicit evidence / estimation provenance in repair revision.</x:v>
      </x:c>
    </x:row>
    <x:row r="37" ht="70" customHeight="1">
      <x:c r="A37" s="194" t="str">
        <x:v>T-203</x:v>
      </x:c>
      <x:c r="B37" s="194" t="str">
        <x:v>AR</x:v>
      </x:c>
      <x:c r="C37" s="194" t="str">
        <x:v>Estimate Status</x:v>
      </x:c>
      <x:c r="D37" s="194"/>
      <x:c r="E37" s="194" t="str">
        <x:v>INHERITED ESTIMATE</x:v>
      </x:c>
      <x:c r="F37" s="194" t="str">
        <x:v>Add explicit evidence / estimation provenance in repair revision.</x:v>
      </x:c>
    </x:row>
    <x:row r="38" ht="70" customHeight="1">
      <x:c r="A38" s="194" t="str">
        <x:v>T-204</x:v>
      </x:c>
      <x:c r="B38" s="194" t="str">
        <x:v>AO</x:v>
      </x:c>
      <x:c r="C38" s="194" t="str">
        <x:v>Evidence State</x:v>
      </x:c>
      <x:c r="D38" s="194"/>
      <x:c r="E38" s="194" t="str">
        <x:v>Recorded closed — inherited evidence</x:v>
      </x:c>
      <x:c r="F38" s="194" t="str">
        <x:v>Add explicit evidence / estimation provenance in repair revision.</x:v>
      </x:c>
    </x:row>
    <x:row r="39" ht="70" customHeight="1">
      <x:c r="A39" s="194" t="str">
        <x:v>T-204</x:v>
      </x:c>
      <x:c r="B39" s="194" t="str">
        <x:v>AP</x:v>
      </x:c>
      <x:c r="C39" s="194" t="str">
        <x:v>Closure Evidence Basis</x:v>
      </x:c>
      <x:c r="D39" s="194"/>
      <x:c r="E39" s="194" t="str">
        <x:v>Inherited v2.22.0 intended record; no new runtime certification in this repair.</x:v>
      </x:c>
      <x:c r="F39" s="194" t="str">
        <x:v>Add explicit evidence / estimation provenance in repair revision.</x:v>
      </x:c>
    </x:row>
    <x:row r="40" ht="70" customHeight="1">
      <x:c r="A40" s="194" t="str">
        <x:v>T-204</x:v>
      </x:c>
      <x:c r="B40" s="194" t="str">
        <x:v>AR</x:v>
      </x:c>
      <x:c r="C40" s="194" t="str">
        <x:v>Estimate Status</x:v>
      </x:c>
      <x:c r="D40" s="194"/>
      <x:c r="E40" s="194" t="str">
        <x:v>INHERITED ESTIMATE</x:v>
      </x:c>
      <x:c r="F40" s="194" t="str">
        <x:v>Add explicit evidence / estimation provenance in repair revision.</x:v>
      </x:c>
    </x:row>
    <x:row r="41" ht="70" customHeight="1">
      <x:c r="A41" s="194" t="str">
        <x:v>T-205</x:v>
      </x:c>
      <x:c r="B41" s="194" t="str">
        <x:v>AO</x:v>
      </x:c>
      <x:c r="C41" s="194" t="str">
        <x:v>Evidence State</x:v>
      </x:c>
      <x:c r="D41" s="194"/>
      <x:c r="E41" s="194" t="str">
        <x:v>Recorded closed — inherited evidence</x:v>
      </x:c>
      <x:c r="F41" s="194" t="str">
        <x:v>Add explicit evidence / estimation provenance in repair revision.</x:v>
      </x:c>
    </x:row>
    <x:row r="42" ht="70" customHeight="1">
      <x:c r="A42" s="194" t="str">
        <x:v>T-205</x:v>
      </x:c>
      <x:c r="B42" s="194" t="str">
        <x:v>AP</x:v>
      </x:c>
      <x:c r="C42" s="194" t="str">
        <x:v>Closure Evidence Basis</x:v>
      </x:c>
      <x:c r="D42" s="194"/>
      <x:c r="E42" s="194" t="str">
        <x:v>Inherited v2.22.0 intended record; no new runtime certification in this repair.</x:v>
      </x:c>
      <x:c r="F42" s="194" t="str">
        <x:v>Add explicit evidence / estimation provenance in repair revision.</x:v>
      </x:c>
    </x:row>
    <x:row r="43" ht="70" customHeight="1">
      <x:c r="A43" s="194" t="str">
        <x:v>T-205</x:v>
      </x:c>
      <x:c r="B43" s="194" t="str">
        <x:v>AR</x:v>
      </x:c>
      <x:c r="C43" s="194" t="str">
        <x:v>Estimate Status</x:v>
      </x:c>
      <x:c r="D43" s="194"/>
      <x:c r="E43" s="194" t="str">
        <x:v>INHERITED ESTIMATE</x:v>
      </x:c>
      <x:c r="F43" s="194" t="str">
        <x:v>Add explicit evidence / estimation provenance in repair revision.</x:v>
      </x:c>
    </x:row>
    <x:row r="44" ht="70" customHeight="1">
      <x:c r="A44" s="194" t="str">
        <x:v>T-206</x:v>
      </x:c>
      <x:c r="B44" s="194" t="str">
        <x:v>AO</x:v>
      </x:c>
      <x:c r="C44" s="194" t="str">
        <x:v>Evidence State</x:v>
      </x:c>
      <x:c r="D44" s="194"/>
      <x:c r="E44" s="194" t="str">
        <x:v>Recorded closed — inherited evidence</x:v>
      </x:c>
      <x:c r="F44" s="194" t="str">
        <x:v>Add explicit evidence / estimation provenance in repair revision.</x:v>
      </x:c>
    </x:row>
    <x:row r="45" ht="70" customHeight="1">
      <x:c r="A45" s="194" t="str">
        <x:v>T-206</x:v>
      </x:c>
      <x:c r="B45" s="194" t="str">
        <x:v>AP</x:v>
      </x:c>
      <x:c r="C45" s="194" t="str">
        <x:v>Closure Evidence Basis</x:v>
      </x:c>
      <x:c r="D45" s="194"/>
      <x:c r="E45" s="194" t="str">
        <x:v>Inherited v2.22.0 intended record; no new runtime certification in this repair.</x:v>
      </x:c>
      <x:c r="F45" s="194" t="str">
        <x:v>Add explicit evidence / estimation provenance in repair revision.</x:v>
      </x:c>
    </x:row>
    <x:row r="46" ht="70" customHeight="1">
      <x:c r="A46" s="194" t="str">
        <x:v>T-206</x:v>
      </x:c>
      <x:c r="B46" s="194" t="str">
        <x:v>AR</x:v>
      </x:c>
      <x:c r="C46" s="194" t="str">
        <x:v>Estimate Status</x:v>
      </x:c>
      <x:c r="D46" s="194"/>
      <x:c r="E46" s="194" t="str">
        <x:v>INHERITED ESTIMATE</x:v>
      </x:c>
      <x:c r="F46" s="194" t="str">
        <x:v>Add explicit evidence / estimation provenance in repair revision.</x:v>
      </x:c>
    </x:row>
    <x:row r="47" ht="70" customHeight="1">
      <x:c r="A47" s="194" t="str">
        <x:v>T-208</x:v>
      </x:c>
      <x:c r="B47" s="194" t="str">
        <x:v>AO</x:v>
      </x:c>
      <x:c r="C47" s="194" t="str">
        <x:v>Evidence State</x:v>
      </x:c>
      <x:c r="D47" s="194"/>
      <x:c r="E47" s="194" t="str">
        <x:v>Recorded closed — inherited evidence</x:v>
      </x:c>
      <x:c r="F47" s="194" t="str">
        <x:v>Add explicit evidence / estimation provenance in repair revision.</x:v>
      </x:c>
    </x:row>
    <x:row r="48" ht="70" customHeight="1">
      <x:c r="A48" s="194" t="str">
        <x:v>T-208</x:v>
      </x:c>
      <x:c r="B48" s="194" t="str">
        <x:v>AP</x:v>
      </x:c>
      <x:c r="C48" s="194" t="str">
        <x:v>Closure Evidence Basis</x:v>
      </x:c>
      <x:c r="D48" s="194"/>
      <x:c r="E48" s="194" t="str">
        <x:v>Inherited v2.22.0 intended record; no new runtime certification in this repair.</x:v>
      </x:c>
      <x:c r="F48" s="194" t="str">
        <x:v>Add explicit evidence / estimation provenance in repair revision.</x:v>
      </x:c>
    </x:row>
    <x:row r="49" ht="70" customHeight="1">
      <x:c r="A49" s="194" t="str">
        <x:v>T-208</x:v>
      </x:c>
      <x:c r="B49" s="194" t="str">
        <x:v>AR</x:v>
      </x:c>
      <x:c r="C49" s="194" t="str">
        <x:v>Estimate Status</x:v>
      </x:c>
      <x:c r="D49" s="194"/>
      <x:c r="E49" s="194" t="str">
        <x:v>INHERITED ESTIMATE</x:v>
      </x:c>
      <x:c r="F49" s="194" t="str">
        <x:v>Add explicit evidence / estimation provenance in repair revision.</x:v>
      </x:c>
    </x:row>
    <x:row r="50" ht="70" customHeight="1">
      <x:c r="A50" s="194" t="str">
        <x:v>T-209</x:v>
      </x:c>
      <x:c r="B50" s="194" t="str">
        <x:v>AO</x:v>
      </x:c>
      <x:c r="C50" s="194" t="str">
        <x:v>Evidence State</x:v>
      </x:c>
      <x:c r="D50" s="194"/>
      <x:c r="E50" s="194" t="str">
        <x:v>Recorded closed — inherited evidence</x:v>
      </x:c>
      <x:c r="F50" s="194" t="str">
        <x:v>Add explicit evidence / estimation provenance in repair revision.</x:v>
      </x:c>
    </x:row>
    <x:row r="51" ht="70" customHeight="1">
      <x:c r="A51" s="194" t="str">
        <x:v>T-209</x:v>
      </x:c>
      <x:c r="B51" s="194" t="str">
        <x:v>AP</x:v>
      </x:c>
      <x:c r="C51" s="194" t="str">
        <x:v>Closure Evidence Basis</x:v>
      </x:c>
      <x:c r="D51" s="194"/>
      <x:c r="E51" s="194" t="str">
        <x:v>Inherited v2.22.0 intended record; no new runtime certification in this repair.</x:v>
      </x:c>
      <x:c r="F51" s="194" t="str">
        <x:v>Add explicit evidence / estimation provenance in repair revision.</x:v>
      </x:c>
    </x:row>
    <x:row r="52" ht="70" customHeight="1">
      <x:c r="A52" s="194" t="str">
        <x:v>T-209</x:v>
      </x:c>
      <x:c r="B52" s="194" t="str">
        <x:v>AR</x:v>
      </x:c>
      <x:c r="C52" s="194" t="str">
        <x:v>Estimate Status</x:v>
      </x:c>
      <x:c r="D52" s="194"/>
      <x:c r="E52" s="194" t="str">
        <x:v>INHERITED ESTIMATE</x:v>
      </x:c>
      <x:c r="F52" s="194" t="str">
        <x:v>Add explicit evidence / estimation provenance in repair revision.</x:v>
      </x:c>
    </x:row>
    <x:row r="53" ht="70" customHeight="1">
      <x:c r="A53" s="194" t="str">
        <x:v>T-210</x:v>
      </x:c>
      <x:c r="B53" s="194" t="str">
        <x:v>AO</x:v>
      </x:c>
      <x:c r="C53" s="194" t="str">
        <x:v>Evidence State</x:v>
      </x:c>
      <x:c r="D53" s="194"/>
      <x:c r="E53" s="194" t="str">
        <x:v>Recorded closed — inherited evidence</x:v>
      </x:c>
      <x:c r="F53" s="194" t="str">
        <x:v>Add explicit evidence / estimation provenance in repair revision.</x:v>
      </x:c>
    </x:row>
    <x:row r="54" ht="70" customHeight="1">
      <x:c r="A54" s="194" t="str">
        <x:v>T-210</x:v>
      </x:c>
      <x:c r="B54" s="194" t="str">
        <x:v>AP</x:v>
      </x:c>
      <x:c r="C54" s="194" t="str">
        <x:v>Closure Evidence Basis</x:v>
      </x:c>
      <x:c r="D54" s="194"/>
      <x:c r="E54" s="194" t="str">
        <x:v>Inherited v2.22.0 intended record; no new runtime certification in this repair.</x:v>
      </x:c>
      <x:c r="F54" s="194" t="str">
        <x:v>Add explicit evidence / estimation provenance in repair revision.</x:v>
      </x:c>
    </x:row>
    <x:row r="55" ht="70" customHeight="1">
      <x:c r="A55" s="194" t="str">
        <x:v>T-210</x:v>
      </x:c>
      <x:c r="B55" s="194" t="str">
        <x:v>AR</x:v>
      </x:c>
      <x:c r="C55" s="194" t="str">
        <x:v>Estimate Status</x:v>
      </x:c>
      <x:c r="D55" s="194"/>
      <x:c r="E55" s="194" t="str">
        <x:v>INHERITED ESTIMATE</x:v>
      </x:c>
      <x:c r="F55" s="194" t="str">
        <x:v>Add explicit evidence / estimation provenance in repair revision.</x:v>
      </x:c>
    </x:row>
    <x:row r="56" ht="70" customHeight="1">
      <x:c r="A56" s="194" t="str">
        <x:v>T-216</x:v>
      </x:c>
      <x:c r="B56" s="194" t="str">
        <x:v>AO</x:v>
      </x:c>
      <x:c r="C56" s="194" t="str">
        <x:v>Evidence State</x:v>
      </x:c>
      <x:c r="D56" s="194"/>
      <x:c r="E56" s="194" t="str">
        <x:v>Recorded closed — inherited evidence</x:v>
      </x:c>
      <x:c r="F56" s="194" t="str">
        <x:v>Add explicit evidence / estimation provenance in repair revision.</x:v>
      </x:c>
    </x:row>
    <x:row r="57" ht="70" customHeight="1">
      <x:c r="A57" s="194" t="str">
        <x:v>T-216</x:v>
      </x:c>
      <x:c r="B57" s="194" t="str">
        <x:v>AP</x:v>
      </x:c>
      <x:c r="C57" s="194" t="str">
        <x:v>Closure Evidence Basis</x:v>
      </x:c>
      <x:c r="D57" s="194"/>
      <x:c r="E57" s="194" t="str">
        <x:v>Inherited v2.22.0 intended record; no new runtime certification in this repair.</x:v>
      </x:c>
      <x:c r="F57" s="194" t="str">
        <x:v>Add explicit evidence / estimation provenance in repair revision.</x:v>
      </x:c>
    </x:row>
    <x:row r="58" ht="70" customHeight="1">
      <x:c r="A58" s="194" t="str">
        <x:v>T-216</x:v>
      </x:c>
      <x:c r="B58" s="194" t="str">
        <x:v>AR</x:v>
      </x:c>
      <x:c r="C58" s="194" t="str">
        <x:v>Estimate Status</x:v>
      </x:c>
      <x:c r="D58" s="194"/>
      <x:c r="E58" s="194" t="str">
        <x:v>INHERITED ESTIMATE</x:v>
      </x:c>
      <x:c r="F58" s="194" t="str">
        <x:v>Add explicit evidence / estimation provenance in repair revision.</x:v>
      </x:c>
    </x:row>
    <x:row r="59" ht="70" customHeight="1">
      <x:c r="A59" s="194" t="str">
        <x:v>T-231</x:v>
      </x:c>
      <x:c r="B59" s="194" t="str">
        <x:v>AO</x:v>
      </x:c>
      <x:c r="C59" s="194" t="str">
        <x:v>Evidence State</x:v>
      </x:c>
      <x:c r="D59" s="194"/>
      <x:c r="E59" s="194" t="str">
        <x:v>Recorded closed — inherited evidence</x:v>
      </x:c>
      <x:c r="F59" s="194" t="str">
        <x:v>Add explicit evidence / estimation provenance in repair revision.</x:v>
      </x:c>
    </x:row>
    <x:row r="60" ht="70" customHeight="1">
      <x:c r="A60" s="194" t="str">
        <x:v>T-231</x:v>
      </x:c>
      <x:c r="B60" s="194" t="str">
        <x:v>AP</x:v>
      </x:c>
      <x:c r="C60" s="194" t="str">
        <x:v>Closure Evidence Basis</x:v>
      </x:c>
      <x:c r="D60" s="194"/>
      <x:c r="E60" s="194" t="str">
        <x:v>Inherited v2.22.0 intended record; no new runtime certification in this repair.</x:v>
      </x:c>
      <x:c r="F60" s="194" t="str">
        <x:v>Add explicit evidence / estimation provenance in repair revision.</x:v>
      </x:c>
    </x:row>
    <x:row r="61" ht="70" customHeight="1">
      <x:c r="A61" s="194" t="str">
        <x:v>T-231</x:v>
      </x:c>
      <x:c r="B61" s="194" t="str">
        <x:v>AR</x:v>
      </x:c>
      <x:c r="C61" s="194" t="str">
        <x:v>Estimate Status</x:v>
      </x:c>
      <x:c r="D61" s="194"/>
      <x:c r="E61" s="194" t="str">
        <x:v>INHERITED ESTIMATE</x:v>
      </x:c>
      <x:c r="F61" s="194" t="str">
        <x:v>Add explicit evidence / estimation provenance in repair revision.</x:v>
      </x:c>
    </x:row>
    <x:row r="62" ht="70" customHeight="1">
      <x:c r="A62" s="194" t="str">
        <x:v>T-250</x:v>
      </x:c>
      <x:c r="B62" s="194" t="str">
        <x:v>M</x:v>
      </x:c>
      <x:c r="C62" s="194" t="str">
        <x:v>Depends On (IDs only)</x:v>
      </x:c>
      <x:c r="D62" s="194" t="str">
        <x:v>T-057; T-089; T-090; T-094</x:v>
      </x:c>
      <x:c r="E62" s="194" t="str">
        <x:v>T-205</x:v>
      </x:c>
      <x:c r="F62" s="194" t="str">
        <x:v>Repair positional corruption using task-keyed baseline and approved edit dataset.</x:v>
      </x:c>
    </x:row>
    <x:row r="63" ht="70" customHeight="1">
      <x:c r="A63" s="194" t="str">
        <x:v>T-250</x:v>
      </x:c>
      <x:c r="B63" s="194" t="str">
        <x:v>N</x:v>
      </x:c>
      <x:c r="C63" s="194" t="str">
        <x:v>Must Precede (IDs only)</x:v>
      </x:c>
      <x:c r="D63" s="194" t="str">
        <x:v>T-096; T-098; T-102; T-103; T-104; T-107; T-109; T-114; T-128; T-134; T-183; T-196; T-221</x:v>
      </x:c>
      <x:c r="E63" s="194" t="str">
        <x:v>T-150; T-255; T-257; T-258</x:v>
      </x:c>
      <x:c r="F63" s="194" t="str">
        <x:v>Repair positional corruption using task-keyed baseline and approved edit dataset.</x:v>
      </x:c>
    </x:row>
    <x:row r="64" ht="70" customHeight="1">
      <x:c r="A64" s="194" t="str">
        <x:v>T-250</x:v>
      </x:c>
      <x:c r="B64" s="194" t="str">
        <x:v>AO</x:v>
      </x:c>
      <x:c r="C64" s="194" t="str">
        <x:v>Evidence State</x:v>
      </x:c>
      <x:c r="D64" s="194"/>
      <x:c r="E64" s="194" t="str">
        <x:v>Recorded closed — inherited evidence</x:v>
      </x:c>
      <x:c r="F64" s="194" t="str">
        <x:v>Add explicit evidence / estimation provenance in repair revision.</x:v>
      </x:c>
    </x:row>
    <x:row r="65" ht="70" customHeight="1">
      <x:c r="A65" s="194" t="str">
        <x:v>T-250</x:v>
      </x:c>
      <x:c r="B65" s="194" t="str">
        <x:v>AP</x:v>
      </x:c>
      <x:c r="C65" s="194" t="str">
        <x:v>Closure Evidence Basis</x:v>
      </x:c>
      <x:c r="D65" s="194"/>
      <x:c r="E65" s="194" t="str">
        <x:v>Inherited v2.22.0 intended record; no new runtime certification in this repair.</x:v>
      </x:c>
      <x:c r="F65" s="194" t="str">
        <x:v>Add explicit evidence / estimation provenance in repair revision.</x:v>
      </x:c>
    </x:row>
    <x:row r="66" ht="70" customHeight="1">
      <x:c r="A66" s="194" t="str">
        <x:v>T-250</x:v>
      </x:c>
      <x:c r="B66" s="194" t="str">
        <x:v>AR</x:v>
      </x:c>
      <x:c r="C66" s="194" t="str">
        <x:v>Estimate Status</x:v>
      </x:c>
      <x:c r="D66" s="194"/>
      <x:c r="E66" s="194" t="str">
        <x:v>INHERITED ESTIMATE</x:v>
      </x:c>
      <x:c r="F66" s="194" t="str">
        <x:v>Add explicit evidence / estimation provenance in repair revision.</x:v>
      </x:c>
    </x:row>
    <x:row r="67" ht="70" customHeight="1">
      <x:c r="A67" s="194" t="str">
        <x:v>T-251</x:v>
      </x:c>
      <x:c r="B67" s="194" t="str">
        <x:v>M</x:v>
      </x:c>
      <x:c r="C67" s="194" t="str">
        <x:v>Depends On (IDs only)</x:v>
      </x:c>
      <x:c r="D67" s="194" t="str">
        <x:v>T-095</x:v>
      </x:c>
      <x:c r="E67" s="194" t="str">
        <x:v>T-087; T-088; T-260</x:v>
      </x:c>
      <x:c r="F67" s="194" t="str">
        <x:v>Repair positional corruption using task-keyed baseline and approved edit dataset.</x:v>
      </x:c>
    </x:row>
    <x:row r="68" ht="70" customHeight="1">
      <x:c r="A68" s="194" t="str">
        <x:v>T-251</x:v>
      </x:c>
      <x:c r="B68" s="194" t="str">
        <x:v>N</x:v>
      </x:c>
      <x:c r="C68" s="194" t="str">
        <x:v>Must Precede (IDs only)</x:v>
      </x:c>
      <x:c r="D68" s="194" t="str">
        <x:v>T-097; T-098; T-107; T-109; T-128; T-134; T-183; T-221</x:v>
      </x:c>
      <x:c r="E68" s="194" t="str">
        <x:v>T-112; T-150; T-252; T-256; T-259</x:v>
      </x:c>
      <x:c r="F68" s="194" t="str">
        <x:v>Repair positional corruption using task-keyed baseline and approved edit dataset.</x:v>
      </x:c>
    </x:row>
    <x:row r="69" ht="70" customHeight="1">
      <x:c r="A69" s="194" t="str">
        <x:v>T-251</x:v>
      </x:c>
      <x:c r="B69" s="194" t="str">
        <x:v>AO</x:v>
      </x:c>
      <x:c r="C69" s="194" t="str">
        <x:v>Evidence State</x:v>
      </x:c>
      <x:c r="D69" s="194"/>
      <x:c r="E69" s="194" t="str">
        <x:v>Recorded closed — inherited evidence</x:v>
      </x:c>
      <x:c r="F69" s="194" t="str">
        <x:v>Add explicit evidence / estimation provenance in repair revision.</x:v>
      </x:c>
    </x:row>
    <x:row r="70" ht="70" customHeight="1">
      <x:c r="A70" s="194" t="str">
        <x:v>T-251</x:v>
      </x:c>
      <x:c r="B70" s="194" t="str">
        <x:v>AP</x:v>
      </x:c>
      <x:c r="C70" s="194" t="str">
        <x:v>Closure Evidence Basis</x:v>
      </x:c>
      <x:c r="D70" s="194"/>
      <x:c r="E70" s="194" t="str">
        <x:v>Inherited v2.22.0 intended record; no new runtime certification in this repair.</x:v>
      </x:c>
      <x:c r="F70" s="194" t="str">
        <x:v>Add explicit evidence / estimation provenance in repair revision.</x:v>
      </x:c>
    </x:row>
    <x:row r="71" ht="70" customHeight="1">
      <x:c r="A71" s="194" t="str">
        <x:v>T-251</x:v>
      </x:c>
      <x:c r="B71" s="194" t="str">
        <x:v>AR</x:v>
      </x:c>
      <x:c r="C71" s="194" t="str">
        <x:v>Estimate Status</x:v>
      </x:c>
      <x:c r="D71" s="194"/>
      <x:c r="E71" s="194" t="str">
        <x:v>INHERITED ESTIMATE</x:v>
      </x:c>
      <x:c r="F71" s="194" t="str">
        <x:v>Add explicit evidence / estimation provenance in repair revision.</x:v>
      </x:c>
    </x:row>
    <x:row r="72" ht="70" customHeight="1">
      <x:c r="A72" s="194" t="str">
        <x:v>T-252</x:v>
      </x:c>
      <x:c r="B72" s="194" t="str">
        <x:v>M</x:v>
      </x:c>
      <x:c r="C72" s="194" t="str">
        <x:v>Depends On (IDs only)</x:v>
      </x:c>
      <x:c r="D72" s="194" t="str">
        <x:v>T-096</x:v>
      </x:c>
      <x:c r="E72" s="194" t="str">
        <x:v>T-087; T-088; T-251; T-259</x:v>
      </x:c>
      <x:c r="F72" s="194" t="str">
        <x:v>Repair positional corruption using task-keyed baseline and approved edit dataset.</x:v>
      </x:c>
    </x:row>
    <x:row r="73" ht="70" customHeight="1">
      <x:c r="A73" s="194" t="str">
        <x:v>T-252</x:v>
      </x:c>
      <x:c r="B73" s="194" t="str">
        <x:v>N</x:v>
      </x:c>
      <x:c r="C73" s="194" t="str">
        <x:v>Must Precede (IDs only)</x:v>
      </x:c>
      <x:c r="D73" s="194" t="str">
        <x:v>T-098; T-107; T-109; T-128; T-183</x:v>
      </x:c>
      <x:c r="E73" s="194" t="str">
        <x:v>T-106; T-112; T-150; T-256</x:v>
      </x:c>
      <x:c r="F73" s="194" t="str">
        <x:v>Repair positional corruption using task-keyed baseline and approved edit dataset.</x:v>
      </x:c>
    </x:row>
    <x:row r="74" ht="70" customHeight="1">
      <x:c r="A74" s="194" t="str">
        <x:v>T-252</x:v>
      </x:c>
      <x:c r="B74" s="194" t="str">
        <x:v>AO</x:v>
      </x:c>
      <x:c r="C74" s="194" t="str">
        <x:v>Evidence State</x:v>
      </x:c>
      <x:c r="D74" s="194"/>
      <x:c r="E74" s="194" t="str">
        <x:v>Recorded closed — inherited evidence</x:v>
      </x:c>
      <x:c r="F74" s="194" t="str">
        <x:v>Add explicit evidence / estimation provenance in repair revision.</x:v>
      </x:c>
    </x:row>
    <x:row r="75" ht="70" customHeight="1">
      <x:c r="A75" s="194" t="str">
        <x:v>T-252</x:v>
      </x:c>
      <x:c r="B75" s="194" t="str">
        <x:v>AP</x:v>
      </x:c>
      <x:c r="C75" s="194" t="str">
        <x:v>Closure Evidence Basis</x:v>
      </x:c>
      <x:c r="D75" s="194"/>
      <x:c r="E75" s="194" t="str">
        <x:v>Inherited v2.22.0 intended record; no new runtime certification in this repair.</x:v>
      </x:c>
      <x:c r="F75" s="194" t="str">
        <x:v>Add explicit evidence / estimation provenance in repair revision.</x:v>
      </x:c>
    </x:row>
    <x:row r="76" ht="70" customHeight="1">
      <x:c r="A76" s="194" t="str">
        <x:v>T-252</x:v>
      </x:c>
      <x:c r="B76" s="194" t="str">
        <x:v>AR</x:v>
      </x:c>
      <x:c r="C76" s="194" t="str">
        <x:v>Estimate Status</x:v>
      </x:c>
      <x:c r="D76" s="194"/>
      <x:c r="E76" s="194" t="str">
        <x:v>INHERITED ESTIMATE</x:v>
      </x:c>
      <x:c r="F76" s="194" t="str">
        <x:v>Add explicit evidence / estimation provenance in repair revision.</x:v>
      </x:c>
    </x:row>
    <x:row r="77" ht="70" customHeight="1">
      <x:c r="A77" s="194" t="str">
        <x:v>T-256</x:v>
      </x:c>
      <x:c r="B77" s="194" t="str">
        <x:v>M</x:v>
      </x:c>
      <x:c r="C77" s="194" t="str">
        <x:v>Depends On (IDs only)</x:v>
      </x:c>
      <x:c r="D77" s="194" t="str">
        <x:v>T-095; T-096; T-097</x:v>
      </x:c>
      <x:c r="E77" s="194" t="str">
        <x:v>T-088; T-094; T-251; T-252; T-253</x:v>
      </x:c>
      <x:c r="F77" s="194" t="str">
        <x:v>Repair positional corruption using task-keyed baseline and approved edit dataset.</x:v>
      </x:c>
    </x:row>
    <x:row r="78" ht="70" customHeight="1">
      <x:c r="A78" s="194" t="str">
        <x:v>T-256</x:v>
      </x:c>
      <x:c r="B78" s="194" t="str">
        <x:v>N</x:v>
      </x:c>
      <x:c r="C78" s="194" t="str">
        <x:v>Must Precede (IDs only)</x:v>
      </x:c>
      <x:c r="D78" s="194" t="str">
        <x:v>T-107; T-109; T-128; T-183</x:v>
      </x:c>
      <x:c r="E78" s="194" t="str">
        <x:v>T-116; T-150; T-247; T-258</x:v>
      </x:c>
      <x:c r="F78" s="194" t="str">
        <x:v>Repair positional corruption using task-keyed baseline and approved edit dataset.</x:v>
      </x:c>
    </x:row>
    <x:row r="79" ht="70" customHeight="1">
      <x:c r="A79" s="194" t="str">
        <x:v>T-256</x:v>
      </x:c>
      <x:c r="B79" s="194" t="str">
        <x:v>AO</x:v>
      </x:c>
      <x:c r="C79" s="194" t="str">
        <x:v>Evidence State</x:v>
      </x:c>
      <x:c r="D79" s="194"/>
      <x:c r="E79" s="194" t="str">
        <x:v>Recorded closed — inherited evidence</x:v>
      </x:c>
      <x:c r="F79" s="194" t="str">
        <x:v>Add explicit evidence / estimation provenance in repair revision.</x:v>
      </x:c>
    </x:row>
    <x:row r="80" ht="70" customHeight="1">
      <x:c r="A80" s="194" t="str">
        <x:v>T-256</x:v>
      </x:c>
      <x:c r="B80" s="194" t="str">
        <x:v>AP</x:v>
      </x:c>
      <x:c r="C80" s="194" t="str">
        <x:v>Closure Evidence Basis</x:v>
      </x:c>
      <x:c r="D80" s="194"/>
      <x:c r="E80" s="194" t="str">
        <x:v>Inherited v2.22.0 intended record; no new runtime certification in this repair.</x:v>
      </x:c>
      <x:c r="F80" s="194" t="str">
        <x:v>Add explicit evidence / estimation provenance in repair revision.</x:v>
      </x:c>
    </x:row>
    <x:row r="81" ht="70" customHeight="1">
      <x:c r="A81" s="194" t="str">
        <x:v>T-256</x:v>
      </x:c>
      <x:c r="B81" s="194" t="str">
        <x:v>AR</x:v>
      </x:c>
      <x:c r="C81" s="194" t="str">
        <x:v>Estimate Status</x:v>
      </x:c>
      <x:c r="D81" s="194"/>
      <x:c r="E81" s="194" t="str">
        <x:v>INHERITED ESTIMATE</x:v>
      </x:c>
      <x:c r="F81" s="194" t="str">
        <x:v>Add explicit evidence / estimation provenance in repair revision.</x:v>
      </x:c>
    </x:row>
    <x:row r="82" ht="70" customHeight="1">
      <x:c r="A82" s="194" t="str">
        <x:v>T-259</x:v>
      </x:c>
      <x:c r="B82" s="194" t="str">
        <x:v>M</x:v>
      </x:c>
      <x:c r="C82" s="194" t="str">
        <x:v>Depends On (IDs only)</x:v>
      </x:c>
      <x:c r="D82" s="194" t="str">
        <x:v>T-087; T-089; T-090</x:v>
      </x:c>
      <x:c r="E82" s="194" t="str">
        <x:v>T-251</x:v>
      </x:c>
      <x:c r="F82" s="194" t="str">
        <x:v>Repair positional corruption using task-keyed baseline and approved edit dataset.</x:v>
      </x:c>
    </x:row>
    <x:row r="83" ht="70" customHeight="1">
      <x:c r="A83" s="194" t="str">
        <x:v>T-259</x:v>
      </x:c>
      <x:c r="B83" s="194" t="str">
        <x:v>N</x:v>
      </x:c>
      <x:c r="C83" s="194" t="str">
        <x:v>Must Precede (IDs only)</x:v>
      </x:c>
      <x:c r="D83" s="194" t="str">
        <x:v>T-100; T-101; T-104; T-107; T-108; T-109; T-114; T-128; T-183; T-261</x:v>
      </x:c>
      <x:c r="E83" s="194" t="str">
        <x:v>T-150; T-227; T-252; T-257</x:v>
      </x:c>
      <x:c r="F83" s="194" t="str">
        <x:v>Repair positional corruption using task-keyed baseline and approved edit dataset.</x:v>
      </x:c>
    </x:row>
    <x:row r="84" ht="70" customHeight="1">
      <x:c r="A84" s="194" t="str">
        <x:v>T-259</x:v>
      </x:c>
      <x:c r="B84" s="194" t="str">
        <x:v>AO</x:v>
      </x:c>
      <x:c r="C84" s="194" t="str">
        <x:v>Evidence State</x:v>
      </x:c>
      <x:c r="D84" s="194"/>
      <x:c r="E84" s="194" t="str">
        <x:v>Recorded closed — inherited evidence</x:v>
      </x:c>
      <x:c r="F84" s="194" t="str">
        <x:v>Add explicit evidence / estimation provenance in repair revision.</x:v>
      </x:c>
    </x:row>
    <x:row r="85" ht="70" customHeight="1">
      <x:c r="A85" s="194" t="str">
        <x:v>T-259</x:v>
      </x:c>
      <x:c r="B85" s="194" t="str">
        <x:v>AP</x:v>
      </x:c>
      <x:c r="C85" s="194" t="str">
        <x:v>Closure Evidence Basis</x:v>
      </x:c>
      <x:c r="D85" s="194"/>
      <x:c r="E85" s="194" t="str">
        <x:v>Inherited v2.22.0 intended record; no new runtime certification in this repair.</x:v>
      </x:c>
      <x:c r="F85" s="194" t="str">
        <x:v>Add explicit evidence / estimation provenance in repair revision.</x:v>
      </x:c>
    </x:row>
    <x:row r="86" ht="70" customHeight="1">
      <x:c r="A86" s="194" t="str">
        <x:v>T-259</x:v>
      </x:c>
      <x:c r="B86" s="194" t="str">
        <x:v>AR</x:v>
      </x:c>
      <x:c r="C86" s="194" t="str">
        <x:v>Estimate Status</x:v>
      </x:c>
      <x:c r="D86" s="194"/>
      <x:c r="E86" s="194" t="str">
        <x:v>INHERITED ESTIMATE</x:v>
      </x:c>
      <x:c r="F86" s="194" t="str">
        <x:v>Add explicit evidence / estimation provenance in repair revision.</x:v>
      </x:c>
    </x:row>
    <x:row r="87" ht="70" customHeight="1">
      <x:c r="A87" s="194" t="str">
        <x:v>T-260</x:v>
      </x:c>
      <x:c r="B87" s="194" t="str">
        <x:v>M</x:v>
      </x:c>
      <x:c r="C87" s="194" t="str">
        <x:v>Depends On (IDs only)</x:v>
      </x:c>
      <x:c r="D87" s="194" t="str">
        <x:v>T-099</x:v>
      </x:c>
      <x:c r="E87" s="194" t="str">
        <x:v>T-088</x:v>
      </x:c>
      <x:c r="F87" s="194" t="str">
        <x:v>Repair positional corruption using task-keyed baseline and approved edit dataset.</x:v>
      </x:c>
    </x:row>
    <x:row r="88" ht="70" customHeight="1">
      <x:c r="A88" s="194" t="str">
        <x:v>T-260</x:v>
      </x:c>
      <x:c r="B88" s="194" t="str">
        <x:v>N</x:v>
      </x:c>
      <x:c r="C88" s="194" t="str">
        <x:v>Must Precede (IDs only)</x:v>
      </x:c>
      <x:c r="D88" s="194" t="str">
        <x:v>T-101; T-107; T-109; T-128; T-183</x:v>
      </x:c>
      <x:c r="E88" s="194" t="str">
        <x:v>T-251</x:v>
      </x:c>
      <x:c r="F88" s="194" t="str">
        <x:v>Repair positional corruption using task-keyed baseline and approved edit dataset.</x:v>
      </x:c>
    </x:row>
    <x:row r="89" ht="70" customHeight="1">
      <x:c r="A89" s="194" t="str">
        <x:v>T-260</x:v>
      </x:c>
      <x:c r="B89" s="194" t="str">
        <x:v>AO</x:v>
      </x:c>
      <x:c r="C89" s="194" t="str">
        <x:v>Evidence State</x:v>
      </x:c>
      <x:c r="D89" s="194"/>
      <x:c r="E89" s="194" t="str">
        <x:v>Recorded closed — inherited evidence</x:v>
      </x:c>
      <x:c r="F89" s="194" t="str">
        <x:v>Add explicit evidence / estimation provenance in repair revision.</x:v>
      </x:c>
    </x:row>
    <x:row r="90" ht="70" customHeight="1">
      <x:c r="A90" s="194" t="str">
        <x:v>T-260</x:v>
      </x:c>
      <x:c r="B90" s="194" t="str">
        <x:v>AP</x:v>
      </x:c>
      <x:c r="C90" s="194" t="str">
        <x:v>Closure Evidence Basis</x:v>
      </x:c>
      <x:c r="D90" s="194"/>
      <x:c r="E90" s="194" t="str">
        <x:v>Inherited v2.22.0 intended record; no new runtime certification in this repair.</x:v>
      </x:c>
      <x:c r="F90" s="194" t="str">
        <x:v>Add explicit evidence / estimation provenance in repair revision.</x:v>
      </x:c>
    </x:row>
    <x:row r="91" ht="70" customHeight="1">
      <x:c r="A91" s="194" t="str">
        <x:v>T-260</x:v>
      </x:c>
      <x:c r="B91" s="194" t="str">
        <x:v>AR</x:v>
      </x:c>
      <x:c r="C91" s="194" t="str">
        <x:v>Estimate Status</x:v>
      </x:c>
      <x:c r="D91" s="194"/>
      <x:c r="E91" s="194" t="str">
        <x:v>INHERITED ESTIMATE</x:v>
      </x:c>
      <x:c r="F91" s="194" t="str">
        <x:v>Add explicit evidence / estimation provenance in repair revision.</x:v>
      </x:c>
    </x:row>
    <x:row r="92" ht="70" customHeight="1">
      <x:c r="A92" s="194" t="str">
        <x:v>T-095</x:v>
      </x:c>
      <x:c r="B92" s="194" t="str">
        <x:v>M</x:v>
      </x:c>
      <x:c r="C92" s="194" t="str">
        <x:v>Depends On (IDs only)</x:v>
      </x:c>
      <x:c r="D92" s="194" t="str">
        <x:v>T-099; T-100</x:v>
      </x:c>
      <x:c r="E92" s="194" t="str">
        <x:v>T-057; T-089; T-090; T-094</x:v>
      </x:c>
      <x:c r="F92" s="194" t="str">
        <x:v>Repair positional corruption using task-keyed baseline and approved edit dataset.</x:v>
      </x:c>
    </x:row>
    <x:row r="93" ht="70" customHeight="1">
      <x:c r="A93" s="194" t="str">
        <x:v>T-095</x:v>
      </x:c>
      <x:c r="B93" s="194" t="str">
        <x:v>N</x:v>
      </x:c>
      <x:c r="C93" s="194" t="str">
        <x:v>Must Precede (IDs only)</x:v>
      </x:c>
      <x:c r="D93" s="194" t="str">
        <x:v>T-107; T-109; T-128; T-183</x:v>
      </x:c>
      <x:c r="E93" s="194" t="str">
        <x:v>T-096; T-098; T-102; T-103; T-104; T-107; T-109; T-114; T-128; T-134; T-183; T-196; T-221</x:v>
      </x:c>
      <x:c r="F93" s="194" t="str">
        <x:v>Repair positional corruption using task-keyed baseline and approved edit dataset.</x:v>
      </x:c>
    </x:row>
    <x:row r="94" ht="70" customHeight="1">
      <x:c r="A94" s="194" t="str">
        <x:v>T-095</x:v>
      </x:c>
      <x:c r="B94" s="194" t="str">
        <x:v>AO</x:v>
      </x:c>
      <x:c r="C94" s="194" t="str">
        <x:v>Evidence State</x:v>
      </x:c>
      <x:c r="D94" s="194"/>
      <x:c r="E94" s="194" t="str">
        <x:v>Recorded closed — inherited evidence</x:v>
      </x:c>
      <x:c r="F94" s="194" t="str">
        <x:v>Add explicit evidence / estimation provenance in repair revision.</x:v>
      </x:c>
    </x:row>
    <x:row r="95" ht="70" customHeight="1">
      <x:c r="A95" s="194" t="str">
        <x:v>T-095</x:v>
      </x:c>
      <x:c r="B95" s="194" t="str">
        <x:v>AP</x:v>
      </x:c>
      <x:c r="C95" s="194" t="str">
        <x:v>Closure Evidence Basis</x:v>
      </x:c>
      <x:c r="D95" s="194"/>
      <x:c r="E95" s="194" t="str">
        <x:v>Inherited v2.22.0 intended record; no new runtime certification in this repair.</x:v>
      </x:c>
      <x:c r="F95" s="194" t="str">
        <x:v>Add explicit evidence / estimation provenance in repair revision.</x:v>
      </x:c>
    </x:row>
    <x:row r="96" ht="70" customHeight="1">
      <x:c r="A96" s="194" t="str">
        <x:v>T-095</x:v>
      </x:c>
      <x:c r="B96" s="194" t="str">
        <x:v>AR</x:v>
      </x:c>
      <x:c r="C96" s="194" t="str">
        <x:v>Estimate Status</x:v>
      </x:c>
      <x:c r="D96" s="194"/>
      <x:c r="E96" s="194" t="str">
        <x:v>INHERITED ESTIMATE</x:v>
      </x:c>
      <x:c r="F96" s="194" t="str">
        <x:v>Add explicit evidence / estimation provenance in repair revision.</x:v>
      </x:c>
    </x:row>
    <x:row r="97" ht="70" customHeight="1">
      <x:c r="A97" s="194" t="str">
        <x:v>T-096</x:v>
      </x:c>
      <x:c r="B97" s="194" t="str">
        <x:v>M</x:v>
      </x:c>
      <x:c r="C97" s="194" t="str">
        <x:v>Depends On (IDs only)</x:v>
      </x:c>
      <x:c r="D97" s="194" t="str">
        <x:v>T-087; T-095</x:v>
      </x:c>
      <x:c r="E97" s="194" t="str">
        <x:v>T-095</x:v>
      </x:c>
      <x:c r="F97" s="194" t="str">
        <x:v>Repair positional corruption using task-keyed baseline and approved edit dataset.</x:v>
      </x:c>
    </x:row>
    <x:row r="98" ht="70" customHeight="1">
      <x:c r="A98" s="194" t="str">
        <x:v>T-096</x:v>
      </x:c>
      <x:c r="B98" s="194" t="str">
        <x:v>N</x:v>
      </x:c>
      <x:c r="C98" s="194" t="str">
        <x:v>Must Precede (IDs only)</x:v>
      </x:c>
      <x:c r="D98" s="194" t="str">
        <x:v>T-103; T-107; T-109; T-128; T-183</x:v>
      </x:c>
      <x:c r="E98" s="194" t="str">
        <x:v>T-097; T-098; T-107; T-109; T-128; T-134; T-183; T-221</x:v>
      </x:c>
      <x:c r="F98" s="194" t="str">
        <x:v>Repair positional corruption using task-keyed baseline and approved edit dataset.</x:v>
      </x:c>
    </x:row>
    <x:row r="99" ht="70" customHeight="1">
      <x:c r="A99" s="194" t="str">
        <x:v>T-096</x:v>
      </x:c>
      <x:c r="B99" s="194" t="str">
        <x:v>AO</x:v>
      </x:c>
      <x:c r="C99" s="194" t="str">
        <x:v>Evidence State</x:v>
      </x:c>
      <x:c r="D99" s="194"/>
      <x:c r="E99" s="194" t="str">
        <x:v>Recorded closed — inherited evidence</x:v>
      </x:c>
      <x:c r="F99" s="194" t="str">
        <x:v>Add explicit evidence / estimation provenance in repair revision.</x:v>
      </x:c>
    </x:row>
    <x:row r="100" ht="70" customHeight="1">
      <x:c r="A100" s="194" t="str">
        <x:v>T-096</x:v>
      </x:c>
      <x:c r="B100" s="194" t="str">
        <x:v>AP</x:v>
      </x:c>
      <x:c r="C100" s="194" t="str">
        <x:v>Closure Evidence Basis</x:v>
      </x:c>
      <x:c r="D100" s="194"/>
      <x:c r="E100" s="194" t="str">
        <x:v>Inherited v2.22.0 intended record; no new runtime certification in this repair.</x:v>
      </x:c>
      <x:c r="F100" s="194" t="str">
        <x:v>Add explicit evidence / estimation provenance in repair revision.</x:v>
      </x:c>
    </x:row>
    <x:row r="101" ht="70" customHeight="1">
      <x:c r="A101" s="194" t="str">
        <x:v>T-096</x:v>
      </x:c>
      <x:c r="B101" s="194" t="str">
        <x:v>AR</x:v>
      </x:c>
      <x:c r="C101" s="194" t="str">
        <x:v>Estimate Status</x:v>
      </x:c>
      <x:c r="D101" s="194"/>
      <x:c r="E101" s="194" t="str">
        <x:v>INHERITED ESTIMATE</x:v>
      </x:c>
      <x:c r="F101" s="194" t="str">
        <x:v>Add explicit evidence / estimation provenance in repair revision.</x:v>
      </x:c>
    </x:row>
    <x:row r="102" ht="70" customHeight="1">
      <x:c r="A102" s="194" t="str">
        <x:v>T-097</x:v>
      </x:c>
      <x:c r="B102" s="194" t="str">
        <x:v>M</x:v>
      </x:c>
      <x:c r="C102" s="194" t="str">
        <x:v>Depends On (IDs only)</x:v>
      </x:c>
      <x:c r="D102" s="194" t="str">
        <x:v>T-095; T-102</x:v>
      </x:c>
      <x:c r="E102" s="194" t="str">
        <x:v>T-096</x:v>
      </x:c>
      <x:c r="F102" s="194" t="str">
        <x:v>Repair positional corruption using task-keyed baseline and approved edit dataset.</x:v>
      </x:c>
    </x:row>
    <x:row r="103" ht="70" customHeight="1">
      <x:c r="A103" s="194" t="str">
        <x:v>T-097</x:v>
      </x:c>
      <x:c r="B103" s="194" t="str">
        <x:v>N</x:v>
      </x:c>
      <x:c r="C103" s="194" t="str">
        <x:v>Must Precede (IDs only)</x:v>
      </x:c>
      <x:c r="D103" s="194" t="str">
        <x:v>T-107; T-109; T-128; T-183</x:v>
      </x:c>
      <x:c r="E103" s="194" t="str">
        <x:v>T-098; T-107; T-109; T-128; T-183</x:v>
      </x:c>
      <x:c r="F103" s="194" t="str">
        <x:v>Repair positional corruption using task-keyed baseline and approved edit dataset.</x:v>
      </x:c>
    </x:row>
    <x:row r="104" ht="70" customHeight="1">
      <x:c r="A104" s="194" t="str">
        <x:v>T-097</x:v>
      </x:c>
      <x:c r="B104" s="194" t="str">
        <x:v>AO</x:v>
      </x:c>
      <x:c r="C104" s="194" t="str">
        <x:v>Evidence State</x:v>
      </x:c>
      <x:c r="D104" s="194"/>
      <x:c r="E104" s="194" t="str">
        <x:v>Recorded closed — inherited evidence</x:v>
      </x:c>
      <x:c r="F104" s="194" t="str">
        <x:v>Add explicit evidence / estimation provenance in repair revision.</x:v>
      </x:c>
    </x:row>
    <x:row r="105" ht="70" customHeight="1">
      <x:c r="A105" s="194" t="str">
        <x:v>T-097</x:v>
      </x:c>
      <x:c r="B105" s="194" t="str">
        <x:v>AP</x:v>
      </x:c>
      <x:c r="C105" s="194" t="str">
        <x:v>Closure Evidence Basis</x:v>
      </x:c>
      <x:c r="D105" s="194"/>
      <x:c r="E105" s="194" t="str">
        <x:v>Inherited v2.22.0 intended record; no new runtime certification in this repair.</x:v>
      </x:c>
      <x:c r="F105" s="194" t="str">
        <x:v>Add explicit evidence / estimation provenance in repair revision.</x:v>
      </x:c>
    </x:row>
    <x:row r="106" ht="70" customHeight="1">
      <x:c r="A106" s="194" t="str">
        <x:v>T-097</x:v>
      </x:c>
      <x:c r="B106" s="194" t="str">
        <x:v>AR</x:v>
      </x:c>
      <x:c r="C106" s="194" t="str">
        <x:v>Estimate Status</x:v>
      </x:c>
      <x:c r="D106" s="194"/>
      <x:c r="E106" s="194" t="str">
        <x:v>INHERITED ESTIMATE</x:v>
      </x:c>
      <x:c r="F106" s="194" t="str">
        <x:v>Add explicit evidence / estimation provenance in repair revision.</x:v>
      </x:c>
    </x:row>
    <x:row r="107" ht="70" customHeight="1">
      <x:c r="A107" s="194" t="str">
        <x:v>T-098</x:v>
      </x:c>
      <x:c r="B107" s="194" t="str">
        <x:v>M</x:v>
      </x:c>
      <x:c r="C107" s="194" t="str">
        <x:v>Depends On (IDs only)</x:v>
      </x:c>
      <x:c r="D107" s="194" t="str">
        <x:v>T-090; T-095; T-099; T-261</x:v>
      </x:c>
      <x:c r="E107" s="194" t="str">
        <x:v>T-095; T-096; T-097</x:v>
      </x:c>
      <x:c r="F107" s="194" t="str">
        <x:v>Repair positional corruption using task-keyed baseline and approved edit dataset.</x:v>
      </x:c>
    </x:row>
    <x:row r="108" ht="70" customHeight="1">
      <x:c r="A108" s="194" t="str">
        <x:v>T-098</x:v>
      </x:c>
      <x:c r="B108" s="194" t="str">
        <x:v>N</x:v>
      </x:c>
      <x:c r="C108" s="194" t="str">
        <x:v>Must Precede (IDs only)</x:v>
      </x:c>
      <x:c r="D108" s="194" t="str">
        <x:v>T-107; T-108; T-109; T-128; T-183; T-247</x:v>
      </x:c>
      <x:c r="E108" s="194" t="str">
        <x:v>T-107; T-109; T-128; T-183</x:v>
      </x:c>
      <x:c r="F108" s="194" t="str">
        <x:v>Repair positional corruption using task-keyed baseline and approved edit dataset.</x:v>
      </x:c>
    </x:row>
    <x:row r="109" ht="70" customHeight="1">
      <x:c r="A109" s="194" t="str">
        <x:v>T-098</x:v>
      </x:c>
      <x:c r="B109" s="194" t="str">
        <x:v>AO</x:v>
      </x:c>
      <x:c r="C109" s="194" t="str">
        <x:v>Evidence State</x:v>
      </x:c>
      <x:c r="D109" s="194"/>
      <x:c r="E109" s="194" t="str">
        <x:v>Not started — no completion claimed</x:v>
      </x:c>
      <x:c r="F109" s="194" t="str">
        <x:v>Add explicit evidence / estimation provenance in repair revision.</x:v>
      </x:c>
    </x:row>
    <x:row r="110" ht="70" customHeight="1">
      <x:c r="A110" s="194" t="str">
        <x:v>T-098</x:v>
      </x:c>
      <x:c r="B110" s="194" t="str">
        <x:v>AP</x:v>
      </x:c>
      <x:c r="C110" s="194" t="str">
        <x:v>Closure Evidence Basis</x:v>
      </x:c>
      <x:c r="D110" s="194"/>
      <x:c r="E110" s="194" t="str">
        <x:v>Inherited v2.22.0 intended record; no new runtime certification in this repair.</x:v>
      </x:c>
      <x:c r="F110" s="194" t="str">
        <x:v>Add explicit evidence / estimation provenance in repair revision.</x:v>
      </x:c>
    </x:row>
    <x:row r="111" ht="70" customHeight="1">
      <x:c r="A111" s="194" t="str">
        <x:v>T-098</x:v>
      </x:c>
      <x:c r="B111" s="194" t="str">
        <x:v>AR</x:v>
      </x:c>
      <x:c r="C111" s="194" t="str">
        <x:v>Estimate Status</x:v>
      </x:c>
      <x:c r="D111" s="194"/>
      <x:c r="E111" s="194" t="str">
        <x:v>INHERITED ESTIMATE</x:v>
      </x:c>
      <x:c r="F111" s="194" t="str">
        <x:v>Add explicit evidence / estimation provenance in repair revision.</x:v>
      </x:c>
    </x:row>
    <x:row r="112" ht="70" customHeight="1">
      <x:c r="A112" s="194" t="str">
        <x:v>T-099</x:v>
      </x:c>
      <x:c r="B112" s="194" t="str">
        <x:v>K</x:v>
      </x:c>
      <x:c r="C112" s="194" t="str">
        <x:v>Status</x:v>
      </x:c>
      <x:c r="D112" s="194" t="str">
        <x:v>In Progress</x:v>
      </x:c>
      <x:c r="E112" s="194" t="str">
        <x:v>Done</x:v>
      </x:c>
      <x:c r="F112" s="194" t="str">
        <x:v>Owner reports final CLOSED GREEN / COMMITTED closure.</x:v>
      </x:c>
    </x:row>
    <x:row r="113" ht="70" customHeight="1">
      <x:c r="A113" s="194" t="str">
        <x:v>T-099</x:v>
      </x:c>
      <x:c r="B113" s="194" t="str">
        <x:v>M</x:v>
      </x:c>
      <x:c r="C113" s="194" t="str">
        <x:v>Depends On (IDs only)</x:v>
      </x:c>
      <x:c r="D113" s="194" t="str">
        <x:v>T-064; T-089; T-090; T-252</x:v>
      </x:c>
      <x:c r="E113" s="194" t="str">
        <x:v>T-087; T-089; T-090</x:v>
      </x:c>
      <x:c r="F113" s="194" t="str">
        <x:v>Repair positional corruption using task-keyed baseline and approved edit dataset.</x:v>
      </x:c>
    </x:row>
    <x:row r="114" ht="70" customHeight="1">
      <x:c r="A114" s="194" t="str">
        <x:v>T-099</x:v>
      </x:c>
      <x:c r="B114" s="194" t="str">
        <x:v>N</x:v>
      </x:c>
      <x:c r="C114" s="194" t="str">
        <x:v>Must Precede (IDs only)</x:v>
      </x:c>
      <x:c r="D114" s="194" t="str">
        <x:v>T-107; T-122; T-125; T-245; T-261; T-263</x:v>
      </x:c>
      <x:c r="E114" s="194" t="str">
        <x:v>T-100; T-101; T-104; T-107; T-108; T-109; T-114; T-128; T-183; T-261</x:v>
      </x:c>
      <x:c r="F114" s="194" t="str">
        <x:v>Repair positional corruption using task-keyed baseline and approved edit dataset.</x:v>
      </x:c>
    </x:row>
    <x:row r="115" ht="70" customHeight="1">
      <x:c r="A115" s="194" t="str">
        <x:v>T-099</x:v>
      </x:c>
      <x:c r="B115" s="194" t="str">
        <x:v>X</x:v>
      </x:c>
      <x:c r="C115" s="194" t="str">
        <x:v>Tech-Lead Ruling</x:v>
      </x:c>
      <x:c r="D115" s="194" t="str">
        <x:v>M2 P2 — Day-1 Data Workbench — DB Link, Canvas, Jobs &amp; OPC. Release 1 is genuine early production / first-week customer work.</x:v>
      </x:c>
      <x:c r="E115" s="194" t="str">
        <x:v>M2 P2 — Day-1 Data Workbench — DB Link, Canvas, Jobs &amp; OPC. Release 1 is genuine early production / first-week customer work.
v2.22.1 — CLOSED GREEN / COMMITTED at ca02b40ea1b69050a45cb35a3e1d64f15b1f66af (parent 86e1b677212195f191697ecdca7e9441b3dbde33). Preserve this closure unless a concrete later regression is demonstrated. Gate O has one exact inherited DefinitionKind RED and canonical replay limitations remain; this is not Release-wide GREEN.</x:v>
      </x:c>
      <x:c r="F115" s="194" t="str">
        <x:v>Supersede stale build-state wording without rewriting original acceptance or replaying the task.</x:v>
      </x:c>
    </x:row>
    <x:row r="116" ht="70" customHeight="1">
      <x:c r="A116" s="194" t="str">
        <x:v>T-099</x:v>
      </x:c>
      <x:c r="B116" s="194" t="str">
        <x:v>Y</x:v>
      </x:c>
      <x:c r="C116" s="194" t="str">
        <x:v>Commit String</x:v>
      </x:c>
      <x:c r="D116" s="194"/>
      <x:c r="E116" s="194" t="str">
        <x:v>ca02b40ea1b69050a45cb35a3e1d64f15b1f66af</x:v>
      </x:c>
      <x:c r="F116" s="194" t="str">
        <x:v>Exact SHA supplied by owner.</x:v>
      </x:c>
    </x:row>
    <x:row r="117" ht="70" customHeight="1">
      <x:c r="A117" s="194" t="str">
        <x:v>T-099</x:v>
      </x:c>
      <x:c r="B117" s="194" t="str">
        <x:v>AI</x:v>
      </x:c>
      <x:c r="C117" s="194" t="str">
        <x:v>Capability Evidence</x:v>
      </x:c>
      <x:c r="D117" s="194"/>
      <x:c r="E117" s="194" t="str">
        <x:v>Owner-provided final runner report in this conversation, received 14-Sep-2026; not independently rerun or verified against a live Git checkout here. Live acceptance 49/49; catalogue 5/5; owned contract 19/19; cleanup 6/6, survivors 0. Gate O: 900 = 899 passed + 1 exact inherited DefinitionKind RED; 900 unique testId and executionId. Exact staging/byte boundary passed; cleanup before one semantic commit. Task closure GREEN, not release-wide GREEN; canonical replay limitations remain separately tracked.</x:v>
      </x:c>
      <x:c r="F117" s="194" t="str">
        <x:v>Preserve positive closure and known-red caveat separately.</x:v>
      </x:c>
    </x:row>
    <x:row r="118" ht="70" customHeight="1">
      <x:c r="A118" s="194" t="str">
        <x:v>T-099</x:v>
      </x:c>
      <x:c r="B118" s="194" t="str">
        <x:v>AO</x:v>
      </x:c>
      <x:c r="C118" s="194" t="str">
        <x:v>Evidence State</x:v>
      </x:c>
      <x:c r="D118" s="194"/>
      <x:c r="E118" s="194" t="str">
        <x:v>CLOSED GREEN / COMMITTED — owner-reported</x:v>
      </x:c>
      <x:c r="F118" s="194" t="str">
        <x:v>Owner final runner verdict; no automatic reopening.</x:v>
      </x:c>
    </x:row>
    <x:row r="119" ht="70" customHeight="1">
      <x:c r="A119" s="194" t="str">
        <x:v>T-099</x:v>
      </x:c>
      <x:c r="B119" s="194" t="str">
        <x:v>AP</x:v>
      </x:c>
      <x:c r="C119" s="194" t="str">
        <x:v>Closure Evidence Basis</x:v>
      </x:c>
      <x:c r="D119" s="194"/>
      <x:c r="E119" s="194" t="str">
        <x:v>Owner-provided final runner report in this conversation, received 14-Sep-2026; not independently rerun or verified against a live Git checkout here. Live acceptance 49/49; catalogue 5/5; owned contract 19/19; cleanup 6/6, survivors 0. Gate O: 900 = 899 passed + 1 exact inherited DefinitionKind RED; 900 unique testId and executionId. Exact staging/byte boundary passed; cleanup before one semantic commit. Task closure GREEN, not release-wide GREEN; canonical replay limitations remain separately tracked.</x:v>
      </x:c>
      <x:c r="F119" s="194" t="str">
        <x:v>Evidence provenance explicitly reported, not newly executed.</x:v>
      </x:c>
    </x:row>
    <x:row r="120" ht="70" customHeight="1">
      <x:c r="A120" s="194" t="str">
        <x:v>T-099</x:v>
      </x:c>
      <x:c r="B120" s="194" t="str">
        <x:v>AQ</x:v>
      </x:c>
      <x:c r="C120" s="194" t="str">
        <x:v>Parent Commit</x:v>
      </x:c>
      <x:c r="D120" s="194"/>
      <x:c r="E120" s="194" t="str">
        <x:v>86e1b677212195f191697ecdca7e9441b3dbde33</x:v>
      </x:c>
      <x:c r="F120" s="194" t="str">
        <x:v>Exact parent SHA supplied by owner.</x:v>
      </x:c>
    </x:row>
    <x:row r="121" ht="70" customHeight="1">
      <x:c r="A121" s="194" t="str">
        <x:v>T-099</x:v>
      </x:c>
      <x:c r="B121" s="194" t="str">
        <x:v>AR</x:v>
      </x:c>
      <x:c r="C121" s="194" t="str">
        <x:v>Estimate Status</x:v>
      </x:c>
      <x:c r="D121" s="194"/>
      <x:c r="E121" s="194" t="str">
        <x:v>INHERITED ESTIMATE</x:v>
      </x:c>
      <x:c r="F121" s="194" t="str">
        <x:v>Add explicit evidence / estimation provenance in repair revision.</x:v>
      </x:c>
    </x:row>
    <x:row r="122" ht="70" customHeight="1">
      <x:c r="A122" s="194" t="str">
        <x:v>T-100</x:v>
      </x:c>
      <x:c r="B122" s="194" t="str">
        <x:v>M</x:v>
      </x:c>
      <x:c r="C122" s="194" t="str">
        <x:v>Depends On (IDs only)</x:v>
      </x:c>
      <x:c r="D122" s="194" t="str">
        <x:v>T-095; T-096; T-097; T-098; T-099; T-100; T-101; T-102; T-103; T-104; T-106</x:v>
      </x:c>
      <x:c r="E122" s="194" t="str">
        <x:v>T-099</x:v>
      </x:c>
      <x:c r="F122" s="194" t="str">
        <x:v>Repair positional corruption using task-keyed baseline and approved edit dataset.</x:v>
      </x:c>
    </x:row>
    <x:row r="123" ht="70" customHeight="1">
      <x:c r="A123" s="194" t="str">
        <x:v>T-100</x:v>
      </x:c>
      <x:c r="B123" s="194" t="str">
        <x:v>N</x:v>
      </x:c>
      <x:c r="C123" s="194" t="str">
        <x:v>Must Precede (IDs only)</x:v>
      </x:c>
      <x:c r="D123" s="194" t="str">
        <x:v>T-122; T-125; T-141; T-187; T-192</x:v>
      </x:c>
      <x:c r="E123" s="194" t="str">
        <x:v>T-101; T-107; T-109; T-128; T-183</x:v>
      </x:c>
      <x:c r="F123" s="194" t="str">
        <x:v>Repair positional corruption using task-keyed baseline and approved edit dataset.</x:v>
      </x:c>
    </x:row>
    <x:row r="124" ht="70" customHeight="1">
      <x:c r="A124" s="194" t="str">
        <x:v>T-100</x:v>
      </x:c>
      <x:c r="B124" s="194" t="str">
        <x:v>AO</x:v>
      </x:c>
      <x:c r="C124" s="194" t="str">
        <x:v>Evidence State</x:v>
      </x:c>
      <x:c r="D124" s="194"/>
      <x:c r="E124" s="194" t="str">
        <x:v>Not started — no completion claimed</x:v>
      </x:c>
      <x:c r="F124" s="194" t="str">
        <x:v>Add explicit evidence / estimation provenance in repair revision.</x:v>
      </x:c>
    </x:row>
    <x:row r="125" ht="70" customHeight="1">
      <x:c r="A125" s="194" t="str">
        <x:v>T-100</x:v>
      </x:c>
      <x:c r="B125" s="194" t="str">
        <x:v>AP</x:v>
      </x:c>
      <x:c r="C125" s="194" t="str">
        <x:v>Closure Evidence Basis</x:v>
      </x:c>
      <x:c r="D125" s="194"/>
      <x:c r="E125" s="194" t="str">
        <x:v>Inherited v2.22.0 intended record; no new runtime certification in this repair.</x:v>
      </x:c>
      <x:c r="F125" s="194" t="str">
        <x:v>Add explicit evidence / estimation provenance in repair revision.</x:v>
      </x:c>
    </x:row>
    <x:row r="126" ht="70" customHeight="1">
      <x:c r="A126" s="194" t="str">
        <x:v>T-100</x:v>
      </x:c>
      <x:c r="B126" s="194" t="str">
        <x:v>AR</x:v>
      </x:c>
      <x:c r="C126" s="194" t="str">
        <x:v>Estimate Status</x:v>
      </x:c>
      <x:c r="D126" s="194"/>
      <x:c r="E126" s="194" t="str">
        <x:v>INHERITED ESTIMATE</x:v>
      </x:c>
      <x:c r="F126" s="194" t="str">
        <x:v>Add explicit evidence / estimation provenance in repair revision.</x:v>
      </x:c>
    </x:row>
    <x:row r="127" ht="70" customHeight="1">
      <x:c r="A127" s="194" t="str">
        <x:v>T-101</x:v>
      </x:c>
      <x:c r="B127" s="194" t="str">
        <x:v>H</x:v>
      </x:c>
      <x:c r="C127" s="194" t="str">
        <x:v>Task Description</x:v>
      </x:c>
      <x:c r="D127" s="194" t="str">
        <x:v>Complete the C2 Mapping Health page against Chapter 3 4.4 C2: issues grouped by code, example rows, and Reprocess after the mapping is corrected. The M1 version delivered the shape; this delivers the full class set and the retry semantics.
v2.22.0 — Quarantine inspection API/UI and schema-drift enforcement. Keep one drift event authority and reuse current schemas/compatibility safely.</x:v>
      </x:c>
      <x:c r="E127" s="194" t="str">
        <x:v>Complete the C2 Mapping Health page against Chapter 3 4.4 C2: issues grouped by code, example rows, and Reprocess after the mapping is corrected. The M1 version delivered the shape; this delivers the full class set and the retry semantics.
v2.22.0 — Quarantine inspection API/UI and schema-drift enforcement. Keep one drift event authority and reuse current schemas/compatibility safely.
v2.22.1 — Own the M2 B4 Importing monitoring surface as well as C2 quarantine/Mapping Health: show each real batch status, failure code/reason, progress/counts, last committed cursor and its watermark range; drill into durable batch/run evidence. Use the existing canonical import/job contracts. T-106 owns terminal-status truth; T-108 owns durable cursor/replay; T-125 owns operational metrics/API observability. No second status or cursor authority and no advanced M3 recovery UI is introduced.</x:v>
      </x:c>
      <x:c r="F127" s="194" t="str">
        <x:v>Close explicitly reported B4 monitoring ownership gap in the existing Worker-2 UI task.</x:v>
      </x:c>
    </x:row>
    <x:row r="128" ht="70" customHeight="1">
      <x:c r="A128" s="194" t="str">
        <x:v>T-101</x:v>
      </x:c>
      <x:c r="B128" s="194" t="str">
        <x:v>I</x:v>
      </x:c>
      <x:c r="C128" s="194" t="str">
        <x:v>Task Validation</x:v>
      </x:c>
      <x:c r="D128" s="194" t="str">
        <x:v>Quarantine rows under three different codes, correct one mapping, reprocess, and confirm only the affected rows clear. The M1 continuity snapshot of this page must still match.
v2.22.0 — GET quarantine list/detail filtered by code, dataset and batch with staging lineage/correction hint; tenant denial; remove mapped source object/field -&gt; typed execution refusal and persisted C2 event; corrected reprocess uses declared version and records outcome.</x:v>
      </x:c>
      <x:c r="E128" s="194" t="str">
        <x:v>Quarantine rows under three different codes, correct one mapping, reprocess, and confirm only the affected rows clear. The M1 continuity snapshot of this page must still match.
v2.22.0 — GET quarantine list/detail filtered by code, dataset and batch with staging lineage/correction hint; tenant denial; remove mapped source object/field -&gt; typed execution refusal and persisted C2 event; corrected reprocess uses declared version and records outcome.
v2.22.1 — Drive B4 against a successful batch, a failed batch and a capped/partial batch; displayed outcome, counts, error and last committed cursor equal the canonical response after reload. A failed batch is never green; a retry/correction links to the same durable evidence. Tenant denial and empty/loading/failure states are asserted. Consume frozen T-106/T-108/T-125 response contracts for parallel UI work; final live integration is certified by T-247/T-150, not by a mock-only result.</x:v>
      </x:c>
      <x:c r="F128" s="194" t="str">
        <x:v>Substantive M2 monitoring acceptance; integration proof does not create a completion cycle.</x:v>
      </x:c>
    </x:row>
    <x:row r="129" ht="70" customHeight="1">
      <x:c r="A129" s="194" t="str">
        <x:v>T-101</x:v>
      </x:c>
      <x:c r="B129" s="194" t="str">
        <x:v>M</x:v>
      </x:c>
      <x:c r="C129" s="194" t="str">
        <x:v>Depends On (IDs only)</x:v>
      </x:c>
      <x:c r="D129" s="194" t="str">
        <x:v>T-099; T-104</x:v>
      </x:c>
      <x:c r="E129" s="194" t="str">
        <x:v>T-099; T-100</x:v>
      </x:c>
      <x:c r="F129" s="194" t="str">
        <x:v>Repair positional corruption using task-keyed baseline and approved edit dataset.</x:v>
      </x:c>
    </x:row>
    <x:row r="130" ht="70" customHeight="1">
      <x:c r="A130" s="194" t="str">
        <x:v>T-101</x:v>
      </x:c>
      <x:c r="B130" s="194" t="str">
        <x:v>N</x:v>
      </x:c>
      <x:c r="C130" s="194" t="str">
        <x:v>Must Precede (IDs only)</x:v>
      </x:c>
      <x:c r="D130" s="194" t="str">
        <x:v>T-109; T-110; T-247</x:v>
      </x:c>
      <x:c r="E130" s="194" t="str">
        <x:v>T-107; T-109; T-128; T-183</x:v>
      </x:c>
      <x:c r="F130" s="194" t="str">
        <x:v>Repair positional corruption using task-keyed baseline and approved edit dataset.</x:v>
      </x:c>
    </x:row>
    <x:row r="131" ht="70" customHeight="1">
      <x:c r="A131" s="194" t="str">
        <x:v>T-101</x:v>
      </x:c>
      <x:c r="B131" s="194" t="str">
        <x:v>AC</x:v>
      </x:c>
      <x:c r="C131" s="194" t="str">
        <x:v>Secondary Capability IDs</x:v>
      </x:c>
      <x:c r="D131" s="194" t="str">
        <x:v>L1.6; L1.2</x:v>
      </x:c>
      <x:c r="E131" s="194" t="str">
        <x:v>L1.6; L1.2; L1.7</x:v>
      </x:c>
      <x:c r="F131" s="194" t="str">
        <x:v>Map the actual additional acceptance obligation.</x:v>
      </x:c>
    </x:row>
    <x:row r="132" ht="70" customHeight="1">
      <x:c r="A132" s="194" t="str">
        <x:v>T-101</x:v>
      </x:c>
      <x:c r="B132" s="194" t="str">
        <x:v>AJ</x:v>
      </x:c>
      <x:c r="C132" s="194" t="str">
        <x:v>Estimate Basis</x:v>
      </x:c>
      <x:c r="D132" s="194" t="str">
        <x:v>Inherited estimate; scope changed — re-estimation required</x:v>
      </x:c>
      <x:c r="E132" s="194" t="str">
        <x:v>Inherited estimate; scope changed — re-estimation required v2.22.1 acceptance/ownership clarification; owner to review planning impact.</x:v>
      </x:c>
      <x:c r="F132" s="194" t="str">
        <x:v>Add explicit evidence / estimation provenance in repair revision.</x:v>
      </x:c>
    </x:row>
    <x:row r="133" ht="70" customHeight="1">
      <x:c r="A133" s="194" t="str">
        <x:v>T-101</x:v>
      </x:c>
      <x:c r="B133" s="194" t="str">
        <x:v>AO</x:v>
      </x:c>
      <x:c r="C133" s="194" t="str">
        <x:v>Evidence State</x:v>
      </x:c>
      <x:c r="D133" s="194"/>
      <x:c r="E133" s="194" t="str">
        <x:v>Not started — no completion claimed</x:v>
      </x:c>
      <x:c r="F133" s="194" t="str">
        <x:v>Add explicit evidence / estimation provenance in repair revision.</x:v>
      </x:c>
    </x:row>
    <x:row r="134" ht="70" customHeight="1">
      <x:c r="A134" s="194" t="str">
        <x:v>T-101</x:v>
      </x:c>
      <x:c r="B134" s="194" t="str">
        <x:v>AP</x:v>
      </x:c>
      <x:c r="C134" s="194" t="str">
        <x:v>Closure Evidence Basis</x:v>
      </x:c>
      <x:c r="D134" s="194"/>
      <x:c r="E134" s="194" t="str">
        <x:v>Inherited v2.22.0 intended record; no new runtime certification in this repair.</x:v>
      </x:c>
      <x:c r="F134" s="194" t="str">
        <x:v>Add explicit evidence / estimation provenance in repair revision.</x:v>
      </x:c>
    </x:row>
    <x:row r="135" ht="70" customHeight="1">
      <x:c r="A135" s="194" t="str">
        <x:v>T-101</x:v>
      </x:c>
      <x:c r="B135" s="194" t="str">
        <x:v>AR</x:v>
      </x:c>
      <x:c r="C135" s="194" t="str">
        <x:v>Estimate Status</x:v>
      </x:c>
      <x:c r="D135" s="194"/>
      <x:c r="E135" s="194" t="str">
        <x:v>INHERITED ESTIMATE</x:v>
      </x:c>
      <x:c r="F135" s="194" t="str">
        <x:v>Add explicit evidence / estimation provenance in repair revision.</x:v>
      </x:c>
    </x:row>
    <x:row r="136" ht="70" customHeight="1">
      <x:c r="A136" s="194" t="str">
        <x:v>T-102</x:v>
      </x:c>
      <x:c r="B136" s="194" t="str">
        <x:v>M</x:v>
      </x:c>
      <x:c r="C136" s="194" t="str">
        <x:v>Depends On (IDs only)</x:v>
      </x:c>
      <x:c r="D136" s="194" t="str">
        <x:v>T-095; T-096; T-097; T-098; T-099; T-100; T-101; T-102; T-103; T-104; T-108</x:v>
      </x:c>
      <x:c r="E136" s="194" t="str">
        <x:v>T-087; T-095</x:v>
      </x:c>
      <x:c r="F136" s="194" t="str">
        <x:v>Repair positional corruption using task-keyed baseline and approved edit dataset.</x:v>
      </x:c>
    </x:row>
    <x:row r="137" ht="70" customHeight="1">
      <x:c r="A137" s="194" t="str">
        <x:v>T-102</x:v>
      </x:c>
      <x:c r="B137" s="194" t="str">
        <x:v>N</x:v>
      </x:c>
      <x:c r="C137" s="194" t="str">
        <x:v>Must Precede (IDs only)</x:v>
      </x:c>
      <x:c r="D137" s="194" t="str">
        <x:v>T-110; T-136; T-187</x:v>
      </x:c>
      <x:c r="E137" s="194" t="str">
        <x:v>T-103; T-107; T-109; T-128; T-183</x:v>
      </x:c>
      <x:c r="F137" s="194" t="str">
        <x:v>Repair positional corruption using task-keyed baseline and approved edit dataset.</x:v>
      </x:c>
    </x:row>
    <x:row r="138" ht="70" customHeight="1">
      <x:c r="A138" s="194" t="str">
        <x:v>T-102</x:v>
      </x:c>
      <x:c r="B138" s="194" t="str">
        <x:v>AO</x:v>
      </x:c>
      <x:c r="C138" s="194" t="str">
        <x:v>Evidence State</x:v>
      </x:c>
      <x:c r="D138" s="194"/>
      <x:c r="E138" s="194" t="str">
        <x:v>Not started — no completion claimed</x:v>
      </x:c>
      <x:c r="F138" s="194" t="str">
        <x:v>Add explicit evidence / estimation provenance in repair revision.</x:v>
      </x:c>
    </x:row>
    <x:row r="139" ht="70" customHeight="1">
      <x:c r="A139" s="194" t="str">
        <x:v>T-102</x:v>
      </x:c>
      <x:c r="B139" s="194" t="str">
        <x:v>AP</x:v>
      </x:c>
      <x:c r="C139" s="194" t="str">
        <x:v>Closure Evidence Basis</x:v>
      </x:c>
      <x:c r="D139" s="194"/>
      <x:c r="E139" s="194" t="str">
        <x:v>Inherited v2.22.0 intended record; no new runtime certification in this repair.</x:v>
      </x:c>
      <x:c r="F139" s="194" t="str">
        <x:v>Add explicit evidence / estimation provenance in repair revision.</x:v>
      </x:c>
    </x:row>
    <x:row r="140" ht="70" customHeight="1">
      <x:c r="A140" s="194" t="str">
        <x:v>T-102</x:v>
      </x:c>
      <x:c r="B140" s="194" t="str">
        <x:v>AR</x:v>
      </x:c>
      <x:c r="C140" s="194" t="str">
        <x:v>Estimate Status</x:v>
      </x:c>
      <x:c r="D140" s="194"/>
      <x:c r="E140" s="194" t="str">
        <x:v>INHERITED ESTIMATE</x:v>
      </x:c>
      <x:c r="F140" s="194" t="str">
        <x:v>Add explicit evidence / estimation provenance in repair revision.</x:v>
      </x:c>
    </x:row>
    <x:row r="141" ht="70" customHeight="1">
      <x:c r="A141" s="194" t="str">
        <x:v>T-103</x:v>
      </x:c>
      <x:c r="B141" s="194" t="str">
        <x:v>M</x:v>
      </x:c>
      <x:c r="C141" s="194" t="str">
        <x:v>Depends On (IDs only)</x:v>
      </x:c>
      <x:c r="D141" s="194" t="str">
        <x:v>T-108; T-109</x:v>
      </x:c>
      <x:c r="E141" s="194" t="str">
        <x:v>T-095; T-102</x:v>
      </x:c>
      <x:c r="F141" s="194" t="str">
        <x:v>Repair positional corruption using task-keyed baseline and approved edit dataset.</x:v>
      </x:c>
    </x:row>
    <x:row r="142" ht="70" customHeight="1">
      <x:c r="A142" s="194" t="str">
        <x:v>T-103</x:v>
      </x:c>
      <x:c r="B142" s="194" t="str">
        <x:v>N</x:v>
      </x:c>
      <x:c r="C142" s="194" t="str">
        <x:v>Must Precede (IDs only)</x:v>
      </x:c>
      <x:c r="D142" s="194" t="str">
        <x:v>T-249</x:v>
      </x:c>
      <x:c r="E142" s="194" t="str">
        <x:v>T-107; T-109; T-128; T-183</x:v>
      </x:c>
      <x:c r="F142" s="194" t="str">
        <x:v>Repair positional corruption using task-keyed baseline and approved edit dataset.</x:v>
      </x:c>
    </x:row>
    <x:row r="143" ht="70" customHeight="1">
      <x:c r="A143" s="194" t="str">
        <x:v>T-103</x:v>
      </x:c>
      <x:c r="B143" s="194" t="str">
        <x:v>AO</x:v>
      </x:c>
      <x:c r="C143" s="194" t="str">
        <x:v>Evidence State</x:v>
      </x:c>
      <x:c r="D143" s="194"/>
      <x:c r="E143" s="194" t="str">
        <x:v>Not started — no completion claimed</x:v>
      </x:c>
      <x:c r="F143" s="194" t="str">
        <x:v>Add explicit evidence / estimation provenance in repair revision.</x:v>
      </x:c>
    </x:row>
    <x:row r="144" ht="70" customHeight="1">
      <x:c r="A144" s="194" t="str">
        <x:v>T-103</x:v>
      </x:c>
      <x:c r="B144" s="194" t="str">
        <x:v>AP</x:v>
      </x:c>
      <x:c r="C144" s="194" t="str">
        <x:v>Closure Evidence Basis</x:v>
      </x:c>
      <x:c r="D144" s="194"/>
      <x:c r="E144" s="194" t="str">
        <x:v>Inherited v2.22.0 intended record; no new runtime certification in this repair.</x:v>
      </x:c>
      <x:c r="F144" s="194" t="str">
        <x:v>Add explicit evidence / estimation provenance in repair revision.</x:v>
      </x:c>
    </x:row>
    <x:row r="145" ht="70" customHeight="1">
      <x:c r="A145" s="194" t="str">
        <x:v>T-103</x:v>
      </x:c>
      <x:c r="B145" s="194" t="str">
        <x:v>AR</x:v>
      </x:c>
      <x:c r="C145" s="194" t="str">
        <x:v>Estimate Status</x:v>
      </x:c>
      <x:c r="D145" s="194"/>
      <x:c r="E145" s="194" t="str">
        <x:v>INHERITED ESTIMATE</x:v>
      </x:c>
      <x:c r="F145" s="194" t="str">
        <x:v>Add explicit evidence / estimation provenance in repair revision.</x:v>
      </x:c>
    </x:row>
    <x:row r="146" ht="70" customHeight="1">
      <x:c r="A146" s="194" t="str">
        <x:v>T-104</x:v>
      </x:c>
      <x:c r="B146" s="194" t="str">
        <x:v>M</x:v>
      </x:c>
      <x:c r="C146" s="194" t="str">
        <x:v>Depends On (IDs only)</x:v>
      </x:c>
      <x:c r="D146" s="194" t="str">
        <x:v>T-201</x:v>
      </x:c>
      <x:c r="E146" s="194" t="str">
        <x:v>T-090; T-095; T-099; T-261</x:v>
      </x:c>
      <x:c r="F146" s="194" t="str">
        <x:v>Repair positional corruption using task-keyed baseline and approved edit dataset.</x:v>
      </x:c>
    </x:row>
    <x:row r="147" ht="70" customHeight="1">
      <x:c r="A147" s="194" t="str">
        <x:v>T-104</x:v>
      </x:c>
      <x:c r="B147" s="194" t="str">
        <x:v>N</x:v>
      </x:c>
      <x:c r="C147" s="194" t="str">
        <x:v>Must Precede (IDs only)</x:v>
      </x:c>
      <x:c r="D147" s="194" t="str">
        <x:v>T-150; T-224; T-247; T-254</x:v>
      </x:c>
      <x:c r="E147" s="194" t="str">
        <x:v>T-107; T-108; T-109; T-128; T-183; T-247</x:v>
      </x:c>
      <x:c r="F147" s="194" t="str">
        <x:v>Repair positional corruption using task-keyed baseline and approved edit dataset.</x:v>
      </x:c>
    </x:row>
    <x:row r="148" ht="70" customHeight="1">
      <x:c r="A148" s="194" t="str">
        <x:v>T-104</x:v>
      </x:c>
      <x:c r="B148" s="194" t="str">
        <x:v>AO</x:v>
      </x:c>
      <x:c r="C148" s="194" t="str">
        <x:v>Evidence State</x:v>
      </x:c>
      <x:c r="D148" s="194"/>
      <x:c r="E148" s="194" t="str">
        <x:v>Not started — no completion claimed</x:v>
      </x:c>
      <x:c r="F148" s="194" t="str">
        <x:v>Add explicit evidence / estimation provenance in repair revision.</x:v>
      </x:c>
    </x:row>
    <x:row r="149" ht="70" customHeight="1">
      <x:c r="A149" s="194" t="str">
        <x:v>T-104</x:v>
      </x:c>
      <x:c r="B149" s="194" t="str">
        <x:v>AP</x:v>
      </x:c>
      <x:c r="C149" s="194" t="str">
        <x:v>Closure Evidence Basis</x:v>
      </x:c>
      <x:c r="D149" s="194"/>
      <x:c r="E149" s="194" t="str">
        <x:v>Inherited v2.22.0 intended record; no new runtime certification in this repair.</x:v>
      </x:c>
      <x:c r="F149" s="194" t="str">
        <x:v>Add explicit evidence / estimation provenance in repair revision.</x:v>
      </x:c>
    </x:row>
    <x:row r="150" ht="70" customHeight="1">
      <x:c r="A150" s="194" t="str">
        <x:v>T-104</x:v>
      </x:c>
      <x:c r="B150" s="194" t="str">
        <x:v>AR</x:v>
      </x:c>
      <x:c r="C150" s="194" t="str">
        <x:v>Estimate Status</x:v>
      </x:c>
      <x:c r="D150" s="194"/>
      <x:c r="E150" s="194" t="str">
        <x:v>INHERITED ESTIMATE</x:v>
      </x:c>
      <x:c r="F150" s="194" t="str">
        <x:v>Add explicit evidence / estimation provenance in repair revision.</x:v>
      </x:c>
    </x:row>
    <x:row r="151" ht="70" customHeight="1">
      <x:c r="A151" s="194" t="str">
        <x:v>T-106</x:v>
      </x:c>
      <x:c r="B151" s="194" t="str">
        <x:v>J</x:v>
      </x:c>
      <x:c r="C151" s="194" t="str">
        <x:v>Hours</x:v>
      </x:c>
      <x:c r="D151" s="194" t="n">
        <x:v>16</x:v>
      </x:c>
      <x:c r="E151" s="194"/>
      <x:c r="F151" s="194" t="str">
        <x:v>Old estimate no longer represents enlarged scope; preserve prior value in Estimate Review.</x:v>
      </x:c>
    </x:row>
    <x:row r="152" ht="70" customHeight="1">
      <x:c r="A152" s="194" t="str">
        <x:v>T-106</x:v>
      </x:c>
      <x:c r="B152" s="194" t="str">
        <x:v>M</x:v>
      </x:c>
      <x:c r="C152" s="194" t="str">
        <x:v>Depends On (IDs only)</x:v>
      </x:c>
      <x:c r="D152" s="194" t="str">
        <x:v>T-202; T-210; T-211; T-092; T-234; T-235; T-236</x:v>
      </x:c>
      <x:c r="E152" s="194" t="str">
        <x:v>T-064; T-089; T-090; T-252</x:v>
      </x:c>
      <x:c r="F152" s="194" t="str">
        <x:v>Repair positional corruption using task-keyed baseline and approved edit dataset.</x:v>
      </x:c>
    </x:row>
    <x:row r="153" ht="70" customHeight="1">
      <x:c r="A153" s="194" t="str">
        <x:v>T-106</x:v>
      </x:c>
      <x:c r="B153" s="194" t="str">
        <x:v>N</x:v>
      </x:c>
      <x:c r="C153" s="194" t="str">
        <x:v>Must Precede (IDs only)</x:v>
      </x:c>
      <x:c r="D153" s="194" t="str">
        <x:v>T-150; T-247</x:v>
      </x:c>
      <x:c r="E153" s="194" t="str">
        <x:v>T-107; T-122; T-125; T-245; T-261; T-263</x:v>
      </x:c>
      <x:c r="F153" s="194" t="str">
        <x:v>Repair positional corruption using task-keyed baseline and approved edit dataset.</x:v>
      </x:c>
    </x:row>
    <x:row r="154" ht="70" customHeight="1">
      <x:c r="A154" s="194" t="str">
        <x:v>T-106</x:v>
      </x:c>
      <x:c r="B154" s="194" t="str">
        <x:v>R</x:v>
      </x:c>
      <x:c r="C154" s="194" t="str">
        <x:v>AI Guarded Time P80 (h)</x:v>
      </x:c>
      <x:c r="D154" s="194" t="n">
        <x:v>1.7999999999999998</x:v>
      </x:c>
      <x:c r="E154" s="194"/>
      <x:c r="F154" s="194" t="str">
        <x:v>Derived planning time is also invalid until re-estimated.</x:v>
      </x:c>
    </x:row>
    <x:row r="155" ht="70" customHeight="1">
      <x:c r="A155" s="194" t="str">
        <x:v>T-106</x:v>
      </x:c>
      <x:c r="B155" s="194" t="str">
        <x:v>AJ</x:v>
      </x:c>
      <x:c r="C155" s="194" t="str">
        <x:v>Estimate Basis</x:v>
      </x:c>
      <x:c r="D155" s="194" t="str">
        <x:v>Inherited estimate; scope changed — re-estimation required</x:v>
      </x:c>
      <x:c r="E155" s="194" t="str">
        <x:v>RE-ESTIMATE REQUIRED — prior Hours/P80 preserved in Estimate Review; not zero remaining effort.</x:v>
      </x:c>
      <x:c r="F155" s="194" t="str">
        <x:v>Prevent inflated confidence in inherited estimate.</x:v>
      </x:c>
    </x:row>
    <x:row r="156" ht="70" customHeight="1">
      <x:c r="A156" s="194" t="str">
        <x:v>T-106</x:v>
      </x:c>
      <x:c r="B156" s="194" t="str">
        <x:v>AM</x:v>
      </x:c>
      <x:c r="C156" s="194" t="str">
        <x:v>Has estimate</x:v>
      </x:c>
      <x:c r="D156" s="194" t="n">
        <x:v>1</x:v>
      </x:c>
      <x:c r="E156" s="194" t="n">
        <x:v>0</x:v>
      </x:c>
      <x:c r="F156" s="194" t="str">
        <x:v>Add explicit evidence / estimation provenance in repair revision.</x:v>
      </x:c>
    </x:row>
    <x:row r="157" ht="70" customHeight="1">
      <x:c r="A157" s="194" t="str">
        <x:v>T-106</x:v>
      </x:c>
      <x:c r="B157" s="194" t="str">
        <x:v>AO</x:v>
      </x:c>
      <x:c r="C157" s="194" t="str">
        <x:v>Evidence State</x:v>
      </x:c>
      <x:c r="D157" s="194"/>
      <x:c r="E157" s="194" t="str">
        <x:v>In progress — closure not recorded</x:v>
      </x:c>
      <x:c r="F157" s="194" t="str">
        <x:v>Add explicit evidence / estimation provenance in repair revision.</x:v>
      </x:c>
    </x:row>
    <x:row r="158" ht="70" customHeight="1">
      <x:c r="A158" s="194" t="str">
        <x:v>T-106</x:v>
      </x:c>
      <x:c r="B158" s="194" t="str">
        <x:v>AP</x:v>
      </x:c>
      <x:c r="C158" s="194" t="str">
        <x:v>Closure Evidence Basis</x:v>
      </x:c>
      <x:c r="D158" s="194"/>
      <x:c r="E158" s="194" t="str">
        <x:v>Inherited v2.22.0 intended record; no new runtime certification in this repair.</x:v>
      </x:c>
      <x:c r="F158" s="194" t="str">
        <x:v>Add explicit evidence / estimation provenance in repair revision.</x:v>
      </x:c>
    </x:row>
    <x:row r="159" ht="70" customHeight="1">
      <x:c r="A159" s="194" t="str">
        <x:v>T-106</x:v>
      </x:c>
      <x:c r="B159" s="194" t="str">
        <x:v>AR</x:v>
      </x:c>
      <x:c r="C159" s="194" t="str">
        <x:v>Estimate Status</x:v>
      </x:c>
      <x:c r="D159" s="194"/>
      <x:c r="E159" s="194" t="str">
        <x:v>RE-ESTIMATE REQUIRED</x:v>
      </x:c>
      <x:c r="F159" s="194" t="str">
        <x:v>Add explicit evidence / estimation provenance in repair revision.</x:v>
      </x:c>
    </x:row>
    <x:row r="160" ht="70" customHeight="1">
      <x:c r="A160" s="194" t="str">
        <x:v>T-107</x:v>
      </x:c>
      <x:c r="B160" s="194" t="str">
        <x:v>M</x:v>
      </x:c>
      <x:c r="C160" s="194" t="str">
        <x:v>Depends On (IDs only)</x:v>
      </x:c>
      <x:c r="D160" s="194" t="str">
        <x:v>T-201; T-206</x:v>
      </x:c>
      <x:c r="E160" s="194" t="str">
        <x:v>T-095; T-096; T-097; T-098; T-099; T-100; T-101; T-102; T-103; T-104; T-106</x:v>
      </x:c>
      <x:c r="F160" s="194" t="str">
        <x:v>Repair positional corruption using task-keyed baseline and approved edit dataset.</x:v>
      </x:c>
    </x:row>
    <x:row r="161" ht="70" customHeight="1">
      <x:c r="A161" s="194" t="str">
        <x:v>T-107</x:v>
      </x:c>
      <x:c r="B161" s="194" t="str">
        <x:v>N</x:v>
      </x:c>
      <x:c r="C161" s="194" t="str">
        <x:v>Must Precede (IDs only)</x:v>
      </x:c>
      <x:c r="D161" s="194" t="str">
        <x:v>T-227; T-247</x:v>
      </x:c>
      <x:c r="E161" s="194" t="str">
        <x:v>T-122; T-125; T-141; T-187; T-192</x:v>
      </x:c>
      <x:c r="F161" s="194" t="str">
        <x:v>Repair positional corruption using task-keyed baseline and approved edit dataset.</x:v>
      </x:c>
    </x:row>
    <x:row r="162" ht="70" customHeight="1">
      <x:c r="A162" s="194" t="str">
        <x:v>T-107</x:v>
      </x:c>
      <x:c r="B162" s="194" t="str">
        <x:v>AO</x:v>
      </x:c>
      <x:c r="C162" s="194" t="str">
        <x:v>Evidence State</x:v>
      </x:c>
      <x:c r="D162" s="194"/>
      <x:c r="E162" s="194" t="str">
        <x:v>Not started — no completion claimed</x:v>
      </x:c>
      <x:c r="F162" s="194" t="str">
        <x:v>Add explicit evidence / estimation provenance in repair revision.</x:v>
      </x:c>
    </x:row>
    <x:row r="163" ht="70" customHeight="1">
      <x:c r="A163" s="194" t="str">
        <x:v>T-107</x:v>
      </x:c>
      <x:c r="B163" s="194" t="str">
        <x:v>AP</x:v>
      </x:c>
      <x:c r="C163" s="194" t="str">
        <x:v>Closure Evidence Basis</x:v>
      </x:c>
      <x:c r="D163" s="194"/>
      <x:c r="E163" s="194" t="str">
        <x:v>Inherited v2.22.0 intended record; no new runtime certification in this repair.</x:v>
      </x:c>
      <x:c r="F163" s="194" t="str">
        <x:v>Add explicit evidence / estimation provenance in repair revision.</x:v>
      </x:c>
    </x:row>
    <x:row r="164" ht="70" customHeight="1">
      <x:c r="A164" s="194" t="str">
        <x:v>T-107</x:v>
      </x:c>
      <x:c r="B164" s="194" t="str">
        <x:v>AR</x:v>
      </x:c>
      <x:c r="C164" s="194" t="str">
        <x:v>Estimate Status</x:v>
      </x:c>
      <x:c r="D164" s="194"/>
      <x:c r="E164" s="194" t="str">
        <x:v>INHERITED ESTIMATE</x:v>
      </x:c>
      <x:c r="F164" s="194" t="str">
        <x:v>Add explicit evidence / estimation provenance in repair revision.</x:v>
      </x:c>
    </x:row>
    <x:row r="165" ht="70" customHeight="1">
      <x:c r="A165" s="194" t="str">
        <x:v>T-108</x:v>
      </x:c>
      <x:c r="B165" s="194" t="str">
        <x:v>J</x:v>
      </x:c>
      <x:c r="C165" s="194" t="str">
        <x:v>Hours</x:v>
      </x:c>
      <x:c r="D165" s="194" t="n">
        <x:v>8</x:v>
      </x:c>
      <x:c r="E165" s="194"/>
      <x:c r="F165" s="194" t="str">
        <x:v>Old estimate no longer represents enlarged scope; preserve prior value in Estimate Review.</x:v>
      </x:c>
    </x:row>
    <x:row r="166" ht="70" customHeight="1">
      <x:c r="A166" s="194" t="str">
        <x:v>T-108</x:v>
      </x:c>
      <x:c r="B166" s="194" t="str">
        <x:v>M</x:v>
      </x:c>
      <x:c r="C166" s="194" t="str">
        <x:v>Depends On (IDs only)</x:v>
      </x:c>
      <x:c r="D166" s="194" t="str">
        <x:v>T-207</x:v>
      </x:c>
      <x:c r="E166" s="194" t="str">
        <x:v>T-099; T-104</x:v>
      </x:c>
      <x:c r="F166" s="194" t="str">
        <x:v>Repair positional corruption using task-keyed baseline and approved edit dataset.</x:v>
      </x:c>
    </x:row>
    <x:row r="167" ht="70" customHeight="1">
      <x:c r="A167" s="194" t="str">
        <x:v>T-108</x:v>
      </x:c>
      <x:c r="B167" s="194" t="str">
        <x:v>N</x:v>
      </x:c>
      <x:c r="C167" s="194" t="str">
        <x:v>Must Precede (IDs only)</x:v>
      </x:c>
      <x:c r="D167" s="194" t="str">
        <x:v>T-153; T-225</x:v>
      </x:c>
      <x:c r="E167" s="194" t="str">
        <x:v>T-109; T-110; T-247</x:v>
      </x:c>
      <x:c r="F167" s="194" t="str">
        <x:v>Repair positional corruption using task-keyed baseline and approved edit dataset.</x:v>
      </x:c>
    </x:row>
    <x:row r="168" ht="70" customHeight="1">
      <x:c r="A168" s="194" t="str">
        <x:v>T-108</x:v>
      </x:c>
      <x:c r="B168" s="194" t="str">
        <x:v>R</x:v>
      </x:c>
      <x:c r="C168" s="194" t="str">
        <x:v>AI Guarded Time P80 (h)</x:v>
      </x:c>
      <x:c r="D168" s="194" t="n">
        <x:v>1.2000000000000002</x:v>
      </x:c>
      <x:c r="E168" s="194"/>
      <x:c r="F168" s="194" t="str">
        <x:v>Derived planning time is also invalid until re-estimated.</x:v>
      </x:c>
    </x:row>
    <x:row r="169" ht="70" customHeight="1">
      <x:c r="A169" s="194" t="str">
        <x:v>T-108</x:v>
      </x:c>
      <x:c r="B169" s="194" t="str">
        <x:v>AJ</x:v>
      </x:c>
      <x:c r="C169" s="194" t="str">
        <x:v>Estimate Basis</x:v>
      </x:c>
      <x:c r="D169" s="194" t="str">
        <x:v>Inherited estimate; scope changed — re-estimation required</x:v>
      </x:c>
      <x:c r="E169" s="194" t="str">
        <x:v>RE-ESTIMATE REQUIRED — prior Hours/P80 preserved in Estimate Review; not zero remaining effort.</x:v>
      </x:c>
      <x:c r="F169" s="194" t="str">
        <x:v>Prevent inflated confidence in inherited estimate.</x:v>
      </x:c>
    </x:row>
    <x:row r="170" ht="70" customHeight="1">
      <x:c r="A170" s="194" t="str">
        <x:v>T-108</x:v>
      </x:c>
      <x:c r="B170" s="194" t="str">
        <x:v>AM</x:v>
      </x:c>
      <x:c r="C170" s="194" t="str">
        <x:v>Has estimate</x:v>
      </x:c>
      <x:c r="D170" s="194" t="n">
        <x:v>1</x:v>
      </x:c>
      <x:c r="E170" s="194" t="n">
        <x:v>0</x:v>
      </x:c>
      <x:c r="F170" s="194" t="str">
        <x:v>Add explicit evidence / estimation provenance in repair revision.</x:v>
      </x:c>
    </x:row>
    <x:row r="171" ht="70" customHeight="1">
      <x:c r="A171" s="194" t="str">
        <x:v>T-108</x:v>
      </x:c>
      <x:c r="B171" s="194" t="str">
        <x:v>AO</x:v>
      </x:c>
      <x:c r="C171" s="194" t="str">
        <x:v>Evidence State</x:v>
      </x:c>
      <x:c r="D171" s="194"/>
      <x:c r="E171" s="194" t="str">
        <x:v>Not started — no completion claimed</x:v>
      </x:c>
      <x:c r="F171" s="194" t="str">
        <x:v>Add explicit evidence / estimation provenance in repair revision.</x:v>
      </x:c>
    </x:row>
    <x:row r="172" ht="70" customHeight="1">
      <x:c r="A172" s="194" t="str">
        <x:v>T-108</x:v>
      </x:c>
      <x:c r="B172" s="194" t="str">
        <x:v>AP</x:v>
      </x:c>
      <x:c r="C172" s="194" t="str">
        <x:v>Closure Evidence Basis</x:v>
      </x:c>
      <x:c r="D172" s="194"/>
      <x:c r="E172" s="194" t="str">
        <x:v>Inherited v2.22.0 intended record; no new runtime certification in this repair.</x:v>
      </x:c>
      <x:c r="F172" s="194" t="str">
        <x:v>Add explicit evidence / estimation provenance in repair revision.</x:v>
      </x:c>
    </x:row>
    <x:row r="173" ht="70" customHeight="1">
      <x:c r="A173" s="194" t="str">
        <x:v>T-108</x:v>
      </x:c>
      <x:c r="B173" s="194" t="str">
        <x:v>AR</x:v>
      </x:c>
      <x:c r="C173" s="194" t="str">
        <x:v>Estimate Status</x:v>
      </x:c>
      <x:c r="D173" s="194"/>
      <x:c r="E173" s="194" t="str">
        <x:v>RE-ESTIMATE REQUIRED</x:v>
      </x:c>
      <x:c r="F173" s="194" t="str">
        <x:v>Add explicit evidence / estimation provenance in repair revision.</x:v>
      </x:c>
    </x:row>
    <x:row r="174" ht="70" customHeight="1">
      <x:c r="A174" s="194" t="str">
        <x:v>T-109</x:v>
      </x:c>
      <x:c r="B174" s="194" t="str">
        <x:v>M</x:v>
      </x:c>
      <x:c r="C174" s="194" t="str">
        <x:v>Depends On (IDs only)</x:v>
      </x:c>
      <x:c r="D174" s="194" t="str">
        <x:v>T-224</x:v>
      </x:c>
      <x:c r="E174" s="194" t="str">
        <x:v>T-095; T-096; T-097; T-098; T-099; T-100; T-101; T-102; T-103; T-104; T-108</x:v>
      </x:c>
      <x:c r="F174" s="194" t="str">
        <x:v>Repair positional corruption using task-keyed baseline and approved edit dataset.</x:v>
      </x:c>
    </x:row>
    <x:row r="175" ht="70" customHeight="1">
      <x:c r="A175" s="194" t="str">
        <x:v>T-109</x:v>
      </x:c>
      <x:c r="B175" s="194" t="str">
        <x:v>N</x:v>
      </x:c>
      <x:c r="C175" s="194" t="str">
        <x:v>Must Precede (IDs only)</x:v>
      </x:c>
      <x:c r="D175" s="194" t="str">
        <x:v>T-153; T-226</x:v>
      </x:c>
      <x:c r="E175" s="194" t="str">
        <x:v>T-110; T-136; T-187</x:v>
      </x:c>
      <x:c r="F175" s="194" t="str">
        <x:v>Repair positional corruption using task-keyed baseline and approved edit dataset.</x:v>
      </x:c>
    </x:row>
    <x:row r="176" ht="70" customHeight="1">
      <x:c r="A176" s="194" t="str">
        <x:v>T-109</x:v>
      </x:c>
      <x:c r="B176" s="194" t="str">
        <x:v>AO</x:v>
      </x:c>
      <x:c r="C176" s="194" t="str">
        <x:v>Evidence State</x:v>
      </x:c>
      <x:c r="D176" s="194"/>
      <x:c r="E176" s="194" t="str">
        <x:v>Not started — no completion claimed</x:v>
      </x:c>
      <x:c r="F176" s="194" t="str">
        <x:v>Add explicit evidence / estimation provenance in repair revision.</x:v>
      </x:c>
    </x:row>
    <x:row r="177" ht="70" customHeight="1">
      <x:c r="A177" s="194" t="str">
        <x:v>T-109</x:v>
      </x:c>
      <x:c r="B177" s="194" t="str">
        <x:v>AP</x:v>
      </x:c>
      <x:c r="C177" s="194" t="str">
        <x:v>Closure Evidence Basis</x:v>
      </x:c>
      <x:c r="D177" s="194"/>
      <x:c r="E177" s="194" t="str">
        <x:v>Inherited v2.22.0 intended record; no new runtime certification in this repair.</x:v>
      </x:c>
      <x:c r="F177" s="194" t="str">
        <x:v>Add explicit evidence / estimation provenance in repair revision.</x:v>
      </x:c>
    </x:row>
    <x:row r="178" ht="70" customHeight="1">
      <x:c r="A178" s="194" t="str">
        <x:v>T-109</x:v>
      </x:c>
      <x:c r="B178" s="194" t="str">
        <x:v>AR</x:v>
      </x:c>
      <x:c r="C178" s="194" t="str">
        <x:v>Estimate Status</x:v>
      </x:c>
      <x:c r="D178" s="194"/>
      <x:c r="E178" s="194" t="str">
        <x:v>INHERITED ESTIMATE</x:v>
      </x:c>
      <x:c r="F178" s="194" t="str">
        <x:v>Add explicit evidence / estimation provenance in repair revision.</x:v>
      </x:c>
    </x:row>
    <x:row r="179" ht="70" customHeight="1">
      <x:c r="A179" s="194" t="str">
        <x:v>T-207</x:v>
      </x:c>
      <x:c r="B179" s="194" t="str">
        <x:v>M</x:v>
      </x:c>
      <x:c r="C179" s="194" t="str">
        <x:v>Depends On (IDs only)</x:v>
      </x:c>
      <x:c r="D179" s="194" t="str">
        <x:v>T-225; T-233</x:v>
      </x:c>
      <x:c r="E179" s="194" t="str">
        <x:v>T-201</x:v>
      </x:c>
      <x:c r="F179" s="194" t="str">
        <x:v>Repair positional corruption using task-keyed baseline and approved edit dataset.</x:v>
      </x:c>
    </x:row>
    <x:row r="180" ht="70" customHeight="1">
      <x:c r="A180" s="194" t="str">
        <x:v>T-207</x:v>
      </x:c>
      <x:c r="B180" s="194" t="str">
        <x:v>N</x:v>
      </x:c>
      <x:c r="C180" s="194" t="str">
        <x:v>Must Precede (IDs only)</x:v>
      </x:c>
      <x:c r="D180" s="194" t="str">
        <x:v>T-150; T-153</x:v>
      </x:c>
      <x:c r="E180" s="194" t="str">
        <x:v>T-150; T-224; T-247; T-254</x:v>
      </x:c>
      <x:c r="F180" s="194" t="str">
        <x:v>Repair positional corruption using task-keyed baseline and approved edit dataset.</x:v>
      </x:c>
    </x:row>
    <x:row r="181" ht="70" customHeight="1">
      <x:c r="A181" s="194" t="str">
        <x:v>T-207</x:v>
      </x:c>
      <x:c r="B181" s="194" t="str">
        <x:v>AO</x:v>
      </x:c>
      <x:c r="C181" s="194" t="str">
        <x:v>Evidence State</x:v>
      </x:c>
      <x:c r="D181" s="194"/>
      <x:c r="E181" s="194" t="str">
        <x:v>Recorded closed — inherited evidence</x:v>
      </x:c>
      <x:c r="F181" s="194" t="str">
        <x:v>Add explicit evidence / estimation provenance in repair revision.</x:v>
      </x:c>
    </x:row>
    <x:row r="182" ht="70" customHeight="1">
      <x:c r="A182" s="194" t="str">
        <x:v>T-207</x:v>
      </x:c>
      <x:c r="B182" s="194" t="str">
        <x:v>AP</x:v>
      </x:c>
      <x:c r="C182" s="194" t="str">
        <x:v>Closure Evidence Basis</x:v>
      </x:c>
      <x:c r="D182" s="194"/>
      <x:c r="E182" s="194" t="str">
        <x:v>Inherited v2.22.0 intended record; no new runtime certification in this repair.</x:v>
      </x:c>
      <x:c r="F182" s="194" t="str">
        <x:v>Add explicit evidence / estimation provenance in repair revision.</x:v>
      </x:c>
    </x:row>
    <x:row r="183" ht="70" customHeight="1">
      <x:c r="A183" s="194" t="str">
        <x:v>T-207</x:v>
      </x:c>
      <x:c r="B183" s="194" t="str">
        <x:v>AR</x:v>
      </x:c>
      <x:c r="C183" s="194" t="str">
        <x:v>Estimate Status</x:v>
      </x:c>
      <x:c r="D183" s="194"/>
      <x:c r="E183" s="194" t="str">
        <x:v>INHERITED ESTIMATE</x:v>
      </x:c>
      <x:c r="F183" s="194" t="str">
        <x:v>Add explicit evidence / estimation provenance in repair revision.</x:v>
      </x:c>
    </x:row>
    <x:row r="184" ht="70" customHeight="1">
      <x:c r="A184" s="194" t="str">
        <x:v>T-212</x:v>
      </x:c>
      <x:c r="B184" s="194" t="str">
        <x:v>M</x:v>
      </x:c>
      <x:c r="C184" s="194" t="str">
        <x:v>Depends On (IDs only)</x:v>
      </x:c>
      <x:c r="D184" s="194" t="str">
        <x:v>T-090; T-231; T-214</x:v>
      </x:c>
      <x:c r="E184" s="194" t="str">
        <x:v>T-202; T-210; T-211; T-092; T-234; T-235; T-236</x:v>
      </x:c>
      <x:c r="F184" s="194" t="str">
        <x:v>Repair positional corruption using task-keyed baseline and approved edit dataset.</x:v>
      </x:c>
    </x:row>
    <x:row r="185" ht="70" customHeight="1">
      <x:c r="A185" s="194" t="str">
        <x:v>T-212</x:v>
      </x:c>
      <x:c r="B185" s="194" t="str">
        <x:v>N</x:v>
      </x:c>
      <x:c r="C185" s="194" t="str">
        <x:v>Must Precede (IDs only)</x:v>
      </x:c>
      <x:c r="D185" s="194" t="str">
        <x:v>T-215</x:v>
      </x:c>
      <x:c r="E185" s="194" t="str">
        <x:v>T-150; T-247</x:v>
      </x:c>
      <x:c r="F185" s="194" t="str">
        <x:v>Repair positional corruption using task-keyed baseline and approved edit dataset.</x:v>
      </x:c>
    </x:row>
    <x:row r="186" ht="70" customHeight="1">
      <x:c r="A186" s="194" t="str">
        <x:v>T-212</x:v>
      </x:c>
      <x:c r="B186" s="194" t="str">
        <x:v>AO</x:v>
      </x:c>
      <x:c r="C186" s="194" t="str">
        <x:v>Evidence State</x:v>
      </x:c>
      <x:c r="D186" s="194"/>
      <x:c r="E186" s="194" t="str">
        <x:v>Not started — no completion claimed</x:v>
      </x:c>
      <x:c r="F186" s="194" t="str">
        <x:v>Add explicit evidence / estimation provenance in repair revision.</x:v>
      </x:c>
    </x:row>
    <x:row r="187" ht="70" customHeight="1">
      <x:c r="A187" s="194" t="str">
        <x:v>T-212</x:v>
      </x:c>
      <x:c r="B187" s="194" t="str">
        <x:v>AP</x:v>
      </x:c>
      <x:c r="C187" s="194" t="str">
        <x:v>Closure Evidence Basis</x:v>
      </x:c>
      <x:c r="D187" s="194"/>
      <x:c r="E187" s="194" t="str">
        <x:v>Inherited v2.22.0 intended record; no new runtime certification in this repair.</x:v>
      </x:c>
      <x:c r="F187" s="194" t="str">
        <x:v>Add explicit evidence / estimation provenance in repair revision.</x:v>
      </x:c>
    </x:row>
    <x:row r="188" ht="70" customHeight="1">
      <x:c r="A188" s="194" t="str">
        <x:v>T-212</x:v>
      </x:c>
      <x:c r="B188" s="194" t="str">
        <x:v>AR</x:v>
      </x:c>
      <x:c r="C188" s="194" t="str">
        <x:v>Estimate Status</x:v>
      </x:c>
      <x:c r="D188" s="194"/>
      <x:c r="E188" s="194" t="str">
        <x:v>INHERITED ESTIMATE</x:v>
      </x:c>
      <x:c r="F188" s="194" t="str">
        <x:v>Add explicit evidence / estimation provenance in repair revision.</x:v>
      </x:c>
    </x:row>
    <x:row r="189" ht="70" customHeight="1">
      <x:c r="A189" s="194" t="str">
        <x:v>T-213</x:v>
      </x:c>
      <x:c r="B189" s="194" t="str">
        <x:v>M</x:v>
      </x:c>
      <x:c r="C189" s="194" t="str">
        <x:v>Depends On (IDs only)</x:v>
      </x:c>
      <x:c r="D189" s="194" t="str">
        <x:v>T-087; T-090; T-216</x:v>
      </x:c>
      <x:c r="E189" s="194" t="str">
        <x:v>T-201; T-206</x:v>
      </x:c>
      <x:c r="F189" s="194" t="str">
        <x:v>Repair positional corruption using task-keyed baseline and approved edit dataset.</x:v>
      </x:c>
    </x:row>
    <x:row r="190" ht="70" customHeight="1">
      <x:c r="A190" s="194" t="str">
        <x:v>T-213</x:v>
      </x:c>
      <x:c r="B190" s="194" t="str">
        <x:v>N</x:v>
      </x:c>
      <x:c r="C190" s="194" t="str">
        <x:v>Must Precede (IDs only)</x:v>
      </x:c>
      <x:c r="D190" s="194" t="str">
        <x:v>T-221; T-226</x:v>
      </x:c>
      <x:c r="E190" s="194" t="str">
        <x:v>T-227; T-247</x:v>
      </x:c>
      <x:c r="F190" s="194" t="str">
        <x:v>Repair positional corruption using task-keyed baseline and approved edit dataset.</x:v>
      </x:c>
    </x:row>
    <x:row r="191" ht="70" customHeight="1">
      <x:c r="A191" s="194" t="str">
        <x:v>T-213</x:v>
      </x:c>
      <x:c r="B191" s="194" t="str">
        <x:v>AO</x:v>
      </x:c>
      <x:c r="C191" s="194" t="str">
        <x:v>Evidence State</x:v>
      </x:c>
      <x:c r="D191" s="194"/>
      <x:c r="E191" s="194" t="str">
        <x:v>Recorded closed — inherited evidence</x:v>
      </x:c>
      <x:c r="F191" s="194" t="str">
        <x:v>Add explicit evidence / estimation provenance in repair revision.</x:v>
      </x:c>
    </x:row>
    <x:row r="192" ht="70" customHeight="1">
      <x:c r="A192" s="194" t="str">
        <x:v>T-213</x:v>
      </x:c>
      <x:c r="B192" s="194" t="str">
        <x:v>AP</x:v>
      </x:c>
      <x:c r="C192" s="194" t="str">
        <x:v>Closure Evidence Basis</x:v>
      </x:c>
      <x:c r="D192" s="194"/>
      <x:c r="E192" s="194" t="str">
        <x:v>Inherited v2.22.0 intended record; no new runtime certification in this repair.</x:v>
      </x:c>
      <x:c r="F192" s="194" t="str">
        <x:v>Add explicit evidence / estimation provenance in repair revision.</x:v>
      </x:c>
    </x:row>
    <x:row r="193" ht="70" customHeight="1">
      <x:c r="A193" s="194" t="str">
        <x:v>T-213</x:v>
      </x:c>
      <x:c r="B193" s="194" t="str">
        <x:v>AR</x:v>
      </x:c>
      <x:c r="C193" s="194" t="str">
        <x:v>Estimate Status</x:v>
      </x:c>
      <x:c r="D193" s="194"/>
      <x:c r="E193" s="194" t="str">
        <x:v>INHERITED ESTIMATE</x:v>
      </x:c>
      <x:c r="F193" s="194" t="str">
        <x:v>Add explicit evidence / estimation provenance in repair revision.</x:v>
      </x:c>
    </x:row>
    <x:row r="194" ht="70" customHeight="1">
      <x:c r="A194" s="194" t="str">
        <x:v>T-224</x:v>
      </x:c>
      <x:c r="B194" s="194" t="str">
        <x:v>M</x:v>
      </x:c>
      <x:c r="C194" s="194" t="str">
        <x:v>Depends On (IDs only)</x:v>
      </x:c>
      <x:c r="D194" s="194" t="str">
        <x:v>T-090; T-231; T-234</x:v>
      </x:c>
      <x:c r="E194" s="194" t="str">
        <x:v>T-207</x:v>
      </x:c>
      <x:c r="F194" s="194" t="str">
        <x:v>Repair positional corruption using task-keyed baseline and approved edit dataset.</x:v>
      </x:c>
    </x:row>
    <x:row r="195" ht="70" customHeight="1">
      <x:c r="A195" s="194" t="str">
        <x:v>T-224</x:v>
      </x:c>
      <x:c r="B195" s="194" t="str">
        <x:v>N</x:v>
      </x:c>
      <x:c r="C195" s="194" t="str">
        <x:v>Must Precede (IDs only)</x:v>
      </x:c>
      <x:c r="D195" s="194" t="str">
        <x:v>T-164; T-212; T-237; T-247</x:v>
      </x:c>
      <x:c r="E195" s="194" t="str">
        <x:v>T-153; T-225</x:v>
      </x:c>
      <x:c r="F195" s="194" t="str">
        <x:v>Repair positional corruption using task-keyed baseline and approved edit dataset.</x:v>
      </x:c>
    </x:row>
    <x:row r="196" ht="70" customHeight="1">
      <x:c r="A196" s="194" t="str">
        <x:v>T-224</x:v>
      </x:c>
      <x:c r="B196" s="194" t="str">
        <x:v>AO</x:v>
      </x:c>
      <x:c r="C196" s="194" t="str">
        <x:v>Evidence State</x:v>
      </x:c>
      <x:c r="D196" s="194"/>
      <x:c r="E196" s="194" t="str">
        <x:v>Not started — no completion claimed</x:v>
      </x:c>
      <x:c r="F196" s="194" t="str">
        <x:v>Add explicit evidence / estimation provenance in repair revision.</x:v>
      </x:c>
    </x:row>
    <x:row r="197" ht="70" customHeight="1">
      <x:c r="A197" s="194" t="str">
        <x:v>T-224</x:v>
      </x:c>
      <x:c r="B197" s="194" t="str">
        <x:v>AP</x:v>
      </x:c>
      <x:c r="C197" s="194" t="str">
        <x:v>Closure Evidence Basis</x:v>
      </x:c>
      <x:c r="D197" s="194"/>
      <x:c r="E197" s="194" t="str">
        <x:v>Inherited v2.22.0 intended record; no new runtime certification in this repair.</x:v>
      </x:c>
      <x:c r="F197" s="194" t="str">
        <x:v>Add explicit evidence / estimation provenance in repair revision.</x:v>
      </x:c>
    </x:row>
    <x:row r="198" ht="70" customHeight="1">
      <x:c r="A198" s="194" t="str">
        <x:v>T-224</x:v>
      </x:c>
      <x:c r="B198" s="194" t="str">
        <x:v>AR</x:v>
      </x:c>
      <x:c r="C198" s="194" t="str">
        <x:v>Estimate Status</x:v>
      </x:c>
      <x:c r="D198" s="194"/>
      <x:c r="E198" s="194" t="str">
        <x:v>INHERITED ESTIMATE</x:v>
      </x:c>
      <x:c r="F198" s="194" t="str">
        <x:v>Add explicit evidence / estimation provenance in repair revision.</x:v>
      </x:c>
    </x:row>
    <x:row r="199" ht="70" customHeight="1">
      <x:c r="A199" s="194" t="str">
        <x:v>T-225</x:v>
      </x:c>
      <x:c r="B199" s="194" t="str">
        <x:v>M</x:v>
      </x:c>
      <x:c r="C199" s="194" t="str">
        <x:v>Depends On (IDs only)</x:v>
      </x:c>
      <x:c r="D199" s="194" t="str">
        <x:v>T-032; T-201</x:v>
      </x:c>
      <x:c r="E199" s="194" t="str">
        <x:v>T-224</x:v>
      </x:c>
      <x:c r="F199" s="194" t="str">
        <x:v>Repair positional corruption using task-keyed baseline and approved edit dataset.</x:v>
      </x:c>
    </x:row>
    <x:row r="200" ht="70" customHeight="1">
      <x:c r="A200" s="194" t="str">
        <x:v>T-225</x:v>
      </x:c>
      <x:c r="B200" s="194" t="str">
        <x:v>N</x:v>
      </x:c>
      <x:c r="C200" s="194" t="str">
        <x:v>Must Precede (IDs only)</x:v>
      </x:c>
      <x:c r="D200" s="194" t="str">
        <x:v>T-242; T-243; T-247; T-248; T-253; T-261</x:v>
      </x:c>
      <x:c r="E200" s="194" t="str">
        <x:v>T-153; T-226</x:v>
      </x:c>
      <x:c r="F200" s="194" t="str">
        <x:v>Repair positional corruption using task-keyed baseline and approved edit dataset.</x:v>
      </x:c>
    </x:row>
    <x:row r="201" ht="70" customHeight="1">
      <x:c r="A201" s="194" t="str">
        <x:v>T-225</x:v>
      </x:c>
      <x:c r="B201" s="194" t="str">
        <x:v>AO</x:v>
      </x:c>
      <x:c r="C201" s="194" t="str">
        <x:v>Evidence State</x:v>
      </x:c>
      <x:c r="D201" s="194"/>
      <x:c r="E201" s="194" t="str">
        <x:v>Not started — no completion claimed</x:v>
      </x:c>
      <x:c r="F201" s="194" t="str">
        <x:v>Add explicit evidence / estimation provenance in repair revision.</x:v>
      </x:c>
    </x:row>
    <x:row r="202" ht="70" customHeight="1">
      <x:c r="A202" s="194" t="str">
        <x:v>T-225</x:v>
      </x:c>
      <x:c r="B202" s="194" t="str">
        <x:v>AP</x:v>
      </x:c>
      <x:c r="C202" s="194" t="str">
        <x:v>Closure Evidence Basis</x:v>
      </x:c>
      <x:c r="D202" s="194"/>
      <x:c r="E202" s="194" t="str">
        <x:v>Inherited v2.22.0 intended record; no new runtime certification in this repair.</x:v>
      </x:c>
      <x:c r="F202" s="194" t="str">
        <x:v>Add explicit evidence / estimation provenance in repair revision.</x:v>
      </x:c>
    </x:row>
    <x:row r="203" ht="70" customHeight="1">
      <x:c r="A203" s="194" t="str">
        <x:v>T-225</x:v>
      </x:c>
      <x:c r="B203" s="194" t="str">
        <x:v>AR</x:v>
      </x:c>
      <x:c r="C203" s="194" t="str">
        <x:v>Estimate Status</x:v>
      </x:c>
      <x:c r="D203" s="194"/>
      <x:c r="E203" s="194" t="str">
        <x:v>INHERITED ESTIMATE</x:v>
      </x:c>
      <x:c r="F203" s="194" t="str">
        <x:v>Add explicit evidence / estimation provenance in repair revision.</x:v>
      </x:c>
    </x:row>
    <x:row r="204" ht="70" customHeight="1">
      <x:c r="A204" s="194" t="str">
        <x:v>T-226</x:v>
      </x:c>
      <x:c r="B204" s="194" t="str">
        <x:v>M</x:v>
      </x:c>
      <x:c r="C204" s="194" t="str">
        <x:v>Depends On (IDs only)</x:v>
      </x:c>
      <x:c r="D204" s="194" t="str">
        <x:v>T-241; T-210</x:v>
      </x:c>
      <x:c r="E204" s="194" t="str">
        <x:v>T-225; T-233</x:v>
      </x:c>
      <x:c r="F204" s="194" t="str">
        <x:v>Repair positional corruption using task-keyed baseline and approved edit dataset.</x:v>
      </x:c>
    </x:row>
    <x:row r="205" ht="70" customHeight="1">
      <x:c r="A205" s="194" t="str">
        <x:v>T-226</x:v>
      </x:c>
      <x:c r="B205" s="194" t="str">
        <x:v>N</x:v>
      </x:c>
      <x:c r="C205" s="194" t="str">
        <x:v>Must Precede (IDs only)</x:v>
      </x:c>
      <x:c r="D205" s="194" t="str">
        <x:v>T-243; T-247; T-261</x:v>
      </x:c>
      <x:c r="E205" s="194" t="str">
        <x:v>T-150; T-153</x:v>
      </x:c>
      <x:c r="F205" s="194" t="str">
        <x:v>Repair positional corruption using task-keyed baseline and approved edit dataset.</x:v>
      </x:c>
    </x:row>
    <x:row r="206" ht="70" customHeight="1">
      <x:c r="A206" s="194" t="str">
        <x:v>T-226</x:v>
      </x:c>
      <x:c r="B206" s="194" t="str">
        <x:v>AO</x:v>
      </x:c>
      <x:c r="C206" s="194" t="str">
        <x:v>Evidence State</x:v>
      </x:c>
      <x:c r="D206" s="194"/>
      <x:c r="E206" s="194" t="str">
        <x:v>Not started — no completion claimed</x:v>
      </x:c>
      <x:c r="F206" s="194" t="str">
        <x:v>Add explicit evidence / estimation provenance in repair revision.</x:v>
      </x:c>
    </x:row>
    <x:row r="207" ht="70" customHeight="1">
      <x:c r="A207" s="194" t="str">
        <x:v>T-226</x:v>
      </x:c>
      <x:c r="B207" s="194" t="str">
        <x:v>AP</x:v>
      </x:c>
      <x:c r="C207" s="194" t="str">
        <x:v>Closure Evidence Basis</x:v>
      </x:c>
      <x:c r="D207" s="194"/>
      <x:c r="E207" s="194" t="str">
        <x:v>Inherited v2.22.0 intended record; no new runtime certification in this repair.</x:v>
      </x:c>
      <x:c r="F207" s="194" t="str">
        <x:v>Add explicit evidence / estimation provenance in repair revision.</x:v>
      </x:c>
    </x:row>
    <x:row r="208" ht="70" customHeight="1">
      <x:c r="A208" s="194" t="str">
        <x:v>T-226</x:v>
      </x:c>
      <x:c r="B208" s="194" t="str">
        <x:v>AR</x:v>
      </x:c>
      <x:c r="C208" s="194" t="str">
        <x:v>Estimate Status</x:v>
      </x:c>
      <x:c r="D208" s="194"/>
      <x:c r="E208" s="194" t="str">
        <x:v>INHERITED ESTIMATE</x:v>
      </x:c>
      <x:c r="F208" s="194" t="str">
        <x:v>Add explicit evidence / estimation provenance in repair revision.</x:v>
      </x:c>
    </x:row>
    <x:row r="209" ht="70" customHeight="1">
      <x:c r="A209" s="194" t="str">
        <x:v>T-232</x:v>
      </x:c>
      <x:c r="B209" s="194" t="str">
        <x:v>M</x:v>
      </x:c>
      <x:c r="C209" s="194" t="str">
        <x:v>Depends On (IDs only)</x:v>
      </x:c>
      <x:c r="D209" s="194" t="str">
        <x:v>T-241; T-242; T-089; T-090; T-253</x:v>
      </x:c>
      <x:c r="E209" s="194" t="str">
        <x:v>T-090; T-231; T-214</x:v>
      </x:c>
      <x:c r="F209" s="194" t="str">
        <x:v>Repair positional corruption using task-keyed baseline and approved edit dataset.</x:v>
      </x:c>
    </x:row>
    <x:row r="210" ht="70" customHeight="1">
      <x:c r="A210" s="194" t="str">
        <x:v>T-232</x:v>
      </x:c>
      <x:c r="B210" s="194" t="str">
        <x:v>N</x:v>
      </x:c>
      <x:c r="C210" s="194" t="str">
        <x:v>Must Precede (IDs only)</x:v>
      </x:c>
      <x:c r="D210" s="194" t="str">
        <x:v>T-245; T-246; T-247; T-248; T-261; T-262</x:v>
      </x:c>
      <x:c r="E210" s="194" t="str">
        <x:v>T-215</x:v>
      </x:c>
      <x:c r="F210" s="194" t="str">
        <x:v>Repair positional corruption using task-keyed baseline and approved edit dataset.</x:v>
      </x:c>
    </x:row>
    <x:row r="211" ht="70" customHeight="1">
      <x:c r="A211" s="194" t="str">
        <x:v>T-232</x:v>
      </x:c>
      <x:c r="B211" s="194" t="str">
        <x:v>AO</x:v>
      </x:c>
      <x:c r="C211" s="194" t="str">
        <x:v>Evidence State</x:v>
      </x:c>
      <x:c r="D211" s="194"/>
      <x:c r="E211" s="194" t="str">
        <x:v>Not started — no completion claimed</x:v>
      </x:c>
      <x:c r="F211" s="194" t="str">
        <x:v>Add explicit evidence / estimation provenance in repair revision.</x:v>
      </x:c>
    </x:row>
    <x:row r="212" ht="70" customHeight="1">
      <x:c r="A212" s="194" t="str">
        <x:v>T-232</x:v>
      </x:c>
      <x:c r="B212" s="194" t="str">
        <x:v>AP</x:v>
      </x:c>
      <x:c r="C212" s="194" t="str">
        <x:v>Closure Evidence Basis</x:v>
      </x:c>
      <x:c r="D212" s="194"/>
      <x:c r="E212" s="194" t="str">
        <x:v>Inherited v2.22.0 intended record; no new runtime certification in this repair.</x:v>
      </x:c>
      <x:c r="F212" s="194" t="str">
        <x:v>Add explicit evidence / estimation provenance in repair revision.</x:v>
      </x:c>
    </x:row>
    <x:row r="213" ht="70" customHeight="1">
      <x:c r="A213" s="194" t="str">
        <x:v>T-232</x:v>
      </x:c>
      <x:c r="B213" s="194" t="str">
        <x:v>AR</x:v>
      </x:c>
      <x:c r="C213" s="194" t="str">
        <x:v>Estimate Status</x:v>
      </x:c>
      <x:c r="D213" s="194"/>
      <x:c r="E213" s="194" t="str">
        <x:v>INHERITED ESTIMATE</x:v>
      </x:c>
      <x:c r="F213" s="194" t="str">
        <x:v>Add explicit evidence / estimation provenance in repair revision.</x:v>
      </x:c>
    </x:row>
    <x:row r="214" ht="70" customHeight="1">
      <x:c r="A214" s="194" t="str">
        <x:v>T-233</x:v>
      </x:c>
      <x:c r="B214" s="194" t="str">
        <x:v>M</x:v>
      </x:c>
      <x:c r="C214" s="194" t="str">
        <x:v>Depends On (IDs only)</x:v>
      </x:c>
      <x:c r="D214" s="194" t="str">
        <x:v>T-035; T-036; T-089; T-090</x:v>
      </x:c>
      <x:c r="E214" s="194" t="str">
        <x:v>T-087; T-090; T-216</x:v>
      </x:c>
      <x:c r="F214" s="194" t="str">
        <x:v>Repair positional corruption using task-keyed baseline and approved edit dataset.</x:v>
      </x:c>
    </x:row>
    <x:row r="215" ht="70" customHeight="1">
      <x:c r="A215" s="194" t="str">
        <x:v>T-233</x:v>
      </x:c>
      <x:c r="B215" s="194" t="str">
        <x:v>N</x:v>
      </x:c>
      <x:c r="C215" s="194" t="str">
        <x:v>Must Precede (IDs only)</x:v>
      </x:c>
      <x:c r="D215" s="194" t="str">
        <x:v>T-245; T-247; T-248; T-253</x:v>
      </x:c>
      <x:c r="E215" s="194" t="str">
        <x:v>T-221; T-226</x:v>
      </x:c>
      <x:c r="F215" s="194" t="str">
        <x:v>Repair positional corruption using task-keyed baseline and approved edit dataset.</x:v>
      </x:c>
    </x:row>
    <x:row r="216" ht="70" customHeight="1">
      <x:c r="A216" s="194" t="str">
        <x:v>T-233</x:v>
      </x:c>
      <x:c r="B216" s="194" t="str">
        <x:v>AO</x:v>
      </x:c>
      <x:c r="C216" s="194" t="str">
        <x:v>Evidence State</x:v>
      </x:c>
      <x:c r="D216" s="194"/>
      <x:c r="E216" s="194" t="str">
        <x:v>Not started — no completion claimed</x:v>
      </x:c>
      <x:c r="F216" s="194" t="str">
        <x:v>Add explicit evidence / estimation provenance in repair revision.</x:v>
      </x:c>
    </x:row>
    <x:row r="217" ht="70" customHeight="1">
      <x:c r="A217" s="194" t="str">
        <x:v>T-233</x:v>
      </x:c>
      <x:c r="B217" s="194" t="str">
        <x:v>AP</x:v>
      </x:c>
      <x:c r="C217" s="194" t="str">
        <x:v>Closure Evidence Basis</x:v>
      </x:c>
      <x:c r="D217" s="194"/>
      <x:c r="E217" s="194" t="str">
        <x:v>Inherited v2.22.0 intended record; no new runtime certification in this repair.</x:v>
      </x:c>
      <x:c r="F217" s="194" t="str">
        <x:v>Add explicit evidence / estimation provenance in repair revision.</x:v>
      </x:c>
    </x:row>
    <x:row r="218" ht="70" customHeight="1">
      <x:c r="A218" s="194" t="str">
        <x:v>T-233</x:v>
      </x:c>
      <x:c r="B218" s="194" t="str">
        <x:v>AR</x:v>
      </x:c>
      <x:c r="C218" s="194" t="str">
        <x:v>Estimate Status</x:v>
      </x:c>
      <x:c r="D218" s="194"/>
      <x:c r="E218" s="194" t="str">
        <x:v>INHERITED ESTIMATE</x:v>
      </x:c>
      <x:c r="F218" s="194" t="str">
        <x:v>Add explicit evidence / estimation provenance in repair revision.</x:v>
      </x:c>
    </x:row>
    <x:row r="219" ht="70" customHeight="1">
      <x:c r="A219" s="194" t="str">
        <x:v>T-235</x:v>
      </x:c>
      <x:c r="B219" s="194" t="str">
        <x:v>M</x:v>
      </x:c>
      <x:c r="C219" s="194" t="str">
        <x:v>Depends On (IDs only)</x:v>
      </x:c>
      <x:c r="D219" s="194" t="str">
        <x:v>T-243; T-244; T-106; T-261</x:v>
      </x:c>
      <x:c r="E219" s="194" t="str">
        <x:v>T-090; T-231; T-234</x:v>
      </x:c>
      <x:c r="F219" s="194" t="str">
        <x:v>Repair positional corruption using task-keyed baseline and approved edit dataset.</x:v>
      </x:c>
    </x:row>
    <x:row r="220" ht="70" customHeight="1">
      <x:c r="A220" s="194" t="str">
        <x:v>T-235</x:v>
      </x:c>
      <x:c r="B220" s="194" t="str">
        <x:v>N</x:v>
      </x:c>
      <x:c r="C220" s="194" t="str">
        <x:v>Must Precede (IDs only)</x:v>
      </x:c>
      <x:c r="D220" s="194" t="str">
        <x:v>T-247; T-248</x:v>
      </x:c>
      <x:c r="E220" s="194" t="str">
        <x:v>T-164; T-212; T-237; T-247</x:v>
      </x:c>
      <x:c r="F220" s="194" t="str">
        <x:v>Repair positional corruption using task-keyed baseline and approved edit dataset.</x:v>
      </x:c>
    </x:row>
    <x:row r="221" ht="70" customHeight="1">
      <x:c r="A221" s="194" t="str">
        <x:v>T-235</x:v>
      </x:c>
      <x:c r="B221" s="194" t="str">
        <x:v>AO</x:v>
      </x:c>
      <x:c r="C221" s="194" t="str">
        <x:v>Evidence State</x:v>
      </x:c>
      <x:c r="D221" s="194"/>
      <x:c r="E221" s="194" t="str">
        <x:v>Not started — no completion claimed</x:v>
      </x:c>
      <x:c r="F221" s="194" t="str">
        <x:v>Add explicit evidence / estimation provenance in repair revision.</x:v>
      </x:c>
    </x:row>
    <x:row r="222" ht="70" customHeight="1">
      <x:c r="A222" s="194" t="str">
        <x:v>T-235</x:v>
      </x:c>
      <x:c r="B222" s="194" t="str">
        <x:v>AP</x:v>
      </x:c>
      <x:c r="C222" s="194" t="str">
        <x:v>Closure Evidence Basis</x:v>
      </x:c>
      <x:c r="D222" s="194"/>
      <x:c r="E222" s="194" t="str">
        <x:v>Inherited v2.22.0 intended record; no new runtime certification in this repair.</x:v>
      </x:c>
      <x:c r="F222" s="194" t="str">
        <x:v>Add explicit evidence / estimation provenance in repair revision.</x:v>
      </x:c>
    </x:row>
    <x:row r="223" ht="70" customHeight="1">
      <x:c r="A223" s="194" t="str">
        <x:v>T-235</x:v>
      </x:c>
      <x:c r="B223" s="194" t="str">
        <x:v>AR</x:v>
      </x:c>
      <x:c r="C223" s="194" t="str">
        <x:v>Estimate Status</x:v>
      </x:c>
      <x:c r="D223" s="194"/>
      <x:c r="E223" s="194" t="str">
        <x:v>INHERITED ESTIMATE</x:v>
      </x:c>
      <x:c r="F223" s="194" t="str">
        <x:v>Add explicit evidence / estimation provenance in repair revision.</x:v>
      </x:c>
    </x:row>
    <x:row r="224" ht="70" customHeight="1">
      <x:c r="A224" s="194" t="str">
        <x:v>T-241</x:v>
      </x:c>
      <x:c r="B224" s="194" t="str">
        <x:v>M</x:v>
      </x:c>
      <x:c r="C224" s="194" t="str">
        <x:v>Depends On (IDs only)</x:v>
      </x:c>
      <x:c r="D224" s="194" t="str">
        <x:v>T-243; T-130; T-137; T-187</x:v>
      </x:c>
      <x:c r="E224" s="194" t="str">
        <x:v>T-032; T-201</x:v>
      </x:c>
      <x:c r="F224" s="194" t="str">
        <x:v>Repair positional corruption using task-keyed baseline and approved edit dataset.</x:v>
      </x:c>
    </x:row>
    <x:row r="225" ht="70" customHeight="1">
      <x:c r="A225" s="194" t="str">
        <x:v>T-241</x:v>
      </x:c>
      <x:c r="B225" s="194" t="str">
        <x:v>N</x:v>
      </x:c>
      <x:c r="C225" s="194" t="str">
        <x:v>Must Precede (IDs only)</x:v>
      </x:c>
      <x:c r="D225" s="194" t="str">
        <x:v>T-249</x:v>
      </x:c>
      <x:c r="E225" s="194" t="str">
        <x:v>T-242; T-243; T-247; T-248; T-253; T-261</x:v>
      </x:c>
      <x:c r="F225" s="194" t="str">
        <x:v>Repair positional corruption using task-keyed baseline and approved edit dataset.</x:v>
      </x:c>
    </x:row>
    <x:row r="226" ht="70" customHeight="1">
      <x:c r="A226" s="194" t="str">
        <x:v>T-241</x:v>
      </x:c>
      <x:c r="B226" s="194" t="str">
        <x:v>AO</x:v>
      </x:c>
      <x:c r="C226" s="194" t="str">
        <x:v>Evidence State</x:v>
      </x:c>
      <x:c r="D226" s="194"/>
      <x:c r="E226" s="194" t="str">
        <x:v>Recorded closed — inherited evidence</x:v>
      </x:c>
      <x:c r="F226" s="194" t="str">
        <x:v>Add explicit evidence / estimation provenance in repair revision.</x:v>
      </x:c>
    </x:row>
    <x:row r="227" ht="70" customHeight="1">
      <x:c r="A227" s="194" t="str">
        <x:v>T-241</x:v>
      </x:c>
      <x:c r="B227" s="194" t="str">
        <x:v>AP</x:v>
      </x:c>
      <x:c r="C227" s="194" t="str">
        <x:v>Closure Evidence Basis</x:v>
      </x:c>
      <x:c r="D227" s="194"/>
      <x:c r="E227" s="194" t="str">
        <x:v>Inherited v2.22.0 intended record; no new runtime certification in this repair.</x:v>
      </x:c>
      <x:c r="F227" s="194" t="str">
        <x:v>Add explicit evidence / estimation provenance in repair revision.</x:v>
      </x:c>
    </x:row>
    <x:row r="228" ht="70" customHeight="1">
      <x:c r="A228" s="194" t="str">
        <x:v>T-241</x:v>
      </x:c>
      <x:c r="B228" s="194" t="str">
        <x:v>AR</x:v>
      </x:c>
      <x:c r="C228" s="194" t="str">
        <x:v>Estimate Status</x:v>
      </x:c>
      <x:c r="D228" s="194"/>
      <x:c r="E228" s="194" t="str">
        <x:v>INHERITED ESTIMATE</x:v>
      </x:c>
      <x:c r="F228" s="194" t="str">
        <x:v>Add explicit evidence / estimation provenance in repair revision.</x:v>
      </x:c>
    </x:row>
    <x:row r="229" ht="70" customHeight="1">
      <x:c r="A229" s="194" t="str">
        <x:v>T-242</x:v>
      </x:c>
      <x:c r="B229" s="194" t="str">
        <x:v>M</x:v>
      </x:c>
      <x:c r="C229" s="194" t="str">
        <x:v>Depends On (IDs only)</x:v>
      </x:c>
      <x:c r="D229" s="194" t="str">
        <x:v>T-092; T-207; T-212; T-213; T-241; T-242; T-243; T-244; T-245; T-253; T-254; T-256; T-258; T-104; T-108; T-211; T-235</x:v>
      </x:c>
      <x:c r="E229" s="194" t="str">
        <x:v>T-241; T-210</x:v>
      </x:c>
      <x:c r="F229" s="194" t="str">
        <x:v>Repair positional corruption using task-keyed baseline and approved edit dataset.</x:v>
      </x:c>
    </x:row>
    <x:row r="230" ht="70" customHeight="1">
      <x:c r="A230" s="194" t="str">
        <x:v>T-242</x:v>
      </x:c>
      <x:c r="B230" s="194" t="str">
        <x:v>N</x:v>
      </x:c>
      <x:c r="C230" s="194" t="str">
        <x:v>Must Precede (IDs only)</x:v>
      </x:c>
      <x:c r="D230" s="194" t="str">
        <x:v>T-150</x:v>
      </x:c>
      <x:c r="E230" s="194" t="str">
        <x:v>T-243; T-247; T-261</x:v>
      </x:c>
      <x:c r="F230" s="194" t="str">
        <x:v>Repair positional corruption using task-keyed baseline and approved edit dataset.</x:v>
      </x:c>
    </x:row>
    <x:row r="231" ht="70" customHeight="1">
      <x:c r="A231" s="194" t="str">
        <x:v>T-242</x:v>
      </x:c>
      <x:c r="B231" s="194" t="str">
        <x:v>AO</x:v>
      </x:c>
      <x:c r="C231" s="194" t="str">
        <x:v>Evidence State</x:v>
      </x:c>
      <x:c r="D231" s="194"/>
      <x:c r="E231" s="194" t="str">
        <x:v>Recorded closed — inherited evidence</x:v>
      </x:c>
      <x:c r="F231" s="194" t="str">
        <x:v>Add explicit evidence / estimation provenance in repair revision.</x:v>
      </x:c>
    </x:row>
    <x:row r="232" ht="70" customHeight="1">
      <x:c r="A232" s="194" t="str">
        <x:v>T-242</x:v>
      </x:c>
      <x:c r="B232" s="194" t="str">
        <x:v>AP</x:v>
      </x:c>
      <x:c r="C232" s="194" t="str">
        <x:v>Closure Evidence Basis</x:v>
      </x:c>
      <x:c r="D232" s="194"/>
      <x:c r="E232" s="194" t="str">
        <x:v>Inherited v2.22.0 intended record; no new runtime certification in this repair.</x:v>
      </x:c>
      <x:c r="F232" s="194" t="str">
        <x:v>Add explicit evidence / estimation provenance in repair revision.</x:v>
      </x:c>
    </x:row>
    <x:row r="233" ht="70" customHeight="1">
      <x:c r="A233" s="194" t="str">
        <x:v>T-242</x:v>
      </x:c>
      <x:c r="B233" s="194" t="str">
        <x:v>AR</x:v>
      </x:c>
      <x:c r="C233" s="194" t="str">
        <x:v>Estimate Status</x:v>
      </x:c>
      <x:c r="D233" s="194"/>
      <x:c r="E233" s="194" t="str">
        <x:v>INHERITED ESTIMATE</x:v>
      </x:c>
      <x:c r="F233" s="194" t="str">
        <x:v>Add explicit evidence / estimation provenance in repair revision.</x:v>
      </x:c>
    </x:row>
    <x:row r="234" ht="70" customHeight="1">
      <x:c r="A234" s="194" t="str">
        <x:v>T-243</x:v>
      </x:c>
      <x:c r="B234" s="194" t="str">
        <x:v>M</x:v>
      </x:c>
      <x:c r="C234" s="194" t="str">
        <x:v>Depends On (IDs only)</x:v>
      </x:c>
      <x:c r="D234" s="194" t="str">
        <x:v>T-094; T-209; T-241; T-244</x:v>
      </x:c>
      <x:c r="E234" s="194" t="str">
        <x:v>T-241; T-242; T-089; T-090; T-253</x:v>
      </x:c>
      <x:c r="F234" s="194" t="str">
        <x:v>Repair positional corruption using task-keyed baseline and approved edit dataset.</x:v>
      </x:c>
    </x:row>
    <x:row r="235" ht="70" customHeight="1">
      <x:c r="A235" s="194" t="str">
        <x:v>T-243</x:v>
      </x:c>
      <x:c r="B235" s="194" t="str">
        <x:v>N</x:v>
      </x:c>
      <x:c r="C235" s="194" t="str">
        <x:v>Must Precede (IDs only)</x:v>
      </x:c>
      <x:c r="D235" s="194" t="str">
        <x:v>T-150; T-243; T-247; T-256; T-262</x:v>
      </x:c>
      <x:c r="E235" s="194" t="str">
        <x:v>T-245; T-246; T-247; T-248; T-261; T-262</x:v>
      </x:c>
      <x:c r="F235" s="194" t="str">
        <x:v>Repair positional corruption using task-keyed baseline and approved edit dataset.</x:v>
      </x:c>
    </x:row>
    <x:row r="236" ht="70" customHeight="1">
      <x:c r="A236" s="194" t="str">
        <x:v>T-243</x:v>
      </x:c>
      <x:c r="B236" s="194" t="str">
        <x:v>AO</x:v>
      </x:c>
      <x:c r="C236" s="194" t="str">
        <x:v>Evidence State</x:v>
      </x:c>
      <x:c r="D236" s="194"/>
      <x:c r="E236" s="194" t="str">
        <x:v>In progress — closure not recorded</x:v>
      </x:c>
      <x:c r="F236" s="194" t="str">
        <x:v>Add explicit evidence / estimation provenance in repair revision.</x:v>
      </x:c>
    </x:row>
    <x:row r="237" ht="70" customHeight="1">
      <x:c r="A237" s="194" t="str">
        <x:v>T-243</x:v>
      </x:c>
      <x:c r="B237" s="194" t="str">
        <x:v>AP</x:v>
      </x:c>
      <x:c r="C237" s="194" t="str">
        <x:v>Closure Evidence Basis</x:v>
      </x:c>
      <x:c r="D237" s="194"/>
      <x:c r="E237" s="194" t="str">
        <x:v>Inherited v2.22.0 intended record; no new runtime certification in this repair.</x:v>
      </x:c>
      <x:c r="F237" s="194" t="str">
        <x:v>Add explicit evidence / estimation provenance in repair revision.</x:v>
      </x:c>
    </x:row>
    <x:row r="238" ht="70" customHeight="1">
      <x:c r="A238" s="194" t="str">
        <x:v>T-243</x:v>
      </x:c>
      <x:c r="B238" s="194" t="str">
        <x:v>AR</x:v>
      </x:c>
      <x:c r="C238" s="194" t="str">
        <x:v>Estimate Status</x:v>
      </x:c>
      <x:c r="D238" s="194"/>
      <x:c r="E238" s="194" t="str">
        <x:v>INHERITED ESTIMATE</x:v>
      </x:c>
      <x:c r="F238" s="194" t="str">
        <x:v>Add explicit evidence / estimation provenance in repair revision.</x:v>
      </x:c>
    </x:row>
    <x:row r="239" ht="70" customHeight="1">
      <x:c r="A239" s="194" t="str">
        <x:v>T-244</x:v>
      </x:c>
      <x:c r="B239" s="194" t="str">
        <x:v>M</x:v>
      </x:c>
      <x:c r="C239" s="194" t="str">
        <x:v>Depends On (IDs only)</x:v>
      </x:c>
      <x:c r="D239" s="194" t="str">
        <x:v>T-207</x:v>
      </x:c>
      <x:c r="E239" s="194" t="str">
        <x:v>T-035; T-036; T-089; T-090</x:v>
      </x:c>
      <x:c r="F239" s="194" t="str">
        <x:v>Repair positional corruption using task-keyed baseline and approved edit dataset.</x:v>
      </x:c>
    </x:row>
    <x:row r="240" ht="70" customHeight="1">
      <x:c r="A240" s="194" t="str">
        <x:v>T-244</x:v>
      </x:c>
      <x:c r="B240" s="194" t="str">
        <x:v>N</x:v>
      </x:c>
      <x:c r="C240" s="194" t="str">
        <x:v>Must Precede (IDs only)</x:v>
      </x:c>
      <x:c r="D240" s="194" t="str">
        <x:v>T-150; T-153; T-247</x:v>
      </x:c>
      <x:c r="E240" s="194" t="str">
        <x:v>T-245; T-247; T-248; T-253</x:v>
      </x:c>
      <x:c r="F240" s="194" t="str">
        <x:v>Repair positional corruption using task-keyed baseline and approved edit dataset.</x:v>
      </x:c>
    </x:row>
    <x:row r="241" ht="70" customHeight="1">
      <x:c r="A241" s="194" t="str">
        <x:v>T-244</x:v>
      </x:c>
      <x:c r="B241" s="194" t="str">
        <x:v>AO</x:v>
      </x:c>
      <x:c r="C241" s="194" t="str">
        <x:v>Evidence State</x:v>
      </x:c>
      <x:c r="D241" s="194"/>
      <x:c r="E241" s="194" t="str">
        <x:v>Recorded closed — inherited evidence</x:v>
      </x:c>
      <x:c r="F241" s="194" t="str">
        <x:v>Add explicit evidence / estimation provenance in repair revision.</x:v>
      </x:c>
    </x:row>
    <x:row r="242" ht="70" customHeight="1">
      <x:c r="A242" s="194" t="str">
        <x:v>T-244</x:v>
      </x:c>
      <x:c r="B242" s="194" t="str">
        <x:v>AP</x:v>
      </x:c>
      <x:c r="C242" s="194" t="str">
        <x:v>Closure Evidence Basis</x:v>
      </x:c>
      <x:c r="D242" s="194"/>
      <x:c r="E242" s="194" t="str">
        <x:v>Inherited v2.22.0 intended record; no new runtime certification in this repair.</x:v>
      </x:c>
      <x:c r="F242" s="194" t="str">
        <x:v>Add explicit evidence / estimation provenance in repair revision.</x:v>
      </x:c>
    </x:row>
    <x:row r="243" ht="70" customHeight="1">
      <x:c r="A243" s="194" t="str">
        <x:v>T-244</x:v>
      </x:c>
      <x:c r="B243" s="194" t="str">
        <x:v>AR</x:v>
      </x:c>
      <x:c r="C243" s="194" t="str">
        <x:v>Estimate Status</x:v>
      </x:c>
      <x:c r="D243" s="194"/>
      <x:c r="E243" s="194" t="str">
        <x:v>INHERITED ESTIMATE</x:v>
      </x:c>
      <x:c r="F243" s="194" t="str">
        <x:v>Add explicit evidence / estimation provenance in repair revision.</x:v>
      </x:c>
    </x:row>
    <x:row r="244" ht="70" customHeight="1">
      <x:c r="A244" s="194" t="str">
        <x:v>T-245</x:v>
      </x:c>
      <x:c r="B244" s="194" t="str">
        <x:v>M</x:v>
      </x:c>
      <x:c r="C244" s="194" t="str">
        <x:v>Depends On (IDs only)</x:v>
      </x:c>
      <x:c r="D244" s="194" t="str">
        <x:v>T-094; T-250; T-256</x:v>
      </x:c>
      <x:c r="E244" s="194" t="str">
        <x:v>T-243; T-244; T-106; T-261; T-262</x:v>
      </x:c>
      <x:c r="F244" s="194" t="str">
        <x:v>Restore explicit T-262 handoff stated in the approved proposal; also mirror in Must Precede.</x:v>
      </x:c>
    </x:row>
    <x:row r="245" ht="70" customHeight="1">
      <x:c r="A245" s="194" t="str">
        <x:v>T-245</x:v>
      </x:c>
      <x:c r="B245" s="194" t="str">
        <x:v>N</x:v>
      </x:c>
      <x:c r="C245" s="194" t="str">
        <x:v>Must Precede (IDs only)</x:v>
      </x:c>
      <x:c r="D245" s="194" t="str">
        <x:v>T-150; T-247</x:v>
      </x:c>
      <x:c r="E245" s="194" t="str">
        <x:v>T-247; T-248</x:v>
      </x:c>
      <x:c r="F245" s="194" t="str">
        <x:v>Repair positional corruption using task-keyed baseline and approved edit dataset.</x:v>
      </x:c>
    </x:row>
    <x:row r="246" ht="70" customHeight="1">
      <x:c r="A246" s="194" t="str">
        <x:v>T-245</x:v>
      </x:c>
      <x:c r="B246" s="194" t="str">
        <x:v>T</x:v>
      </x:c>
      <x:c r="C246" s="194" t="str">
        <x:v>AI Start / Dependency Gate</x:v>
      </x:c>
      <x:c r="D246" s="194" t="str">
        <x:v>Consume accepted producer contracts; remaining dependencies: T-243; T-244; T-106; T-261. No private scheduler/definition authority. Source-present is not closure proof.</x:v>
      </x:c>
      <x:c r="E246" s="194" t="str">
        <x:v>Consume accepted producer contracts; remaining dependencies: T-243; T-244; T-106; T-261. No private scheduler/definition authority. Source-present is not closure proof.
v2.22.1 — Completion prerequisites are the task IDs in column M; contract-only predecessors, if any, are exclusively in column AN. Do not use the rejected v2.22.0 positional columns.</x:v>
      </x:c>
      <x:c r="F246" s="194" t="str">
        <x:v>Align consumer start gate with repaired task-keyed columns.</x:v>
      </x:c>
    </x:row>
    <x:row r="247" ht="70" customHeight="1">
      <x:c r="A247" s="194" t="str">
        <x:v>T-245</x:v>
      </x:c>
      <x:c r="B247" s="194" t="str">
        <x:v>AO</x:v>
      </x:c>
      <x:c r="C247" s="194" t="str">
        <x:v>Evidence State</x:v>
      </x:c>
      <x:c r="D247" s="194"/>
      <x:c r="E247" s="194" t="str">
        <x:v>Not started — no completion claimed</x:v>
      </x:c>
      <x:c r="F247" s="194" t="str">
        <x:v>Add explicit evidence / estimation provenance in repair revision.</x:v>
      </x:c>
    </x:row>
    <x:row r="248" ht="70" customHeight="1">
      <x:c r="A248" s="194" t="str">
        <x:v>T-245</x:v>
      </x:c>
      <x:c r="B248" s="194" t="str">
        <x:v>AP</x:v>
      </x:c>
      <x:c r="C248" s="194" t="str">
        <x:v>Closure Evidence Basis</x:v>
      </x:c>
      <x:c r="D248" s="194"/>
      <x:c r="E248" s="194" t="str">
        <x:v>Inherited v2.22.0 intended record; no new runtime certification in this repair.</x:v>
      </x:c>
      <x:c r="F248" s="194" t="str">
        <x:v>Add explicit evidence / estimation provenance in repair revision.</x:v>
      </x:c>
    </x:row>
    <x:row r="249" ht="70" customHeight="1">
      <x:c r="A249" s="194" t="str">
        <x:v>T-245</x:v>
      </x:c>
      <x:c r="B249" s="194" t="str">
        <x:v>AR</x:v>
      </x:c>
      <x:c r="C249" s="194" t="str">
        <x:v>Estimate Status</x:v>
      </x:c>
      <x:c r="D249" s="194"/>
      <x:c r="E249" s="194" t="str">
        <x:v>INHERITED ESTIMATE</x:v>
      </x:c>
      <x:c r="F249" s="194" t="str">
        <x:v>Add explicit evidence / estimation provenance in repair revision.</x:v>
      </x:c>
    </x:row>
    <x:row r="250" ht="70" customHeight="1">
      <x:c r="A250" s="194" t="str">
        <x:v>T-247</x:v>
      </x:c>
      <x:c r="B250" s="194" t="str">
        <x:v>I</x:v>
      </x:c>
      <x:c r="C250" s="194" t="str">
        <x:v>Task Validation</x:v>
      </x:c>
      <x:c r="D250" s="194" t="str">
        <x:v>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x:v>
      </x:c>
      <x:c r="E250" s="194" t="str">
        <x:v>One end-to-end evidence pack proves zero C# diff, zero TypeScript diff and zero product-SQL diff; configuration/metadata only. The customer-shaped journey completes through product surfaces and replays deterministically. The evidence pack also proves the customer-facing connector availability text comes from executable capability truth, the authored output target is customer-shaped/governed, and no unapproved material-specific/public-schema runtime dependency is required.</x:v>
      </x:c>
      <x:c r="F250" s="194" t="str">
        <x:v>Repair positional corruption using task-keyed baseline and approved edit dataset.</x:v>
      </x:c>
    </x:row>
    <x:row r="251" ht="70" customHeight="1">
      <x:c r="A251" s="194" t="str">
        <x:v>T-247</x:v>
      </x:c>
      <x:c r="B251" s="194" t="str">
        <x:v>M</x:v>
      </x:c>
      <x:c r="C251" s="194" t="str">
        <x:v>Depends On (IDs only)</x:v>
      </x:c>
      <x:c r="D251" s="194"/>
      <x:c r="E251" s="194" t="str">
        <x:v>T-092; T-207; T-212; T-213; T-241; T-242; T-243; T-244; T-245; T-253; T-254; T-256; T-258; T-104; T-108; T-211; T-235; T-262; T-125</x:v>
      </x:c>
      <x:c r="F251" s="194" t="str">
        <x:v>B4 end-to-end acceptance waits for operational observability; T-101 may implement against the contract first.</x:v>
      </x:c>
    </x:row>
    <x:row r="252" ht="70" customHeight="1">
      <x:c r="A252" s="194" t="str">
        <x:v>T-247</x:v>
      </x:c>
      <x:c r="B252" s="194" t="str">
        <x:v>N</x:v>
      </x:c>
      <x:c r="C252" s="194" t="str">
        <x:v>Must Precede (IDs only)</x:v>
      </x:c>
      <x:c r="D252" s="194" t="str">
        <x:v>T-248</x:v>
      </x:c>
      <x:c r="E252" s="194" t="str">
        <x:v>T-150</x:v>
      </x:c>
      <x:c r="F252" s="194" t="str">
        <x:v>Repair positional corruption using task-keyed baseline and approved edit dataset.</x:v>
      </x:c>
    </x:row>
    <x:row r="253" ht="70" customHeight="1">
      <x:c r="A253" s="194" t="str">
        <x:v>T-247</x:v>
      </x:c>
      <x:c r="B253" s="194" t="str">
        <x:v>T</x:v>
      </x:c>
      <x:c r="C253" s="194" t="str">
        <x:v>AI Start / Dependency Gate</x:v>
      </x:c>
      <x:c r="D253" s="194" t="str">
        <x:v>R1 route inventory and six shell contracts frozen. Contract-ready handoffs from T-196/T-197/T-198/T-199/T-200 are recorded separately in column AN. Do not wait for the entire M3 implementation or ship a simulated M3 page.</x:v>
      </x:c>
      <x:c r="E253" s="194" t="str">
        <x:v>T-213 complete + T-092 green.
v2.22.1 — Completion prerequisites are the task IDs in column M; contract-only predecessors, if any, are exclusively in column AN. Do not use the rejected v2.22.0 positional columns.</x:v>
      </x:c>
      <x:c r="F253" s="194" t="str">
        <x:v>Align consumer start gate with repaired task-keyed columns.</x:v>
      </x:c>
    </x:row>
    <x:row r="254" ht="70" customHeight="1">
      <x:c r="A254" s="194" t="str">
        <x:v>T-247</x:v>
      </x:c>
      <x:c r="B254" s="194" t="str">
        <x:v>V</x:v>
      </x:c>
      <x:c r="C254" s="194" t="str">
        <x:v>No-Rework Handoff Ruling</x:v>
      </x:c>
      <x:c r="D254" s="194" t="str">
        <x:v>Commit before downstream consumer starts; consumer must use the contract, not redesign producer-owned semantics.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x:v>
      </x:c>
      <x:c r="E254" s="194" t="str">
        <x:v>If onboarding requires C#/TypeScript/product-SQL changes, stop and raise a generic product gap; do not patch around it.</x:v>
      </x:c>
      <x:c r="F254" s="194" t="str">
        <x:v>Repair positional corruption using task-keyed baseline and approved edit dataset.</x:v>
      </x:c>
    </x:row>
    <x:row r="255" ht="70" customHeight="1">
      <x:c r="A255" s="194" t="str">
        <x:v>T-247</x:v>
      </x:c>
      <x:c r="B255" s="194" t="str">
        <x:v>AN</x:v>
      </x:c>
      <x:c r="C255" s="194" t="str">
        <x:v>Contract-ready predecessors (not completion)</x:v>
      </x:c>
      <x:c r="D255" s="194" t="str">
        <x:v>T-196; T-197; T-198; T-199; T-200</x:v>
      </x:c>
      <x:c r="E255" s="194"/>
      <x:c r="F255" s="194" t="str">
        <x:v>Repair positional corruption using task-keyed baseline and approved edit dataset.</x:v>
      </x:c>
    </x:row>
    <x:row r="256" ht="70" customHeight="1">
      <x:c r="A256" s="194" t="str">
        <x:v>T-247</x:v>
      </x:c>
      <x:c r="B256" s="194" t="str">
        <x:v>AO</x:v>
      </x:c>
      <x:c r="C256" s="194" t="str">
        <x:v>Evidence State</x:v>
      </x:c>
      <x:c r="D256" s="194"/>
      <x:c r="E256" s="194" t="str">
        <x:v>Not started — no completion claimed</x:v>
      </x:c>
      <x:c r="F256" s="194" t="str">
        <x:v>Add explicit evidence / estimation provenance in repair revision.</x:v>
      </x:c>
    </x:row>
    <x:row r="257" ht="70" customHeight="1">
      <x:c r="A257" s="194" t="str">
        <x:v>T-247</x:v>
      </x:c>
      <x:c r="B257" s="194" t="str">
        <x:v>AP</x:v>
      </x:c>
      <x:c r="C257" s="194" t="str">
        <x:v>Closure Evidence Basis</x:v>
      </x:c>
      <x:c r="D257" s="194"/>
      <x:c r="E257" s="194" t="str">
        <x:v>Inherited v2.22.0 intended record; no new runtime certification in this repair.</x:v>
      </x:c>
      <x:c r="F257" s="194" t="str">
        <x:v>Add explicit evidence / estimation provenance in repair revision.</x:v>
      </x:c>
    </x:row>
    <x:row r="258" ht="70" customHeight="1">
      <x:c r="A258" s="194" t="str">
        <x:v>T-247</x:v>
      </x:c>
      <x:c r="B258" s="194" t="str">
        <x:v>AR</x:v>
      </x:c>
      <x:c r="C258" s="194" t="str">
        <x:v>Estimate Status</x:v>
      </x:c>
      <x:c r="D258" s="194"/>
      <x:c r="E258" s="194" t="str">
        <x:v>INHERITED ESTIMATE</x:v>
      </x:c>
      <x:c r="F258" s="194" t="str">
        <x:v>Add explicit evidence / estimation provenance in repair revision.</x:v>
      </x:c>
    </x:row>
    <x:row r="259" ht="70" customHeight="1">
      <x:c r="A259" s="194" t="str">
        <x:v>T-253</x:v>
      </x:c>
      <x:c r="B259" s="194" t="str">
        <x:v>M</x:v>
      </x:c>
      <x:c r="C259" s="194" t="str">
        <x:v>Depends On (IDs only)</x:v>
      </x:c>
      <x:c r="D259" s="194" t="str">
        <x:v>T-092; T-214; T-232</x:v>
      </x:c>
      <x:c r="E259" s="194" t="str">
        <x:v>T-094; T-209; T-241; T-244</x:v>
      </x:c>
      <x:c r="F259" s="194" t="str">
        <x:v>Repair positional corruption using task-keyed baseline and approved edit dataset.</x:v>
      </x:c>
    </x:row>
    <x:row r="260" ht="70" customHeight="1">
      <x:c r="A260" s="194" t="str">
        <x:v>T-253</x:v>
      </x:c>
      <x:c r="B260" s="194" t="str">
        <x:v>N</x:v>
      </x:c>
      <x:c r="C260" s="194" t="str">
        <x:v>Must Precede (IDs only)</x:v>
      </x:c>
      <x:c r="D260" s="194" t="str">
        <x:v>T-150; T-222</x:v>
      </x:c>
      <x:c r="E260" s="194" t="str">
        <x:v>T-150; T-243; T-247; T-256; T-262</x:v>
      </x:c>
      <x:c r="F260" s="194" t="str">
        <x:v>Repair positional corruption using task-keyed baseline and approved edit dataset.</x:v>
      </x:c>
    </x:row>
    <x:row r="261" ht="70" customHeight="1">
      <x:c r="A261" s="194" t="str">
        <x:v>T-253</x:v>
      </x:c>
      <x:c r="B261" s="194" t="str">
        <x:v>AO</x:v>
      </x:c>
      <x:c r="C261" s="194" t="str">
        <x:v>Evidence State</x:v>
      </x:c>
      <x:c r="D261" s="194"/>
      <x:c r="E261" s="194" t="str">
        <x:v>Recorded closed — inherited evidence</x:v>
      </x:c>
      <x:c r="F261" s="194" t="str">
        <x:v>Add explicit evidence / estimation provenance in repair revision.</x:v>
      </x:c>
    </x:row>
    <x:row r="262" ht="70" customHeight="1">
      <x:c r="A262" s="194" t="str">
        <x:v>T-253</x:v>
      </x:c>
      <x:c r="B262" s="194" t="str">
        <x:v>AP</x:v>
      </x:c>
      <x:c r="C262" s="194" t="str">
        <x:v>Closure Evidence Basis</x:v>
      </x:c>
      <x:c r="D262" s="194"/>
      <x:c r="E262" s="194" t="str">
        <x:v>Inherited v2.22.0 intended record; no new runtime certification in this repair.</x:v>
      </x:c>
      <x:c r="F262" s="194" t="str">
        <x:v>Add explicit evidence / estimation provenance in repair revision.</x:v>
      </x:c>
    </x:row>
    <x:row r="263" ht="70" customHeight="1">
      <x:c r="A263" s="194" t="str">
        <x:v>T-253</x:v>
      </x:c>
      <x:c r="B263" s="194" t="str">
        <x:v>AR</x:v>
      </x:c>
      <x:c r="C263" s="194" t="str">
        <x:v>Estimate Status</x:v>
      </x:c>
      <x:c r="D263" s="194"/>
      <x:c r="E263" s="194" t="str">
        <x:v>INHERITED ESTIMATE</x:v>
      </x:c>
      <x:c r="F263" s="194" t="str">
        <x:v>Add explicit evidence / estimation provenance in repair revision.</x:v>
      </x:c>
    </x:row>
    <x:row r="264" ht="70" customHeight="1">
      <x:c r="A264" s="194" t="str">
        <x:v>T-254</x:v>
      </x:c>
      <x:c r="B264" s="194" t="str">
        <x:v>M</x:v>
      </x:c>
      <x:c r="C264" s="194" t="str">
        <x:v>Depends On (IDs only)</x:v>
      </x:c>
      <x:c r="D264" s="194" t="str">
        <x:v>T-219; T-220; T-215; T-203; T-204</x:v>
      </x:c>
      <x:c r="E264" s="194" t="str">
        <x:v>T-207</x:v>
      </x:c>
      <x:c r="F264" s="194" t="str">
        <x:v>Repair positional corruption using task-keyed baseline and approved edit dataset.</x:v>
      </x:c>
    </x:row>
    <x:row r="265" ht="70" customHeight="1">
      <x:c r="A265" s="194" t="str">
        <x:v>T-254</x:v>
      </x:c>
      <x:c r="B265" s="194" t="str">
        <x:v>N</x:v>
      </x:c>
      <x:c r="C265" s="194" t="str">
        <x:v>Must Precede (IDs only)</x:v>
      </x:c>
      <x:c r="D265" s="194" t="str">
        <x:v>T-150</x:v>
      </x:c>
      <x:c r="E265" s="194" t="str">
        <x:v>T-150; T-153; T-247</x:v>
      </x:c>
      <x:c r="F265" s="194" t="str">
        <x:v>Repair positional corruption using task-keyed baseline and approved edit dataset.</x:v>
      </x:c>
    </x:row>
    <x:row r="266" ht="70" customHeight="1">
      <x:c r="A266" s="194" t="str">
        <x:v>T-254</x:v>
      </x:c>
      <x:c r="B266" s="194" t="str">
        <x:v>AO</x:v>
      </x:c>
      <x:c r="C266" s="194" t="str">
        <x:v>Evidence State</x:v>
      </x:c>
      <x:c r="D266" s="194"/>
      <x:c r="E266" s="194" t="str">
        <x:v>Not started — no completion claimed</x:v>
      </x:c>
      <x:c r="F266" s="194" t="str">
        <x:v>Add explicit evidence / estimation provenance in repair revision.</x:v>
      </x:c>
    </x:row>
    <x:row r="267" ht="70" customHeight="1">
      <x:c r="A267" s="194" t="str">
        <x:v>T-254</x:v>
      </x:c>
      <x:c r="B267" s="194" t="str">
        <x:v>AP</x:v>
      </x:c>
      <x:c r="C267" s="194" t="str">
        <x:v>Closure Evidence Basis</x:v>
      </x:c>
      <x:c r="D267" s="194"/>
      <x:c r="E267" s="194" t="str">
        <x:v>Inherited v2.22.0 intended record; no new runtime certification in this repair.</x:v>
      </x:c>
      <x:c r="F267" s="194" t="str">
        <x:v>Add explicit evidence / estimation provenance in repair revision.</x:v>
      </x:c>
    </x:row>
    <x:row r="268" ht="70" customHeight="1">
      <x:c r="A268" s="194" t="str">
        <x:v>T-254</x:v>
      </x:c>
      <x:c r="B268" s="194" t="str">
        <x:v>AR</x:v>
      </x:c>
      <x:c r="C268" s="194" t="str">
        <x:v>Estimate Status</x:v>
      </x:c>
      <x:c r="D268" s="194"/>
      <x:c r="E268" s="194" t="str">
        <x:v>INHERITED ESTIMATE</x:v>
      </x:c>
      <x:c r="F268" s="194" t="str">
        <x:v>Add explicit evidence / estimation provenance in repair revision.</x:v>
      </x:c>
    </x:row>
    <x:row r="269" ht="70" customHeight="1">
      <x:c r="A269" s="194" t="str">
        <x:v>T-261</x:v>
      </x:c>
      <x:c r="B269" s="194" t="str">
        <x:v>M</x:v>
      </x:c>
      <x:c r="C269" s="194" t="str">
        <x:v>Depends On (IDs only)</x:v>
      </x:c>
      <x:c r="D269" s="194"/>
      <x:c r="E269" s="194" t="str">
        <x:v>T-106; T-241; T-242; T-243; T-099; T-262</x:v>
      </x:c>
      <x:c r="F269" s="194" t="str">
        <x:v>Repair positional corruption using task-keyed baseline and approved edit dataset.</x:v>
      </x:c>
    </x:row>
    <x:row r="270" ht="70" customHeight="1">
      <x:c r="A270" s="194" t="str">
        <x:v>T-261</x:v>
      </x:c>
      <x:c r="B270" s="194" t="str">
        <x:v>N</x:v>
      </x:c>
      <x:c r="C270" s="194" t="str">
        <x:v>Must Precede (IDs only)</x:v>
      </x:c>
      <x:c r="D270" s="194" t="str">
        <x:v>T-122; T-138; T-246</x:v>
      </x:c>
      <x:c r="E270" s="194" t="str">
        <x:v>T-104; T-245</x:v>
      </x:c>
      <x:c r="F270" s="194" t="str">
        <x:v>Repair positional corruption using task-keyed baseline and approved edit dataset.</x:v>
      </x:c>
    </x:row>
    <x:row r="271" ht="70" customHeight="1">
      <x:c r="A271" s="194" t="str">
        <x:v>T-261</x:v>
      </x:c>
      <x:c r="B271" s="194" t="str">
        <x:v>T</x:v>
      </x:c>
      <x:c r="C271" s="194" t="str">
        <x:v>AI Start / Dependency Gate</x:v>
      </x:c>
      <x:c r="D271" s="194" t="str">
        <x:v>Consume accepted producer contracts; remaining dependencies: T-106; T-241; T-242; T-243; T-099; T-262. No private scheduler/definition authority. Source-present is not closure proof.</x:v>
      </x:c>
      <x:c r="E271" s="194" t="str">
        <x:v>Consume accepted producer contracts; remaining dependencies: T-106; T-241; T-242; T-243; T-099; T-262. No private scheduler/definition authority. Source-present is not closure proof.
v2.22.1 — Completion prerequisites are the task IDs in column M; contract-only predecessors, if any, are exclusively in column AN. Do not use the rejected v2.22.0 positional columns.</x:v>
      </x:c>
      <x:c r="F271" s="194" t="str">
        <x:v>Align consumer start gate with repaired task-keyed columns.</x:v>
      </x:c>
    </x:row>
    <x:row r="272" ht="70" customHeight="1">
      <x:c r="A272" s="194" t="str">
        <x:v>T-261</x:v>
      </x:c>
      <x:c r="B272" s="194" t="str">
        <x:v>AO</x:v>
      </x:c>
      <x:c r="C272" s="194" t="str">
        <x:v>Evidence State</x:v>
      </x:c>
      <x:c r="D272" s="194"/>
      <x:c r="E272" s="194" t="str">
        <x:v>In progress — closure not recorded</x:v>
      </x:c>
      <x:c r="F272" s="194" t="str">
        <x:v>Add explicit evidence / estimation provenance in repair revision.</x:v>
      </x:c>
    </x:row>
    <x:row r="273" ht="70" customHeight="1">
      <x:c r="A273" s="194" t="str">
        <x:v>T-261</x:v>
      </x:c>
      <x:c r="B273" s="194" t="str">
        <x:v>AP</x:v>
      </x:c>
      <x:c r="C273" s="194" t="str">
        <x:v>Closure Evidence Basis</x:v>
      </x:c>
      <x:c r="D273" s="194"/>
      <x:c r="E273" s="194" t="str">
        <x:v>Inherited v2.22.0 intended record; no new runtime certification in this repair.</x:v>
      </x:c>
      <x:c r="F273" s="194" t="str">
        <x:v>Add explicit evidence / estimation provenance in repair revision.</x:v>
      </x:c>
    </x:row>
    <x:row r="274" ht="70" customHeight="1">
      <x:c r="A274" s="194" t="str">
        <x:v>T-261</x:v>
      </x:c>
      <x:c r="B274" s="194" t="str">
        <x:v>AR</x:v>
      </x:c>
      <x:c r="C274" s="194" t="str">
        <x:v>Estimate Status</x:v>
      </x:c>
      <x:c r="D274" s="194"/>
      <x:c r="E274" s="194" t="str">
        <x:v>INHERITED ESTIMATE</x:v>
      </x:c>
      <x:c r="F274" s="194" t="str">
        <x:v>Add explicit evidence / estimation provenance in repair revision.</x:v>
      </x:c>
    </x:row>
    <x:row r="275" ht="70" customHeight="1">
      <x:c r="A275" s="194" t="str">
        <x:v>T-262</x:v>
      </x:c>
      <x:c r="B275" s="194" t="str">
        <x:v>M</x:v>
      </x:c>
      <x:c r="C275" s="194" t="str">
        <x:v>Depends On (IDs only)</x:v>
      </x:c>
      <x:c r="D275" s="194"/>
      <x:c r="E275" s="194" t="str">
        <x:v>T-253; T-243</x:v>
      </x:c>
      <x:c r="F275" s="194" t="str">
        <x:v>Repair positional corruption using task-keyed baseline and approved edit dataset.</x:v>
      </x:c>
    </x:row>
    <x:row r="276" ht="70" customHeight="1">
      <x:c r="A276" s="194" t="str">
        <x:v>T-262</x:v>
      </x:c>
      <x:c r="B276" s="194" t="str">
        <x:v>N</x:v>
      </x:c>
      <x:c r="C276" s="194" t="str">
        <x:v>Must Precede (IDs only)</x:v>
      </x:c>
      <x:c r="D276" s="194" t="str">
        <x:v>T-122; T-175; T-187</x:v>
      </x:c>
      <x:c r="E276" s="194" t="str">
        <x:v>T-245; T-247; T-261</x:v>
      </x:c>
      <x:c r="F276" s="194" t="str">
        <x:v>Repair positional corruption using task-keyed baseline and approved edit dataset.</x:v>
      </x:c>
    </x:row>
    <x:row r="277" ht="70" customHeight="1">
      <x:c r="A277" s="194" t="str">
        <x:v>T-262</x:v>
      </x:c>
      <x:c r="B277" s="194" t="str">
        <x:v>T</x:v>
      </x:c>
      <x:c r="C277" s="194" t="str">
        <x:v>AI Start / Dependency Gate</x:v>
      </x:c>
      <x:c r="D277" s="194" t="str">
        <x:v>Consume accepted producer contracts; remaining dependencies: T-253; T-243. No private scheduler/definition authority. Source-present is not closure proof.</x:v>
      </x:c>
      <x:c r="E277" s="194" t="str">
        <x:v>Consume accepted producer contracts; remaining dependencies: T-253; T-243. No private scheduler/definition authority. Source-present is not closure proof.
v2.22.1 — Completion prerequisites are the task IDs in column M; contract-only predecessors, if any, are exclusively in column AN. Do not use the rejected v2.22.0 positional columns.</x:v>
      </x:c>
      <x:c r="F277" s="194" t="str">
        <x:v>Align consumer start gate with repaired task-keyed columns.</x:v>
      </x:c>
    </x:row>
    <x:row r="278" ht="70" customHeight="1">
      <x:c r="A278" s="194" t="str">
        <x:v>T-262</x:v>
      </x:c>
      <x:c r="B278" s="194" t="str">
        <x:v>AI</x:v>
      </x:c>
      <x:c r="C278" s="194" t="str">
        <x:v>Capability Evidence</x:v>
      </x:c>
      <x:c r="D278" s="194" t="str">
        <x:v>Estimate pending owner calibration; no completion or runtime proof inferred from this row.</x:v>
      </x:c>
      <x:c r="E278" s="194" t="str">
        <x:v>Source present / unclosed. Exact accepted closure commit and runtime acceptance are not supplied; existing implementation must not be recreated merely because closure is unverified.</x:v>
      </x:c>
      <x:c r="F278" s="194" t="str">
        <x:v>Do not conflate estimate note with closure evidence.</x:v>
      </x:c>
    </x:row>
    <x:row r="279" ht="70" customHeight="1">
      <x:c r="A279" s="194" t="str">
        <x:v>T-262</x:v>
      </x:c>
      <x:c r="B279" s="194" t="str">
        <x:v>AJ</x:v>
      </x:c>
      <x:c r="C279" s="194" t="str">
        <x:v>Estimate Basis</x:v>
      </x:c>
      <x:c r="D279" s="194" t="str">
        <x:v>UNESTIMATED — new row; no hours inferred from source presence</x:v>
      </x:c>
      <x:c r="E279" s="194" t="str">
        <x:v>UNESTIMATED — new/recognized task; owner calibration pending.</x:v>
      </x:c>
      <x:c r="F279" s="194" t="str">
        <x:v>Blank is unknown effort, not zero.</x:v>
      </x:c>
    </x:row>
    <x:row r="280" ht="70" customHeight="1">
      <x:c r="A280" s="194" t="str">
        <x:v>T-262</x:v>
      </x:c>
      <x:c r="B280" s="194" t="str">
        <x:v>AO</x:v>
      </x:c>
      <x:c r="C280" s="194" t="str">
        <x:v>Evidence State</x:v>
      </x:c>
      <x:c r="D280" s="194"/>
      <x:c r="E280" s="194" t="str">
        <x:v>SOURCE PRESENT / UNCLOSED — closure unverified</x:v>
      </x:c>
      <x:c r="F280" s="194" t="str">
        <x:v>Distinguish existing source from accepted closure.</x:v>
      </x:c>
    </x:row>
    <x:row r="281" ht="70" customHeight="1">
      <x:c r="A281" s="194" t="str">
        <x:v>T-262</x:v>
      </x:c>
      <x:c r="B281" s="194" t="str">
        <x:v>AP</x:v>
      </x:c>
      <x:c r="C281" s="194" t="str">
        <x:v>Closure Evidence Basis</x:v>
      </x:c>
      <x:c r="D281" s="194"/>
      <x:c r="E281" s="194" t="str">
        <x:v>14-Sep source export and current review establish source presence. No accepted closure SHA/run supplied; not counted Done.</x:v>
      </x:c>
      <x:c r="F281" s="194" t="str">
        <x:v>Clarify source-present state.</x:v>
      </x:c>
    </x:row>
    <x:row r="282" ht="70" customHeight="1">
      <x:c r="A282" s="194" t="str">
        <x:v>T-262</x:v>
      </x:c>
      <x:c r="B282" s="194" t="str">
        <x:v>AR</x:v>
      </x:c>
      <x:c r="C282" s="194" t="str">
        <x:v>Estimate Status</x:v>
      </x:c>
      <x:c r="D282" s="194"/>
      <x:c r="E282" s="194" t="str">
        <x:v>UNESTIMATED</x:v>
      </x:c>
      <x:c r="F282" s="194" t="str">
        <x:v>Add explicit evidence / estimation provenance in repair revision.</x:v>
      </x:c>
    </x:row>
    <x:row r="283" ht="70" customHeight="1">
      <x:c r="A283" s="194" t="str">
        <x:v>T-148</x:v>
      </x:c>
      <x:c r="B283" s="194" t="str">
        <x:v>I</x:v>
      </x:c>
      <x:c r="C283" s="194" t="str">
        <x:v>Task Validation</x:v>
      </x:c>
      <x:c r="D283" s="194" t="str">
        <x:v>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x:v>
      </x:c>
      <x:c r="E283" s="194" t="str">
        <x:v>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
v2.22.1 —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x:v>
      </x:c>
      <x:c r="F283" s="194" t="str">
        <x:v>Restore the contract-only ruling to T-148; reject its misplaced copy on T-247.</x:v>
      </x:c>
    </x:row>
    <x:row r="284" ht="70" customHeight="1">
      <x:c r="A284" s="194" t="str">
        <x:v>T-148</x:v>
      </x:c>
      <x:c r="B284" s="194" t="str">
        <x:v>N</x:v>
      </x:c>
      <x:c r="C284" s="194" t="str">
        <x:v>Must Precede (IDs only)</x:v>
      </x:c>
      <x:c r="D284" s="194" t="str">
        <x:v>T-175; T-184; T-187</x:v>
      </x:c>
      <x:c r="E284" s="194" t="str">
        <x:v>T-248</x:v>
      </x:c>
      <x:c r="F284" s="194" t="str">
        <x:v>Repair positional corruption using task-keyed baseline and approved edit dataset.</x:v>
      </x:c>
    </x:row>
    <x:row r="285" ht="70" customHeight="1">
      <x:c r="A285" s="194" t="str">
        <x:v>T-148</x:v>
      </x:c>
      <x:c r="B285" s="194" t="str">
        <x:v>T</x:v>
      </x:c>
      <x:c r="C285" s="194" t="str">
        <x:v>AI Start / Dependency Gate</x:v>
      </x:c>
      <x:c r="D285" s="194" t="str">
        <x:v>M1 continuity frozen + all target-route implementation owners available, incl...</x:v>
      </x:c>
      <x:c r="E285" s="194" t="str">
        <x:v>R1 route inventory and six shell contracts frozen. Contract-ready handoffs from T-196/T-197/T-198/T-199/T-200 are recorded separately in column AN. Do not wait for the entire M3 implementation or ship a simulated M3 page.</x:v>
      </x:c>
      <x:c r="F285" s="194" t="str">
        <x:v>Repair positional corruption using task-keyed baseline and approved edit dataset.</x:v>
      </x:c>
    </x:row>
    <x:row r="286" ht="70" customHeight="1">
      <x:c r="A286" s="194" t="str">
        <x:v>T-148</x:v>
      </x:c>
      <x:c r="B286" s="194" t="str">
        <x:v>V</x:v>
      </x:c>
      <x:c r="C286" s="194" t="str">
        <x:v>No-Rework Handoff Ruling</x:v>
      </x:c>
      <x:c r="D286" s="194" t="str">
        <x:v>Commit before downstream consumer starts; consumer must use the contract, not redesign producer-owned semantics.</x:v>
      </x:c>
      <x:c r="E286" s="194" t="str">
        <x:v>Commit before downstream consumer starts; consumer must use the contract, not redesign producer-owned semantics.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x:v>
      </x:c>
      <x:c r="F286" s="194" t="str">
        <x:v>Repair positional corruption using task-keyed baseline and approved edit dataset.</x:v>
      </x:c>
    </x:row>
    <x:row r="287" ht="70" customHeight="1">
      <x:c r="A287" s="194" t="str">
        <x:v>T-148</x:v>
      </x:c>
      <x:c r="B287" s="194" t="str">
        <x:v>AN</x:v>
      </x:c>
      <x:c r="C287" s="194" t="str">
        <x:v>Contract-ready predecessors (not completion)</x:v>
      </x:c>
      <x:c r="D287" s="194"/>
      <x:c r="E287" s="194" t="str">
        <x:v>T-196; T-197; T-198; T-199; T-200</x:v>
      </x:c>
      <x:c r="F287" s="194" t="str">
        <x:v>Repair positional corruption using task-keyed baseline and approved edit dataset.</x:v>
      </x:c>
    </x:row>
    <x:row r="288" ht="70" customHeight="1">
      <x:c r="A288" s="194" t="str">
        <x:v>T-148</x:v>
      </x:c>
      <x:c r="B288" s="194" t="str">
        <x:v>AO</x:v>
      </x:c>
      <x:c r="C288" s="194" t="str">
        <x:v>Evidence State</x:v>
      </x:c>
      <x:c r="D288" s="194"/>
      <x:c r="E288" s="194" t="str">
        <x:v>Not started — no completion claimed</x:v>
      </x:c>
      <x:c r="F288" s="194" t="str">
        <x:v>Add explicit evidence / estimation provenance in repair revision.</x:v>
      </x:c>
    </x:row>
    <x:row r="289" ht="70" customHeight="1">
      <x:c r="A289" s="194" t="str">
        <x:v>T-148</x:v>
      </x:c>
      <x:c r="B289" s="194" t="str">
        <x:v>AP</x:v>
      </x:c>
      <x:c r="C289" s="194" t="str">
        <x:v>Closure Evidence Basis</x:v>
      </x:c>
      <x:c r="D289" s="194"/>
      <x:c r="E289" s="194" t="str">
        <x:v>Inherited v2.22.0 intended record; no new runtime certification in this repair.</x:v>
      </x:c>
      <x:c r="F289" s="194" t="str">
        <x:v>Add explicit evidence / estimation provenance in repair revision.</x:v>
      </x:c>
    </x:row>
    <x:row r="290" ht="70" customHeight="1">
      <x:c r="A290" s="194" t="str">
        <x:v>T-148</x:v>
      </x:c>
      <x:c r="B290" s="194" t="str">
        <x:v>AR</x:v>
      </x:c>
      <x:c r="C290" s="194" t="str">
        <x:v>Estimate Status</x:v>
      </x:c>
      <x:c r="D290" s="194"/>
      <x:c r="E290" s="194" t="str">
        <x:v>INHERITED ESTIMATE</x:v>
      </x:c>
      <x:c r="F290" s="194" t="str">
        <x:v>Add explicit evidence / estimation provenance in repair revision.</x:v>
      </x:c>
    </x:row>
    <x:row r="291" ht="70" customHeight="1">
      <x:c r="A291" s="194" t="str">
        <x:v>T-215</x:v>
      </x:c>
      <x:c r="B291" s="194" t="str">
        <x:v>M</x:v>
      </x:c>
      <x:c r="C291" s="194" t="str">
        <x:v>Depends On (IDs only)</x:v>
      </x:c>
      <x:c r="D291" s="194"/>
      <x:c r="E291" s="194" t="str">
        <x:v>T-092; T-214; T-232</x:v>
      </x:c>
      <x:c r="F291" s="194" t="str">
        <x:v>Repair positional corruption using task-keyed baseline and approved edit dataset.</x:v>
      </x:c>
    </x:row>
    <x:row r="292" ht="70" customHeight="1">
      <x:c r="A292" s="194" t="str">
        <x:v>T-215</x:v>
      </x:c>
      <x:c r="B292" s="194" t="str">
        <x:v>N</x:v>
      </x:c>
      <x:c r="C292" s="194" t="str">
        <x:v>Must Precede (IDs only)</x:v>
      </x:c>
      <x:c r="D292" s="194" t="str">
        <x:v>T-185; T-187</x:v>
      </x:c>
      <x:c r="E292" s="194" t="str">
        <x:v>T-150; T-222</x:v>
      </x:c>
      <x:c r="F292" s="194" t="str">
        <x:v>Repair positional corruption using task-keyed baseline and approved edit dataset.</x:v>
      </x:c>
    </x:row>
    <x:row r="293" ht="70" customHeight="1">
      <x:c r="A293" s="194" t="str">
        <x:v>T-215</x:v>
      </x:c>
      <x:c r="B293" s="194" t="str">
        <x:v>AO</x:v>
      </x:c>
      <x:c r="C293" s="194" t="str">
        <x:v>Evidence State</x:v>
      </x:c>
      <x:c r="D293" s="194"/>
      <x:c r="E293" s="194" t="str">
        <x:v>Not started — no completion claimed</x:v>
      </x:c>
      <x:c r="F293" s="194" t="str">
        <x:v>Add explicit evidence / estimation provenance in repair revision.</x:v>
      </x:c>
    </x:row>
    <x:row r="294" ht="70" customHeight="1">
      <x:c r="A294" s="194" t="str">
        <x:v>T-215</x:v>
      </x:c>
      <x:c r="B294" s="194" t="str">
        <x:v>AP</x:v>
      </x:c>
      <x:c r="C294" s="194" t="str">
        <x:v>Closure Evidence Basis</x:v>
      </x:c>
      <x:c r="D294" s="194"/>
      <x:c r="E294" s="194" t="str">
        <x:v>Inherited v2.22.0 intended record; no new runtime certification in this repair.</x:v>
      </x:c>
      <x:c r="F294" s="194" t="str">
        <x:v>Add explicit evidence / estimation provenance in repair revision.</x:v>
      </x:c>
    </x:row>
    <x:row r="295" ht="70" customHeight="1">
      <x:c r="A295" s="194" t="str">
        <x:v>T-215</x:v>
      </x:c>
      <x:c r="B295" s="194" t="str">
        <x:v>AR</x:v>
      </x:c>
      <x:c r="C295" s="194" t="str">
        <x:v>Estimate Status</x:v>
      </x:c>
      <x:c r="D295" s="194"/>
      <x:c r="E295" s="194" t="str">
        <x:v>INHERITED ESTIMATE</x:v>
      </x:c>
      <x:c r="F295" s="194" t="str">
        <x:v>Add explicit evidence / estimation provenance in repair revision.</x:v>
      </x:c>
    </x:row>
    <x:row r="296" ht="70" customHeight="1">
      <x:c r="A296" s="194" t="str">
        <x:v>T-222</x:v>
      </x:c>
      <x:c r="B296" s="194" t="str">
        <x:v>M</x:v>
      </x:c>
      <x:c r="C296" s="194" t="str">
        <x:v>Depends On (IDs only)</x:v>
      </x:c>
      <x:c r="D296" s="194"/>
      <x:c r="E296" s="194" t="str">
        <x:v>T-219; T-220; T-215; T-203; T-204</x:v>
      </x:c>
      <x:c r="F296" s="194" t="str">
        <x:v>Repair positional corruption using task-keyed baseline and approved edit dataset.</x:v>
      </x:c>
    </x:row>
    <x:row r="297" ht="70" customHeight="1">
      <x:c r="A297" s="194" t="str">
        <x:v>T-222</x:v>
      </x:c>
      <x:c r="B297" s="194" t="str">
        <x:v>N</x:v>
      </x:c>
      <x:c r="C297" s="194" t="str">
        <x:v>Must Precede (IDs only)</x:v>
      </x:c>
      <x:c r="D297" s="194" t="str">
        <x:v>T-131; T-186; T-187</x:v>
      </x:c>
      <x:c r="E297" s="194" t="str">
        <x:v>T-150</x:v>
      </x:c>
      <x:c r="F297" s="194" t="str">
        <x:v>Repair positional corruption using task-keyed baseline and approved edit dataset.</x:v>
      </x:c>
    </x:row>
    <x:row r="298" ht="70" customHeight="1">
      <x:c r="A298" s="194" t="str">
        <x:v>T-222</x:v>
      </x:c>
      <x:c r="B298" s="194" t="str">
        <x:v>AO</x:v>
      </x:c>
      <x:c r="C298" s="194" t="str">
        <x:v>Evidence State</x:v>
      </x:c>
      <x:c r="D298" s="194"/>
      <x:c r="E298" s="194" t="str">
        <x:v>Not started — no completion claimed</x:v>
      </x:c>
      <x:c r="F298" s="194" t="str">
        <x:v>Add explicit evidence / estimation provenance in repair revision.</x:v>
      </x:c>
    </x:row>
    <x:row r="299" ht="70" customHeight="1">
      <x:c r="A299" s="194" t="str">
        <x:v>T-222</x:v>
      </x:c>
      <x:c r="B299" s="194" t="str">
        <x:v>AP</x:v>
      </x:c>
      <x:c r="C299" s="194" t="str">
        <x:v>Closure Evidence Basis</x:v>
      </x:c>
      <x:c r="D299" s="194"/>
      <x:c r="E299" s="194" t="str">
        <x:v>Inherited v2.22.0 intended record; no new runtime certification in this repair.</x:v>
      </x:c>
      <x:c r="F299" s="194" t="str">
        <x:v>Add explicit evidence / estimation provenance in repair revision.</x:v>
      </x:c>
    </x:row>
    <x:row r="300" ht="70" customHeight="1">
      <x:c r="A300" s="194" t="str">
        <x:v>T-222</x:v>
      </x:c>
      <x:c r="B300" s="194" t="str">
        <x:v>AR</x:v>
      </x:c>
      <x:c r="C300" s="194" t="str">
        <x:v>Estimate Status</x:v>
      </x:c>
      <x:c r="D300" s="194"/>
      <x:c r="E300" s="194" t="str">
        <x:v>INHERITED ESTIMATE</x:v>
      </x:c>
      <x:c r="F300" s="194" t="str">
        <x:v>Add explicit evidence / estimation provenance in repair revision.</x:v>
      </x:c>
    </x:row>
    <x:row r="301" ht="70" customHeight="1">
      <x:c r="A301" s="194" t="str">
        <x:v>T-258</x:v>
      </x:c>
      <x:c r="B301" s="194" t="str">
        <x:v>M</x:v>
      </x:c>
      <x:c r="C301" s="194" t="str">
        <x:v>Depends On (IDs only)</x:v>
      </x:c>
      <x:c r="D301" s="194"/>
      <x:c r="E301" s="194" t="str">
        <x:v>T-094; T-250; T-256</x:v>
      </x:c>
      <x:c r="F301" s="194" t="str">
        <x:v>Repair positional corruption using task-keyed baseline and approved edit dataset.</x:v>
      </x:c>
    </x:row>
    <x:row r="302" ht="70" customHeight="1">
      <x:c r="A302" s="194" t="str">
        <x:v>T-258</x:v>
      </x:c>
      <x:c r="B302" s="194" t="str">
        <x:v>N</x:v>
      </x:c>
      <x:c r="C302" s="194" t="str">
        <x:v>Must Precede (IDs only)</x:v>
      </x:c>
      <x:c r="D302" s="194" t="str">
        <x:v>T-187</x:v>
      </x:c>
      <x:c r="E302" s="194" t="str">
        <x:v>T-150; T-247</x:v>
      </x:c>
      <x:c r="F302" s="194" t="str">
        <x:v>Repair positional corruption using task-keyed baseline and approved edit dataset.</x:v>
      </x:c>
    </x:row>
    <x:row r="303" ht="70" customHeight="1">
      <x:c r="A303" s="194" t="str">
        <x:v>T-258</x:v>
      </x:c>
      <x:c r="B303" s="194" t="str">
        <x:v>AO</x:v>
      </x:c>
      <x:c r="C303" s="194" t="str">
        <x:v>Evidence State</x:v>
      </x:c>
      <x:c r="D303" s="194"/>
      <x:c r="E303" s="194" t="str">
        <x:v>Not started — no completion claimed</x:v>
      </x:c>
      <x:c r="F303" s="194" t="str">
        <x:v>Add explicit evidence / estimation provenance in repair revision.</x:v>
      </x:c>
    </x:row>
    <x:row r="304" ht="70" customHeight="1">
      <x:c r="A304" s="194" t="str">
        <x:v>T-258</x:v>
      </x:c>
      <x:c r="B304" s="194" t="str">
        <x:v>AP</x:v>
      </x:c>
      <x:c r="C304" s="194" t="str">
        <x:v>Closure Evidence Basis</x:v>
      </x:c>
      <x:c r="D304" s="194"/>
      <x:c r="E304" s="194" t="str">
        <x:v>Inherited v2.22.0 intended record; no new runtime certification in this repair.</x:v>
      </x:c>
      <x:c r="F304" s="194" t="str">
        <x:v>Add explicit evidence / estimation provenance in repair revision.</x:v>
      </x:c>
    </x:row>
    <x:row r="305" ht="70" customHeight="1">
      <x:c r="A305" s="194" t="str">
        <x:v>T-258</x:v>
      </x:c>
      <x:c r="B305" s="194" t="str">
        <x:v>AR</x:v>
      </x:c>
      <x:c r="C305" s="194" t="str">
        <x:v>Estimate Status</x:v>
      </x:c>
      <x:c r="D305" s="194"/>
      <x:c r="E305" s="194" t="str">
        <x:v>INHERITED ESTIMATE</x:v>
      </x:c>
      <x:c r="F305" s="194" t="str">
        <x:v>Add explicit evidence / estimation provenance in repair revision.</x:v>
      </x:c>
    </x:row>
    <x:row r="306" ht="70" customHeight="1">
      <x:c r="A306" s="194" t="str">
        <x:v>T-137</x:v>
      </x:c>
      <x:c r="B306" s="194" t="str">
        <x:v>N</x:v>
      </x:c>
      <x:c r="C306" s="194" t="str">
        <x:v>Must Precede (IDs only)</x:v>
      </x:c>
      <x:c r="D306" s="194" t="str">
        <x:v>T-140; T-187</x:v>
      </x:c>
      <x:c r="E306" s="194" t="str">
        <x:v>T-122; T-138; T-246</x:v>
      </x:c>
      <x:c r="F306" s="194" t="str">
        <x:v>Repair positional corruption using task-keyed baseline and approved edit dataset.</x:v>
      </x:c>
    </x:row>
    <x:row r="307" ht="70" customHeight="1">
      <x:c r="A307" s="194" t="str">
        <x:v>T-137</x:v>
      </x:c>
      <x:c r="B307" s="194" t="str">
        <x:v>AO</x:v>
      </x:c>
      <x:c r="C307" s="194" t="str">
        <x:v>Evidence State</x:v>
      </x:c>
      <x:c r="D307" s="194"/>
      <x:c r="E307" s="194" t="str">
        <x:v>Recorded closed — inherited evidence</x:v>
      </x:c>
      <x:c r="F307" s="194" t="str">
        <x:v>Add explicit evidence / estimation provenance in repair revision.</x:v>
      </x:c>
    </x:row>
    <x:row r="308" ht="70" customHeight="1">
      <x:c r="A308" s="194" t="str">
        <x:v>T-137</x:v>
      </x:c>
      <x:c r="B308" s="194" t="str">
        <x:v>AP</x:v>
      </x:c>
      <x:c r="C308" s="194" t="str">
        <x:v>Closure Evidence Basis</x:v>
      </x:c>
      <x:c r="D308" s="194"/>
      <x:c r="E308" s="194" t="str">
        <x:v>Inherited v2.22.0 intended record; no new runtime certification in this repair.</x:v>
      </x:c>
      <x:c r="F308" s="194" t="str">
        <x:v>Add explicit evidence / estimation provenance in repair revision.</x:v>
      </x:c>
    </x:row>
    <x:row r="309" ht="70" customHeight="1">
      <x:c r="A309" s="194" t="str">
        <x:v>T-137</x:v>
      </x:c>
      <x:c r="B309" s="194" t="str">
        <x:v>AR</x:v>
      </x:c>
      <x:c r="C309" s="194" t="str">
        <x:v>Estimate Status</x:v>
      </x:c>
      <x:c r="D309" s="194"/>
      <x:c r="E309" s="194" t="str">
        <x:v>INHERITED ESTIMATE</x:v>
      </x:c>
      <x:c r="F309" s="194" t="str">
        <x:v>Add explicit evidence / estimation provenance in repair revision.</x:v>
      </x:c>
    </x:row>
    <x:row r="310" ht="70" customHeight="1">
      <x:c r="A310" s="194" t="str">
        <x:v>T-168</x:v>
      </x:c>
      <x:c r="B310" s="194" t="str">
        <x:v>N</x:v>
      </x:c>
      <x:c r="C310" s="194" t="str">
        <x:v>Must Precede (IDs only)</x:v>
      </x:c>
      <x:c r="D310" s="194" t="str">
        <x:v>T-187</x:v>
      </x:c>
      <x:c r="E310" s="194" t="str">
        <x:v>T-122; T-175; T-187</x:v>
      </x:c>
      <x:c r="F310" s="194" t="str">
        <x:v>Repair positional corruption using task-keyed baseline and approved edit dataset.</x:v>
      </x:c>
    </x:row>
    <x:row r="311" ht="70" customHeight="1">
      <x:c r="A311" s="194" t="str">
        <x:v>T-168</x:v>
      </x:c>
      <x:c r="B311" s="194" t="str">
        <x:v>AO</x:v>
      </x:c>
      <x:c r="C311" s="194" t="str">
        <x:v>Evidence State</x:v>
      </x:c>
      <x:c r="D311" s="194"/>
      <x:c r="E311" s="194" t="str">
        <x:v>Recorded closed — inherited evidence</x:v>
      </x:c>
      <x:c r="F311" s="194" t="str">
        <x:v>Add explicit evidence / estimation provenance in repair revision.</x:v>
      </x:c>
    </x:row>
    <x:row r="312" ht="70" customHeight="1">
      <x:c r="A312" s="194" t="str">
        <x:v>T-168</x:v>
      </x:c>
      <x:c r="B312" s="194" t="str">
        <x:v>AP</x:v>
      </x:c>
      <x:c r="C312" s="194" t="str">
        <x:v>Closure Evidence Basis</x:v>
      </x:c>
      <x:c r="D312" s="194"/>
      <x:c r="E312" s="194" t="str">
        <x:v>Inherited v2.22.0 intended record; no new runtime certification in this repair.</x:v>
      </x:c>
      <x:c r="F312" s="194" t="str">
        <x:v>Add explicit evidence / estimation provenance in repair revision.</x:v>
      </x:c>
    </x:row>
    <x:row r="313" ht="70" customHeight="1">
      <x:c r="A313" s="194" t="str">
        <x:v>T-168</x:v>
      </x:c>
      <x:c r="B313" s="194" t="str">
        <x:v>AR</x:v>
      </x:c>
      <x:c r="C313" s="194" t="str">
        <x:v>Estimate Status</x:v>
      </x:c>
      <x:c r="D313" s="194"/>
      <x:c r="E313" s="194" t="str">
        <x:v>INHERITED ESTIMATE</x:v>
      </x:c>
      <x:c r="F313" s="194" t="str">
        <x:v>Add explicit evidence / estimation provenance in repair revision.</x:v>
      </x:c>
    </x:row>
    <x:row r="314" ht="70" customHeight="1">
      <x:c r="A314" s="194" t="str">
        <x:v>T-169</x:v>
      </x:c>
      <x:c r="B314" s="194" t="str">
        <x:v>M</x:v>
      </x:c>
      <x:c r="C314" s="194" t="str">
        <x:v>Depends On (IDs only)</x:v>
      </x:c>
      <x:c r="D314" s="194" t="str">
        <x:v>T-168; T-169</x:v>
      </x:c>
      <x:c r="E314" s="194"/>
      <x:c r="F314" s="194" t="str">
        <x:v>Repair positional corruption using task-keyed baseline and approved edit dataset.</x:v>
      </x:c>
    </x:row>
    <x:row r="315" ht="70" customHeight="1">
      <x:c r="A315" s="194" t="str">
        <x:v>T-169</x:v>
      </x:c>
      <x:c r="B315" s="194" t="str">
        <x:v>N</x:v>
      </x:c>
      <x:c r="C315" s="194" t="str">
        <x:v>Must Precede (IDs only)</x:v>
      </x:c>
      <x:c r="D315" s="194" t="str">
        <x:v>T-187</x:v>
      </x:c>
      <x:c r="E315" s="194" t="str">
        <x:v>T-175; T-184; T-187</x:v>
      </x:c>
      <x:c r="F315" s="194" t="str">
        <x:v>Repair positional corruption using task-keyed baseline and approved edit dataset.</x:v>
      </x:c>
    </x:row>
    <x:row r="316" ht="70" customHeight="1">
      <x:c r="A316" s="194" t="str">
        <x:v>T-169</x:v>
      </x:c>
      <x:c r="B316" s="194" t="str">
        <x:v>AO</x:v>
      </x:c>
      <x:c r="C316" s="194" t="str">
        <x:v>Evidence State</x:v>
      </x:c>
      <x:c r="D316" s="194"/>
      <x:c r="E316" s="194" t="str">
        <x:v>Recorded closed — inherited evidence</x:v>
      </x:c>
      <x:c r="F316" s="194" t="str">
        <x:v>Add explicit evidence / estimation provenance in repair revision.</x:v>
      </x:c>
    </x:row>
    <x:row r="317" ht="70" customHeight="1">
      <x:c r="A317" s="194" t="str">
        <x:v>T-169</x:v>
      </x:c>
      <x:c r="B317" s="194" t="str">
        <x:v>AP</x:v>
      </x:c>
      <x:c r="C317" s="194" t="str">
        <x:v>Closure Evidence Basis</x:v>
      </x:c>
      <x:c r="D317" s="194"/>
      <x:c r="E317" s="194" t="str">
        <x:v>Inherited v2.22.0 intended record; no new runtime certification in this repair.</x:v>
      </x:c>
      <x:c r="F317" s="194" t="str">
        <x:v>Add explicit evidence / estimation provenance in repair revision.</x:v>
      </x:c>
    </x:row>
    <x:row r="318" ht="70" customHeight="1">
      <x:c r="A318" s="194" t="str">
        <x:v>T-169</x:v>
      </x:c>
      <x:c r="B318" s="194" t="str">
        <x:v>AR</x:v>
      </x:c>
      <x:c r="C318" s="194" t="str">
        <x:v>Estimate Status</x:v>
      </x:c>
      <x:c r="D318" s="194"/>
      <x:c r="E318" s="194" t="str">
        <x:v>INHERITED ESTIMATE</x:v>
      </x:c>
      <x:c r="F318" s="194" t="str">
        <x:v>Add explicit evidence / estimation provenance in repair revision.</x:v>
      </x:c>
    </x:row>
    <x:row r="319" ht="70" customHeight="1">
      <x:c r="A319" s="194" t="str">
        <x:v>T-170</x:v>
      </x:c>
      <x:c r="B319" s="194" t="str">
        <x:v>N</x:v>
      </x:c>
      <x:c r="C319" s="194" t="str">
        <x:v>Must Precede (IDs only)</x:v>
      </x:c>
      <x:c r="D319" s="194" t="str">
        <x:v>T-140; T-187; T-191</x:v>
      </x:c>
      <x:c r="E319" s="194" t="str">
        <x:v>T-185; T-187</x:v>
      </x:c>
      <x:c r="F319" s="194" t="str">
        <x:v>Repair positional corruption using task-keyed baseline and approved edit dataset.</x:v>
      </x:c>
    </x:row>
    <x:row r="320" ht="70" customHeight="1">
      <x:c r="A320" s="194" t="str">
        <x:v>T-170</x:v>
      </x:c>
      <x:c r="B320" s="194" t="str">
        <x:v>AO</x:v>
      </x:c>
      <x:c r="C320" s="194" t="str">
        <x:v>Evidence State</x:v>
      </x:c>
      <x:c r="D320" s="194"/>
      <x:c r="E320" s="194" t="str">
        <x:v>Recorded closed — inherited evidence</x:v>
      </x:c>
      <x:c r="F320" s="194" t="str">
        <x:v>Add explicit evidence / estimation provenance in repair revision.</x:v>
      </x:c>
    </x:row>
    <x:row r="321" ht="70" customHeight="1">
      <x:c r="A321" s="194" t="str">
        <x:v>T-170</x:v>
      </x:c>
      <x:c r="B321" s="194" t="str">
        <x:v>AP</x:v>
      </x:c>
      <x:c r="C321" s="194" t="str">
        <x:v>Closure Evidence Basis</x:v>
      </x:c>
      <x:c r="D321" s="194"/>
      <x:c r="E321" s="194" t="str">
        <x:v>Inherited v2.22.0 intended record; no new runtime certification in this repair.</x:v>
      </x:c>
      <x:c r="F321" s="194" t="str">
        <x:v>Add explicit evidence / estimation provenance in repair revision.</x:v>
      </x:c>
    </x:row>
    <x:row r="322" ht="70" customHeight="1">
      <x:c r="A322" s="194" t="str">
        <x:v>T-170</x:v>
      </x:c>
      <x:c r="B322" s="194" t="str">
        <x:v>AR</x:v>
      </x:c>
      <x:c r="C322" s="194" t="str">
        <x:v>Estimate Status</x:v>
      </x:c>
      <x:c r="D322" s="194"/>
      <x:c r="E322" s="194" t="str">
        <x:v>INHERITED ESTIMATE</x:v>
      </x:c>
      <x:c r="F322" s="194" t="str">
        <x:v>Add explicit evidence / estimation provenance in repair revision.</x:v>
      </x:c>
    </x:row>
    <x:row r="323" ht="70" customHeight="1">
      <x:c r="A323" s="194" t="str">
        <x:v>T-171</x:v>
      </x:c>
      <x:c r="B323" s="194" t="str">
        <x:v>N</x:v>
      </x:c>
      <x:c r="C323" s="194" t="str">
        <x:v>Must Precede (IDs only)</x:v>
      </x:c>
      <x:c r="D323" s="194" t="str">
        <x:v>T-146; T-147</x:v>
      </x:c>
      <x:c r="E323" s="194" t="str">
        <x:v>T-131; T-186; T-187</x:v>
      </x:c>
      <x:c r="F323" s="194" t="str">
        <x:v>Repair positional corruption using task-keyed baseline and approved edit dataset.</x:v>
      </x:c>
    </x:row>
    <x:row r="324" ht="70" customHeight="1">
      <x:c r="A324" s="194" t="str">
        <x:v>T-171</x:v>
      </x:c>
      <x:c r="B324" s="194" t="str">
        <x:v>AO</x:v>
      </x:c>
      <x:c r="C324" s="194" t="str">
        <x:v>Evidence State</x:v>
      </x:c>
      <x:c r="D324" s="194"/>
      <x:c r="E324" s="194" t="str">
        <x:v>Recorded closed — inherited evidence</x:v>
      </x:c>
      <x:c r="F324" s="194" t="str">
        <x:v>Add explicit evidence / estimation provenance in repair revision.</x:v>
      </x:c>
    </x:row>
    <x:row r="325" ht="70" customHeight="1">
      <x:c r="A325" s="194" t="str">
        <x:v>T-171</x:v>
      </x:c>
      <x:c r="B325" s="194" t="str">
        <x:v>AP</x:v>
      </x:c>
      <x:c r="C325" s="194" t="str">
        <x:v>Closure Evidence Basis</x:v>
      </x:c>
      <x:c r="D325" s="194"/>
      <x:c r="E325" s="194" t="str">
        <x:v>Inherited v2.22.0 intended record; no new runtime certification in this repair.</x:v>
      </x:c>
      <x:c r="F325" s="194" t="str">
        <x:v>Add explicit evidence / estimation provenance in repair revision.</x:v>
      </x:c>
    </x:row>
    <x:row r="326" ht="70" customHeight="1">
      <x:c r="A326" s="194" t="str">
        <x:v>T-171</x:v>
      </x:c>
      <x:c r="B326" s="194" t="str">
        <x:v>AR</x:v>
      </x:c>
      <x:c r="C326" s="194" t="str">
        <x:v>Estimate Status</x:v>
      </x:c>
      <x:c r="D326" s="194"/>
      <x:c r="E326" s="194" t="str">
        <x:v>INHERITED ESTIMATE</x:v>
      </x:c>
      <x:c r="F326" s="194" t="str">
        <x:v>Add explicit evidence / estimation provenance in repair revision.</x:v>
      </x:c>
    </x:row>
    <x:row r="327" ht="70" customHeight="1">
      <x:c r="A327" s="194" t="str">
        <x:v>T-172</x:v>
      </x:c>
      <x:c r="B327" s="194" t="str">
        <x:v>N</x:v>
      </x:c>
      <x:c r="C327" s="194" t="str">
        <x:v>Must Precede (IDs only)</x:v>
      </x:c>
      <x:c r="D327" s="194" t="str">
        <x:v>T-143</x:v>
      </x:c>
      <x:c r="E327" s="194" t="str">
        <x:v>T-187</x:v>
      </x:c>
      <x:c r="F327" s="194" t="str">
        <x:v>Repair positional corruption using task-keyed baseline and approved edit dataset.</x:v>
      </x:c>
    </x:row>
    <x:row r="328" ht="70" customHeight="1">
      <x:c r="A328" s="194" t="str">
        <x:v>T-172</x:v>
      </x:c>
      <x:c r="B328" s="194" t="str">
        <x:v>AO</x:v>
      </x:c>
      <x:c r="C328" s="194" t="str">
        <x:v>Evidence State</x:v>
      </x:c>
      <x:c r="D328" s="194"/>
      <x:c r="E328" s="194" t="str">
        <x:v>Recorded closed — inherited evidence</x:v>
      </x:c>
      <x:c r="F328" s="194" t="str">
        <x:v>Add explicit evidence / estimation provenance in repair revision.</x:v>
      </x:c>
    </x:row>
    <x:row r="329" ht="70" customHeight="1">
      <x:c r="A329" s="194" t="str">
        <x:v>T-172</x:v>
      </x:c>
      <x:c r="B329" s="194" t="str">
        <x:v>AP</x:v>
      </x:c>
      <x:c r="C329" s="194" t="str">
        <x:v>Closure Evidence Basis</x:v>
      </x:c>
      <x:c r="D329" s="194"/>
      <x:c r="E329" s="194" t="str">
        <x:v>Inherited v2.22.0 intended record; no new runtime certification in this repair.</x:v>
      </x:c>
      <x:c r="F329" s="194" t="str">
        <x:v>Add explicit evidence / estimation provenance in repair revision.</x:v>
      </x:c>
    </x:row>
    <x:row r="330" ht="70" customHeight="1">
      <x:c r="A330" s="194" t="str">
        <x:v>T-172</x:v>
      </x:c>
      <x:c r="B330" s="194" t="str">
        <x:v>AR</x:v>
      </x:c>
      <x:c r="C330" s="194" t="str">
        <x:v>Estimate Status</x:v>
      </x:c>
      <x:c r="D330" s="194"/>
      <x:c r="E330" s="194" t="str">
        <x:v>INHERITED ESTIMATE</x:v>
      </x:c>
      <x:c r="F330" s="194" t="str">
        <x:v>Add explicit evidence / estimation provenance in repair revision.</x:v>
      </x:c>
    </x:row>
    <x:row r="331" ht="70" customHeight="1">
      <x:c r="A331" s="194" t="str">
        <x:v>T-173</x:v>
      </x:c>
      <x:c r="B331" s="194" t="str">
        <x:v>N</x:v>
      </x:c>
      <x:c r="C331" s="194" t="str">
        <x:v>Must Precede (IDs only)</x:v>
      </x:c>
      <x:c r="D331" s="194" t="str">
        <x:v>T-138; T-223; T-228</x:v>
      </x:c>
      <x:c r="E331" s="194" t="str">
        <x:v>T-140; T-187</x:v>
      </x:c>
      <x:c r="F331" s="194" t="str">
        <x:v>Repair positional corruption using task-keyed baseline and approved edit dataset.</x:v>
      </x:c>
    </x:row>
    <x:row r="332" ht="70" customHeight="1">
      <x:c r="A332" s="194" t="str">
        <x:v>T-173</x:v>
      </x:c>
      <x:c r="B332" s="194" t="str">
        <x:v>AO</x:v>
      </x:c>
      <x:c r="C332" s="194" t="str">
        <x:v>Evidence State</x:v>
      </x:c>
      <x:c r="D332" s="194"/>
      <x:c r="E332" s="194" t="str">
        <x:v>Recorded closed — inherited evidence</x:v>
      </x:c>
      <x:c r="F332" s="194" t="str">
        <x:v>Add explicit evidence / estimation provenance in repair revision.</x:v>
      </x:c>
    </x:row>
    <x:row r="333" ht="70" customHeight="1">
      <x:c r="A333" s="194" t="str">
        <x:v>T-173</x:v>
      </x:c>
      <x:c r="B333" s="194" t="str">
        <x:v>AP</x:v>
      </x:c>
      <x:c r="C333" s="194" t="str">
        <x:v>Closure Evidence Basis</x:v>
      </x:c>
      <x:c r="D333" s="194"/>
      <x:c r="E333" s="194" t="str">
        <x:v>Inherited v2.22.0 intended record; no new runtime certification in this repair.</x:v>
      </x:c>
      <x:c r="F333" s="194" t="str">
        <x:v>Add explicit evidence / estimation provenance in repair revision.</x:v>
      </x:c>
    </x:row>
    <x:row r="334" ht="70" customHeight="1">
      <x:c r="A334" s="194" t="str">
        <x:v>T-173</x:v>
      </x:c>
      <x:c r="B334" s="194" t="str">
        <x:v>AR</x:v>
      </x:c>
      <x:c r="C334" s="194" t="str">
        <x:v>Estimate Status</x:v>
      </x:c>
      <x:c r="D334" s="194"/>
      <x:c r="E334" s="194" t="str">
        <x:v>INHERITED ESTIMATE</x:v>
      </x:c>
      <x:c r="F334" s="194" t="str">
        <x:v>Add explicit evidence / estimation provenance in repair revision.</x:v>
      </x:c>
    </x:row>
    <x:row r="335" ht="70" customHeight="1">
      <x:c r="A335" s="194" t="str">
        <x:v>T-174</x:v>
      </x:c>
      <x:c r="B335" s="194" t="str">
        <x:v>N</x:v>
      </x:c>
      <x:c r="C335" s="194" t="str">
        <x:v>Must Precede (IDs only)</x:v>
      </x:c>
      <x:c r="D335" s="194" t="str">
        <x:v>T-138; T-223; T-228</x:v>
      </x:c>
      <x:c r="E335" s="194" t="str">
        <x:v>T-187</x:v>
      </x:c>
      <x:c r="F335" s="194" t="str">
        <x:v>Repair positional corruption using task-keyed baseline and approved edit dataset.</x:v>
      </x:c>
    </x:row>
    <x:row r="336" ht="70" customHeight="1">
      <x:c r="A336" s="194" t="str">
        <x:v>T-174</x:v>
      </x:c>
      <x:c r="B336" s="194" t="str">
        <x:v>AO</x:v>
      </x:c>
      <x:c r="C336" s="194" t="str">
        <x:v>Evidence State</x:v>
      </x:c>
      <x:c r="D336" s="194"/>
      <x:c r="E336" s="194" t="str">
        <x:v>Recorded closed — inherited evidence</x:v>
      </x:c>
      <x:c r="F336" s="194" t="str">
        <x:v>Add explicit evidence / estimation provenance in repair revision.</x:v>
      </x:c>
    </x:row>
    <x:row r="337" ht="70" customHeight="1">
      <x:c r="A337" s="194" t="str">
        <x:v>T-174</x:v>
      </x:c>
      <x:c r="B337" s="194" t="str">
        <x:v>AP</x:v>
      </x:c>
      <x:c r="C337" s="194" t="str">
        <x:v>Closure Evidence Basis</x:v>
      </x:c>
      <x:c r="D337" s="194"/>
      <x:c r="E337" s="194" t="str">
        <x:v>Inherited v2.22.0 intended record; no new runtime certification in this repair.</x:v>
      </x:c>
      <x:c r="F337" s="194" t="str">
        <x:v>Add explicit evidence / estimation provenance in repair revision.</x:v>
      </x:c>
    </x:row>
    <x:row r="338" ht="70" customHeight="1">
      <x:c r="A338" s="194" t="str">
        <x:v>T-174</x:v>
      </x:c>
      <x:c r="B338" s="194" t="str">
        <x:v>AR</x:v>
      </x:c>
      <x:c r="C338" s="194" t="str">
        <x:v>Estimate Status</x:v>
      </x:c>
      <x:c r="D338" s="194"/>
      <x:c r="E338" s="194" t="str">
        <x:v>INHERITED ESTIMATE</x:v>
      </x:c>
      <x:c r="F338" s="194" t="str">
        <x:v>Add explicit evidence / estimation provenance in repair revision.</x:v>
      </x:c>
    </x:row>
    <x:row r="339" ht="70" customHeight="1">
      <x:c r="A339" s="194" t="str">
        <x:v>T-175</x:v>
      </x:c>
      <x:c r="B339" s="194" t="str">
        <x:v>M</x:v>
      </x:c>
      <x:c r="C339" s="194" t="str">
        <x:v>Depends On (IDs only)</x:v>
      </x:c>
      <x:c r="D339" s="194"/>
      <x:c r="E339" s="194" t="str">
        <x:v>T-168; T-169</x:v>
      </x:c>
      <x:c r="F339" s="194" t="str">
        <x:v>Repair positional corruption using task-keyed baseline and approved edit dataset.</x:v>
      </x:c>
    </x:row>
    <x:row r="340" ht="70" customHeight="1">
      <x:c r="A340" s="194" t="str">
        <x:v>T-175</x:v>
      </x:c>
      <x:c r="B340" s="194" t="str">
        <x:v>N</x:v>
      </x:c>
      <x:c r="C340" s="194" t="str">
        <x:v>Must Precede (IDs only)</x:v>
      </x:c>
      <x:c r="D340" s="194" t="str">
        <x:v>T-138; T-223; T-228</x:v>
      </x:c>
      <x:c r="E340" s="194" t="str">
        <x:v>T-187</x:v>
      </x:c>
      <x:c r="F340" s="194" t="str">
        <x:v>Repair positional corruption using task-keyed baseline and approved edit dataset.</x:v>
      </x:c>
    </x:row>
    <x:row r="341" ht="70" customHeight="1">
      <x:c r="A341" s="194" t="str">
        <x:v>T-175</x:v>
      </x:c>
      <x:c r="B341" s="194" t="str">
        <x:v>AO</x:v>
      </x:c>
      <x:c r="C341" s="194" t="str">
        <x:v>Evidence State</x:v>
      </x:c>
      <x:c r="D341" s="194"/>
      <x:c r="E341" s="194" t="str">
        <x:v>Recorded closed — inherited evidence</x:v>
      </x:c>
      <x:c r="F341" s="194" t="str">
        <x:v>Add explicit evidence / estimation provenance in repair revision.</x:v>
      </x:c>
    </x:row>
    <x:row r="342" ht="70" customHeight="1">
      <x:c r="A342" s="194" t="str">
        <x:v>T-175</x:v>
      </x:c>
      <x:c r="B342" s="194" t="str">
        <x:v>AP</x:v>
      </x:c>
      <x:c r="C342" s="194" t="str">
        <x:v>Closure Evidence Basis</x:v>
      </x:c>
      <x:c r="D342" s="194"/>
      <x:c r="E342" s="194" t="str">
        <x:v>Inherited v2.22.0 intended record; no new runtime certification in this repair.</x:v>
      </x:c>
      <x:c r="F342" s="194" t="str">
        <x:v>Add explicit evidence / estimation provenance in repair revision.</x:v>
      </x:c>
    </x:row>
    <x:row r="343" ht="70" customHeight="1">
      <x:c r="A343" s="194" t="str">
        <x:v>T-175</x:v>
      </x:c>
      <x:c r="B343" s="194" t="str">
        <x:v>AR</x:v>
      </x:c>
      <x:c r="C343" s="194" t="str">
        <x:v>Estimate Status</x:v>
      </x:c>
      <x:c r="D343" s="194"/>
      <x:c r="E343" s="194" t="str">
        <x:v>INHERITED ESTIMATE</x:v>
      </x:c>
      <x:c r="F343" s="194" t="str">
        <x:v>Add explicit evidence / estimation provenance in repair revision.</x:v>
      </x:c>
    </x:row>
    <x:row r="344" ht="70" customHeight="1">
      <x:c r="A344" s="194" t="str">
        <x:v>T-176</x:v>
      </x:c>
      <x:c r="B344" s="194" t="str">
        <x:v>N</x:v>
      </x:c>
      <x:c r="C344" s="194" t="str">
        <x:v>Must Precede (IDs only)</x:v>
      </x:c>
      <x:c r="D344" s="194"/>
      <x:c r="E344" s="194" t="str">
        <x:v>T-140; T-187; T-191</x:v>
      </x:c>
      <x:c r="F344" s="194" t="str">
        <x:v>Repair positional corruption using task-keyed baseline and approved edit dataset.</x:v>
      </x:c>
    </x:row>
    <x:row r="345" ht="70" customHeight="1">
      <x:c r="A345" s="194" t="str">
        <x:v>T-176</x:v>
      </x:c>
      <x:c r="B345" s="194" t="str">
        <x:v>AO</x:v>
      </x:c>
      <x:c r="C345" s="194" t="str">
        <x:v>Evidence State</x:v>
      </x:c>
      <x:c r="D345" s="194"/>
      <x:c r="E345" s="194" t="str">
        <x:v>Recorded closed — inherited evidence</x:v>
      </x:c>
      <x:c r="F345" s="194" t="str">
        <x:v>Add explicit evidence / estimation provenance in repair revision.</x:v>
      </x:c>
    </x:row>
    <x:row r="346" ht="70" customHeight="1">
      <x:c r="A346" s="194" t="str">
        <x:v>T-176</x:v>
      </x:c>
      <x:c r="B346" s="194" t="str">
        <x:v>AP</x:v>
      </x:c>
      <x:c r="C346" s="194" t="str">
        <x:v>Closure Evidence Basis</x:v>
      </x:c>
      <x:c r="D346" s="194"/>
      <x:c r="E346" s="194" t="str">
        <x:v>Inherited v2.22.0 intended record; no new runtime certification in this repair.</x:v>
      </x:c>
      <x:c r="F346" s="194" t="str">
        <x:v>Add explicit evidence / estimation provenance in repair revision.</x:v>
      </x:c>
    </x:row>
    <x:row r="347" ht="70" customHeight="1">
      <x:c r="A347" s="194" t="str">
        <x:v>T-176</x:v>
      </x:c>
      <x:c r="B347" s="194" t="str">
        <x:v>AR</x:v>
      </x:c>
      <x:c r="C347" s="194" t="str">
        <x:v>Estimate Status</x:v>
      </x:c>
      <x:c r="D347" s="194"/>
      <x:c r="E347" s="194" t="str">
        <x:v>INHERITED ESTIMATE</x:v>
      </x:c>
      <x:c r="F347" s="194" t="str">
        <x:v>Add explicit evidence / estimation provenance in repair revision.</x:v>
      </x:c>
    </x:row>
    <x:row r="348" ht="70" customHeight="1">
      <x:c r="A348" s="194" t="str">
        <x:v>T-177</x:v>
      </x:c>
      <x:c r="B348" s="194" t="str">
        <x:v>M</x:v>
      </x:c>
      <x:c r="C348" s="194" t="str">
        <x:v>Depends On (IDs only)</x:v>
      </x:c>
      <x:c r="D348" s="194" t="str">
        <x:v>T-208; T-210</x:v>
      </x:c>
      <x:c r="E348" s="194"/>
      <x:c r="F348" s="194" t="str">
        <x:v>Repair positional corruption using task-keyed baseline and approved edit dataset.</x:v>
      </x:c>
    </x:row>
    <x:row r="349" ht="70" customHeight="1">
      <x:c r="A349" s="194" t="str">
        <x:v>T-177</x:v>
      </x:c>
      <x:c r="B349" s="194" t="str">
        <x:v>N</x:v>
      </x:c>
      <x:c r="C349" s="194" t="str">
        <x:v>Must Precede (IDs only)</x:v>
      </x:c>
      <x:c r="D349" s="194" t="str">
        <x:v>T-212; T-247</x:v>
      </x:c>
      <x:c r="E349" s="194" t="str">
        <x:v>T-146; T-147</x:v>
      </x:c>
      <x:c r="F349" s="194" t="str">
        <x:v>Repair positional corruption using task-keyed baseline and approved edit dataset.</x:v>
      </x:c>
    </x:row>
    <x:row r="350" ht="70" customHeight="1">
      <x:c r="A350" s="194" t="str">
        <x:v>T-177</x:v>
      </x:c>
      <x:c r="B350" s="194" t="str">
        <x:v>AO</x:v>
      </x:c>
      <x:c r="C350" s="194" t="str">
        <x:v>Evidence State</x:v>
      </x:c>
      <x:c r="D350" s="194"/>
      <x:c r="E350" s="194" t="str">
        <x:v>Recorded closed — inherited evidence</x:v>
      </x:c>
      <x:c r="F350" s="194" t="str">
        <x:v>Add explicit evidence / estimation provenance in repair revision.</x:v>
      </x:c>
    </x:row>
    <x:row r="351" ht="70" customHeight="1">
      <x:c r="A351" s="194" t="str">
        <x:v>T-177</x:v>
      </x:c>
      <x:c r="B351" s="194" t="str">
        <x:v>AP</x:v>
      </x:c>
      <x:c r="C351" s="194" t="str">
        <x:v>Closure Evidence Basis</x:v>
      </x:c>
      <x:c r="D351" s="194"/>
      <x:c r="E351" s="194" t="str">
        <x:v>Inherited v2.22.0 intended record; no new runtime certification in this repair.</x:v>
      </x:c>
      <x:c r="F351" s="194" t="str">
        <x:v>Add explicit evidence / estimation provenance in repair revision.</x:v>
      </x:c>
    </x:row>
    <x:row r="352" ht="70" customHeight="1">
      <x:c r="A352" s="194" t="str">
        <x:v>T-177</x:v>
      </x:c>
      <x:c r="B352" s="194" t="str">
        <x:v>AR</x:v>
      </x:c>
      <x:c r="C352" s="194" t="str">
        <x:v>Estimate Status</x:v>
      </x:c>
      <x:c r="D352" s="194"/>
      <x:c r="E352" s="194" t="str">
        <x:v>INHERITED ESTIMATE</x:v>
      </x:c>
      <x:c r="F352" s="194" t="str">
        <x:v>Add explicit evidence / estimation provenance in repair revision.</x:v>
      </x:c>
    </x:row>
    <x:row r="353" ht="70" customHeight="1">
      <x:c r="A353" s="194" t="str">
        <x:v>T-178</x:v>
      </x:c>
      <x:c r="B353" s="194" t="str">
        <x:v>M</x:v>
      </x:c>
      <x:c r="C353" s="194" t="str">
        <x:v>Depends On (IDs only)</x:v>
      </x:c>
      <x:c r="D353" s="194" t="str">
        <x:v>T-209</x:v>
      </x:c>
      <x:c r="E353" s="194"/>
      <x:c r="F353" s="194" t="str">
        <x:v>Repair positional corruption using task-keyed baseline and approved edit dataset.</x:v>
      </x:c>
    </x:row>
    <x:row r="354" ht="70" customHeight="1">
      <x:c r="A354" s="194" t="str">
        <x:v>T-178</x:v>
      </x:c>
      <x:c r="B354" s="194" t="str">
        <x:v>N</x:v>
      </x:c>
      <x:c r="C354" s="194" t="str">
        <x:v>Must Precede (IDs only)</x:v>
      </x:c>
      <x:c r="D354" s="194" t="str">
        <x:v>T-215; T-223; T-232; T-238; T-239; T-264</x:v>
      </x:c>
      <x:c r="E354" s="194" t="str">
        <x:v>T-143</x:v>
      </x:c>
      <x:c r="F354" s="194" t="str">
        <x:v>Repair positional corruption using task-keyed baseline and approved edit dataset.</x:v>
      </x:c>
    </x:row>
    <x:row r="355" ht="70" customHeight="1">
      <x:c r="A355" s="194" t="str">
        <x:v>T-178</x:v>
      </x:c>
      <x:c r="B355" s="194" t="str">
        <x:v>AO</x:v>
      </x:c>
      <x:c r="C355" s="194" t="str">
        <x:v>Evidence State</x:v>
      </x:c>
      <x:c r="D355" s="194"/>
      <x:c r="E355" s="194" t="str">
        <x:v>Recorded closed — inherited evidence</x:v>
      </x:c>
      <x:c r="F355" s="194" t="str">
        <x:v>Add explicit evidence / estimation provenance in repair revision.</x:v>
      </x:c>
    </x:row>
    <x:row r="356" ht="70" customHeight="1">
      <x:c r="A356" s="194" t="str">
        <x:v>T-178</x:v>
      </x:c>
      <x:c r="B356" s="194" t="str">
        <x:v>AP</x:v>
      </x:c>
      <x:c r="C356" s="194" t="str">
        <x:v>Closure Evidence Basis</x:v>
      </x:c>
      <x:c r="D356" s="194"/>
      <x:c r="E356" s="194" t="str">
        <x:v>Inherited v2.22.0 intended record; no new runtime certification in this repair.</x:v>
      </x:c>
      <x:c r="F356" s="194" t="str">
        <x:v>Add explicit evidence / estimation provenance in repair revision.</x:v>
      </x:c>
    </x:row>
    <x:row r="357" ht="70" customHeight="1">
      <x:c r="A357" s="194" t="str">
        <x:v>T-178</x:v>
      </x:c>
      <x:c r="B357" s="194" t="str">
        <x:v>AR</x:v>
      </x:c>
      <x:c r="C357" s="194" t="str">
        <x:v>Estimate Status</x:v>
      </x:c>
      <x:c r="D357" s="194"/>
      <x:c r="E357" s="194" t="str">
        <x:v>INHERITED ESTIMATE</x:v>
      </x:c>
      <x:c r="F357" s="194" t="str">
        <x:v>Add explicit evidence / estimation provenance in repair revision.</x:v>
      </x:c>
    </x:row>
    <x:row r="358" ht="70" customHeight="1">
      <x:c r="A358" s="194" t="str">
        <x:v>T-179</x:v>
      </x:c>
      <x:c r="B358" s="194" t="str">
        <x:v>M</x:v>
      </x:c>
      <x:c r="C358" s="194" t="str">
        <x:v>Depends On (IDs only)</x:v>
      </x:c>
      <x:c r="D358" s="194" t="str">
        <x:v>T-208; T-216</x:v>
      </x:c>
      <x:c r="E358" s="194"/>
      <x:c r="F358" s="194" t="str">
        <x:v>Repair positional corruption using task-keyed baseline and approved edit dataset.</x:v>
      </x:c>
    </x:row>
    <x:row r="359" ht="70" customHeight="1">
      <x:c r="A359" s="194" t="str">
        <x:v>T-179</x:v>
      </x:c>
      <x:c r="B359" s="194" t="str">
        <x:v>N</x:v>
      </x:c>
      <x:c r="C359" s="194" t="str">
        <x:v>Must Precede (IDs only)</x:v>
      </x:c>
      <x:c r="D359" s="194" t="str">
        <x:v>T-219; T-236</x:v>
      </x:c>
      <x:c r="E359" s="194" t="str">
        <x:v>T-138; T-223; T-228</x:v>
      </x:c>
      <x:c r="F359" s="194" t="str">
        <x:v>Repair positional corruption using task-keyed baseline and approved edit dataset.</x:v>
      </x:c>
    </x:row>
    <x:row r="360" ht="70" customHeight="1">
      <x:c r="A360" s="194" t="str">
        <x:v>T-179</x:v>
      </x:c>
      <x:c r="B360" s="194" t="str">
        <x:v>AO</x:v>
      </x:c>
      <x:c r="C360" s="194" t="str">
        <x:v>Evidence State</x:v>
      </x:c>
      <x:c r="D360" s="194"/>
      <x:c r="E360" s="194" t="str">
        <x:v>Recorded closed — inherited evidence</x:v>
      </x:c>
      <x:c r="F360" s="194" t="str">
        <x:v>Add explicit evidence / estimation provenance in repair revision.</x:v>
      </x:c>
    </x:row>
    <x:row r="361" ht="70" customHeight="1">
      <x:c r="A361" s="194" t="str">
        <x:v>T-179</x:v>
      </x:c>
      <x:c r="B361" s="194" t="str">
        <x:v>AP</x:v>
      </x:c>
      <x:c r="C361" s="194" t="str">
        <x:v>Closure Evidence Basis</x:v>
      </x:c>
      <x:c r="D361" s="194"/>
      <x:c r="E361" s="194" t="str">
        <x:v>Inherited v2.22.0 intended record; no new runtime certification in this repair.</x:v>
      </x:c>
      <x:c r="F361" s="194" t="str">
        <x:v>Add explicit evidence / estimation provenance in repair revision.</x:v>
      </x:c>
    </x:row>
    <x:row r="362" ht="70" customHeight="1">
      <x:c r="A362" s="194" t="str">
        <x:v>T-179</x:v>
      </x:c>
      <x:c r="B362" s="194" t="str">
        <x:v>AR</x:v>
      </x:c>
      <x:c r="C362" s="194" t="str">
        <x:v>Estimate Status</x:v>
      </x:c>
      <x:c r="D362" s="194"/>
      <x:c r="E362" s="194" t="str">
        <x:v>INHERITED ESTIMATE</x:v>
      </x:c>
      <x:c r="F362" s="194" t="str">
        <x:v>Add explicit evidence / estimation provenance in repair revision.</x:v>
      </x:c>
    </x:row>
    <x:row r="363" ht="70" customHeight="1">
      <x:c r="A363" s="194" t="str">
        <x:v>T-180</x:v>
      </x:c>
      <x:c r="B363" s="194" t="str">
        <x:v>M</x:v>
      </x:c>
      <x:c r="C363" s="194" t="str">
        <x:v>Depends On (IDs only)</x:v>
      </x:c>
      <x:c r="D363" s="194" t="str">
        <x:v>T-208</x:v>
      </x:c>
      <x:c r="E363" s="194"/>
      <x:c r="F363" s="194" t="str">
        <x:v>Repair positional corruption using task-keyed baseline and approved edit dataset.</x:v>
      </x:c>
    </x:row>
    <x:row r="364" ht="70" customHeight="1">
      <x:c r="A364" s="194" t="str">
        <x:v>T-180</x:v>
      </x:c>
      <x:c r="B364" s="194" t="str">
        <x:v>N</x:v>
      </x:c>
      <x:c r="C364" s="194" t="str">
        <x:v>Must Precede (IDs only)</x:v>
      </x:c>
      <x:c r="D364" s="194" t="str">
        <x:v>T-219</x:v>
      </x:c>
      <x:c r="E364" s="194" t="str">
        <x:v>T-138; T-223; T-228</x:v>
      </x:c>
      <x:c r="F364" s="194" t="str">
        <x:v>Repair positional corruption using task-keyed baseline and approved edit dataset.</x:v>
      </x:c>
    </x:row>
    <x:row r="365" ht="70" customHeight="1">
      <x:c r="A365" s="194" t="str">
        <x:v>T-180</x:v>
      </x:c>
      <x:c r="B365" s="194" t="str">
        <x:v>AO</x:v>
      </x:c>
      <x:c r="C365" s="194" t="str">
        <x:v>Evidence State</x:v>
      </x:c>
      <x:c r="D365" s="194"/>
      <x:c r="E365" s="194" t="str">
        <x:v>Recorded closed — inherited evidence</x:v>
      </x:c>
      <x:c r="F365" s="194" t="str">
        <x:v>Add explicit evidence / estimation provenance in repair revision.</x:v>
      </x:c>
    </x:row>
    <x:row r="366" ht="70" customHeight="1">
      <x:c r="A366" s="194" t="str">
        <x:v>T-180</x:v>
      </x:c>
      <x:c r="B366" s="194" t="str">
        <x:v>AP</x:v>
      </x:c>
      <x:c r="C366" s="194" t="str">
        <x:v>Closure Evidence Basis</x:v>
      </x:c>
      <x:c r="D366" s="194"/>
      <x:c r="E366" s="194" t="str">
        <x:v>Inherited v2.22.0 intended record; no new runtime certification in this repair.</x:v>
      </x:c>
      <x:c r="F366" s="194" t="str">
        <x:v>Add explicit evidence / estimation provenance in repair revision.</x:v>
      </x:c>
    </x:row>
    <x:row r="367" ht="70" customHeight="1">
      <x:c r="A367" s="194" t="str">
        <x:v>T-180</x:v>
      </x:c>
      <x:c r="B367" s="194" t="str">
        <x:v>AR</x:v>
      </x:c>
      <x:c r="C367" s="194" t="str">
        <x:v>Estimate Status</x:v>
      </x:c>
      <x:c r="D367" s="194"/>
      <x:c r="E367" s="194" t="str">
        <x:v>INHERITED ESTIMATE</x:v>
      </x:c>
      <x:c r="F367" s="194" t="str">
        <x:v>Add explicit evidence / estimation provenance in repair revision.</x:v>
      </x:c>
    </x:row>
    <x:row r="368" ht="70" customHeight="1">
      <x:c r="A368" s="194" t="str">
        <x:v>T-181</x:v>
      </x:c>
      <x:c r="B368" s="194" t="str">
        <x:v>M</x:v>
      </x:c>
      <x:c r="C368" s="194" t="str">
        <x:v>Depends On (IDs only)</x:v>
      </x:c>
      <x:c r="D368" s="194" t="str">
        <x:v>T-217; T-218; T-236</x:v>
      </x:c>
      <x:c r="E368" s="194"/>
      <x:c r="F368" s="194" t="str">
        <x:v>Repair positional corruption using task-keyed baseline and approved edit dataset.</x:v>
      </x:c>
    </x:row>
    <x:row r="369" ht="70" customHeight="1">
      <x:c r="A369" s="194" t="str">
        <x:v>T-181</x:v>
      </x:c>
      <x:c r="B369" s="194" t="str">
        <x:v>N</x:v>
      </x:c>
      <x:c r="C369" s="194" t="str">
        <x:v>Must Precede (IDs only)</x:v>
      </x:c>
      <x:c r="D369" s="194" t="str">
        <x:v>T-220; T-221; T-222; T-223</x:v>
      </x:c>
      <x:c r="E369" s="194" t="str">
        <x:v>T-138; T-223; T-228</x:v>
      </x:c>
      <x:c r="F369" s="194" t="str">
        <x:v>Repair positional corruption using task-keyed baseline and approved edit dataset.</x:v>
      </x:c>
    </x:row>
    <x:row r="370" ht="70" customHeight="1">
      <x:c r="A370" s="194" t="str">
        <x:v>T-181</x:v>
      </x:c>
      <x:c r="B370" s="194" t="str">
        <x:v>AO</x:v>
      </x:c>
      <x:c r="C370" s="194" t="str">
        <x:v>Evidence State</x:v>
      </x:c>
      <x:c r="D370" s="194"/>
      <x:c r="E370" s="194" t="str">
        <x:v>Recorded closed — inherited evidence</x:v>
      </x:c>
      <x:c r="F370" s="194" t="str">
        <x:v>Add explicit evidence / estimation provenance in repair revision.</x:v>
      </x:c>
    </x:row>
    <x:row r="371" ht="70" customHeight="1">
      <x:c r="A371" s="194" t="str">
        <x:v>T-181</x:v>
      </x:c>
      <x:c r="B371" s="194" t="str">
        <x:v>AP</x:v>
      </x:c>
      <x:c r="C371" s="194" t="str">
        <x:v>Closure Evidence Basis</x:v>
      </x:c>
      <x:c r="D371" s="194"/>
      <x:c r="E371" s="194" t="str">
        <x:v>Inherited v2.22.0 intended record; no new runtime certification in this repair.</x:v>
      </x:c>
      <x:c r="F371" s="194" t="str">
        <x:v>Add explicit evidence / estimation provenance in repair revision.</x:v>
      </x:c>
    </x:row>
    <x:row r="372" ht="70" customHeight="1">
      <x:c r="A372" s="194" t="str">
        <x:v>T-181</x:v>
      </x:c>
      <x:c r="B372" s="194" t="str">
        <x:v>AR</x:v>
      </x:c>
      <x:c r="C372" s="194" t="str">
        <x:v>Estimate Status</x:v>
      </x:c>
      <x:c r="D372" s="194"/>
      <x:c r="E372" s="194" t="str">
        <x:v>INHERITED ESTIMATE</x:v>
      </x:c>
      <x:c r="F372" s="194" t="str">
        <x:v>Add explicit evidence / estimation provenance in repair revision.</x:v>
      </x:c>
    </x:row>
    <x:row r="373" ht="70" customHeight="1">
      <x:c r="A373" s="194" t="str">
        <x:v>T-182</x:v>
      </x:c>
      <x:c r="B373" s="194" t="str">
        <x:v>M</x:v>
      </x:c>
      <x:c r="C373" s="194" t="str">
        <x:v>Depends On (IDs only)</x:v>
      </x:c>
      <x:c r="D373" s="194" t="str">
        <x:v>T-219</x:v>
      </x:c>
      <x:c r="E373" s="194"/>
      <x:c r="F373" s="194" t="str">
        <x:v>Repair positional corruption using task-keyed baseline and approved edit dataset.</x:v>
      </x:c>
    </x:row>
    <x:row r="374" ht="70" customHeight="1">
      <x:c r="A374" s="194" t="str">
        <x:v>T-182</x:v>
      </x:c>
      <x:c r="B374" s="194" t="str">
        <x:v>N</x:v>
      </x:c>
      <x:c r="C374" s="194" t="str">
        <x:v>Must Precede (IDs only)</x:v>
      </x:c>
      <x:c r="D374" s="194" t="str">
        <x:v>T-221; T-222; T-223</x:v>
      </x:c>
      <x:c r="E374" s="194"/>
      <x:c r="F374" s="194" t="str">
        <x:v>Repair positional corruption using task-keyed baseline and approved edit dataset.</x:v>
      </x:c>
    </x:row>
    <x:row r="375" ht="70" customHeight="1">
      <x:c r="A375" s="194" t="str">
        <x:v>T-182</x:v>
      </x:c>
      <x:c r="B375" s="194" t="str">
        <x:v>AO</x:v>
      </x:c>
      <x:c r="C375" s="194" t="str">
        <x:v>Evidence State</x:v>
      </x:c>
      <x:c r="D375" s="194"/>
      <x:c r="E375" s="194" t="str">
        <x:v>Recorded closed — inherited evidence</x:v>
      </x:c>
      <x:c r="F375" s="194" t="str">
        <x:v>Add explicit evidence / estimation provenance in repair revision.</x:v>
      </x:c>
    </x:row>
    <x:row r="376" ht="70" customHeight="1">
      <x:c r="A376" s="194" t="str">
        <x:v>T-182</x:v>
      </x:c>
      <x:c r="B376" s="194" t="str">
        <x:v>AP</x:v>
      </x:c>
      <x:c r="C376" s="194" t="str">
        <x:v>Closure Evidence Basis</x:v>
      </x:c>
      <x:c r="D376" s="194"/>
      <x:c r="E376" s="194" t="str">
        <x:v>Inherited v2.22.0 intended record; no new runtime certification in this repair.</x:v>
      </x:c>
      <x:c r="F376" s="194" t="str">
        <x:v>Add explicit evidence / estimation provenance in repair revision.</x:v>
      </x:c>
    </x:row>
    <x:row r="377" ht="70" customHeight="1">
      <x:c r="A377" s="194" t="str">
        <x:v>T-182</x:v>
      </x:c>
      <x:c r="B377" s="194" t="str">
        <x:v>AR</x:v>
      </x:c>
      <x:c r="C377" s="194" t="str">
        <x:v>Estimate Status</x:v>
      </x:c>
      <x:c r="D377" s="194"/>
      <x:c r="E377" s="194" t="str">
        <x:v>INHERITED ESTIMATE</x:v>
      </x:c>
      <x:c r="F377" s="194" t="str">
        <x:v>Add explicit evidence / estimation provenance in repair revision.</x:v>
      </x:c>
    </x:row>
    <x:row r="378" ht="70" customHeight="1">
      <x:c r="A378" s="194" t="str">
        <x:v>T-211</x:v>
      </x:c>
      <x:c r="B378" s="194" t="str">
        <x:v>M</x:v>
      </x:c>
      <x:c r="C378" s="194" t="str">
        <x:v>Depends On (IDs only)</x:v>
      </x:c>
      <x:c r="D378" s="194" t="str">
        <x:v>T-112; T-114; T-090; T-095; T-096; T-219; T-220; T-233</x:v>
      </x:c>
      <x:c r="E378" s="194" t="str">
        <x:v>T-208; T-210</x:v>
      </x:c>
      <x:c r="F378" s="194" t="str">
        <x:v>Repair positional corruption using task-keyed baseline and approved edit dataset.</x:v>
      </x:c>
    </x:row>
    <x:row r="379" ht="70" customHeight="1">
      <x:c r="A379" s="194" t="str">
        <x:v>T-211</x:v>
      </x:c>
      <x:c r="B379" s="194" t="str">
        <x:v>N</x:v>
      </x:c>
      <x:c r="C379" s="194" t="str">
        <x:v>Must Precede (IDs only)</x:v>
      </x:c>
      <x:c r="D379" s="194"/>
      <x:c r="E379" s="194" t="str">
        <x:v>T-212; T-247</x:v>
      </x:c>
      <x:c r="F379" s="194" t="str">
        <x:v>Repair positional corruption using task-keyed baseline and approved edit dataset.</x:v>
      </x:c>
    </x:row>
    <x:row r="380" ht="70" customHeight="1">
      <x:c r="A380" s="194" t="str">
        <x:v>T-211</x:v>
      </x:c>
      <x:c r="B380" s="194" t="str">
        <x:v>AO</x:v>
      </x:c>
      <x:c r="C380" s="194" t="str">
        <x:v>Evidence State</x:v>
      </x:c>
      <x:c r="D380" s="194"/>
      <x:c r="E380" s="194" t="str">
        <x:v>Not started — no completion claimed</x:v>
      </x:c>
      <x:c r="F380" s="194" t="str">
        <x:v>Add explicit evidence / estimation provenance in repair revision.</x:v>
      </x:c>
    </x:row>
    <x:row r="381" ht="70" customHeight="1">
      <x:c r="A381" s="194" t="str">
        <x:v>T-211</x:v>
      </x:c>
      <x:c r="B381" s="194" t="str">
        <x:v>AP</x:v>
      </x:c>
      <x:c r="C381" s="194" t="str">
        <x:v>Closure Evidence Basis</x:v>
      </x:c>
      <x:c r="D381" s="194"/>
      <x:c r="E381" s="194" t="str">
        <x:v>Inherited v2.22.0 intended record; no new runtime certification in this repair.</x:v>
      </x:c>
      <x:c r="F381" s="194" t="str">
        <x:v>Add explicit evidence / estimation provenance in repair revision.</x:v>
      </x:c>
    </x:row>
    <x:row r="382" ht="70" customHeight="1">
      <x:c r="A382" s="194" t="str">
        <x:v>T-211</x:v>
      </x:c>
      <x:c r="B382" s="194" t="str">
        <x:v>AR</x:v>
      </x:c>
      <x:c r="C382" s="194" t="str">
        <x:v>Estimate Status</x:v>
      </x:c>
      <x:c r="D382" s="194"/>
      <x:c r="E382" s="194" t="str">
        <x:v>INHERITED ESTIMATE</x:v>
      </x:c>
      <x:c r="F382" s="194" t="str">
        <x:v>Add explicit evidence / estimation provenance in repair revision.</x:v>
      </x:c>
    </x:row>
    <x:row r="383" ht="70" customHeight="1">
      <x:c r="A383" s="194" t="str">
        <x:v>T-214</x:v>
      </x:c>
      <x:c r="B383" s="194" t="str">
        <x:v>M</x:v>
      </x:c>
      <x:c r="C383" s="194" t="str">
        <x:v>Depends On (IDs only)</x:v>
      </x:c>
      <x:c r="D383" s="194" t="str">
        <x:v>T-179; T-180; T-181; T-214; T-219; T-220</x:v>
      </x:c>
      <x:c r="E383" s="194" t="str">
        <x:v>T-209</x:v>
      </x:c>
      <x:c r="F383" s="194" t="str">
        <x:v>Repair positional corruption using task-keyed baseline and approved edit dataset.</x:v>
      </x:c>
    </x:row>
    <x:row r="384" ht="70" customHeight="1">
      <x:c r="A384" s="194" t="str">
        <x:v>T-214</x:v>
      </x:c>
      <x:c r="B384" s="194" t="str">
        <x:v>N</x:v>
      </x:c>
      <x:c r="C384" s="194" t="str">
        <x:v>Must Precede (IDs only)</x:v>
      </x:c>
      <x:c r="D384" s="194" t="str">
        <x:v>T-150</x:v>
      </x:c>
      <x:c r="E384" s="194" t="str">
        <x:v>T-215; T-223; T-232; T-238; T-239; T-264</x:v>
      </x:c>
      <x:c r="F384" s="194" t="str">
        <x:v>Repair positional corruption using task-keyed baseline and approved edit dataset.</x:v>
      </x:c>
    </x:row>
    <x:row r="385" ht="70" customHeight="1">
      <x:c r="A385" s="194" t="str">
        <x:v>T-214</x:v>
      </x:c>
      <x:c r="B385" s="194" t="str">
        <x:v>AO</x:v>
      </x:c>
      <x:c r="C385" s="194" t="str">
        <x:v>Evidence State</x:v>
      </x:c>
      <x:c r="D385" s="194"/>
      <x:c r="E385" s="194" t="str">
        <x:v>Not started — no completion claimed</x:v>
      </x:c>
      <x:c r="F385" s="194" t="str">
        <x:v>Add explicit evidence / estimation provenance in repair revision.</x:v>
      </x:c>
    </x:row>
    <x:row r="386" ht="70" customHeight="1">
      <x:c r="A386" s="194" t="str">
        <x:v>T-214</x:v>
      </x:c>
      <x:c r="B386" s="194" t="str">
        <x:v>AP</x:v>
      </x:c>
      <x:c r="C386" s="194" t="str">
        <x:v>Closure Evidence Basis</x:v>
      </x:c>
      <x:c r="D386" s="194"/>
      <x:c r="E386" s="194" t="str">
        <x:v>Inherited v2.22.0 intended record; no new runtime certification in this repair.</x:v>
      </x:c>
      <x:c r="F386" s="194" t="str">
        <x:v>Add explicit evidence / estimation provenance in repair revision.</x:v>
      </x:c>
    </x:row>
    <x:row r="387" ht="70" customHeight="1">
      <x:c r="A387" s="194" t="str">
        <x:v>T-214</x:v>
      </x:c>
      <x:c r="B387" s="194" t="str">
        <x:v>AR</x:v>
      </x:c>
      <x:c r="C387" s="194" t="str">
        <x:v>Estimate Status</x:v>
      </x:c>
      <x:c r="D387" s="194"/>
      <x:c r="E387" s="194" t="str">
        <x:v>INHERITED ESTIMATE</x:v>
      </x:c>
      <x:c r="F387" s="194" t="str">
        <x:v>Add explicit evidence / estimation provenance in repair revision.</x:v>
      </x:c>
    </x:row>
    <x:row r="388" ht="70" customHeight="1">
      <x:c r="A388" s="194" t="str">
        <x:v>T-217</x:v>
      </x:c>
      <x:c r="B388" s="194" t="str">
        <x:v>M</x:v>
      </x:c>
      <x:c r="C388" s="194" t="str">
        <x:v>Depends On (IDs only)</x:v>
      </x:c>
      <x:c r="D388" s="194" t="str">
        <x:v>T-208; T-209</x:v>
      </x:c>
      <x:c r="E388" s="194" t="str">
        <x:v>T-208; T-216</x:v>
      </x:c>
      <x:c r="F388" s="194" t="str">
        <x:v>Repair positional corruption using task-keyed baseline and approved edit dataset.</x:v>
      </x:c>
    </x:row>
    <x:row r="389" ht="70" customHeight="1">
      <x:c r="A389" s="194" t="str">
        <x:v>T-217</x:v>
      </x:c>
      <x:c r="B389" s="194" t="str">
        <x:v>N</x:v>
      </x:c>
      <x:c r="C389" s="194" t="str">
        <x:v>Must Precede (IDs only)</x:v>
      </x:c>
      <x:c r="D389" s="194" t="str">
        <x:v>T-212; T-235; T-236</x:v>
      </x:c>
      <x:c r="E389" s="194" t="str">
        <x:v>T-219; T-236</x:v>
      </x:c>
      <x:c r="F389" s="194" t="str">
        <x:v>Repair positional corruption using task-keyed baseline and approved edit dataset.</x:v>
      </x:c>
    </x:row>
    <x:row r="390" ht="70" customHeight="1">
      <x:c r="A390" s="194" t="str">
        <x:v>T-217</x:v>
      </x:c>
      <x:c r="B390" s="194" t="str">
        <x:v>AO</x:v>
      </x:c>
      <x:c r="C390" s="194" t="str">
        <x:v>Evidence State</x:v>
      </x:c>
      <x:c r="D390" s="194"/>
      <x:c r="E390" s="194" t="str">
        <x:v>Recorded closed — inherited evidence</x:v>
      </x:c>
      <x:c r="F390" s="194" t="str">
        <x:v>Add explicit evidence / estimation provenance in repair revision.</x:v>
      </x:c>
    </x:row>
    <x:row r="391" ht="70" customHeight="1">
      <x:c r="A391" s="194" t="str">
        <x:v>T-217</x:v>
      </x:c>
      <x:c r="B391" s="194" t="str">
        <x:v>AP</x:v>
      </x:c>
      <x:c r="C391" s="194" t="str">
        <x:v>Closure Evidence Basis</x:v>
      </x:c>
      <x:c r="D391" s="194"/>
      <x:c r="E391" s="194" t="str">
        <x:v>Inherited v2.22.0 intended record; no new runtime certification in this repair.</x:v>
      </x:c>
      <x:c r="F391" s="194" t="str">
        <x:v>Add explicit evidence / estimation provenance in repair revision.</x:v>
      </x:c>
    </x:row>
    <x:row r="392" ht="70" customHeight="1">
      <x:c r="A392" s="194" t="str">
        <x:v>T-217</x:v>
      </x:c>
      <x:c r="B392" s="194" t="str">
        <x:v>AR</x:v>
      </x:c>
      <x:c r="C392" s="194" t="str">
        <x:v>Estimate Status</x:v>
      </x:c>
      <x:c r="D392" s="194"/>
      <x:c r="E392" s="194" t="str">
        <x:v>INHERITED ESTIMATE</x:v>
      </x:c>
      <x:c r="F392" s="194" t="str">
        <x:v>Add explicit evidence / estimation provenance in repair revision.</x:v>
      </x:c>
    </x:row>
    <x:row r="393" ht="70" customHeight="1">
      <x:c r="A393" s="194" t="str">
        <x:v>T-218</x:v>
      </x:c>
      <x:c r="B393" s="194" t="str">
        <x:v>M</x:v>
      </x:c>
      <x:c r="C393" s="194" t="str">
        <x:v>Depends On (IDs only)</x:v>
      </x:c>
      <x:c r="D393" s="194" t="str">
        <x:v>T-217; T-234</x:v>
      </x:c>
      <x:c r="E393" s="194" t="str">
        <x:v>T-208</x:v>
      </x:c>
      <x:c r="F393" s="194" t="str">
        <x:v>Repair positional corruption using task-keyed baseline and approved edit dataset.</x:v>
      </x:c>
    </x:row>
    <x:row r="394" ht="70" customHeight="1">
      <x:c r="A394" s="194" t="str">
        <x:v>T-218</x:v>
      </x:c>
      <x:c r="B394" s="194" t="str">
        <x:v>N</x:v>
      </x:c>
      <x:c r="C394" s="194" t="str">
        <x:v>Must Precede (IDs only)</x:v>
      </x:c>
      <x:c r="D394" s="194" t="str">
        <x:v>T-212; T-219</x:v>
      </x:c>
      <x:c r="E394" s="194" t="str">
        <x:v>T-219</x:v>
      </x:c>
      <x:c r="F394" s="194" t="str">
        <x:v>Repair positional corruption using task-keyed baseline and approved edit dataset.</x:v>
      </x:c>
    </x:row>
    <x:row r="395" ht="70" customHeight="1">
      <x:c r="A395" s="194" t="str">
        <x:v>T-218</x:v>
      </x:c>
      <x:c r="B395" s="194" t="str">
        <x:v>AO</x:v>
      </x:c>
      <x:c r="C395" s="194" t="str">
        <x:v>Evidence State</x:v>
      </x:c>
      <x:c r="D395" s="194"/>
      <x:c r="E395" s="194" t="str">
        <x:v>Recorded closed — inherited evidence</x:v>
      </x:c>
      <x:c r="F395" s="194" t="str">
        <x:v>Add explicit evidence / estimation provenance in repair revision.</x:v>
      </x:c>
    </x:row>
    <x:row r="396" ht="70" customHeight="1">
      <x:c r="A396" s="194" t="str">
        <x:v>T-218</x:v>
      </x:c>
      <x:c r="B396" s="194" t="str">
        <x:v>AP</x:v>
      </x:c>
      <x:c r="C396" s="194" t="str">
        <x:v>Closure Evidence Basis</x:v>
      </x:c>
      <x:c r="D396" s="194"/>
      <x:c r="E396" s="194" t="str">
        <x:v>Inherited v2.22.0 intended record; no new runtime certification in this repair.</x:v>
      </x:c>
      <x:c r="F396" s="194" t="str">
        <x:v>Add explicit evidence / estimation provenance in repair revision.</x:v>
      </x:c>
    </x:row>
    <x:row r="397" ht="70" customHeight="1">
      <x:c r="A397" s="194" t="str">
        <x:v>T-218</x:v>
      </x:c>
      <x:c r="B397" s="194" t="str">
        <x:v>AR</x:v>
      </x:c>
      <x:c r="C397" s="194" t="str">
        <x:v>Estimate Status</x:v>
      </x:c>
      <x:c r="D397" s="194"/>
      <x:c r="E397" s="194" t="str">
        <x:v>INHERITED ESTIMATE</x:v>
      </x:c>
      <x:c r="F397" s="194" t="str">
        <x:v>Add explicit evidence / estimation provenance in repair revision.</x:v>
      </x:c>
    </x:row>
    <x:row r="398" ht="70" customHeight="1">
      <x:c r="A398" s="194" t="str">
        <x:v>T-219</x:v>
      </x:c>
      <x:c r="B398" s="194" t="str">
        <x:v>M</x:v>
      </x:c>
      <x:c r="C398" s="194" t="str">
        <x:v>Depends On (IDs only)</x:v>
      </x:c>
      <x:c r="D398" s="194" t="str">
        <x:v>T-092; T-235</x:v>
      </x:c>
      <x:c r="E398" s="194" t="str">
        <x:v>T-217; T-218; T-236</x:v>
      </x:c>
      <x:c r="F398" s="194" t="str">
        <x:v>Repair positional corruption using task-keyed baseline and approved edit dataset.</x:v>
      </x:c>
    </x:row>
    <x:row r="399" ht="70" customHeight="1">
      <x:c r="A399" s="194" t="str">
        <x:v>T-219</x:v>
      </x:c>
      <x:c r="B399" s="194" t="str">
        <x:v>N</x:v>
      </x:c>
      <x:c r="C399" s="194" t="str">
        <x:v>Must Precede (IDs only)</x:v>
      </x:c>
      <x:c r="D399" s="194" t="str">
        <x:v>T-164</x:v>
      </x:c>
      <x:c r="E399" s="194" t="str">
        <x:v>T-220; T-221; T-222; T-223</x:v>
      </x:c>
      <x:c r="F399" s="194" t="str">
        <x:v>Repair positional corruption using task-keyed baseline and approved edit dataset.</x:v>
      </x:c>
    </x:row>
    <x:row r="400" ht="70" customHeight="1">
      <x:c r="A400" s="194" t="str">
        <x:v>T-219</x:v>
      </x:c>
      <x:c r="B400" s="194" t="str">
        <x:v>AO</x:v>
      </x:c>
      <x:c r="C400" s="194" t="str">
        <x:v>Evidence State</x:v>
      </x:c>
      <x:c r="D400" s="194"/>
      <x:c r="E400" s="194" t="str">
        <x:v>Recorded closed — inherited evidence</x:v>
      </x:c>
      <x:c r="F400" s="194" t="str">
        <x:v>Add explicit evidence / estimation provenance in repair revision.</x:v>
      </x:c>
    </x:row>
    <x:row r="401" ht="70" customHeight="1">
      <x:c r="A401" s="194" t="str">
        <x:v>T-219</x:v>
      </x:c>
      <x:c r="B401" s="194" t="str">
        <x:v>AP</x:v>
      </x:c>
      <x:c r="C401" s="194" t="str">
        <x:v>Closure Evidence Basis</x:v>
      </x:c>
      <x:c r="D401" s="194"/>
      <x:c r="E401" s="194" t="str">
        <x:v>Inherited v2.22.0 intended record; no new runtime certification in this repair.</x:v>
      </x:c>
      <x:c r="F401" s="194" t="str">
        <x:v>Add explicit evidence / estimation provenance in repair revision.</x:v>
      </x:c>
    </x:row>
    <x:row r="402" ht="70" customHeight="1">
      <x:c r="A402" s="194" t="str">
        <x:v>T-219</x:v>
      </x:c>
      <x:c r="B402" s="194" t="str">
        <x:v>AR</x:v>
      </x:c>
      <x:c r="C402" s="194" t="str">
        <x:v>Estimate Status</x:v>
      </x:c>
      <x:c r="D402" s="194"/>
      <x:c r="E402" s="194" t="str">
        <x:v>INHERITED ESTIMATE</x:v>
      </x:c>
      <x:c r="F402" s="194" t="str">
        <x:v>Add explicit evidence / estimation provenance in repair revision.</x:v>
      </x:c>
    </x:row>
    <x:row r="403" ht="70" customHeight="1">
      <x:c r="A403" s="194" t="str">
        <x:v>T-220</x:v>
      </x:c>
      <x:c r="B403" s="194" t="str">
        <x:v>M</x:v>
      </x:c>
      <x:c r="C403" s="194" t="str">
        <x:v>Depends On (IDs only)</x:v>
      </x:c>
      <x:c r="D403" s="194" t="str">
        <x:v>T-087; T-088; T-251; T-252</x:v>
      </x:c>
      <x:c r="E403" s="194" t="str">
        <x:v>T-219</x:v>
      </x:c>
      <x:c r="F403" s="194" t="str">
        <x:v>Repair positional corruption using task-keyed baseline and approved edit dataset.</x:v>
      </x:c>
    </x:row>
    <x:row r="404" ht="70" customHeight="1">
      <x:c r="A404" s="194" t="str">
        <x:v>T-220</x:v>
      </x:c>
      <x:c r="B404" s="194" t="str">
        <x:v>N</x:v>
      </x:c>
      <x:c r="C404" s="194" t="str">
        <x:v>Must Precede (IDs only)</x:v>
      </x:c>
      <x:c r="D404" s="194" t="str">
        <x:v>T-122; T-128; T-129; T-130; T-135; T-183; T-184; T-185; T-187; T-195; T-198; T-221; T-230</x:v>
      </x:c>
      <x:c r="E404" s="194" t="str">
        <x:v>T-221; T-222; T-223</x:v>
      </x:c>
      <x:c r="F404" s="194" t="str">
        <x:v>Repair positional corruption using task-keyed baseline and approved edit dataset.</x:v>
      </x:c>
    </x:row>
    <x:row r="405" ht="70" customHeight="1">
      <x:c r="A405" s="194" t="str">
        <x:v>T-220</x:v>
      </x:c>
      <x:c r="B405" s="194" t="str">
        <x:v>AO</x:v>
      </x:c>
      <x:c r="C405" s="194" t="str">
        <x:v>Evidence State</x:v>
      </x:c>
      <x:c r="D405" s="194"/>
      <x:c r="E405" s="194" t="str">
        <x:v>Recorded closed — inherited evidence</x:v>
      </x:c>
      <x:c r="F405" s="194" t="str">
        <x:v>Add explicit evidence / estimation provenance in repair revision.</x:v>
      </x:c>
    </x:row>
    <x:row r="406" ht="70" customHeight="1">
      <x:c r="A406" s="194" t="str">
        <x:v>T-220</x:v>
      </x:c>
      <x:c r="B406" s="194" t="str">
        <x:v>AP</x:v>
      </x:c>
      <x:c r="C406" s="194" t="str">
        <x:v>Closure Evidence Basis</x:v>
      </x:c>
      <x:c r="D406" s="194"/>
      <x:c r="E406" s="194" t="str">
        <x:v>Inherited v2.22.0 intended record; no new runtime certification in this repair.</x:v>
      </x:c>
      <x:c r="F406" s="194" t="str">
        <x:v>Add explicit evidence / estimation provenance in repair revision.</x:v>
      </x:c>
    </x:row>
    <x:row r="407" ht="70" customHeight="1">
      <x:c r="A407" s="194" t="str">
        <x:v>T-220</x:v>
      </x:c>
      <x:c r="B407" s="194" t="str">
        <x:v>AR</x:v>
      </x:c>
      <x:c r="C407" s="194" t="str">
        <x:v>Estimate Status</x:v>
      </x:c>
      <x:c r="D407" s="194"/>
      <x:c r="E407" s="194" t="str">
        <x:v>INHERITED ESTIMATE</x:v>
      </x:c>
      <x:c r="F407" s="194" t="str">
        <x:v>Add explicit evidence / estimation provenance in repair revision.</x:v>
      </x:c>
    </x:row>
    <x:row r="408" ht="70" customHeight="1">
      <x:c r="A408" s="194" t="str">
        <x:v>T-221</x:v>
      </x:c>
      <x:c r="B408" s="194" t="str">
        <x:v>M</x:v>
      </x:c>
      <x:c r="C408" s="194" t="str">
        <x:v>Depends On (IDs only)</x:v>
      </x:c>
      <x:c r="D408" s="194"/>
      <x:c r="E408" s="194" t="str">
        <x:v>T-112; T-114; T-090; T-095; T-096; T-219; T-220; T-233</x:v>
      </x:c>
      <x:c r="F408" s="194" t="str">
        <x:v>Repair positional corruption using task-keyed baseline and approved edit dataset.</x:v>
      </x:c>
    </x:row>
    <x:row r="409" ht="70" customHeight="1">
      <x:c r="A409" s="194" t="str">
        <x:v>T-221</x:v>
      </x:c>
      <x:c r="B409" s="194" t="str">
        <x:v>N</x:v>
      </x:c>
      <x:c r="C409" s="194" t="str">
        <x:v>Must Precede (IDs only)</x:v>
      </x:c>
      <x:c r="D409" s="194" t="str">
        <x:v>T-122; T-200</x:v>
      </x:c>
      <x:c r="E409" s="194"/>
      <x:c r="F409" s="194" t="str">
        <x:v>Repair positional corruption using task-keyed baseline and approved edit dataset.</x:v>
      </x:c>
    </x:row>
    <x:row r="410" ht="70" customHeight="1">
      <x:c r="A410" s="194" t="str">
        <x:v>T-221</x:v>
      </x:c>
      <x:c r="B410" s="194" t="str">
        <x:v>AO</x:v>
      </x:c>
      <x:c r="C410" s="194" t="str">
        <x:v>Evidence State</x:v>
      </x:c>
      <x:c r="D410" s="194"/>
      <x:c r="E410" s="194" t="str">
        <x:v>Not started — no completion claimed</x:v>
      </x:c>
      <x:c r="F410" s="194" t="str">
        <x:v>Add explicit evidence / estimation provenance in repair revision.</x:v>
      </x:c>
    </x:row>
    <x:row r="411" ht="70" customHeight="1">
      <x:c r="A411" s="194" t="str">
        <x:v>T-221</x:v>
      </x:c>
      <x:c r="B411" s="194" t="str">
        <x:v>AP</x:v>
      </x:c>
      <x:c r="C411" s="194" t="str">
        <x:v>Closure Evidence Basis</x:v>
      </x:c>
      <x:c r="D411" s="194"/>
      <x:c r="E411" s="194" t="str">
        <x:v>Inherited v2.22.0 intended record; no new runtime certification in this repair.</x:v>
      </x:c>
      <x:c r="F411" s="194" t="str">
        <x:v>Add explicit evidence / estimation provenance in repair revision.</x:v>
      </x:c>
    </x:row>
    <x:row r="412" ht="70" customHeight="1">
      <x:c r="A412" s="194" t="str">
        <x:v>T-221</x:v>
      </x:c>
      <x:c r="B412" s="194" t="str">
        <x:v>AR</x:v>
      </x:c>
      <x:c r="C412" s="194" t="str">
        <x:v>Estimate Status</x:v>
      </x:c>
      <x:c r="D412" s="194"/>
      <x:c r="E412" s="194" t="str">
        <x:v>INHERITED ESTIMATE</x:v>
      </x:c>
      <x:c r="F412" s="194" t="str">
        <x:v>Add explicit evidence / estimation provenance in repair revision.</x:v>
      </x:c>
    </x:row>
    <x:row r="413" ht="70" customHeight="1">
      <x:c r="A413" s="194" t="str">
        <x:v>T-223</x:v>
      </x:c>
      <x:c r="B413" s="194" t="str">
        <x:v>M</x:v>
      </x:c>
      <x:c r="C413" s="194" t="str">
        <x:v>Depends On (IDs only)</x:v>
      </x:c>
      <x:c r="D413" s="194" t="str">
        <x:v>T-087; T-089; T-090; T-095; T-099</x:v>
      </x:c>
      <x:c r="E413" s="194" t="str">
        <x:v>T-179; T-180; T-181; T-214; T-219; T-220</x:v>
      </x:c>
      <x:c r="F413" s="194" t="str">
        <x:v>Repair positional corruption using task-keyed baseline and approved edit dataset.</x:v>
      </x:c>
    </x:row>
    <x:row r="414" ht="70" customHeight="1">
      <x:c r="A414" s="194" t="str">
        <x:v>T-223</x:v>
      </x:c>
      <x:c r="B414" s="194" t="str">
        <x:v>N</x:v>
      </x:c>
      <x:c r="C414" s="194" t="str">
        <x:v>Must Precede (IDs only)</x:v>
      </x:c>
      <x:c r="D414" s="194" t="str">
        <x:v>T-122; T-128; T-129; T-130; T-135; T-183; T-184; T-185; T-187; T-195; T-198; T-221; T-230</x:v>
      </x:c>
      <x:c r="E414" s="194" t="str">
        <x:v>T-150</x:v>
      </x:c>
      <x:c r="F414" s="194" t="str">
        <x:v>Repair positional corruption using task-keyed baseline and approved edit dataset.</x:v>
      </x:c>
    </x:row>
    <x:row r="415" ht="70" customHeight="1">
      <x:c r="A415" s="194" t="str">
        <x:v>T-223</x:v>
      </x:c>
      <x:c r="B415" s="194" t="str">
        <x:v>AO</x:v>
      </x:c>
      <x:c r="C415" s="194" t="str">
        <x:v>Evidence State</x:v>
      </x:c>
      <x:c r="D415" s="194"/>
      <x:c r="E415" s="194" t="str">
        <x:v>Not started — no completion claimed</x:v>
      </x:c>
      <x:c r="F415" s="194" t="str">
        <x:v>Add explicit evidence / estimation provenance in repair revision.</x:v>
      </x:c>
    </x:row>
    <x:row r="416" ht="70" customHeight="1">
      <x:c r="A416" s="194" t="str">
        <x:v>T-223</x:v>
      </x:c>
      <x:c r="B416" s="194" t="str">
        <x:v>AP</x:v>
      </x:c>
      <x:c r="C416" s="194" t="str">
        <x:v>Closure Evidence Basis</x:v>
      </x:c>
      <x:c r="D416" s="194"/>
      <x:c r="E416" s="194" t="str">
        <x:v>Inherited v2.22.0 intended record; no new runtime certification in this repair.</x:v>
      </x:c>
      <x:c r="F416" s="194" t="str">
        <x:v>Add explicit evidence / estimation provenance in repair revision.</x:v>
      </x:c>
    </x:row>
    <x:row r="417" ht="70" customHeight="1">
      <x:c r="A417" s="194" t="str">
        <x:v>T-223</x:v>
      </x:c>
      <x:c r="B417" s="194" t="str">
        <x:v>AR</x:v>
      </x:c>
      <x:c r="C417" s="194" t="str">
        <x:v>Estimate Status</x:v>
      </x:c>
      <x:c r="D417" s="194"/>
      <x:c r="E417" s="194" t="str">
        <x:v>INHERITED ESTIMATE</x:v>
      </x:c>
      <x:c r="F417" s="194" t="str">
        <x:v>Add explicit evidence / estimation provenance in repair revision.</x:v>
      </x:c>
    </x:row>
    <x:row r="418" ht="70" customHeight="1">
      <x:c r="A418" s="194" t="str">
        <x:v>T-234</x:v>
      </x:c>
      <x:c r="B418" s="194" t="str">
        <x:v>M</x:v>
      </x:c>
      <x:c r="C418" s="194" t="str">
        <x:v>Depends On (IDs only)</x:v>
      </x:c>
      <x:c r="D418" s="194"/>
      <x:c r="E418" s="194" t="str">
        <x:v>T-208; T-209</x:v>
      </x:c>
      <x:c r="F418" s="194" t="str">
        <x:v>Repair positional corruption using task-keyed baseline and approved edit dataset.</x:v>
      </x:c>
    </x:row>
    <x:row r="419" ht="70" customHeight="1">
      <x:c r="A419" s="194" t="str">
        <x:v>T-234</x:v>
      </x:c>
      <x:c r="B419" s="194" t="str">
        <x:v>N</x:v>
      </x:c>
      <x:c r="C419" s="194" t="str">
        <x:v>Must Precede (IDs only)</x:v>
      </x:c>
      <x:c r="D419" s="194" t="str">
        <x:v>T-150</x:v>
      </x:c>
      <x:c r="E419" s="194" t="str">
        <x:v>T-212; T-235; T-236</x:v>
      </x:c>
      <x:c r="F419" s="194" t="str">
        <x:v>Repair positional corruption using task-keyed baseline and approved edit dataset.</x:v>
      </x:c>
    </x:row>
    <x:row r="420" ht="70" customHeight="1">
      <x:c r="A420" s="194" t="str">
        <x:v>T-234</x:v>
      </x:c>
      <x:c r="B420" s="194" t="str">
        <x:v>AO</x:v>
      </x:c>
      <x:c r="C420" s="194" t="str">
        <x:v>Evidence State</x:v>
      </x:c>
      <x:c r="D420" s="194"/>
      <x:c r="E420" s="194" t="str">
        <x:v>Recorded closed — inherited evidence</x:v>
      </x:c>
      <x:c r="F420" s="194" t="str">
        <x:v>Add explicit evidence / estimation provenance in repair revision.</x:v>
      </x:c>
    </x:row>
    <x:row r="421" ht="70" customHeight="1">
      <x:c r="A421" s="194" t="str">
        <x:v>T-234</x:v>
      </x:c>
      <x:c r="B421" s="194" t="str">
        <x:v>AP</x:v>
      </x:c>
      <x:c r="C421" s="194" t="str">
        <x:v>Closure Evidence Basis</x:v>
      </x:c>
      <x:c r="D421" s="194"/>
      <x:c r="E421" s="194" t="str">
        <x:v>Inherited v2.22.0 intended record; no new runtime certification in this repair.</x:v>
      </x:c>
      <x:c r="F421" s="194" t="str">
        <x:v>Add explicit evidence / estimation provenance in repair revision.</x:v>
      </x:c>
    </x:row>
    <x:row r="422" ht="70" customHeight="1">
      <x:c r="A422" s="194" t="str">
        <x:v>T-234</x:v>
      </x:c>
      <x:c r="B422" s="194" t="str">
        <x:v>AR</x:v>
      </x:c>
      <x:c r="C422" s="194" t="str">
        <x:v>Estimate Status</x:v>
      </x:c>
      <x:c r="D422" s="194"/>
      <x:c r="E422" s="194" t="str">
        <x:v>INHERITED ESTIMATE</x:v>
      </x:c>
      <x:c r="F422" s="194" t="str">
        <x:v>Add explicit evidence / estimation provenance in repair revision.</x:v>
      </x:c>
    </x:row>
    <x:row r="423" ht="70" customHeight="1">
      <x:c r="A423" s="194" t="str">
        <x:v>T-236</x:v>
      </x:c>
      <x:c r="B423" s="194" t="str">
        <x:v>M</x:v>
      </x:c>
      <x:c r="C423" s="194" t="str">
        <x:v>Depends On (IDs only)</x:v>
      </x:c>
      <x:c r="D423" s="194"/>
      <x:c r="E423" s="194" t="str">
        <x:v>T-217; T-234</x:v>
      </x:c>
      <x:c r="F423" s="194" t="str">
        <x:v>Repair positional corruption using task-keyed baseline and approved edit dataset.</x:v>
      </x:c>
    </x:row>
    <x:row r="424" ht="70" customHeight="1">
      <x:c r="A424" s="194" t="str">
        <x:v>T-236</x:v>
      </x:c>
      <x:c r="B424" s="194" t="str">
        <x:v>N</x:v>
      </x:c>
      <x:c r="C424" s="194" t="str">
        <x:v>Must Precede (IDs only)</x:v>
      </x:c>
      <x:c r="D424" s="194" t="str">
        <x:v>T-121; T-197; T-198; T-200</x:v>
      </x:c>
      <x:c r="E424" s="194" t="str">
        <x:v>T-212; T-219</x:v>
      </x:c>
      <x:c r="F424" s="194" t="str">
        <x:v>Repair positional corruption using task-keyed baseline and approved edit dataset.</x:v>
      </x:c>
    </x:row>
    <x:row r="425" ht="70" customHeight="1">
      <x:c r="A425" s="194" t="str">
        <x:v>T-236</x:v>
      </x:c>
      <x:c r="B425" s="194" t="str">
        <x:v>AO</x:v>
      </x:c>
      <x:c r="C425" s="194" t="str">
        <x:v>Evidence State</x:v>
      </x:c>
      <x:c r="D425" s="194"/>
      <x:c r="E425" s="194" t="str">
        <x:v>Recorded closed — inherited evidence</x:v>
      </x:c>
      <x:c r="F425" s="194" t="str">
        <x:v>Add explicit evidence / estimation provenance in repair revision.</x:v>
      </x:c>
    </x:row>
    <x:row r="426" ht="70" customHeight="1">
      <x:c r="A426" s="194" t="str">
        <x:v>T-236</x:v>
      </x:c>
      <x:c r="B426" s="194" t="str">
        <x:v>AP</x:v>
      </x:c>
      <x:c r="C426" s="194" t="str">
        <x:v>Closure Evidence Basis</x:v>
      </x:c>
      <x:c r="D426" s="194"/>
      <x:c r="E426" s="194" t="str">
        <x:v>Inherited v2.22.0 intended record; no new runtime certification in this repair.</x:v>
      </x:c>
      <x:c r="F426" s="194" t="str">
        <x:v>Add explicit evidence / estimation provenance in repair revision.</x:v>
      </x:c>
    </x:row>
    <x:row r="427" ht="70" customHeight="1">
      <x:c r="A427" s="194" t="str">
        <x:v>T-236</x:v>
      </x:c>
      <x:c r="B427" s="194" t="str">
        <x:v>AR</x:v>
      </x:c>
      <x:c r="C427" s="194" t="str">
        <x:v>Estimate Status</x:v>
      </x:c>
      <x:c r="D427" s="194"/>
      <x:c r="E427" s="194" t="str">
        <x:v>INHERITED ESTIMATE</x:v>
      </x:c>
      <x:c r="F427" s="194" t="str">
        <x:v>Add explicit evidence / estimation provenance in repair revision.</x:v>
      </x:c>
    </x:row>
    <x:row r="428" ht="70" customHeight="1">
      <x:c r="A428" s="194" t="str">
        <x:v>T-237</x:v>
      </x:c>
      <x:c r="B428" s="194" t="str">
        <x:v>M</x:v>
      </x:c>
      <x:c r="C428" s="194" t="str">
        <x:v>Depends On (IDs only)</x:v>
      </x:c>
      <x:c r="D428" s="194"/>
      <x:c r="E428" s="194" t="str">
        <x:v>T-092; T-235</x:v>
      </x:c>
      <x:c r="F428" s="194" t="str">
        <x:v>Repair positional corruption using task-keyed baseline and approved edit dataset.</x:v>
      </x:c>
    </x:row>
    <x:row r="429" ht="70" customHeight="1">
      <x:c r="A429" s="194" t="str">
        <x:v>T-237</x:v>
      </x:c>
      <x:c r="B429" s="194" t="str">
        <x:v>N</x:v>
      </x:c>
      <x:c r="C429" s="194" t="str">
        <x:v>Must Precede (IDs only)</x:v>
      </x:c>
      <x:c r="D429" s="194"/>
      <x:c r="E429" s="194" t="str">
        <x:v>T-164</x:v>
      </x:c>
      <x:c r="F429" s="194" t="str">
        <x:v>Repair positional corruption using task-keyed baseline and approved edit dataset.</x:v>
      </x:c>
    </x:row>
    <x:row r="430" ht="70" customHeight="1">
      <x:c r="A430" s="194" t="str">
        <x:v>T-237</x:v>
      </x:c>
      <x:c r="B430" s="194" t="str">
        <x:v>AO</x:v>
      </x:c>
      <x:c r="C430" s="194" t="str">
        <x:v>Evidence State</x:v>
      </x:c>
      <x:c r="D430" s="194"/>
      <x:c r="E430" s="194" t="str">
        <x:v>Not started — no completion claimed</x:v>
      </x:c>
      <x:c r="F430" s="194" t="str">
        <x:v>Add explicit evidence / estimation provenance in repair revision.</x:v>
      </x:c>
    </x:row>
    <x:row r="431" ht="70" customHeight="1">
      <x:c r="A431" s="194" t="str">
        <x:v>T-237</x:v>
      </x:c>
      <x:c r="B431" s="194" t="str">
        <x:v>AP</x:v>
      </x:c>
      <x:c r="C431" s="194" t="str">
        <x:v>Closure Evidence Basis</x:v>
      </x:c>
      <x:c r="D431" s="194"/>
      <x:c r="E431" s="194" t="str">
        <x:v>Inherited v2.22.0 intended record; no new runtime certification in this repair.</x:v>
      </x:c>
      <x:c r="F431" s="194" t="str">
        <x:v>Add explicit evidence / estimation provenance in repair revision.</x:v>
      </x:c>
    </x:row>
    <x:row r="432" ht="70" customHeight="1">
      <x:c r="A432" s="194" t="str">
        <x:v>T-237</x:v>
      </x:c>
      <x:c r="B432" s="194" t="str">
        <x:v>AR</x:v>
      </x:c>
      <x:c r="C432" s="194" t="str">
        <x:v>Estimate Status</x:v>
      </x:c>
      <x:c r="D432" s="194"/>
      <x:c r="E432" s="194" t="str">
        <x:v>INHERITED ESTIMATE</x:v>
      </x:c>
      <x:c r="F432" s="194" t="str">
        <x:v>Add explicit evidence / estimation provenance in repair revision.</x:v>
      </x:c>
    </x:row>
    <x:row r="433" ht="70" customHeight="1">
      <x:c r="A433" s="194" t="str">
        <x:v>T-112</x:v>
      </x:c>
      <x:c r="B433" s="194" t="str">
        <x:v>M</x:v>
      </x:c>
      <x:c r="C433" s="194" t="str">
        <x:v>Depends On (IDs only)</x:v>
      </x:c>
      <x:c r="D433" s="194" t="str">
        <x:v>T-119</x:v>
      </x:c>
      <x:c r="E433" s="194" t="str">
        <x:v>T-087; T-088; T-251; T-252</x:v>
      </x:c>
      <x:c r="F433" s="194" t="str">
        <x:v>Repair positional corruption using task-keyed baseline and approved edit dataset.</x:v>
      </x:c>
    </x:row>
    <x:row r="434" ht="70" customHeight="1">
      <x:c r="A434" s="194" t="str">
        <x:v>T-112</x:v>
      </x:c>
      <x:c r="B434" s="194" t="str">
        <x:v>N</x:v>
      </x:c>
      <x:c r="C434" s="194" t="str">
        <x:v>Must Precede (IDs only)</x:v>
      </x:c>
      <x:c r="D434" s="194" t="str">
        <x:v>T-127</x:v>
      </x:c>
      <x:c r="E434" s="194" t="str">
        <x:v>T-122; T-128; T-129; T-130; T-135; T-183; T-184; T-185; T-187; T-195; T-198; T-221; T-230</x:v>
      </x:c>
      <x:c r="F434" s="194" t="str">
        <x:v>Repair positional corruption using task-keyed baseline and approved edit dataset.</x:v>
      </x:c>
    </x:row>
    <x:row r="435" ht="70" customHeight="1">
      <x:c r="A435" s="194" t="str">
        <x:v>T-112</x:v>
      </x:c>
      <x:c r="B435" s="194" t="str">
        <x:v>AO</x:v>
      </x:c>
      <x:c r="C435" s="194" t="str">
        <x:v>Evidence State</x:v>
      </x:c>
      <x:c r="D435" s="194"/>
      <x:c r="E435" s="194" t="str">
        <x:v>Not started — no completion claimed</x:v>
      </x:c>
      <x:c r="F435" s="194" t="str">
        <x:v>Add explicit evidence / estimation provenance in repair revision.</x:v>
      </x:c>
    </x:row>
    <x:row r="436" ht="70" customHeight="1">
      <x:c r="A436" s="194" t="str">
        <x:v>T-112</x:v>
      </x:c>
      <x:c r="B436" s="194" t="str">
        <x:v>AP</x:v>
      </x:c>
      <x:c r="C436" s="194" t="str">
        <x:v>Closure Evidence Basis</x:v>
      </x:c>
      <x:c r="D436" s="194"/>
      <x:c r="E436" s="194" t="str">
        <x:v>Inherited v2.22.0 intended record; no new runtime certification in this repair.</x:v>
      </x:c>
      <x:c r="F436" s="194" t="str">
        <x:v>Add explicit evidence / estimation provenance in repair revision.</x:v>
      </x:c>
    </x:row>
    <x:row r="437" ht="70" customHeight="1">
      <x:c r="A437" s="194" t="str">
        <x:v>T-112</x:v>
      </x:c>
      <x:c r="B437" s="194" t="str">
        <x:v>AR</x:v>
      </x:c>
      <x:c r="C437" s="194" t="str">
        <x:v>Estimate Status</x:v>
      </x:c>
      <x:c r="D437" s="194"/>
      <x:c r="E437" s="194" t="str">
        <x:v>INHERITED ESTIMATE</x:v>
      </x:c>
      <x:c r="F437" s="194" t="str">
        <x:v>Add explicit evidence / estimation provenance in repair revision.</x:v>
      </x:c>
    </x:row>
    <x:row r="438" ht="70" customHeight="1">
      <x:c r="A438" s="194" t="str">
        <x:v>T-113</x:v>
      </x:c>
      <x:c r="B438" s="194" t="str">
        <x:v>N</x:v>
      </x:c>
      <x:c r="C438" s="194" t="str">
        <x:v>Must Precede (IDs only)</x:v>
      </x:c>
      <x:c r="D438" s="194" t="str">
        <x:v>T-122; T-150</x:v>
      </x:c>
      <x:c r="E438" s="194" t="str">
        <x:v>T-122; T-200</x:v>
      </x:c>
      <x:c r="F438" s="194" t="str">
        <x:v>Repair positional corruption using task-keyed baseline and approved edit dataset.</x:v>
      </x:c>
    </x:row>
    <x:row r="439" ht="70" customHeight="1">
      <x:c r="A439" s="194" t="str">
        <x:v>T-113</x:v>
      </x:c>
      <x:c r="B439" s="194" t="str">
        <x:v>AO</x:v>
      </x:c>
      <x:c r="C439" s="194" t="str">
        <x:v>Evidence State</x:v>
      </x:c>
      <x:c r="D439" s="194"/>
      <x:c r="E439" s="194" t="str">
        <x:v>Not started — no completion claimed</x:v>
      </x:c>
      <x:c r="F439" s="194" t="str">
        <x:v>Add explicit evidence / estimation provenance in repair revision.</x:v>
      </x:c>
    </x:row>
    <x:row r="440" ht="70" customHeight="1">
      <x:c r="A440" s="194" t="str">
        <x:v>T-113</x:v>
      </x:c>
      <x:c r="B440" s="194" t="str">
        <x:v>AP</x:v>
      </x:c>
      <x:c r="C440" s="194" t="str">
        <x:v>Closure Evidence Basis</x:v>
      </x:c>
      <x:c r="D440" s="194"/>
      <x:c r="E440" s="194" t="str">
        <x:v>Inherited v2.22.0 intended record; no new runtime certification in this repair.</x:v>
      </x:c>
      <x:c r="F440" s="194" t="str">
        <x:v>Add explicit evidence / estimation provenance in repair revision.</x:v>
      </x:c>
    </x:row>
    <x:row r="441" ht="70" customHeight="1">
      <x:c r="A441" s="194" t="str">
        <x:v>T-113</x:v>
      </x:c>
      <x:c r="B441" s="194" t="str">
        <x:v>AR</x:v>
      </x:c>
      <x:c r="C441" s="194" t="str">
        <x:v>Estimate Status</x:v>
      </x:c>
      <x:c r="D441" s="194"/>
      <x:c r="E441" s="194" t="str">
        <x:v>INHERITED ESTIMATE</x:v>
      </x:c>
      <x:c r="F441" s="194" t="str">
        <x:v>Add explicit evidence / estimation provenance in repair revision.</x:v>
      </x:c>
    </x:row>
    <x:row r="442" ht="70" customHeight="1">
      <x:c r="A442" s="194" t="str">
        <x:v>T-114</x:v>
      </x:c>
      <x:c r="B442" s="194" t="str">
        <x:v>M</x:v>
      </x:c>
      <x:c r="C442" s="194" t="str">
        <x:v>Depends On (IDs only)</x:v>
      </x:c>
      <x:c r="D442" s="194"/>
      <x:c r="E442" s="194" t="str">
        <x:v>T-087; T-089; T-090; T-095; T-099</x:v>
      </x:c>
      <x:c r="F442" s="194" t="str">
        <x:v>Repair positional corruption using task-keyed baseline and approved edit dataset.</x:v>
      </x:c>
    </x:row>
    <x:row r="443" ht="70" customHeight="1">
      <x:c r="A443" s="194" t="str">
        <x:v>T-114</x:v>
      </x:c>
      <x:c r="B443" s="194" t="str">
        <x:v>N</x:v>
      </x:c>
      <x:c r="C443" s="194" t="str">
        <x:v>Must Precede (IDs only)</x:v>
      </x:c>
      <x:c r="D443" s="194" t="str">
        <x:v>T-150; T-199</x:v>
      </x:c>
      <x:c r="E443" s="194" t="str">
        <x:v>T-122; T-128; T-129; T-130; T-135; T-183; T-184; T-185; T-187; T-195; T-198; T-221; T-230</x:v>
      </x:c>
      <x:c r="F443" s="194" t="str">
        <x:v>Repair positional corruption using task-keyed baseline and approved edit dataset.</x:v>
      </x:c>
    </x:row>
    <x:row r="444" ht="70" customHeight="1">
      <x:c r="A444" s="194" t="str">
        <x:v>T-114</x:v>
      </x:c>
      <x:c r="B444" s="194" t="str">
        <x:v>AO</x:v>
      </x:c>
      <x:c r="C444" s="194" t="str">
        <x:v>Evidence State</x:v>
      </x:c>
      <x:c r="D444" s="194"/>
      <x:c r="E444" s="194" t="str">
        <x:v>Not started — no completion claimed</x:v>
      </x:c>
      <x:c r="F444" s="194" t="str">
        <x:v>Add explicit evidence / estimation provenance in repair revision.</x:v>
      </x:c>
    </x:row>
    <x:row r="445" ht="70" customHeight="1">
      <x:c r="A445" s="194" t="str">
        <x:v>T-114</x:v>
      </x:c>
      <x:c r="B445" s="194" t="str">
        <x:v>AP</x:v>
      </x:c>
      <x:c r="C445" s="194" t="str">
        <x:v>Closure Evidence Basis</x:v>
      </x:c>
      <x:c r="D445" s="194"/>
      <x:c r="E445" s="194" t="str">
        <x:v>Inherited v2.22.0 intended record; no new runtime certification in this repair.</x:v>
      </x:c>
      <x:c r="F445" s="194" t="str">
        <x:v>Add explicit evidence / estimation provenance in repair revision.</x:v>
      </x:c>
    </x:row>
    <x:row r="446" ht="70" customHeight="1">
      <x:c r="A446" s="194" t="str">
        <x:v>T-114</x:v>
      </x:c>
      <x:c r="B446" s="194" t="str">
        <x:v>AR</x:v>
      </x:c>
      <x:c r="C446" s="194" t="str">
        <x:v>Estimate Status</x:v>
      </x:c>
      <x:c r="D446" s="194"/>
      <x:c r="E446" s="194" t="str">
        <x:v>INHERITED ESTIMATE</x:v>
      </x:c>
      <x:c r="F446" s="194" t="str">
        <x:v>Add explicit evidence / estimation provenance in repair revision.</x:v>
      </x:c>
    </x:row>
    <x:row r="447" ht="70" customHeight="1">
      <x:c r="A447" s="194" t="str">
        <x:v>T-115</x:v>
      </x:c>
      <x:c r="B447" s="194" t="str">
        <x:v>H</x:v>
      </x:c>
      <x:c r="C447" s="194" t="str">
        <x:v>Task Description</x:v>
      </x:c>
      <x:c r="D447" s="194" t="str">
        <x:v>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x:v>
      </x:c>
      <x:c r="E447" s="194" t="str">
        <x:v>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
v2.22.1 — Own the bounded backend acceptance-hygiene follow-up reported in the 04-Sep audit: first inspect the current T-210 fixture and the named migration byte-order marks, then fix only reproduced issues. Reuse T-252 disposable-DB policy and T-259 evidence envelope; do not reopen their proven closures. The inherited DefinitionKind mismatch reported with T-099 is a separate test-authority convergence obligation, not a T-099 regression.</x:v>
      </x:c>
      <x:c r="F447" s="194" t="str">
        <x:v>Assign historical fixture/BOM and inherited known-red follow-up to an existing Worker-1 acceptance task.</x:v>
      </x:c>
    </x:row>
    <x:row r="448" ht="70" customHeight="1">
      <x:c r="A448" s="194" t="str">
        <x:v>T-115</x:v>
      </x:c>
      <x:c r="B448" s="194" t="str">
        <x:v>I</x:v>
      </x:c>
      <x:c r="C448" s="194" t="str">
        <x:v>Task Validation</x:v>
      </x:c>
      <x:c r="D448" s="194" t="str">
        <x:v>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x:v>
      </x:c>
      <x:c r="E448" s="194" t="str">
        <x:v>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
v2.22.1 — Verify actual current file bytes before calling the historical five-BOM finding still present; keep before/after hashes when a byte repair is required. A local intentionally absent external probe may skip only with the approved named reason; Release-1 certification provisions its own disposable database and a missing fixture is RED, never a passing skip. Reconcile the inherited DefinitionKind assertion with the current canonical kind authority and assert all required members rather than merely deleting or weakening the test. Keep T-099 closed; full-release GREEN remains forbidden while its independently tracked known-red or canonical replay limitations remain unresolved.</x:v>
      </x:c>
      <x:c r="F448" s="194" t="str">
        <x:v>Make findings conditional on current proof and preserve release skip-zero policy.</x:v>
      </x:c>
    </x:row>
    <x:row r="449" ht="70" customHeight="1">
      <x:c r="A449" s="194" t="str">
        <x:v>T-115</x:v>
      </x:c>
      <x:c r="B449" s="194" t="str">
        <x:v>M</x:v>
      </x:c>
      <x:c r="C449" s="194" t="str">
        <x:v>Depends On (IDs only)</x:v>
      </x:c>
      <x:c r="D449" s="194" t="str">
        <x:v>T-106; T-107</x:v>
      </x:c>
      <x:c r="E449" s="194"/>
      <x:c r="F449" s="194" t="str">
        <x:v>Repair positional corruption using task-keyed baseline and approved edit dataset.</x:v>
      </x:c>
    </x:row>
    <x:row r="450" ht="70" customHeight="1">
      <x:c r="A450" s="194" t="str">
        <x:v>T-115</x:v>
      </x:c>
      <x:c r="B450" s="194" t="str">
        <x:v>AJ</x:v>
      </x:c>
      <x:c r="C450" s="194" t="str">
        <x:v>Estimate Basis</x:v>
      </x:c>
      <x:c r="D450" s="194" t="str">
        <x:v>Inherited baseline estimate</x:v>
      </x:c>
      <x:c r="E450" s="194" t="str">
        <x:v>Inherited baseline estimate v2.22.1 acceptance/ownership clarification; owner to review planning impact.</x:v>
      </x:c>
      <x:c r="F450" s="194" t="str">
        <x:v>Add explicit evidence / estimation provenance in repair revision.</x:v>
      </x:c>
    </x:row>
    <x:row r="451" ht="70" customHeight="1">
      <x:c r="A451" s="194" t="str">
        <x:v>T-115</x:v>
      </x:c>
      <x:c r="B451" s="194" t="str">
        <x:v>AO</x:v>
      </x:c>
      <x:c r="C451" s="194" t="str">
        <x:v>Evidence State</x:v>
      </x:c>
      <x:c r="D451" s="194"/>
      <x:c r="E451" s="194" t="str">
        <x:v>Not started — no completion claimed</x:v>
      </x:c>
      <x:c r="F451" s="194" t="str">
        <x:v>Add explicit evidence / estimation provenance in repair revision.</x:v>
      </x:c>
    </x:row>
    <x:row r="452" ht="70" customHeight="1">
      <x:c r="A452" s="194" t="str">
        <x:v>T-115</x:v>
      </x:c>
      <x:c r="B452" s="194" t="str">
        <x:v>AP</x:v>
      </x:c>
      <x:c r="C452" s="194" t="str">
        <x:v>Closure Evidence Basis</x:v>
      </x:c>
      <x:c r="D452" s="194"/>
      <x:c r="E452" s="194" t="str">
        <x:v>Inherited v2.22.0 intended record; no new runtime certification in this repair.</x:v>
      </x:c>
      <x:c r="F452" s="194" t="str">
        <x:v>Add explicit evidence / estimation provenance in repair revision.</x:v>
      </x:c>
    </x:row>
    <x:row r="453" ht="70" customHeight="1">
      <x:c r="A453" s="194" t="str">
        <x:v>T-115</x:v>
      </x:c>
      <x:c r="B453" s="194" t="str">
        <x:v>AR</x:v>
      </x:c>
      <x:c r="C453" s="194" t="str">
        <x:v>Estimate Status</x:v>
      </x:c>
      <x:c r="D453" s="194"/>
      <x:c r="E453" s="194" t="str">
        <x:v>INHERITED ESTIMATE</x:v>
      </x:c>
      <x:c r="F453" s="194" t="str">
        <x:v>Add explicit evidence / estimation provenance in repair revision.</x:v>
      </x:c>
    </x:row>
    <x:row r="454" ht="70" customHeight="1">
      <x:c r="A454" s="194" t="str">
        <x:v>T-119</x:v>
      </x:c>
      <x:c r="B454" s="194" t="str">
        <x:v>N</x:v>
      </x:c>
      <x:c r="C454" s="194" t="str">
        <x:v>Must Precede (IDs only)</x:v>
      </x:c>
      <x:c r="D454" s="194" t="str">
        <x:v>T-150</x:v>
      </x:c>
      <x:c r="E454" s="194" t="str">
        <x:v>T-121; T-197; T-198; T-200</x:v>
      </x:c>
      <x:c r="F454" s="194" t="str">
        <x:v>Repair positional corruption using task-keyed baseline and approved edit dataset.</x:v>
      </x:c>
    </x:row>
    <x:row r="455" ht="70" customHeight="1">
      <x:c r="A455" s="194" t="str">
        <x:v>T-119</x:v>
      </x:c>
      <x:c r="B455" s="194" t="str">
        <x:v>AO</x:v>
      </x:c>
      <x:c r="C455" s="194" t="str">
        <x:v>Evidence State</x:v>
      </x:c>
      <x:c r="D455" s="194"/>
      <x:c r="E455" s="194" t="str">
        <x:v>Not started — no completion claimed</x:v>
      </x:c>
      <x:c r="F455" s="194" t="str">
        <x:v>Add explicit evidence / estimation provenance in repair revision.</x:v>
      </x:c>
    </x:row>
    <x:row r="456" ht="70" customHeight="1">
      <x:c r="A456" s="194" t="str">
        <x:v>T-119</x:v>
      </x:c>
      <x:c r="B456" s="194" t="str">
        <x:v>AP</x:v>
      </x:c>
      <x:c r="C456" s="194" t="str">
        <x:v>Closure Evidence Basis</x:v>
      </x:c>
      <x:c r="D456" s="194"/>
      <x:c r="E456" s="194" t="str">
        <x:v>Inherited v2.22.0 intended record; no new runtime certification in this repair.</x:v>
      </x:c>
      <x:c r="F456" s="194" t="str">
        <x:v>Add explicit evidence / estimation provenance in repair revision.</x:v>
      </x:c>
    </x:row>
    <x:row r="457" ht="70" customHeight="1">
      <x:c r="A457" s="194" t="str">
        <x:v>T-119</x:v>
      </x:c>
      <x:c r="B457" s="194" t="str">
        <x:v>AR</x:v>
      </x:c>
      <x:c r="C457" s="194" t="str">
        <x:v>Estimate Status</x:v>
      </x:c>
      <x:c r="D457" s="194"/>
      <x:c r="E457" s="194" t="str">
        <x:v>INHERITED ESTIMATE</x:v>
      </x:c>
      <x:c r="F457" s="194" t="str">
        <x:v>Add explicit evidence / estimation provenance in repair revision.</x:v>
      </x:c>
    </x:row>
    <x:row r="458" ht="70" customHeight="1">
      <x:c r="A458" s="194" t="str">
        <x:v>T-120</x:v>
      </x:c>
      <x:c r="B458" s="194" t="str">
        <x:v>M</x:v>
      </x:c>
      <x:c r="C458" s="194" t="str">
        <x:v>Depends On (IDs only)</x:v>
      </x:c>
      <x:c r="D458" s="194" t="str">
        <x:v>T-115; T-123; T-124; T-125; T-126; T-205; T-207; T-212; T-215; T-222; T-223; T-226; T-227; T-247; T-250; T-251; T-252; T-253; T-254; T-255; T-256; T-257; T-258; T-259</x:v>
      </x:c>
      <x:c r="E458" s="194"/>
      <x:c r="F458" s="194" t="str">
        <x:v>Repair positional corruption using task-keyed baseline and approved edit dataset.</x:v>
      </x:c>
    </x:row>
    <x:row r="459" ht="70" customHeight="1">
      <x:c r="A459" s="194" t="str">
        <x:v>T-120</x:v>
      </x:c>
      <x:c r="B459" s="194" t="str">
        <x:v>AO</x:v>
      </x:c>
      <x:c r="C459" s="194" t="str">
        <x:v>Evidence State</x:v>
      </x:c>
      <x:c r="D459" s="194"/>
      <x:c r="E459" s="194" t="str">
        <x:v>Not started — no completion claimed</x:v>
      </x:c>
      <x:c r="F459" s="194" t="str">
        <x:v>Add explicit evidence / estimation provenance in repair revision.</x:v>
      </x:c>
    </x:row>
    <x:row r="460" ht="70" customHeight="1">
      <x:c r="A460" s="194" t="str">
        <x:v>T-120</x:v>
      </x:c>
      <x:c r="B460" s="194" t="str">
        <x:v>AP</x:v>
      </x:c>
      <x:c r="C460" s="194" t="str">
        <x:v>Closure Evidence Basis</x:v>
      </x:c>
      <x:c r="D460" s="194"/>
      <x:c r="E460" s="194" t="str">
        <x:v>Inherited v2.22.0 intended record; no new runtime certification in this repair.</x:v>
      </x:c>
      <x:c r="F460" s="194" t="str">
        <x:v>Add explicit evidence / estimation provenance in repair revision.</x:v>
      </x:c>
    </x:row>
    <x:row r="461" ht="70" customHeight="1">
      <x:c r="A461" s="194" t="str">
        <x:v>T-120</x:v>
      </x:c>
      <x:c r="B461" s="194" t="str">
        <x:v>AR</x:v>
      </x:c>
      <x:c r="C461" s="194" t="str">
        <x:v>Estimate Status</x:v>
      </x:c>
      <x:c r="D461" s="194"/>
      <x:c r="E461" s="194" t="str">
        <x:v>INHERITED ESTIMATE</x:v>
      </x:c>
      <x:c r="F461" s="194" t="str">
        <x:v>Add explicit evidence / estimation provenance in repair revision.</x:v>
      </x:c>
    </x:row>
    <x:row r="462" ht="70" customHeight="1">
      <x:c r="A462" s="194" t="str">
        <x:v>T-121</x:v>
      </x:c>
      <x:c r="B462" s="194" t="str">
        <x:v>M</x:v>
      </x:c>
      <x:c r="C462" s="194" t="str">
        <x:v>Depends On (IDs only)</x:v>
      </x:c>
      <x:c r="D462" s="194" t="str">
        <x:v>T-213; T-259</x:v>
      </x:c>
      <x:c r="E462" s="194" t="str">
        <x:v>T-119</x:v>
      </x:c>
      <x:c r="F462" s="194" t="str">
        <x:v>Repair positional corruption using task-keyed baseline and approved edit dataset.</x:v>
      </x:c>
    </x:row>
    <x:row r="463" ht="70" customHeight="1">
      <x:c r="A463" s="194" t="str">
        <x:v>T-121</x:v>
      </x:c>
      <x:c r="B463" s="194" t="str">
        <x:v>N</x:v>
      </x:c>
      <x:c r="C463" s="194" t="str">
        <x:v>Must Precede (IDs only)</x:v>
      </x:c>
      <x:c r="D463" s="194" t="str">
        <x:v>T-150</x:v>
      </x:c>
      <x:c r="E463" s="194" t="str">
        <x:v>T-127</x:v>
      </x:c>
      <x:c r="F463" s="194" t="str">
        <x:v>Repair positional corruption using task-keyed baseline and approved edit dataset.</x:v>
      </x:c>
    </x:row>
    <x:row r="464" ht="70" customHeight="1">
      <x:c r="A464" s="194" t="str">
        <x:v>T-121</x:v>
      </x:c>
      <x:c r="B464" s="194" t="str">
        <x:v>AO</x:v>
      </x:c>
      <x:c r="C464" s="194" t="str">
        <x:v>Evidence State</x:v>
      </x:c>
      <x:c r="D464" s="194"/>
      <x:c r="E464" s="194" t="str">
        <x:v>Not started — no completion claimed</x:v>
      </x:c>
      <x:c r="F464" s="194" t="str">
        <x:v>Add explicit evidence / estimation provenance in repair revision.</x:v>
      </x:c>
    </x:row>
    <x:row r="465" ht="70" customHeight="1">
      <x:c r="A465" s="194" t="str">
        <x:v>T-121</x:v>
      </x:c>
      <x:c r="B465" s="194" t="str">
        <x:v>AP</x:v>
      </x:c>
      <x:c r="C465" s="194" t="str">
        <x:v>Closure Evidence Basis</x:v>
      </x:c>
      <x:c r="D465" s="194"/>
      <x:c r="E465" s="194" t="str">
        <x:v>Inherited v2.22.0 intended record; no new runtime certification in this repair.</x:v>
      </x:c>
      <x:c r="F465" s="194" t="str">
        <x:v>Add explicit evidence / estimation provenance in repair revision.</x:v>
      </x:c>
    </x:row>
    <x:row r="466" ht="70" customHeight="1">
      <x:c r="A466" s="194" t="str">
        <x:v>T-121</x:v>
      </x:c>
      <x:c r="B466" s="194" t="str">
        <x:v>AR</x:v>
      </x:c>
      <x:c r="C466" s="194" t="str">
        <x:v>Estimate Status</x:v>
      </x:c>
      <x:c r="D466" s="194"/>
      <x:c r="E466" s="194" t="str">
        <x:v>INHERITED ESTIMATE</x:v>
      </x:c>
      <x:c r="F466" s="194" t="str">
        <x:v>Add explicit evidence / estimation provenance in repair revision.</x:v>
      </x:c>
    </x:row>
    <x:row r="467" ht="70" customHeight="1">
      <x:c r="A467" s="194" t="str">
        <x:v>T-123</x:v>
      </x:c>
      <x:c r="B467" s="194" t="str">
        <x:v>M</x:v>
      </x:c>
      <x:c r="C467" s="194" t="str">
        <x:v>Depends On (IDs only)</x:v>
      </x:c>
      <x:c r="D467" s="194" t="str">
        <x:v>T-106; T-107; T-112; T-113; T-114; T-117; T-137; T-168; T-123</x:v>
      </x:c>
      <x:c r="E467" s="194"/>
      <x:c r="F467" s="194" t="str">
        <x:v>Repair positional corruption using task-keyed baseline and approved edit dataset.</x:v>
      </x:c>
    </x:row>
    <x:row r="468" ht="70" customHeight="1">
      <x:c r="A468" s="194" t="str">
        <x:v>T-123</x:v>
      </x:c>
      <x:c r="B468" s="194" t="str">
        <x:v>N</x:v>
      </x:c>
      <x:c r="C468" s="194" t="str">
        <x:v>Must Precede (IDs only)</x:v>
      </x:c>
      <x:c r="D468" s="194" t="str">
        <x:v>T-141; T-185; T-192</x:v>
      </x:c>
      <x:c r="E468" s="194" t="str">
        <x:v>T-122; T-150</x:v>
      </x:c>
      <x:c r="F468" s="194" t="str">
        <x:v>Repair positional corruption using task-keyed baseline and approved edit dataset.</x:v>
      </x:c>
    </x:row>
    <x:row r="469" ht="70" customHeight="1">
      <x:c r="A469" s="194" t="str">
        <x:v>T-123</x:v>
      </x:c>
      <x:c r="B469" s="194" t="str">
        <x:v>AO</x:v>
      </x:c>
      <x:c r="C469" s="194" t="str">
        <x:v>Evidence State</x:v>
      </x:c>
      <x:c r="D469" s="194"/>
      <x:c r="E469" s="194" t="str">
        <x:v>Not started — no completion claimed</x:v>
      </x:c>
      <x:c r="F469" s="194" t="str">
        <x:v>Add explicit evidence / estimation provenance in repair revision.</x:v>
      </x:c>
    </x:row>
    <x:row r="470" ht="70" customHeight="1">
      <x:c r="A470" s="194" t="str">
        <x:v>T-123</x:v>
      </x:c>
      <x:c r="B470" s="194" t="str">
        <x:v>AP</x:v>
      </x:c>
      <x:c r="C470" s="194" t="str">
        <x:v>Closure Evidence Basis</x:v>
      </x:c>
      <x:c r="D470" s="194"/>
      <x:c r="E470" s="194" t="str">
        <x:v>Inherited v2.22.0 intended record; no new runtime certification in this repair.</x:v>
      </x:c>
      <x:c r="F470" s="194" t="str">
        <x:v>Add explicit evidence / estimation provenance in repair revision.</x:v>
      </x:c>
    </x:row>
    <x:row r="471" ht="70" customHeight="1">
      <x:c r="A471" s="194" t="str">
        <x:v>T-123</x:v>
      </x:c>
      <x:c r="B471" s="194" t="str">
        <x:v>AR</x:v>
      </x:c>
      <x:c r="C471" s="194" t="str">
        <x:v>Estimate Status</x:v>
      </x:c>
      <x:c r="D471" s="194"/>
      <x:c r="E471" s="194" t="str">
        <x:v>INHERITED ESTIMATE</x:v>
      </x:c>
      <x:c r="F471" s="194" t="str">
        <x:v>Add explicit evidence / estimation provenance in repair revision.</x:v>
      </x:c>
    </x:row>
    <x:row r="472" ht="70" customHeight="1">
      <x:c r="A472" s="194" t="str">
        <x:v>T-124</x:v>
      </x:c>
      <x:c r="B472" s="194" t="str">
        <x:v>N</x:v>
      </x:c>
      <x:c r="C472" s="194" t="str">
        <x:v>Must Precede (IDs only)</x:v>
      </x:c>
      <x:c r="D472" s="194"/>
      <x:c r="E472" s="194" t="str">
        <x:v>T-150; T-199</x:v>
      </x:c>
      <x:c r="F472" s="194" t="str">
        <x:v>Repair positional corruption using task-keyed baseline and approved edit dataset.</x:v>
      </x:c>
    </x:row>
    <x:row r="473" ht="70" customHeight="1">
      <x:c r="A473" s="194" t="str">
        <x:v>T-124</x:v>
      </x:c>
      <x:c r="B473" s="194" t="str">
        <x:v>AO</x:v>
      </x:c>
      <x:c r="C473" s="194" t="str">
        <x:v>Evidence State</x:v>
      </x:c>
      <x:c r="D473" s="194"/>
      <x:c r="E473" s="194" t="str">
        <x:v>Not started — no completion claimed</x:v>
      </x:c>
      <x:c r="F473" s="194" t="str">
        <x:v>Add explicit evidence / estimation provenance in repair revision.</x:v>
      </x:c>
    </x:row>
    <x:row r="474" ht="70" customHeight="1">
      <x:c r="A474" s="194" t="str">
        <x:v>T-124</x:v>
      </x:c>
      <x:c r="B474" s="194" t="str">
        <x:v>AP</x:v>
      </x:c>
      <x:c r="C474" s="194" t="str">
        <x:v>Closure Evidence Basis</x:v>
      </x:c>
      <x:c r="D474" s="194"/>
      <x:c r="E474" s="194" t="str">
        <x:v>Inherited v2.22.0 intended record; no new runtime certification in this repair.</x:v>
      </x:c>
      <x:c r="F474" s="194" t="str">
        <x:v>Add explicit evidence / estimation provenance in repair revision.</x:v>
      </x:c>
    </x:row>
    <x:row r="475" ht="70" customHeight="1">
      <x:c r="A475" s="194" t="str">
        <x:v>T-124</x:v>
      </x:c>
      <x:c r="B475" s="194" t="str">
        <x:v>AR</x:v>
      </x:c>
      <x:c r="C475" s="194" t="str">
        <x:v>Estimate Status</x:v>
      </x:c>
      <x:c r="D475" s="194"/>
      <x:c r="E475" s="194" t="str">
        <x:v>INHERITED ESTIMATE</x:v>
      </x:c>
      <x:c r="F475" s="194" t="str">
        <x:v>Add explicit evidence / estimation provenance in repair revision.</x:v>
      </x:c>
    </x:row>
    <x:row r="476" ht="70" customHeight="1">
      <x:c r="A476" s="194" t="str">
        <x:v>T-125</x:v>
      </x:c>
      <x:c r="B476" s="194" t="str">
        <x:v>I</x:v>
      </x:c>
      <x:c r="C476" s="194" t="str">
        <x:v>Task Validation</x:v>
      </x:c>
      <x:c r="D476" s="194" t="str">
        <x:v>Trigger each alert condition deliberately and confirm it fires with the correct severity and reaches the configured channel. Execute jobs through at least two families and prove every log/diagnostic row carries the same non-null run identity end-to-end. Induce queue saturation and show queued count/oldest age/wait time and pool utilisation change predictably. A component failure changes the canonical health state and alert; duplicate feature-specific /health routes are not required as separate authorities.</x:v>
      </x:c>
      <x:c r="E476" s="194" t="str">
        <x:v>Trigger each alert condition deliberately and confirm it fires with the correct severity and reaches the configured channel. Execute jobs through at least two families and prove every log/diagnostic row carries the same non-null run identity end-to-end. Induce queue saturation and show queued count/oldest age/wait time and pool utilisation change predictably. A component failure changes the canonical health state and alert; duplicate feature-specific /health routes are not required as separate authorities.
v2.22.1 — The existing operational API/log projection exposes durable batch outcome, error/code, progress/counts and last committed cursor for B4, with run/batch correlation and tenant scoping. T-101 owns the consuming UI. No view computes a replacement status from message text. Final T-247/T-150 evidence joins UI observation to these source facts.</x:v>
      </x:c>
      <x:c r="F476" s="194" t="str">
        <x:v>Explicit backend observability handoff for B4, without duplicating T-106 outcome authority.</x:v>
      </x:c>
    </x:row>
    <x:row r="477" ht="70" customHeight="1">
      <x:c r="A477" s="194" t="str">
        <x:v>T-125</x:v>
      </x:c>
      <x:c r="B477" s="194" t="str">
        <x:v>M</x:v>
      </x:c>
      <x:c r="C477" s="194" t="str">
        <x:v>Depends On (IDs only)</x:v>
      </x:c>
      <x:c r="D477" s="194"/>
      <x:c r="E477" s="194" t="str">
        <x:v>T-106; T-107</x:v>
      </x:c>
      <x:c r="F477" s="194" t="str">
        <x:v>Repair positional corruption using task-keyed baseline and approved edit dataset.</x:v>
      </x:c>
    </x:row>
    <x:row r="478" ht="70" customHeight="1">
      <x:c r="A478" s="194" t="str">
        <x:v>T-125</x:v>
      </x:c>
      <x:c r="B478" s="194" t="str">
        <x:v>N</x:v>
      </x:c>
      <x:c r="C478" s="194" t="str">
        <x:v>Must Precede (IDs only)</x:v>
      </x:c>
      <x:c r="D478" s="194"/>
      <x:c r="E478" s="194" t="str">
        <x:v>T-150; T-247</x:v>
      </x:c>
      <x:c r="F478" s="194" t="str">
        <x:v>Repair positional corruption using task-keyed baseline and approved edit dataset.</x:v>
      </x:c>
    </x:row>
    <x:row r="479" ht="70" customHeight="1">
      <x:c r="A479" s="194" t="str">
        <x:v>T-125</x:v>
      </x:c>
      <x:c r="B479" s="194" t="str">
        <x:v>AC</x:v>
      </x:c>
      <x:c r="C479" s="194" t="str">
        <x:v>Secondary Capability IDs</x:v>
      </x:c>
      <x:c r="D479" s="194"/>
      <x:c r="E479" s="194" t="str">
        <x:v>L1.7</x:v>
      </x:c>
      <x:c r="F479" s="194" t="str">
        <x:v>Map the actual additional acceptance obligation.</x:v>
      </x:c>
    </x:row>
    <x:row r="480" ht="70" customHeight="1">
      <x:c r="A480" s="194" t="str">
        <x:v>T-125</x:v>
      </x:c>
      <x:c r="B480" s="194" t="str">
        <x:v>AJ</x:v>
      </x:c>
      <x:c r="C480" s="194" t="str">
        <x:v>Estimate Basis</x:v>
      </x:c>
      <x:c r="D480" s="194" t="str">
        <x:v>Inherited baseline estimate</x:v>
      </x:c>
      <x:c r="E480" s="194" t="str">
        <x:v>Inherited baseline estimate v2.22.1 acceptance/ownership clarification; owner to review planning impact.</x:v>
      </x:c>
      <x:c r="F480" s="194" t="str">
        <x:v>Add explicit evidence / estimation provenance in repair revision.</x:v>
      </x:c>
    </x:row>
    <x:row r="481" ht="70" customHeight="1">
      <x:c r="A481" s="194" t="str">
        <x:v>T-125</x:v>
      </x:c>
      <x:c r="B481" s="194" t="str">
        <x:v>AO</x:v>
      </x:c>
      <x:c r="C481" s="194" t="str">
        <x:v>Evidence State</x:v>
      </x:c>
      <x:c r="D481" s="194"/>
      <x:c r="E481" s="194" t="str">
        <x:v>Not started — no completion claimed</x:v>
      </x:c>
      <x:c r="F481" s="194" t="str">
        <x:v>Add explicit evidence / estimation provenance in repair revision.</x:v>
      </x:c>
    </x:row>
    <x:row r="482" ht="70" customHeight="1">
      <x:c r="A482" s="194" t="str">
        <x:v>T-125</x:v>
      </x:c>
      <x:c r="B482" s="194" t="str">
        <x:v>AP</x:v>
      </x:c>
      <x:c r="C482" s="194" t="str">
        <x:v>Closure Evidence Basis</x:v>
      </x:c>
      <x:c r="D482" s="194"/>
      <x:c r="E482" s="194" t="str">
        <x:v>Inherited v2.22.0 intended record; no new runtime certification in this repair.</x:v>
      </x:c>
      <x:c r="F482" s="194" t="str">
        <x:v>Add explicit evidence / estimation provenance in repair revision.</x:v>
      </x:c>
    </x:row>
    <x:row r="483" ht="70" customHeight="1">
      <x:c r="A483" s="194" t="str">
        <x:v>T-125</x:v>
      </x:c>
      <x:c r="B483" s="194" t="str">
        <x:v>AR</x:v>
      </x:c>
      <x:c r="C483" s="194" t="str">
        <x:v>Estimate Status</x:v>
      </x:c>
      <x:c r="D483" s="194"/>
      <x:c r="E483" s="194" t="str">
        <x:v>INHERITED ESTIMATE</x:v>
      </x:c>
      <x:c r="F483" s="194" t="str">
        <x:v>Add explicit evidence / estimation provenance in repair revision.</x:v>
      </x:c>
    </x:row>
    <x:row r="484" ht="70" customHeight="1">
      <x:c r="A484" s="194" t="str">
        <x:v>T-126</x:v>
      </x:c>
      <x:c r="B484" s="194" t="str">
        <x:v>M</x:v>
      </x:c>
      <x:c r="C484" s="194" t="str">
        <x:v>Depends On (IDs only)</x:v>
      </x:c>
      <x:c r="D484" s="194" t="str">
        <x:v>T-224; T-225; T-226; T-254</x:v>
      </x:c>
      <x:c r="E484" s="194"/>
      <x:c r="F484" s="194" t="str">
        <x:v>Repair positional corruption using task-keyed baseline and approved edit dataset.</x:v>
      </x:c>
    </x:row>
    <x:row r="485" ht="70" customHeight="1">
      <x:c r="A485" s="194" t="str">
        <x:v>T-126</x:v>
      </x:c>
      <x:c r="B485" s="194" t="str">
        <x:v>N</x:v>
      </x:c>
      <x:c r="C485" s="194" t="str">
        <x:v>Must Precede (IDs only)</x:v>
      </x:c>
      <x:c r="D485" s="194" t="str">
        <x:v>T-249</x:v>
      </x:c>
      <x:c r="E485" s="194" t="str">
        <x:v>T-150</x:v>
      </x:c>
      <x:c r="F485" s="194" t="str">
        <x:v>Repair positional corruption using task-keyed baseline and approved edit dataset.</x:v>
      </x:c>
    </x:row>
    <x:row r="486" ht="70" customHeight="1">
      <x:c r="A486" s="194" t="str">
        <x:v>T-126</x:v>
      </x:c>
      <x:c r="B486" s="194" t="str">
        <x:v>AO</x:v>
      </x:c>
      <x:c r="C486" s="194" t="str">
        <x:v>Evidence State</x:v>
      </x:c>
      <x:c r="D486" s="194"/>
      <x:c r="E486" s="194" t="str">
        <x:v>Not started — no completion claimed</x:v>
      </x:c>
      <x:c r="F486" s="194" t="str">
        <x:v>Add explicit evidence / estimation provenance in repair revision.</x:v>
      </x:c>
    </x:row>
    <x:row r="487" ht="70" customHeight="1">
      <x:c r="A487" s="194" t="str">
        <x:v>T-126</x:v>
      </x:c>
      <x:c r="B487" s="194" t="str">
        <x:v>AP</x:v>
      </x:c>
      <x:c r="C487" s="194" t="str">
        <x:v>Closure Evidence Basis</x:v>
      </x:c>
      <x:c r="D487" s="194"/>
      <x:c r="E487" s="194" t="str">
        <x:v>Inherited v2.22.0 intended record; no new runtime certification in this repair.</x:v>
      </x:c>
      <x:c r="F487" s="194" t="str">
        <x:v>Add explicit evidence / estimation provenance in repair revision.</x:v>
      </x:c>
    </x:row>
    <x:row r="488" ht="70" customHeight="1">
      <x:c r="A488" s="194" t="str">
        <x:v>T-126</x:v>
      </x:c>
      <x:c r="B488" s="194" t="str">
        <x:v>AR</x:v>
      </x:c>
      <x:c r="C488" s="194" t="str">
        <x:v>Estimate Status</x:v>
      </x:c>
      <x:c r="D488" s="194"/>
      <x:c r="E488" s="194" t="str">
        <x:v>INHERITED ESTIMATE</x:v>
      </x:c>
      <x:c r="F488" s="194" t="str">
        <x:v>Add explicit evidence / estimation provenance in repair revision.</x:v>
      </x:c>
    </x:row>
    <x:row r="489" ht="70" customHeight="1">
      <x:c r="A489" s="194" t="str">
        <x:v>T-150</x:v>
      </x:c>
      <x:c r="B489" s="194" t="str">
        <x:v>M</x:v>
      </x:c>
      <x:c r="C489" s="194" t="str">
        <x:v>Depends On (IDs only)</x:v>
      </x:c>
      <x:c r="D489" s="194"/>
      <x:c r="E489" s="194" t="str">
        <x:v>T-115; T-123; T-124; T-125; T-126; T-205; T-207; T-212; T-215; T-222; T-223; T-226; T-227; T-247; T-250; T-251; T-252; T-253; T-254; T-255; T-256; T-257; T-258; T-259</x:v>
      </x:c>
      <x:c r="F489" s="194" t="str">
        <x:v>Repair positional corruption using task-keyed baseline and approved edit dataset.</x:v>
      </x:c>
    </x:row>
    <x:row r="490" ht="70" customHeight="1">
      <x:c r="A490" s="194" t="str">
        <x:v>T-150</x:v>
      </x:c>
      <x:c r="B490" s="194" t="str">
        <x:v>AO</x:v>
      </x:c>
      <x:c r="C490" s="194" t="str">
        <x:v>Evidence State</x:v>
      </x:c>
      <x:c r="D490" s="194"/>
      <x:c r="E490" s="194" t="str">
        <x:v>Not started — no completion claimed</x:v>
      </x:c>
      <x:c r="F490" s="194" t="str">
        <x:v>Add explicit evidence / estimation provenance in repair revision.</x:v>
      </x:c>
    </x:row>
    <x:row r="491" ht="70" customHeight="1">
      <x:c r="A491" s="194" t="str">
        <x:v>T-150</x:v>
      </x:c>
      <x:c r="B491" s="194" t="str">
        <x:v>AP</x:v>
      </x:c>
      <x:c r="C491" s="194" t="str">
        <x:v>Closure Evidence Basis</x:v>
      </x:c>
      <x:c r="D491" s="194"/>
      <x:c r="E491" s="194" t="str">
        <x:v>Inherited v2.22.0 intended record; no new runtime certification in this repair.</x:v>
      </x:c>
      <x:c r="F491" s="194" t="str">
        <x:v>Add explicit evidence / estimation provenance in repair revision.</x:v>
      </x:c>
    </x:row>
    <x:row r="492" ht="70" customHeight="1">
      <x:c r="A492" s="194" t="str">
        <x:v>T-150</x:v>
      </x:c>
      <x:c r="B492" s="194" t="str">
        <x:v>AR</x:v>
      </x:c>
      <x:c r="C492" s="194" t="str">
        <x:v>Estimate Status</x:v>
      </x:c>
      <x:c r="D492" s="194"/>
      <x:c r="E492" s="194" t="str">
        <x:v>INHERITED ESTIMATE</x:v>
      </x:c>
      <x:c r="F492" s="194" t="str">
        <x:v>Add explicit evidence / estimation provenance in repair revision.</x:v>
      </x:c>
    </x:row>
    <x:row r="493" ht="70" customHeight="1">
      <x:c r="A493" s="194" t="str">
        <x:v>T-227</x:v>
      </x:c>
      <x:c r="B493" s="194" t="str">
        <x:v>M</x:v>
      </x:c>
      <x:c r="C493" s="194" t="str">
        <x:v>Depends On (IDs only)</x:v>
      </x:c>
      <x:c r="D493" s="194"/>
      <x:c r="E493" s="194" t="str">
        <x:v>T-213; T-259</x:v>
      </x:c>
      <x:c r="F493" s="194" t="str">
        <x:v>Repair positional corruption using task-keyed baseline and approved edit dataset.</x:v>
      </x:c>
    </x:row>
    <x:row r="494" ht="70" customHeight="1">
      <x:c r="A494" s="194" t="str">
        <x:v>T-227</x:v>
      </x:c>
      <x:c r="B494" s="194" t="str">
        <x:v>N</x:v>
      </x:c>
      <x:c r="C494" s="194" t="str">
        <x:v>Must Precede (IDs only)</x:v>
      </x:c>
      <x:c r="D494" s="194"/>
      <x:c r="E494" s="194" t="str">
        <x:v>T-150</x:v>
      </x:c>
      <x:c r="F494" s="194" t="str">
        <x:v>Repair positional corruption using task-keyed baseline and approved edit dataset.</x:v>
      </x:c>
    </x:row>
    <x:row r="495" ht="70" customHeight="1">
      <x:c r="A495" s="194" t="str">
        <x:v>T-227</x:v>
      </x:c>
      <x:c r="B495" s="194" t="str">
        <x:v>AO</x:v>
      </x:c>
      <x:c r="C495" s="194" t="str">
        <x:v>Evidence State</x:v>
      </x:c>
      <x:c r="D495" s="194"/>
      <x:c r="E495" s="194" t="str">
        <x:v>Not started — no completion claimed</x:v>
      </x:c>
      <x:c r="F495" s="194" t="str">
        <x:v>Add explicit evidence / estimation provenance in repair revision.</x:v>
      </x:c>
    </x:row>
    <x:row r="496" ht="70" customHeight="1">
      <x:c r="A496" s="194" t="str">
        <x:v>T-227</x:v>
      </x:c>
      <x:c r="B496" s="194" t="str">
        <x:v>AP</x:v>
      </x:c>
      <x:c r="C496" s="194" t="str">
        <x:v>Closure Evidence Basis</x:v>
      </x:c>
      <x:c r="D496" s="194"/>
      <x:c r="E496" s="194" t="str">
        <x:v>Inherited v2.22.0 intended record; no new runtime certification in this repair.</x:v>
      </x:c>
      <x:c r="F496" s="194" t="str">
        <x:v>Add explicit evidence / estimation provenance in repair revision.</x:v>
      </x:c>
    </x:row>
    <x:row r="497" ht="70" customHeight="1">
      <x:c r="A497" s="194" t="str">
        <x:v>T-227</x:v>
      </x:c>
      <x:c r="B497" s="194" t="str">
        <x:v>AR</x:v>
      </x:c>
      <x:c r="C497" s="194" t="str">
        <x:v>Estimate Status</x:v>
      </x:c>
      <x:c r="D497" s="194"/>
      <x:c r="E497" s="194" t="str">
        <x:v>INHERITED ESTIMATE</x:v>
      </x:c>
      <x:c r="F497" s="194" t="str">
        <x:v>Add explicit evidence / estimation provenance in repair revision.</x:v>
      </x:c>
    </x:row>
    <x:row r="498" ht="70" customHeight="1">
      <x:c r="A498" s="194" t="str">
        <x:v>T-255</x:v>
      </x:c>
      <x:c r="B498" s="194" t="str">
        <x:v>M</x:v>
      </x:c>
      <x:c r="C498" s="194" t="str">
        <x:v>Depends On (IDs only)</x:v>
      </x:c>
      <x:c r="D498" s="194"/>
      <x:c r="E498" s="194" t="str">
        <x:v>T-205; T-250</x:v>
      </x:c>
      <x:c r="F498" s="194" t="str">
        <x:v>Repair positional corruption using task-keyed baseline and approved edit dataset.</x:v>
      </x:c>
    </x:row>
    <x:row r="499" ht="70" customHeight="1">
      <x:c r="A499" s="194" t="str">
        <x:v>T-255</x:v>
      </x:c>
      <x:c r="B499" s="194" t="str">
        <x:v>N</x:v>
      </x:c>
      <x:c r="C499" s="194" t="str">
        <x:v>Must Precede (IDs only)</x:v>
      </x:c>
      <x:c r="D499" s="194" t="str">
        <x:v>T-249</x:v>
      </x:c>
      <x:c r="E499" s="194" t="str">
        <x:v>T-150</x:v>
      </x:c>
      <x:c r="F499" s="194" t="str">
        <x:v>Repair positional corruption using task-keyed baseline and approved edit dataset.</x:v>
      </x:c>
    </x:row>
    <x:row r="500" ht="70" customHeight="1">
      <x:c r="A500" s="194" t="str">
        <x:v>T-255</x:v>
      </x:c>
      <x:c r="B500" s="194" t="str">
        <x:v>AO</x:v>
      </x:c>
      <x:c r="C500" s="194" t="str">
        <x:v>Evidence State</x:v>
      </x:c>
      <x:c r="D500" s="194"/>
      <x:c r="E500" s="194" t="str">
        <x:v>Not started — no completion claimed</x:v>
      </x:c>
      <x:c r="F500" s="194" t="str">
        <x:v>Add explicit evidence / estimation provenance in repair revision.</x:v>
      </x:c>
    </x:row>
    <x:row r="501" ht="70" customHeight="1">
      <x:c r="A501" s="194" t="str">
        <x:v>T-255</x:v>
      </x:c>
      <x:c r="B501" s="194" t="str">
        <x:v>AP</x:v>
      </x:c>
      <x:c r="C501" s="194" t="str">
        <x:v>Closure Evidence Basis</x:v>
      </x:c>
      <x:c r="D501" s="194"/>
      <x:c r="E501" s="194" t="str">
        <x:v>Inherited v2.22.0 intended record; no new runtime certification in this repair.</x:v>
      </x:c>
      <x:c r="F501" s="194" t="str">
        <x:v>Add explicit evidence / estimation provenance in repair revision.</x:v>
      </x:c>
    </x:row>
    <x:row r="502" ht="70" customHeight="1">
      <x:c r="A502" s="194" t="str">
        <x:v>T-255</x:v>
      </x:c>
      <x:c r="B502" s="194" t="str">
        <x:v>AR</x:v>
      </x:c>
      <x:c r="C502" s="194" t="str">
        <x:v>Estimate Status</x:v>
      </x:c>
      <x:c r="D502" s="194"/>
      <x:c r="E502" s="194" t="str">
        <x:v>INHERITED ESTIMATE</x:v>
      </x:c>
      <x:c r="F502" s="194" t="str">
        <x:v>Add explicit evidence / estimation provenance in repair revision.</x:v>
      </x:c>
    </x:row>
    <x:row r="503" ht="70" customHeight="1">
      <x:c r="A503" s="194" t="str">
        <x:v>T-257</x:v>
      </x:c>
      <x:c r="B503" s="194" t="str">
        <x:v>M</x:v>
      </x:c>
      <x:c r="C503" s="194" t="str">
        <x:v>Depends On (IDs only)</x:v>
      </x:c>
      <x:c r="D503" s="194"/>
      <x:c r="E503" s="194" t="str">
        <x:v>T-205; T-250; T-259</x:v>
      </x:c>
      <x:c r="F503" s="194" t="str">
        <x:v>Repair positional corruption using task-keyed baseline and approved edit dataset.</x:v>
      </x:c>
    </x:row>
    <x:row r="504" ht="70" customHeight="1">
      <x:c r="A504" s="194" t="str">
        <x:v>T-257</x:v>
      </x:c>
      <x:c r="B504" s="194" t="str">
        <x:v>N</x:v>
      </x:c>
      <x:c r="C504" s="194" t="str">
        <x:v>Must Precede (IDs only)</x:v>
      </x:c>
      <x:c r="D504" s="194" t="str">
        <x:v>T-249</x:v>
      </x:c>
      <x:c r="E504" s="194" t="str">
        <x:v>T-150; T-248</x:v>
      </x:c>
      <x:c r="F504" s="194" t="str">
        <x:v>Repair positional corruption using task-keyed baseline and approved edit dataset.</x:v>
      </x:c>
    </x:row>
    <x:row r="505" ht="70" customHeight="1">
      <x:c r="A505" s="194" t="str">
        <x:v>T-257</x:v>
      </x:c>
      <x:c r="B505" s="194" t="str">
        <x:v>AO</x:v>
      </x:c>
      <x:c r="C505" s="194" t="str">
        <x:v>Evidence State</x:v>
      </x:c>
      <x:c r="D505" s="194"/>
      <x:c r="E505" s="194" t="str">
        <x:v>Not started — no completion claimed</x:v>
      </x:c>
      <x:c r="F505" s="194" t="str">
        <x:v>Add explicit evidence / estimation provenance in repair revision.</x:v>
      </x:c>
    </x:row>
    <x:row r="506" ht="70" customHeight="1">
      <x:c r="A506" s="194" t="str">
        <x:v>T-257</x:v>
      </x:c>
      <x:c r="B506" s="194" t="str">
        <x:v>AP</x:v>
      </x:c>
      <x:c r="C506" s="194" t="str">
        <x:v>Closure Evidence Basis</x:v>
      </x:c>
      <x:c r="D506" s="194"/>
      <x:c r="E506" s="194" t="str">
        <x:v>Inherited v2.22.0 intended record; no new runtime certification in this repair.</x:v>
      </x:c>
      <x:c r="F506" s="194" t="str">
        <x:v>Add explicit evidence / estimation provenance in repair revision.</x:v>
      </x:c>
    </x:row>
    <x:row r="507" ht="70" customHeight="1">
      <x:c r="A507" s="194" t="str">
        <x:v>T-257</x:v>
      </x:c>
      <x:c r="B507" s="194" t="str">
        <x:v>AR</x:v>
      </x:c>
      <x:c r="C507" s="194" t="str">
        <x:v>Estimate Status</x:v>
      </x:c>
      <x:c r="D507" s="194"/>
      <x:c r="E507" s="194" t="str">
        <x:v>INHERITED ESTIMATE</x:v>
      </x:c>
      <x:c r="F507" s="194" t="str">
        <x:v>Add explicit evidence / estimation provenance in repair revision.</x:v>
      </x:c>
    </x:row>
    <x:row r="508" ht="70" customHeight="1">
      <x:c r="A508" s="194" t="str">
        <x:v>T-110</x:v>
      </x:c>
      <x:c r="B508" s="194" t="str">
        <x:v>M</x:v>
      </x:c>
      <x:c r="C508" s="194" t="str">
        <x:v>Depends On (IDs only)</x:v>
      </x:c>
      <x:c r="D508" s="194"/>
      <x:c r="E508" s="194" t="str">
        <x:v>T-108; T-109</x:v>
      </x:c>
      <x:c r="F508" s="194" t="str">
        <x:v>Repair positional corruption using task-keyed baseline and approved edit dataset.</x:v>
      </x:c>
    </x:row>
    <x:row r="509" ht="70" customHeight="1">
      <x:c r="A509" s="194" t="str">
        <x:v>T-110</x:v>
      </x:c>
      <x:c r="B509" s="194" t="str">
        <x:v>AO</x:v>
      </x:c>
      <x:c r="C509" s="194" t="str">
        <x:v>Evidence State</x:v>
      </x:c>
      <x:c r="D509" s="194"/>
      <x:c r="E509" s="194" t="str">
        <x:v>Not started — no completion claimed</x:v>
      </x:c>
      <x:c r="F509" s="194" t="str">
        <x:v>Add explicit evidence / estimation provenance in repair revision.</x:v>
      </x:c>
    </x:row>
    <x:row r="510" ht="70" customHeight="1">
      <x:c r="A510" s="194" t="str">
        <x:v>T-110</x:v>
      </x:c>
      <x:c r="B510" s="194" t="str">
        <x:v>AP</x:v>
      </x:c>
      <x:c r="C510" s="194" t="str">
        <x:v>Closure Evidence Basis</x:v>
      </x:c>
      <x:c r="D510" s="194"/>
      <x:c r="E510" s="194" t="str">
        <x:v>Inherited v2.22.0 intended record; no new runtime certification in this repair.</x:v>
      </x:c>
      <x:c r="F510" s="194" t="str">
        <x:v>Add explicit evidence / estimation provenance in repair revision.</x:v>
      </x:c>
    </x:row>
    <x:row r="511" ht="70" customHeight="1">
      <x:c r="A511" s="194" t="str">
        <x:v>T-110</x:v>
      </x:c>
      <x:c r="B511" s="194" t="str">
        <x:v>AR</x:v>
      </x:c>
      <x:c r="C511" s="194" t="str">
        <x:v>Estimate Status</x:v>
      </x:c>
      <x:c r="D511" s="194"/>
      <x:c r="E511" s="194" t="str">
        <x:v>INHERITED ESTIMATE</x:v>
      </x:c>
      <x:c r="F511" s="194" t="str">
        <x:v>Add explicit evidence / estimation provenance in repair revision.</x:v>
      </x:c>
    </x:row>
    <x:row r="512" ht="70" customHeight="1">
      <x:c r="A512" s="194" t="str">
        <x:v>T-122</x:v>
      </x:c>
      <x:c r="B512" s="194" t="str">
        <x:v>M</x:v>
      </x:c>
      <x:c r="C512" s="194" t="str">
        <x:v>Depends On (IDs only)</x:v>
      </x:c>
      <x:c r="D512" s="194" t="str">
        <x:v>T-256</x:v>
      </x:c>
      <x:c r="E512" s="194" t="str">
        <x:v>T-106; T-107; T-112; T-113; T-114; T-117; T-137; T-168; T-123</x:v>
      </x:c>
      <x:c r="F512" s="194" t="str">
        <x:v>Repair positional corruption using task-keyed baseline and approved edit dataset.</x:v>
      </x:c>
    </x:row>
    <x:row r="513" ht="70" customHeight="1">
      <x:c r="A513" s="194" t="str">
        <x:v>T-122</x:v>
      </x:c>
      <x:c r="B513" s="194" t="str">
        <x:v>N</x:v>
      </x:c>
      <x:c r="C513" s="194" t="str">
        <x:v>Must Precede (IDs only)</x:v>
      </x:c>
      <x:c r="D513" s="194"/>
      <x:c r="E513" s="194" t="str">
        <x:v>T-141; T-185; T-192</x:v>
      </x:c>
      <x:c r="F513" s="194" t="str">
        <x:v>Repair positional corruption using task-keyed baseline and approved edit dataset.</x:v>
      </x:c>
    </x:row>
    <x:row r="514" ht="70" customHeight="1">
      <x:c r="A514" s="194" t="str">
        <x:v>T-122</x:v>
      </x:c>
      <x:c r="B514" s="194" t="str">
        <x:v>AO</x:v>
      </x:c>
      <x:c r="C514" s="194" t="str">
        <x:v>Evidence State</x:v>
      </x:c>
      <x:c r="D514" s="194"/>
      <x:c r="E514" s="194" t="str">
        <x:v>Not started — no completion claimed</x:v>
      </x:c>
      <x:c r="F514" s="194" t="str">
        <x:v>Add explicit evidence / estimation provenance in repair revision.</x:v>
      </x:c>
    </x:row>
    <x:row r="515" ht="70" customHeight="1">
      <x:c r="A515" s="194" t="str">
        <x:v>T-122</x:v>
      </x:c>
      <x:c r="B515" s="194" t="str">
        <x:v>AP</x:v>
      </x:c>
      <x:c r="C515" s="194" t="str">
        <x:v>Closure Evidence Basis</x:v>
      </x:c>
      <x:c r="D515" s="194"/>
      <x:c r="E515" s="194" t="str">
        <x:v>Inherited v2.22.0 intended record; no new runtime certification in this repair.</x:v>
      </x:c>
      <x:c r="F515" s="194" t="str">
        <x:v>Add explicit evidence / estimation provenance in repair revision.</x:v>
      </x:c>
    </x:row>
    <x:row r="516" ht="70" customHeight="1">
      <x:c r="A516" s="194" t="str">
        <x:v>T-122</x:v>
      </x:c>
      <x:c r="B516" s="194" t="str">
        <x:v>AR</x:v>
      </x:c>
      <x:c r="C516" s="194" t="str">
        <x:v>Estimate Status</x:v>
      </x:c>
      <x:c r="D516" s="194"/>
      <x:c r="E516" s="194" t="str">
        <x:v>INHERITED ESTIMATE</x:v>
      </x:c>
      <x:c r="F516" s="194" t="str">
        <x:v>Add explicit evidence / estimation provenance in repair revision.</x:v>
      </x:c>
    </x:row>
    <x:row r="517" ht="70" customHeight="1">
      <x:c r="A517" s="194" t="str">
        <x:v>T-151</x:v>
      </x:c>
      <x:c r="B517" s="194" t="str">
        <x:v>N</x:v>
      </x:c>
      <x:c r="C517" s="194" t="str">
        <x:v>Must Precede (IDs only)</x:v>
      </x:c>
      <x:c r="D517" s="194" t="str">
        <x:v>T-122; T-194</x:v>
      </x:c>
      <x:c r="E517" s="194"/>
      <x:c r="F517" s="194" t="str">
        <x:v>Repair positional corruption using task-keyed baseline and approved edit dataset.</x:v>
      </x:c>
    </x:row>
    <x:row r="518" ht="70" customHeight="1">
      <x:c r="A518" s="194" t="str">
        <x:v>T-151</x:v>
      </x:c>
      <x:c r="B518" s="194" t="str">
        <x:v>AO</x:v>
      </x:c>
      <x:c r="C518" s="194" t="str">
        <x:v>Evidence State</x:v>
      </x:c>
      <x:c r="D518" s="194"/>
      <x:c r="E518" s="194" t="str">
        <x:v>Not started — no completion claimed</x:v>
      </x:c>
      <x:c r="F518" s="194" t="str">
        <x:v>Add explicit evidence / estimation provenance in repair revision.</x:v>
      </x:c>
    </x:row>
    <x:row r="519" ht="70" customHeight="1">
      <x:c r="A519" s="194" t="str">
        <x:v>T-151</x:v>
      </x:c>
      <x:c r="B519" s="194" t="str">
        <x:v>AP</x:v>
      </x:c>
      <x:c r="C519" s="194" t="str">
        <x:v>Closure Evidence Basis</x:v>
      </x:c>
      <x:c r="D519" s="194"/>
      <x:c r="E519" s="194" t="str">
        <x:v>Inherited v2.22.0 intended record; no new runtime certification in this repair.</x:v>
      </x:c>
      <x:c r="F519" s="194" t="str">
        <x:v>Add explicit evidence / estimation provenance in repair revision.</x:v>
      </x:c>
    </x:row>
    <x:row r="520" ht="70" customHeight="1">
      <x:c r="A520" s="194" t="str">
        <x:v>T-151</x:v>
      </x:c>
      <x:c r="B520" s="194" t="str">
        <x:v>AR</x:v>
      </x:c>
      <x:c r="C520" s="194" t="str">
        <x:v>Estimate Status</x:v>
      </x:c>
      <x:c r="D520" s="194"/>
      <x:c r="E520" s="194" t="str">
        <x:v>INHERITED ESTIMATE</x:v>
      </x:c>
      <x:c r="F520" s="194" t="str">
        <x:v>Add explicit evidence / estimation provenance in repair revision.</x:v>
      </x:c>
    </x:row>
    <x:row r="521" ht="70" customHeight="1">
      <x:c r="A521" s="194" t="str">
        <x:v>T-152</x:v>
      </x:c>
      <x:c r="B521" s="194" t="str">
        <x:v>M</x:v>
      </x:c>
      <x:c r="C521" s="194" t="str">
        <x:v>Depends On (IDs only)</x:v>
      </x:c>
      <x:c r="D521" s="194" t="str">
        <x:v>T-196; T-197; T-198; T-199; T-200; T-121</x:v>
      </x:c>
      <x:c r="E521" s="194"/>
      <x:c r="F521" s="194" t="str">
        <x:v>Repair positional corruption using task-keyed baseline and approved edit dataset.</x:v>
      </x:c>
    </x:row>
    <x:row r="522" ht="70" customHeight="1">
      <x:c r="A522" s="194" t="str">
        <x:v>T-152</x:v>
      </x:c>
      <x:c r="B522" s="194" t="str">
        <x:v>N</x:v>
      </x:c>
      <x:c r="C522" s="194" t="str">
        <x:v>Must Precede (IDs only)</x:v>
      </x:c>
      <x:c r="D522" s="194" t="str">
        <x:v>T-194</x:v>
      </x:c>
      <x:c r="E522" s="194"/>
      <x:c r="F522" s="194" t="str">
        <x:v>Repair positional corruption using task-keyed baseline and approved edit dataset.</x:v>
      </x:c>
    </x:row>
    <x:row r="523" ht="70" customHeight="1">
      <x:c r="A523" s="194" t="str">
        <x:v>T-152</x:v>
      </x:c>
      <x:c r="B523" s="194" t="str">
        <x:v>AO</x:v>
      </x:c>
      <x:c r="C523" s="194" t="str">
        <x:v>Evidence State</x:v>
      </x:c>
      <x:c r="D523" s="194"/>
      <x:c r="E523" s="194" t="str">
        <x:v>Not started — no completion claimed</x:v>
      </x:c>
      <x:c r="F523" s="194" t="str">
        <x:v>Add explicit evidence / estimation provenance in repair revision.</x:v>
      </x:c>
    </x:row>
    <x:row r="524" ht="70" customHeight="1">
      <x:c r="A524" s="194" t="str">
        <x:v>T-152</x:v>
      </x:c>
      <x:c r="B524" s="194" t="str">
        <x:v>AP</x:v>
      </x:c>
      <x:c r="C524" s="194" t="str">
        <x:v>Closure Evidence Basis</x:v>
      </x:c>
      <x:c r="D524" s="194"/>
      <x:c r="E524" s="194" t="str">
        <x:v>Inherited v2.22.0 intended record; no new runtime certification in this repair.</x:v>
      </x:c>
      <x:c r="F524" s="194" t="str">
        <x:v>Add explicit evidence / estimation provenance in repair revision.</x:v>
      </x:c>
    </x:row>
    <x:row r="525" ht="70" customHeight="1">
      <x:c r="A525" s="194" t="str">
        <x:v>T-152</x:v>
      </x:c>
      <x:c r="B525" s="194" t="str">
        <x:v>AR</x:v>
      </x:c>
      <x:c r="C525" s="194" t="str">
        <x:v>Estimate Status</x:v>
      </x:c>
      <x:c r="D525" s="194"/>
      <x:c r="E525" s="194" t="str">
        <x:v>INHERITED ESTIMATE</x:v>
      </x:c>
      <x:c r="F525" s="194" t="str">
        <x:v>Add explicit evidence / estimation provenance in repair revision.</x:v>
      </x:c>
    </x:row>
    <x:row r="526" ht="70" customHeight="1">
      <x:c r="A526" s="194" t="str">
        <x:v>T-153</x:v>
      </x:c>
      <x:c r="B526" s="194" t="str">
        <x:v>M</x:v>
      </x:c>
      <x:c r="C526" s="194" t="str">
        <x:v>Depends On (IDs only)</x:v>
      </x:c>
      <x:c r="D526" s="194"/>
      <x:c r="E526" s="194" t="str">
        <x:v>T-224; T-225; T-226; T-254</x:v>
      </x:c>
      <x:c r="F526" s="194" t="str">
        <x:v>Repair positional corruption using task-keyed baseline and approved edit dataset.</x:v>
      </x:c>
    </x:row>
    <x:row r="527" ht="70" customHeight="1">
      <x:c r="A527" s="194" t="str">
        <x:v>T-153</x:v>
      </x:c>
      <x:c r="B527" s="194" t="str">
        <x:v>N</x:v>
      </x:c>
      <x:c r="C527" s="194" t="str">
        <x:v>Must Precede (IDs only)</x:v>
      </x:c>
      <x:c r="D527" s="194"/>
      <x:c r="E527" s="194" t="str">
        <x:v>T-249</x:v>
      </x:c>
      <x:c r="F527" s="194" t="str">
        <x:v>Repair positional corruption using task-keyed baseline and approved edit dataset.</x:v>
      </x:c>
    </x:row>
    <x:row r="528" ht="70" customHeight="1">
      <x:c r="A528" s="194" t="str">
        <x:v>T-153</x:v>
      </x:c>
      <x:c r="B528" s="194" t="str">
        <x:v>AO</x:v>
      </x:c>
      <x:c r="C528" s="194" t="str">
        <x:v>Evidence State</x:v>
      </x:c>
      <x:c r="D528" s="194"/>
      <x:c r="E528" s="194" t="str">
        <x:v>Not started — no completion claimed</x:v>
      </x:c>
      <x:c r="F528" s="194" t="str">
        <x:v>Add explicit evidence / estimation provenance in repair revision.</x:v>
      </x:c>
    </x:row>
    <x:row r="529" ht="70" customHeight="1">
      <x:c r="A529" s="194" t="str">
        <x:v>T-153</x:v>
      </x:c>
      <x:c r="B529" s="194" t="str">
        <x:v>AP</x:v>
      </x:c>
      <x:c r="C529" s="194" t="str">
        <x:v>Closure Evidence Basis</x:v>
      </x:c>
      <x:c r="D529" s="194"/>
      <x:c r="E529" s="194" t="str">
        <x:v>Inherited v2.22.0 intended record; no new runtime certification in this repair.</x:v>
      </x:c>
      <x:c r="F529" s="194" t="str">
        <x:v>Add explicit evidence / estimation provenance in repair revision.</x:v>
      </x:c>
    </x:row>
    <x:row r="530" ht="70" customHeight="1">
      <x:c r="A530" s="194" t="str">
        <x:v>T-153</x:v>
      </x:c>
      <x:c r="B530" s="194" t="str">
        <x:v>AR</x:v>
      </x:c>
      <x:c r="C530" s="194" t="str">
        <x:v>Estimate Status</x:v>
      </x:c>
      <x:c r="D530" s="194"/>
      <x:c r="E530" s="194" t="str">
        <x:v>INHERITED ESTIMATE</x:v>
      </x:c>
      <x:c r="F530" s="194" t="str">
        <x:v>Add explicit evidence / estimation provenance in repair revision.</x:v>
      </x:c>
    </x:row>
    <x:row r="531" ht="70" customHeight="1">
      <x:c r="A531" s="194" t="str">
        <x:v>T-154</x:v>
      </x:c>
      <x:c r="B531" s="194" t="str">
        <x:v>N</x:v>
      </x:c>
      <x:c r="C531" s="194" t="str">
        <x:v>Must Precede (IDs only)</x:v>
      </x:c>
      <x:c r="D531" s="194" t="str">
        <x:v>T-249</x:v>
      </x:c>
      <x:c r="E531" s="194"/>
      <x:c r="F531" s="194" t="str">
        <x:v>Repair positional corruption using task-keyed baseline and approved edit dataset.</x:v>
      </x:c>
    </x:row>
    <x:row r="532" ht="70" customHeight="1">
      <x:c r="A532" s="194" t="str">
        <x:v>T-154</x:v>
      </x:c>
      <x:c r="B532" s="194" t="str">
        <x:v>AO</x:v>
      </x:c>
      <x:c r="C532" s="194" t="str">
        <x:v>Evidence State</x:v>
      </x:c>
      <x:c r="D532" s="194"/>
      <x:c r="E532" s="194" t="str">
        <x:v>Not started — no completion claimed</x:v>
      </x:c>
      <x:c r="F532" s="194" t="str">
        <x:v>Add explicit evidence / estimation provenance in repair revision.</x:v>
      </x:c>
    </x:row>
    <x:row r="533" ht="70" customHeight="1">
      <x:c r="A533" s="194" t="str">
        <x:v>T-154</x:v>
      </x:c>
      <x:c r="B533" s="194" t="str">
        <x:v>AP</x:v>
      </x:c>
      <x:c r="C533" s="194" t="str">
        <x:v>Closure Evidence Basis</x:v>
      </x:c>
      <x:c r="D533" s="194"/>
      <x:c r="E533" s="194" t="str">
        <x:v>Inherited v2.22.0 intended record; no new runtime certification in this repair.</x:v>
      </x:c>
      <x:c r="F533" s="194" t="str">
        <x:v>Add explicit evidence / estimation provenance in repair revision.</x:v>
      </x:c>
    </x:row>
    <x:row r="534" ht="70" customHeight="1">
      <x:c r="A534" s="194" t="str">
        <x:v>T-154</x:v>
      </x:c>
      <x:c r="B534" s="194" t="str">
        <x:v>AR</x:v>
      </x:c>
      <x:c r="C534" s="194" t="str">
        <x:v>Estimate Status</x:v>
      </x:c>
      <x:c r="D534" s="194"/>
      <x:c r="E534" s="194" t="str">
        <x:v>INHERITED ESTIMATE</x:v>
      </x:c>
      <x:c r="F534" s="194" t="str">
        <x:v>Add explicit evidence / estimation provenance in repair revision.</x:v>
      </x:c>
    </x:row>
    <x:row r="535" ht="70" customHeight="1">
      <x:c r="A535" s="194" t="str">
        <x:v>T-155</x:v>
      </x:c>
      <x:c r="B535" s="194" t="str">
        <x:v>N</x:v>
      </x:c>
      <x:c r="C535" s="194" t="str">
        <x:v>Must Precede (IDs only)</x:v>
      </x:c>
      <x:c r="D535" s="194" t="str">
        <x:v>T-249</x:v>
      </x:c>
      <x:c r="E535" s="194"/>
      <x:c r="F535" s="194" t="str">
        <x:v>Repair positional corruption using task-keyed baseline and approved edit dataset.</x:v>
      </x:c>
    </x:row>
    <x:row r="536" ht="70" customHeight="1">
      <x:c r="A536" s="194" t="str">
        <x:v>T-155</x:v>
      </x:c>
      <x:c r="B536" s="194" t="str">
        <x:v>AO</x:v>
      </x:c>
      <x:c r="C536" s="194" t="str">
        <x:v>Evidence State</x:v>
      </x:c>
      <x:c r="D536" s="194"/>
      <x:c r="E536" s="194" t="str">
        <x:v>Not started — no completion claimed</x:v>
      </x:c>
      <x:c r="F536" s="194" t="str">
        <x:v>Add explicit evidence / estimation provenance in repair revision.</x:v>
      </x:c>
    </x:row>
    <x:row r="537" ht="70" customHeight="1">
      <x:c r="A537" s="194" t="str">
        <x:v>T-155</x:v>
      </x:c>
      <x:c r="B537" s="194" t="str">
        <x:v>AP</x:v>
      </x:c>
      <x:c r="C537" s="194" t="str">
        <x:v>Closure Evidence Basis</x:v>
      </x:c>
      <x:c r="D537" s="194"/>
      <x:c r="E537" s="194" t="str">
        <x:v>Inherited v2.22.0 intended record; no new runtime certification in this repair.</x:v>
      </x:c>
      <x:c r="F537" s="194" t="str">
        <x:v>Add explicit evidence / estimation provenance in repair revision.</x:v>
      </x:c>
    </x:row>
    <x:row r="538" ht="70" customHeight="1">
      <x:c r="A538" s="194" t="str">
        <x:v>T-155</x:v>
      </x:c>
      <x:c r="B538" s="194" t="str">
        <x:v>AR</x:v>
      </x:c>
      <x:c r="C538" s="194" t="str">
        <x:v>Estimate Status</x:v>
      </x:c>
      <x:c r="D538" s="194"/>
      <x:c r="E538" s="194" t="str">
        <x:v>INHERITED ESTIMATE</x:v>
      </x:c>
      <x:c r="F538" s="194" t="str">
        <x:v>Add explicit evidence / estimation provenance in repair revision.</x:v>
      </x:c>
    </x:row>
    <x:row r="539" ht="70" customHeight="1">
      <x:c r="A539" s="194" t="str">
        <x:v>T-159</x:v>
      </x:c>
      <x:c r="B539" s="194" t="str">
        <x:v>M</x:v>
      </x:c>
      <x:c r="C539" s="194" t="str">
        <x:v>Depends On (IDs only)</x:v>
      </x:c>
      <x:c r="D539" s="194" t="str">
        <x:v>T-117; T-127</x:v>
      </x:c>
      <x:c r="E539" s="194"/>
      <x:c r="F539" s="194" t="str">
        <x:v>Repair positional corruption using task-keyed baseline and approved edit dataset.</x:v>
      </x:c>
    </x:row>
    <x:row r="540" ht="70" customHeight="1">
      <x:c r="A540" s="194" t="str">
        <x:v>T-159</x:v>
      </x:c>
      <x:c r="B540" s="194" t="str">
        <x:v>N</x:v>
      </x:c>
      <x:c r="C540" s="194" t="str">
        <x:v>Must Precede (IDs only)</x:v>
      </x:c>
      <x:c r="D540" s="194"/>
      <x:c r="E540" s="194" t="str">
        <x:v>T-249</x:v>
      </x:c>
      <x:c r="F540" s="194" t="str">
        <x:v>Repair positional corruption using task-keyed baseline and approved edit dataset.</x:v>
      </x:c>
    </x:row>
    <x:row r="541" ht="70" customHeight="1">
      <x:c r="A541" s="194" t="str">
        <x:v>T-159</x:v>
      </x:c>
      <x:c r="B541" s="194" t="str">
        <x:v>AO</x:v>
      </x:c>
      <x:c r="C541" s="194" t="str">
        <x:v>Evidence State</x:v>
      </x:c>
      <x:c r="D541" s="194"/>
      <x:c r="E541" s="194" t="str">
        <x:v>Not started — no completion claimed</x:v>
      </x:c>
      <x:c r="F541" s="194" t="str">
        <x:v>Add explicit evidence / estimation provenance in repair revision.</x:v>
      </x:c>
    </x:row>
    <x:row r="542" ht="70" customHeight="1">
      <x:c r="A542" s="194" t="str">
        <x:v>T-159</x:v>
      </x:c>
      <x:c r="B542" s="194" t="str">
        <x:v>AP</x:v>
      </x:c>
      <x:c r="C542" s="194" t="str">
        <x:v>Closure Evidence Basis</x:v>
      </x:c>
      <x:c r="D542" s="194"/>
      <x:c r="E542" s="194" t="str">
        <x:v>Inherited v2.22.0 intended record; no new runtime certification in this repair.</x:v>
      </x:c>
      <x:c r="F542" s="194" t="str">
        <x:v>Add explicit evidence / estimation provenance in repair revision.</x:v>
      </x:c>
    </x:row>
    <x:row r="543" ht="70" customHeight="1">
      <x:c r="A543" s="194" t="str">
        <x:v>T-159</x:v>
      </x:c>
      <x:c r="B543" s="194" t="str">
        <x:v>AR</x:v>
      </x:c>
      <x:c r="C543" s="194" t="str">
        <x:v>Estimate Status</x:v>
      </x:c>
      <x:c r="D543" s="194"/>
      <x:c r="E543" s="194" t="str">
        <x:v>INHERITED ESTIMATE</x:v>
      </x:c>
      <x:c r="F543" s="194" t="str">
        <x:v>Add explicit evidence / estimation provenance in repair revision.</x:v>
      </x:c>
    </x:row>
    <x:row r="544" ht="70" customHeight="1">
      <x:c r="A544" s="194" t="str">
        <x:v>T-160</x:v>
      </x:c>
      <x:c r="B544" s="194" t="str">
        <x:v>M</x:v>
      </x:c>
      <x:c r="C544" s="194" t="str">
        <x:v>Depends On (IDs only)</x:v>
      </x:c>
      <x:c r="D544" s="194" t="str">
        <x:v>T-087; T-094; T-095</x:v>
      </x:c>
      <x:c r="E544" s="194"/>
      <x:c r="F544" s="194" t="str">
        <x:v>Repair positional corruption using task-keyed baseline and approved edit dataset.</x:v>
      </x:c>
    </x:row>
    <x:row r="545" ht="70" customHeight="1">
      <x:c r="A545" s="194" t="str">
        <x:v>T-160</x:v>
      </x:c>
      <x:c r="B545" s="194" t="str">
        <x:v>N</x:v>
      </x:c>
      <x:c r="C545" s="194" t="str">
        <x:v>Must Precede (IDs only)</x:v>
      </x:c>
      <x:c r="D545" s="194" t="str">
        <x:v>T-127</x:v>
      </x:c>
      <x:c r="E545" s="194" t="str">
        <x:v>T-249</x:v>
      </x:c>
      <x:c r="F545" s="194" t="str">
        <x:v>Repair positional corruption using task-keyed baseline and approved edit dataset.</x:v>
      </x:c>
    </x:row>
    <x:row r="546" ht="70" customHeight="1">
      <x:c r="A546" s="194" t="str">
        <x:v>T-160</x:v>
      </x:c>
      <x:c r="B546" s="194" t="str">
        <x:v>AO</x:v>
      </x:c>
      <x:c r="C546" s="194" t="str">
        <x:v>Evidence State</x:v>
      </x:c>
      <x:c r="D546" s="194"/>
      <x:c r="E546" s="194" t="str">
        <x:v>Not started — no completion claimed</x:v>
      </x:c>
      <x:c r="F546" s="194" t="str">
        <x:v>Add explicit evidence / estimation provenance in repair revision.</x:v>
      </x:c>
    </x:row>
    <x:row r="547" ht="70" customHeight="1">
      <x:c r="A547" s="194" t="str">
        <x:v>T-160</x:v>
      </x:c>
      <x:c r="B547" s="194" t="str">
        <x:v>AP</x:v>
      </x:c>
      <x:c r="C547" s="194" t="str">
        <x:v>Closure Evidence Basis</x:v>
      </x:c>
      <x:c r="D547" s="194"/>
      <x:c r="E547" s="194" t="str">
        <x:v>Inherited v2.22.0 intended record; no new runtime certification in this repair.</x:v>
      </x:c>
      <x:c r="F547" s="194" t="str">
        <x:v>Add explicit evidence / estimation provenance in repair revision.</x:v>
      </x:c>
    </x:row>
    <x:row r="548" ht="70" customHeight="1">
      <x:c r="A548" s="194" t="str">
        <x:v>T-160</x:v>
      </x:c>
      <x:c r="B548" s="194" t="str">
        <x:v>AR</x:v>
      </x:c>
      <x:c r="C548" s="194" t="str">
        <x:v>Estimate Status</x:v>
      </x:c>
      <x:c r="D548" s="194"/>
      <x:c r="E548" s="194" t="str">
        <x:v>INHERITED ESTIMATE</x:v>
      </x:c>
      <x:c r="F548" s="194" t="str">
        <x:v>Add explicit evidence / estimation provenance in repair revision.</x:v>
      </x:c>
    </x:row>
    <x:row r="549" ht="70" customHeight="1">
      <x:c r="A549" s="194" t="str">
        <x:v>T-163</x:v>
      </x:c>
      <x:c r="B549" s="194" t="str">
        <x:v>M</x:v>
      </x:c>
      <x:c r="C549" s="194" t="str">
        <x:v>Depends On (IDs only)</x:v>
      </x:c>
      <x:c r="D549" s="194" t="str">
        <x:v>T-119; T-198</x:v>
      </x:c>
      <x:c r="E549" s="194"/>
      <x:c r="F549" s="194" t="str">
        <x:v>Repair positional corruption using task-keyed baseline and approved edit dataset.</x:v>
      </x:c>
    </x:row>
    <x:row r="550" ht="70" customHeight="1">
      <x:c r="A550" s="194" t="str">
        <x:v>T-163</x:v>
      </x:c>
      <x:c r="B550" s="194" t="str">
        <x:v>N</x:v>
      </x:c>
      <x:c r="C550" s="194" t="str">
        <x:v>Must Precede (IDs only)</x:v>
      </x:c>
      <x:c r="D550" s="194" t="str">
        <x:v>T-127</x:v>
      </x:c>
      <x:c r="E550" s="194" t="str">
        <x:v>T-249</x:v>
      </x:c>
      <x:c r="F550" s="194" t="str">
        <x:v>Repair positional corruption using task-keyed baseline and approved edit dataset.</x:v>
      </x:c>
    </x:row>
    <x:row r="551" ht="70" customHeight="1">
      <x:c r="A551" s="194" t="str">
        <x:v>T-163</x:v>
      </x:c>
      <x:c r="B551" s="194" t="str">
        <x:v>AO</x:v>
      </x:c>
      <x:c r="C551" s="194" t="str">
        <x:v>Evidence State</x:v>
      </x:c>
      <x:c r="D551" s="194"/>
      <x:c r="E551" s="194" t="str">
        <x:v>Not started — no completion claimed</x:v>
      </x:c>
      <x:c r="F551" s="194" t="str">
        <x:v>Add explicit evidence / estimation provenance in repair revision.</x:v>
      </x:c>
    </x:row>
    <x:row r="552" ht="70" customHeight="1">
      <x:c r="A552" s="194" t="str">
        <x:v>T-163</x:v>
      </x:c>
      <x:c r="B552" s="194" t="str">
        <x:v>AP</x:v>
      </x:c>
      <x:c r="C552" s="194" t="str">
        <x:v>Closure Evidence Basis</x:v>
      </x:c>
      <x:c r="D552" s="194"/>
      <x:c r="E552" s="194" t="str">
        <x:v>Inherited v2.22.0 intended record; no new runtime certification in this repair.</x:v>
      </x:c>
      <x:c r="F552" s="194" t="str">
        <x:v>Add explicit evidence / estimation provenance in repair revision.</x:v>
      </x:c>
    </x:row>
    <x:row r="553" ht="70" customHeight="1">
      <x:c r="A553" s="194" t="str">
        <x:v>T-163</x:v>
      </x:c>
      <x:c r="B553" s="194" t="str">
        <x:v>AR</x:v>
      </x:c>
      <x:c r="C553" s="194" t="str">
        <x:v>Estimate Status</x:v>
      </x:c>
      <x:c r="D553" s="194"/>
      <x:c r="E553" s="194" t="str">
        <x:v>INHERITED ESTIMATE</x:v>
      </x:c>
      <x:c r="F553" s="194" t="str">
        <x:v>Add explicit evidence / estimation provenance in repair revision.</x:v>
      </x:c>
    </x:row>
    <x:row r="554" ht="70" customHeight="1">
      <x:c r="A554" s="194" t="str">
        <x:v>T-116</x:v>
      </x:c>
      <x:c r="B554" s="194" t="str">
        <x:v>M</x:v>
      </x:c>
      <x:c r="C554" s="194" t="str">
        <x:v>Depends On (IDs only)</x:v>
      </x:c>
      <x:c r="D554" s="194" t="str">
        <x:v>T-112; T-114; T-119</x:v>
      </x:c>
      <x:c r="E554" s="194" t="str">
        <x:v>T-256</x:v>
      </x:c>
      <x:c r="F554" s="194" t="str">
        <x:v>Repair positional corruption using task-keyed baseline and approved edit dataset.</x:v>
      </x:c>
    </x:row>
    <x:row r="555" ht="70" customHeight="1">
      <x:c r="A555" s="194" t="str">
        <x:v>T-116</x:v>
      </x:c>
      <x:c r="B555" s="194" t="str">
        <x:v>N</x:v>
      </x:c>
      <x:c r="C555" s="194" t="str">
        <x:v>Must Precede (IDs only)</x:v>
      </x:c>
      <x:c r="D555" s="194" t="str">
        <x:v>T-127; T-197; T-199</x:v>
      </x:c>
      <x:c r="E555" s="194"/>
      <x:c r="F555" s="194" t="str">
        <x:v>Repair positional corruption using task-keyed baseline and approved edit dataset.</x:v>
      </x:c>
    </x:row>
    <x:row r="556" ht="70" customHeight="1">
      <x:c r="A556" s="194" t="str">
        <x:v>T-116</x:v>
      </x:c>
      <x:c r="B556" s="194" t="str">
        <x:v>AO</x:v>
      </x:c>
      <x:c r="C556" s="194" t="str">
        <x:v>Evidence State</x:v>
      </x:c>
      <x:c r="D556" s="194"/>
      <x:c r="E556" s="194" t="str">
        <x:v>Not started — no completion claimed</x:v>
      </x:c>
      <x:c r="F556" s="194" t="str">
        <x:v>Add explicit evidence / estimation provenance in repair revision.</x:v>
      </x:c>
    </x:row>
    <x:row r="557" ht="70" customHeight="1">
      <x:c r="A557" s="194" t="str">
        <x:v>T-116</x:v>
      </x:c>
      <x:c r="B557" s="194" t="str">
        <x:v>AP</x:v>
      </x:c>
      <x:c r="C557" s="194" t="str">
        <x:v>Closure Evidence Basis</x:v>
      </x:c>
      <x:c r="D557" s="194"/>
      <x:c r="E557" s="194" t="str">
        <x:v>Inherited v2.22.0 intended record; no new runtime certification in this repair.</x:v>
      </x:c>
      <x:c r="F557" s="194" t="str">
        <x:v>Add explicit evidence / estimation provenance in repair revision.</x:v>
      </x:c>
    </x:row>
    <x:row r="558" ht="70" customHeight="1">
      <x:c r="A558" s="194" t="str">
        <x:v>T-116</x:v>
      </x:c>
      <x:c r="B558" s="194" t="str">
        <x:v>AR</x:v>
      </x:c>
      <x:c r="C558" s="194" t="str">
        <x:v>Estimate Status</x:v>
      </x:c>
      <x:c r="D558" s="194"/>
      <x:c r="E558" s="194" t="str">
        <x:v>INHERITED ESTIMATE</x:v>
      </x:c>
      <x:c r="F558" s="194" t="str">
        <x:v>Add explicit evidence / estimation provenance in repair revision.</x:v>
      </x:c>
    </x:row>
    <x:row r="559" ht="70" customHeight="1">
      <x:c r="A559" s="194" t="str">
        <x:v>T-117</x:v>
      </x:c>
      <x:c r="B559" s="194" t="str">
        <x:v>M</x:v>
      </x:c>
      <x:c r="C559" s="194" t="str">
        <x:v>Depends On (IDs only)</x:v>
      </x:c>
      <x:c r="D559" s="194" t="str">
        <x:v>T-124; T-198</x:v>
      </x:c>
      <x:c r="E559" s="194"/>
      <x:c r="F559" s="194" t="str">
        <x:v>Repair positional corruption using task-keyed baseline and approved edit dataset.</x:v>
      </x:c>
    </x:row>
    <x:row r="560" ht="70" customHeight="1">
      <x:c r="A560" s="194" t="str">
        <x:v>T-117</x:v>
      </x:c>
      <x:c r="B560" s="194" t="str">
        <x:v>N</x:v>
      </x:c>
      <x:c r="C560" s="194" t="str">
        <x:v>Must Precede (IDs only)</x:v>
      </x:c>
      <x:c r="D560" s="194" t="str">
        <x:v>T-127</x:v>
      </x:c>
      <x:c r="E560" s="194" t="str">
        <x:v>T-122; T-194</x:v>
      </x:c>
      <x:c r="F560" s="194" t="str">
        <x:v>Repair positional corruption using task-keyed baseline and approved edit dataset.</x:v>
      </x:c>
    </x:row>
    <x:row r="561" ht="70" customHeight="1">
      <x:c r="A561" s="194" t="str">
        <x:v>T-117</x:v>
      </x:c>
      <x:c r="B561" s="194" t="str">
        <x:v>AO</x:v>
      </x:c>
      <x:c r="C561" s="194" t="str">
        <x:v>Evidence State</x:v>
      </x:c>
      <x:c r="D561" s="194"/>
      <x:c r="E561" s="194" t="str">
        <x:v>Not started — no completion claimed</x:v>
      </x:c>
      <x:c r="F561" s="194" t="str">
        <x:v>Add explicit evidence / estimation provenance in repair revision.</x:v>
      </x:c>
    </x:row>
    <x:row r="562" ht="70" customHeight="1">
      <x:c r="A562" s="194" t="str">
        <x:v>T-117</x:v>
      </x:c>
      <x:c r="B562" s="194" t="str">
        <x:v>AP</x:v>
      </x:c>
      <x:c r="C562" s="194" t="str">
        <x:v>Closure Evidence Basis</x:v>
      </x:c>
      <x:c r="D562" s="194"/>
      <x:c r="E562" s="194" t="str">
        <x:v>Inherited v2.22.0 intended record; no new runtime certification in this repair.</x:v>
      </x:c>
      <x:c r="F562" s="194" t="str">
        <x:v>Add explicit evidence / estimation provenance in repair revision.</x:v>
      </x:c>
    </x:row>
    <x:row r="563" ht="70" customHeight="1">
      <x:c r="A563" s="194" t="str">
        <x:v>T-117</x:v>
      </x:c>
      <x:c r="B563" s="194" t="str">
        <x:v>AR</x:v>
      </x:c>
      <x:c r="C563" s="194" t="str">
        <x:v>Estimate Status</x:v>
      </x:c>
      <x:c r="D563" s="194"/>
      <x:c r="E563" s="194" t="str">
        <x:v>INHERITED ESTIMATE</x:v>
      </x:c>
      <x:c r="F563" s="194" t="str">
        <x:v>Add explicit evidence / estimation provenance in repair revision.</x:v>
      </x:c>
    </x:row>
    <x:row r="564" ht="70" customHeight="1">
      <x:c r="A564" s="194" t="str">
        <x:v>T-127</x:v>
      </x:c>
      <x:c r="B564" s="194" t="str">
        <x:v>M</x:v>
      </x:c>
      <x:c r="C564" s="194" t="str">
        <x:v>Depends On (IDs only)</x:v>
      </x:c>
      <x:c r="D564" s="194" t="str">
        <x:v>T-113; T-119; T-216</x:v>
      </x:c>
      <x:c r="E564" s="194" t="str">
        <x:v>T-196; T-197; T-198; T-199; T-200; T-121</x:v>
      </x:c>
      <x:c r="F564" s="194" t="str">
        <x:v>Repair positional corruption using task-keyed baseline and approved edit dataset.</x:v>
      </x:c>
    </x:row>
    <x:row r="565" ht="70" customHeight="1">
      <x:c r="A565" s="194" t="str">
        <x:v>T-127</x:v>
      </x:c>
      <x:c r="B565" s="194" t="str">
        <x:v>N</x:v>
      </x:c>
      <x:c r="C565" s="194" t="str">
        <x:v>Must Precede (IDs only)</x:v>
      </x:c>
      <x:c r="D565" s="194" t="str">
        <x:v>T-127</x:v>
      </x:c>
      <x:c r="E565" s="194" t="str">
        <x:v>T-194</x:v>
      </x:c>
      <x:c r="F565" s="194" t="str">
        <x:v>Repair positional corruption using task-keyed baseline and approved edit dataset.</x:v>
      </x:c>
    </x:row>
    <x:row r="566" ht="70" customHeight="1">
      <x:c r="A566" s="194" t="str">
        <x:v>T-127</x:v>
      </x:c>
      <x:c r="B566" s="194" t="str">
        <x:v>AO</x:v>
      </x:c>
      <x:c r="C566" s="194" t="str">
        <x:v>Evidence State</x:v>
      </x:c>
      <x:c r="D566" s="194"/>
      <x:c r="E566" s="194" t="str">
        <x:v>Not started — no completion claimed</x:v>
      </x:c>
      <x:c r="F566" s="194" t="str">
        <x:v>Add explicit evidence / estimation provenance in repair revision.</x:v>
      </x:c>
    </x:row>
    <x:row r="567" ht="70" customHeight="1">
      <x:c r="A567" s="194" t="str">
        <x:v>T-127</x:v>
      </x:c>
      <x:c r="B567" s="194" t="str">
        <x:v>AP</x:v>
      </x:c>
      <x:c r="C567" s="194" t="str">
        <x:v>Closure Evidence Basis</x:v>
      </x:c>
      <x:c r="D567" s="194"/>
      <x:c r="E567" s="194" t="str">
        <x:v>Inherited v2.22.0 intended record; no new runtime certification in this repair.</x:v>
      </x:c>
      <x:c r="F567" s="194" t="str">
        <x:v>Add explicit evidence / estimation provenance in repair revision.</x:v>
      </x:c>
    </x:row>
    <x:row r="568" ht="70" customHeight="1">
      <x:c r="A568" s="194" t="str">
        <x:v>T-127</x:v>
      </x:c>
      <x:c r="B568" s="194" t="str">
        <x:v>AR</x:v>
      </x:c>
      <x:c r="C568" s="194" t="str">
        <x:v>Estimate Status</x:v>
      </x:c>
      <x:c r="D568" s="194"/>
      <x:c r="E568" s="194" t="str">
        <x:v>INHERITED ESTIMATE</x:v>
      </x:c>
      <x:c r="F568" s="194" t="str">
        <x:v>Add explicit evidence / estimation provenance in repair revision.</x:v>
      </x:c>
    </x:row>
    <x:row r="569" ht="70" customHeight="1">
      <x:c r="A569" s="194" t="str">
        <x:v>T-149</x:v>
      </x:c>
      <x:c r="B569" s="194" t="str">
        <x:v>AO</x:v>
      </x:c>
      <x:c r="C569" s="194" t="str">
        <x:v>Evidence State</x:v>
      </x:c>
      <x:c r="D569" s="194"/>
      <x:c r="E569" s="194" t="str">
        <x:v>Not started — no completion claimed</x:v>
      </x:c>
      <x:c r="F569" s="194" t="str">
        <x:v>Add explicit evidence / estimation provenance in repair revision.</x:v>
      </x:c>
    </x:row>
    <x:row r="570" ht="70" customHeight="1">
      <x:c r="A570" s="194" t="str">
        <x:v>T-149</x:v>
      </x:c>
      <x:c r="B570" s="194" t="str">
        <x:v>AP</x:v>
      </x:c>
      <x:c r="C570" s="194" t="str">
        <x:v>Closure Evidence Basis</x:v>
      </x:c>
      <x:c r="D570" s="194"/>
      <x:c r="E570" s="194" t="str">
        <x:v>Inherited v2.22.0 intended record; no new runtime certification in this repair.</x:v>
      </x:c>
      <x:c r="F570" s="194" t="str">
        <x:v>Add explicit evidence / estimation provenance in repair revision.</x:v>
      </x:c>
    </x:row>
    <x:row r="571" ht="70" customHeight="1">
      <x:c r="A571" s="194" t="str">
        <x:v>T-149</x:v>
      </x:c>
      <x:c r="B571" s="194" t="str">
        <x:v>AR</x:v>
      </x:c>
      <x:c r="C571" s="194" t="str">
        <x:v>Estimate Status</x:v>
      </x:c>
      <x:c r="D571" s="194"/>
      <x:c r="E571" s="194" t="str">
        <x:v>INHERITED ESTIMATE</x:v>
      </x:c>
      <x:c r="F571" s="194" t="str">
        <x:v>Add explicit evidence / estimation provenance in repair revision.</x:v>
      </x:c>
    </x:row>
    <x:row r="572" ht="70" customHeight="1">
      <x:c r="A572" s="194" t="str">
        <x:v>T-161</x:v>
      </x:c>
      <x:c r="B572" s="194" t="str">
        <x:v>N</x:v>
      </x:c>
      <x:c r="C572" s="194" t="str">
        <x:v>Must Precede (IDs only)</x:v>
      </x:c>
      <x:c r="D572" s="194"/>
      <x:c r="E572" s="194" t="str">
        <x:v>T-249</x:v>
      </x:c>
      <x:c r="F572" s="194" t="str">
        <x:v>Repair positional corruption using task-keyed baseline and approved edit dataset.</x:v>
      </x:c>
    </x:row>
    <x:row r="573" ht="70" customHeight="1">
      <x:c r="A573" s="194" t="str">
        <x:v>T-161</x:v>
      </x:c>
      <x:c r="B573" s="194" t="str">
        <x:v>AO</x:v>
      </x:c>
      <x:c r="C573" s="194" t="str">
        <x:v>Evidence State</x:v>
      </x:c>
      <x:c r="D573" s="194"/>
      <x:c r="E573" s="194" t="str">
        <x:v>Not started — no completion claimed</x:v>
      </x:c>
      <x:c r="F573" s="194" t="str">
        <x:v>Add explicit evidence / estimation provenance in repair revision.</x:v>
      </x:c>
    </x:row>
    <x:row r="574" ht="70" customHeight="1">
      <x:c r="A574" s="194" t="str">
        <x:v>T-161</x:v>
      </x:c>
      <x:c r="B574" s="194" t="str">
        <x:v>AP</x:v>
      </x:c>
      <x:c r="C574" s="194" t="str">
        <x:v>Closure Evidence Basis</x:v>
      </x:c>
      <x:c r="D574" s="194"/>
      <x:c r="E574" s="194" t="str">
        <x:v>Inherited v2.22.0 intended record; no new runtime certification in this repair.</x:v>
      </x:c>
      <x:c r="F574" s="194" t="str">
        <x:v>Add explicit evidence / estimation provenance in repair revision.</x:v>
      </x:c>
    </x:row>
    <x:row r="575" ht="70" customHeight="1">
      <x:c r="A575" s="194" t="str">
        <x:v>T-161</x:v>
      </x:c>
      <x:c r="B575" s="194" t="str">
        <x:v>AR</x:v>
      </x:c>
      <x:c r="C575" s="194" t="str">
        <x:v>Estimate Status</x:v>
      </x:c>
      <x:c r="D575" s="194"/>
      <x:c r="E575" s="194" t="str">
        <x:v>INHERITED ESTIMATE</x:v>
      </x:c>
      <x:c r="F575" s="194" t="str">
        <x:v>Add explicit evidence / estimation provenance in repair revision.</x:v>
      </x:c>
    </x:row>
    <x:row r="576" ht="70" customHeight="1">
      <x:c r="A576" s="194" t="str">
        <x:v>T-162</x:v>
      </x:c>
      <x:c r="B576" s="194" t="str">
        <x:v>M</x:v>
      </x:c>
      <x:c r="C576" s="194" t="str">
        <x:v>Depends On (IDs only)</x:v>
      </x:c>
      <x:c r="D576" s="194" t="str">
        <x:v>T-090; T-092; T-134; T-179; T-180; T-181</x:v>
      </x:c>
      <x:c r="E576" s="194"/>
      <x:c r="F576" s="194" t="str">
        <x:v>Repair positional corruption using task-keyed baseline and approved edit dataset.</x:v>
      </x:c>
    </x:row>
    <x:row r="577" ht="70" customHeight="1">
      <x:c r="A577" s="194" t="str">
        <x:v>T-162</x:v>
      </x:c>
      <x:c r="B577" s="194" t="str">
        <x:v>N</x:v>
      </x:c>
      <x:c r="C577" s="194" t="str">
        <x:v>Must Precede (IDs only)</x:v>
      </x:c>
      <x:c r="D577" s="194" t="str">
        <x:v>T-229; T-248</x:v>
      </x:c>
      <x:c r="E577" s="194" t="str">
        <x:v>T-249</x:v>
      </x:c>
      <x:c r="F577" s="194" t="str">
        <x:v>Repair positional corruption using task-keyed baseline and approved edit dataset.</x:v>
      </x:c>
    </x:row>
    <x:row r="578" ht="70" customHeight="1">
      <x:c r="A578" s="194" t="str">
        <x:v>T-162</x:v>
      </x:c>
      <x:c r="B578" s="194" t="str">
        <x:v>AO</x:v>
      </x:c>
      <x:c r="C578" s="194" t="str">
        <x:v>Evidence State</x:v>
      </x:c>
      <x:c r="D578" s="194"/>
      <x:c r="E578" s="194" t="str">
        <x:v>Not started — no completion claimed</x:v>
      </x:c>
      <x:c r="F578" s="194" t="str">
        <x:v>Add explicit evidence / estimation provenance in repair revision.</x:v>
      </x:c>
    </x:row>
    <x:row r="579" ht="70" customHeight="1">
      <x:c r="A579" s="194" t="str">
        <x:v>T-162</x:v>
      </x:c>
      <x:c r="B579" s="194" t="str">
        <x:v>AP</x:v>
      </x:c>
      <x:c r="C579" s="194" t="str">
        <x:v>Closure Evidence Basis</x:v>
      </x:c>
      <x:c r="D579" s="194"/>
      <x:c r="E579" s="194" t="str">
        <x:v>Inherited v2.22.0 intended record; no new runtime certification in this repair.</x:v>
      </x:c>
      <x:c r="F579" s="194" t="str">
        <x:v>Add explicit evidence / estimation provenance in repair revision.</x:v>
      </x:c>
    </x:row>
    <x:row r="580" ht="70" customHeight="1">
      <x:c r="A580" s="194" t="str">
        <x:v>T-162</x:v>
      </x:c>
      <x:c r="B580" s="194" t="str">
        <x:v>AR</x:v>
      </x:c>
      <x:c r="C580" s="194" t="str">
        <x:v>Estimate Status</x:v>
      </x:c>
      <x:c r="D580" s="194"/>
      <x:c r="E580" s="194" t="str">
        <x:v>INHERITED ESTIMATE</x:v>
      </x:c>
      <x:c r="F580" s="194" t="str">
        <x:v>Add explicit evidence / estimation provenance in repair revision.</x:v>
      </x:c>
    </x:row>
    <x:row r="581" ht="70" customHeight="1">
      <x:c r="A581" s="194" t="str">
        <x:v>T-194</x:v>
      </x:c>
      <x:c r="B581" s="194" t="str">
        <x:v>M</x:v>
      </x:c>
      <x:c r="C581" s="194" t="str">
        <x:v>Depends On (IDs only)</x:v>
      </x:c>
      <x:c r="D581" s="194" t="str">
        <x:v>T-228; T-134</x:v>
      </x:c>
      <x:c r="E581" s="194" t="str">
        <x:v>T-117; T-127</x:v>
      </x:c>
      <x:c r="F581" s="194" t="str">
        <x:v>Repair positional corruption using task-keyed baseline and approved edit dataset.</x:v>
      </x:c>
    </x:row>
    <x:row r="582" ht="70" customHeight="1">
      <x:c r="A582" s="194" t="str">
        <x:v>T-194</x:v>
      </x:c>
      <x:c r="B582" s="194" t="str">
        <x:v>N</x:v>
      </x:c>
      <x:c r="C582" s="194" t="str">
        <x:v>Must Precede (IDs only)</x:v>
      </x:c>
      <x:c r="D582" s="194" t="str">
        <x:v>T-230</x:v>
      </x:c>
      <x:c r="E582" s="194"/>
      <x:c r="F582" s="194" t="str">
        <x:v>Repair positional corruption using task-keyed baseline and approved edit dataset.</x:v>
      </x:c>
    </x:row>
    <x:row r="583" ht="70" customHeight="1">
      <x:c r="A583" s="194" t="str">
        <x:v>T-194</x:v>
      </x:c>
      <x:c r="B583" s="194" t="str">
        <x:v>AO</x:v>
      </x:c>
      <x:c r="C583" s="194" t="str">
        <x:v>Evidence State</x:v>
      </x:c>
      <x:c r="D583" s="194"/>
      <x:c r="E583" s="194" t="str">
        <x:v>Not started — no completion claimed</x:v>
      </x:c>
      <x:c r="F583" s="194" t="str">
        <x:v>Add explicit evidence / estimation provenance in repair revision.</x:v>
      </x:c>
    </x:row>
    <x:row r="584" ht="70" customHeight="1">
      <x:c r="A584" s="194" t="str">
        <x:v>T-194</x:v>
      </x:c>
      <x:c r="B584" s="194" t="str">
        <x:v>AP</x:v>
      </x:c>
      <x:c r="C584" s="194" t="str">
        <x:v>Closure Evidence Basis</x:v>
      </x:c>
      <x:c r="D584" s="194"/>
      <x:c r="E584" s="194" t="str">
        <x:v>Inherited v2.22.0 intended record; no new runtime certification in this repair.</x:v>
      </x:c>
      <x:c r="F584" s="194" t="str">
        <x:v>Add explicit evidence / estimation provenance in repair revision.</x:v>
      </x:c>
    </x:row>
    <x:row r="585" ht="70" customHeight="1">
      <x:c r="A585" s="194" t="str">
        <x:v>T-194</x:v>
      </x:c>
      <x:c r="B585" s="194" t="str">
        <x:v>AR</x:v>
      </x:c>
      <x:c r="C585" s="194" t="str">
        <x:v>Estimate Status</x:v>
      </x:c>
      <x:c r="D585" s="194"/>
      <x:c r="E585" s="194" t="str">
        <x:v>INHERITED ESTIMATE</x:v>
      </x:c>
      <x:c r="F585" s="194" t="str">
        <x:v>Add explicit evidence / estimation provenance in repair revision.</x:v>
      </x:c>
    </x:row>
    <x:row r="586" ht="70" customHeight="1">
      <x:c r="A586" s="194" t="str">
        <x:v>T-196</x:v>
      </x:c>
      <x:c r="B586" s="194" t="str">
        <x:v>M</x:v>
      </x:c>
      <x:c r="C586" s="194" t="str">
        <x:v>Depends On (IDs only)</x:v>
      </x:c>
      <x:c r="D586" s="194" t="str">
        <x:v>T-229; T-112; T-114</x:v>
      </x:c>
      <x:c r="E586" s="194" t="str">
        <x:v>T-087; T-094; T-095</x:v>
      </x:c>
      <x:c r="F586" s="194" t="str">
        <x:v>Repair positional corruption using task-keyed baseline and approved edit dataset.</x:v>
      </x:c>
    </x:row>
    <x:row r="587" ht="70" customHeight="1">
      <x:c r="A587" s="194" t="str">
        <x:v>T-196</x:v>
      </x:c>
      <x:c r="B587" s="194" t="str">
        <x:v>N</x:v>
      </x:c>
      <x:c r="C587" s="194" t="str">
        <x:v>Must Precede (IDs only)</x:v>
      </x:c>
      <x:c r="D587" s="194" t="str">
        <x:v>T-249</x:v>
      </x:c>
      <x:c r="E587" s="194" t="str">
        <x:v>T-127</x:v>
      </x:c>
      <x:c r="F587" s="194" t="str">
        <x:v>Repair positional corruption using task-keyed baseline and approved edit dataset.</x:v>
      </x:c>
    </x:row>
    <x:row r="588" ht="70" customHeight="1">
      <x:c r="A588" s="194" t="str">
        <x:v>T-196</x:v>
      </x:c>
      <x:c r="B588" s="194" t="str">
        <x:v>AO</x:v>
      </x:c>
      <x:c r="C588" s="194" t="str">
        <x:v>Evidence State</x:v>
      </x:c>
      <x:c r="D588" s="194"/>
      <x:c r="E588" s="194" t="str">
        <x:v>Not started — no completion claimed</x:v>
      </x:c>
      <x:c r="F588" s="194" t="str">
        <x:v>Add explicit evidence / estimation provenance in repair revision.</x:v>
      </x:c>
    </x:row>
    <x:row r="589" ht="70" customHeight="1">
      <x:c r="A589" s="194" t="str">
        <x:v>T-196</x:v>
      </x:c>
      <x:c r="B589" s="194" t="str">
        <x:v>AP</x:v>
      </x:c>
      <x:c r="C589" s="194" t="str">
        <x:v>Closure Evidence Basis</x:v>
      </x:c>
      <x:c r="D589" s="194"/>
      <x:c r="E589" s="194" t="str">
        <x:v>Inherited v2.22.0 intended record; no new runtime certification in this repair.</x:v>
      </x:c>
      <x:c r="F589" s="194" t="str">
        <x:v>Add explicit evidence / estimation provenance in repair revision.</x:v>
      </x:c>
    </x:row>
    <x:row r="590" ht="70" customHeight="1">
      <x:c r="A590" s="194" t="str">
        <x:v>T-196</x:v>
      </x:c>
      <x:c r="B590" s="194" t="str">
        <x:v>AR</x:v>
      </x:c>
      <x:c r="C590" s="194" t="str">
        <x:v>Estimate Status</x:v>
      </x:c>
      <x:c r="D590" s="194"/>
      <x:c r="E590" s="194" t="str">
        <x:v>INHERITED ESTIMATE</x:v>
      </x:c>
      <x:c r="F590" s="194" t="str">
        <x:v>Add explicit evidence / estimation provenance in repair revision.</x:v>
      </x:c>
    </x:row>
    <x:row r="591" ht="70" customHeight="1">
      <x:c r="A591" s="194" t="str">
        <x:v>T-197</x:v>
      </x:c>
      <x:c r="B591" s="194" t="str">
        <x:v>M</x:v>
      </x:c>
      <x:c r="C591" s="194" t="str">
        <x:v>Depends On (IDs only)</x:v>
      </x:c>
      <x:c r="D591" s="194" t="str">
        <x:v>T-148; T-202; T-203; T-204; T-205; T-228; T-241; T-243; T-244; T-245; T-257</x:v>
      </x:c>
      <x:c r="E591" s="194" t="str">
        <x:v>T-119; T-198</x:v>
      </x:c>
      <x:c r="F591" s="194" t="str">
        <x:v>Repair positional corruption using task-keyed baseline and approved edit dataset.</x:v>
      </x:c>
    </x:row>
    <x:row r="592" ht="70" customHeight="1">
      <x:c r="A592" s="194" t="str">
        <x:v>T-197</x:v>
      </x:c>
      <x:c r="B592" s="194" t="str">
        <x:v>N</x:v>
      </x:c>
      <x:c r="C592" s="194" t="str">
        <x:v>Must Precede (IDs only)</x:v>
      </x:c>
      <x:c r="D592" s="194" t="str">
        <x:v>T-249; T-263</x:v>
      </x:c>
      <x:c r="E592" s="194" t="str">
        <x:v>T-127</x:v>
      </x:c>
      <x:c r="F592" s="194" t="str">
        <x:v>Repair positional corruption using task-keyed baseline and approved edit dataset.</x:v>
      </x:c>
    </x:row>
    <x:row r="593" ht="70" customHeight="1">
      <x:c r="A593" s="194" t="str">
        <x:v>T-197</x:v>
      </x:c>
      <x:c r="B593" s="194" t="str">
        <x:v>AO</x:v>
      </x:c>
      <x:c r="C593" s="194" t="str">
        <x:v>Evidence State</x:v>
      </x:c>
      <x:c r="D593" s="194"/>
      <x:c r="E593" s="194" t="str">
        <x:v>Not started — no completion claimed</x:v>
      </x:c>
      <x:c r="F593" s="194" t="str">
        <x:v>Add explicit evidence / estimation provenance in repair revision.</x:v>
      </x:c>
    </x:row>
    <x:row r="594" ht="70" customHeight="1">
      <x:c r="A594" s="194" t="str">
        <x:v>T-197</x:v>
      </x:c>
      <x:c r="B594" s="194" t="str">
        <x:v>AP</x:v>
      </x:c>
      <x:c r="C594" s="194" t="str">
        <x:v>Closure Evidence Basis</x:v>
      </x:c>
      <x:c r="D594" s="194"/>
      <x:c r="E594" s="194" t="str">
        <x:v>Inherited v2.22.0 intended record; no new runtime certification in this repair.</x:v>
      </x:c>
      <x:c r="F594" s="194" t="str">
        <x:v>Add explicit evidence / estimation provenance in repair revision.</x:v>
      </x:c>
    </x:row>
    <x:row r="595" ht="70" customHeight="1">
      <x:c r="A595" s="194" t="str">
        <x:v>T-197</x:v>
      </x:c>
      <x:c r="B595" s="194" t="str">
        <x:v>AR</x:v>
      </x:c>
      <x:c r="C595" s="194" t="str">
        <x:v>Estimate Status</x:v>
      </x:c>
      <x:c r="D595" s="194"/>
      <x:c r="E595" s="194" t="str">
        <x:v>INHERITED ESTIMATE</x:v>
      </x:c>
      <x:c r="F595" s="194" t="str">
        <x:v>Add explicit evidence / estimation provenance in repair revision.</x:v>
      </x:c>
    </x:row>
    <x:row r="596" ht="70" customHeight="1">
      <x:c r="A596" s="194" t="str">
        <x:v>T-198</x:v>
      </x:c>
      <x:c r="B596" s="194" t="str">
        <x:v>M</x:v>
      </x:c>
      <x:c r="C596" s="194" t="str">
        <x:v>Depends On (IDs only)</x:v>
      </x:c>
      <x:c r="D596" s="194" t="str">
        <x:v>T-087; T-088; T-089; T-090; T-091; T-092; T-093; T-094; T-095; T-096; T-097; T-098; T-099; T-100; T-101; T-102; T-103; T-104; T-112; T-114; T-231; T-210</x:v>
      </x:c>
      <x:c r="E596" s="194" t="str">
        <x:v>T-112; T-114; T-119</x:v>
      </x:c>
      <x:c r="F596" s="194" t="str">
        <x:v>Repair positional corruption using task-keyed baseline and approved edit dataset.</x:v>
      </x:c>
    </x:row>
    <x:row r="597" ht="70" customHeight="1">
      <x:c r="A597" s="194" t="str">
        <x:v>T-198</x:v>
      </x:c>
      <x:c r="B597" s="194" t="str">
        <x:v>N</x:v>
      </x:c>
      <x:c r="C597" s="194" t="str">
        <x:v>Must Precede (IDs only)</x:v>
      </x:c>
      <x:c r="D597" s="194" t="str">
        <x:v>T-129; T-130; T-131; T-135; T-146; T-147; T-184; T-186</x:v>
      </x:c>
      <x:c r="E597" s="194" t="str">
        <x:v>T-127; T-197; T-199</x:v>
      </x:c>
      <x:c r="F597" s="194" t="str">
        <x:v>Repair positional corruption using task-keyed baseline and approved edit dataset.</x:v>
      </x:c>
    </x:row>
    <x:row r="598" ht="70" customHeight="1">
      <x:c r="A598" s="194" t="str">
        <x:v>T-198</x:v>
      </x:c>
      <x:c r="B598" s="194" t="str">
        <x:v>AO</x:v>
      </x:c>
      <x:c r="C598" s="194" t="str">
        <x:v>Evidence State</x:v>
      </x:c>
      <x:c r="D598" s="194"/>
      <x:c r="E598" s="194" t="str">
        <x:v>Not started — no completion claimed</x:v>
      </x:c>
      <x:c r="F598" s="194" t="str">
        <x:v>Add explicit evidence / estimation provenance in repair revision.</x:v>
      </x:c>
    </x:row>
    <x:row r="599" ht="70" customHeight="1">
      <x:c r="A599" s="194" t="str">
        <x:v>T-198</x:v>
      </x:c>
      <x:c r="B599" s="194" t="str">
        <x:v>AP</x:v>
      </x:c>
      <x:c r="C599" s="194" t="str">
        <x:v>Closure Evidence Basis</x:v>
      </x:c>
      <x:c r="D599" s="194"/>
      <x:c r="E599" s="194" t="str">
        <x:v>Inherited v2.22.0 intended record; no new runtime certification in this repair.</x:v>
      </x:c>
      <x:c r="F599" s="194" t="str">
        <x:v>Add explicit evidence / estimation provenance in repair revision.</x:v>
      </x:c>
    </x:row>
    <x:row r="600" ht="70" customHeight="1">
      <x:c r="A600" s="194" t="str">
        <x:v>T-198</x:v>
      </x:c>
      <x:c r="B600" s="194" t="str">
        <x:v>AR</x:v>
      </x:c>
      <x:c r="C600" s="194" t="str">
        <x:v>Estimate Status</x:v>
      </x:c>
      <x:c r="D600" s="194"/>
      <x:c r="E600" s="194" t="str">
        <x:v>INHERITED ESTIMATE</x:v>
      </x:c>
      <x:c r="F600" s="194" t="str">
        <x:v>Add explicit evidence / estimation provenance in repair revision.</x:v>
      </x:c>
    </x:row>
    <x:row r="601" ht="70" customHeight="1">
      <x:c r="A601" s="194" t="str">
        <x:v>T-199</x:v>
      </x:c>
      <x:c r="B601" s="194" t="str">
        <x:v>M</x:v>
      </x:c>
      <x:c r="C601" s="194" t="str">
        <x:v>Depends On (IDs only)</x:v>
      </x:c>
      <x:c r="D601" s="194" t="str">
        <x:v>T-128; T-183; T-112; T-114</x:v>
      </x:c>
      <x:c r="E601" s="194" t="str">
        <x:v>T-124; T-198</x:v>
      </x:c>
      <x:c r="F601" s="194" t="str">
        <x:v>Repair positional corruption using task-keyed baseline and approved edit dataset.</x:v>
      </x:c>
    </x:row>
    <x:row r="602" ht="70" customHeight="1">
      <x:c r="A602" s="194" t="str">
        <x:v>T-199</x:v>
      </x:c>
      <x:c r="B602" s="194" t="str">
        <x:v>N</x:v>
      </x:c>
      <x:c r="C602" s="194" t="str">
        <x:v>Must Precede (IDs only)</x:v>
      </x:c>
      <x:c r="D602" s="194" t="str">
        <x:v>T-134; T-135; T-146; T-147; T-186; T-188</x:v>
      </x:c>
      <x:c r="E602" s="194" t="str">
        <x:v>T-127</x:v>
      </x:c>
      <x:c r="F602" s="194" t="str">
        <x:v>Repair positional corruption using task-keyed baseline and approved edit dataset.</x:v>
      </x:c>
    </x:row>
    <x:row r="603" ht="70" customHeight="1">
      <x:c r="A603" s="194" t="str">
        <x:v>T-199</x:v>
      </x:c>
      <x:c r="B603" s="194" t="str">
        <x:v>AO</x:v>
      </x:c>
      <x:c r="C603" s="194" t="str">
        <x:v>Evidence State</x:v>
      </x:c>
      <x:c r="D603" s="194"/>
      <x:c r="E603" s="194" t="str">
        <x:v>Not started — no completion claimed</x:v>
      </x:c>
      <x:c r="F603" s="194" t="str">
        <x:v>Add explicit evidence / estimation provenance in repair revision.</x:v>
      </x:c>
    </x:row>
    <x:row r="604" ht="70" customHeight="1">
      <x:c r="A604" s="194" t="str">
        <x:v>T-199</x:v>
      </x:c>
      <x:c r="B604" s="194" t="str">
        <x:v>AP</x:v>
      </x:c>
      <x:c r="C604" s="194" t="str">
        <x:v>Closure Evidence Basis</x:v>
      </x:c>
      <x:c r="D604" s="194"/>
      <x:c r="E604" s="194" t="str">
        <x:v>Inherited v2.22.0 intended record; no new runtime certification in this repair.</x:v>
      </x:c>
      <x:c r="F604" s="194" t="str">
        <x:v>Add explicit evidence / estimation provenance in repair revision.</x:v>
      </x:c>
    </x:row>
    <x:row r="605" ht="70" customHeight="1">
      <x:c r="A605" s="194" t="str">
        <x:v>T-199</x:v>
      </x:c>
      <x:c r="B605" s="194" t="str">
        <x:v>AR</x:v>
      </x:c>
      <x:c r="C605" s="194" t="str">
        <x:v>Estimate Status</x:v>
      </x:c>
      <x:c r="D605" s="194"/>
      <x:c r="E605" s="194" t="str">
        <x:v>INHERITED ESTIMATE</x:v>
      </x:c>
      <x:c r="F605" s="194" t="str">
        <x:v>Add explicit evidence / estimation provenance in repair revision.</x:v>
      </x:c>
    </x:row>
    <x:row r="606" ht="70" customHeight="1">
      <x:c r="A606" s="194" t="str">
        <x:v>T-200</x:v>
      </x:c>
      <x:c r="B606" s="194" t="str">
        <x:v>M</x:v>
      </x:c>
      <x:c r="C606" s="194" t="str">
        <x:v>Depends On (IDs only)</x:v>
      </x:c>
      <x:c r="D606" s="194" t="str">
        <x:v>T-128; T-183; T-112; T-114</x:v>
      </x:c>
      <x:c r="E606" s="194" t="str">
        <x:v>T-113; T-119; T-216</x:v>
      </x:c>
      <x:c r="F606" s="194" t="str">
        <x:v>Repair positional corruption using task-keyed baseline and approved edit dataset.</x:v>
      </x:c>
    </x:row>
    <x:row r="607" ht="70" customHeight="1">
      <x:c r="A607" s="194" t="str">
        <x:v>T-200</x:v>
      </x:c>
      <x:c r="B607" s="194" t="str">
        <x:v>N</x:v>
      </x:c>
      <x:c r="C607" s="194" t="str">
        <x:v>Must Precede (IDs only)</x:v>
      </x:c>
      <x:c r="D607" s="194" t="str">
        <x:v>T-134; T-135; T-139; T-188; T-191; T-193; T-246</x:v>
      </x:c>
      <x:c r="E607" s="194" t="str">
        <x:v>T-127</x:v>
      </x:c>
      <x:c r="F607" s="194" t="str">
        <x:v>Repair positional corruption using task-keyed baseline and approved edit dataset.</x:v>
      </x:c>
    </x:row>
    <x:row r="608" ht="70" customHeight="1">
      <x:c r="A608" s="194" t="str">
        <x:v>T-200</x:v>
      </x:c>
      <x:c r="B608" s="194" t="str">
        <x:v>AO</x:v>
      </x:c>
      <x:c r="C608" s="194" t="str">
        <x:v>Evidence State</x:v>
      </x:c>
      <x:c r="D608" s="194"/>
      <x:c r="E608" s="194" t="str">
        <x:v>Not started — no completion claimed</x:v>
      </x:c>
      <x:c r="F608" s="194" t="str">
        <x:v>Add explicit evidence / estimation provenance in repair revision.</x:v>
      </x:c>
    </x:row>
    <x:row r="609" ht="70" customHeight="1">
      <x:c r="A609" s="194" t="str">
        <x:v>T-200</x:v>
      </x:c>
      <x:c r="B609" s="194" t="str">
        <x:v>AP</x:v>
      </x:c>
      <x:c r="C609" s="194" t="str">
        <x:v>Closure Evidence Basis</x:v>
      </x:c>
      <x:c r="D609" s="194"/>
      <x:c r="E609" s="194" t="str">
        <x:v>Inherited v2.22.0 intended record; no new runtime certification in this repair.</x:v>
      </x:c>
      <x:c r="F609" s="194" t="str">
        <x:v>Add explicit evidence / estimation provenance in repair revision.</x:v>
      </x:c>
    </x:row>
    <x:row r="610" ht="70" customHeight="1">
      <x:c r="A610" s="194" t="str">
        <x:v>T-200</x:v>
      </x:c>
      <x:c r="B610" s="194" t="str">
        <x:v>AR</x:v>
      </x:c>
      <x:c r="C610" s="194" t="str">
        <x:v>Estimate Status</x:v>
      </x:c>
      <x:c r="D610" s="194"/>
      <x:c r="E610" s="194" t="str">
        <x:v>INHERITED ESTIMATE</x:v>
      </x:c>
      <x:c r="F610" s="194" t="str">
        <x:v>Add explicit evidence / estimation provenance in repair revision.</x:v>
      </x:c>
    </x:row>
    <x:row r="611" ht="70" customHeight="1">
      <x:c r="A611" s="194" t="str">
        <x:v>T-156</x:v>
      </x:c>
      <x:c r="B611" s="194" t="str">
        <x:v>M</x:v>
      </x:c>
      <x:c r="C611" s="194" t="str">
        <x:v>Depends On (IDs only)</x:v>
      </x:c>
      <x:c r="D611" s="194" t="str">
        <x:v>T-086; T-128; T-171</x:v>
      </x:c>
      <x:c r="E611" s="194"/>
      <x:c r="F611" s="194" t="str">
        <x:v>Repair positional corruption using task-keyed baseline and approved edit dataset.</x:v>
      </x:c>
    </x:row>
    <x:row r="612" ht="70" customHeight="1">
      <x:c r="A612" s="194" t="str">
        <x:v>T-156</x:v>
      </x:c>
      <x:c r="B612" s="194" t="str">
        <x:v>N</x:v>
      </x:c>
      <x:c r="C612" s="194" t="str">
        <x:v>Must Precede (IDs only)</x:v>
      </x:c>
      <x:c r="D612" s="194" t="str">
        <x:v>T-132; T-133; T-136; T-142; T-240</x:v>
      </x:c>
      <x:c r="E612" s="194"/>
      <x:c r="F612" s="194" t="str">
        <x:v>Repair positional corruption using task-keyed baseline and approved edit dataset.</x:v>
      </x:c>
    </x:row>
    <x:row r="613" ht="70" customHeight="1">
      <x:c r="A613" s="194" t="str">
        <x:v>T-156</x:v>
      </x:c>
      <x:c r="B613" s="194" t="str">
        <x:v>AO</x:v>
      </x:c>
      <x:c r="C613" s="194" t="str">
        <x:v>Evidence State</x:v>
      </x:c>
      <x:c r="D613" s="194"/>
      <x:c r="E613" s="194" t="str">
        <x:v>Not started — no completion claimed</x:v>
      </x:c>
      <x:c r="F613" s="194" t="str">
        <x:v>Add explicit evidence / estimation provenance in repair revision.</x:v>
      </x:c>
    </x:row>
    <x:row r="614" ht="70" customHeight="1">
      <x:c r="A614" s="194" t="str">
        <x:v>T-156</x:v>
      </x:c>
      <x:c r="B614" s="194" t="str">
        <x:v>AP</x:v>
      </x:c>
      <x:c r="C614" s="194" t="str">
        <x:v>Closure Evidence Basis</x:v>
      </x:c>
      <x:c r="D614" s="194"/>
      <x:c r="E614" s="194" t="str">
        <x:v>Inherited v2.22.0 intended record; no new runtime certification in this repair.</x:v>
      </x:c>
      <x:c r="F614" s="194" t="str">
        <x:v>Add explicit evidence / estimation provenance in repair revision.</x:v>
      </x:c>
    </x:row>
    <x:row r="615" ht="70" customHeight="1">
      <x:c r="A615" s="194" t="str">
        <x:v>T-156</x:v>
      </x:c>
      <x:c r="B615" s="194" t="str">
        <x:v>AR</x:v>
      </x:c>
      <x:c r="C615" s="194" t="str">
        <x:v>Estimate Status</x:v>
      </x:c>
      <x:c r="D615" s="194"/>
      <x:c r="E615" s="194" t="str">
        <x:v>INHERITED ESTIMATE</x:v>
      </x:c>
      <x:c r="F615" s="194" t="str">
        <x:v>Add explicit evidence / estimation provenance in repair revision.</x:v>
      </x:c>
    </x:row>
    <x:row r="616" ht="70" customHeight="1">
      <x:c r="A616" s="194" t="str">
        <x:v>T-166</x:v>
      </x:c>
      <x:c r="B616" s="194" t="str">
        <x:v>M</x:v>
      </x:c>
      <x:c r="C616" s="194" t="str">
        <x:v>Depends On (IDs only)</x:v>
      </x:c>
      <x:c r="D616" s="194" t="str">
        <x:v>T-131</x:v>
      </x:c>
      <x:c r="E616" s="194"/>
      <x:c r="F616" s="194" t="str">
        <x:v>Repair positional corruption using task-keyed baseline and approved edit dataset.</x:v>
      </x:c>
    </x:row>
    <x:row r="617" ht="70" customHeight="1">
      <x:c r="A617" s="194" t="str">
        <x:v>T-166</x:v>
      </x:c>
      <x:c r="B617" s="194" t="str">
        <x:v>N</x:v>
      </x:c>
      <x:c r="C617" s="194" t="str">
        <x:v>Must Precede (IDs only)</x:v>
      </x:c>
      <x:c r="D617" s="194" t="str">
        <x:v>T-133; T-136; T-142; T-240</x:v>
      </x:c>
      <x:c r="E617" s="194"/>
      <x:c r="F617" s="194" t="str">
        <x:v>Repair positional corruption using task-keyed baseline and approved edit dataset.</x:v>
      </x:c>
    </x:row>
    <x:row r="618" ht="70" customHeight="1">
      <x:c r="A618" s="194" t="str">
        <x:v>T-166</x:v>
      </x:c>
      <x:c r="B618" s="194" t="str">
        <x:v>AO</x:v>
      </x:c>
      <x:c r="C618" s="194" t="str">
        <x:v>Evidence State</x:v>
      </x:c>
      <x:c r="D618" s="194"/>
      <x:c r="E618" s="194" t="str">
        <x:v>Not started — no completion claimed</x:v>
      </x:c>
      <x:c r="F618" s="194" t="str">
        <x:v>Add explicit evidence / estimation provenance in repair revision.</x:v>
      </x:c>
    </x:row>
    <x:row r="619" ht="70" customHeight="1">
      <x:c r="A619" s="194" t="str">
        <x:v>T-166</x:v>
      </x:c>
      <x:c r="B619" s="194" t="str">
        <x:v>AP</x:v>
      </x:c>
      <x:c r="C619" s="194" t="str">
        <x:v>Closure Evidence Basis</x:v>
      </x:c>
      <x:c r="D619" s="194"/>
      <x:c r="E619" s="194" t="str">
        <x:v>Inherited v2.22.0 intended record; no new runtime certification in this repair.</x:v>
      </x:c>
      <x:c r="F619" s="194" t="str">
        <x:v>Add explicit evidence / estimation provenance in repair revision.</x:v>
      </x:c>
    </x:row>
    <x:row r="620" ht="70" customHeight="1">
      <x:c r="A620" s="194" t="str">
        <x:v>T-166</x:v>
      </x:c>
      <x:c r="B620" s="194" t="str">
        <x:v>AR</x:v>
      </x:c>
      <x:c r="C620" s="194" t="str">
        <x:v>Estimate Status</x:v>
      </x:c>
      <x:c r="D620" s="194"/>
      <x:c r="E620" s="194" t="str">
        <x:v>INHERITED ESTIMATE</x:v>
      </x:c>
      <x:c r="F620" s="194" t="str">
        <x:v>Add explicit evidence / estimation provenance in repair revision.</x:v>
      </x:c>
    </x:row>
    <x:row r="621" ht="70" customHeight="1">
      <x:c r="A621" s="194" t="str">
        <x:v>T-228</x:v>
      </x:c>
      <x:c r="B621" s="194" t="str">
        <x:v>M</x:v>
      </x:c>
      <x:c r="C621" s="194" t="str">
        <x:v>Depends On (IDs only)</x:v>
      </x:c>
      <x:c r="D621" s="194" t="str">
        <x:v>T-131; T-132; T-183</x:v>
      </x:c>
      <x:c r="E621" s="194" t="str">
        <x:v>T-090; T-092; T-134; T-179; T-180; T-181</x:v>
      </x:c>
      <x:c r="F621" s="194" t="str">
        <x:v>Repair positional corruption using task-keyed baseline and approved edit dataset.</x:v>
      </x:c>
    </x:row>
    <x:row r="622" ht="70" customHeight="1">
      <x:c r="A622" s="194" t="str">
        <x:v>T-228</x:v>
      </x:c>
      <x:c r="B622" s="194" t="str">
        <x:v>N</x:v>
      </x:c>
      <x:c r="C622" s="194" t="str">
        <x:v>Must Precede (IDs only)</x:v>
      </x:c>
      <x:c r="D622" s="194" t="str">
        <x:v>T-134; T-136; T-240</x:v>
      </x:c>
      <x:c r="E622" s="194" t="str">
        <x:v>T-229; T-248</x:v>
      </x:c>
      <x:c r="F622" s="194" t="str">
        <x:v>Repair positional corruption using task-keyed baseline and approved edit dataset.</x:v>
      </x:c>
    </x:row>
    <x:row r="623" ht="70" customHeight="1">
      <x:c r="A623" s="194" t="str">
        <x:v>T-228</x:v>
      </x:c>
      <x:c r="B623" s="194" t="str">
        <x:v>AO</x:v>
      </x:c>
      <x:c r="C623" s="194" t="str">
        <x:v>Evidence State</x:v>
      </x:c>
      <x:c r="D623" s="194"/>
      <x:c r="E623" s="194" t="str">
        <x:v>Not started — no completion claimed</x:v>
      </x:c>
      <x:c r="F623" s="194" t="str">
        <x:v>Add explicit evidence / estimation provenance in repair revision.</x:v>
      </x:c>
    </x:row>
    <x:row r="624" ht="70" customHeight="1">
      <x:c r="A624" s="194" t="str">
        <x:v>T-228</x:v>
      </x:c>
      <x:c r="B624" s="194" t="str">
        <x:v>AP</x:v>
      </x:c>
      <x:c r="C624" s="194" t="str">
        <x:v>Closure Evidence Basis</x:v>
      </x:c>
      <x:c r="D624" s="194"/>
      <x:c r="E624" s="194" t="str">
        <x:v>Inherited v2.22.0 intended record; no new runtime certification in this repair.</x:v>
      </x:c>
      <x:c r="F624" s="194" t="str">
        <x:v>Add explicit evidence / estimation provenance in repair revision.</x:v>
      </x:c>
    </x:row>
    <x:row r="625" ht="70" customHeight="1">
      <x:c r="A625" s="194" t="str">
        <x:v>T-228</x:v>
      </x:c>
      <x:c r="B625" s="194" t="str">
        <x:v>AR</x:v>
      </x:c>
      <x:c r="C625" s="194" t="str">
        <x:v>Estimate Status</x:v>
      </x:c>
      <x:c r="D625" s="194"/>
      <x:c r="E625" s="194" t="str">
        <x:v>INHERITED ESTIMATE</x:v>
      </x:c>
      <x:c r="F625" s="194" t="str">
        <x:v>Add explicit evidence / estimation provenance in repair revision.</x:v>
      </x:c>
    </x:row>
    <x:row r="626" ht="70" customHeight="1">
      <x:c r="A626" s="194" t="str">
        <x:v>T-229</x:v>
      </x:c>
      <x:c r="B626" s="194" t="str">
        <x:v>M</x:v>
      </x:c>
      <x:c r="C626" s="194" t="str">
        <x:v>Depends On (IDs only)</x:v>
      </x:c>
      <x:c r="D626" s="194" t="str">
        <x:v>T-090; T-095; T-096; T-129; T-130; T-133; T-186; T-139</x:v>
      </x:c>
      <x:c r="E626" s="194" t="str">
        <x:v>T-228; T-134</x:v>
      </x:c>
      <x:c r="F626" s="194" t="str">
        <x:v>Repair positional corruption using task-keyed baseline and approved edit dataset.</x:v>
      </x:c>
    </x:row>
    <x:row r="627" ht="70" customHeight="1">
      <x:c r="A627" s="194" t="str">
        <x:v>T-229</x:v>
      </x:c>
      <x:c r="B627" s="194" t="str">
        <x:v>N</x:v>
      </x:c>
      <x:c r="C627" s="194" t="str">
        <x:v>Must Precede (IDs only)</x:v>
      </x:c>
      <x:c r="D627" s="194" t="str">
        <x:v>T-138; T-228; T-229</x:v>
      </x:c>
      <x:c r="E627" s="194" t="str">
        <x:v>T-230</x:v>
      </x:c>
      <x:c r="F627" s="194" t="str">
        <x:v>Repair positional corruption using task-keyed baseline and approved edit dataset.</x:v>
      </x:c>
    </x:row>
    <x:row r="628" ht="70" customHeight="1">
      <x:c r="A628" s="194" t="str">
        <x:v>T-229</x:v>
      </x:c>
      <x:c r="B628" s="194" t="str">
        <x:v>AO</x:v>
      </x:c>
      <x:c r="C628" s="194" t="str">
        <x:v>Evidence State</x:v>
      </x:c>
      <x:c r="D628" s="194"/>
      <x:c r="E628" s="194" t="str">
        <x:v>Not started — no completion claimed</x:v>
      </x:c>
      <x:c r="F628" s="194" t="str">
        <x:v>Add explicit evidence / estimation provenance in repair revision.</x:v>
      </x:c>
    </x:row>
    <x:row r="629" ht="70" customHeight="1">
      <x:c r="A629" s="194" t="str">
        <x:v>T-229</x:v>
      </x:c>
      <x:c r="B629" s="194" t="str">
        <x:v>AP</x:v>
      </x:c>
      <x:c r="C629" s="194" t="str">
        <x:v>Closure Evidence Basis</x:v>
      </x:c>
      <x:c r="D629" s="194"/>
      <x:c r="E629" s="194" t="str">
        <x:v>Inherited v2.22.0 intended record; no new runtime certification in this repair.</x:v>
      </x:c>
      <x:c r="F629" s="194" t="str">
        <x:v>Add explicit evidence / estimation provenance in repair revision.</x:v>
      </x:c>
    </x:row>
    <x:row r="630" ht="70" customHeight="1">
      <x:c r="A630" s="194" t="str">
        <x:v>T-229</x:v>
      </x:c>
      <x:c r="B630" s="194" t="str">
        <x:v>AR</x:v>
      </x:c>
      <x:c r="C630" s="194" t="str">
        <x:v>Estimate Status</x:v>
      </x:c>
      <x:c r="D630" s="194"/>
      <x:c r="E630" s="194" t="str">
        <x:v>INHERITED ESTIMATE</x:v>
      </x:c>
      <x:c r="F630" s="194" t="str">
        <x:v>Add explicit evidence / estimation provenance in repair revision.</x:v>
      </x:c>
    </x:row>
    <x:row r="631" ht="70" customHeight="1">
      <x:c r="A631" s="194" t="str">
        <x:v>T-230</x:v>
      </x:c>
      <x:c r="B631" s="194" t="str">
        <x:v>M</x:v>
      </x:c>
      <x:c r="C631" s="194" t="str">
        <x:v>Depends On (IDs only)</x:v>
      </x:c>
      <x:c r="D631" s="194" t="str">
        <x:v>T-112; T-114; T-128; T-129; T-130; T-183</x:v>
      </x:c>
      <x:c r="E631" s="194" t="str">
        <x:v>T-229; T-112; T-114</x:v>
      </x:c>
      <x:c r="F631" s="194" t="str">
        <x:v>Repair positional corruption using task-keyed baseline and approved edit dataset.</x:v>
      </x:c>
    </x:row>
    <x:row r="632" ht="70" customHeight="1">
      <x:c r="A632" s="194" t="str">
        <x:v>T-230</x:v>
      </x:c>
      <x:c r="B632" s="194" t="str">
        <x:v>N</x:v>
      </x:c>
      <x:c r="C632" s="194" t="str">
        <x:v>Must Precede (IDs only)</x:v>
      </x:c>
      <x:c r="D632" s="194" t="str">
        <x:v>T-184; T-185; T-186; T-187</x:v>
      </x:c>
      <x:c r="E632" s="194" t="str">
        <x:v>T-249</x:v>
      </x:c>
      <x:c r="F632" s="194" t="str">
        <x:v>Repair positional corruption using task-keyed baseline and approved edit dataset.</x:v>
      </x:c>
    </x:row>
    <x:row r="633" ht="70" customHeight="1">
      <x:c r="A633" s="194" t="str">
        <x:v>T-230</x:v>
      </x:c>
      <x:c r="B633" s="194" t="str">
        <x:v>AO</x:v>
      </x:c>
      <x:c r="C633" s="194" t="str">
        <x:v>Evidence State</x:v>
      </x:c>
      <x:c r="D633" s="194"/>
      <x:c r="E633" s="194" t="str">
        <x:v>Not started — no completion claimed</x:v>
      </x:c>
      <x:c r="F633" s="194" t="str">
        <x:v>Add explicit evidence / estimation provenance in repair revision.</x:v>
      </x:c>
    </x:row>
    <x:row r="634" ht="70" customHeight="1">
      <x:c r="A634" s="194" t="str">
        <x:v>T-230</x:v>
      </x:c>
      <x:c r="B634" s="194" t="str">
        <x:v>AP</x:v>
      </x:c>
      <x:c r="C634" s="194" t="str">
        <x:v>Closure Evidence Basis</x:v>
      </x:c>
      <x:c r="D634" s="194"/>
      <x:c r="E634" s="194" t="str">
        <x:v>Inherited v2.22.0 intended record; no new runtime certification in this repair.</x:v>
      </x:c>
      <x:c r="F634" s="194" t="str">
        <x:v>Add explicit evidence / estimation provenance in repair revision.</x:v>
      </x:c>
    </x:row>
    <x:row r="635" ht="70" customHeight="1">
      <x:c r="A635" s="194" t="str">
        <x:v>T-230</x:v>
      </x:c>
      <x:c r="B635" s="194" t="str">
        <x:v>AR</x:v>
      </x:c>
      <x:c r="C635" s="194" t="str">
        <x:v>Estimate Status</x:v>
      </x:c>
      <x:c r="D635" s="194"/>
      <x:c r="E635" s="194" t="str">
        <x:v>INHERITED ESTIMATE</x:v>
      </x:c>
      <x:c r="F635" s="194" t="str">
        <x:v>Add explicit evidence / estimation provenance in repair revision.</x:v>
      </x:c>
    </x:row>
    <x:row r="636" ht="70" customHeight="1">
      <x:c r="A636" s="194" t="str">
        <x:v>T-248</x:v>
      </x:c>
      <x:c r="B636" s="194" t="str">
        <x:v>M</x:v>
      </x:c>
      <x:c r="C636" s="194" t="str">
        <x:v>Depends On (IDs only)</x:v>
      </x:c>
      <x:c r="D636" s="194" t="str">
        <x:v>T-131; T-132; T-133; T-109</x:v>
      </x:c>
      <x:c r="E636" s="194" t="str">
        <x:v>T-148; T-202; T-203; T-204; T-205; T-228; T-241; T-243; T-244; T-245; T-257</x:v>
      </x:c>
      <x:c r="F636" s="194" t="str">
        <x:v>Repair positional corruption using task-keyed baseline and approved edit dataset.</x:v>
      </x:c>
    </x:row>
    <x:row r="637" ht="70" customHeight="1">
      <x:c r="A637" s="194" t="str">
        <x:v>T-248</x:v>
      </x:c>
      <x:c r="B637" s="194" t="str">
        <x:v>N</x:v>
      </x:c>
      <x:c r="C637" s="194" t="str">
        <x:v>Must Precede (IDs only)</x:v>
      </x:c>
      <x:c r="D637" s="194"/>
      <x:c r="E637" s="194" t="str">
        <x:v>T-249; T-263</x:v>
      </x:c>
      <x:c r="F637" s="194" t="str">
        <x:v>Repair positional corruption using task-keyed baseline and approved edit dataset.</x:v>
      </x:c>
    </x:row>
    <x:row r="638" ht="70" customHeight="1">
      <x:c r="A638" s="194" t="str">
        <x:v>T-248</x:v>
      </x:c>
      <x:c r="B638" s="194" t="str">
        <x:v>AO</x:v>
      </x:c>
      <x:c r="C638" s="194" t="str">
        <x:v>Evidence State</x:v>
      </x:c>
      <x:c r="D638" s="194"/>
      <x:c r="E638" s="194" t="str">
        <x:v>Not started — no completion claimed</x:v>
      </x:c>
      <x:c r="F638" s="194" t="str">
        <x:v>Add explicit evidence / estimation provenance in repair revision.</x:v>
      </x:c>
    </x:row>
    <x:row r="639" ht="70" customHeight="1">
      <x:c r="A639" s="194" t="str">
        <x:v>T-248</x:v>
      </x:c>
      <x:c r="B639" s="194" t="str">
        <x:v>AP</x:v>
      </x:c>
      <x:c r="C639" s="194" t="str">
        <x:v>Closure Evidence Basis</x:v>
      </x:c>
      <x:c r="D639" s="194"/>
      <x:c r="E639" s="194" t="str">
        <x:v>Inherited v2.22.0 intended record; no new runtime certification in this repair.</x:v>
      </x:c>
      <x:c r="F639" s="194" t="str">
        <x:v>Add explicit evidence / estimation provenance in repair revision.</x:v>
      </x:c>
    </x:row>
    <x:row r="640" ht="70" customHeight="1">
      <x:c r="A640" s="194" t="str">
        <x:v>T-248</x:v>
      </x:c>
      <x:c r="B640" s="194" t="str">
        <x:v>AR</x:v>
      </x:c>
      <x:c r="C640" s="194" t="str">
        <x:v>Estimate Status</x:v>
      </x:c>
      <x:c r="D640" s="194"/>
      <x:c r="E640" s="194" t="str">
        <x:v>INHERITED ESTIMATE</x:v>
      </x:c>
      <x:c r="F640" s="194" t="str">
        <x:v>Add explicit evidence / estimation provenance in repair revision.</x:v>
      </x:c>
    </x:row>
    <x:row r="641" ht="70" customHeight="1">
      <x:c r="A641" s="194" t="str">
        <x:v>T-263</x:v>
      </x:c>
      <x:c r="B641" s="194" t="str">
        <x:v>M</x:v>
      </x:c>
      <x:c r="C641" s="194" t="str">
        <x:v>Depends On (IDs only)</x:v>
      </x:c>
      <x:c r="D641" s="194" t="str">
        <x:v>T-179; T-180; T-181; T-137; T-134; T-188</x:v>
      </x:c>
      <x:c r="E641" s="194" t="str">
        <x:v>T-106; T-248</x:v>
      </x:c>
      <x:c r="F641" s="194" t="str">
        <x:v>Repair positional corruption using task-keyed baseline and approved edit dataset.</x:v>
      </x:c>
    </x:row>
    <x:row r="642" ht="70" customHeight="1">
      <x:c r="A642" s="194" t="str">
        <x:v>T-263</x:v>
      </x:c>
      <x:c r="B642" s="194" t="str">
        <x:v>N</x:v>
      </x:c>
      <x:c r="C642" s="194" t="str">
        <x:v>Must Precede (IDs only)</x:v>
      </x:c>
      <x:c r="D642" s="194"/>
      <x:c r="E642" s="194" t="str">
        <x:v>T-249</x:v>
      </x:c>
      <x:c r="F642" s="194" t="str">
        <x:v>Repair positional corruption using task-keyed baseline and approved edit dataset.</x:v>
      </x:c>
    </x:row>
    <x:row r="643" ht="70" customHeight="1">
      <x:c r="A643" s="194" t="str">
        <x:v>T-263</x:v>
      </x:c>
      <x:c r="B643" s="194" t="str">
        <x:v>AJ</x:v>
      </x:c>
      <x:c r="C643" s="194" t="str">
        <x:v>Estimate Basis</x:v>
      </x:c>
      <x:c r="D643" s="194" t="str">
        <x:v>UNESTIMATED — new row; no hours inferred from source presence</x:v>
      </x:c>
      <x:c r="E643" s="194" t="str">
        <x:v>UNESTIMATED — new/recognized task; owner calibration pending.</x:v>
      </x:c>
      <x:c r="F643" s="194" t="str">
        <x:v>Blank is unknown effort, not zero.</x:v>
      </x:c>
    </x:row>
    <x:row r="644" ht="70" customHeight="1">
      <x:c r="A644" s="194" t="str">
        <x:v>T-263</x:v>
      </x:c>
      <x:c r="B644" s="194" t="str">
        <x:v>AO</x:v>
      </x:c>
      <x:c r="C644" s="194" t="str">
        <x:v>Evidence State</x:v>
      </x:c>
      <x:c r="D644" s="194"/>
      <x:c r="E644" s="194" t="str">
        <x:v>Not started — no completion claimed</x:v>
      </x:c>
      <x:c r="F644" s="194" t="str">
        <x:v>Add explicit evidence / estimation provenance in repair revision.</x:v>
      </x:c>
    </x:row>
    <x:row r="645" ht="70" customHeight="1">
      <x:c r="A645" s="194" t="str">
        <x:v>T-263</x:v>
      </x:c>
      <x:c r="B645" s="194" t="str">
        <x:v>AP</x:v>
      </x:c>
      <x:c r="C645" s="194" t="str">
        <x:v>Closure Evidence Basis</x:v>
      </x:c>
      <x:c r="D645" s="194"/>
      <x:c r="E645" s="194" t="str">
        <x:v>Inherited v2.22.0 intended record; no new runtime certification in this repair.</x:v>
      </x:c>
      <x:c r="F645" s="194" t="str">
        <x:v>Add explicit evidence / estimation provenance in repair revision.</x:v>
      </x:c>
    </x:row>
    <x:row r="646" ht="70" customHeight="1">
      <x:c r="A646" s="194" t="str">
        <x:v>T-263</x:v>
      </x:c>
      <x:c r="B646" s="194" t="str">
        <x:v>AR</x:v>
      </x:c>
      <x:c r="C646" s="194" t="str">
        <x:v>Estimate Status</x:v>
      </x:c>
      <x:c r="D646" s="194"/>
      <x:c r="E646" s="194" t="str">
        <x:v>UNESTIMATED</x:v>
      </x:c>
      <x:c r="F646" s="194" t="str">
        <x:v>Add explicit evidence / estimation provenance in repair revision.</x:v>
      </x:c>
    </x:row>
    <x:row r="647" ht="70" customHeight="1">
      <x:c r="A647" s="194" t="str">
        <x:v>T-128</x:v>
      </x:c>
      <x:c r="B647" s="194" t="str">
        <x:v>M</x:v>
      </x:c>
      <x:c r="C647" s="194" t="str">
        <x:v>Depends On (IDs only)</x:v>
      </x:c>
      <x:c r="D647" s="194" t="str">
        <x:v>T-130; T-187; T-231</x:v>
      </x:c>
      <x:c r="E647" s="194" t="str">
        <x:v>T-087; T-088; T-089; T-090; T-091; T-092; T-093; T-094; T-095; T-096; T-097; T-098; T-099; T-100; T-101; T-102; T-103; T-104; T-112; T-114; T-231; T-210</x:v>
      </x:c>
      <x:c r="F647" s="194" t="str">
        <x:v>Repair positional corruption using task-keyed baseline and approved edit dataset.</x:v>
      </x:c>
    </x:row>
    <x:row r="648" ht="70" customHeight="1">
      <x:c r="A648" s="194" t="str">
        <x:v>T-128</x:v>
      </x:c>
      <x:c r="B648" s="194" t="str">
        <x:v>N</x:v>
      </x:c>
      <x:c r="C648" s="194" t="str">
        <x:v>Must Precede (IDs only)</x:v>
      </x:c>
      <x:c r="D648" s="194" t="str">
        <x:v>T-134; T-140; T-141; T-142; T-189; T-193</x:v>
      </x:c>
      <x:c r="E648" s="194" t="str">
        <x:v>T-129; T-130; T-131; T-135; T-146; T-147; T-184; T-186</x:v>
      </x:c>
      <x:c r="F648" s="194" t="str">
        <x:v>Repair positional corruption using task-keyed baseline and approved edit dataset.</x:v>
      </x:c>
    </x:row>
    <x:row r="649" ht="70" customHeight="1">
      <x:c r="A649" s="194" t="str">
        <x:v>T-128</x:v>
      </x:c>
      <x:c r="B649" s="194" t="str">
        <x:v>AO</x:v>
      </x:c>
      <x:c r="C649" s="194" t="str">
        <x:v>Evidence State</x:v>
      </x:c>
      <x:c r="D649" s="194"/>
      <x:c r="E649" s="194" t="str">
        <x:v>Not started — no completion claimed</x:v>
      </x:c>
      <x:c r="F649" s="194" t="str">
        <x:v>Add explicit evidence / estimation provenance in repair revision.</x:v>
      </x:c>
    </x:row>
    <x:row r="650" ht="70" customHeight="1">
      <x:c r="A650" s="194" t="str">
        <x:v>T-128</x:v>
      </x:c>
      <x:c r="B650" s="194" t="str">
        <x:v>AP</x:v>
      </x:c>
      <x:c r="C650" s="194" t="str">
        <x:v>Closure Evidence Basis</x:v>
      </x:c>
      <x:c r="D650" s="194"/>
      <x:c r="E650" s="194" t="str">
        <x:v>Inherited v2.22.0 intended record; no new runtime certification in this repair.</x:v>
      </x:c>
      <x:c r="F650" s="194" t="str">
        <x:v>Add explicit evidence / estimation provenance in repair revision.</x:v>
      </x:c>
    </x:row>
    <x:row r="651" ht="70" customHeight="1">
      <x:c r="A651" s="194" t="str">
        <x:v>T-128</x:v>
      </x:c>
      <x:c r="B651" s="194" t="str">
        <x:v>AR</x:v>
      </x:c>
      <x:c r="C651" s="194" t="str">
        <x:v>Estimate Status</x:v>
      </x:c>
      <x:c r="D651" s="194"/>
      <x:c r="E651" s="194" t="str">
        <x:v>INHERITED ESTIMATE</x:v>
      </x:c>
      <x:c r="F651" s="194" t="str">
        <x:v>Add explicit evidence / estimation provenance in repair revision.</x:v>
      </x:c>
    </x:row>
    <x:row r="652" ht="70" customHeight="1">
      <x:c r="A652" s="194" t="str">
        <x:v>T-129</x:v>
      </x:c>
      <x:c r="B652" s="194" t="str">
        <x:v>M</x:v>
      </x:c>
      <x:c r="C652" s="194" t="str">
        <x:v>Depends On (IDs only)</x:v>
      </x:c>
      <x:c r="D652" s="194" t="str">
        <x:v>T-139; T-173; T-176</x:v>
      </x:c>
      <x:c r="E652" s="194" t="str">
        <x:v>T-128; T-183; T-112; T-114</x:v>
      </x:c>
      <x:c r="F652" s="194" t="str">
        <x:v>Repair positional corruption using task-keyed baseline and approved edit dataset.</x:v>
      </x:c>
    </x:row>
    <x:row r="653" ht="70" customHeight="1">
      <x:c r="A653" s="194" t="str">
        <x:v>T-129</x:v>
      </x:c>
      <x:c r="B653" s="194" t="str">
        <x:v>N</x:v>
      </x:c>
      <x:c r="C653" s="194" t="str">
        <x:v>Must Precede (IDs only)</x:v>
      </x:c>
      <x:c r="D653" s="194" t="str">
        <x:v>T-142; T-189</x:v>
      </x:c>
      <x:c r="E653" s="194" t="str">
        <x:v>T-134; T-135; T-146; T-147; T-186; T-188</x:v>
      </x:c>
      <x:c r="F653" s="194" t="str">
        <x:v>Repair positional corruption using task-keyed baseline and approved edit dataset.</x:v>
      </x:c>
    </x:row>
    <x:row r="654" ht="70" customHeight="1">
      <x:c r="A654" s="194" t="str">
        <x:v>T-129</x:v>
      </x:c>
      <x:c r="B654" s="194" t="str">
        <x:v>AO</x:v>
      </x:c>
      <x:c r="C654" s="194" t="str">
        <x:v>Evidence State</x:v>
      </x:c>
      <x:c r="D654" s="194"/>
      <x:c r="E654" s="194" t="str">
        <x:v>Not started — no completion claimed</x:v>
      </x:c>
      <x:c r="F654" s="194" t="str">
        <x:v>Add explicit evidence / estimation provenance in repair revision.</x:v>
      </x:c>
    </x:row>
    <x:row r="655" ht="70" customHeight="1">
      <x:c r="A655" s="194" t="str">
        <x:v>T-129</x:v>
      </x:c>
      <x:c r="B655" s="194" t="str">
        <x:v>AP</x:v>
      </x:c>
      <x:c r="C655" s="194" t="str">
        <x:v>Closure Evidence Basis</x:v>
      </x:c>
      <x:c r="D655" s="194"/>
      <x:c r="E655" s="194" t="str">
        <x:v>Inherited v2.22.0 intended record; no new runtime certification in this repair.</x:v>
      </x:c>
      <x:c r="F655" s="194" t="str">
        <x:v>Add explicit evidence / estimation provenance in repair revision.</x:v>
      </x:c>
    </x:row>
    <x:row r="656" ht="70" customHeight="1">
      <x:c r="A656" s="194" t="str">
        <x:v>T-129</x:v>
      </x:c>
      <x:c r="B656" s="194" t="str">
        <x:v>AR</x:v>
      </x:c>
      <x:c r="C656" s="194" t="str">
        <x:v>Estimate Status</x:v>
      </x:c>
      <x:c r="D656" s="194"/>
      <x:c r="E656" s="194" t="str">
        <x:v>INHERITED ESTIMATE</x:v>
      </x:c>
      <x:c r="F656" s="194" t="str">
        <x:v>Add explicit evidence / estimation provenance in repair revision.</x:v>
      </x:c>
    </x:row>
    <x:row r="657" ht="70" customHeight="1">
      <x:c r="A657" s="194" t="str">
        <x:v>T-130</x:v>
      </x:c>
      <x:c r="B657" s="194" t="str">
        <x:v>M</x:v>
      </x:c>
      <x:c r="C657" s="194" t="str">
        <x:v>Depends On (IDs only)</x:v>
      </x:c>
      <x:c r="D657" s="194" t="str">
        <x:v>T-107; T-122; T-139; T-187</x:v>
      </x:c>
      <x:c r="E657" s="194" t="str">
        <x:v>T-128; T-183; T-112; T-114</x:v>
      </x:c>
      <x:c r="F657" s="194" t="str">
        <x:v>Repair positional corruption using task-keyed baseline and approved edit dataset.</x:v>
      </x:c>
    </x:row>
    <x:row r="658" ht="70" customHeight="1">
      <x:c r="A658" s="194" t="str">
        <x:v>T-130</x:v>
      </x:c>
      <x:c r="B658" s="194" t="str">
        <x:v>N</x:v>
      </x:c>
      <x:c r="C658" s="194" t="str">
        <x:v>Must Precede (IDs only)</x:v>
      </x:c>
      <x:c r="D658" s="194" t="str">
        <x:v>T-189</x:v>
      </x:c>
      <x:c r="E658" s="194" t="str">
        <x:v>T-134; T-135; T-139; T-188; T-191; T-193; T-246</x:v>
      </x:c>
      <x:c r="F658" s="194" t="str">
        <x:v>Repair positional corruption using task-keyed baseline and approved edit dataset.</x:v>
      </x:c>
    </x:row>
    <x:row r="659" ht="70" customHeight="1">
      <x:c r="A659" s="194" t="str">
        <x:v>T-130</x:v>
      </x:c>
      <x:c r="B659" s="194" t="str">
        <x:v>AO</x:v>
      </x:c>
      <x:c r="C659" s="194" t="str">
        <x:v>Evidence State</x:v>
      </x:c>
      <x:c r="D659" s="194"/>
      <x:c r="E659" s="194" t="str">
        <x:v>Not started — no completion claimed</x:v>
      </x:c>
      <x:c r="F659" s="194" t="str">
        <x:v>Add explicit evidence / estimation provenance in repair revision.</x:v>
      </x:c>
    </x:row>
    <x:row r="660" ht="70" customHeight="1">
      <x:c r="A660" s="194" t="str">
        <x:v>T-130</x:v>
      </x:c>
      <x:c r="B660" s="194" t="str">
        <x:v>AP</x:v>
      </x:c>
      <x:c r="C660" s="194" t="str">
        <x:v>Closure Evidence Basis</x:v>
      </x:c>
      <x:c r="D660" s="194"/>
      <x:c r="E660" s="194" t="str">
        <x:v>Inherited v2.22.0 intended record; no new runtime certification in this repair.</x:v>
      </x:c>
      <x:c r="F660" s="194" t="str">
        <x:v>Add explicit evidence / estimation provenance in repair revision.</x:v>
      </x:c>
    </x:row>
    <x:row r="661" ht="70" customHeight="1">
      <x:c r="A661" s="194" t="str">
        <x:v>T-130</x:v>
      </x:c>
      <x:c r="B661" s="194" t="str">
        <x:v>AR</x:v>
      </x:c>
      <x:c r="C661" s="194" t="str">
        <x:v>Estimate Status</x:v>
      </x:c>
      <x:c r="D661" s="194"/>
      <x:c r="E661" s="194" t="str">
        <x:v>INHERITED ESTIMATE</x:v>
      </x:c>
      <x:c r="F661" s="194" t="str">
        <x:v>Add explicit evidence / estimation provenance in repair revision.</x:v>
      </x:c>
    </x:row>
    <x:row r="662" ht="70" customHeight="1">
      <x:c r="A662" s="194" t="str">
        <x:v>T-131</x:v>
      </x:c>
      <x:c r="B662" s="194" t="str">
        <x:v>M</x:v>
      </x:c>
      <x:c r="C662" s="194" t="str">
        <x:v>Depends On (IDs only)</x:v>
      </x:c>
      <x:c r="D662" s="194" t="str">
        <x:v>T-131; T-132; T-139; T-140</x:v>
      </x:c>
      <x:c r="E662" s="194" t="str">
        <x:v>T-086; T-128; T-171</x:v>
      </x:c>
      <x:c r="F662" s="194" t="str">
        <x:v>Repair positional corruption using task-keyed baseline and approved edit dataset.</x:v>
      </x:c>
    </x:row>
    <x:row r="663" ht="70" customHeight="1">
      <x:c r="A663" s="194" t="str">
        <x:v>T-131</x:v>
      </x:c>
      <x:c r="B663" s="194" t="str">
        <x:v>N</x:v>
      </x:c>
      <x:c r="C663" s="194" t="str">
        <x:v>Must Precede (IDs only)</x:v>
      </x:c>
      <x:c r="D663" s="194" t="str">
        <x:v>T-143; T-189; T-190</x:v>
      </x:c>
      <x:c r="E663" s="194" t="str">
        <x:v>T-132; T-133; T-136; T-142; T-240</x:v>
      </x:c>
      <x:c r="F663" s="194" t="str">
        <x:v>Repair positional corruption using task-keyed baseline and approved edit dataset.</x:v>
      </x:c>
    </x:row>
    <x:row r="664" ht="70" customHeight="1">
      <x:c r="A664" s="194" t="str">
        <x:v>T-131</x:v>
      </x:c>
      <x:c r="B664" s="194" t="str">
        <x:v>AO</x:v>
      </x:c>
      <x:c r="C664" s="194" t="str">
        <x:v>Evidence State</x:v>
      </x:c>
      <x:c r="D664" s="194"/>
      <x:c r="E664" s="194" t="str">
        <x:v>Not started — no completion claimed</x:v>
      </x:c>
      <x:c r="F664" s="194" t="str">
        <x:v>Add explicit evidence / estimation provenance in repair revision.</x:v>
      </x:c>
    </x:row>
    <x:row r="665" ht="70" customHeight="1">
      <x:c r="A665" s="194" t="str">
        <x:v>T-131</x:v>
      </x:c>
      <x:c r="B665" s="194" t="str">
        <x:v>AP</x:v>
      </x:c>
      <x:c r="C665" s="194" t="str">
        <x:v>Closure Evidence Basis</x:v>
      </x:c>
      <x:c r="D665" s="194"/>
      <x:c r="E665" s="194" t="str">
        <x:v>Inherited v2.22.0 intended record; no new runtime certification in this repair.</x:v>
      </x:c>
      <x:c r="F665" s="194" t="str">
        <x:v>Add explicit evidence / estimation provenance in repair revision.</x:v>
      </x:c>
    </x:row>
    <x:row r="666" ht="70" customHeight="1">
      <x:c r="A666" s="194" t="str">
        <x:v>T-131</x:v>
      </x:c>
      <x:c r="B666" s="194" t="str">
        <x:v>AR</x:v>
      </x:c>
      <x:c r="C666" s="194" t="str">
        <x:v>Estimate Status</x:v>
      </x:c>
      <x:c r="D666" s="194"/>
      <x:c r="E666" s="194" t="str">
        <x:v>INHERITED ESTIMATE</x:v>
      </x:c>
      <x:c r="F666" s="194" t="str">
        <x:v>Add explicit evidence / estimation provenance in repair revision.</x:v>
      </x:c>
    </x:row>
    <x:row r="667" ht="70" customHeight="1">
      <x:c r="A667" s="194" t="str">
        <x:v>T-132</x:v>
      </x:c>
      <x:c r="B667" s="194" t="str">
        <x:v>M</x:v>
      </x:c>
      <x:c r="C667" s="194" t="str">
        <x:v>Depends On (IDs only)</x:v>
      </x:c>
      <x:c r="D667" s="194" t="str">
        <x:v>T-178; T-142</x:v>
      </x:c>
      <x:c r="E667" s="194" t="str">
        <x:v>T-131</x:v>
      </x:c>
      <x:c r="F667" s="194" t="str">
        <x:v>Repair positional corruption using task-keyed baseline and approved edit dataset.</x:v>
      </x:c>
    </x:row>
    <x:row r="668" ht="70" customHeight="1">
      <x:c r="A668" s="194" t="str">
        <x:v>T-132</x:v>
      </x:c>
      <x:c r="B668" s="194" t="str">
        <x:v>N</x:v>
      </x:c>
      <x:c r="C668" s="194" t="str">
        <x:v>Must Precede (IDs only)</x:v>
      </x:c>
      <x:c r="D668" s="194" t="str">
        <x:v>T-144; T-189; T-190</x:v>
      </x:c>
      <x:c r="E668" s="194" t="str">
        <x:v>T-133; T-136; T-142; T-240</x:v>
      </x:c>
      <x:c r="F668" s="194" t="str">
        <x:v>Repair positional corruption using task-keyed baseline and approved edit dataset.</x:v>
      </x:c>
    </x:row>
    <x:row r="669" ht="70" customHeight="1">
      <x:c r="A669" s="194" t="str">
        <x:v>T-132</x:v>
      </x:c>
      <x:c r="B669" s="194" t="str">
        <x:v>AO</x:v>
      </x:c>
      <x:c r="C669" s="194" t="str">
        <x:v>Evidence State</x:v>
      </x:c>
      <x:c r="D669" s="194"/>
      <x:c r="E669" s="194" t="str">
        <x:v>Not started — no completion claimed</x:v>
      </x:c>
      <x:c r="F669" s="194" t="str">
        <x:v>Add explicit evidence / estimation provenance in repair revision.</x:v>
      </x:c>
    </x:row>
    <x:row r="670" ht="70" customHeight="1">
      <x:c r="A670" s="194" t="str">
        <x:v>T-132</x:v>
      </x:c>
      <x:c r="B670" s="194" t="str">
        <x:v>AP</x:v>
      </x:c>
      <x:c r="C670" s="194" t="str">
        <x:v>Closure Evidence Basis</x:v>
      </x:c>
      <x:c r="D670" s="194"/>
      <x:c r="E670" s="194" t="str">
        <x:v>Inherited v2.22.0 intended record; no new runtime certification in this repair.</x:v>
      </x:c>
      <x:c r="F670" s="194" t="str">
        <x:v>Add explicit evidence / estimation provenance in repair revision.</x:v>
      </x:c>
    </x:row>
    <x:row r="671" ht="70" customHeight="1">
      <x:c r="A671" s="194" t="str">
        <x:v>T-132</x:v>
      </x:c>
      <x:c r="B671" s="194" t="str">
        <x:v>AR</x:v>
      </x:c>
      <x:c r="C671" s="194" t="str">
        <x:v>Estimate Status</x:v>
      </x:c>
      <x:c r="D671" s="194"/>
      <x:c r="E671" s="194" t="str">
        <x:v>INHERITED ESTIMATE</x:v>
      </x:c>
      <x:c r="F671" s="194" t="str">
        <x:v>Add explicit evidence / estimation provenance in repair revision.</x:v>
      </x:c>
    </x:row>
    <x:row r="672" ht="70" customHeight="1">
      <x:c r="A672" s="194" t="str">
        <x:v>T-133</x:v>
      </x:c>
      <x:c r="B672" s="194" t="str">
        <x:v>M</x:v>
      </x:c>
      <x:c r="C672" s="194" t="str">
        <x:v>Depends On (IDs only)</x:v>
      </x:c>
      <x:c r="D672" s="194" t="str">
        <x:v>T-143</x:v>
      </x:c>
      <x:c r="E672" s="194" t="str">
        <x:v>T-131; T-132; T-183</x:v>
      </x:c>
      <x:c r="F672" s="194" t="str">
        <x:v>Repair positional corruption using task-keyed baseline and approved edit dataset.</x:v>
      </x:c>
    </x:row>
    <x:row r="673" ht="70" customHeight="1">
      <x:c r="A673" s="194" t="str">
        <x:v>T-133</x:v>
      </x:c>
      <x:c r="B673" s="194" t="str">
        <x:v>N</x:v>
      </x:c>
      <x:c r="C673" s="194" t="str">
        <x:v>Must Precede (IDs only)</x:v>
      </x:c>
      <x:c r="D673" s="194" t="str">
        <x:v>T-145; T-190</x:v>
      </x:c>
      <x:c r="E673" s="194" t="str">
        <x:v>T-134; T-136; T-240</x:v>
      </x:c>
      <x:c r="F673" s="194" t="str">
        <x:v>Repair positional corruption using task-keyed baseline and approved edit dataset.</x:v>
      </x:c>
    </x:row>
    <x:row r="674" ht="70" customHeight="1">
      <x:c r="A674" s="194" t="str">
        <x:v>T-133</x:v>
      </x:c>
      <x:c r="B674" s="194" t="str">
        <x:v>AO</x:v>
      </x:c>
      <x:c r="C674" s="194" t="str">
        <x:v>Evidence State</x:v>
      </x:c>
      <x:c r="D674" s="194"/>
      <x:c r="E674" s="194" t="str">
        <x:v>Not started — no completion claimed</x:v>
      </x:c>
      <x:c r="F674" s="194" t="str">
        <x:v>Add explicit evidence / estimation provenance in repair revision.</x:v>
      </x:c>
    </x:row>
    <x:row r="675" ht="70" customHeight="1">
      <x:c r="A675" s="194" t="str">
        <x:v>T-133</x:v>
      </x:c>
      <x:c r="B675" s="194" t="str">
        <x:v>AP</x:v>
      </x:c>
      <x:c r="C675" s="194" t="str">
        <x:v>Closure Evidence Basis</x:v>
      </x:c>
      <x:c r="D675" s="194"/>
      <x:c r="E675" s="194" t="str">
        <x:v>Inherited v2.22.0 intended record; no new runtime certification in this repair.</x:v>
      </x:c>
      <x:c r="F675" s="194" t="str">
        <x:v>Add explicit evidence / estimation provenance in repair revision.</x:v>
      </x:c>
    </x:row>
    <x:row r="676" ht="70" customHeight="1">
      <x:c r="A676" s="194" t="str">
        <x:v>T-133</x:v>
      </x:c>
      <x:c r="B676" s="194" t="str">
        <x:v>AR</x:v>
      </x:c>
      <x:c r="C676" s="194" t="str">
        <x:v>Estimate Status</x:v>
      </x:c>
      <x:c r="D676" s="194"/>
      <x:c r="E676" s="194" t="str">
        <x:v>INHERITED ESTIMATE</x:v>
      </x:c>
      <x:c r="F676" s="194" t="str">
        <x:v>Add explicit evidence / estimation provenance in repair revision.</x:v>
      </x:c>
    </x:row>
    <x:row r="677" ht="70" customHeight="1">
      <x:c r="A677" s="194" t="str">
        <x:v>T-134</x:v>
      </x:c>
      <x:c r="B677" s="194" t="str">
        <x:v>M</x:v>
      </x:c>
      <x:c r="C677" s="194" t="str">
        <x:v>Depends On (IDs only)</x:v>
      </x:c>
      <x:c r="D677" s="194" t="str">
        <x:v>T-144</x:v>
      </x:c>
      <x:c r="E677" s="194" t="str">
        <x:v>T-090; T-095; T-096; T-129; T-130; T-133; T-186; T-139</x:v>
      </x:c>
      <x:c r="F677" s="194" t="str">
        <x:v>Repair positional corruption using task-keyed baseline and approved edit dataset.</x:v>
      </x:c>
    </x:row>
    <x:row r="678" ht="70" customHeight="1">
      <x:c r="A678" s="194" t="str">
        <x:v>T-134</x:v>
      </x:c>
      <x:c r="B678" s="194" t="str">
        <x:v>N</x:v>
      </x:c>
      <x:c r="C678" s="194" t="str">
        <x:v>Must Precede (IDs only)</x:v>
      </x:c>
      <x:c r="D678" s="194" t="str">
        <x:v>T-190; T-193</x:v>
      </x:c>
      <x:c r="E678" s="194" t="str">
        <x:v>T-138; T-228; T-229</x:v>
      </x:c>
      <x:c r="F678" s="194" t="str">
        <x:v>Repair positional corruption using task-keyed baseline and approved edit dataset.</x:v>
      </x:c>
    </x:row>
    <x:row r="679" ht="70" customHeight="1">
      <x:c r="A679" s="194" t="str">
        <x:v>T-134</x:v>
      </x:c>
      <x:c r="B679" s="194" t="str">
        <x:v>AO</x:v>
      </x:c>
      <x:c r="C679" s="194" t="str">
        <x:v>Evidence State</x:v>
      </x:c>
      <x:c r="D679" s="194"/>
      <x:c r="E679" s="194" t="str">
        <x:v>Not started — no completion claimed</x:v>
      </x:c>
      <x:c r="F679" s="194" t="str">
        <x:v>Add explicit evidence / estimation provenance in repair revision.</x:v>
      </x:c>
    </x:row>
    <x:row r="680" ht="70" customHeight="1">
      <x:c r="A680" s="194" t="str">
        <x:v>T-134</x:v>
      </x:c>
      <x:c r="B680" s="194" t="str">
        <x:v>AP</x:v>
      </x:c>
      <x:c r="C680" s="194" t="str">
        <x:v>Closure Evidence Basis</x:v>
      </x:c>
      <x:c r="D680" s="194"/>
      <x:c r="E680" s="194" t="str">
        <x:v>Inherited v2.22.0 intended record; no new runtime certification in this repair.</x:v>
      </x:c>
      <x:c r="F680" s="194" t="str">
        <x:v>Add explicit evidence / estimation provenance in repair revision.</x:v>
      </x:c>
    </x:row>
    <x:row r="681" ht="70" customHeight="1">
      <x:c r="A681" s="194" t="str">
        <x:v>T-134</x:v>
      </x:c>
      <x:c r="B681" s="194" t="str">
        <x:v>AR</x:v>
      </x:c>
      <x:c r="C681" s="194" t="str">
        <x:v>Estimate Status</x:v>
      </x:c>
      <x:c r="D681" s="194"/>
      <x:c r="E681" s="194" t="str">
        <x:v>INHERITED ESTIMATE</x:v>
      </x:c>
      <x:c r="F681" s="194" t="str">
        <x:v>Add explicit evidence / estimation provenance in repair revision.</x:v>
      </x:c>
    </x:row>
    <x:row r="682" ht="70" customHeight="1">
      <x:c r="A682" s="194" t="str">
        <x:v>T-135</x:v>
      </x:c>
      <x:c r="B682" s="194" t="str">
        <x:v>M</x:v>
      </x:c>
      <x:c r="C682" s="194" t="str">
        <x:v>Depends On (IDs only)</x:v>
      </x:c>
      <x:c r="D682" s="194" t="str">
        <x:v>T-147; T-177; T-128; T-129</x:v>
      </x:c>
      <x:c r="E682" s="194" t="str">
        <x:v>T-112; T-114; T-128; T-129; T-130; T-183</x:v>
      </x:c>
      <x:c r="F682" s="194" t="str">
        <x:v>Repair positional corruption using task-keyed baseline and approved edit dataset.</x:v>
      </x:c>
    </x:row>
    <x:row r="683" ht="70" customHeight="1">
      <x:c r="A683" s="194" t="str">
        <x:v>T-135</x:v>
      </x:c>
      <x:c r="B683" s="194" t="str">
        <x:v>N</x:v>
      </x:c>
      <x:c r="C683" s="194" t="str">
        <x:v>Must Precede (IDs only)</x:v>
      </x:c>
      <x:c r="D683" s="194"/>
      <x:c r="E683" s="194" t="str">
        <x:v>T-184; T-185; T-186; T-187</x:v>
      </x:c>
      <x:c r="F683" s="194" t="str">
        <x:v>Repair positional corruption using task-keyed baseline and approved edit dataset.</x:v>
      </x:c>
    </x:row>
    <x:row r="684" ht="70" customHeight="1">
      <x:c r="A684" s="194" t="str">
        <x:v>T-135</x:v>
      </x:c>
      <x:c r="B684" s="194" t="str">
        <x:v>AO</x:v>
      </x:c>
      <x:c r="C684" s="194" t="str">
        <x:v>Evidence State</x:v>
      </x:c>
      <x:c r="D684" s="194"/>
      <x:c r="E684" s="194" t="str">
        <x:v>Not started — no completion claimed</x:v>
      </x:c>
      <x:c r="F684" s="194" t="str">
        <x:v>Add explicit evidence / estimation provenance in repair revision.</x:v>
      </x:c>
    </x:row>
    <x:row r="685" ht="70" customHeight="1">
      <x:c r="A685" s="194" t="str">
        <x:v>T-135</x:v>
      </x:c>
      <x:c r="B685" s="194" t="str">
        <x:v>AP</x:v>
      </x:c>
      <x:c r="C685" s="194" t="str">
        <x:v>Closure Evidence Basis</x:v>
      </x:c>
      <x:c r="D685" s="194"/>
      <x:c r="E685" s="194" t="str">
        <x:v>Inherited v2.22.0 intended record; no new runtime certification in this repair.</x:v>
      </x:c>
      <x:c r="F685" s="194" t="str">
        <x:v>Add explicit evidence / estimation provenance in repair revision.</x:v>
      </x:c>
    </x:row>
    <x:row r="686" ht="70" customHeight="1">
      <x:c r="A686" s="194" t="str">
        <x:v>T-135</x:v>
      </x:c>
      <x:c r="B686" s="194" t="str">
        <x:v>AR</x:v>
      </x:c>
      <x:c r="C686" s="194" t="str">
        <x:v>Estimate Status</x:v>
      </x:c>
      <x:c r="D686" s="194"/>
      <x:c r="E686" s="194" t="str">
        <x:v>INHERITED ESTIMATE</x:v>
      </x:c>
      <x:c r="F686" s="194" t="str">
        <x:v>Add explicit evidence / estimation provenance in repair revision.</x:v>
      </x:c>
    </x:row>
    <x:row r="687" ht="70" customHeight="1">
      <x:c r="A687" s="194" t="str">
        <x:v>T-136</x:v>
      </x:c>
      <x:c r="B687" s="194" t="str">
        <x:v>M</x:v>
      </x:c>
      <x:c r="C687" s="194" t="str">
        <x:v>Depends On (IDs only)</x:v>
      </x:c>
      <x:c r="D687" s="194" t="str">
        <x:v>T-090; T-128; T-129; T-177</x:v>
      </x:c>
      <x:c r="E687" s="194" t="str">
        <x:v>T-131; T-132; T-133; T-109</x:v>
      </x:c>
      <x:c r="F687" s="194" t="str">
        <x:v>Repair positional corruption using task-keyed baseline and approved edit dataset.</x:v>
      </x:c>
    </x:row>
    <x:row r="688" ht="70" customHeight="1">
      <x:c r="A688" s="194" t="str">
        <x:v>T-136</x:v>
      </x:c>
      <x:c r="B688" s="194" t="str">
        <x:v>N</x:v>
      </x:c>
      <x:c r="C688" s="194" t="str">
        <x:v>Must Precede (IDs only)</x:v>
      </x:c>
      <x:c r="D688" s="194" t="str">
        <x:v>T-146</x:v>
      </x:c>
      <x:c r="E688" s="194"/>
      <x:c r="F688" s="194" t="str">
        <x:v>Repair positional corruption using task-keyed baseline and approved edit dataset.</x:v>
      </x:c>
    </x:row>
    <x:row r="689" ht="70" customHeight="1">
      <x:c r="A689" s="194" t="str">
        <x:v>T-136</x:v>
      </x:c>
      <x:c r="B689" s="194" t="str">
        <x:v>AO</x:v>
      </x:c>
      <x:c r="C689" s="194" t="str">
        <x:v>Evidence State</x:v>
      </x:c>
      <x:c r="D689" s="194"/>
      <x:c r="E689" s="194" t="str">
        <x:v>Not started — no completion claimed</x:v>
      </x:c>
      <x:c r="F689" s="194" t="str">
        <x:v>Add explicit evidence / estimation provenance in repair revision.</x:v>
      </x:c>
    </x:row>
    <x:row r="690" ht="70" customHeight="1">
      <x:c r="A690" s="194" t="str">
        <x:v>T-136</x:v>
      </x:c>
      <x:c r="B690" s="194" t="str">
        <x:v>AP</x:v>
      </x:c>
      <x:c r="C690" s="194" t="str">
        <x:v>Closure Evidence Basis</x:v>
      </x:c>
      <x:c r="D690" s="194"/>
      <x:c r="E690" s="194" t="str">
        <x:v>Inherited v2.22.0 intended record; no new runtime certification in this repair.</x:v>
      </x:c>
      <x:c r="F690" s="194" t="str">
        <x:v>Add explicit evidence / estimation provenance in repair revision.</x:v>
      </x:c>
    </x:row>
    <x:row r="691" ht="70" customHeight="1">
      <x:c r="A691" s="194" t="str">
        <x:v>T-136</x:v>
      </x:c>
      <x:c r="B691" s="194" t="str">
        <x:v>AR</x:v>
      </x:c>
      <x:c r="C691" s="194" t="str">
        <x:v>Estimate Status</x:v>
      </x:c>
      <x:c r="D691" s="194"/>
      <x:c r="E691" s="194" t="str">
        <x:v>INHERITED ESTIMATE</x:v>
      </x:c>
      <x:c r="F691" s="194" t="str">
        <x:v>Add explicit evidence / estimation provenance in repair revision.</x:v>
      </x:c>
    </x:row>
    <x:row r="692" ht="70" customHeight="1">
      <x:c r="A692" s="194" t="str">
        <x:v>T-138</x:v>
      </x:c>
      <x:c r="B692" s="194" t="str">
        <x:v>M</x:v>
      </x:c>
      <x:c r="C692" s="194" t="str">
        <x:v>Depends On (IDs only)</x:v>
      </x:c>
      <x:c r="D692" s="194"/>
      <x:c r="E692" s="194" t="str">
        <x:v>T-179; T-180; T-181; T-137; T-134; T-188</x:v>
      </x:c>
      <x:c r="F692" s="194" t="str">
        <x:v>Repair positional corruption using task-keyed baseline and approved edit dataset.</x:v>
      </x:c>
    </x:row>
    <x:row r="693" ht="70" customHeight="1">
      <x:c r="A693" s="194" t="str">
        <x:v>T-138</x:v>
      </x:c>
      <x:c r="B693" s="194" t="str">
        <x:v>AO</x:v>
      </x:c>
      <x:c r="C693" s="194" t="str">
        <x:v>Evidence State</x:v>
      </x:c>
      <x:c r="D693" s="194"/>
      <x:c r="E693" s="194" t="str">
        <x:v>Not started — no completion claimed</x:v>
      </x:c>
      <x:c r="F693" s="194" t="str">
        <x:v>Add explicit evidence / estimation provenance in repair revision.</x:v>
      </x:c>
    </x:row>
    <x:row r="694" ht="70" customHeight="1">
      <x:c r="A694" s="194" t="str">
        <x:v>T-138</x:v>
      </x:c>
      <x:c r="B694" s="194" t="str">
        <x:v>AP</x:v>
      </x:c>
      <x:c r="C694" s="194" t="str">
        <x:v>Closure Evidence Basis</x:v>
      </x:c>
      <x:c r="D694" s="194"/>
      <x:c r="E694" s="194" t="str">
        <x:v>Inherited v2.22.0 intended record; no new runtime certification in this repair.</x:v>
      </x:c>
      <x:c r="F694" s="194" t="str">
        <x:v>Add explicit evidence / estimation provenance in repair revision.</x:v>
      </x:c>
    </x:row>
    <x:row r="695" ht="70" customHeight="1">
      <x:c r="A695" s="194" t="str">
        <x:v>T-138</x:v>
      </x:c>
      <x:c r="B695" s="194" t="str">
        <x:v>AR</x:v>
      </x:c>
      <x:c r="C695" s="194" t="str">
        <x:v>Estimate Status</x:v>
      </x:c>
      <x:c r="D695" s="194"/>
      <x:c r="E695" s="194" t="str">
        <x:v>INHERITED ESTIMATE</x:v>
      </x:c>
      <x:c r="F695" s="194" t="str">
        <x:v>Add explicit evidence / estimation provenance in repair revision.</x:v>
      </x:c>
    </x:row>
    <x:row r="696" ht="70" customHeight="1">
      <x:c r="A696" s="194" t="str">
        <x:v>T-139</x:v>
      </x:c>
      <x:c r="B696" s="194" t="str">
        <x:v>M</x:v>
      </x:c>
      <x:c r="C696" s="194" t="str">
        <x:v>Depends On (IDs only)</x:v>
      </x:c>
      <x:c r="D696" s="194"/>
      <x:c r="E696" s="194" t="str">
        <x:v>T-130; T-187; T-231</x:v>
      </x:c>
      <x:c r="F696" s="194" t="str">
        <x:v>Repair positional corruption using task-keyed baseline and approved edit dataset.</x:v>
      </x:c>
    </x:row>
    <x:row r="697" ht="70" customHeight="1">
      <x:c r="A697" s="194" t="str">
        <x:v>T-139</x:v>
      </x:c>
      <x:c r="B697" s="194" t="str">
        <x:v>N</x:v>
      </x:c>
      <x:c r="C697" s="194" t="str">
        <x:v>Must Precede (IDs only)</x:v>
      </x:c>
      <x:c r="D697" s="194"/>
      <x:c r="E697" s="194" t="str">
        <x:v>T-134; T-140; T-141; T-142; T-189; T-193</x:v>
      </x:c>
      <x:c r="F697" s="194" t="str">
        <x:v>Repair positional corruption using task-keyed baseline and approved edit dataset.</x:v>
      </x:c>
    </x:row>
    <x:row r="698" ht="70" customHeight="1">
      <x:c r="A698" s="194" t="str">
        <x:v>T-139</x:v>
      </x:c>
      <x:c r="B698" s="194" t="str">
        <x:v>AO</x:v>
      </x:c>
      <x:c r="C698" s="194" t="str">
        <x:v>Evidence State</x:v>
      </x:c>
      <x:c r="D698" s="194"/>
      <x:c r="E698" s="194" t="str">
        <x:v>Not started — no completion claimed</x:v>
      </x:c>
      <x:c r="F698" s="194" t="str">
        <x:v>Add explicit evidence / estimation provenance in repair revision.</x:v>
      </x:c>
    </x:row>
    <x:row r="699" ht="70" customHeight="1">
      <x:c r="A699" s="194" t="str">
        <x:v>T-139</x:v>
      </x:c>
      <x:c r="B699" s="194" t="str">
        <x:v>AP</x:v>
      </x:c>
      <x:c r="C699" s="194" t="str">
        <x:v>Closure Evidence Basis</x:v>
      </x:c>
      <x:c r="D699" s="194"/>
      <x:c r="E699" s="194" t="str">
        <x:v>Inherited v2.22.0 intended record; no new runtime certification in this repair.</x:v>
      </x:c>
      <x:c r="F699" s="194" t="str">
        <x:v>Add explicit evidence / estimation provenance in repair revision.</x:v>
      </x:c>
    </x:row>
    <x:row r="700" ht="70" customHeight="1">
      <x:c r="A700" s="194" t="str">
        <x:v>T-139</x:v>
      </x:c>
      <x:c r="B700" s="194" t="str">
        <x:v>AR</x:v>
      </x:c>
      <x:c r="C700" s="194" t="str">
        <x:v>Estimate Status</x:v>
      </x:c>
      <x:c r="D700" s="194"/>
      <x:c r="E700" s="194" t="str">
        <x:v>INHERITED ESTIMATE</x:v>
      </x:c>
      <x:c r="F700" s="194" t="str">
        <x:v>Add explicit evidence / estimation provenance in repair revision.</x:v>
      </x:c>
    </x:row>
    <x:row r="701" ht="70" customHeight="1">
      <x:c r="A701" s="194" t="str">
        <x:v>T-140</x:v>
      </x:c>
      <x:c r="B701" s="194" t="str">
        <x:v>M</x:v>
      </x:c>
      <x:c r="C701" s="194" t="str">
        <x:v>Depends On (IDs only)</x:v>
      </x:c>
      <x:c r="D701" s="194" t="str">
        <x:v>T-237; T-235</x:v>
      </x:c>
      <x:c r="E701" s="194" t="str">
        <x:v>T-139; T-173; T-176</x:v>
      </x:c>
      <x:c r="F701" s="194" t="str">
        <x:v>Repair positional corruption using task-keyed baseline and approved edit dataset.</x:v>
      </x:c>
    </x:row>
    <x:row r="702" ht="70" customHeight="1">
      <x:c r="A702" s="194" t="str">
        <x:v>T-140</x:v>
      </x:c>
      <x:c r="B702" s="194" t="str">
        <x:v>N</x:v>
      </x:c>
      <x:c r="C702" s="194" t="str">
        <x:v>Must Precede (IDs only)</x:v>
      </x:c>
      <x:c r="D702" s="194" t="str">
        <x:v>T-249</x:v>
      </x:c>
      <x:c r="E702" s="194" t="str">
        <x:v>T-142; T-189</x:v>
      </x:c>
      <x:c r="F702" s="194" t="str">
        <x:v>Repair positional corruption using task-keyed baseline and approved edit dataset.</x:v>
      </x:c>
    </x:row>
    <x:row r="703" ht="70" customHeight="1">
      <x:c r="A703" s="194" t="str">
        <x:v>T-140</x:v>
      </x:c>
      <x:c r="B703" s="194" t="str">
        <x:v>AO</x:v>
      </x:c>
      <x:c r="C703" s="194" t="str">
        <x:v>Evidence State</x:v>
      </x:c>
      <x:c r="D703" s="194"/>
      <x:c r="E703" s="194" t="str">
        <x:v>Not started — no completion claimed</x:v>
      </x:c>
      <x:c r="F703" s="194" t="str">
        <x:v>Add explicit evidence / estimation provenance in repair revision.</x:v>
      </x:c>
    </x:row>
    <x:row r="704" ht="70" customHeight="1">
      <x:c r="A704" s="194" t="str">
        <x:v>T-140</x:v>
      </x:c>
      <x:c r="B704" s="194" t="str">
        <x:v>AP</x:v>
      </x:c>
      <x:c r="C704" s="194" t="str">
        <x:v>Closure Evidence Basis</x:v>
      </x:c>
      <x:c r="D704" s="194"/>
      <x:c r="E704" s="194" t="str">
        <x:v>Inherited v2.22.0 intended record; no new runtime certification in this repair.</x:v>
      </x:c>
      <x:c r="F704" s="194" t="str">
        <x:v>Add explicit evidence / estimation provenance in repair revision.</x:v>
      </x:c>
    </x:row>
    <x:row r="705" ht="70" customHeight="1">
      <x:c r="A705" s="194" t="str">
        <x:v>T-140</x:v>
      </x:c>
      <x:c r="B705" s="194" t="str">
        <x:v>AR</x:v>
      </x:c>
      <x:c r="C705" s="194" t="str">
        <x:v>Estimate Status</x:v>
      </x:c>
      <x:c r="D705" s="194"/>
      <x:c r="E705" s="194" t="str">
        <x:v>INHERITED ESTIMATE</x:v>
      </x:c>
      <x:c r="F705" s="194" t="str">
        <x:v>Add explicit evidence / estimation provenance in repair revision.</x:v>
      </x:c>
    </x:row>
    <x:row r="706" ht="70" customHeight="1">
      <x:c r="A706" s="194" t="str">
        <x:v>T-141</x:v>
      </x:c>
      <x:c r="B706" s="194" t="str">
        <x:v>M</x:v>
      </x:c>
      <x:c r="C706" s="194" t="str">
        <x:v>Depends On (IDs only)</x:v>
      </x:c>
      <x:c r="D706" s="194"/>
      <x:c r="E706" s="194" t="str">
        <x:v>T-107; T-122; T-139; T-187</x:v>
      </x:c>
      <x:c r="F706" s="194" t="str">
        <x:v>Repair positional corruption using task-keyed baseline and approved edit dataset.</x:v>
      </x:c>
    </x:row>
    <x:row r="707" ht="70" customHeight="1">
      <x:c r="A707" s="194" t="str">
        <x:v>T-141</x:v>
      </x:c>
      <x:c r="B707" s="194" t="str">
        <x:v>N</x:v>
      </x:c>
      <x:c r="C707" s="194" t="str">
        <x:v>Must Precede (IDs only)</x:v>
      </x:c>
      <x:c r="D707" s="194"/>
      <x:c r="E707" s="194" t="str">
        <x:v>T-189</x:v>
      </x:c>
      <x:c r="F707" s="194" t="str">
        <x:v>Repair positional corruption using task-keyed baseline and approved edit dataset.</x:v>
      </x:c>
    </x:row>
    <x:row r="708" ht="70" customHeight="1">
      <x:c r="A708" s="194" t="str">
        <x:v>T-141</x:v>
      </x:c>
      <x:c r="B708" s="194" t="str">
        <x:v>AO</x:v>
      </x:c>
      <x:c r="C708" s="194" t="str">
        <x:v>Evidence State</x:v>
      </x:c>
      <x:c r="D708" s="194"/>
      <x:c r="E708" s="194" t="str">
        <x:v>Not started — no completion claimed</x:v>
      </x:c>
      <x:c r="F708" s="194" t="str">
        <x:v>Add explicit evidence / estimation provenance in repair revision.</x:v>
      </x:c>
    </x:row>
    <x:row r="709" ht="70" customHeight="1">
      <x:c r="A709" s="194" t="str">
        <x:v>T-141</x:v>
      </x:c>
      <x:c r="B709" s="194" t="str">
        <x:v>AP</x:v>
      </x:c>
      <x:c r="C709" s="194" t="str">
        <x:v>Closure Evidence Basis</x:v>
      </x:c>
      <x:c r="D709" s="194"/>
      <x:c r="E709" s="194" t="str">
        <x:v>Inherited v2.22.0 intended record; no new runtime certification in this repair.</x:v>
      </x:c>
      <x:c r="F709" s="194" t="str">
        <x:v>Add explicit evidence / estimation provenance in repair revision.</x:v>
      </x:c>
    </x:row>
    <x:row r="710" ht="70" customHeight="1">
      <x:c r="A710" s="194" t="str">
        <x:v>T-141</x:v>
      </x:c>
      <x:c r="B710" s="194" t="str">
        <x:v>AR</x:v>
      </x:c>
      <x:c r="C710" s="194" t="str">
        <x:v>Estimate Status</x:v>
      </x:c>
      <x:c r="D710" s="194"/>
      <x:c r="E710" s="194" t="str">
        <x:v>INHERITED ESTIMATE</x:v>
      </x:c>
      <x:c r="F710" s="194" t="str">
        <x:v>Add explicit evidence / estimation provenance in repair revision.</x:v>
      </x:c>
    </x:row>
    <x:row r="711" ht="70" customHeight="1">
      <x:c r="A711" s="194" t="str">
        <x:v>T-142</x:v>
      </x:c>
      <x:c r="B711" s="194" t="str">
        <x:v>M</x:v>
      </x:c>
      <x:c r="C711" s="194" t="str">
        <x:v>Depends On (IDs only)</x:v>
      </x:c>
      <x:c r="D711" s="194" t="str">
        <x:v>T-089; T-090; T-091; T-092; T-093; T-094; T-095; T-096; T-097; T-098; T-099; T-100; T-101; T-102; T-103; T-104; T-112; T-114</x:v>
      </x:c>
      <x:c r="E711" s="194" t="str">
        <x:v>T-131; T-132; T-139; T-140</x:v>
      </x:c>
      <x:c r="F711" s="194" t="str">
        <x:v>Repair positional corruption using task-keyed baseline and approved edit dataset.</x:v>
      </x:c>
    </x:row>
    <x:row r="712" ht="70" customHeight="1">
      <x:c r="A712" s="194" t="str">
        <x:v>T-142</x:v>
      </x:c>
      <x:c r="B712" s="194" t="str">
        <x:v>N</x:v>
      </x:c>
      <x:c r="C712" s="194" t="str">
        <x:v>Must Precede (IDs only)</x:v>
      </x:c>
      <x:c r="D712" s="194" t="str">
        <x:v>T-129; T-130; T-133; T-135; T-184; T-185; T-186; T-187; T-192</x:v>
      </x:c>
      <x:c r="E712" s="194" t="str">
        <x:v>T-143; T-189; T-190</x:v>
      </x:c>
      <x:c r="F712" s="194" t="str">
        <x:v>Repair positional corruption using task-keyed baseline and approved edit dataset.</x:v>
      </x:c>
    </x:row>
    <x:row r="713" ht="70" customHeight="1">
      <x:c r="A713" s="194" t="str">
        <x:v>T-142</x:v>
      </x:c>
      <x:c r="B713" s="194" t="str">
        <x:v>AO</x:v>
      </x:c>
      <x:c r="C713" s="194" t="str">
        <x:v>Evidence State</x:v>
      </x:c>
      <x:c r="D713" s="194"/>
      <x:c r="E713" s="194" t="str">
        <x:v>Not started — no completion claimed</x:v>
      </x:c>
      <x:c r="F713" s="194" t="str">
        <x:v>Add explicit evidence / estimation provenance in repair revision.</x:v>
      </x:c>
    </x:row>
    <x:row r="714" ht="70" customHeight="1">
      <x:c r="A714" s="194" t="str">
        <x:v>T-142</x:v>
      </x:c>
      <x:c r="B714" s="194" t="str">
        <x:v>AP</x:v>
      </x:c>
      <x:c r="C714" s="194" t="str">
        <x:v>Closure Evidence Basis</x:v>
      </x:c>
      <x:c r="D714" s="194"/>
      <x:c r="E714" s="194" t="str">
        <x:v>Inherited v2.22.0 intended record; no new runtime certification in this repair.</x:v>
      </x:c>
      <x:c r="F714" s="194" t="str">
        <x:v>Add explicit evidence / estimation provenance in repair revision.</x:v>
      </x:c>
    </x:row>
    <x:row r="715" ht="70" customHeight="1">
      <x:c r="A715" s="194" t="str">
        <x:v>T-142</x:v>
      </x:c>
      <x:c r="B715" s="194" t="str">
        <x:v>AR</x:v>
      </x:c>
      <x:c r="C715" s="194" t="str">
        <x:v>Estimate Status</x:v>
      </x:c>
      <x:c r="D715" s="194"/>
      <x:c r="E715" s="194" t="str">
        <x:v>INHERITED ESTIMATE</x:v>
      </x:c>
      <x:c r="F715" s="194" t="str">
        <x:v>Add explicit evidence / estimation provenance in repair revision.</x:v>
      </x:c>
    </x:row>
    <x:row r="716" ht="70" customHeight="1">
      <x:c r="A716" s="194" t="str">
        <x:v>T-143</x:v>
      </x:c>
      <x:c r="B716" s="194" t="str">
        <x:v>M</x:v>
      </x:c>
      <x:c r="C716" s="194" t="str">
        <x:v>Depends On (IDs only)</x:v>
      </x:c>
      <x:c r="D716" s="194" t="str">
        <x:v>T-128; T-169; T-183; T-112; T-114; T-135</x:v>
      </x:c>
      <x:c r="E716" s="194" t="str">
        <x:v>T-178; T-142</x:v>
      </x:c>
      <x:c r="F716" s="194" t="str">
        <x:v>Repair positional corruption using task-keyed baseline and approved edit dataset.</x:v>
      </x:c>
    </x:row>
    <x:row r="717" ht="70" customHeight="1">
      <x:c r="A717" s="194" t="str">
        <x:v>T-143</x:v>
      </x:c>
      <x:c r="B717" s="194" t="str">
        <x:v>N</x:v>
      </x:c>
      <x:c r="C717" s="194" t="str">
        <x:v>Must Precede (IDs only)</x:v>
      </x:c>
      <x:c r="D717" s="194" t="str">
        <x:v>T-187; T-192</x:v>
      </x:c>
      <x:c r="E717" s="194" t="str">
        <x:v>T-144; T-189; T-190</x:v>
      </x:c>
      <x:c r="F717" s="194" t="str">
        <x:v>Repair positional corruption using task-keyed baseline and approved edit dataset.</x:v>
      </x:c>
    </x:row>
    <x:row r="718" ht="70" customHeight="1">
      <x:c r="A718" s="194" t="str">
        <x:v>T-143</x:v>
      </x:c>
      <x:c r="B718" s="194" t="str">
        <x:v>AO</x:v>
      </x:c>
      <x:c r="C718" s="194" t="str">
        <x:v>Evidence State</x:v>
      </x:c>
      <x:c r="D718" s="194"/>
      <x:c r="E718" s="194" t="str">
        <x:v>Not started — no completion claimed</x:v>
      </x:c>
      <x:c r="F718" s="194" t="str">
        <x:v>Add explicit evidence / estimation provenance in repair revision.</x:v>
      </x:c>
    </x:row>
    <x:row r="719" ht="70" customHeight="1">
      <x:c r="A719" s="194" t="str">
        <x:v>T-143</x:v>
      </x:c>
      <x:c r="B719" s="194" t="str">
        <x:v>AP</x:v>
      </x:c>
      <x:c r="C719" s="194" t="str">
        <x:v>Closure Evidence Basis</x:v>
      </x:c>
      <x:c r="D719" s="194"/>
      <x:c r="E719" s="194" t="str">
        <x:v>Inherited v2.22.0 intended record; no new runtime certification in this repair.</x:v>
      </x:c>
      <x:c r="F719" s="194" t="str">
        <x:v>Add explicit evidence / estimation provenance in repair revision.</x:v>
      </x:c>
    </x:row>
    <x:row r="720" ht="70" customHeight="1">
      <x:c r="A720" s="194" t="str">
        <x:v>T-143</x:v>
      </x:c>
      <x:c r="B720" s="194" t="str">
        <x:v>AR</x:v>
      </x:c>
      <x:c r="C720" s="194" t="str">
        <x:v>Estimate Status</x:v>
      </x:c>
      <x:c r="D720" s="194"/>
      <x:c r="E720" s="194" t="str">
        <x:v>INHERITED ESTIMATE</x:v>
      </x:c>
      <x:c r="F720" s="194" t="str">
        <x:v>Add explicit evidence / estimation provenance in repair revision.</x:v>
      </x:c>
    </x:row>
    <x:row r="721" ht="70" customHeight="1">
      <x:c r="A721" s="194" t="str">
        <x:v>T-144</x:v>
      </x:c>
      <x:c r="B721" s="194" t="str">
        <x:v>M</x:v>
      </x:c>
      <x:c r="C721" s="194" t="str">
        <x:v>Depends On (IDs only)</x:v>
      </x:c>
      <x:c r="D721" s="194" t="str">
        <x:v>T-170; T-183; T-122; T-112; T-114; T-135</x:v>
      </x:c>
      <x:c r="E721" s="194" t="str">
        <x:v>T-143</x:v>
      </x:c>
      <x:c r="F721" s="194" t="str">
        <x:v>Repair positional corruption using task-keyed baseline and approved edit dataset.</x:v>
      </x:c>
    </x:row>
    <x:row r="722" ht="70" customHeight="1">
      <x:c r="A722" s="194" t="str">
        <x:v>T-144</x:v>
      </x:c>
      <x:c r="B722" s="194" t="str">
        <x:v>N</x:v>
      </x:c>
      <x:c r="C722" s="194" t="str">
        <x:v>Must Precede (IDs only)</x:v>
      </x:c>
      <x:c r="D722" s="194" t="str">
        <x:v>T-187; T-192</x:v>
      </x:c>
      <x:c r="E722" s="194" t="str">
        <x:v>T-145; T-190</x:v>
      </x:c>
      <x:c r="F722" s="194" t="str">
        <x:v>Repair positional corruption using task-keyed baseline and approved edit dataset.</x:v>
      </x:c>
    </x:row>
    <x:row r="723" ht="70" customHeight="1">
      <x:c r="A723" s="194" t="str">
        <x:v>T-144</x:v>
      </x:c>
      <x:c r="B723" s="194" t="str">
        <x:v>AO</x:v>
      </x:c>
      <x:c r="C723" s="194" t="str">
        <x:v>Evidence State</x:v>
      </x:c>
      <x:c r="D723" s="194"/>
      <x:c r="E723" s="194" t="str">
        <x:v>Not started — no completion claimed</x:v>
      </x:c>
      <x:c r="F723" s="194" t="str">
        <x:v>Add explicit evidence / estimation provenance in repair revision.</x:v>
      </x:c>
    </x:row>
    <x:row r="724" ht="70" customHeight="1">
      <x:c r="A724" s="194" t="str">
        <x:v>T-144</x:v>
      </x:c>
      <x:c r="B724" s="194" t="str">
        <x:v>AP</x:v>
      </x:c>
      <x:c r="C724" s="194" t="str">
        <x:v>Closure Evidence Basis</x:v>
      </x:c>
      <x:c r="D724" s="194"/>
      <x:c r="E724" s="194" t="str">
        <x:v>Inherited v2.22.0 intended record; no new runtime certification in this repair.</x:v>
      </x:c>
      <x:c r="F724" s="194" t="str">
        <x:v>Add explicit evidence / estimation provenance in repair revision.</x:v>
      </x:c>
    </x:row>
    <x:row r="725" ht="70" customHeight="1">
      <x:c r="A725" s="194" t="str">
        <x:v>T-144</x:v>
      </x:c>
      <x:c r="B725" s="194" t="str">
        <x:v>AR</x:v>
      </x:c>
      <x:c r="C725" s="194" t="str">
        <x:v>Estimate Status</x:v>
      </x:c>
      <x:c r="D725" s="194"/>
      <x:c r="E725" s="194" t="str">
        <x:v>INHERITED ESTIMATE</x:v>
      </x:c>
      <x:c r="F725" s="194" t="str">
        <x:v>Add explicit evidence / estimation provenance in repair revision.</x:v>
      </x:c>
    </x:row>
    <x:row r="726" ht="70" customHeight="1">
      <x:c r="A726" s="194" t="str">
        <x:v>T-145</x:v>
      </x:c>
      <x:c r="B726" s="194" t="str">
        <x:v>M</x:v>
      </x:c>
      <x:c r="C726" s="194" t="str">
        <x:v>Depends On (IDs only)</x:v>
      </x:c>
      <x:c r="D726" s="194" t="str">
        <x:v>T-171; T-183; T-128; T-129; T-195; T-135</x:v>
      </x:c>
      <x:c r="E726" s="194" t="str">
        <x:v>T-144</x:v>
      </x:c>
      <x:c r="F726" s="194" t="str">
        <x:v>Repair positional corruption using task-keyed baseline and approved edit dataset.</x:v>
      </x:c>
    </x:row>
    <x:row r="727" ht="70" customHeight="1">
      <x:c r="A727" s="194" t="str">
        <x:v>T-145</x:v>
      </x:c>
      <x:c r="B727" s="194" t="str">
        <x:v>N</x:v>
      </x:c>
      <x:c r="C727" s="194" t="str">
        <x:v>Must Precede (IDs only)</x:v>
      </x:c>
      <x:c r="D727" s="194" t="str">
        <x:v>T-134; T-187; T-188; T-192</x:v>
      </x:c>
      <x:c r="E727" s="194" t="str">
        <x:v>T-190; T-193</x:v>
      </x:c>
      <x:c r="F727" s="194" t="str">
        <x:v>Repair positional corruption using task-keyed baseline and approved edit dataset.</x:v>
      </x:c>
    </x:row>
    <x:row r="728" ht="70" customHeight="1">
      <x:c r="A728" s="194" t="str">
        <x:v>T-145</x:v>
      </x:c>
      <x:c r="B728" s="194" t="str">
        <x:v>AO</x:v>
      </x:c>
      <x:c r="C728" s="194" t="str">
        <x:v>Evidence State</x:v>
      </x:c>
      <x:c r="D728" s="194"/>
      <x:c r="E728" s="194" t="str">
        <x:v>Not started — no completion claimed</x:v>
      </x:c>
      <x:c r="F728" s="194" t="str">
        <x:v>Add explicit evidence / estimation provenance in repair revision.</x:v>
      </x:c>
    </x:row>
    <x:row r="729" ht="70" customHeight="1">
      <x:c r="A729" s="194" t="str">
        <x:v>T-145</x:v>
      </x:c>
      <x:c r="B729" s="194" t="str">
        <x:v>AP</x:v>
      </x:c>
      <x:c r="C729" s="194" t="str">
        <x:v>Closure Evidence Basis</x:v>
      </x:c>
      <x:c r="D729" s="194"/>
      <x:c r="E729" s="194" t="str">
        <x:v>Inherited v2.22.0 intended record; no new runtime certification in this repair.</x:v>
      </x:c>
      <x:c r="F729" s="194" t="str">
        <x:v>Add explicit evidence / estimation provenance in repair revision.</x:v>
      </x:c>
    </x:row>
    <x:row r="730" ht="70" customHeight="1">
      <x:c r="A730" s="194" t="str">
        <x:v>T-145</x:v>
      </x:c>
      <x:c r="B730" s="194" t="str">
        <x:v>AR</x:v>
      </x:c>
      <x:c r="C730" s="194" t="str">
        <x:v>Estimate Status</x:v>
      </x:c>
      <x:c r="D730" s="194"/>
      <x:c r="E730" s="194" t="str">
        <x:v>INHERITED ESTIMATE</x:v>
      </x:c>
      <x:c r="F730" s="194" t="str">
        <x:v>Add explicit evidence / estimation provenance in repair revision.</x:v>
      </x:c>
    </x:row>
    <x:row r="731" ht="70" customHeight="1">
      <x:c r="A731" s="194" t="str">
        <x:v>T-146</x:v>
      </x:c>
      <x:c r="B731" s="194" t="str">
        <x:v>M</x:v>
      </x:c>
      <x:c r="C731" s="194" t="str">
        <x:v>Depends On (IDs only)</x:v>
      </x:c>
      <x:c r="D731" s="194" t="str">
        <x:v>T-168; T-169; T-170; T-171; T-172; T-173; T-174; T-175; T-176; T-183; T-184; T-185; T-186; T-107; T-109; T-112; T-114; T-135; T-195</x:v>
      </x:c>
      <x:c r="E731" s="194" t="str">
        <x:v>T-147; T-177; T-128; T-129</x:v>
      </x:c>
      <x:c r="F731" s="194" t="str">
        <x:v>Repair positional corruption using task-keyed baseline and approved edit dataset.</x:v>
      </x:c>
    </x:row>
    <x:row r="732" ht="70" customHeight="1">
      <x:c r="A732" s="194" t="str">
        <x:v>T-146</x:v>
      </x:c>
      <x:c r="B732" s="194" t="str">
        <x:v>N</x:v>
      </x:c>
      <x:c r="C732" s="194" t="str">
        <x:v>Must Precede (IDs only)</x:v>
      </x:c>
      <x:c r="D732" s="194" t="str">
        <x:v>T-139; T-141; T-191; T-192; T-193; T-246</x:v>
      </x:c>
      <x:c r="E732" s="194"/>
      <x:c r="F732" s="194" t="str">
        <x:v>Repair positional corruption using task-keyed baseline and approved edit dataset.</x:v>
      </x:c>
    </x:row>
    <x:row r="733" ht="70" customHeight="1">
      <x:c r="A733" s="194" t="str">
        <x:v>T-146</x:v>
      </x:c>
      <x:c r="B733" s="194" t="str">
        <x:v>AO</x:v>
      </x:c>
      <x:c r="C733" s="194" t="str">
        <x:v>Evidence State</x:v>
      </x:c>
      <x:c r="D733" s="194"/>
      <x:c r="E733" s="194" t="str">
        <x:v>Not started — no completion claimed</x:v>
      </x:c>
      <x:c r="F733" s="194" t="str">
        <x:v>Add explicit evidence / estimation provenance in repair revision.</x:v>
      </x:c>
    </x:row>
    <x:row r="734" ht="70" customHeight="1">
      <x:c r="A734" s="194" t="str">
        <x:v>T-146</x:v>
      </x:c>
      <x:c r="B734" s="194" t="str">
        <x:v>AP</x:v>
      </x:c>
      <x:c r="C734" s="194" t="str">
        <x:v>Closure Evidence Basis</x:v>
      </x:c>
      <x:c r="D734" s="194"/>
      <x:c r="E734" s="194" t="str">
        <x:v>Inherited v2.22.0 intended record; no new runtime certification in this repair.</x:v>
      </x:c>
      <x:c r="F734" s="194" t="str">
        <x:v>Add explicit evidence / estimation provenance in repair revision.</x:v>
      </x:c>
    </x:row>
    <x:row r="735" ht="70" customHeight="1">
      <x:c r="A735" s="194" t="str">
        <x:v>T-146</x:v>
      </x:c>
      <x:c r="B735" s="194" t="str">
        <x:v>AR</x:v>
      </x:c>
      <x:c r="C735" s="194" t="str">
        <x:v>Estimate Status</x:v>
      </x:c>
      <x:c r="D735" s="194"/>
      <x:c r="E735" s="194" t="str">
        <x:v>INHERITED ESTIMATE</x:v>
      </x:c>
      <x:c r="F735" s="194" t="str">
        <x:v>Add explicit evidence / estimation provenance in repair revision.</x:v>
      </x:c>
    </x:row>
    <x:row r="736" ht="70" customHeight="1">
      <x:c r="A736" s="194" t="str">
        <x:v>T-147</x:v>
      </x:c>
      <x:c r="B736" s="194" t="str">
        <x:v>M</x:v>
      </x:c>
      <x:c r="C736" s="194" t="str">
        <x:v>Depends On (IDs only)</x:v>
      </x:c>
      <x:c r="D736" s="194" t="str">
        <x:v>T-129; T-130; T-186; T-195</x:v>
      </x:c>
      <x:c r="E736" s="194" t="str">
        <x:v>T-090; T-128; T-129; T-177</x:v>
      </x:c>
      <x:c r="F736" s="194" t="str">
        <x:v>Repair positional corruption using task-keyed baseline and approved edit dataset.</x:v>
      </x:c>
    </x:row>
    <x:row r="737" ht="70" customHeight="1">
      <x:c r="A737" s="194" t="str">
        <x:v>T-147</x:v>
      </x:c>
      <x:c r="B737" s="194" t="str">
        <x:v>N</x:v>
      </x:c>
      <x:c r="C737" s="194" t="str">
        <x:v>Must Precede (IDs only)</x:v>
      </x:c>
      <x:c r="D737" s="194" t="str">
        <x:v>T-138; T-192</x:v>
      </x:c>
      <x:c r="E737" s="194" t="str">
        <x:v>T-146</x:v>
      </x:c>
      <x:c r="F737" s="194" t="str">
        <x:v>Repair positional corruption using task-keyed baseline and approved edit dataset.</x:v>
      </x:c>
    </x:row>
    <x:row r="738" ht="70" customHeight="1">
      <x:c r="A738" s="194" t="str">
        <x:v>T-147</x:v>
      </x:c>
      <x:c r="B738" s="194" t="str">
        <x:v>AO</x:v>
      </x:c>
      <x:c r="C738" s="194" t="str">
        <x:v>Evidence State</x:v>
      </x:c>
      <x:c r="D738" s="194"/>
      <x:c r="E738" s="194" t="str">
        <x:v>Not started — no completion claimed</x:v>
      </x:c>
      <x:c r="F738" s="194" t="str">
        <x:v>Add explicit evidence / estimation provenance in repair revision.</x:v>
      </x:c>
    </x:row>
    <x:row r="739" ht="70" customHeight="1">
      <x:c r="A739" s="194" t="str">
        <x:v>T-147</x:v>
      </x:c>
      <x:c r="B739" s="194" t="str">
        <x:v>AP</x:v>
      </x:c>
      <x:c r="C739" s="194" t="str">
        <x:v>Closure Evidence Basis</x:v>
      </x:c>
      <x:c r="D739" s="194"/>
      <x:c r="E739" s="194" t="str">
        <x:v>Inherited v2.22.0 intended record; no new runtime certification in this repair.</x:v>
      </x:c>
      <x:c r="F739" s="194" t="str">
        <x:v>Add explicit evidence / estimation provenance in repair revision.</x:v>
      </x:c>
    </x:row>
    <x:row r="740" ht="70" customHeight="1">
      <x:c r="A740" s="194" t="str">
        <x:v>T-147</x:v>
      </x:c>
      <x:c r="B740" s="194" t="str">
        <x:v>AR</x:v>
      </x:c>
      <x:c r="C740" s="194" t="str">
        <x:v>Estimate Status</x:v>
      </x:c>
      <x:c r="D740" s="194"/>
      <x:c r="E740" s="194" t="str">
        <x:v>INHERITED ESTIMATE</x:v>
      </x:c>
      <x:c r="F740" s="194" t="str">
        <x:v>Add explicit evidence / estimation provenance in repair revision.</x:v>
      </x:c>
    </x:row>
    <x:row r="741" ht="70" customHeight="1">
      <x:c r="A741" s="194" t="str">
        <x:v>T-157</x:v>
      </x:c>
      <x:c r="B741" s="194" t="str">
        <x:v>M</x:v>
      </x:c>
      <x:c r="C741" s="194" t="str">
        <x:v>Depends On (IDs only)</x:v>
      </x:c>
      <x:c r="D741" s="194" t="str">
        <x:v>T-139; T-140; T-141; T-142; T-143</x:v>
      </x:c>
      <x:c r="E741" s="194"/>
      <x:c r="F741" s="194" t="str">
        <x:v>Repair positional corruption using task-keyed baseline and approved edit dataset.</x:v>
      </x:c>
    </x:row>
    <x:row r="742" ht="70" customHeight="1">
      <x:c r="A742" s="194" t="str">
        <x:v>T-157</x:v>
      </x:c>
      <x:c r="B742" s="194" t="str">
        <x:v>N</x:v>
      </x:c>
      <x:c r="C742" s="194" t="str">
        <x:v>Must Precede (IDs only)</x:v>
      </x:c>
      <x:c r="D742" s="194" t="str">
        <x:v>T-192</x:v>
      </x:c>
      <x:c r="E742" s="194"/>
      <x:c r="F742" s="194" t="str">
        <x:v>Repair positional corruption using task-keyed baseline and approved edit dataset.</x:v>
      </x:c>
    </x:row>
    <x:row r="743" ht="70" customHeight="1">
      <x:c r="A743" s="194" t="str">
        <x:v>T-157</x:v>
      </x:c>
      <x:c r="B743" s="194" t="str">
        <x:v>AO</x:v>
      </x:c>
      <x:c r="C743" s="194" t="str">
        <x:v>Evidence State</x:v>
      </x:c>
      <x:c r="D743" s="194"/>
      <x:c r="E743" s="194" t="str">
        <x:v>Not started — no completion claimed</x:v>
      </x:c>
      <x:c r="F743" s="194" t="str">
        <x:v>Add explicit evidence / estimation provenance in repair revision.</x:v>
      </x:c>
    </x:row>
    <x:row r="744" ht="70" customHeight="1">
      <x:c r="A744" s="194" t="str">
        <x:v>T-157</x:v>
      </x:c>
      <x:c r="B744" s="194" t="str">
        <x:v>AP</x:v>
      </x:c>
      <x:c r="C744" s="194" t="str">
        <x:v>Closure Evidence Basis</x:v>
      </x:c>
      <x:c r="D744" s="194"/>
      <x:c r="E744" s="194" t="str">
        <x:v>Inherited v2.22.0 intended record; no new runtime certification in this repair.</x:v>
      </x:c>
      <x:c r="F744" s="194" t="str">
        <x:v>Add explicit evidence / estimation provenance in repair revision.</x:v>
      </x:c>
    </x:row>
    <x:row r="745" ht="70" customHeight="1">
      <x:c r="A745" s="194" t="str">
        <x:v>T-157</x:v>
      </x:c>
      <x:c r="B745" s="194" t="str">
        <x:v>AR</x:v>
      </x:c>
      <x:c r="C745" s="194" t="str">
        <x:v>Estimate Status</x:v>
      </x:c>
      <x:c r="D745" s="194"/>
      <x:c r="E745" s="194" t="str">
        <x:v>INHERITED ESTIMATE</x:v>
      </x:c>
      <x:c r="F745" s="194" t="str">
        <x:v>Add explicit evidence / estimation provenance in repair revision.</x:v>
      </x:c>
    </x:row>
    <x:row r="746" ht="70" customHeight="1">
      <x:c r="A746" s="194" t="str">
        <x:v>T-158</x:v>
      </x:c>
      <x:c r="B746" s="194" t="str">
        <x:v>M</x:v>
      </x:c>
      <x:c r="C746" s="194" t="str">
        <x:v>Depends On (IDs only)</x:v>
      </x:c>
      <x:c r="D746" s="194" t="str">
        <x:v>T-142; T-143; T-144; T-145</x:v>
      </x:c>
      <x:c r="E746" s="194"/>
      <x:c r="F746" s="194" t="str">
        <x:v>Repair positional corruption using task-keyed baseline and approved edit dataset.</x:v>
      </x:c>
    </x:row>
    <x:row r="747" ht="70" customHeight="1">
      <x:c r="A747" s="194" t="str">
        <x:v>T-158</x:v>
      </x:c>
      <x:c r="B747" s="194" t="str">
        <x:v>N</x:v>
      </x:c>
      <x:c r="C747" s="194" t="str">
        <x:v>Must Precede (IDs only)</x:v>
      </x:c>
      <x:c r="D747" s="194" t="str">
        <x:v>T-192</x:v>
      </x:c>
      <x:c r="E747" s="194"/>
      <x:c r="F747" s="194" t="str">
        <x:v>Repair positional corruption using task-keyed baseline and approved edit dataset.</x:v>
      </x:c>
    </x:row>
    <x:row r="748" ht="70" customHeight="1">
      <x:c r="A748" s="194" t="str">
        <x:v>T-158</x:v>
      </x:c>
      <x:c r="B748" s="194" t="str">
        <x:v>AO</x:v>
      </x:c>
      <x:c r="C748" s="194" t="str">
        <x:v>Evidence State</x:v>
      </x:c>
      <x:c r="D748" s="194"/>
      <x:c r="E748" s="194" t="str">
        <x:v>Not started — no completion claimed</x:v>
      </x:c>
      <x:c r="F748" s="194" t="str">
        <x:v>Add explicit evidence / estimation provenance in repair revision.</x:v>
      </x:c>
    </x:row>
    <x:row r="749" ht="70" customHeight="1">
      <x:c r="A749" s="194" t="str">
        <x:v>T-158</x:v>
      </x:c>
      <x:c r="B749" s="194" t="str">
        <x:v>AP</x:v>
      </x:c>
      <x:c r="C749" s="194" t="str">
        <x:v>Closure Evidence Basis</x:v>
      </x:c>
      <x:c r="D749" s="194"/>
      <x:c r="E749" s="194" t="str">
        <x:v>Inherited v2.22.0 intended record; no new runtime certification in this repair.</x:v>
      </x:c>
      <x:c r="F749" s="194" t="str">
        <x:v>Add explicit evidence / estimation provenance in repair revision.</x:v>
      </x:c>
    </x:row>
    <x:row r="750" ht="70" customHeight="1">
      <x:c r="A750" s="194" t="str">
        <x:v>T-158</x:v>
      </x:c>
      <x:c r="B750" s="194" t="str">
        <x:v>AR</x:v>
      </x:c>
      <x:c r="C750" s="194" t="str">
        <x:v>Estimate Status</x:v>
      </x:c>
      <x:c r="D750" s="194"/>
      <x:c r="E750" s="194" t="str">
        <x:v>INHERITED ESTIMATE</x:v>
      </x:c>
      <x:c r="F750" s="194" t="str">
        <x:v>Add explicit evidence / estimation provenance in repair revision.</x:v>
      </x:c>
    </x:row>
    <x:row r="751" ht="70" customHeight="1">
      <x:c r="A751" s="194" t="str">
        <x:v>T-164</x:v>
      </x:c>
      <x:c r="B751" s="194" t="str">
        <x:v>M</x:v>
      </x:c>
      <x:c r="C751" s="194" t="str">
        <x:v>Depends On (IDs only)</x:v>
      </x:c>
      <x:c r="D751" s="194" t="str">
        <x:v>T-130; T-176; T-187</x:v>
      </x:c>
      <x:c r="E751" s="194" t="str">
        <x:v>T-237; T-235</x:v>
      </x:c>
      <x:c r="F751" s="194" t="str">
        <x:v>Repair positional corruption using task-keyed baseline and approved edit dataset.</x:v>
      </x:c>
    </x:row>
    <x:row r="752" ht="70" customHeight="1">
      <x:c r="A752" s="194" t="str">
        <x:v>T-164</x:v>
      </x:c>
      <x:c r="B752" s="194" t="str">
        <x:v>N</x:v>
      </x:c>
      <x:c r="C752" s="194" t="str">
        <x:v>Must Precede (IDs only)</x:v>
      </x:c>
      <x:c r="D752" s="194" t="str">
        <x:v>T-192</x:v>
      </x:c>
      <x:c r="E752" s="194" t="str">
        <x:v>T-249</x:v>
      </x:c>
      <x:c r="F752" s="194" t="str">
        <x:v>Repair positional corruption using task-keyed baseline and approved edit dataset.</x:v>
      </x:c>
    </x:row>
    <x:row r="753" ht="70" customHeight="1">
      <x:c r="A753" s="194" t="str">
        <x:v>T-164</x:v>
      </x:c>
      <x:c r="B753" s="194" t="str">
        <x:v>AO</x:v>
      </x:c>
      <x:c r="C753" s="194" t="str">
        <x:v>Evidence State</x:v>
      </x:c>
      <x:c r="D753" s="194"/>
      <x:c r="E753" s="194" t="str">
        <x:v>Not started — no completion claimed</x:v>
      </x:c>
      <x:c r="F753" s="194" t="str">
        <x:v>Add explicit evidence / estimation provenance in repair revision.</x:v>
      </x:c>
    </x:row>
    <x:row r="754" ht="70" customHeight="1">
      <x:c r="A754" s="194" t="str">
        <x:v>T-164</x:v>
      </x:c>
      <x:c r="B754" s="194" t="str">
        <x:v>AP</x:v>
      </x:c>
      <x:c r="C754" s="194" t="str">
        <x:v>Closure Evidence Basis</x:v>
      </x:c>
      <x:c r="D754" s="194"/>
      <x:c r="E754" s="194" t="str">
        <x:v>Inherited v2.22.0 intended record; no new runtime certification in this repair.</x:v>
      </x:c>
      <x:c r="F754" s="194" t="str">
        <x:v>Add explicit evidence / estimation provenance in repair revision.</x:v>
      </x:c>
    </x:row>
    <x:row r="755" ht="70" customHeight="1">
      <x:c r="A755" s="194" t="str">
        <x:v>T-164</x:v>
      </x:c>
      <x:c r="B755" s="194" t="str">
        <x:v>AR</x:v>
      </x:c>
      <x:c r="C755" s="194" t="str">
        <x:v>Estimate Status</x:v>
      </x:c>
      <x:c r="D755" s="194"/>
      <x:c r="E755" s="194" t="str">
        <x:v>INHERITED ESTIMATE</x:v>
      </x:c>
      <x:c r="F755" s="194" t="str">
        <x:v>Add explicit evidence / estimation provenance in repair revision.</x:v>
      </x:c>
    </x:row>
    <x:row r="756" ht="70" customHeight="1">
      <x:c r="A756" s="194" t="str">
        <x:v>T-165</x:v>
      </x:c>
      <x:c r="B756" s="194" t="str">
        <x:v>M</x:v>
      </x:c>
      <x:c r="C756" s="194" t="str">
        <x:v>Depends On (IDs only)</x:v>
      </x:c>
      <x:c r="D756" s="194" t="str">
        <x:v>T-183; T-184; T-185; T-186; T-187; T-188; T-189; T-190; T-191; T-107; T-122</x:v>
      </x:c>
      <x:c r="E756" s="194"/>
      <x:c r="F756" s="194" t="str">
        <x:v>Repair positional corruption using task-keyed baseline and approved edit dataset.</x:v>
      </x:c>
    </x:row>
    <x:row r="757" ht="70" customHeight="1">
      <x:c r="A757" s="194" t="str">
        <x:v>T-165</x:v>
      </x:c>
      <x:c r="B757" s="194" t="str">
        <x:v>AO</x:v>
      </x:c>
      <x:c r="C757" s="194" t="str">
        <x:v>Evidence State</x:v>
      </x:c>
      <x:c r="D757" s="194"/>
      <x:c r="E757" s="194" t="str">
        <x:v>Not started — no completion claimed</x:v>
      </x:c>
      <x:c r="F757" s="194" t="str">
        <x:v>Add explicit evidence / estimation provenance in repair revision.</x:v>
      </x:c>
    </x:row>
    <x:row r="758" ht="70" customHeight="1">
      <x:c r="A758" s="194" t="str">
        <x:v>T-165</x:v>
      </x:c>
      <x:c r="B758" s="194" t="str">
        <x:v>AP</x:v>
      </x:c>
      <x:c r="C758" s="194" t="str">
        <x:v>Closure Evidence Basis</x:v>
      </x:c>
      <x:c r="D758" s="194"/>
      <x:c r="E758" s="194" t="str">
        <x:v>Inherited v2.22.0 intended record; no new runtime certification in this repair.</x:v>
      </x:c>
      <x:c r="F758" s="194" t="str">
        <x:v>Add explicit evidence / estimation provenance in repair revision.</x:v>
      </x:c>
    </x:row>
    <x:row r="759" ht="70" customHeight="1">
      <x:c r="A759" s="194" t="str">
        <x:v>T-165</x:v>
      </x:c>
      <x:c r="B759" s="194" t="str">
        <x:v>AR</x:v>
      </x:c>
      <x:c r="C759" s="194" t="str">
        <x:v>Estimate Status</x:v>
      </x:c>
      <x:c r="D759" s="194"/>
      <x:c r="E759" s="194" t="str">
        <x:v>INHERITED ESTIMATE</x:v>
      </x:c>
      <x:c r="F759" s="194" t="str">
        <x:v>Add explicit evidence / estimation provenance in repair revision.</x:v>
      </x:c>
    </x:row>
    <x:row r="760" ht="70" customHeight="1">
      <x:c r="A760" s="194" t="str">
        <x:v>T-183</x:v>
      </x:c>
      <x:c r="B760" s="194" t="str">
        <x:v>M</x:v>
      </x:c>
      <x:c r="C760" s="194" t="str">
        <x:v>Depends On (IDs only)</x:v>
      </x:c>
      <x:c r="D760" s="194" t="str">
        <x:v>T-130; T-187; T-139; T-145</x:v>
      </x:c>
      <x:c r="E760" s="194" t="str">
        <x:v>T-089; T-090; T-091; T-092; T-093; T-094; T-095; T-096; T-097; T-098; T-099; T-100; T-101; T-102; T-103; T-104; T-112; T-114</x:v>
      </x:c>
      <x:c r="F760" s="194" t="str">
        <x:v>Repair positional corruption using task-keyed baseline and approved edit dataset.</x:v>
      </x:c>
    </x:row>
    <x:row r="761" ht="70" customHeight="1">
      <x:c r="A761" s="194" t="str">
        <x:v>T-183</x:v>
      </x:c>
      <x:c r="B761" s="194" t="str">
        <x:v>N</x:v>
      </x:c>
      <x:c r="C761" s="194" t="str">
        <x:v>Must Precede (IDs only)</x:v>
      </x:c>
      <x:c r="D761" s="194" t="str">
        <x:v>T-249</x:v>
      </x:c>
      <x:c r="E761" s="194" t="str">
        <x:v>T-129; T-130; T-133; T-135; T-184; T-185; T-186; T-187; T-192</x:v>
      </x:c>
      <x:c r="F761" s="194" t="str">
        <x:v>Repair positional corruption using task-keyed baseline and approved edit dataset.</x:v>
      </x:c>
    </x:row>
    <x:row r="762" ht="70" customHeight="1">
      <x:c r="A762" s="194" t="str">
        <x:v>T-183</x:v>
      </x:c>
      <x:c r="B762" s="194" t="str">
        <x:v>AO</x:v>
      </x:c>
      <x:c r="C762" s="194" t="str">
        <x:v>Evidence State</x:v>
      </x:c>
      <x:c r="D762" s="194"/>
      <x:c r="E762" s="194" t="str">
        <x:v>Not started — no completion claimed</x:v>
      </x:c>
      <x:c r="F762" s="194" t="str">
        <x:v>Add explicit evidence / estimation provenance in repair revision.</x:v>
      </x:c>
    </x:row>
    <x:row r="763" ht="70" customHeight="1">
      <x:c r="A763" s="194" t="str">
        <x:v>T-183</x:v>
      </x:c>
      <x:c r="B763" s="194" t="str">
        <x:v>AP</x:v>
      </x:c>
      <x:c r="C763" s="194" t="str">
        <x:v>Closure Evidence Basis</x:v>
      </x:c>
      <x:c r="D763" s="194"/>
      <x:c r="E763" s="194" t="str">
        <x:v>Inherited v2.22.0 intended record; no new runtime certification in this repair.</x:v>
      </x:c>
      <x:c r="F763" s="194" t="str">
        <x:v>Add explicit evidence / estimation provenance in repair revision.</x:v>
      </x:c>
    </x:row>
    <x:row r="764" ht="70" customHeight="1">
      <x:c r="A764" s="194" t="str">
        <x:v>T-183</x:v>
      </x:c>
      <x:c r="B764" s="194" t="str">
        <x:v>AR</x:v>
      </x:c>
      <x:c r="C764" s="194" t="str">
        <x:v>Estimate Status</x:v>
      </x:c>
      <x:c r="D764" s="194"/>
      <x:c r="E764" s="194" t="str">
        <x:v>INHERITED ESTIMATE</x:v>
      </x:c>
      <x:c r="F764" s="194" t="str">
        <x:v>Add explicit evidence / estimation provenance in repair revision.</x:v>
      </x:c>
    </x:row>
    <x:row r="765" ht="70" customHeight="1">
      <x:c r="A765" s="194" t="str">
        <x:v>T-184</x:v>
      </x:c>
      <x:c r="B765" s="194" t="str">
        <x:v>M</x:v>
      </x:c>
      <x:c r="C765" s="194" t="str">
        <x:v>Depends On (IDs only)</x:v>
      </x:c>
      <x:c r="D765" s="194" t="str">
        <x:v>T-090; T-112; T-114</x:v>
      </x:c>
      <x:c r="E765" s="194" t="str">
        <x:v>T-128; T-169; T-183; T-112; T-114; T-135</x:v>
      </x:c>
      <x:c r="F765" s="194" t="str">
        <x:v>Repair positional corruption using task-keyed baseline and approved edit dataset.</x:v>
      </x:c>
    </x:row>
    <x:row r="766" ht="70" customHeight="1">
      <x:c r="A766" s="194" t="str">
        <x:v>T-184</x:v>
      </x:c>
      <x:c r="B766" s="194" t="str">
        <x:v>N</x:v>
      </x:c>
      <x:c r="C766" s="194" t="str">
        <x:v>Must Precede (IDs only)</x:v>
      </x:c>
      <x:c r="D766" s="194" t="str">
        <x:v>T-186; T-187; T-188</x:v>
      </x:c>
      <x:c r="E766" s="194" t="str">
        <x:v>T-187; T-192</x:v>
      </x:c>
      <x:c r="F766" s="194" t="str">
        <x:v>Repair positional corruption using task-keyed baseline and approved edit dataset.</x:v>
      </x:c>
    </x:row>
    <x:row r="767" ht="70" customHeight="1">
      <x:c r="A767" s="194" t="str">
        <x:v>T-184</x:v>
      </x:c>
      <x:c r="B767" s="194" t="str">
        <x:v>AO</x:v>
      </x:c>
      <x:c r="C767" s="194" t="str">
        <x:v>Evidence State</x:v>
      </x:c>
      <x:c r="D767" s="194"/>
      <x:c r="E767" s="194" t="str">
        <x:v>Not started — no completion claimed</x:v>
      </x:c>
      <x:c r="F767" s="194" t="str">
        <x:v>Add explicit evidence / estimation provenance in repair revision.</x:v>
      </x:c>
    </x:row>
    <x:row r="768" ht="70" customHeight="1">
      <x:c r="A768" s="194" t="str">
        <x:v>T-184</x:v>
      </x:c>
      <x:c r="B768" s="194" t="str">
        <x:v>AP</x:v>
      </x:c>
      <x:c r="C768" s="194" t="str">
        <x:v>Closure Evidence Basis</x:v>
      </x:c>
      <x:c r="D768" s="194"/>
      <x:c r="E768" s="194" t="str">
        <x:v>Inherited v2.22.0 intended record; no new runtime certification in this repair.</x:v>
      </x:c>
      <x:c r="F768" s="194" t="str">
        <x:v>Add explicit evidence / estimation provenance in repair revision.</x:v>
      </x:c>
    </x:row>
    <x:row r="769" ht="70" customHeight="1">
      <x:c r="A769" s="194" t="str">
        <x:v>T-184</x:v>
      </x:c>
      <x:c r="B769" s="194" t="str">
        <x:v>AR</x:v>
      </x:c>
      <x:c r="C769" s="194" t="str">
        <x:v>Estimate Status</x:v>
      </x:c>
      <x:c r="D769" s="194"/>
      <x:c r="E769" s="194" t="str">
        <x:v>INHERITED ESTIMATE</x:v>
      </x:c>
      <x:c r="F769" s="194" t="str">
        <x:v>Add explicit evidence / estimation provenance in repair revision.</x:v>
      </x:c>
    </x:row>
    <x:row r="770" ht="70" customHeight="1">
      <x:c r="A770" s="194" t="str">
        <x:v>T-185</x:v>
      </x:c>
      <x:c r="B770" s="194" t="str">
        <x:v>M</x:v>
      </x:c>
      <x:c r="C770" s="194" t="str">
        <x:v>Depends On (IDs only)</x:v>
      </x:c>
      <x:c r="D770" s="194" t="str">
        <x:v>T-208; T-214</x:v>
      </x:c>
      <x:c r="E770" s="194" t="str">
        <x:v>T-170; T-183; T-122; T-112; T-114; T-135</x:v>
      </x:c>
      <x:c r="F770" s="194" t="str">
        <x:v>Repair positional corruption using task-keyed baseline and approved edit dataset.</x:v>
      </x:c>
    </x:row>
    <x:row r="771" ht="70" customHeight="1">
      <x:c r="A771" s="194" t="str">
        <x:v>T-185</x:v>
      </x:c>
      <x:c r="B771" s="194" t="str">
        <x:v>N</x:v>
      </x:c>
      <x:c r="C771" s="194" t="str">
        <x:v>Must Precede (IDs only)</x:v>
      </x:c>
      <x:c r="D771" s="194" t="str">
        <x:v>T-239; T-240</x:v>
      </x:c>
      <x:c r="E771" s="194" t="str">
        <x:v>T-187; T-192</x:v>
      </x:c>
      <x:c r="F771" s="194" t="str">
        <x:v>Repair positional corruption using task-keyed baseline and approved edit dataset.</x:v>
      </x:c>
    </x:row>
    <x:row r="772" ht="70" customHeight="1">
      <x:c r="A772" s="194" t="str">
        <x:v>T-185</x:v>
      </x:c>
      <x:c r="B772" s="194" t="str">
        <x:v>AO</x:v>
      </x:c>
      <x:c r="C772" s="194" t="str">
        <x:v>Evidence State</x:v>
      </x:c>
      <x:c r="D772" s="194"/>
      <x:c r="E772" s="194" t="str">
        <x:v>Not started — no completion claimed</x:v>
      </x:c>
      <x:c r="F772" s="194" t="str">
        <x:v>Add explicit evidence / estimation provenance in repair revision.</x:v>
      </x:c>
    </x:row>
    <x:row r="773" ht="70" customHeight="1">
      <x:c r="A773" s="194" t="str">
        <x:v>T-185</x:v>
      </x:c>
      <x:c r="B773" s="194" t="str">
        <x:v>AP</x:v>
      </x:c>
      <x:c r="C773" s="194" t="str">
        <x:v>Closure Evidence Basis</x:v>
      </x:c>
      <x:c r="D773" s="194"/>
      <x:c r="E773" s="194" t="str">
        <x:v>Inherited v2.22.0 intended record; no new runtime certification in this repair.</x:v>
      </x:c>
      <x:c r="F773" s="194" t="str">
        <x:v>Add explicit evidence / estimation provenance in repair revision.</x:v>
      </x:c>
    </x:row>
    <x:row r="774" ht="70" customHeight="1">
      <x:c r="A774" s="194" t="str">
        <x:v>T-185</x:v>
      </x:c>
      <x:c r="B774" s="194" t="str">
        <x:v>AR</x:v>
      </x:c>
      <x:c r="C774" s="194" t="str">
        <x:v>Estimate Status</x:v>
      </x:c>
      <x:c r="D774" s="194"/>
      <x:c r="E774" s="194" t="str">
        <x:v>INHERITED ESTIMATE</x:v>
      </x:c>
      <x:c r="F774" s="194" t="str">
        <x:v>Add explicit evidence / estimation provenance in repair revision.</x:v>
      </x:c>
    </x:row>
    <x:row r="775" ht="70" customHeight="1">
      <x:c r="A775" s="194" t="str">
        <x:v>T-186</x:v>
      </x:c>
      <x:c r="B775" s="194" t="str">
        <x:v>M</x:v>
      </x:c>
      <x:c r="C775" s="194" t="str">
        <x:v>Depends On (IDs only)</x:v>
      </x:c>
      <x:c r="D775" s="194" t="str">
        <x:v>T-090; T-214; T-238</x:v>
      </x:c>
      <x:c r="E775" s="194" t="str">
        <x:v>T-171; T-183; T-128; T-129; T-195; T-135</x:v>
      </x:c>
      <x:c r="F775" s="194" t="str">
        <x:v>Repair positional corruption using task-keyed baseline and approved edit dataset.</x:v>
      </x:c>
    </x:row>
    <x:row r="776" ht="70" customHeight="1">
      <x:c r="A776" s="194" t="str">
        <x:v>T-186</x:v>
      </x:c>
      <x:c r="B776" s="194" t="str">
        <x:v>N</x:v>
      </x:c>
      <x:c r="C776" s="194" t="str">
        <x:v>Must Precede (IDs only)</x:v>
      </x:c>
      <x:c r="D776" s="194" t="str">
        <x:v>T-240</x:v>
      </x:c>
      <x:c r="E776" s="194" t="str">
        <x:v>T-134; T-187; T-188; T-192</x:v>
      </x:c>
      <x:c r="F776" s="194" t="str">
        <x:v>Repair positional corruption using task-keyed baseline and approved edit dataset.</x:v>
      </x:c>
    </x:row>
    <x:row r="777" ht="70" customHeight="1">
      <x:c r="A777" s="194" t="str">
        <x:v>T-186</x:v>
      </x:c>
      <x:c r="B777" s="194" t="str">
        <x:v>AO</x:v>
      </x:c>
      <x:c r="C777" s="194" t="str">
        <x:v>Evidence State</x:v>
      </x:c>
      <x:c r="D777" s="194"/>
      <x:c r="E777" s="194" t="str">
        <x:v>Not started — no completion claimed</x:v>
      </x:c>
      <x:c r="F777" s="194" t="str">
        <x:v>Add explicit evidence / estimation provenance in repair revision.</x:v>
      </x:c>
    </x:row>
    <x:row r="778" ht="70" customHeight="1">
      <x:c r="A778" s="194" t="str">
        <x:v>T-186</x:v>
      </x:c>
      <x:c r="B778" s="194" t="str">
        <x:v>AP</x:v>
      </x:c>
      <x:c r="C778" s="194" t="str">
        <x:v>Closure Evidence Basis</x:v>
      </x:c>
      <x:c r="D778" s="194"/>
      <x:c r="E778" s="194" t="str">
        <x:v>Inherited v2.22.0 intended record; no new runtime certification in this repair.</x:v>
      </x:c>
      <x:c r="F778" s="194" t="str">
        <x:v>Add explicit evidence / estimation provenance in repair revision.</x:v>
      </x:c>
    </x:row>
    <x:row r="779" ht="70" customHeight="1">
      <x:c r="A779" s="194" t="str">
        <x:v>T-186</x:v>
      </x:c>
      <x:c r="B779" s="194" t="str">
        <x:v>AR</x:v>
      </x:c>
      <x:c r="C779" s="194" t="str">
        <x:v>Estimate Status</x:v>
      </x:c>
      <x:c r="D779" s="194"/>
      <x:c r="E779" s="194" t="str">
        <x:v>INHERITED ESTIMATE</x:v>
      </x:c>
      <x:c r="F779" s="194" t="str">
        <x:v>Add explicit evidence / estimation provenance in repair revision.</x:v>
      </x:c>
    </x:row>
    <x:row r="780" ht="70" customHeight="1">
      <x:c r="A780" s="194" t="str">
        <x:v>T-187</x:v>
      </x:c>
      <x:c r="B780" s="194" t="str">
        <x:v>M</x:v>
      </x:c>
      <x:c r="C780" s="194" t="str">
        <x:v>Depends On (IDs only)</x:v>
      </x:c>
      <x:c r="D780" s="194" t="str">
        <x:v>T-131; T-132; T-133; T-238; T-239</x:v>
      </x:c>
      <x:c r="E780" s="194" t="str">
        <x:v>T-168; T-169; T-170; T-171; T-172; T-173; T-174; T-175; T-176; T-183; T-184; T-185; T-186; T-107; T-109; T-112; T-114; T-135; T-195</x:v>
      </x:c>
      <x:c r="F780" s="194" t="str">
        <x:v>Repair positional corruption using task-keyed baseline and approved edit dataset.</x:v>
      </x:c>
    </x:row>
    <x:row r="781" ht="70" customHeight="1">
      <x:c r="A781" s="194" t="str">
        <x:v>T-187</x:v>
      </x:c>
      <x:c r="B781" s="194" t="str">
        <x:v>N</x:v>
      </x:c>
      <x:c r="C781" s="194" t="str">
        <x:v>Must Precede (IDs only)</x:v>
      </x:c>
      <x:c r="D781" s="194" t="str">
        <x:v>T-249; T-264</x:v>
      </x:c>
      <x:c r="E781" s="194" t="str">
        <x:v>T-139; T-141; T-191; T-192; T-193; T-246</x:v>
      </x:c>
      <x:c r="F781" s="194" t="str">
        <x:v>Repair positional corruption using task-keyed baseline and approved edit dataset.</x:v>
      </x:c>
    </x:row>
    <x:row r="782" ht="70" customHeight="1">
      <x:c r="A782" s="194" t="str">
        <x:v>T-187</x:v>
      </x:c>
      <x:c r="B782" s="194" t="str">
        <x:v>AO</x:v>
      </x:c>
      <x:c r="C782" s="194" t="str">
        <x:v>Evidence State</x:v>
      </x:c>
      <x:c r="D782" s="194"/>
      <x:c r="E782" s="194" t="str">
        <x:v>Not started — no completion claimed</x:v>
      </x:c>
      <x:c r="F782" s="194" t="str">
        <x:v>Add explicit evidence / estimation provenance in repair revision.</x:v>
      </x:c>
    </x:row>
    <x:row r="783" ht="70" customHeight="1">
      <x:c r="A783" s="194" t="str">
        <x:v>T-187</x:v>
      </x:c>
      <x:c r="B783" s="194" t="str">
        <x:v>AP</x:v>
      </x:c>
      <x:c r="C783" s="194" t="str">
        <x:v>Closure Evidence Basis</x:v>
      </x:c>
      <x:c r="D783" s="194"/>
      <x:c r="E783" s="194" t="str">
        <x:v>Inherited v2.22.0 intended record; no new runtime certification in this repair.</x:v>
      </x:c>
      <x:c r="F783" s="194" t="str">
        <x:v>Add explicit evidence / estimation provenance in repair revision.</x:v>
      </x:c>
    </x:row>
    <x:row r="784" ht="70" customHeight="1">
      <x:c r="A784" s="194" t="str">
        <x:v>T-187</x:v>
      </x:c>
      <x:c r="B784" s="194" t="str">
        <x:v>AR</x:v>
      </x:c>
      <x:c r="C784" s="194" t="str">
        <x:v>Estimate Status</x:v>
      </x:c>
      <x:c r="D784" s="194"/>
      <x:c r="E784" s="194" t="str">
        <x:v>INHERITED ESTIMATE</x:v>
      </x:c>
      <x:c r="F784" s="194" t="str">
        <x:v>Add explicit evidence / estimation provenance in repair revision.</x:v>
      </x:c>
    </x:row>
    <x:row r="785" ht="70" customHeight="1">
      <x:c r="A785" s="194" t="str">
        <x:v>T-188</x:v>
      </x:c>
      <x:c r="B785" s="194" t="str">
        <x:v>M</x:v>
      </x:c>
      <x:c r="C785" s="194" t="str">
        <x:v>Depends On (IDs only)</x:v>
      </x:c>
      <x:c r="D785" s="194"/>
      <x:c r="E785" s="194" t="str">
        <x:v>T-129; T-130; T-186; T-195</x:v>
      </x:c>
      <x:c r="F785" s="194" t="str">
        <x:v>Repair positional corruption using task-keyed baseline and approved edit dataset.</x:v>
      </x:c>
    </x:row>
    <x:row r="786" ht="70" customHeight="1">
      <x:c r="A786" s="194" t="str">
        <x:v>T-188</x:v>
      </x:c>
      <x:c r="B786" s="194" t="str">
        <x:v>N</x:v>
      </x:c>
      <x:c r="C786" s="194" t="str">
        <x:v>Must Precede (IDs only)</x:v>
      </x:c>
      <x:c r="D786" s="194" t="str">
        <x:v>T-249</x:v>
      </x:c>
      <x:c r="E786" s="194" t="str">
        <x:v>T-138; T-192</x:v>
      </x:c>
      <x:c r="F786" s="194" t="str">
        <x:v>Repair positional corruption using task-keyed baseline and approved edit dataset.</x:v>
      </x:c>
    </x:row>
    <x:row r="787" ht="70" customHeight="1">
      <x:c r="A787" s="194" t="str">
        <x:v>T-188</x:v>
      </x:c>
      <x:c r="B787" s="194" t="str">
        <x:v>AO</x:v>
      </x:c>
      <x:c r="C787" s="194" t="str">
        <x:v>Evidence State</x:v>
      </x:c>
      <x:c r="D787" s="194"/>
      <x:c r="E787" s="194" t="str">
        <x:v>Not started — no completion claimed</x:v>
      </x:c>
      <x:c r="F787" s="194" t="str">
        <x:v>Add explicit evidence / estimation provenance in repair revision.</x:v>
      </x:c>
    </x:row>
    <x:row r="788" ht="70" customHeight="1">
      <x:c r="A788" s="194" t="str">
        <x:v>T-188</x:v>
      </x:c>
      <x:c r="B788" s="194" t="str">
        <x:v>AP</x:v>
      </x:c>
      <x:c r="C788" s="194" t="str">
        <x:v>Closure Evidence Basis</x:v>
      </x:c>
      <x:c r="D788" s="194"/>
      <x:c r="E788" s="194" t="str">
        <x:v>Inherited v2.22.0 intended record; no new runtime certification in this repair.</x:v>
      </x:c>
      <x:c r="F788" s="194" t="str">
        <x:v>Add explicit evidence / estimation provenance in repair revision.</x:v>
      </x:c>
    </x:row>
    <x:row r="789" ht="70" customHeight="1">
      <x:c r="A789" s="194" t="str">
        <x:v>T-188</x:v>
      </x:c>
      <x:c r="B789" s="194" t="str">
        <x:v>AR</x:v>
      </x:c>
      <x:c r="C789" s="194" t="str">
        <x:v>Estimate Status</x:v>
      </x:c>
      <x:c r="D789" s="194"/>
      <x:c r="E789" s="194" t="str">
        <x:v>INHERITED ESTIMATE</x:v>
      </x:c>
      <x:c r="F789" s="194" t="str">
        <x:v>Add explicit evidence / estimation provenance in repair revision.</x:v>
      </x:c>
    </x:row>
    <x:row r="790" ht="70" customHeight="1">
      <x:c r="A790" s="194" t="str">
        <x:v>T-189</x:v>
      </x:c>
      <x:c r="B790" s="194" t="str">
        <x:v>M</x:v>
      </x:c>
      <x:c r="C790" s="194" t="str">
        <x:v>Depends On (IDs only)</x:v>
      </x:c>
      <x:c r="D790" s="194" t="str">
        <x:v>T-153; T-159; T-160; T-161; T-162; T-163; T-164; T-167; T-193; T-230; T-240; T-248; T-263; T-264; T-246; T-110</x:v>
      </x:c>
      <x:c r="E790" s="194" t="str">
        <x:v>T-139; T-140; T-141; T-142; T-143</x:v>
      </x:c>
      <x:c r="F790" s="194" t="str">
        <x:v>Repair positional corruption using task-keyed baseline and approved edit dataset.</x:v>
      </x:c>
    </x:row>
    <x:row r="791" ht="70" customHeight="1">
      <x:c r="A791" s="194" t="str">
        <x:v>T-189</x:v>
      </x:c>
      <x:c r="B791" s="194" t="str">
        <x:v>N</x:v>
      </x:c>
      <x:c r="C791" s="194" t="str">
        <x:v>Must Precede (IDs only)</x:v>
      </x:c>
      <x:c r="D791" s="194"/>
      <x:c r="E791" s="194" t="str">
        <x:v>T-192</x:v>
      </x:c>
      <x:c r="F791" s="194" t="str">
        <x:v>Repair positional corruption using task-keyed baseline and approved edit dataset.</x:v>
      </x:c>
    </x:row>
    <x:row r="792" ht="70" customHeight="1">
      <x:c r="A792" s="194" t="str">
        <x:v>T-189</x:v>
      </x:c>
      <x:c r="B792" s="194" t="str">
        <x:v>AO</x:v>
      </x:c>
      <x:c r="C792" s="194" t="str">
        <x:v>Evidence State</x:v>
      </x:c>
      <x:c r="D792" s="194"/>
      <x:c r="E792" s="194" t="str">
        <x:v>Not started — no completion claimed</x:v>
      </x:c>
      <x:c r="F792" s="194" t="str">
        <x:v>Add explicit evidence / estimation provenance in repair revision.</x:v>
      </x:c>
    </x:row>
    <x:row r="793" ht="70" customHeight="1">
      <x:c r="A793" s="194" t="str">
        <x:v>T-189</x:v>
      </x:c>
      <x:c r="B793" s="194" t="str">
        <x:v>AP</x:v>
      </x:c>
      <x:c r="C793" s="194" t="str">
        <x:v>Closure Evidence Basis</x:v>
      </x:c>
      <x:c r="D793" s="194"/>
      <x:c r="E793" s="194" t="str">
        <x:v>Inherited v2.22.0 intended record; no new runtime certification in this repair.</x:v>
      </x:c>
      <x:c r="F793" s="194" t="str">
        <x:v>Add explicit evidence / estimation provenance in repair revision.</x:v>
      </x:c>
    </x:row>
    <x:row r="794" ht="70" customHeight="1">
      <x:c r="A794" s="194" t="str">
        <x:v>T-189</x:v>
      </x:c>
      <x:c r="B794" s="194" t="str">
        <x:v>AR</x:v>
      </x:c>
      <x:c r="C794" s="194" t="str">
        <x:v>Estimate Status</x:v>
      </x:c>
      <x:c r="D794" s="194"/>
      <x:c r="E794" s="194" t="str">
        <x:v>INHERITED ESTIMATE</x:v>
      </x:c>
      <x:c r="F794" s="194" t="str">
        <x:v>Add explicit evidence / estimation provenance in repair revision.</x:v>
      </x:c>
    </x:row>
    <x:row r="795" ht="70" customHeight="1">
      <x:c r="A795" s="194" t="str">
        <x:v>T-190</x:v>
      </x:c>
      <x:c r="B795" s="194" t="str">
        <x:v>M</x:v>
      </x:c>
      <x:c r="C795" s="194" t="str">
        <x:v>Depends On (IDs only)</x:v>
      </x:c>
      <x:c r="D795" s="194" t="str">
        <x:v>T-205</x:v>
      </x:c>
      <x:c r="E795" s="194" t="str">
        <x:v>T-142; T-143; T-144; T-145</x:v>
      </x:c>
      <x:c r="F795" s="194" t="str">
        <x:v>Repair positional corruption using task-keyed baseline and approved edit dataset.</x:v>
      </x:c>
    </x:row>
    <x:row r="796" ht="70" customHeight="1">
      <x:c r="A796" s="194" t="str">
        <x:v>T-190</x:v>
      </x:c>
      <x:c r="B796" s="194" t="str">
        <x:v>N</x:v>
      </x:c>
      <x:c r="C796" s="194" t="str">
        <x:v>Must Precede (IDs only)</x:v>
      </x:c>
      <x:c r="D796" s="194" t="str">
        <x:v>T-150; T-255; T-257; T-258</x:v>
      </x:c>
      <x:c r="E796" s="194" t="str">
        <x:v>T-192</x:v>
      </x:c>
      <x:c r="F796" s="194" t="str">
        <x:v>Repair positional corruption using task-keyed baseline and approved edit dataset.</x:v>
      </x:c>
    </x:row>
    <x:row r="797" ht="70" customHeight="1">
      <x:c r="A797" s="194" t="str">
        <x:v>T-190</x:v>
      </x:c>
      <x:c r="B797" s="194" t="str">
        <x:v>AO</x:v>
      </x:c>
      <x:c r="C797" s="194" t="str">
        <x:v>Evidence State</x:v>
      </x:c>
      <x:c r="D797" s="194"/>
      <x:c r="E797" s="194" t="str">
        <x:v>Not started — no completion claimed</x:v>
      </x:c>
      <x:c r="F797" s="194" t="str">
        <x:v>Add explicit evidence / estimation provenance in repair revision.</x:v>
      </x:c>
    </x:row>
    <x:row r="798" ht="70" customHeight="1">
      <x:c r="A798" s="194" t="str">
        <x:v>T-190</x:v>
      </x:c>
      <x:c r="B798" s="194" t="str">
        <x:v>AP</x:v>
      </x:c>
      <x:c r="C798" s="194" t="str">
        <x:v>Closure Evidence Basis</x:v>
      </x:c>
      <x:c r="D798" s="194"/>
      <x:c r="E798" s="194" t="str">
        <x:v>Inherited v2.22.0 intended record; no new runtime certification in this repair.</x:v>
      </x:c>
      <x:c r="F798" s="194" t="str">
        <x:v>Add explicit evidence / estimation provenance in repair revision.</x:v>
      </x:c>
    </x:row>
    <x:row r="799" ht="70" customHeight="1">
      <x:c r="A799" s="194" t="str">
        <x:v>T-190</x:v>
      </x:c>
      <x:c r="B799" s="194" t="str">
        <x:v>AR</x:v>
      </x:c>
      <x:c r="C799" s="194" t="str">
        <x:v>Estimate Status</x:v>
      </x:c>
      <x:c r="D799" s="194"/>
      <x:c r="E799" s="194" t="str">
        <x:v>INHERITED ESTIMATE</x:v>
      </x:c>
      <x:c r="F799" s="194" t="str">
        <x:v>Add explicit evidence / estimation provenance in repair revision.</x:v>
      </x:c>
    </x:row>
    <x:row r="800" ht="70" customHeight="1">
      <x:c r="A800" s="194" t="str">
        <x:v>T-191</x:v>
      </x:c>
      <x:c r="B800" s="194" t="str">
        <x:v>M</x:v>
      </x:c>
      <x:c r="C800" s="194" t="str">
        <x:v>Depends On (IDs only)</x:v>
      </x:c>
      <x:c r="D800" s="194" t="str">
        <x:v>T-087; T-088; T-260</x:v>
      </x:c>
      <x:c r="E800" s="194" t="str">
        <x:v>T-130; T-176; T-187</x:v>
      </x:c>
      <x:c r="F800" s="194" t="str">
        <x:v>Repair positional corruption using task-keyed baseline and approved edit dataset.</x:v>
      </x:c>
    </x:row>
    <x:row r="801" ht="70" customHeight="1">
      <x:c r="A801" s="194" t="str">
        <x:v>T-191</x:v>
      </x:c>
      <x:c r="B801" s="194" t="str">
        <x:v>N</x:v>
      </x:c>
      <x:c r="C801" s="194" t="str">
        <x:v>Must Precede (IDs only)</x:v>
      </x:c>
      <x:c r="D801" s="194" t="str">
        <x:v>T-112; T-150; T-252; T-256; T-259</x:v>
      </x:c>
      <x:c r="E801" s="194" t="str">
        <x:v>T-192</x:v>
      </x:c>
      <x:c r="F801" s="194" t="str">
        <x:v>Repair positional corruption using task-keyed baseline and approved edit dataset.</x:v>
      </x:c>
    </x:row>
    <x:row r="802" ht="70" customHeight="1">
      <x:c r="A802" s="194" t="str">
        <x:v>T-191</x:v>
      </x:c>
      <x:c r="B802" s="194" t="str">
        <x:v>AO</x:v>
      </x:c>
      <x:c r="C802" s="194" t="str">
        <x:v>Evidence State</x:v>
      </x:c>
      <x:c r="D802" s="194"/>
      <x:c r="E802" s="194" t="str">
        <x:v>Not started — no completion claimed</x:v>
      </x:c>
      <x:c r="F802" s="194" t="str">
        <x:v>Add explicit evidence / estimation provenance in repair revision.</x:v>
      </x:c>
    </x:row>
    <x:row r="803" ht="70" customHeight="1">
      <x:c r="A803" s="194" t="str">
        <x:v>T-191</x:v>
      </x:c>
      <x:c r="B803" s="194" t="str">
        <x:v>AP</x:v>
      </x:c>
      <x:c r="C803" s="194" t="str">
        <x:v>Closure Evidence Basis</x:v>
      </x:c>
      <x:c r="D803" s="194"/>
      <x:c r="E803" s="194" t="str">
        <x:v>Inherited v2.22.0 intended record; no new runtime certification in this repair.</x:v>
      </x:c>
      <x:c r="F803" s="194" t="str">
        <x:v>Add explicit evidence / estimation provenance in repair revision.</x:v>
      </x:c>
    </x:row>
    <x:row r="804" ht="70" customHeight="1">
      <x:c r="A804" s="194" t="str">
        <x:v>T-191</x:v>
      </x:c>
      <x:c r="B804" s="194" t="str">
        <x:v>AR</x:v>
      </x:c>
      <x:c r="C804" s="194" t="str">
        <x:v>Estimate Status</x:v>
      </x:c>
      <x:c r="D804" s="194"/>
      <x:c r="E804" s="194" t="str">
        <x:v>INHERITED ESTIMATE</x:v>
      </x:c>
      <x:c r="F804" s="194" t="str">
        <x:v>Add explicit evidence / estimation provenance in repair revision.</x:v>
      </x:c>
    </x:row>
    <x:row r="805" ht="70" customHeight="1">
      <x:c r="A805" s="194" t="str">
        <x:v>T-192</x:v>
      </x:c>
      <x:c r="B805" s="194" t="str">
        <x:v>M</x:v>
      </x:c>
      <x:c r="C805" s="194" t="str">
        <x:v>Depends On (IDs only)</x:v>
      </x:c>
      <x:c r="D805" s="194" t="str">
        <x:v>T-088</x:v>
      </x:c>
      <x:c r="E805" s="194" t="str">
        <x:v>T-183; T-184; T-185; T-186; T-187; T-188; T-189; T-190; T-191; T-107; T-122</x:v>
      </x:c>
      <x:c r="F805" s="194" t="str">
        <x:v>Repair positional corruption using task-keyed baseline and approved edit dataset.</x:v>
      </x:c>
    </x:row>
    <x:row r="806" ht="70" customHeight="1">
      <x:c r="A806" s="194" t="str">
        <x:v>T-192</x:v>
      </x:c>
      <x:c r="B806" s="194" t="str">
        <x:v>N</x:v>
      </x:c>
      <x:c r="C806" s="194" t="str">
        <x:v>Must Precede (IDs only)</x:v>
      </x:c>
      <x:c r="D806" s="194" t="str">
        <x:v>T-251</x:v>
      </x:c>
      <x:c r="E806" s="194"/>
      <x:c r="F806" s="194" t="str">
        <x:v>Repair positional corruption using task-keyed baseline and approved edit dataset.</x:v>
      </x:c>
    </x:row>
    <x:row r="807" ht="70" customHeight="1">
      <x:c r="A807" s="194" t="str">
        <x:v>T-192</x:v>
      </x:c>
      <x:c r="B807" s="194" t="str">
        <x:v>AO</x:v>
      </x:c>
      <x:c r="C807" s="194" t="str">
        <x:v>Evidence State</x:v>
      </x:c>
      <x:c r="D807" s="194"/>
      <x:c r="E807" s="194" t="str">
        <x:v>Not started — no completion claimed</x:v>
      </x:c>
      <x:c r="F807" s="194" t="str">
        <x:v>Add explicit evidence / estimation provenance in repair revision.</x:v>
      </x:c>
    </x:row>
    <x:row r="808" ht="70" customHeight="1">
      <x:c r="A808" s="194" t="str">
        <x:v>T-192</x:v>
      </x:c>
      <x:c r="B808" s="194" t="str">
        <x:v>AP</x:v>
      </x:c>
      <x:c r="C808" s="194" t="str">
        <x:v>Closure Evidence Basis</x:v>
      </x:c>
      <x:c r="D808" s="194"/>
      <x:c r="E808" s="194" t="str">
        <x:v>Inherited v2.22.0 intended record; no new runtime certification in this repair.</x:v>
      </x:c>
      <x:c r="F808" s="194" t="str">
        <x:v>Add explicit evidence / estimation provenance in repair revision.</x:v>
      </x:c>
    </x:row>
    <x:row r="809" ht="70" customHeight="1">
      <x:c r="A809" s="194" t="str">
        <x:v>T-192</x:v>
      </x:c>
      <x:c r="B809" s="194" t="str">
        <x:v>AR</x:v>
      </x:c>
      <x:c r="C809" s="194" t="str">
        <x:v>Estimate Status</x:v>
      </x:c>
      <x:c r="D809" s="194"/>
      <x:c r="E809" s="194" t="str">
        <x:v>INHERITED ESTIMATE</x:v>
      </x:c>
      <x:c r="F809" s="194" t="str">
        <x:v>Add explicit evidence / estimation provenance in repair revision.</x:v>
      </x:c>
    </x:row>
    <x:row r="810" ht="70" customHeight="1">
      <x:c r="A810" s="194" t="str">
        <x:v>T-193</x:v>
      </x:c>
      <x:c r="B810" s="194" t="str">
        <x:v>M</x:v>
      </x:c>
      <x:c r="C810" s="194" t="str">
        <x:v>Depends On (IDs only)</x:v>
      </x:c>
      <x:c r="D810" s="194" t="str">
        <x:v>T-251</x:v>
      </x:c>
      <x:c r="E810" s="194" t="str">
        <x:v>T-130; T-187; T-139; T-145</x:v>
      </x:c>
      <x:c r="F810" s="194" t="str">
        <x:v>Repair positional corruption using task-keyed baseline and approved edit dataset.</x:v>
      </x:c>
    </x:row>
    <x:row r="811" ht="70" customHeight="1">
      <x:c r="A811" s="194" t="str">
        <x:v>T-193</x:v>
      </x:c>
      <x:c r="B811" s="194" t="str">
        <x:v>N</x:v>
      </x:c>
      <x:c r="C811" s="194" t="str">
        <x:v>Must Precede (IDs only)</x:v>
      </x:c>
      <x:c r="D811" s="194" t="str">
        <x:v>T-150; T-227; T-252; T-257</x:v>
      </x:c>
      <x:c r="E811" s="194" t="str">
        <x:v>T-249</x:v>
      </x:c>
      <x:c r="F811" s="194" t="str">
        <x:v>Repair positional corruption using task-keyed baseline and approved edit dataset.</x:v>
      </x:c>
    </x:row>
    <x:row r="812" ht="70" customHeight="1">
      <x:c r="A812" s="194" t="str">
        <x:v>T-193</x:v>
      </x:c>
      <x:c r="B812" s="194" t="str">
        <x:v>AO</x:v>
      </x:c>
      <x:c r="C812" s="194" t="str">
        <x:v>Evidence State</x:v>
      </x:c>
      <x:c r="D812" s="194"/>
      <x:c r="E812" s="194" t="str">
        <x:v>Not started — no completion claimed</x:v>
      </x:c>
      <x:c r="F812" s="194" t="str">
        <x:v>Add explicit evidence / estimation provenance in repair revision.</x:v>
      </x:c>
    </x:row>
    <x:row r="813" ht="70" customHeight="1">
      <x:c r="A813" s="194" t="str">
        <x:v>T-193</x:v>
      </x:c>
      <x:c r="B813" s="194" t="str">
        <x:v>AP</x:v>
      </x:c>
      <x:c r="C813" s="194" t="str">
        <x:v>Closure Evidence Basis</x:v>
      </x:c>
      <x:c r="D813" s="194"/>
      <x:c r="E813" s="194" t="str">
        <x:v>Inherited v2.22.0 intended record; no new runtime certification in this repair.</x:v>
      </x:c>
      <x:c r="F813" s="194" t="str">
        <x:v>Add explicit evidence / estimation provenance in repair revision.</x:v>
      </x:c>
    </x:row>
    <x:row r="814" ht="70" customHeight="1">
      <x:c r="A814" s="194" t="str">
        <x:v>T-193</x:v>
      </x:c>
      <x:c r="B814" s="194" t="str">
        <x:v>AR</x:v>
      </x:c>
      <x:c r="C814" s="194" t="str">
        <x:v>Estimate Status</x:v>
      </x:c>
      <x:c r="D814" s="194"/>
      <x:c r="E814" s="194" t="str">
        <x:v>INHERITED ESTIMATE</x:v>
      </x:c>
      <x:c r="F814" s="194" t="str">
        <x:v>Add explicit evidence / estimation provenance in repair revision.</x:v>
      </x:c>
    </x:row>
    <x:row r="815" ht="70" customHeight="1">
      <x:c r="A815" s="194" t="str">
        <x:v>T-195</x:v>
      </x:c>
      <x:c r="B815" s="194" t="str">
        <x:v>M</x:v>
      </x:c>
      <x:c r="C815" s="194" t="str">
        <x:v>Depends On (IDs only)</x:v>
      </x:c>
      <x:c r="D815" s="194" t="str">
        <x:v>T-087; T-088; T-251; T-259</x:v>
      </x:c>
      <x:c r="E815" s="194" t="str">
        <x:v>T-090; T-112; T-114</x:v>
      </x:c>
      <x:c r="F815" s="194" t="str">
        <x:v>Repair positional corruption using task-keyed baseline and approved edit dataset.</x:v>
      </x:c>
    </x:row>
    <x:row r="816" ht="70" customHeight="1">
      <x:c r="A816" s="194" t="str">
        <x:v>T-195</x:v>
      </x:c>
      <x:c r="B816" s="194" t="str">
        <x:v>N</x:v>
      </x:c>
      <x:c r="C816" s="194" t="str">
        <x:v>Must Precede (IDs only)</x:v>
      </x:c>
      <x:c r="D816" s="194" t="str">
        <x:v>T-106; T-112; T-150; T-256</x:v>
      </x:c>
      <x:c r="E816" s="194" t="str">
        <x:v>T-186; T-187; T-188</x:v>
      </x:c>
      <x:c r="F816" s="194" t="str">
        <x:v>Repair positional corruption using task-keyed baseline and approved edit dataset.</x:v>
      </x:c>
    </x:row>
    <x:row r="817" ht="70" customHeight="1">
      <x:c r="A817" s="194" t="str">
        <x:v>T-195</x:v>
      </x:c>
      <x:c r="B817" s="194" t="str">
        <x:v>AO</x:v>
      </x:c>
      <x:c r="C817" s="194" t="str">
        <x:v>Evidence State</x:v>
      </x:c>
      <x:c r="D817" s="194"/>
      <x:c r="E817" s="194" t="str">
        <x:v>Not started — no completion claimed</x:v>
      </x:c>
      <x:c r="F817" s="194" t="str">
        <x:v>Add explicit evidence / estimation provenance in repair revision.</x:v>
      </x:c>
    </x:row>
    <x:row r="818" ht="70" customHeight="1">
      <x:c r="A818" s="194" t="str">
        <x:v>T-195</x:v>
      </x:c>
      <x:c r="B818" s="194" t="str">
        <x:v>AP</x:v>
      </x:c>
      <x:c r="C818" s="194" t="str">
        <x:v>Closure Evidence Basis</x:v>
      </x:c>
      <x:c r="D818" s="194"/>
      <x:c r="E818" s="194" t="str">
        <x:v>Inherited v2.22.0 intended record; no new runtime certification in this repair.</x:v>
      </x:c>
      <x:c r="F818" s="194" t="str">
        <x:v>Add explicit evidence / estimation provenance in repair revision.</x:v>
      </x:c>
    </x:row>
    <x:row r="819" ht="70" customHeight="1">
      <x:c r="A819" s="194" t="str">
        <x:v>T-195</x:v>
      </x:c>
      <x:c r="B819" s="194" t="str">
        <x:v>AR</x:v>
      </x:c>
      <x:c r="C819" s="194" t="str">
        <x:v>Estimate Status</x:v>
      </x:c>
      <x:c r="D819" s="194"/>
      <x:c r="E819" s="194" t="str">
        <x:v>INHERITED ESTIMATE</x:v>
      </x:c>
      <x:c r="F819" s="194" t="str">
        <x:v>Add explicit evidence / estimation provenance in repair revision.</x:v>
      </x:c>
    </x:row>
    <x:row r="820" ht="70" customHeight="1">
      <x:c r="A820" s="194" t="str">
        <x:v>T-238</x:v>
      </x:c>
      <x:c r="B820" s="194" t="str">
        <x:v>M</x:v>
      </x:c>
      <x:c r="C820" s="194" t="str">
        <x:v>Depends On (IDs only)</x:v>
      </x:c>
      <x:c r="D820" s="194" t="str">
        <x:v>T-088; T-094; T-251; T-252; T-253</x:v>
      </x:c>
      <x:c r="E820" s="194" t="str">
        <x:v>T-208; T-214</x:v>
      </x:c>
      <x:c r="F820" s="194" t="str">
        <x:v>Repair positional corruption using task-keyed baseline and approved edit dataset.</x:v>
      </x:c>
    </x:row>
    <x:row r="821" ht="70" customHeight="1">
      <x:c r="A821" s="194" t="str">
        <x:v>T-238</x:v>
      </x:c>
      <x:c r="B821" s="194" t="str">
        <x:v>N</x:v>
      </x:c>
      <x:c r="C821" s="194" t="str">
        <x:v>Must Precede (IDs only)</x:v>
      </x:c>
      <x:c r="D821" s="194" t="str">
        <x:v>T-116; T-150; T-247; T-258</x:v>
      </x:c>
      <x:c r="E821" s="194" t="str">
        <x:v>T-239; T-240</x:v>
      </x:c>
      <x:c r="F821" s="194" t="str">
        <x:v>Repair positional corruption using task-keyed baseline and approved edit dataset.</x:v>
      </x:c>
    </x:row>
    <x:row r="822" ht="70" customHeight="1">
      <x:c r="A822" s="194" t="str">
        <x:v>T-238</x:v>
      </x:c>
      <x:c r="B822" s="194" t="str">
        <x:v>AO</x:v>
      </x:c>
      <x:c r="C822" s="194" t="str">
        <x:v>Evidence State</x:v>
      </x:c>
      <x:c r="D822" s="194"/>
      <x:c r="E822" s="194" t="str">
        <x:v>Not started — no completion claimed</x:v>
      </x:c>
      <x:c r="F822" s="194" t="str">
        <x:v>Add explicit evidence / estimation provenance in repair revision.</x:v>
      </x:c>
    </x:row>
    <x:row r="823" ht="70" customHeight="1">
      <x:c r="A823" s="194" t="str">
        <x:v>T-238</x:v>
      </x:c>
      <x:c r="B823" s="194" t="str">
        <x:v>AP</x:v>
      </x:c>
      <x:c r="C823" s="194" t="str">
        <x:v>Closure Evidence Basis</x:v>
      </x:c>
      <x:c r="D823" s="194"/>
      <x:c r="E823" s="194" t="str">
        <x:v>Inherited v2.22.0 intended record; no new runtime certification in this repair.</x:v>
      </x:c>
      <x:c r="F823" s="194" t="str">
        <x:v>Add explicit evidence / estimation provenance in repair revision.</x:v>
      </x:c>
    </x:row>
    <x:row r="824" ht="70" customHeight="1">
      <x:c r="A824" s="194" t="str">
        <x:v>T-238</x:v>
      </x:c>
      <x:c r="B824" s="194" t="str">
        <x:v>AR</x:v>
      </x:c>
      <x:c r="C824" s="194" t="str">
        <x:v>Estimate Status</x:v>
      </x:c>
      <x:c r="D824" s="194"/>
      <x:c r="E824" s="194" t="str">
        <x:v>INHERITED ESTIMATE</x:v>
      </x:c>
      <x:c r="F824" s="194" t="str">
        <x:v>Add explicit evidence / estimation provenance in repair revision.</x:v>
      </x:c>
    </x:row>
    <x:row r="825" ht="70" customHeight="1">
      <x:c r="A825" s="194" t="str">
        <x:v>T-239</x:v>
      </x:c>
      <x:c r="B825" s="194" t="str">
        <x:v>M</x:v>
      </x:c>
      <x:c r="C825" s="194" t="str">
        <x:v>Depends On (IDs only)</x:v>
      </x:c>
      <x:c r="D825" s="194" t="str">
        <x:v>T-205; T-250</x:v>
      </x:c>
      <x:c r="E825" s="194" t="str">
        <x:v>T-090; T-214; T-238</x:v>
      </x:c>
      <x:c r="F825" s="194" t="str">
        <x:v>Repair positional corruption using task-keyed baseline and approved edit dataset.</x:v>
      </x:c>
    </x:row>
    <x:row r="826" ht="70" customHeight="1">
      <x:c r="A826" s="194" t="str">
        <x:v>T-239</x:v>
      </x:c>
      <x:c r="B826" s="194" t="str">
        <x:v>N</x:v>
      </x:c>
      <x:c r="C826" s="194" t="str">
        <x:v>Must Precede (IDs only)</x:v>
      </x:c>
      <x:c r="D826" s="194" t="str">
        <x:v>T-150</x:v>
      </x:c>
      <x:c r="E826" s="194" t="str">
        <x:v>T-240</x:v>
      </x:c>
      <x:c r="F826" s="194" t="str">
        <x:v>Repair positional corruption using task-keyed baseline and approved edit dataset.</x:v>
      </x:c>
    </x:row>
    <x:row r="827" ht="70" customHeight="1">
      <x:c r="A827" s="194" t="str">
        <x:v>T-239</x:v>
      </x:c>
      <x:c r="B827" s="194" t="str">
        <x:v>AO</x:v>
      </x:c>
      <x:c r="C827" s="194" t="str">
        <x:v>Evidence State</x:v>
      </x:c>
      <x:c r="D827" s="194"/>
      <x:c r="E827" s="194" t="str">
        <x:v>Not started — no completion claimed</x:v>
      </x:c>
      <x:c r="F827" s="194" t="str">
        <x:v>Add explicit evidence / estimation provenance in repair revision.</x:v>
      </x:c>
    </x:row>
    <x:row r="828" ht="70" customHeight="1">
      <x:c r="A828" s="194" t="str">
        <x:v>T-239</x:v>
      </x:c>
      <x:c r="B828" s="194" t="str">
        <x:v>AP</x:v>
      </x:c>
      <x:c r="C828" s="194" t="str">
        <x:v>Closure Evidence Basis</x:v>
      </x:c>
      <x:c r="D828" s="194"/>
      <x:c r="E828" s="194" t="str">
        <x:v>Inherited v2.22.0 intended record; no new runtime certification in this repair.</x:v>
      </x:c>
      <x:c r="F828" s="194" t="str">
        <x:v>Add explicit evidence / estimation provenance in repair revision.</x:v>
      </x:c>
    </x:row>
    <x:row r="829" ht="70" customHeight="1">
      <x:c r="A829" s="194" t="str">
        <x:v>T-239</x:v>
      </x:c>
      <x:c r="B829" s="194" t="str">
        <x:v>AR</x:v>
      </x:c>
      <x:c r="C829" s="194" t="str">
        <x:v>Estimate Status</x:v>
      </x:c>
      <x:c r="D829" s="194"/>
      <x:c r="E829" s="194" t="str">
        <x:v>INHERITED ESTIMATE</x:v>
      </x:c>
      <x:c r="F829" s="194" t="str">
        <x:v>Add explicit evidence / estimation provenance in repair revision.</x:v>
      </x:c>
    </x:row>
    <x:row r="830" ht="70" customHeight="1">
      <x:c r="A830" s="194" t="str">
        <x:v>T-240</x:v>
      </x:c>
      <x:c r="B830" s="194" t="str">
        <x:v>M</x:v>
      </x:c>
      <x:c r="C830" s="194" t="str">
        <x:v>Depends On (IDs only)</x:v>
      </x:c>
      <x:c r="D830" s="194" t="str">
        <x:v>T-205; T-250; T-259</x:v>
      </x:c>
      <x:c r="E830" s="194" t="str">
        <x:v>T-131; T-132; T-133; T-238; T-239</x:v>
      </x:c>
      <x:c r="F830" s="194" t="str">
        <x:v>Repair positional corruption using task-keyed baseline and approved edit dataset.</x:v>
      </x:c>
    </x:row>
    <x:row r="831" ht="70" customHeight="1">
      <x:c r="A831" s="194" t="str">
        <x:v>T-240</x:v>
      </x:c>
      <x:c r="B831" s="194" t="str">
        <x:v>N</x:v>
      </x:c>
      <x:c r="C831" s="194" t="str">
        <x:v>Must Precede (IDs only)</x:v>
      </x:c>
      <x:c r="D831" s="194" t="str">
        <x:v>T-150; T-248</x:v>
      </x:c>
      <x:c r="E831" s="194" t="str">
        <x:v>T-249; T-264</x:v>
      </x:c>
      <x:c r="F831" s="194" t="str">
        <x:v>Repair positional corruption using task-keyed baseline and approved edit dataset.</x:v>
      </x:c>
    </x:row>
    <x:row r="832" ht="70" customHeight="1">
      <x:c r="A832" s="194" t="str">
        <x:v>T-240</x:v>
      </x:c>
      <x:c r="B832" s="194" t="str">
        <x:v>AO</x:v>
      </x:c>
      <x:c r="C832" s="194" t="str">
        <x:v>Evidence State</x:v>
      </x:c>
      <x:c r="D832" s="194"/>
      <x:c r="E832" s="194" t="str">
        <x:v>Not started — no completion claimed</x:v>
      </x:c>
      <x:c r="F832" s="194" t="str">
        <x:v>Add explicit evidence / estimation provenance in repair revision.</x:v>
      </x:c>
    </x:row>
    <x:row r="833" ht="70" customHeight="1">
      <x:c r="A833" s="194" t="str">
        <x:v>T-240</x:v>
      </x:c>
      <x:c r="B833" s="194" t="str">
        <x:v>AP</x:v>
      </x:c>
      <x:c r="C833" s="194" t="str">
        <x:v>Closure Evidence Basis</x:v>
      </x:c>
      <x:c r="D833" s="194"/>
      <x:c r="E833" s="194" t="str">
        <x:v>Inherited v2.22.0 intended record; no new runtime certification in this repair.</x:v>
      </x:c>
      <x:c r="F833" s="194" t="str">
        <x:v>Add explicit evidence / estimation provenance in repair revision.</x:v>
      </x:c>
    </x:row>
    <x:row r="834" ht="70" customHeight="1">
      <x:c r="A834" s="194" t="str">
        <x:v>T-240</x:v>
      </x:c>
      <x:c r="B834" s="194" t="str">
        <x:v>AR</x:v>
      </x:c>
      <x:c r="C834" s="194" t="str">
        <x:v>Estimate Status</x:v>
      </x:c>
      <x:c r="D834" s="194"/>
      <x:c r="E834" s="194" t="str">
        <x:v>INHERITED ESTIMATE</x:v>
      </x:c>
      <x:c r="F834" s="194" t="str">
        <x:v>Add explicit evidence / estimation provenance in repair revision.</x:v>
      </x:c>
    </x:row>
    <x:row r="835" ht="70" customHeight="1">
      <x:c r="A835" s="194" t="str">
        <x:v>T-246</x:v>
      </x:c>
      <x:c r="B835" s="194" t="str">
        <x:v>M</x:v>
      </x:c>
      <x:c r="C835" s="194" t="str">
        <x:v>Depends On (IDs only)</x:v>
      </x:c>
      <x:c r="D835" s="194" t="str">
        <x:v>T-106; T-241; T-242; T-243; T-099; T-262</x:v>
      </x:c>
      <x:c r="E835" s="194" t="str">
        <x:v>T-243; T-130; T-137; T-187</x:v>
      </x:c>
      <x:c r="F835" s="194" t="str">
        <x:v>Repair positional corruption using task-keyed baseline and approved edit dataset.</x:v>
      </x:c>
    </x:row>
    <x:row r="836" ht="70" customHeight="1">
      <x:c r="A836" s="194" t="str">
        <x:v>T-246</x:v>
      </x:c>
      <x:c r="B836" s="194" t="str">
        <x:v>N</x:v>
      </x:c>
      <x:c r="C836" s="194" t="str">
        <x:v>Must Precede (IDs only)</x:v>
      </x:c>
      <x:c r="D836" s="194" t="str">
        <x:v>T-104; T-245</x:v>
      </x:c>
      <x:c r="E836" s="194" t="str">
        <x:v>T-249</x:v>
      </x:c>
      <x:c r="F836" s="194" t="str">
        <x:v>Repair positional corruption using task-keyed baseline and approved edit dataset.</x:v>
      </x:c>
    </x:row>
    <x:row r="837" ht="70" customHeight="1">
      <x:c r="A837" s="194" t="str">
        <x:v>T-246</x:v>
      </x:c>
      <x:c r="B837" s="194" t="str">
        <x:v>AO</x:v>
      </x:c>
      <x:c r="C837" s="194" t="str">
        <x:v>Evidence State</x:v>
      </x:c>
      <x:c r="D837" s="194"/>
      <x:c r="E837" s="194" t="str">
        <x:v>Not started — no completion claimed</x:v>
      </x:c>
      <x:c r="F837" s="194" t="str">
        <x:v>Add explicit evidence / estimation provenance in repair revision.</x:v>
      </x:c>
    </x:row>
    <x:row r="838" ht="70" customHeight="1">
      <x:c r="A838" s="194" t="str">
        <x:v>T-246</x:v>
      </x:c>
      <x:c r="B838" s="194" t="str">
        <x:v>AP</x:v>
      </x:c>
      <x:c r="C838" s="194" t="str">
        <x:v>Closure Evidence Basis</x:v>
      </x:c>
      <x:c r="D838" s="194"/>
      <x:c r="E838" s="194" t="str">
        <x:v>Inherited v2.22.0 intended record; no new runtime certification in this repair.</x:v>
      </x:c>
      <x:c r="F838" s="194" t="str">
        <x:v>Add explicit evidence / estimation provenance in repair revision.</x:v>
      </x:c>
    </x:row>
    <x:row r="839" ht="70" customHeight="1">
      <x:c r="A839" s="194" t="str">
        <x:v>T-246</x:v>
      </x:c>
      <x:c r="B839" s="194" t="str">
        <x:v>AR</x:v>
      </x:c>
      <x:c r="C839" s="194" t="str">
        <x:v>Estimate Status</x:v>
      </x:c>
      <x:c r="D839" s="194"/>
      <x:c r="E839" s="194" t="str">
        <x:v>INHERITED ESTIMATE</x:v>
      </x:c>
      <x:c r="F839" s="194" t="str">
        <x:v>Add explicit evidence / estimation provenance in repair revision.</x:v>
      </x:c>
    </x:row>
    <x:row r="840" ht="70" customHeight="1">
      <x:c r="A840" s="194" t="str">
        <x:v>T-264</x:v>
      </x:c>
      <x:c r="B840" s="194" t="str">
        <x:v>M</x:v>
      </x:c>
      <x:c r="C840" s="194" t="str">
        <x:v>Depends On (IDs only)</x:v>
      </x:c>
      <x:c r="D840" s="194" t="str">
        <x:v>T-253; T-243</x:v>
      </x:c>
      <x:c r="E840" s="194" t="str">
        <x:v>T-214; T-240</x:v>
      </x:c>
      <x:c r="F840" s="194" t="str">
        <x:v>Repair positional corruption using task-keyed baseline and approved edit dataset.</x:v>
      </x:c>
    </x:row>
    <x:row r="841" ht="70" customHeight="1">
      <x:c r="A841" s="194" t="str">
        <x:v>T-264</x:v>
      </x:c>
      <x:c r="B841" s="194" t="str">
        <x:v>N</x:v>
      </x:c>
      <x:c r="C841" s="194" t="str">
        <x:v>Must Precede (IDs only)</x:v>
      </x:c>
      <x:c r="D841" s="194" t="str">
        <x:v>T-261</x:v>
      </x:c>
      <x:c r="E841" s="194" t="str">
        <x:v>T-249</x:v>
      </x:c>
      <x:c r="F841" s="194" t="str">
        <x:v>Repair positional corruption using task-keyed baseline and approved edit dataset.</x:v>
      </x:c>
    </x:row>
    <x:row r="842" ht="70" customHeight="1">
      <x:c r="A842" s="194" t="str">
        <x:v>T-264</x:v>
      </x:c>
      <x:c r="B842" s="194" t="str">
        <x:v>AJ</x:v>
      </x:c>
      <x:c r="C842" s="194" t="str">
        <x:v>Estimate Basis</x:v>
      </x:c>
      <x:c r="D842" s="194" t="str">
        <x:v>UNESTIMATED — new row; no hours inferred from source presence</x:v>
      </x:c>
      <x:c r="E842" s="194" t="str">
        <x:v>UNESTIMATED — new/recognized task; owner calibration pending.</x:v>
      </x:c>
      <x:c r="F842" s="194" t="str">
        <x:v>Blank is unknown effort, not zero.</x:v>
      </x:c>
    </x:row>
    <x:row r="843" ht="70" customHeight="1">
      <x:c r="A843" s="194" t="str">
        <x:v>T-264</x:v>
      </x:c>
      <x:c r="B843" s="194" t="str">
        <x:v>AO</x:v>
      </x:c>
      <x:c r="C843" s="194" t="str">
        <x:v>Evidence State</x:v>
      </x:c>
      <x:c r="D843" s="194"/>
      <x:c r="E843" s="194" t="str">
        <x:v>Not started — no completion claimed</x:v>
      </x:c>
      <x:c r="F843" s="194" t="str">
        <x:v>Add explicit evidence / estimation provenance in repair revision.</x:v>
      </x:c>
    </x:row>
    <x:row r="844" ht="70" customHeight="1">
      <x:c r="A844" s="194" t="str">
        <x:v>T-264</x:v>
      </x:c>
      <x:c r="B844" s="194" t="str">
        <x:v>AP</x:v>
      </x:c>
      <x:c r="C844" s="194" t="str">
        <x:v>Closure Evidence Basis</x:v>
      </x:c>
      <x:c r="D844" s="194"/>
      <x:c r="E844" s="194" t="str">
        <x:v>Inherited v2.22.0 intended record; no new runtime certification in this repair.</x:v>
      </x:c>
      <x:c r="F844" s="194" t="str">
        <x:v>Add explicit evidence / estimation provenance in repair revision.</x:v>
      </x:c>
    </x:row>
    <x:row r="845" ht="70" customHeight="1">
      <x:c r="A845" s="194" t="str">
        <x:v>T-264</x:v>
      </x:c>
      <x:c r="B845" s="194" t="str">
        <x:v>AR</x:v>
      </x:c>
      <x:c r="C845" s="194" t="str">
        <x:v>Estimate Status</x:v>
      </x:c>
      <x:c r="D845" s="194"/>
      <x:c r="E845" s="194" t="str">
        <x:v>UNESTIMATED</x:v>
      </x:c>
      <x:c r="F845" s="194" t="str">
        <x:v>Add explicit evidence / estimation provenance in repair revision.</x:v>
      </x:c>
    </x:row>
    <x:row r="846" ht="70" customHeight="1">
      <x:c r="A846" s="194" t="str">
        <x:v>T-167</x:v>
      </x:c>
      <x:c r="B846" s="194" t="str">
        <x:v>M</x:v>
      </x:c>
      <x:c r="C846" s="194" t="str">
        <x:v>Depends On (IDs only)</x:v>
      </x:c>
      <x:c r="D846" s="194" t="str">
        <x:v>T-106; T-248</x:v>
      </x:c>
      <x:c r="E846" s="194"/>
      <x:c r="F846" s="194" t="str">
        <x:v>Repair positional corruption using task-keyed baseline and approved edit dataset.</x:v>
      </x:c>
    </x:row>
    <x:row r="847" ht="70" customHeight="1">
      <x:c r="A847" s="194" t="str">
        <x:v>T-167</x:v>
      </x:c>
      <x:c r="B847" s="194" t="str">
        <x:v>AO</x:v>
      </x:c>
      <x:c r="C847" s="194" t="str">
        <x:v>Evidence State</x:v>
      </x:c>
      <x:c r="D847" s="194"/>
      <x:c r="E847" s="194" t="str">
        <x:v>Not started — no completion claimed</x:v>
      </x:c>
      <x:c r="F847" s="194" t="str">
        <x:v>Add explicit evidence / estimation provenance in repair revision.</x:v>
      </x:c>
    </x:row>
    <x:row r="848" ht="70" customHeight="1">
      <x:c r="A848" s="194" t="str">
        <x:v>T-167</x:v>
      </x:c>
      <x:c r="B848" s="194" t="str">
        <x:v>AP</x:v>
      </x:c>
      <x:c r="C848" s="194" t="str">
        <x:v>Closure Evidence Basis</x:v>
      </x:c>
      <x:c r="D848" s="194"/>
      <x:c r="E848" s="194" t="str">
        <x:v>Inherited v2.22.0 intended record; no new runtime certification in this repair.</x:v>
      </x:c>
      <x:c r="F848" s="194" t="str">
        <x:v>Add explicit evidence / estimation provenance in repair revision.</x:v>
      </x:c>
    </x:row>
    <x:row r="849" ht="70" customHeight="1">
      <x:c r="A849" s="194" t="str">
        <x:v>T-167</x:v>
      </x:c>
      <x:c r="B849" s="194" t="str">
        <x:v>AR</x:v>
      </x:c>
      <x:c r="C849" s="194" t="str">
        <x:v>Estimate Status</x:v>
      </x:c>
      <x:c r="D849" s="194"/>
      <x:c r="E849" s="194" t="str">
        <x:v>INHERITED ESTIMATE</x:v>
      </x:c>
      <x:c r="F849" s="194" t="str">
        <x:v>Add explicit evidence / estimation provenance in repair revision.</x:v>
      </x:c>
    </x:row>
    <x:row r="850" ht="70" customHeight="1">
      <x:c r="A850" s="194" t="str">
        <x:v>T-249</x:v>
      </x:c>
      <x:c r="B850" s="194" t="str">
        <x:v>M</x:v>
      </x:c>
      <x:c r="C850" s="194" t="str">
        <x:v>Depends On (IDs only)</x:v>
      </x:c>
      <x:c r="D850" s="194" t="str">
        <x:v>T-214; T-240</x:v>
      </x:c>
      <x:c r="E850" s="194" t="str">
        <x:v>T-153; T-159; T-160; T-161; T-162; T-163; T-164; T-167; T-193; T-230; T-240; T-248; T-263; T-264; T-246; T-110</x:v>
      </x:c>
      <x:c r="F850" s="194" t="str">
        <x:v>Repair positional corruption using task-keyed baseline and approved edit dataset.</x:v>
      </x:c>
    </x:row>
    <x:row r="851" ht="70" customHeight="1">
      <x:c r="A851" s="194" t="str">
        <x:v>T-249</x:v>
      </x:c>
      <x:c r="B851" s="194" t="str">
        <x:v>N</x:v>
      </x:c>
      <x:c r="C851" s="194" t="str">
        <x:v>Must Precede (IDs only)</x:v>
      </x:c>
      <x:c r="D851" s="194" t="str">
        <x:v>T-249</x:v>
      </x:c>
      <x:c r="E851" s="194"/>
      <x:c r="F851" s="194" t="str">
        <x:v>Repair positional corruption using task-keyed baseline and approved edit dataset.</x:v>
      </x:c>
    </x:row>
    <x:row r="852" ht="70" customHeight="1">
      <x:c r="A852" s="194" t="str">
        <x:v>T-249</x:v>
      </x:c>
      <x:c r="B852" s="194" t="str">
        <x:v>AO</x:v>
      </x:c>
      <x:c r="C852" s="194" t="str">
        <x:v>Evidence State</x:v>
      </x:c>
      <x:c r="D852" s="194"/>
      <x:c r="E852" s="194" t="str">
        <x:v>Not started — no completion claimed</x:v>
      </x:c>
      <x:c r="F852" s="194" t="str">
        <x:v>Add explicit evidence / estimation provenance in repair revision.</x:v>
      </x:c>
    </x:row>
    <x:row r="853" ht="70" customHeight="1">
      <x:c r="A853" s="194" t="str">
        <x:v>T-249</x:v>
      </x:c>
      <x:c r="B853" s="194" t="str">
        <x:v>AP</x:v>
      </x:c>
      <x:c r="C853" s="194" t="str">
        <x:v>Closure Evidence Basis</x:v>
      </x:c>
      <x:c r="D853" s="194"/>
      <x:c r="E853" s="194" t="str">
        <x:v>Inherited v2.22.0 intended record; no new runtime certification in this repair.</x:v>
      </x:c>
      <x:c r="F853" s="194" t="str">
        <x:v>Add explicit evidence / estimation provenance in repair revision.</x:v>
      </x:c>
    </x:row>
    <x:row r="854" ht="70" customHeight="1">
      <x:c r="A854" s="194" t="str">
        <x:v>T-249</x:v>
      </x:c>
      <x:c r="B854" s="194" t="str">
        <x:v>AR</x:v>
      </x:c>
      <x:c r="C854" s="194" t="str">
        <x:v>Estimate Status</x:v>
      </x:c>
      <x:c r="D854" s="194"/>
      <x:c r="E854" s="194" t="str">
        <x:v>INHERITED ESTIMATE</x:v>
      </x:c>
      <x:c r="F854" s="194" t="str">
        <x:v>Add explicit evidence / estimation provenance in repair revision.</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20" hidden="0" customWidth="1"/>
    <x:col min="2" max="2" width="20" hidden="0" customWidth="1"/>
    <x:col min="3" max="3" width="42" hidden="0" customWidth="1"/>
    <x:col min="4" max="4" width="42" hidden="0" customWidth="1"/>
  </x:cols>
  <x:sheetData>
    <x:row r="1" ht="36" customHeight="1">
      <x:c r="A1" s="205" t="str">
        <x:v>ID</x:v>
      </x:c>
      <x:c r="B1" s="205" t="str">
        <x:v>Type</x:v>
      </x:c>
      <x:c r="C1" s="205" t="str">
        <x:v>Used by active tasks</x:v>
      </x:c>
      <x:c r="D1" s="205" t="str">
        <x:v>Evidence boundary</x:v>
      </x:c>
    </x:row>
    <x:row r="2" ht="26" customHeight="1">
      <x:c r="A2" s="194" t="str">
        <x:v>T-032</x:v>
      </x:c>
      <x:c r="B2" s="194" t="str">
        <x:v>Historical baseline prerequisite</x:v>
      </x:c>
      <x:c r="C2" s="194" t="str">
        <x:v>T-241</x:v>
      </x:c>
      <x:c r="D2" s="194" t="str">
        <x:v>Retained from v2.21.0; not recreated or recertified in this repair.</x:v>
      </x:c>
    </x:row>
    <x:row r="3" ht="26" customHeight="1">
      <x:c r="A3" s="194" t="str">
        <x:v>T-035</x:v>
      </x:c>
      <x:c r="B3" s="194" t="str">
        <x:v>Historical baseline prerequisite</x:v>
      </x:c>
      <x:c r="C3" s="194" t="str">
        <x:v>T-244</x:v>
      </x:c>
      <x:c r="D3" s="194" t="str">
        <x:v>Retained from v2.21.0; not recreated or recertified in this repair.</x:v>
      </x:c>
    </x:row>
    <x:row r="4" ht="26" customHeight="1">
      <x:c r="A4" s="194" t="str">
        <x:v>T-036</x:v>
      </x:c>
      <x:c r="B4" s="194" t="str">
        <x:v>Historical baseline prerequisite</x:v>
      </x:c>
      <x:c r="C4" s="194" t="str">
        <x:v>T-244</x:v>
      </x:c>
      <x:c r="D4" s="194" t="str">
        <x:v>Retained from v2.21.0; not recreated or recertified in this repair.</x:v>
      </x:c>
    </x:row>
    <x:row r="5" ht="26" customHeight="1">
      <x:c r="A5" s="194" t="str">
        <x:v>T-057</x:v>
      </x:c>
      <x:c r="B5" s="194" t="str">
        <x:v>Historical baseline prerequisite</x:v>
      </x:c>
      <x:c r="C5" s="194" t="str">
        <x:v>T-095</x:v>
      </x:c>
      <x:c r="D5" s="194" t="str">
        <x:v>Retained from v2.21.0; not recreated or recertified in this repair.</x:v>
      </x:c>
    </x:row>
    <x:row r="6" ht="26" customHeight="1">
      <x:c r="A6" s="194" t="str">
        <x:v>T-064</x:v>
      </x:c>
      <x:c r="B6" s="194" t="str">
        <x:v>Historical baseline prerequisite</x:v>
      </x:c>
      <x:c r="C6" s="194" t="str">
        <x:v>T-106</x:v>
      </x:c>
      <x:c r="D6" s="194" t="str">
        <x:v>Retained from v2.21.0; not recreated or recertified in this repair.</x:v>
      </x:c>
    </x:row>
    <x:row r="7">
      <x:c r="A7"/>
      <x:c r="B7"/>
      <x:c r="C7"/>
      <x:c r="D7"/>
    </x:row>
    <x:row r="8">
      <x:c r="A8"/>
      <x:c r="B8"/>
      <x:c r="C8"/>
      <x:c r="D8"/>
    </x:row>
    <x:row r="9">
      <x:c r="A9"/>
      <x:c r="B9"/>
      <x:c r="C9"/>
      <x:c r="D9"/>
    </x:row>
    <x:row r="10">
      <x:c r="A10"/>
      <x:c r="B10"/>
      <x:c r="C10"/>
      <x:c r="D10"/>
    </x:row>
    <x:row r="11">
      <x:c r="A11"/>
      <x:c r="B11"/>
      <x:c r="C11"/>
      <x:c r="D11"/>
    </x:row>
    <x:row r="12">
      <x:c r="A12"/>
      <x:c r="B12"/>
      <x:c r="C12"/>
      <x:c r="D12"/>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s>
  <x:sheetData>
    <x:row r="1" ht="36" customHeight="1">
      <x:c r="A1" s="205" t="str">
        <x:v>Task Id</x:v>
      </x:c>
      <x:c r="B1" s="205" t="str">
        <x:v>Capability ID</x:v>
      </x:c>
      <x:c r="C1" s="205" t="str">
        <x:v>Current status</x:v>
      </x:c>
      <x:c r="D1" s="205" t="str">
        <x:v>Current release</x:v>
      </x:c>
    </x:row>
    <x:row r="2" ht="26" customHeight="1">
      <x:c r="A2" s="194" t="str">
        <x:v>T-087</x:v>
      </x:c>
      <x:c r="B2" s="194" t="str">
        <x:v>L5.7</x:v>
      </x:c>
      <x:c r="C2" s="194" t="str">
        <x:f>IF(INDEX(Backlog!$K$2:$K$180,MATCH($A2,Backlog!$A$2:$A$180,0))="","",INDEX(Backlog!$K$2:$K$180,MATCH($A2,Backlog!$A$2:$A$180,0)))</x:f>
        <x:v>Done</x:v>
      </x:c>
      <x:c r="D2" s="194" t="str">
        <x:f>IF(INDEX(Backlog!$B$2:$B$180,MATCH($A2,Backlog!$A$2:$A$180,0))="","",INDEX(Backlog!$B$2:$B$180,MATCH($A2,Backlog!$A$2:$A$180,0)))</x:f>
        <x:v>M2</x:v>
      </x:c>
    </x:row>
    <x:row r="3" ht="26" customHeight="1">
      <x:c r="A3" s="194" t="str">
        <x:v>T-088</x:v>
      </x:c>
      <x:c r="B3" s="194" t="str">
        <x:v>L5.7</x:v>
      </x:c>
      <x:c r="C3" s="194" t="str">
        <x:f>IF(INDEX(Backlog!$K$2:$K$180,MATCH($A3,Backlog!$A$2:$A$180,0))="","",INDEX(Backlog!$K$2:$K$180,MATCH($A3,Backlog!$A$2:$A$180,0)))</x:f>
        <x:v>Done</x:v>
      </x:c>
      <x:c r="D3" s="194" t="str">
        <x:f>IF(INDEX(Backlog!$B$2:$B$180,MATCH($A3,Backlog!$A$2:$A$180,0))="","",INDEX(Backlog!$B$2:$B$180,MATCH($A3,Backlog!$A$2:$A$180,0)))</x:f>
        <x:v>M2</x:v>
      </x:c>
    </x:row>
    <x:row r="4" ht="26" customHeight="1">
      <x:c r="A4" s="194" t="str">
        <x:v>T-088</x:v>
      </x:c>
      <x:c r="B4" s="194" t="str">
        <x:v>L2.1</x:v>
      </x:c>
      <x:c r="C4" s="194" t="str">
        <x:f>IF(INDEX(Backlog!$K$2:$K$180,MATCH($A4,Backlog!$A$2:$A$180,0))="","",INDEX(Backlog!$K$2:$K$180,MATCH($A4,Backlog!$A$2:$A$180,0)))</x:f>
        <x:v>Done</x:v>
      </x:c>
      <x:c r="D4" s="194" t="str">
        <x:f>IF(INDEX(Backlog!$B$2:$B$180,MATCH($A4,Backlog!$A$2:$A$180,0))="","",INDEX(Backlog!$B$2:$B$180,MATCH($A4,Backlog!$A$2:$A$180,0)))</x:f>
        <x:v>M2</x:v>
      </x:c>
    </x:row>
    <x:row r="5" ht="26" customHeight="1">
      <x:c r="A5" s="194" t="str">
        <x:v>T-089</x:v>
      </x:c>
      <x:c r="B5" s="194" t="str">
        <x:v>L5.6</x:v>
      </x:c>
      <x:c r="C5" s="194" t="str">
        <x:f>IF(INDEX(Backlog!$K$2:$K$180,MATCH($A5,Backlog!$A$2:$A$180,0))="","",INDEX(Backlog!$K$2:$K$180,MATCH($A5,Backlog!$A$2:$A$180,0)))</x:f>
        <x:v>Done</x:v>
      </x:c>
      <x:c r="D5" s="194" t="str">
        <x:f>IF(INDEX(Backlog!$B$2:$B$180,MATCH($A5,Backlog!$A$2:$A$180,0))="","",INDEX(Backlog!$B$2:$B$180,MATCH($A5,Backlog!$A$2:$A$180,0)))</x:f>
        <x:v>M2</x:v>
      </x:c>
    </x:row>
    <x:row r="6" ht="26" customHeight="1">
      <x:c r="A6" s="194" t="str">
        <x:v>T-090</x:v>
      </x:c>
      <x:c r="B6" s="194" t="str">
        <x:v>L2.5</x:v>
      </x:c>
      <x:c r="C6" s="194" t="str">
        <x:f>IF(INDEX(Backlog!$K$2:$K$180,MATCH($A6,Backlog!$A$2:$A$180,0))="","",INDEX(Backlog!$K$2:$K$180,MATCH($A6,Backlog!$A$2:$A$180,0)))</x:f>
        <x:v>Done</x:v>
      </x:c>
      <x:c r="D6" s="194" t="str">
        <x:f>IF(INDEX(Backlog!$B$2:$B$180,MATCH($A6,Backlog!$A$2:$A$180,0))="","",INDEX(Backlog!$B$2:$B$180,MATCH($A6,Backlog!$A$2:$A$180,0)))</x:f>
        <x:v>M2</x:v>
      </x:c>
    </x:row>
    <x:row r="7" ht="26" customHeight="1">
      <x:c r="A7" s="194" t="str">
        <x:v>T-091</x:v>
      </x:c>
      <x:c r="B7" s="194" t="str">
        <x:v>L2.5</x:v>
      </x:c>
      <x:c r="C7" s="194" t="str">
        <x:f>IF(INDEX(Backlog!$K$2:$K$180,MATCH($A7,Backlog!$A$2:$A$180,0))="","",INDEX(Backlog!$K$2:$K$180,MATCH($A7,Backlog!$A$2:$A$180,0)))</x:f>
        <x:v>Done</x:v>
      </x:c>
      <x:c r="D7" s="194" t="str">
        <x:f>IF(INDEX(Backlog!$B$2:$B$180,MATCH($A7,Backlog!$A$2:$A$180,0))="","",INDEX(Backlog!$B$2:$B$180,MATCH($A7,Backlog!$A$2:$A$180,0)))</x:f>
        <x:v>M2</x:v>
      </x:c>
    </x:row>
    <x:row r="8" ht="26" customHeight="1">
      <x:c r="A8" s="194" t="str">
        <x:v>T-092</x:v>
      </x:c>
      <x:c r="B8" s="194" t="str">
        <x:v>L5.1</x:v>
      </x:c>
      <x:c r="C8" s="194" t="str">
        <x:f>IF(INDEX(Backlog!$K$2:$K$180,MATCH($A8,Backlog!$A$2:$A$180,0))="","",INDEX(Backlog!$K$2:$K$180,MATCH($A8,Backlog!$A$2:$A$180,0)))</x:f>
        <x:v>Done</x:v>
      </x:c>
      <x:c r="D8" s="194" t="str">
        <x:f>IF(INDEX(Backlog!$B$2:$B$180,MATCH($A8,Backlog!$A$2:$A$180,0))="","",INDEX(Backlog!$B$2:$B$180,MATCH($A8,Backlog!$A$2:$A$180,0)))</x:f>
        <x:v>M2</x:v>
      </x:c>
    </x:row>
    <x:row r="9" ht="26" customHeight="1">
      <x:c r="A9" s="194" t="str">
        <x:v>T-094</x:v>
      </x:c>
      <x:c r="B9" s="194" t="str">
        <x:v>L5.3</x:v>
      </x:c>
      <x:c r="C9" s="194" t="str">
        <x:f>IF(INDEX(Backlog!$K$2:$K$180,MATCH($A9,Backlog!$A$2:$A$180,0))="","",INDEX(Backlog!$K$2:$K$180,MATCH($A9,Backlog!$A$2:$A$180,0)))</x:f>
        <x:v>Done</x:v>
      </x:c>
      <x:c r="D9" s="194" t="str">
        <x:f>IF(INDEX(Backlog!$B$2:$B$180,MATCH($A9,Backlog!$A$2:$A$180,0))="","",INDEX(Backlog!$B$2:$B$180,MATCH($A9,Backlog!$A$2:$A$180,0)))</x:f>
        <x:v>M2</x:v>
      </x:c>
    </x:row>
    <x:row r="10" ht="26" customHeight="1">
      <x:c r="A10" s="194" t="str">
        <x:v>T-202</x:v>
      </x:c>
      <x:c r="B10" s="194" t="str">
        <x:v>L3.1</x:v>
      </x:c>
      <x:c r="C10" s="194" t="str">
        <x:f>IF(INDEX(Backlog!$K$2:$K$180,MATCH($A10,Backlog!$A$2:$A$180,0))="","",INDEX(Backlog!$K$2:$K$180,MATCH($A10,Backlog!$A$2:$A$180,0)))</x:f>
        <x:v>Done</x:v>
      </x:c>
      <x:c r="D10" s="194" t="str">
        <x:f>IF(INDEX(Backlog!$B$2:$B$180,MATCH($A10,Backlog!$A$2:$A$180,0))="","",INDEX(Backlog!$B$2:$B$180,MATCH($A10,Backlog!$A$2:$A$180,0)))</x:f>
        <x:v>M2</x:v>
      </x:c>
    </x:row>
    <x:row r="11" ht="26" customHeight="1">
      <x:c r="A11" s="194" t="str">
        <x:v>T-202</x:v>
      </x:c>
      <x:c r="B11" s="194" t="str">
        <x:v>L3.4</x:v>
      </x:c>
      <x:c r="C11" s="194" t="str">
        <x:f>IF(INDEX(Backlog!$K$2:$K$180,MATCH($A11,Backlog!$A$2:$A$180,0))="","",INDEX(Backlog!$K$2:$K$180,MATCH($A11,Backlog!$A$2:$A$180,0)))</x:f>
        <x:v>Done</x:v>
      </x:c>
      <x:c r="D11" s="194" t="str">
        <x:f>IF(INDEX(Backlog!$B$2:$B$180,MATCH($A11,Backlog!$A$2:$A$180,0))="","",INDEX(Backlog!$B$2:$B$180,MATCH($A11,Backlog!$A$2:$A$180,0)))</x:f>
        <x:v>M2</x:v>
      </x:c>
    </x:row>
    <x:row r="12" ht="26" customHeight="1">
      <x:c r="A12" s="194" t="str">
        <x:v>T-203</x:v>
      </x:c>
      <x:c r="B12" s="194" t="str">
        <x:v>L6.7</x:v>
      </x:c>
      <x:c r="C12" s="194" t="str">
        <x:f>IF(INDEX(Backlog!$K$2:$K$180,MATCH($A12,Backlog!$A$2:$A$180,0))="","",INDEX(Backlog!$K$2:$K$180,MATCH($A12,Backlog!$A$2:$A$180,0)))</x:f>
        <x:v>Done</x:v>
      </x:c>
      <x:c r="D12" s="194" t="str">
        <x:f>IF(INDEX(Backlog!$B$2:$B$180,MATCH($A12,Backlog!$A$2:$A$180,0))="","",INDEX(Backlog!$B$2:$B$180,MATCH($A12,Backlog!$A$2:$A$180,0)))</x:f>
        <x:v>M2</x:v>
      </x:c>
    </x:row>
    <x:row r="13" ht="26" customHeight="1">
      <x:c r="A13" s="194" t="str">
        <x:v>T-210</x:v>
      </x:c>
      <x:c r="B13" s="194" t="str">
        <x:v>L4.2</x:v>
      </x:c>
      <x:c r="C13" s="194" t="str">
        <x:f>IF(INDEX(Backlog!$K$2:$K$180,MATCH($A13,Backlog!$A$2:$A$180,0))="","",INDEX(Backlog!$K$2:$K$180,MATCH($A13,Backlog!$A$2:$A$180,0)))</x:f>
        <x:v>Done</x:v>
      </x:c>
      <x:c r="D13" s="194" t="str">
        <x:f>IF(INDEX(Backlog!$B$2:$B$180,MATCH($A13,Backlog!$A$2:$A$180,0))="","",INDEX(Backlog!$B$2:$B$180,MATCH($A13,Backlog!$A$2:$A$180,0)))</x:f>
        <x:v>M2</x:v>
      </x:c>
    </x:row>
    <x:row r="14" ht="26" customHeight="1">
      <x:c r="A14" s="194" t="str">
        <x:v>T-216</x:v>
      </x:c>
      <x:c r="B14" s="194" t="str">
        <x:v>L5.5</x:v>
      </x:c>
      <x:c r="C14" s="194" t="str">
        <x:f>IF(INDEX(Backlog!$K$2:$K$180,MATCH($A14,Backlog!$A$2:$A$180,0))="","",INDEX(Backlog!$K$2:$K$180,MATCH($A14,Backlog!$A$2:$A$180,0)))</x:f>
        <x:v>Done</x:v>
      </x:c>
      <x:c r="D14" s="194" t="str">
        <x:f>IF(INDEX(Backlog!$B$2:$B$180,MATCH($A14,Backlog!$A$2:$A$180,0))="","",INDEX(Backlog!$B$2:$B$180,MATCH($A14,Backlog!$A$2:$A$180,0)))</x:f>
        <x:v>M2</x:v>
      </x:c>
    </x:row>
    <x:row r="15" ht="26" customHeight="1">
      <x:c r="A15" s="194" t="str">
        <x:v>T-251</x:v>
      </x:c>
      <x:c r="B15" s="194" t="str">
        <x:v>L8.1</x:v>
      </x:c>
      <x:c r="C15" s="194" t="str">
        <x:f>IF(INDEX(Backlog!$K$2:$K$180,MATCH($A15,Backlog!$A$2:$A$180,0))="","",INDEX(Backlog!$K$2:$K$180,MATCH($A15,Backlog!$A$2:$A$180,0)))</x:f>
        <x:v>Done</x:v>
      </x:c>
      <x:c r="D15" s="194" t="str">
        <x:f>IF(INDEX(Backlog!$B$2:$B$180,MATCH($A15,Backlog!$A$2:$A$180,0))="","",INDEX(Backlog!$B$2:$B$180,MATCH($A15,Backlog!$A$2:$A$180,0)))</x:f>
        <x:v>M2</x:v>
      </x:c>
    </x:row>
    <x:row r="16" ht="26" customHeight="1">
      <x:c r="A16" s="194" t="str">
        <x:v>T-256</x:v>
      </x:c>
      <x:c r="B16" s="194" t="str">
        <x:v>L5.1</x:v>
      </x:c>
      <x:c r="C16" s="194" t="str">
        <x:f>IF(INDEX(Backlog!$K$2:$K$180,MATCH($A16,Backlog!$A$2:$A$180,0))="","",INDEX(Backlog!$K$2:$K$180,MATCH($A16,Backlog!$A$2:$A$180,0)))</x:f>
        <x:v>Done</x:v>
      </x:c>
      <x:c r="D16" s="194" t="str">
        <x:f>IF(INDEX(Backlog!$B$2:$B$180,MATCH($A16,Backlog!$A$2:$A$180,0))="","",INDEX(Backlog!$B$2:$B$180,MATCH($A16,Backlog!$A$2:$A$180,0)))</x:f>
        <x:v>M2</x:v>
      </x:c>
    </x:row>
    <x:row r="17" ht="26" customHeight="1">
      <x:c r="A17" s="194" t="str">
        <x:v>T-256</x:v>
      </x:c>
      <x:c r="B17" s="194" t="str">
        <x:v>L5.7</x:v>
      </x:c>
      <x:c r="C17" s="194" t="str">
        <x:f>IF(INDEX(Backlog!$K$2:$K$180,MATCH($A17,Backlog!$A$2:$A$180,0))="","",INDEX(Backlog!$K$2:$K$180,MATCH($A17,Backlog!$A$2:$A$180,0)))</x:f>
        <x:v>Done</x:v>
      </x:c>
      <x:c r="D17" s="194" t="str">
        <x:f>IF(INDEX(Backlog!$B$2:$B$180,MATCH($A17,Backlog!$A$2:$A$180,0))="","",INDEX(Backlog!$B$2:$B$180,MATCH($A17,Backlog!$A$2:$A$180,0)))</x:f>
        <x:v>M2</x:v>
      </x:c>
    </x:row>
    <x:row r="18" ht="26" customHeight="1">
      <x:c r="A18" s="194" t="str">
        <x:v>T-260</x:v>
      </x:c>
      <x:c r="B18" s="194" t="str">
        <x:v>L5.7</x:v>
      </x:c>
      <x:c r="C18" s="194" t="str">
        <x:f>IF(INDEX(Backlog!$K$2:$K$180,MATCH($A18,Backlog!$A$2:$A$180,0))="","",INDEX(Backlog!$K$2:$K$180,MATCH($A18,Backlog!$A$2:$A$180,0)))</x:f>
        <x:v>Done</x:v>
      </x:c>
      <x:c r="D18" s="194" t="str">
        <x:f>IF(INDEX(Backlog!$B$2:$B$180,MATCH($A18,Backlog!$A$2:$A$180,0))="","",INDEX(Backlog!$B$2:$B$180,MATCH($A18,Backlog!$A$2:$A$180,0)))</x:f>
        <x:v>M2</x:v>
      </x:c>
    </x:row>
    <x:row r="19" ht="26" customHeight="1">
      <x:c r="A19" s="194" t="str">
        <x:v>T-260</x:v>
      </x:c>
      <x:c r="B19" s="194" t="str">
        <x:v>L8.2</x:v>
      </x:c>
      <x:c r="C19" s="194" t="str">
        <x:f>IF(INDEX(Backlog!$K$2:$K$180,MATCH($A19,Backlog!$A$2:$A$180,0))="","",INDEX(Backlog!$K$2:$K$180,MATCH($A19,Backlog!$A$2:$A$180,0)))</x:f>
        <x:v>Done</x:v>
      </x:c>
      <x:c r="D19" s="194" t="str">
        <x:f>IF(INDEX(Backlog!$B$2:$B$180,MATCH($A19,Backlog!$A$2:$A$180,0))="","",INDEX(Backlog!$B$2:$B$180,MATCH($A19,Backlog!$A$2:$A$180,0)))</x:f>
        <x:v>M2</x:v>
      </x:c>
    </x:row>
    <x:row r="20" ht="26" customHeight="1">
      <x:c r="A20" s="194" t="str">
        <x:v>T-101</x:v>
      </x:c>
      <x:c r="B20" s="194" t="str">
        <x:v>L1.6</x:v>
      </x:c>
      <x:c r="C20" s="194" t="str">
        <x:f>IF(INDEX(Backlog!$K$2:$K$180,MATCH($A20,Backlog!$A$2:$A$180,0))="","",INDEX(Backlog!$K$2:$K$180,MATCH($A20,Backlog!$A$2:$A$180,0)))</x:f>
        <x:v>Not Started</x:v>
      </x:c>
      <x:c r="D20" s="194" t="str">
        <x:f>IF(INDEX(Backlog!$B$2:$B$180,MATCH($A20,Backlog!$A$2:$A$180,0))="","",INDEX(Backlog!$B$2:$B$180,MATCH($A20,Backlog!$A$2:$A$180,0)))</x:f>
        <x:v>M2</x:v>
      </x:c>
    </x:row>
    <x:row r="21" ht="26" customHeight="1">
      <x:c r="A21" s="194" t="str">
        <x:v>T-101</x:v>
      </x:c>
      <x:c r="B21" s="194" t="str">
        <x:v>L1.2</x:v>
      </x:c>
      <x:c r="C21" s="194" t="str">
        <x:f>IF(INDEX(Backlog!$K$2:$K$180,MATCH($A21,Backlog!$A$2:$A$180,0))="","",INDEX(Backlog!$K$2:$K$180,MATCH($A21,Backlog!$A$2:$A$180,0)))</x:f>
        <x:v>Not Started</x:v>
      </x:c>
      <x:c r="D21" s="194" t="str">
        <x:f>IF(INDEX(Backlog!$B$2:$B$180,MATCH($A21,Backlog!$A$2:$A$180,0))="","",INDEX(Backlog!$B$2:$B$180,MATCH($A21,Backlog!$A$2:$A$180,0)))</x:f>
        <x:v>M2</x:v>
      </x:c>
    </x:row>
    <x:row r="22" ht="26" customHeight="1">
      <x:c r="A22" s="194" t="str">
        <x:v>T-101</x:v>
      </x:c>
      <x:c r="B22" s="194" t="str">
        <x:v>L1.7</x:v>
      </x:c>
      <x:c r="C22" s="194" t="str">
        <x:f>IF(INDEX(Backlog!$K$2:$K$180,MATCH($A22,Backlog!$A$2:$A$180,0))="","",INDEX(Backlog!$K$2:$K$180,MATCH($A22,Backlog!$A$2:$A$180,0)))</x:f>
        <x:v>Not Started</x:v>
      </x:c>
      <x:c r="D22" s="194" t="str">
        <x:f>IF(INDEX(Backlog!$B$2:$B$180,MATCH($A22,Backlog!$A$2:$A$180,0))="","",INDEX(Backlog!$B$2:$B$180,MATCH($A22,Backlog!$A$2:$A$180,0)))</x:f>
        <x:v>M2</x:v>
      </x:c>
    </x:row>
    <x:row r="23" ht="26" customHeight="1">
      <x:c r="A23" s="194" t="str">
        <x:v>T-104</x:v>
      </x:c>
      <x:c r="B23" s="194" t="str">
        <x:v>L2.5</x:v>
      </x:c>
      <x:c r="C23" s="194" t="str">
        <x:f>IF(INDEX(Backlog!$K$2:$K$180,MATCH($A23,Backlog!$A$2:$A$180,0))="","",INDEX(Backlog!$K$2:$K$180,MATCH($A23,Backlog!$A$2:$A$180,0)))</x:f>
        <x:v>Not Started</x:v>
      </x:c>
      <x:c r="D23" s="194" t="str">
        <x:f>IF(INDEX(Backlog!$B$2:$B$180,MATCH($A23,Backlog!$A$2:$A$180,0))="","",INDEX(Backlog!$B$2:$B$180,MATCH($A23,Backlog!$A$2:$A$180,0)))</x:f>
        <x:v>M2</x:v>
      </x:c>
    </x:row>
    <x:row r="24" ht="26" customHeight="1">
      <x:c r="A24" s="194" t="str">
        <x:v>T-106</x:v>
      </x:c>
      <x:c r="B24" s="194" t="str">
        <x:v>L2.5</x:v>
      </x:c>
      <x:c r="C24" s="194" t="str">
        <x:f>IF(INDEX(Backlog!$K$2:$K$180,MATCH($A24,Backlog!$A$2:$A$180,0))="","",INDEX(Backlog!$K$2:$K$180,MATCH($A24,Backlog!$A$2:$A$180,0)))</x:f>
        <x:v>In Progress</x:v>
      </x:c>
      <x:c r="D24" s="194" t="str">
        <x:f>IF(INDEX(Backlog!$B$2:$B$180,MATCH($A24,Backlog!$A$2:$A$180,0))="","",INDEX(Backlog!$B$2:$B$180,MATCH($A24,Backlog!$A$2:$A$180,0)))</x:f>
        <x:v>M2</x:v>
      </x:c>
    </x:row>
    <x:row r="25" ht="26" customHeight="1">
      <x:c r="A25" s="194" t="str">
        <x:v>T-106</x:v>
      </x:c>
      <x:c r="B25" s="194" t="str">
        <x:v>L2.7</x:v>
      </x:c>
      <x:c r="C25" s="194" t="str">
        <x:f>IF(INDEX(Backlog!$K$2:$K$180,MATCH($A25,Backlog!$A$2:$A$180,0))="","",INDEX(Backlog!$K$2:$K$180,MATCH($A25,Backlog!$A$2:$A$180,0)))</x:f>
        <x:v>In Progress</x:v>
      </x:c>
      <x:c r="D25" s="194" t="str">
        <x:f>IF(INDEX(Backlog!$B$2:$B$180,MATCH($A25,Backlog!$A$2:$A$180,0))="","",INDEX(Backlog!$B$2:$B$180,MATCH($A25,Backlog!$A$2:$A$180,0)))</x:f>
        <x:v>M2</x:v>
      </x:c>
    </x:row>
    <x:row r="26" ht="26" customHeight="1">
      <x:c r="A26" s="194" t="str">
        <x:v>T-106</x:v>
      </x:c>
      <x:c r="B26" s="194" t="str">
        <x:v>L1.7</x:v>
      </x:c>
      <x:c r="C26" s="194" t="str">
        <x:f>IF(INDEX(Backlog!$K$2:$K$180,MATCH($A26,Backlog!$A$2:$A$180,0))="","",INDEX(Backlog!$K$2:$K$180,MATCH($A26,Backlog!$A$2:$A$180,0)))</x:f>
        <x:v>In Progress</x:v>
      </x:c>
      <x:c r="D26" s="194" t="str">
        <x:f>IF(INDEX(Backlog!$B$2:$B$180,MATCH($A26,Backlog!$A$2:$A$180,0))="","",INDEX(Backlog!$B$2:$B$180,MATCH($A26,Backlog!$A$2:$A$180,0)))</x:f>
        <x:v>M2</x:v>
      </x:c>
    </x:row>
    <x:row r="27" ht="26" customHeight="1">
      <x:c r="A27" s="194" t="str">
        <x:v>T-107</x:v>
      </x:c>
      <x:c r="B27" s="194" t="str">
        <x:v>L2.6</x:v>
      </x:c>
      <x:c r="C27" s="194" t="str">
        <x:f>IF(INDEX(Backlog!$K$2:$K$180,MATCH($A27,Backlog!$A$2:$A$180,0))="","",INDEX(Backlog!$K$2:$K$180,MATCH($A27,Backlog!$A$2:$A$180,0)))</x:f>
        <x:v>Not Started</x:v>
      </x:c>
      <x:c r="D27" s="194" t="str">
        <x:f>IF(INDEX(Backlog!$B$2:$B$180,MATCH($A27,Backlog!$A$2:$A$180,0))="","",INDEX(Backlog!$B$2:$B$180,MATCH($A27,Backlog!$A$2:$A$180,0)))</x:f>
        <x:v>M2</x:v>
      </x:c>
    </x:row>
    <x:row r="28" ht="26" customHeight="1">
      <x:c r="A28" s="194" t="str">
        <x:v>T-108</x:v>
      </x:c>
      <x:c r="B28" s="194" t="str">
        <x:v>L1.3</x:v>
      </x:c>
      <x:c r="C28" s="194" t="str">
        <x:f>IF(INDEX(Backlog!$K$2:$K$180,MATCH($A28,Backlog!$A$2:$A$180,0))="","",INDEX(Backlog!$K$2:$K$180,MATCH($A28,Backlog!$A$2:$A$180,0)))</x:f>
        <x:v>Not Started</x:v>
      </x:c>
      <x:c r="D28" s="194" t="str">
        <x:f>IF(INDEX(Backlog!$B$2:$B$180,MATCH($A28,Backlog!$A$2:$A$180,0))="","",INDEX(Backlog!$B$2:$B$180,MATCH($A28,Backlog!$A$2:$A$180,0)))</x:f>
        <x:v>M2</x:v>
      </x:c>
    </x:row>
    <x:row r="29" ht="26" customHeight="1">
      <x:c r="A29" s="194" t="str">
        <x:v>T-108</x:v>
      </x:c>
      <x:c r="B29" s="194" t="str">
        <x:v>L1.1</x:v>
      </x:c>
      <x:c r="C29" s="194" t="str">
        <x:f>IF(INDEX(Backlog!$K$2:$K$180,MATCH($A29,Backlog!$A$2:$A$180,0))="","",INDEX(Backlog!$K$2:$K$180,MATCH($A29,Backlog!$A$2:$A$180,0)))</x:f>
        <x:v>Not Started</x:v>
      </x:c>
      <x:c r="D29" s="194" t="str">
        <x:f>IF(INDEX(Backlog!$B$2:$B$180,MATCH($A29,Backlog!$A$2:$A$180,0))="","",INDEX(Backlog!$B$2:$B$180,MATCH($A29,Backlog!$A$2:$A$180,0)))</x:f>
        <x:v>M2</x:v>
      </x:c>
    </x:row>
    <x:row r="30" ht="26" customHeight="1">
      <x:c r="A30" s="194" t="str">
        <x:v>T-108</x:v>
      </x:c>
      <x:c r="B30" s="194" t="str">
        <x:v>L1.7</x:v>
      </x:c>
      <x:c r="C30" s="194" t="str">
        <x:f>IF(INDEX(Backlog!$K$2:$K$180,MATCH($A30,Backlog!$A$2:$A$180,0))="","",INDEX(Backlog!$K$2:$K$180,MATCH($A30,Backlog!$A$2:$A$180,0)))</x:f>
        <x:v>Not Started</x:v>
      </x:c>
      <x:c r="D30" s="194" t="str">
        <x:f>IF(INDEX(Backlog!$B$2:$B$180,MATCH($A30,Backlog!$A$2:$A$180,0))="","",INDEX(Backlog!$B$2:$B$180,MATCH($A30,Backlog!$A$2:$A$180,0)))</x:f>
        <x:v>M2</x:v>
      </x:c>
    </x:row>
    <x:row r="31" ht="26" customHeight="1">
      <x:c r="A31" s="194" t="str">
        <x:v>T-109</x:v>
      </x:c>
      <x:c r="B31" s="194" t="str">
        <x:v>L4.3</x:v>
      </x:c>
      <x:c r="C31" s="194" t="str">
        <x:f>IF(INDEX(Backlog!$K$2:$K$180,MATCH($A31,Backlog!$A$2:$A$180,0))="","",INDEX(Backlog!$K$2:$K$180,MATCH($A31,Backlog!$A$2:$A$180,0)))</x:f>
        <x:v>Not Started</x:v>
      </x:c>
      <x:c r="D31" s="194" t="str">
        <x:f>IF(INDEX(Backlog!$B$2:$B$180,MATCH($A31,Backlog!$A$2:$A$180,0))="","",INDEX(Backlog!$B$2:$B$180,MATCH($A31,Backlog!$A$2:$A$180,0)))</x:f>
        <x:v>M2</x:v>
      </x:c>
    </x:row>
    <x:row r="32" ht="26" customHeight="1">
      <x:c r="A32" s="194" t="str">
        <x:v>T-212</x:v>
      </x:c>
      <x:c r="B32" s="194" t="str">
        <x:v>L5.3</x:v>
      </x:c>
      <x:c r="C32" s="194" t="str">
        <x:f>IF(INDEX(Backlog!$K$2:$K$180,MATCH($A32,Backlog!$A$2:$A$180,0))="","",INDEX(Backlog!$K$2:$K$180,MATCH($A32,Backlog!$A$2:$A$180,0)))</x:f>
        <x:v>Not Started</x:v>
      </x:c>
      <x:c r="D32" s="194" t="str">
        <x:f>IF(INDEX(Backlog!$B$2:$B$180,MATCH($A32,Backlog!$A$2:$A$180,0))="","",INDEX(Backlog!$B$2:$B$180,MATCH($A32,Backlog!$A$2:$A$180,0)))</x:f>
        <x:v>M2</x:v>
      </x:c>
    </x:row>
    <x:row r="33" ht="26" customHeight="1">
      <x:c r="A33" s="194" t="str">
        <x:v>T-212</x:v>
      </x:c>
      <x:c r="B33" s="194" t="str">
        <x:v>L4.2</x:v>
      </x:c>
      <x:c r="C33" s="194" t="str">
        <x:f>IF(INDEX(Backlog!$K$2:$K$180,MATCH($A33,Backlog!$A$2:$A$180,0))="","",INDEX(Backlog!$K$2:$K$180,MATCH($A33,Backlog!$A$2:$A$180,0)))</x:f>
        <x:v>Not Started</x:v>
      </x:c>
      <x:c r="D33" s="194" t="str">
        <x:f>IF(INDEX(Backlog!$B$2:$B$180,MATCH($A33,Backlog!$A$2:$A$180,0))="","",INDEX(Backlog!$B$2:$B$180,MATCH($A33,Backlog!$A$2:$A$180,0)))</x:f>
        <x:v>M2</x:v>
      </x:c>
    </x:row>
    <x:row r="34" ht="26" customHeight="1">
      <x:c r="A34" s="194" t="str">
        <x:v>T-213</x:v>
      </x:c>
      <x:c r="B34" s="194" t="str">
        <x:v>L1.1</x:v>
      </x:c>
      <x:c r="C34" s="194" t="str">
        <x:f>IF(INDEX(Backlog!$K$2:$K$180,MATCH($A34,Backlog!$A$2:$A$180,0))="","",INDEX(Backlog!$K$2:$K$180,MATCH($A34,Backlog!$A$2:$A$180,0)))</x:f>
        <x:v>Done</x:v>
      </x:c>
      <x:c r="D34" s="194" t="str">
        <x:f>IF(INDEX(Backlog!$B$2:$B$180,MATCH($A34,Backlog!$A$2:$A$180,0))="","",INDEX(Backlog!$B$2:$B$180,MATCH($A34,Backlog!$A$2:$A$180,0)))</x:f>
        <x:v>M2</x:v>
      </x:c>
    </x:row>
    <x:row r="35" ht="26" customHeight="1">
      <x:c r="A35" s="194" t="str">
        <x:v>T-213</x:v>
      </x:c>
      <x:c r="B35" s="194" t="str">
        <x:v>L7.8</x:v>
      </x:c>
      <x:c r="C35" s="194" t="str">
        <x:f>IF(INDEX(Backlog!$K$2:$K$180,MATCH($A35,Backlog!$A$2:$A$180,0))="","",INDEX(Backlog!$K$2:$K$180,MATCH($A35,Backlog!$A$2:$A$180,0)))</x:f>
        <x:v>Done</x:v>
      </x:c>
      <x:c r="D35" s="194" t="str">
        <x:f>IF(INDEX(Backlog!$B$2:$B$180,MATCH($A35,Backlog!$A$2:$A$180,0))="","",INDEX(Backlog!$B$2:$B$180,MATCH($A35,Backlog!$A$2:$A$180,0)))</x:f>
        <x:v>M2</x:v>
      </x:c>
    </x:row>
    <x:row r="36" ht="26" customHeight="1">
      <x:c r="A36" s="194" t="str">
        <x:v>T-233</x:v>
      </x:c>
      <x:c r="B36" s="194" t="str">
        <x:v>L5.5</x:v>
      </x:c>
      <x:c r="C36" s="194" t="str">
        <x:f>IF(INDEX(Backlog!$K$2:$K$180,MATCH($A36,Backlog!$A$2:$A$180,0))="","",INDEX(Backlog!$K$2:$K$180,MATCH($A36,Backlog!$A$2:$A$180,0)))</x:f>
        <x:v>Not Started</x:v>
      </x:c>
      <x:c r="D36" s="194" t="str">
        <x:f>IF(INDEX(Backlog!$B$2:$B$180,MATCH($A36,Backlog!$A$2:$A$180,0))="","",INDEX(Backlog!$B$2:$B$180,MATCH($A36,Backlog!$A$2:$A$180,0)))</x:f>
        <x:v>M2</x:v>
      </x:c>
    </x:row>
    <x:row r="37" ht="26" customHeight="1">
      <x:c r="A37" s="194" t="str">
        <x:v>T-243</x:v>
      </x:c>
      <x:c r="B37" s="194" t="str">
        <x:v>L3.5</x:v>
      </x:c>
      <x:c r="C37" s="194" t="str">
        <x:f>IF(INDEX(Backlog!$K$2:$K$180,MATCH($A37,Backlog!$A$2:$A$180,0))="","",INDEX(Backlog!$K$2:$K$180,MATCH($A37,Backlog!$A$2:$A$180,0)))</x:f>
        <x:v>In Progress</x:v>
      </x:c>
      <x:c r="D37" s="194" t="str">
        <x:f>IF(INDEX(Backlog!$B$2:$B$180,MATCH($A37,Backlog!$A$2:$A$180,0))="","",INDEX(Backlog!$B$2:$B$180,MATCH($A37,Backlog!$A$2:$A$180,0)))</x:f>
        <x:v>M2</x:v>
      </x:c>
    </x:row>
    <x:row r="38" ht="26" customHeight="1">
      <x:c r="A38" s="194" t="str">
        <x:v>T-243</x:v>
      </x:c>
      <x:c r="B38" s="194" t="str">
        <x:v>L3.6</x:v>
      </x:c>
      <x:c r="C38" s="194" t="str">
        <x:f>IF(INDEX(Backlog!$K$2:$K$180,MATCH($A38,Backlog!$A$2:$A$180,0))="","",INDEX(Backlog!$K$2:$K$180,MATCH($A38,Backlog!$A$2:$A$180,0)))</x:f>
        <x:v>In Progress</x:v>
      </x:c>
      <x:c r="D38" s="194" t="str">
        <x:f>IF(INDEX(Backlog!$B$2:$B$180,MATCH($A38,Backlog!$A$2:$A$180,0))="","",INDEX(Backlog!$B$2:$B$180,MATCH($A38,Backlog!$A$2:$A$180,0)))</x:f>
        <x:v>M2</x:v>
      </x:c>
    </x:row>
    <x:row r="39" ht="26" customHeight="1">
      <x:c r="A39" s="194" t="str">
        <x:v>T-243</x:v>
      </x:c>
      <x:c r="B39" s="194" t="str">
        <x:v>L2.2</x:v>
      </x:c>
      <x:c r="C39" s="194" t="str">
        <x:f>IF(INDEX(Backlog!$K$2:$K$180,MATCH($A39,Backlog!$A$2:$A$180,0))="","",INDEX(Backlog!$K$2:$K$180,MATCH($A39,Backlog!$A$2:$A$180,0)))</x:f>
        <x:v>In Progress</x:v>
      </x:c>
      <x:c r="D39" s="194" t="str">
        <x:f>IF(INDEX(Backlog!$B$2:$B$180,MATCH($A39,Backlog!$A$2:$A$180,0))="","",INDEX(Backlog!$B$2:$B$180,MATCH($A39,Backlog!$A$2:$A$180,0)))</x:f>
        <x:v>M2</x:v>
      </x:c>
    </x:row>
    <x:row r="40" ht="26" customHeight="1">
      <x:c r="A40" s="194" t="str">
        <x:v>T-244</x:v>
      </x:c>
      <x:c r="B40" s="194" t="str">
        <x:v>L3.7</x:v>
      </x:c>
      <x:c r="C40" s="194" t="str">
        <x:f>IF(INDEX(Backlog!$K$2:$K$180,MATCH($A40,Backlog!$A$2:$A$180,0))="","",INDEX(Backlog!$K$2:$K$180,MATCH($A40,Backlog!$A$2:$A$180,0)))</x:f>
        <x:v>Done</x:v>
      </x:c>
      <x:c r="D40" s="194" t="str">
        <x:f>IF(INDEX(Backlog!$B$2:$B$180,MATCH($A40,Backlog!$A$2:$A$180,0))="","",INDEX(Backlog!$B$2:$B$180,MATCH($A40,Backlog!$A$2:$A$180,0)))</x:f>
        <x:v>M2</x:v>
      </x:c>
    </x:row>
    <x:row r="41" ht="26" customHeight="1">
      <x:c r="A41" s="194" t="str">
        <x:v>T-245</x:v>
      </x:c>
      <x:c r="B41" s="194" t="str">
        <x:v>L2.6</x:v>
      </x:c>
      <x:c r="C41" s="194" t="str">
        <x:f>IF(INDEX(Backlog!$K$2:$K$180,MATCH($A41,Backlog!$A$2:$A$180,0))="","",INDEX(Backlog!$K$2:$K$180,MATCH($A41,Backlog!$A$2:$A$180,0)))</x:f>
        <x:v>Not Started</x:v>
      </x:c>
      <x:c r="D41" s="194" t="str">
        <x:f>IF(INDEX(Backlog!$B$2:$B$180,MATCH($A41,Backlog!$A$2:$A$180,0))="","",INDEX(Backlog!$B$2:$B$180,MATCH($A41,Backlog!$A$2:$A$180,0)))</x:f>
        <x:v>M2</x:v>
      </x:c>
    </x:row>
    <x:row r="42" ht="26" customHeight="1">
      <x:c r="A42" s="194" t="str">
        <x:v>T-247</x:v>
      </x:c>
      <x:c r="B42" s="194" t="str">
        <x:v>L1.1</x:v>
      </x:c>
      <x:c r="C42" s="194" t="str">
        <x:f>IF(INDEX(Backlog!$K$2:$K$180,MATCH($A42,Backlog!$A$2:$A$180,0))="","",INDEX(Backlog!$K$2:$K$180,MATCH($A42,Backlog!$A$2:$A$180,0)))</x:f>
        <x:v>Not Started</x:v>
      </x:c>
      <x:c r="D42" s="194" t="str">
        <x:f>IF(INDEX(Backlog!$B$2:$B$180,MATCH($A42,Backlog!$A$2:$A$180,0))="","",INDEX(Backlog!$B$2:$B$180,MATCH($A42,Backlog!$A$2:$A$180,0)))</x:f>
        <x:v>M2</x:v>
      </x:c>
    </x:row>
    <x:row r="43" ht="26" customHeight="1">
      <x:c r="A43" s="194" t="str">
        <x:v>T-247</x:v>
      </x:c>
      <x:c r="B43" s="194" t="str">
        <x:v>L1.2</x:v>
      </x:c>
      <x:c r="C43" s="194" t="str">
        <x:f>IF(INDEX(Backlog!$K$2:$K$180,MATCH($A43,Backlog!$A$2:$A$180,0))="","",INDEX(Backlog!$K$2:$K$180,MATCH($A43,Backlog!$A$2:$A$180,0)))</x:f>
        <x:v>Not Started</x:v>
      </x:c>
      <x:c r="D43" s="194" t="str">
        <x:f>IF(INDEX(Backlog!$B$2:$B$180,MATCH($A43,Backlog!$A$2:$A$180,0))="","",INDEX(Backlog!$B$2:$B$180,MATCH($A43,Backlog!$A$2:$A$180,0)))</x:f>
        <x:v>M2</x:v>
      </x:c>
    </x:row>
    <x:row r="44" ht="26" customHeight="1">
      <x:c r="A44" s="194" t="str">
        <x:v>T-247</x:v>
      </x:c>
      <x:c r="B44" s="194" t="str">
        <x:v>L2.3</x:v>
      </x:c>
      <x:c r="C44" s="194" t="str">
        <x:f>IF(INDEX(Backlog!$K$2:$K$180,MATCH($A44,Backlog!$A$2:$A$180,0))="","",INDEX(Backlog!$K$2:$K$180,MATCH($A44,Backlog!$A$2:$A$180,0)))</x:f>
        <x:v>Not Started</x:v>
      </x:c>
      <x:c r="D44" s="194" t="str">
        <x:f>IF(INDEX(Backlog!$B$2:$B$180,MATCH($A44,Backlog!$A$2:$A$180,0))="","",INDEX(Backlog!$B$2:$B$180,MATCH($A44,Backlog!$A$2:$A$180,0)))</x:f>
        <x:v>M2</x:v>
      </x:c>
    </x:row>
    <x:row r="45" ht="26" customHeight="1">
      <x:c r="A45" s="194" t="str">
        <x:v>T-247</x:v>
      </x:c>
      <x:c r="B45" s="194" t="str">
        <x:v>L3.8</x:v>
      </x:c>
      <x:c r="C45" s="194" t="str">
        <x:f>IF(INDEX(Backlog!$K$2:$K$180,MATCH($A45,Backlog!$A$2:$A$180,0))="","",INDEX(Backlog!$K$2:$K$180,MATCH($A45,Backlog!$A$2:$A$180,0)))</x:f>
        <x:v>Not Started</x:v>
      </x:c>
      <x:c r="D45" s="194" t="str">
        <x:f>IF(INDEX(Backlog!$B$2:$B$180,MATCH($A45,Backlog!$A$2:$A$180,0))="","",INDEX(Backlog!$B$2:$B$180,MATCH($A45,Backlog!$A$2:$A$180,0)))</x:f>
        <x:v>M2</x:v>
      </x:c>
    </x:row>
    <x:row r="46" ht="26" customHeight="1">
      <x:c r="A46" s="194" t="str">
        <x:v>T-253</x:v>
      </x:c>
      <x:c r="B46" s="194" t="str">
        <x:v>L2.3</x:v>
      </x:c>
      <x:c r="C46" s="194" t="str">
        <x:f>IF(INDEX(Backlog!$K$2:$K$180,MATCH($A46,Backlog!$A$2:$A$180,0))="","",INDEX(Backlog!$K$2:$K$180,MATCH($A46,Backlog!$A$2:$A$180,0)))</x:f>
        <x:v>Done</x:v>
      </x:c>
      <x:c r="D46" s="194" t="str">
        <x:f>IF(INDEX(Backlog!$B$2:$B$180,MATCH($A46,Backlog!$A$2:$A$180,0))="","",INDEX(Backlog!$B$2:$B$180,MATCH($A46,Backlog!$A$2:$A$180,0)))</x:f>
        <x:v>M2</x:v>
      </x:c>
    </x:row>
    <x:row r="47" ht="26" customHeight="1">
      <x:c r="A47" s="194" t="str">
        <x:v>T-254</x:v>
      </x:c>
      <x:c r="B47" s="194" t="str">
        <x:v>L1.4</x:v>
      </x:c>
      <x:c r="C47" s="194" t="str">
        <x:f>IF(INDEX(Backlog!$K$2:$K$180,MATCH($A47,Backlog!$A$2:$A$180,0))="","",INDEX(Backlog!$K$2:$K$180,MATCH($A47,Backlog!$A$2:$A$180,0)))</x:f>
        <x:v>Not Started</x:v>
      </x:c>
      <x:c r="D47" s="194" t="str">
        <x:f>IF(INDEX(Backlog!$B$2:$B$180,MATCH($A47,Backlog!$A$2:$A$180,0))="","",INDEX(Backlog!$B$2:$B$180,MATCH($A47,Backlog!$A$2:$A$180,0)))</x:f>
        <x:v>M2</x:v>
      </x:c>
    </x:row>
    <x:row r="48" ht="26" customHeight="1">
      <x:c r="A48" s="194" t="str">
        <x:v>T-261</x:v>
      </x:c>
      <x:c r="B48" s="194" t="str">
        <x:v>L3.8</x:v>
      </x:c>
      <x:c r="C48" s="194" t="str">
        <x:f>IF(INDEX(Backlog!$K$2:$K$180,MATCH($A48,Backlog!$A$2:$A$180,0))="","",INDEX(Backlog!$K$2:$K$180,MATCH($A48,Backlog!$A$2:$A$180,0)))</x:f>
        <x:v>In Progress</x:v>
      </x:c>
      <x:c r="D48" s="194" t="str">
        <x:f>IF(INDEX(Backlog!$B$2:$B$180,MATCH($A48,Backlog!$A$2:$A$180,0))="","",INDEX(Backlog!$B$2:$B$180,MATCH($A48,Backlog!$A$2:$A$180,0)))</x:f>
        <x:v>M2</x:v>
      </x:c>
    </x:row>
    <x:row r="49" ht="26" customHeight="1">
      <x:c r="A49" s="194" t="str">
        <x:v>T-261</x:v>
      </x:c>
      <x:c r="B49" s="194" t="str">
        <x:v>L2.6</x:v>
      </x:c>
      <x:c r="C49" s="194" t="str">
        <x:f>IF(INDEX(Backlog!$K$2:$K$180,MATCH($A49,Backlog!$A$2:$A$180,0))="","",INDEX(Backlog!$K$2:$K$180,MATCH($A49,Backlog!$A$2:$A$180,0)))</x:f>
        <x:v>In Progress</x:v>
      </x:c>
      <x:c r="D49" s="194" t="str">
        <x:f>IF(INDEX(Backlog!$B$2:$B$180,MATCH($A49,Backlog!$A$2:$A$180,0))="","",INDEX(Backlog!$B$2:$B$180,MATCH($A49,Backlog!$A$2:$A$180,0)))</x:f>
        <x:v>M2</x:v>
      </x:c>
    </x:row>
    <x:row r="50" ht="26" customHeight="1">
      <x:c r="A50" s="194" t="str">
        <x:v>T-262</x:v>
      </x:c>
      <x:c r="B50" s="194" t="str">
        <x:v>L2.3</x:v>
      </x:c>
      <x:c r="C50" s="194" t="str">
        <x:f>IF(INDEX(Backlog!$K$2:$K$180,MATCH($A50,Backlog!$A$2:$A$180,0))="","",INDEX(Backlog!$K$2:$K$180,MATCH($A50,Backlog!$A$2:$A$180,0)))</x:f>
        <x:v>In Progress</x:v>
      </x:c>
      <x:c r="D50" s="194" t="str">
        <x:f>IF(INDEX(Backlog!$B$2:$B$180,MATCH($A50,Backlog!$A$2:$A$180,0))="","",INDEX(Backlog!$B$2:$B$180,MATCH($A50,Backlog!$A$2:$A$180,0)))</x:f>
        <x:v>M2</x:v>
      </x:c>
    </x:row>
    <x:row r="51" ht="26" customHeight="1">
      <x:c r="A51" s="194" t="str">
        <x:v>T-262</x:v>
      </x:c>
      <x:c r="B51" s="194" t="str">
        <x:v>L3.6</x:v>
      </x:c>
      <x:c r="C51" s="194" t="str">
        <x:f>IF(INDEX(Backlog!$K$2:$K$180,MATCH($A51,Backlog!$A$2:$A$180,0))="","",INDEX(Backlog!$K$2:$K$180,MATCH($A51,Backlog!$A$2:$A$180,0)))</x:f>
        <x:v>In Progress</x:v>
      </x:c>
      <x:c r="D51" s="194" t="str">
        <x:f>IF(INDEX(Backlog!$B$2:$B$180,MATCH($A51,Backlog!$A$2:$A$180,0))="","",INDEX(Backlog!$B$2:$B$180,MATCH($A51,Backlog!$A$2:$A$180,0)))</x:f>
        <x:v>M2</x:v>
      </x:c>
    </x:row>
    <x:row r="52" ht="26" customHeight="1">
      <x:c r="A52" s="194" t="str">
        <x:v>T-215</x:v>
      </x:c>
      <x:c r="B52" s="194" t="str">
        <x:v>L3.4</x:v>
      </x:c>
      <x:c r="C52" s="194" t="str">
        <x:f>IF(INDEX(Backlog!$K$2:$K$180,MATCH($A52,Backlog!$A$2:$A$180,0))="","",INDEX(Backlog!$K$2:$K$180,MATCH($A52,Backlog!$A$2:$A$180,0)))</x:f>
        <x:v>Not Started</x:v>
      </x:c>
      <x:c r="D52" s="194" t="str">
        <x:f>IF(INDEX(Backlog!$B$2:$B$180,MATCH($A52,Backlog!$A$2:$A$180,0))="","",INDEX(Backlog!$B$2:$B$180,MATCH($A52,Backlog!$A$2:$A$180,0)))</x:f>
        <x:v>M2</x:v>
      </x:c>
    </x:row>
    <x:row r="53" ht="26" customHeight="1">
      <x:c r="A53" s="194" t="str">
        <x:v>T-258</x:v>
      </x:c>
      <x:c r="B53" s="194" t="str">
        <x:v>L3.4</x:v>
      </x:c>
      <x:c r="C53" s="194" t="str">
        <x:f>IF(INDEX(Backlog!$K$2:$K$180,MATCH($A53,Backlog!$A$2:$A$180,0))="","",INDEX(Backlog!$K$2:$K$180,MATCH($A53,Backlog!$A$2:$A$180,0)))</x:f>
        <x:v>Not Started</x:v>
      </x:c>
      <x:c r="D53" s="194" t="str">
        <x:f>IF(INDEX(Backlog!$B$2:$B$180,MATCH($A53,Backlog!$A$2:$A$180,0))="","",INDEX(Backlog!$B$2:$B$180,MATCH($A53,Backlog!$A$2:$A$180,0)))</x:f>
        <x:v>M2</x:v>
      </x:c>
    </x:row>
    <x:row r="54" ht="26" customHeight="1">
      <x:c r="A54" s="194" t="str">
        <x:v>T-168</x:v>
      </x:c>
      <x:c r="B54" s="194" t="str">
        <x:v>L8.4</x:v>
      </x:c>
      <x:c r="C54" s="194" t="str">
        <x:f>IF(INDEX(Backlog!$K$2:$K$180,MATCH($A54,Backlog!$A$2:$A$180,0))="","",INDEX(Backlog!$K$2:$K$180,MATCH($A54,Backlog!$A$2:$A$180,0)))</x:f>
        <x:v>Done</x:v>
      </x:c>
      <x:c r="D54" s="194" t="str">
        <x:f>IF(INDEX(Backlog!$B$2:$B$180,MATCH($A54,Backlog!$A$2:$A$180,0))="","",INDEX(Backlog!$B$2:$B$180,MATCH($A54,Backlog!$A$2:$A$180,0)))</x:f>
        <x:v>M2</x:v>
      </x:c>
    </x:row>
    <x:row r="55" ht="26" customHeight="1">
      <x:c r="A55" s="194" t="str">
        <x:v>T-180</x:v>
      </x:c>
      <x:c r="B55" s="194" t="str">
        <x:v>L4.5</x:v>
      </x:c>
      <x:c r="C55" s="194" t="str">
        <x:f>IF(INDEX(Backlog!$K$2:$K$180,MATCH($A55,Backlog!$A$2:$A$180,0))="","",INDEX(Backlog!$K$2:$K$180,MATCH($A55,Backlog!$A$2:$A$180,0)))</x:f>
        <x:v>Done</x:v>
      </x:c>
      <x:c r="D55" s="194" t="str">
        <x:f>IF(INDEX(Backlog!$B$2:$B$180,MATCH($A55,Backlog!$A$2:$A$180,0))="","",INDEX(Backlog!$B$2:$B$180,MATCH($A55,Backlog!$A$2:$A$180,0)))</x:f>
        <x:v>M2</x:v>
      </x:c>
    </x:row>
    <x:row r="56" ht="26" customHeight="1">
      <x:c r="A56" s="194" t="str">
        <x:v>T-181</x:v>
      </x:c>
      <x:c r="B56" s="194" t="str">
        <x:v>L5.8</x:v>
      </x:c>
      <x:c r="C56" s="194" t="str">
        <x:f>IF(INDEX(Backlog!$K$2:$K$180,MATCH($A56,Backlog!$A$2:$A$180,0))="","",INDEX(Backlog!$K$2:$K$180,MATCH($A56,Backlog!$A$2:$A$180,0)))</x:f>
        <x:v>Done</x:v>
      </x:c>
      <x:c r="D56" s="194" t="str">
        <x:f>IF(INDEX(Backlog!$B$2:$B$180,MATCH($A56,Backlog!$A$2:$A$180,0))="","",INDEX(Backlog!$B$2:$B$180,MATCH($A56,Backlog!$A$2:$A$180,0)))</x:f>
        <x:v>M2</x:v>
      </x:c>
    </x:row>
    <x:row r="57" ht="26" customHeight="1">
      <x:c r="A57" s="194" t="str">
        <x:v>T-182</x:v>
      </x:c>
      <x:c r="B57" s="194" t="str">
        <x:v>L4.5</x:v>
      </x:c>
      <x:c r="C57" s="194" t="str">
        <x:f>IF(INDEX(Backlog!$K$2:$K$180,MATCH($A57,Backlog!$A$2:$A$180,0))="","",INDEX(Backlog!$K$2:$K$180,MATCH($A57,Backlog!$A$2:$A$180,0)))</x:f>
        <x:v>Done</x:v>
      </x:c>
      <x:c r="D57" s="194" t="str">
        <x:f>IF(INDEX(Backlog!$B$2:$B$180,MATCH($A57,Backlog!$A$2:$A$180,0))="","",INDEX(Backlog!$B$2:$B$180,MATCH($A57,Backlog!$A$2:$A$180,0)))</x:f>
        <x:v>M2</x:v>
      </x:c>
    </x:row>
    <x:row r="58" ht="26" customHeight="1">
      <x:c r="A58" s="194" t="str">
        <x:v>T-182</x:v>
      </x:c>
      <x:c r="B58" s="194" t="str">
        <x:v>L4.8</x:v>
      </x:c>
      <x:c r="C58" s="194" t="str">
        <x:f>IF(INDEX(Backlog!$K$2:$K$180,MATCH($A58,Backlog!$A$2:$A$180,0))="","",INDEX(Backlog!$K$2:$K$180,MATCH($A58,Backlog!$A$2:$A$180,0)))</x:f>
        <x:v>Done</x:v>
      </x:c>
      <x:c r="D58" s="194" t="str">
        <x:f>IF(INDEX(Backlog!$B$2:$B$180,MATCH($A58,Backlog!$A$2:$A$180,0))="","",INDEX(Backlog!$B$2:$B$180,MATCH($A58,Backlog!$A$2:$A$180,0)))</x:f>
        <x:v>M2</x:v>
      </x:c>
    </x:row>
    <x:row r="59" ht="26" customHeight="1">
      <x:c r="A59" s="194" t="str">
        <x:v>T-211</x:v>
      </x:c>
      <x:c r="B59" s="194" t="str">
        <x:v>L5.3</x:v>
      </x:c>
      <x:c r="C59" s="194" t="str">
        <x:f>IF(INDEX(Backlog!$K$2:$K$180,MATCH($A59,Backlog!$A$2:$A$180,0))="","",INDEX(Backlog!$K$2:$K$180,MATCH($A59,Backlog!$A$2:$A$180,0)))</x:f>
        <x:v>Not Started</x:v>
      </x:c>
      <x:c r="D59" s="194" t="str">
        <x:f>IF(INDEX(Backlog!$B$2:$B$180,MATCH($A59,Backlog!$A$2:$A$180,0))="","",INDEX(Backlog!$B$2:$B$180,MATCH($A59,Backlog!$A$2:$A$180,0)))</x:f>
        <x:v>M2</x:v>
      </x:c>
    </x:row>
    <x:row r="60" ht="26" customHeight="1">
      <x:c r="A60" s="194" t="str">
        <x:v>T-221</x:v>
      </x:c>
      <x:c r="B60" s="194" t="str">
        <x:v>L5.5</x:v>
      </x:c>
      <x:c r="C60" s="194" t="str">
        <x:f>IF(INDEX(Backlog!$K$2:$K$180,MATCH($A60,Backlog!$A$2:$A$180,0))="","",INDEX(Backlog!$K$2:$K$180,MATCH($A60,Backlog!$A$2:$A$180,0)))</x:f>
        <x:v>Not Started</x:v>
      </x:c>
      <x:c r="D60" s="194" t="str">
        <x:f>IF(INDEX(Backlog!$B$2:$B$180,MATCH($A60,Backlog!$A$2:$A$180,0))="","",INDEX(Backlog!$B$2:$B$180,MATCH($A60,Backlog!$A$2:$A$180,0)))</x:f>
        <x:v>M2</x:v>
      </x:c>
    </x:row>
    <x:row r="61" ht="26" customHeight="1">
      <x:c r="A61" s="194" t="str">
        <x:v>T-223</x:v>
      </x:c>
      <x:c r="B61" s="194" t="str">
        <x:v>L10.3</x:v>
      </x:c>
      <x:c r="C61" s="194" t="str">
        <x:f>IF(INDEX(Backlog!$K$2:$K$180,MATCH($A61,Backlog!$A$2:$A$180,0))="","",INDEX(Backlog!$K$2:$K$180,MATCH($A61,Backlog!$A$2:$A$180,0)))</x:f>
        <x:v>Not Started</x:v>
      </x:c>
      <x:c r="D61" s="194" t="str">
        <x:f>IF(INDEX(Backlog!$B$2:$B$180,MATCH($A61,Backlog!$A$2:$A$180,0))="","",INDEX(Backlog!$B$2:$B$180,MATCH($A61,Backlog!$A$2:$A$180,0)))</x:f>
        <x:v>M2</x:v>
      </x:c>
    </x:row>
    <x:row r="62" ht="26" customHeight="1">
      <x:c r="A62" s="194" t="str">
        <x:v>T-223</x:v>
      </x:c>
      <x:c r="B62" s="194" t="str">
        <x:v>L9.1</x:v>
      </x:c>
      <x:c r="C62" s="194" t="str">
        <x:f>IF(INDEX(Backlog!$K$2:$K$180,MATCH($A62,Backlog!$A$2:$A$180,0))="","",INDEX(Backlog!$K$2:$K$180,MATCH($A62,Backlog!$A$2:$A$180,0)))</x:f>
        <x:v>Not Started</x:v>
      </x:c>
      <x:c r="D62" s="194" t="str">
        <x:f>IF(INDEX(Backlog!$B$2:$B$180,MATCH($A62,Backlog!$A$2:$A$180,0))="","",INDEX(Backlog!$B$2:$B$180,MATCH($A62,Backlog!$A$2:$A$180,0)))</x:f>
        <x:v>M2</x:v>
      </x:c>
    </x:row>
    <x:row r="63" ht="26" customHeight="1">
      <x:c r="A63" s="194" t="str">
        <x:v>T-236</x:v>
      </x:c>
      <x:c r="B63" s="194" t="str">
        <x:v>L4.2</x:v>
      </x:c>
      <x:c r="C63" s="194" t="str">
        <x:f>IF(INDEX(Backlog!$K$2:$K$180,MATCH($A63,Backlog!$A$2:$A$180,0))="","",INDEX(Backlog!$K$2:$K$180,MATCH($A63,Backlog!$A$2:$A$180,0)))</x:f>
        <x:v>Done</x:v>
      </x:c>
      <x:c r="D63" s="194" t="str">
        <x:f>IF(INDEX(Backlog!$B$2:$B$180,MATCH($A63,Backlog!$A$2:$A$180,0))="","",INDEX(Backlog!$B$2:$B$180,MATCH($A63,Backlog!$A$2:$A$180,0)))</x:f>
        <x:v>M2</x:v>
      </x:c>
    </x:row>
    <x:row r="64" ht="26" customHeight="1">
      <x:c r="A64" s="194" t="str">
        <x:v>T-236</x:v>
      </x:c>
      <x:c r="B64" s="194" t="str">
        <x:v>L10.3</x:v>
      </x:c>
      <x:c r="C64" s="194" t="str">
        <x:f>IF(INDEX(Backlog!$K$2:$K$180,MATCH($A64,Backlog!$A$2:$A$180,0))="","",INDEX(Backlog!$K$2:$K$180,MATCH($A64,Backlog!$A$2:$A$180,0)))</x:f>
        <x:v>Done</x:v>
      </x:c>
      <x:c r="D64" s="194" t="str">
        <x:f>IF(INDEX(Backlog!$B$2:$B$180,MATCH($A64,Backlog!$A$2:$A$180,0))="","",INDEX(Backlog!$B$2:$B$180,MATCH($A64,Backlog!$A$2:$A$180,0)))</x:f>
        <x:v>M2</x:v>
      </x:c>
    </x:row>
    <x:row r="65" ht="26" customHeight="1">
      <x:c r="A65" s="194" t="str">
        <x:v>T-115</x:v>
      </x:c>
      <x:c r="B65" s="194" t="str">
        <x:v>L8.2</x:v>
      </x:c>
      <x:c r="C65" s="194" t="str">
        <x:f>IF(INDEX(Backlog!$K$2:$K$180,MATCH($A65,Backlog!$A$2:$A$180,0))="","",INDEX(Backlog!$K$2:$K$180,MATCH($A65,Backlog!$A$2:$A$180,0)))</x:f>
        <x:v>Not Started</x:v>
      </x:c>
      <x:c r="D65" s="194" t="str">
        <x:f>IF(INDEX(Backlog!$B$2:$B$180,MATCH($A65,Backlog!$A$2:$A$180,0))="","",INDEX(Backlog!$B$2:$B$180,MATCH($A65,Backlog!$A$2:$A$180,0)))</x:f>
        <x:v>M2</x:v>
      </x:c>
    </x:row>
    <x:row r="66" ht="26" customHeight="1">
      <x:c r="A66" s="194" t="str">
        <x:v>T-121</x:v>
      </x:c>
      <x:c r="B66" s="194" t="str">
        <x:v>L7.4</x:v>
      </x:c>
      <x:c r="C66" s="194" t="str">
        <x:f>IF(INDEX(Backlog!$K$2:$K$180,MATCH($A66,Backlog!$A$2:$A$180,0))="","",INDEX(Backlog!$K$2:$K$180,MATCH($A66,Backlog!$A$2:$A$180,0)))</x:f>
        <x:v>Not Started</x:v>
      </x:c>
      <x:c r="D66" s="194" t="str">
        <x:f>IF(INDEX(Backlog!$B$2:$B$180,MATCH($A66,Backlog!$A$2:$A$180,0))="","",INDEX(Backlog!$B$2:$B$180,MATCH($A66,Backlog!$A$2:$A$180,0)))</x:f>
        <x:v>M2</x:v>
      </x:c>
    </x:row>
    <x:row r="67" ht="26" customHeight="1">
      <x:c r="A67" s="194" t="str">
        <x:v>T-123</x:v>
      </x:c>
      <x:c r="B67" s="194" t="str">
        <x:v>L8.3</x:v>
      </x:c>
      <x:c r="C67" s="194" t="str">
        <x:f>IF(INDEX(Backlog!$K$2:$K$180,MATCH($A67,Backlog!$A$2:$A$180,0))="","",INDEX(Backlog!$K$2:$K$180,MATCH($A67,Backlog!$A$2:$A$180,0)))</x:f>
        <x:v>Not Started</x:v>
      </x:c>
      <x:c r="D67" s="194" t="str">
        <x:f>IF(INDEX(Backlog!$B$2:$B$180,MATCH($A67,Backlog!$A$2:$A$180,0))="","",INDEX(Backlog!$B$2:$B$180,MATCH($A67,Backlog!$A$2:$A$180,0)))</x:f>
        <x:v>M2</x:v>
      </x:c>
    </x:row>
    <x:row r="68" ht="26" customHeight="1">
      <x:c r="A68" s="194" t="str">
        <x:v>T-125</x:v>
      </x:c>
      <x:c r="B68" s="194" t="str">
        <x:v>L1.7</x:v>
      </x:c>
      <x:c r="C68" s="194" t="str">
        <x:f>IF(INDEX(Backlog!$K$2:$K$180,MATCH($A68,Backlog!$A$2:$A$180,0))="","",INDEX(Backlog!$K$2:$K$180,MATCH($A68,Backlog!$A$2:$A$180,0)))</x:f>
        <x:v>Not Started</x:v>
      </x:c>
      <x:c r="D68" s="194" t="str">
        <x:f>IF(INDEX(Backlog!$B$2:$B$180,MATCH($A68,Backlog!$A$2:$A$180,0))="","",INDEX(Backlog!$B$2:$B$180,MATCH($A68,Backlog!$A$2:$A$180,0)))</x:f>
        <x:v>M2</x:v>
      </x:c>
    </x:row>
    <x:row r="69" ht="26" customHeight="1">
      <x:c r="A69" s="194" t="str">
        <x:v>T-126</x:v>
      </x:c>
      <x:c r="B69" s="194" t="str">
        <x:v>L8.8</x:v>
      </x:c>
      <x:c r="C69" s="194" t="str">
        <x:f>IF(INDEX(Backlog!$K$2:$K$180,MATCH($A69,Backlog!$A$2:$A$180,0))="","",INDEX(Backlog!$K$2:$K$180,MATCH($A69,Backlog!$A$2:$A$180,0)))</x:f>
        <x:v>Not Started</x:v>
      </x:c>
      <x:c r="D69" s="194" t="str">
        <x:f>IF(INDEX(Backlog!$B$2:$B$180,MATCH($A69,Backlog!$A$2:$A$180,0))="","",INDEX(Backlog!$B$2:$B$180,MATCH($A69,Backlog!$A$2:$A$180,0)))</x:f>
        <x:v>M2</x:v>
      </x:c>
    </x:row>
    <x:row r="70" ht="26" customHeight="1">
      <x:c r="A70" s="194" t="str">
        <x:v>T-257</x:v>
      </x:c>
      <x:c r="B70" s="194" t="str">
        <x:v>L8.2</x:v>
      </x:c>
      <x:c r="C70" s="194" t="str">
        <x:f>IF(INDEX(Backlog!$K$2:$K$180,MATCH($A70,Backlog!$A$2:$A$180,0))="","",INDEX(Backlog!$K$2:$K$180,MATCH($A70,Backlog!$A$2:$A$180,0)))</x:f>
        <x:v>Not Started</x:v>
      </x:c>
      <x:c r="D70" s="194" t="str">
        <x:f>IF(INDEX(Backlog!$B$2:$B$180,MATCH($A70,Backlog!$A$2:$A$180,0))="","",INDEX(Backlog!$B$2:$B$180,MATCH($A70,Backlog!$A$2:$A$180,0)))</x:f>
        <x:v>M2</x:v>
      </x:c>
    </x:row>
    <x:row r="71" ht="26" customHeight="1">
      <x:c r="A71" s="194" t="str">
        <x:v>T-110</x:v>
      </x:c>
      <x:c r="B71" s="194" t="str">
        <x:v>L8.4</x:v>
      </x:c>
      <x:c r="C71" s="194" t="str">
        <x:f>IF(INDEX(Backlog!$K$2:$K$180,MATCH($A71,Backlog!$A$2:$A$180,0))="","",INDEX(Backlog!$K$2:$K$180,MATCH($A71,Backlog!$A$2:$A$180,0)))</x:f>
        <x:v>Not Started</x:v>
      </x:c>
      <x:c r="D71" s="194" t="str">
        <x:f>IF(INDEX(Backlog!$B$2:$B$180,MATCH($A71,Backlog!$A$2:$A$180,0))="","",INDEX(Backlog!$B$2:$B$180,MATCH($A71,Backlog!$A$2:$A$180,0)))</x:f>
        <x:v>M3</x:v>
      </x:c>
    </x:row>
    <x:row r="72" ht="26" customHeight="1">
      <x:c r="A72" s="194" t="str">
        <x:v>T-152</x:v>
      </x:c>
      <x:c r="B72" s="194" t="str">
        <x:v>L8.8</x:v>
      </x:c>
      <x:c r="C72" s="194" t="str">
        <x:f>IF(INDEX(Backlog!$K$2:$K$180,MATCH($A72,Backlog!$A$2:$A$180,0))="","",INDEX(Backlog!$K$2:$K$180,MATCH($A72,Backlog!$A$2:$A$180,0)))</x:f>
        <x:v>Not Started</x:v>
      </x:c>
      <x:c r="D72" s="194" t="str">
        <x:f>IF(INDEX(Backlog!$B$2:$B$180,MATCH($A72,Backlog!$A$2:$A$180,0))="","",INDEX(Backlog!$B$2:$B$180,MATCH($A72,Backlog!$A$2:$A$180,0)))</x:f>
        <x:v>M3</x:v>
      </x:c>
    </x:row>
    <x:row r="73" ht="26" customHeight="1">
      <x:c r="A73" s="194" t="str">
        <x:v>T-153</x:v>
      </x:c>
      <x:c r="B73" s="194" t="str">
        <x:v>L1.4</x:v>
      </x:c>
      <x:c r="C73" s="194" t="str">
        <x:f>IF(INDEX(Backlog!$K$2:$K$180,MATCH($A73,Backlog!$A$2:$A$180,0))="","",INDEX(Backlog!$K$2:$K$180,MATCH($A73,Backlog!$A$2:$A$180,0)))</x:f>
        <x:v>Not Started</x:v>
      </x:c>
      <x:c r="D73" s="194" t="str">
        <x:f>IF(INDEX(Backlog!$B$2:$B$180,MATCH($A73,Backlog!$A$2:$A$180,0))="","",INDEX(Backlog!$B$2:$B$180,MATCH($A73,Backlog!$A$2:$A$180,0)))</x:f>
        <x:v>M3</x:v>
      </x:c>
    </x:row>
    <x:row r="74" ht="26" customHeight="1">
      <x:c r="A74" s="194" t="str">
        <x:v>T-155</x:v>
      </x:c>
      <x:c r="B74" s="194" t="str">
        <x:v>L8.4</x:v>
      </x:c>
      <x:c r="C74" s="194" t="str">
        <x:f>IF(INDEX(Backlog!$K$2:$K$180,MATCH($A74,Backlog!$A$2:$A$180,0))="","",INDEX(Backlog!$K$2:$K$180,MATCH($A74,Backlog!$A$2:$A$180,0)))</x:f>
        <x:v>Not Started</x:v>
      </x:c>
      <x:c r="D74" s="194" t="str">
        <x:f>IF(INDEX(Backlog!$B$2:$B$180,MATCH($A74,Backlog!$A$2:$A$180,0))="","",INDEX(Backlog!$B$2:$B$180,MATCH($A74,Backlog!$A$2:$A$180,0)))</x:f>
        <x:v>M3</x:v>
      </x:c>
    </x:row>
    <x:row r="75" ht="26" customHeight="1">
      <x:c r="A75" s="194" t="str">
        <x:v>T-159</x:v>
      </x:c>
      <x:c r="B75" s="194" t="str">
        <x:v>L8.5</x:v>
      </x:c>
      <x:c r="C75" s="194" t="str">
        <x:f>IF(INDEX(Backlog!$K$2:$K$180,MATCH($A75,Backlog!$A$2:$A$180,0))="","",INDEX(Backlog!$K$2:$K$180,MATCH($A75,Backlog!$A$2:$A$180,0)))</x:f>
        <x:v>Not Started</x:v>
      </x:c>
      <x:c r="D75" s="194" t="str">
        <x:f>IF(INDEX(Backlog!$B$2:$B$180,MATCH($A75,Backlog!$A$2:$A$180,0))="","",INDEX(Backlog!$B$2:$B$180,MATCH($A75,Backlog!$A$2:$A$180,0)))</x:f>
        <x:v>M3</x:v>
      </x:c>
    </x:row>
    <x:row r="76" ht="26" customHeight="1">
      <x:c r="A76" s="194" t="str">
        <x:v>T-162</x:v>
      </x:c>
      <x:c r="B76" s="194" t="str">
        <x:v>L7.5</x:v>
      </x:c>
      <x:c r="C76" s="194" t="str">
        <x:f>IF(INDEX(Backlog!$K$2:$K$180,MATCH($A76,Backlog!$A$2:$A$180,0))="","",INDEX(Backlog!$K$2:$K$180,MATCH($A76,Backlog!$A$2:$A$180,0)))</x:f>
        <x:v>Not Started</x:v>
      </x:c>
      <x:c r="D76" s="194" t="str">
        <x:f>IF(INDEX(Backlog!$B$2:$B$180,MATCH($A76,Backlog!$A$2:$A$180,0))="","",INDEX(Backlog!$B$2:$B$180,MATCH($A76,Backlog!$A$2:$A$180,0)))</x:f>
        <x:v>M3</x:v>
      </x:c>
    </x:row>
    <x:row r="77" ht="26" customHeight="1">
      <x:c r="A77" s="194" t="str">
        <x:v>T-156</x:v>
      </x:c>
      <x:c r="B77" s="194" t="str">
        <x:v>L2.2</x:v>
      </x:c>
      <x:c r="C77" s="194" t="str">
        <x:f>IF(INDEX(Backlog!$K$2:$K$180,MATCH($A77,Backlog!$A$2:$A$180,0))="","",INDEX(Backlog!$K$2:$K$180,MATCH($A77,Backlog!$A$2:$A$180,0)))</x:f>
        <x:v>Not Started</x:v>
      </x:c>
      <x:c r="D77" s="194" t="str">
        <x:f>IF(INDEX(Backlog!$B$2:$B$180,MATCH($A77,Backlog!$A$2:$A$180,0))="","",INDEX(Backlog!$B$2:$B$180,MATCH($A77,Backlog!$A$2:$A$180,0)))</x:f>
        <x:v>M3</x:v>
      </x:c>
    </x:row>
    <x:row r="78" ht="26" customHeight="1">
      <x:c r="A78" s="194" t="str">
        <x:v>T-248</x:v>
      </x:c>
      <x:c r="B78" s="194" t="str">
        <x:v>L3.1</x:v>
      </x:c>
      <x:c r="C78" s="194" t="str">
        <x:f>IF(INDEX(Backlog!$K$2:$K$180,MATCH($A78,Backlog!$A$2:$A$180,0))="","",INDEX(Backlog!$K$2:$K$180,MATCH($A78,Backlog!$A$2:$A$180,0)))</x:f>
        <x:v>Not Started</x:v>
      </x:c>
      <x:c r="D78" s="194" t="str">
        <x:f>IF(INDEX(Backlog!$B$2:$B$180,MATCH($A78,Backlog!$A$2:$A$180,0))="","",INDEX(Backlog!$B$2:$B$180,MATCH($A78,Backlog!$A$2:$A$180,0)))</x:f>
        <x:v>M3</x:v>
      </x:c>
    </x:row>
    <x:row r="79" ht="26" customHeight="1">
      <x:c r="A79" s="194" t="str">
        <x:v>T-248</x:v>
      </x:c>
      <x:c r="B79" s="194" t="str">
        <x:v>L3.3</x:v>
      </x:c>
      <x:c r="C79" s="194" t="str">
        <x:f>IF(INDEX(Backlog!$K$2:$K$180,MATCH($A79,Backlog!$A$2:$A$180,0))="","",INDEX(Backlog!$K$2:$K$180,MATCH($A79,Backlog!$A$2:$A$180,0)))</x:f>
        <x:v>Not Started</x:v>
      </x:c>
      <x:c r="D79" s="194" t="str">
        <x:f>IF(INDEX(Backlog!$B$2:$B$180,MATCH($A79,Backlog!$A$2:$A$180,0))="","",INDEX(Backlog!$B$2:$B$180,MATCH($A79,Backlog!$A$2:$A$180,0)))</x:f>
        <x:v>M3</x:v>
      </x:c>
    </x:row>
    <x:row r="80" ht="26" customHeight="1">
      <x:c r="A80" s="194" t="str">
        <x:v>T-248</x:v>
      </x:c>
      <x:c r="B80" s="194" t="str">
        <x:v>L3.4</x:v>
      </x:c>
      <x:c r="C80" s="194" t="str">
        <x:f>IF(INDEX(Backlog!$K$2:$K$180,MATCH($A80,Backlog!$A$2:$A$180,0))="","",INDEX(Backlog!$K$2:$K$180,MATCH($A80,Backlog!$A$2:$A$180,0)))</x:f>
        <x:v>Not Started</x:v>
      </x:c>
      <x:c r="D80" s="194" t="str">
        <x:f>IF(INDEX(Backlog!$B$2:$B$180,MATCH($A80,Backlog!$A$2:$A$180,0))="","",INDEX(Backlog!$B$2:$B$180,MATCH($A80,Backlog!$A$2:$A$180,0)))</x:f>
        <x:v>M3</x:v>
      </x:c>
    </x:row>
    <x:row r="81" ht="26" customHeight="1">
      <x:c r="A81" s="194" t="str">
        <x:v>T-248</x:v>
      </x:c>
      <x:c r="B81" s="194" t="str">
        <x:v>L3.5</x:v>
      </x:c>
      <x:c r="C81" s="194" t="str">
        <x:f>IF(INDEX(Backlog!$K$2:$K$180,MATCH($A81,Backlog!$A$2:$A$180,0))="","",INDEX(Backlog!$K$2:$K$180,MATCH($A81,Backlog!$A$2:$A$180,0)))</x:f>
        <x:v>Not Started</x:v>
      </x:c>
      <x:c r="D81" s="194" t="str">
        <x:f>IF(INDEX(Backlog!$B$2:$B$180,MATCH($A81,Backlog!$A$2:$A$180,0))="","",INDEX(Backlog!$B$2:$B$180,MATCH($A81,Backlog!$A$2:$A$180,0)))</x:f>
        <x:v>M3</x:v>
      </x:c>
    </x:row>
    <x:row r="82" ht="26" customHeight="1">
      <x:c r="A82" s="194" t="str">
        <x:v>T-248</x:v>
      </x:c>
      <x:c r="B82" s="194" t="str">
        <x:v>L3.6</x:v>
      </x:c>
      <x:c r="C82" s="194" t="str">
        <x:f>IF(INDEX(Backlog!$K$2:$K$180,MATCH($A82,Backlog!$A$2:$A$180,0))="","",INDEX(Backlog!$K$2:$K$180,MATCH($A82,Backlog!$A$2:$A$180,0)))</x:f>
        <x:v>Not Started</x:v>
      </x:c>
      <x:c r="D82" s="194" t="str">
        <x:f>IF(INDEX(Backlog!$B$2:$B$180,MATCH($A82,Backlog!$A$2:$A$180,0))="","",INDEX(Backlog!$B$2:$B$180,MATCH($A82,Backlog!$A$2:$A$180,0)))</x:f>
        <x:v>M3</x:v>
      </x:c>
    </x:row>
    <x:row r="83" ht="26" customHeight="1">
      <x:c r="A83" s="194" t="str">
        <x:v>T-248</x:v>
      </x:c>
      <x:c r="B83" s="194" t="str">
        <x:v>L3.9</x:v>
      </x:c>
      <x:c r="C83" s="194" t="str">
        <x:f>IF(INDEX(Backlog!$K$2:$K$180,MATCH($A83,Backlog!$A$2:$A$180,0))="","",INDEX(Backlog!$K$2:$K$180,MATCH($A83,Backlog!$A$2:$A$180,0)))</x:f>
        <x:v>Not Started</x:v>
      </x:c>
      <x:c r="D83" s="194" t="str">
        <x:f>IF(INDEX(Backlog!$B$2:$B$180,MATCH($A83,Backlog!$A$2:$A$180,0))="","",INDEX(Backlog!$B$2:$B$180,MATCH($A83,Backlog!$A$2:$A$180,0)))</x:f>
        <x:v>M3</x:v>
      </x:c>
    </x:row>
    <x:row r="84" ht="26" customHeight="1">
      <x:c r="A84" s="194" t="str">
        <x:v>T-248</x:v>
      </x:c>
      <x:c r="B84" s="194" t="str">
        <x:v>L6.7</x:v>
      </x:c>
      <x:c r="C84" s="194" t="str">
        <x:f>IF(INDEX(Backlog!$K$2:$K$180,MATCH($A84,Backlog!$A$2:$A$180,0))="","",INDEX(Backlog!$K$2:$K$180,MATCH($A84,Backlog!$A$2:$A$180,0)))</x:f>
        <x:v>Not Started</x:v>
      </x:c>
      <x:c r="D84" s="194" t="str">
        <x:f>IF(INDEX(Backlog!$B$2:$B$180,MATCH($A84,Backlog!$A$2:$A$180,0))="","",INDEX(Backlog!$B$2:$B$180,MATCH($A84,Backlog!$A$2:$A$180,0)))</x:f>
        <x:v>M3</x:v>
      </x:c>
    </x:row>
    <x:row r="85" ht="26" customHeight="1">
      <x:c r="A85" s="194" t="str">
        <x:v>T-263</x:v>
      </x:c>
      <x:c r="B85" s="194" t="str">
        <x:v>L2.6</x:v>
      </x:c>
      <x:c r="C85" s="194" t="str">
        <x:f>IF(INDEX(Backlog!$K$2:$K$180,MATCH($A85,Backlog!$A$2:$A$180,0))="","",INDEX(Backlog!$K$2:$K$180,MATCH($A85,Backlog!$A$2:$A$180,0)))</x:f>
        <x:v>Not Started</x:v>
      </x:c>
      <x:c r="D85" s="194" t="str">
        <x:f>IF(INDEX(Backlog!$B$2:$B$180,MATCH($A85,Backlog!$A$2:$A$180,0))="","",INDEX(Backlog!$B$2:$B$180,MATCH($A85,Backlog!$A$2:$A$180,0)))</x:f>
        <x:v>M3</x:v>
      </x:c>
    </x:row>
    <x:row r="86" ht="26" customHeight="1">
      <x:c r="A86" s="194" t="str">
        <x:v>T-263</x:v>
      </x:c>
      <x:c r="B86" s="194" t="str">
        <x:v>L6.4</x:v>
      </x:c>
      <x:c r="C86" s="194" t="str">
        <x:f>IF(INDEX(Backlog!$K$2:$K$180,MATCH($A86,Backlog!$A$2:$A$180,0))="","",INDEX(Backlog!$K$2:$K$180,MATCH($A86,Backlog!$A$2:$A$180,0)))</x:f>
        <x:v>Not Started</x:v>
      </x:c>
      <x:c r="D86" s="194" t="str">
        <x:f>IF(INDEX(Backlog!$B$2:$B$180,MATCH($A86,Backlog!$A$2:$A$180,0))="","",INDEX(Backlog!$B$2:$B$180,MATCH($A86,Backlog!$A$2:$A$180,0)))</x:f>
        <x:v>M3</x:v>
      </x:c>
    </x:row>
    <x:row r="87" ht="26" customHeight="1">
      <x:c r="A87" s="194" t="str">
        <x:v>T-128</x:v>
      </x:c>
      <x:c r="B87" s="194" t="str">
        <x:v>L9.5</x:v>
      </x:c>
      <x:c r="C87" s="194" t="str">
        <x:f>IF(INDEX(Backlog!$K$2:$K$180,MATCH($A87,Backlog!$A$2:$A$180,0))="","",INDEX(Backlog!$K$2:$K$180,MATCH($A87,Backlog!$A$2:$A$180,0)))</x:f>
        <x:v>Not Started</x:v>
      </x:c>
      <x:c r="D87" s="194" t="str">
        <x:f>IF(INDEX(Backlog!$B$2:$B$180,MATCH($A87,Backlog!$A$2:$A$180,0))="","",INDEX(Backlog!$B$2:$B$180,MATCH($A87,Backlog!$A$2:$A$180,0)))</x:f>
        <x:v>M3</x:v>
      </x:c>
    </x:row>
    <x:row r="88" ht="26" customHeight="1">
      <x:c r="A88" s="194" t="str">
        <x:v>T-129</x:v>
      </x:c>
      <x:c r="B88" s="194" t="str">
        <x:v>L4.2</x:v>
      </x:c>
      <x:c r="C88" s="194" t="str">
        <x:f>IF(INDEX(Backlog!$K$2:$K$180,MATCH($A88,Backlog!$A$2:$A$180,0))="","",INDEX(Backlog!$K$2:$K$180,MATCH($A88,Backlog!$A$2:$A$180,0)))</x:f>
        <x:v>Not Started</x:v>
      </x:c>
      <x:c r="D88" s="194" t="str">
        <x:f>IF(INDEX(Backlog!$B$2:$B$180,MATCH($A88,Backlog!$A$2:$A$180,0))="","",INDEX(Backlog!$B$2:$B$180,MATCH($A88,Backlog!$A$2:$A$180,0)))</x:f>
        <x:v>M3</x:v>
      </x:c>
    </x:row>
    <x:row r="89" ht="26" customHeight="1">
      <x:c r="A89" s="194" t="str">
        <x:v>T-129</x:v>
      </x:c>
      <x:c r="B89" s="194" t="str">
        <x:v>L4.4</x:v>
      </x:c>
      <x:c r="C89" s="194" t="str">
        <x:f>IF(INDEX(Backlog!$K$2:$K$180,MATCH($A89,Backlog!$A$2:$A$180,0))="","",INDEX(Backlog!$K$2:$K$180,MATCH($A89,Backlog!$A$2:$A$180,0)))</x:f>
        <x:v>Not Started</x:v>
      </x:c>
      <x:c r="D89" s="194" t="str">
        <x:f>IF(INDEX(Backlog!$B$2:$B$180,MATCH($A89,Backlog!$A$2:$A$180,0))="","",INDEX(Backlog!$B$2:$B$180,MATCH($A89,Backlog!$A$2:$A$180,0)))</x:f>
        <x:v>M3</x:v>
      </x:c>
    </x:row>
    <x:row r="90" ht="26" customHeight="1">
      <x:c r="A90" s="194" t="str">
        <x:v>T-134</x:v>
      </x:c>
      <x:c r="B90" s="194" t="str">
        <x:v>L3.4</x:v>
      </x:c>
      <x:c r="C90" s="194" t="str">
        <x:f>IF(INDEX(Backlog!$K$2:$K$180,MATCH($A90,Backlog!$A$2:$A$180,0))="","",INDEX(Backlog!$K$2:$K$180,MATCH($A90,Backlog!$A$2:$A$180,0)))</x:f>
        <x:v>Not Started</x:v>
      </x:c>
      <x:c r="D90" s="194" t="str">
        <x:f>IF(INDEX(Backlog!$B$2:$B$180,MATCH($A90,Backlog!$A$2:$A$180,0))="","",INDEX(Backlog!$B$2:$B$180,MATCH($A90,Backlog!$A$2:$A$180,0)))</x:f>
        <x:v>M3</x:v>
      </x:c>
    </x:row>
    <x:row r="91" ht="26" customHeight="1">
      <x:c r="A91" s="194" t="str">
        <x:v>T-141</x:v>
      </x:c>
      <x:c r="B91" s="194" t="str">
        <x:v>L8.6</x:v>
      </x:c>
      <x:c r="C91" s="194" t="str">
        <x:f>IF(INDEX(Backlog!$K$2:$K$180,MATCH($A91,Backlog!$A$2:$A$180,0))="","",INDEX(Backlog!$K$2:$K$180,MATCH($A91,Backlog!$A$2:$A$180,0)))</x:f>
        <x:v>Not Started</x:v>
      </x:c>
      <x:c r="D91" s="194" t="str">
        <x:f>IF(INDEX(Backlog!$B$2:$B$180,MATCH($A91,Backlog!$A$2:$A$180,0))="","",INDEX(Backlog!$B$2:$B$180,MATCH($A91,Backlog!$A$2:$A$180,0)))</x:f>
        <x:v>M3</x:v>
      </x:c>
    </x:row>
    <x:row r="92" ht="26" customHeight="1">
      <x:c r="A92" s="194" t="str">
        <x:v>T-144</x:v>
      </x:c>
      <x:c r="B92" s="194" t="str">
        <x:v>L9.4</x:v>
      </x:c>
      <x:c r="C92" s="194" t="str">
        <x:f>IF(INDEX(Backlog!$K$2:$K$180,MATCH($A92,Backlog!$A$2:$A$180,0))="","",INDEX(Backlog!$K$2:$K$180,MATCH($A92,Backlog!$A$2:$A$180,0)))</x:f>
        <x:v>Not Started</x:v>
      </x:c>
      <x:c r="D92" s="194" t="str">
        <x:f>IF(INDEX(Backlog!$B$2:$B$180,MATCH($A92,Backlog!$A$2:$A$180,0))="","",INDEX(Backlog!$B$2:$B$180,MATCH($A92,Backlog!$A$2:$A$180,0)))</x:f>
        <x:v>M3</x:v>
      </x:c>
    </x:row>
    <x:row r="93" ht="26" customHeight="1">
      <x:c r="A93" s="194" t="str">
        <x:v>T-145</x:v>
      </x:c>
      <x:c r="B93" s="194" t="str">
        <x:v>L9.6</x:v>
      </x:c>
      <x:c r="C93" s="194" t="str">
        <x:f>IF(INDEX(Backlog!$K$2:$K$180,MATCH($A93,Backlog!$A$2:$A$180,0))="","",INDEX(Backlog!$K$2:$K$180,MATCH($A93,Backlog!$A$2:$A$180,0)))</x:f>
        <x:v>Not Started</x:v>
      </x:c>
      <x:c r="D93" s="194" t="str">
        <x:f>IF(INDEX(Backlog!$B$2:$B$180,MATCH($A93,Backlog!$A$2:$A$180,0))="","",INDEX(Backlog!$B$2:$B$180,MATCH($A93,Backlog!$A$2:$A$180,0)))</x:f>
        <x:v>M3</x:v>
      </x:c>
    </x:row>
    <x:row r="94" ht="26" customHeight="1">
      <x:c r="A94" s="194" t="str">
        <x:v>T-145</x:v>
      </x:c>
      <x:c r="B94" s="194" t="str">
        <x:v>L6.4</x:v>
      </x:c>
      <x:c r="C94" s="194" t="str">
        <x:f>IF(INDEX(Backlog!$K$2:$K$180,MATCH($A94,Backlog!$A$2:$A$180,0))="","",INDEX(Backlog!$K$2:$K$180,MATCH($A94,Backlog!$A$2:$A$180,0)))</x:f>
        <x:v>Not Started</x:v>
      </x:c>
      <x:c r="D94" s="194" t="str">
        <x:f>IF(INDEX(Backlog!$B$2:$B$180,MATCH($A94,Backlog!$A$2:$A$180,0))="","",INDEX(Backlog!$B$2:$B$180,MATCH($A94,Backlog!$A$2:$A$180,0)))</x:f>
        <x:v>M3</x:v>
      </x:c>
    </x:row>
    <x:row r="95" ht="26" customHeight="1">
      <x:c r="A95" s="194" t="str">
        <x:v>T-145</x:v>
      </x:c>
      <x:c r="B95" s="194" t="str">
        <x:v>L9.8</x:v>
      </x:c>
      <x:c r="C95" s="194" t="str">
        <x:f>IF(INDEX(Backlog!$K$2:$K$180,MATCH($A95,Backlog!$A$2:$A$180,0))="","",INDEX(Backlog!$K$2:$K$180,MATCH($A95,Backlog!$A$2:$A$180,0)))</x:f>
        <x:v>Not Started</x:v>
      </x:c>
      <x:c r="D95" s="194" t="str">
        <x:f>IF(INDEX(Backlog!$B$2:$B$180,MATCH($A95,Backlog!$A$2:$A$180,0))="","",INDEX(Backlog!$B$2:$B$180,MATCH($A95,Backlog!$A$2:$A$180,0)))</x:f>
        <x:v>M3</x:v>
      </x:c>
    </x:row>
    <x:row r="96" ht="26" customHeight="1">
      <x:c r="A96" s="194" t="str">
        <x:v>T-147</x:v>
      </x:c>
      <x:c r="B96" s="194" t="str">
        <x:v>L4.2</x:v>
      </x:c>
      <x:c r="C96" s="194" t="str">
        <x:f>IF(INDEX(Backlog!$K$2:$K$180,MATCH($A96,Backlog!$A$2:$A$180,0))="","",INDEX(Backlog!$K$2:$K$180,MATCH($A96,Backlog!$A$2:$A$180,0)))</x:f>
        <x:v>Not Started</x:v>
      </x:c>
      <x:c r="D96" s="194" t="str">
        <x:f>IF(INDEX(Backlog!$B$2:$B$180,MATCH($A96,Backlog!$A$2:$A$180,0))="","",INDEX(Backlog!$B$2:$B$180,MATCH($A96,Backlog!$A$2:$A$180,0)))</x:f>
        <x:v>M3</x:v>
      </x:c>
    </x:row>
    <x:row r="97" ht="26" customHeight="1">
      <x:c r="A97" s="194" t="str">
        <x:v>T-157</x:v>
      </x:c>
      <x:c r="B97" s="194" t="str">
        <x:v>L4.4</x:v>
      </x:c>
      <x:c r="C97" s="194" t="str">
        <x:f>IF(INDEX(Backlog!$K$2:$K$180,MATCH($A97,Backlog!$A$2:$A$180,0))="","",INDEX(Backlog!$K$2:$K$180,MATCH($A97,Backlog!$A$2:$A$180,0)))</x:f>
        <x:v>Not Started</x:v>
      </x:c>
      <x:c r="D97" s="194" t="str">
        <x:f>IF(INDEX(Backlog!$B$2:$B$180,MATCH($A97,Backlog!$A$2:$A$180,0))="","",INDEX(Backlog!$B$2:$B$180,MATCH($A97,Backlog!$A$2:$A$180,0)))</x:f>
        <x:v>M3</x:v>
      </x:c>
    </x:row>
    <x:row r="98" ht="26" customHeight="1">
      <x:c r="A98" s="194" t="str">
        <x:v>T-157</x:v>
      </x:c>
      <x:c r="B98" s="194" t="str">
        <x:v>L4.7</x:v>
      </x:c>
      <x:c r="C98" s="194" t="str">
        <x:f>IF(INDEX(Backlog!$K$2:$K$180,MATCH($A98,Backlog!$A$2:$A$180,0))="","",INDEX(Backlog!$K$2:$K$180,MATCH($A98,Backlog!$A$2:$A$180,0)))</x:f>
        <x:v>Not Started</x:v>
      </x:c>
      <x:c r="D98" s="194" t="str">
        <x:f>IF(INDEX(Backlog!$B$2:$B$180,MATCH($A98,Backlog!$A$2:$A$180,0))="","",INDEX(Backlog!$B$2:$B$180,MATCH($A98,Backlog!$A$2:$A$180,0)))</x:f>
        <x:v>M3</x:v>
      </x:c>
    </x:row>
    <x:row r="99" ht="26" customHeight="1">
      <x:c r="A99" s="194" t="str">
        <x:v>T-165</x:v>
      </x:c>
      <x:c r="B99" s="194" t="str">
        <x:v>L7.7</x:v>
      </x:c>
      <x:c r="C99" s="194" t="str">
        <x:f>IF(INDEX(Backlog!$K$2:$K$180,MATCH($A99,Backlog!$A$2:$A$180,0))="","",INDEX(Backlog!$K$2:$K$180,MATCH($A99,Backlog!$A$2:$A$180,0)))</x:f>
        <x:v>Not Started</x:v>
      </x:c>
      <x:c r="D99" s="194" t="str">
        <x:f>IF(INDEX(Backlog!$B$2:$B$180,MATCH($A99,Backlog!$A$2:$A$180,0))="","",INDEX(Backlog!$B$2:$B$180,MATCH($A99,Backlog!$A$2:$A$180,0)))</x:f>
        <x:v>M3</x:v>
      </x:c>
    </x:row>
    <x:row r="100" ht="26" customHeight="1">
      <x:c r="A100" s="194" t="str">
        <x:v>T-183</x:v>
      </x:c>
      <x:c r="B100" s="194" t="str">
        <x:v>L5.5</x:v>
      </x:c>
      <x:c r="C100" s="194" t="str">
        <x:f>IF(INDEX(Backlog!$K$2:$K$180,MATCH($A100,Backlog!$A$2:$A$180,0))="","",INDEX(Backlog!$K$2:$K$180,MATCH($A100,Backlog!$A$2:$A$180,0)))</x:f>
        <x:v>Not Started</x:v>
      </x:c>
      <x:c r="D100" s="194" t="str">
        <x:f>IF(INDEX(Backlog!$B$2:$B$180,MATCH($A100,Backlog!$A$2:$A$180,0))="","",INDEX(Backlog!$B$2:$B$180,MATCH($A100,Backlog!$A$2:$A$180,0)))</x:f>
        <x:v>M3</x:v>
      </x:c>
    </x:row>
    <x:row r="101" ht="26" customHeight="1">
      <x:c r="A101" s="194" t="str">
        <x:v>T-186</x:v>
      </x:c>
      <x:c r="B101" s="194" t="str">
        <x:v>L4.8</x:v>
      </x:c>
      <x:c r="C101" s="194" t="str">
        <x:f>IF(INDEX(Backlog!$K$2:$K$180,MATCH($A101,Backlog!$A$2:$A$180,0))="","",INDEX(Backlog!$K$2:$K$180,MATCH($A101,Backlog!$A$2:$A$180,0)))</x:f>
        <x:v>Not Started</x:v>
      </x:c>
      <x:c r="D101" s="194" t="str">
        <x:f>IF(INDEX(Backlog!$B$2:$B$180,MATCH($A101,Backlog!$A$2:$A$180,0))="","",INDEX(Backlog!$B$2:$B$180,MATCH($A101,Backlog!$A$2:$A$180,0)))</x:f>
        <x:v>M3</x:v>
      </x:c>
    </x:row>
    <x:row r="102" ht="26" customHeight="1">
      <x:c r="A102" s="194" t="str">
        <x:v>T-187</x:v>
      </x:c>
      <x:c r="B102" s="194" t="str">
        <x:v>L4.5</x:v>
      </x:c>
      <x:c r="C102" s="194" t="str">
        <x:f>IF(INDEX(Backlog!$K$2:$K$180,MATCH($A102,Backlog!$A$2:$A$180,0))="","",INDEX(Backlog!$K$2:$K$180,MATCH($A102,Backlog!$A$2:$A$180,0)))</x:f>
        <x:v>Not Started</x:v>
      </x:c>
      <x:c r="D102" s="194" t="str">
        <x:f>IF(INDEX(Backlog!$B$2:$B$180,MATCH($A102,Backlog!$A$2:$A$180,0))="","",INDEX(Backlog!$B$2:$B$180,MATCH($A102,Backlog!$A$2:$A$180,0)))</x:f>
        <x:v>M3</x:v>
      </x:c>
    </x:row>
    <x:row r="103" ht="26" customHeight="1">
      <x:c r="A103" s="194" t="str">
        <x:v>T-187</x:v>
      </x:c>
      <x:c r="B103" s="194" t="str">
        <x:v>L4.8</x:v>
      </x:c>
      <x:c r="C103" s="194" t="str">
        <x:f>IF(INDEX(Backlog!$K$2:$K$180,MATCH($A103,Backlog!$A$2:$A$180,0))="","",INDEX(Backlog!$K$2:$K$180,MATCH($A103,Backlog!$A$2:$A$180,0)))</x:f>
        <x:v>Not Started</x:v>
      </x:c>
      <x:c r="D103" s="194" t="str">
        <x:f>IF(INDEX(Backlog!$B$2:$B$180,MATCH($A103,Backlog!$A$2:$A$180,0))="","",INDEX(Backlog!$B$2:$B$180,MATCH($A103,Backlog!$A$2:$A$180,0)))</x:f>
        <x:v>M3</x:v>
      </x:c>
    </x:row>
    <x:row r="104" ht="26" customHeight="1">
      <x:c r="A104" s="194" t="str">
        <x:v>T-188</x:v>
      </x:c>
      <x:c r="B104" s="194" t="str">
        <x:v>L4.1</x:v>
      </x:c>
      <x:c r="C104" s="194" t="str">
        <x:f>IF(INDEX(Backlog!$K$2:$K$180,MATCH($A104,Backlog!$A$2:$A$180,0))="","",INDEX(Backlog!$K$2:$K$180,MATCH($A104,Backlog!$A$2:$A$180,0)))</x:f>
        <x:v>Not Started</x:v>
      </x:c>
      <x:c r="D104" s="194" t="str">
        <x:f>IF(INDEX(Backlog!$B$2:$B$180,MATCH($A104,Backlog!$A$2:$A$180,0))="","",INDEX(Backlog!$B$2:$B$180,MATCH($A104,Backlog!$A$2:$A$180,0)))</x:f>
        <x:v>M3</x:v>
      </x:c>
    </x:row>
    <x:row r="105" ht="26" customHeight="1">
      <x:c r="A105" s="194" t="str">
        <x:v>T-188</x:v>
      </x:c>
      <x:c r="B105" s="194" t="str">
        <x:v>L4.2</x:v>
      </x:c>
      <x:c r="C105" s="194" t="str">
        <x:f>IF(INDEX(Backlog!$K$2:$K$180,MATCH($A105,Backlog!$A$2:$A$180,0))="","",INDEX(Backlog!$K$2:$K$180,MATCH($A105,Backlog!$A$2:$A$180,0)))</x:f>
        <x:v>Not Started</x:v>
      </x:c>
      <x:c r="D105" s="194" t="str">
        <x:f>IF(INDEX(Backlog!$B$2:$B$180,MATCH($A105,Backlog!$A$2:$A$180,0))="","",INDEX(Backlog!$B$2:$B$180,MATCH($A105,Backlog!$A$2:$A$180,0)))</x:f>
        <x:v>M3</x:v>
      </x:c>
    </x:row>
    <x:row r="106" ht="26" customHeight="1">
      <x:c r="A106" s="194" t="str">
        <x:v>T-189</x:v>
      </x:c>
      <x:c r="B106" s="194" t="str">
        <x:v>L3.4</x:v>
      </x:c>
      <x:c r="C106" s="194" t="str">
        <x:f>IF(INDEX(Backlog!$K$2:$K$180,MATCH($A106,Backlog!$A$2:$A$180,0))="","",INDEX(Backlog!$K$2:$K$180,MATCH($A106,Backlog!$A$2:$A$180,0)))</x:f>
        <x:v>Not Started</x:v>
      </x:c>
      <x:c r="D106" s="194" t="str">
        <x:f>IF(INDEX(Backlog!$B$2:$B$180,MATCH($A106,Backlog!$A$2:$A$180,0))="","",INDEX(Backlog!$B$2:$B$180,MATCH($A106,Backlog!$A$2:$A$180,0)))</x:f>
        <x:v>M3</x:v>
      </x:c>
    </x:row>
    <x:row r="107" ht="26" customHeight="1">
      <x:c r="A107" s="194" t="str">
        <x:v>T-190</x:v>
      </x:c>
      <x:c r="B107" s="194" t="str">
        <x:v>L9.3</x:v>
      </x:c>
      <x:c r="C107" s="194" t="str">
        <x:f>IF(INDEX(Backlog!$K$2:$K$180,MATCH($A107,Backlog!$A$2:$A$180,0))="","",INDEX(Backlog!$K$2:$K$180,MATCH($A107,Backlog!$A$2:$A$180,0)))</x:f>
        <x:v>Not Started</x:v>
      </x:c>
      <x:c r="D107" s="194" t="str">
        <x:f>IF(INDEX(Backlog!$B$2:$B$180,MATCH($A107,Backlog!$A$2:$A$180,0))="","",INDEX(Backlog!$B$2:$B$180,MATCH($A107,Backlog!$A$2:$A$180,0)))</x:f>
        <x:v>M3</x:v>
      </x:c>
    </x:row>
    <x:row r="108" ht="26" customHeight="1">
      <x:c r="A108" s="194" t="str">
        <x:v>T-190</x:v>
      </x:c>
      <x:c r="B108" s="194" t="str">
        <x:v>L9.4</x:v>
      </x:c>
      <x:c r="C108" s="194" t="str">
        <x:f>IF(INDEX(Backlog!$K$2:$K$180,MATCH($A108,Backlog!$A$2:$A$180,0))="","",INDEX(Backlog!$K$2:$K$180,MATCH($A108,Backlog!$A$2:$A$180,0)))</x:f>
        <x:v>Not Started</x:v>
      </x:c>
      <x:c r="D108" s="194" t="str">
        <x:f>IF(INDEX(Backlog!$B$2:$B$180,MATCH($A108,Backlog!$A$2:$A$180,0))="","",INDEX(Backlog!$B$2:$B$180,MATCH($A108,Backlog!$A$2:$A$180,0)))</x:f>
        <x:v>M3</x:v>
      </x:c>
    </x:row>
    <x:row r="109" ht="26" customHeight="1">
      <x:c r="A109" s="194" t="str">
        <x:v>T-192</x:v>
      </x:c>
      <x:c r="B109" s="194" t="str">
        <x:v>L4.3</x:v>
      </x:c>
      <x:c r="C109" s="194" t="str">
        <x:f>IF(INDEX(Backlog!$K$2:$K$180,MATCH($A109,Backlog!$A$2:$A$180,0))="","",INDEX(Backlog!$K$2:$K$180,MATCH($A109,Backlog!$A$2:$A$180,0)))</x:f>
        <x:v>Not Started</x:v>
      </x:c>
      <x:c r="D109" s="194" t="str">
        <x:f>IF(INDEX(Backlog!$B$2:$B$180,MATCH($A109,Backlog!$A$2:$A$180,0))="","",INDEX(Backlog!$B$2:$B$180,MATCH($A109,Backlog!$A$2:$A$180,0)))</x:f>
        <x:v>M3</x:v>
      </x:c>
    </x:row>
    <x:row r="110" ht="26" customHeight="1">
      <x:c r="A110" s="194" t="str">
        <x:v>T-192</x:v>
      </x:c>
      <x:c r="B110" s="194" t="str">
        <x:v>L4.8</x:v>
      </x:c>
      <x:c r="C110" s="194" t="str">
        <x:f>IF(INDEX(Backlog!$K$2:$K$180,MATCH($A110,Backlog!$A$2:$A$180,0))="","",INDEX(Backlog!$K$2:$K$180,MATCH($A110,Backlog!$A$2:$A$180,0)))</x:f>
        <x:v>Not Started</x:v>
      </x:c>
      <x:c r="D110" s="194" t="str">
        <x:f>IF(INDEX(Backlog!$B$2:$B$180,MATCH($A110,Backlog!$A$2:$A$180,0))="","",INDEX(Backlog!$B$2:$B$180,MATCH($A110,Backlog!$A$2:$A$180,0)))</x:f>
        <x:v>M3</x:v>
      </x:c>
    </x:row>
    <x:row r="111" ht="26" customHeight="1">
      <x:c r="A111" s="194" t="str">
        <x:v>T-192</x:v>
      </x:c>
      <x:c r="B111" s="194" t="str">
        <x:v>L5.8</x:v>
      </x:c>
      <x:c r="C111" s="194" t="str">
        <x:f>IF(INDEX(Backlog!$K$2:$K$180,MATCH($A111,Backlog!$A$2:$A$180,0))="","",INDEX(Backlog!$K$2:$K$180,MATCH($A111,Backlog!$A$2:$A$180,0)))</x:f>
        <x:v>Not Started</x:v>
      </x:c>
      <x:c r="D111" s="194" t="str">
        <x:f>IF(INDEX(Backlog!$B$2:$B$180,MATCH($A111,Backlog!$A$2:$A$180,0))="","",INDEX(Backlog!$B$2:$B$180,MATCH($A111,Backlog!$A$2:$A$180,0)))</x:f>
        <x:v>M3</x:v>
      </x:c>
    </x:row>
    <x:row r="112" ht="26" customHeight="1">
      <x:c r="A112" s="194" t="str">
        <x:v>T-193</x:v>
      </x:c>
      <x:c r="B112" s="194" t="str">
        <x:v>L4.8</x:v>
      </x:c>
      <x:c r="C112" s="194" t="str">
        <x:f>IF(INDEX(Backlog!$K$2:$K$180,MATCH($A112,Backlog!$A$2:$A$180,0))="","",INDEX(Backlog!$K$2:$K$180,MATCH($A112,Backlog!$A$2:$A$180,0)))</x:f>
        <x:v>Not Started</x:v>
      </x:c>
      <x:c r="D112" s="194" t="str">
        <x:f>IF(INDEX(Backlog!$B$2:$B$180,MATCH($A112,Backlog!$A$2:$A$180,0))="","",INDEX(Backlog!$B$2:$B$180,MATCH($A112,Backlog!$A$2:$A$180,0)))</x:f>
        <x:v>M3</x:v>
      </x:c>
    </x:row>
    <x:row r="113" ht="26" customHeight="1">
      <x:c r="A113" s="194" t="str">
        <x:v>T-238</x:v>
      </x:c>
      <x:c r="B113" s="194" t="str">
        <x:v>L10.1</x:v>
      </x:c>
      <x:c r="C113" s="194" t="str">
        <x:f>IF(INDEX(Backlog!$K$2:$K$180,MATCH($A113,Backlog!$A$2:$A$180,0))="","",INDEX(Backlog!$K$2:$K$180,MATCH($A113,Backlog!$A$2:$A$180,0)))</x:f>
        <x:v>Not Started</x:v>
      </x:c>
      <x:c r="D113" s="194" t="str">
        <x:f>IF(INDEX(Backlog!$B$2:$B$180,MATCH($A113,Backlog!$A$2:$A$180,0))="","",INDEX(Backlog!$B$2:$B$180,MATCH($A113,Backlog!$A$2:$A$180,0)))</x:f>
        <x:v>M3</x:v>
      </x:c>
    </x:row>
    <x:row r="114" ht="26" customHeight="1">
      <x:c r="A114" s="194" t="str">
        <x:v>T-240</x:v>
      </x:c>
      <x:c r="B114" s="194" t="str">
        <x:v>L6.2</x:v>
      </x:c>
      <x:c r="C114" s="194" t="str">
        <x:f>IF(INDEX(Backlog!$K$2:$K$180,MATCH($A114,Backlog!$A$2:$A$180,0))="","",INDEX(Backlog!$K$2:$K$180,MATCH($A114,Backlog!$A$2:$A$180,0)))</x:f>
        <x:v>Not Started</x:v>
      </x:c>
      <x:c r="D114" s="194" t="str">
        <x:f>IF(INDEX(Backlog!$B$2:$B$180,MATCH($A114,Backlog!$A$2:$A$180,0))="","",INDEX(Backlog!$B$2:$B$180,MATCH($A114,Backlog!$A$2:$A$180,0)))</x:f>
        <x:v>M3</x:v>
      </x:c>
    </x:row>
    <x:row r="115" ht="26" customHeight="1">
      <x:c r="A115" s="194" t="str">
        <x:v>T-246</x:v>
      </x:c>
      <x:c r="B115" s="194" t="str">
        <x:v>L4.2</x:v>
      </x:c>
      <x:c r="C115" s="194" t="str">
        <x:f>IF(INDEX(Backlog!$K$2:$K$180,MATCH($A115,Backlog!$A$2:$A$180,0))="","",INDEX(Backlog!$K$2:$K$180,MATCH($A115,Backlog!$A$2:$A$180,0)))</x:f>
        <x:v>Not Started</x:v>
      </x:c>
      <x:c r="D115" s="194" t="str">
        <x:f>IF(INDEX(Backlog!$B$2:$B$180,MATCH($A115,Backlog!$A$2:$A$180,0))="","",INDEX(Backlog!$B$2:$B$180,MATCH($A115,Backlog!$A$2:$A$180,0)))</x:f>
        <x:v>M3</x:v>
      </x:c>
    </x:row>
    <x:row r="116" ht="26" customHeight="1">
      <x:c r="A116" s="194" t="str">
        <x:v>T-246</x:v>
      </x:c>
      <x:c r="B116" s="194" t="str">
        <x:v>L4.7</x:v>
      </x:c>
      <x:c r="C116" s="194" t="str">
        <x:f>IF(INDEX(Backlog!$K$2:$K$180,MATCH($A116,Backlog!$A$2:$A$180,0))="","",INDEX(Backlog!$K$2:$K$180,MATCH($A116,Backlog!$A$2:$A$180,0)))</x:f>
        <x:v>Not Started</x:v>
      </x:c>
      <x:c r="D116" s="194" t="str">
        <x:f>IF(INDEX(Backlog!$B$2:$B$180,MATCH($A116,Backlog!$A$2:$A$180,0))="","",INDEX(Backlog!$B$2:$B$180,MATCH($A116,Backlog!$A$2:$A$180,0)))</x:f>
        <x:v>M3</x:v>
      </x:c>
    </x:row>
    <x:row r="117" ht="26" customHeight="1">
      <x:c r="A117" s="194" t="str">
        <x:v>T-264</x:v>
      </x:c>
      <x:c r="B117" s="194" t="str">
        <x:v>L9.1</x:v>
      </x:c>
      <x:c r="C117" s="194" t="str">
        <x:f>IF(INDEX(Backlog!$K$2:$K$180,MATCH($A117,Backlog!$A$2:$A$180,0))="","",INDEX(Backlog!$K$2:$K$180,MATCH($A117,Backlog!$A$2:$A$180,0)))</x:f>
        <x:v>Not Started</x:v>
      </x:c>
      <x:c r="D117" s="194" t="str">
        <x:f>IF(INDEX(Backlog!$B$2:$B$180,MATCH($A117,Backlog!$A$2:$A$180,0))="","",INDEX(Backlog!$B$2:$B$180,MATCH($A117,Backlog!$A$2:$A$180,0)))</x:f>
        <x:v>M3</x:v>
      </x:c>
    </x:row>
    <x:row r="118" ht="26" customHeight="1">
      <x:c r="A118" s="194" t="str">
        <x:v>T-264</x:v>
      </x:c>
      <x:c r="B118" s="194" t="str">
        <x:v>L4.6</x:v>
      </x:c>
      <x:c r="C118" s="194" t="str">
        <x:f>IF(INDEX(Backlog!$K$2:$K$180,MATCH($A118,Backlog!$A$2:$A$180,0))="","",INDEX(Backlog!$K$2:$K$180,MATCH($A118,Backlog!$A$2:$A$180,0)))</x:f>
        <x:v>Not Started</x:v>
      </x:c>
      <x:c r="D118" s="194" t="str">
        <x:f>IF(INDEX(Backlog!$B$2:$B$180,MATCH($A118,Backlog!$A$2:$A$180,0))="","",INDEX(Backlog!$B$2:$B$180,MATCH($A118,Backlog!$A$2:$A$180,0)))</x:f>
        <x:v>M3</x:v>
      </x:c>
    </x:row>
    <x:row r="119" ht="26" customHeight="1">
      <x:c r="A119" s="194" t="str">
        <x:v>T-167</x:v>
      </x:c>
      <x:c r="B119" s="194" t="str">
        <x:v>L8.8</x:v>
      </x:c>
      <x:c r="C119" s="194" t="str">
        <x:f>IF(INDEX(Backlog!$K$2:$K$180,MATCH($A119,Backlog!$A$2:$A$180,0))="","",INDEX(Backlog!$K$2:$K$180,MATCH($A119,Backlog!$A$2:$A$180,0)))</x:f>
        <x:v>Not Started</x:v>
      </x:c>
      <x:c r="D119" s="194" t="str">
        <x:f>IF(INDEX(Backlog!$B$2:$B$180,MATCH($A119,Backlog!$A$2:$A$180,0))="","",INDEX(Backlog!$B$2:$B$180,MATCH($A119,Backlog!$A$2:$A$180,0)))</x:f>
        <x:v>M3</x:v>
      </x:c>
    </x:row>
    <x:row r="120">
      <x:c r="A120" t="str">
        <x:v>T-265</x:v>
      </x:c>
      <x:c r="B120" t="str">
        <x:v>L1.1</x:v>
      </x:c>
      <x:c r="C120" t="str">
        <x:f>IF(INDEX(Backlog!$K$2:$K$180,MATCH($A120,Backlog!$A$2:$A$180,0))="","",INDEX(Backlog!$K$2:$K$180,MATCH($A120,Backlog!$A$2:$A$180,0)))</x:f>
        <x:v>Not Started</x:v>
      </x:c>
      <x:c r="D120" t="str">
        <x:f>IF(INDEX(Backlog!$B$2:$B$180,MATCH($A120,Backlog!$A$2:$A$180,0))="","",INDEX(Backlog!$B$2:$B$180,MATCH($A120,Backlog!$A$2:$A$180,0)))</x:f>
        <x:v>M2</x:v>
      </x:c>
    </x:row>
    <x:row r="121">
      <x:c r="A121" t="str">
        <x:v>T-265</x:v>
      </x:c>
      <x:c r="B121" t="str">
        <x:v>L1.2</x:v>
      </x:c>
      <x:c r="C121" t="str">
        <x:f>IF(INDEX(Backlog!$K$2:$K$180,MATCH($A121,Backlog!$A$2:$A$180,0))="","",INDEX(Backlog!$K$2:$K$180,MATCH($A121,Backlog!$A$2:$A$180,0)))</x:f>
        <x:v>Not Started</x:v>
      </x:c>
      <x:c r="D121" t="str">
        <x:f>IF(INDEX(Backlog!$B$2:$B$180,MATCH($A121,Backlog!$A$2:$A$180,0))="","",INDEX(Backlog!$B$2:$B$180,MATCH($A121,Backlog!$A$2:$A$180,0)))</x:f>
        <x:v>M2</x:v>
      </x:c>
    </x:row>
    <x:row r="122">
      <x:c r="A122" t="str">
        <x:v>T-265</x:v>
      </x:c>
      <x:c r="B122" t="str">
        <x:v>L1.3</x:v>
      </x:c>
      <x:c r="C122" t="str">
        <x:f>IF(INDEX(Backlog!$K$2:$K$180,MATCH($A122,Backlog!$A$2:$A$180,0))="","",INDEX(Backlog!$K$2:$K$180,MATCH($A122,Backlog!$A$2:$A$180,0)))</x:f>
        <x:v>Not Started</x:v>
      </x:c>
      <x:c r="D122" t="str">
        <x:f>IF(INDEX(Backlog!$B$2:$B$180,MATCH($A122,Backlog!$A$2:$A$180,0))="","",INDEX(Backlog!$B$2:$B$180,MATCH($A122,Backlog!$A$2:$A$180,0)))</x:f>
        <x:v>M2</x:v>
      </x:c>
    </x:row>
    <x:row r="123">
      <x:c r="A123" t="str">
        <x:v>T-265</x:v>
      </x:c>
      <x:c r="B123" t="str">
        <x:v>L1.7</x:v>
      </x:c>
      <x:c r="C123" t="str">
        <x:f>IF(INDEX(Backlog!$K$2:$K$180,MATCH($A123,Backlog!$A$2:$A$180,0))="","",INDEX(Backlog!$K$2:$K$180,MATCH($A123,Backlog!$A$2:$A$180,0)))</x:f>
        <x:v>Not Started</x:v>
      </x:c>
      <x:c r="D123" t="str">
        <x:f>IF(INDEX(Backlog!$B$2:$B$180,MATCH($A123,Backlog!$A$2:$A$180,0))="","",INDEX(Backlog!$B$2:$B$180,MATCH($A123,Backlog!$A$2:$A$180,0)))</x:f>
        <x:v>M2</x:v>
      </x:c>
    </x:row>
    <x:row r="124">
      <x:c r="A124" t="str">
        <x:v>T-265</x:v>
      </x:c>
      <x:c r="B124" t="str">
        <x:v>L2.2</x:v>
      </x:c>
      <x:c r="C124" t="str">
        <x:f>IF(INDEX(Backlog!$K$2:$K$180,MATCH($A124,Backlog!$A$2:$A$180,0))="","",INDEX(Backlog!$K$2:$K$180,MATCH($A124,Backlog!$A$2:$A$180,0)))</x:f>
        <x:v>Not Started</x:v>
      </x:c>
      <x:c r="D124" t="str">
        <x:f>IF(INDEX(Backlog!$B$2:$B$180,MATCH($A124,Backlog!$A$2:$A$180,0))="","",INDEX(Backlog!$B$2:$B$180,MATCH($A124,Backlog!$A$2:$A$180,0)))</x:f>
        <x:v>M2</x:v>
      </x:c>
    </x:row>
    <x:row r="125">
      <x:c r="A125" t="str">
        <x:v>T-265</x:v>
      </x:c>
      <x:c r="B125" t="str">
        <x:v>L2.3</x:v>
      </x:c>
      <x:c r="C125" t="str">
        <x:f>IF(INDEX(Backlog!$K$2:$K$180,MATCH($A125,Backlog!$A$2:$A$180,0))="","",INDEX(Backlog!$K$2:$K$180,MATCH($A125,Backlog!$A$2:$A$180,0)))</x:f>
        <x:v>Not Started</x:v>
      </x:c>
      <x:c r="D125" t="str">
        <x:f>IF(INDEX(Backlog!$B$2:$B$180,MATCH($A125,Backlog!$A$2:$A$180,0))="","",INDEX(Backlog!$B$2:$B$180,MATCH($A125,Backlog!$A$2:$A$180,0)))</x:f>
        <x:v>M2</x:v>
      </x:c>
    </x:row>
    <x:row r="126">
      <x:c r="A126" t="str">
        <x:v>T-265</x:v>
      </x:c>
      <x:c r="B126" t="str">
        <x:v>L2.6</x:v>
      </x:c>
      <x:c r="C126" t="str">
        <x:f>IF(INDEX(Backlog!$K$2:$K$180,MATCH($A126,Backlog!$A$2:$A$180,0))="","",INDEX(Backlog!$K$2:$K$180,MATCH($A126,Backlog!$A$2:$A$180,0)))</x:f>
        <x:v>Not Started</x:v>
      </x:c>
      <x:c r="D126" t="str">
        <x:f>IF(INDEX(Backlog!$B$2:$B$180,MATCH($A126,Backlog!$A$2:$A$180,0))="","",INDEX(Backlog!$B$2:$B$180,MATCH($A126,Backlog!$A$2:$A$180,0)))</x:f>
        <x:v>M2</x:v>
      </x:c>
    </x:row>
    <x:row r="127">
      <x:c r="A127" t="str">
        <x:v>T-265</x:v>
      </x:c>
      <x:c r="B127" t="str">
        <x:v>L2.7</x:v>
      </x:c>
      <x:c r="C127" t="str">
        <x:f>IF(INDEX(Backlog!$K$2:$K$180,MATCH($A127,Backlog!$A$2:$A$180,0))="","",INDEX(Backlog!$K$2:$K$180,MATCH($A127,Backlog!$A$2:$A$180,0)))</x:f>
        <x:v>Not Started</x:v>
      </x:c>
      <x:c r="D127" t="str">
        <x:f>IF(INDEX(Backlog!$B$2:$B$180,MATCH($A127,Backlog!$A$2:$A$180,0))="","",INDEX(Backlog!$B$2:$B$180,MATCH($A127,Backlog!$A$2:$A$180,0)))</x:f>
        <x:v>M2</x:v>
      </x:c>
    </x:row>
    <x:row r="128">
      <x:c r="A128" t="str">
        <x:v>T-265</x:v>
      </x:c>
      <x:c r="B128" t="str">
        <x:v>L3.2</x:v>
      </x:c>
      <x:c r="C128" t="str">
        <x:f>IF(INDEX(Backlog!$K$2:$K$180,MATCH($A128,Backlog!$A$2:$A$180,0))="","",INDEX(Backlog!$K$2:$K$180,MATCH($A128,Backlog!$A$2:$A$180,0)))</x:f>
        <x:v>Not Started</x:v>
      </x:c>
      <x:c r="D128" t="str">
        <x:f>IF(INDEX(Backlog!$B$2:$B$180,MATCH($A128,Backlog!$A$2:$A$180,0))="","",INDEX(Backlog!$B$2:$B$180,MATCH($A128,Backlog!$A$2:$A$180,0)))</x:f>
        <x:v>M2</x:v>
      </x:c>
    </x:row>
    <x:row r="129">
      <x:c r="A129" t="str">
        <x:v>T-265</x:v>
      </x:c>
      <x:c r="B129" t="str">
        <x:v>L3.3</x:v>
      </x:c>
      <x:c r="C129" t="str">
        <x:f>IF(INDEX(Backlog!$K$2:$K$180,MATCH($A129,Backlog!$A$2:$A$180,0))="","",INDEX(Backlog!$K$2:$K$180,MATCH($A129,Backlog!$A$2:$A$180,0)))</x:f>
        <x:v>Not Started</x:v>
      </x:c>
      <x:c r="D129" t="str">
        <x:f>IF(INDEX(Backlog!$B$2:$B$180,MATCH($A129,Backlog!$A$2:$A$180,0))="","",INDEX(Backlog!$B$2:$B$180,MATCH($A129,Backlog!$A$2:$A$180,0)))</x:f>
        <x:v>M2</x:v>
      </x:c>
    </x:row>
    <x:row r="130">
      <x:c r="A130" t="str">
        <x:v>T-265</x:v>
      </x:c>
      <x:c r="B130" t="str">
        <x:v>L3.5</x:v>
      </x:c>
      <x:c r="C130" t="str">
        <x:f>IF(INDEX(Backlog!$K$2:$K$180,MATCH($A130,Backlog!$A$2:$A$180,0))="","",INDEX(Backlog!$K$2:$K$180,MATCH($A130,Backlog!$A$2:$A$180,0)))</x:f>
        <x:v>Not Started</x:v>
      </x:c>
      <x:c r="D130" t="str">
        <x:f>IF(INDEX(Backlog!$B$2:$B$180,MATCH($A130,Backlog!$A$2:$A$180,0))="","",INDEX(Backlog!$B$2:$B$180,MATCH($A130,Backlog!$A$2:$A$180,0)))</x:f>
        <x:v>M2</x:v>
      </x:c>
    </x:row>
    <x:row r="131">
      <x:c r="A131" t="str">
        <x:v>T-265</x:v>
      </x:c>
      <x:c r="B131" t="str">
        <x:v>L3.6</x:v>
      </x:c>
      <x:c r="C131" t="str">
        <x:f>IF(INDEX(Backlog!$K$2:$K$180,MATCH($A131,Backlog!$A$2:$A$180,0))="","",INDEX(Backlog!$K$2:$K$180,MATCH($A131,Backlog!$A$2:$A$180,0)))</x:f>
        <x:v>Not Started</x:v>
      </x:c>
      <x:c r="D131" t="str">
        <x:f>IF(INDEX(Backlog!$B$2:$B$180,MATCH($A131,Backlog!$A$2:$A$180,0))="","",INDEX(Backlog!$B$2:$B$180,MATCH($A131,Backlog!$A$2:$A$180,0)))</x:f>
        <x:v>M2</x:v>
      </x:c>
    </x:row>
    <x:row r="132">
      <x:c r="A132" t="str">
        <x:v>T-265</x:v>
      </x:c>
      <x:c r="B132" t="str">
        <x:v>L3.7</x:v>
      </x:c>
      <x:c r="C132" t="str">
        <x:f>IF(INDEX(Backlog!$K$2:$K$180,MATCH($A132,Backlog!$A$2:$A$180,0))="","",INDEX(Backlog!$K$2:$K$180,MATCH($A132,Backlog!$A$2:$A$180,0)))</x:f>
        <x:v>Not Started</x:v>
      </x:c>
      <x:c r="D132" t="str">
        <x:f>IF(INDEX(Backlog!$B$2:$B$180,MATCH($A132,Backlog!$A$2:$A$180,0))="","",INDEX(Backlog!$B$2:$B$180,MATCH($A132,Backlog!$A$2:$A$180,0)))</x:f>
        <x:v>M2</x:v>
      </x:c>
    </x:row>
    <x:row r="133">
      <x:c r="A133" t="str">
        <x:v>T-265</x:v>
      </x:c>
      <x:c r="B133" t="str">
        <x:v>L5.2</x:v>
      </x:c>
      <x:c r="C133" t="str">
        <x:f>IF(INDEX(Backlog!$K$2:$K$180,MATCH($A133,Backlog!$A$2:$A$180,0))="","",INDEX(Backlog!$K$2:$K$180,MATCH($A133,Backlog!$A$2:$A$180,0)))</x:f>
        <x:v>Not Started</x:v>
      </x:c>
      <x:c r="D133" t="str">
        <x:f>IF(INDEX(Backlog!$B$2:$B$180,MATCH($A133,Backlog!$A$2:$A$180,0))="","",INDEX(Backlog!$B$2:$B$180,MATCH($A133,Backlog!$A$2:$A$180,0)))</x:f>
        <x:v>M2</x:v>
      </x:c>
    </x:row>
    <x:row r="134">
      <x:c r="A134" t="str">
        <x:v>T-265</x:v>
      </x:c>
      <x:c r="B134" t="str">
        <x:v>L6.1</x:v>
      </x:c>
      <x:c r="C134" t="str">
        <x:f>IF(INDEX(Backlog!$K$2:$K$180,MATCH($A134,Backlog!$A$2:$A$180,0))="","",INDEX(Backlog!$K$2:$K$180,MATCH($A134,Backlog!$A$2:$A$180,0)))</x:f>
        <x:v>Not Started</x:v>
      </x:c>
      <x:c r="D134" t="str">
        <x:f>IF(INDEX(Backlog!$B$2:$B$180,MATCH($A134,Backlog!$A$2:$A$180,0))="","",INDEX(Backlog!$B$2:$B$180,MATCH($A134,Backlog!$A$2:$A$180,0)))</x:f>
        <x:v>M2</x:v>
      </x:c>
    </x:row>
    <x:row r="135">
      <x:c r="A135" t="str">
        <x:v>T-265</x:v>
      </x:c>
      <x:c r="B135" t="str">
        <x:v>L6.7</x:v>
      </x:c>
      <x:c r="C135" t="str">
        <x:f>IF(INDEX(Backlog!$K$2:$K$180,MATCH($A135,Backlog!$A$2:$A$180,0))="","",INDEX(Backlog!$K$2:$K$180,MATCH($A135,Backlog!$A$2:$A$180,0)))</x:f>
        <x:v>Not Started</x:v>
      </x:c>
      <x:c r="D135" t="str">
        <x:f>IF(INDEX(Backlog!$B$2:$B$180,MATCH($A135,Backlog!$A$2:$A$180,0))="","",INDEX(Backlog!$B$2:$B$180,MATCH($A135,Backlog!$A$2:$A$180,0)))</x:f>
        <x:v>M2</x:v>
      </x:c>
    </x:row>
    <x:row r="136">
      <x:c r="A136" t="str">
        <x:v>T-266</x:v>
      </x:c>
      <x:c r="B136" t="str">
        <x:v>L1.4</x:v>
      </x:c>
      <x:c r="C136" t="str">
        <x:f>IF(INDEX(Backlog!$K$2:$K$180,MATCH($A136,Backlog!$A$2:$A$180,0))="","",INDEX(Backlog!$K$2:$K$180,MATCH($A136,Backlog!$A$2:$A$180,0)))</x:f>
        <x:v>Not Started</x:v>
      </x:c>
      <x:c r="D136" t="str">
        <x:f>IF(INDEX(Backlog!$B$2:$B$180,MATCH($A136,Backlog!$A$2:$A$180,0))="","",INDEX(Backlog!$B$2:$B$180,MATCH($A136,Backlog!$A$2:$A$180,0)))</x:f>
        <x:v>M2</x:v>
      </x:c>
    </x:row>
    <x:row r="137">
      <x:c r="A137" t="str">
        <x:v>T-266</x:v>
      </x:c>
      <x:c r="B137" t="str">
        <x:v>L1.1</x:v>
      </x:c>
      <x:c r="C137" t="str">
        <x:f>IF(INDEX(Backlog!$K$2:$K$180,MATCH($A137,Backlog!$A$2:$A$180,0))="","",INDEX(Backlog!$K$2:$K$180,MATCH($A137,Backlog!$A$2:$A$180,0)))</x:f>
        <x:v>Not Started</x:v>
      </x:c>
      <x:c r="D137" t="str">
        <x:f>IF(INDEX(Backlog!$B$2:$B$180,MATCH($A137,Backlog!$A$2:$A$180,0))="","",INDEX(Backlog!$B$2:$B$180,MATCH($A137,Backlog!$A$2:$A$180,0)))</x:f>
        <x:v>M2</x:v>
      </x:c>
    </x:row>
    <x:row r="138">
      <x:c r="A138" t="str">
        <x:v>T-266</x:v>
      </x:c>
      <x:c r="B138" t="str">
        <x:v>L1.5</x:v>
      </x:c>
      <x:c r="C138" t="str">
        <x:f>IF(INDEX(Backlog!$K$2:$K$180,MATCH($A138,Backlog!$A$2:$A$180,0))="","",INDEX(Backlog!$K$2:$K$180,MATCH($A138,Backlog!$A$2:$A$180,0)))</x:f>
        <x:v>Not Started</x:v>
      </x:c>
      <x:c r="D138" t="str">
        <x:f>IF(INDEX(Backlog!$B$2:$B$180,MATCH($A138,Backlog!$A$2:$A$180,0))="","",INDEX(Backlog!$B$2:$B$180,MATCH($A138,Backlog!$A$2:$A$180,0)))</x:f>
        <x:v>M2</x:v>
      </x:c>
    </x:row>
    <x:row r="139">
      <x:c r="A139" t="str">
        <x:v>T-266</x:v>
      </x:c>
      <x:c r="B139" t="str">
        <x:v>L6.8</x:v>
      </x:c>
      <x:c r="C139" t="str">
        <x:f>IF(INDEX(Backlog!$K$2:$K$180,MATCH($A139,Backlog!$A$2:$A$180,0))="","",INDEX(Backlog!$K$2:$K$180,MATCH($A139,Backlog!$A$2:$A$180,0)))</x:f>
        <x:v>Not Started</x:v>
      </x:c>
      <x:c r="D139" t="str">
        <x:f>IF(INDEX(Backlog!$B$2:$B$180,MATCH($A139,Backlog!$A$2:$A$180,0))="","",INDEX(Backlog!$B$2:$B$180,MATCH($A139,Backlog!$A$2:$A$180,0)))</x:f>
        <x:v>M2</x:v>
      </x:c>
    </x:row>
    <x:row r="140">
      <x:c r="A140" t="str">
        <x:v>T-267</x:v>
      </x:c>
      <x:c r="B140" t="str">
        <x:v>L3.1</x:v>
      </x:c>
      <x:c r="C140" t="str">
        <x:f>IF(INDEX(Backlog!$K$2:$K$180,MATCH($A140,Backlog!$A$2:$A$180,0))="","",INDEX(Backlog!$K$2:$K$180,MATCH($A140,Backlog!$A$2:$A$180,0)))</x:f>
        <x:v>Not Started</x:v>
      </x:c>
      <x:c r="D140" t="str">
        <x:f>IF(INDEX(Backlog!$B$2:$B$180,MATCH($A140,Backlog!$A$2:$A$180,0))="","",INDEX(Backlog!$B$2:$B$180,MATCH($A140,Backlog!$A$2:$A$180,0)))</x:f>
        <x:v>M3</x:v>
      </x:c>
    </x:row>
    <x:row r="141">
      <x:c r="A141" t="str">
        <x:v>T-267</x:v>
      </x:c>
      <x:c r="B141" t="str">
        <x:v>L3.2</x:v>
      </x:c>
      <x:c r="C141" t="str">
        <x:f>IF(INDEX(Backlog!$K$2:$K$180,MATCH($A141,Backlog!$A$2:$A$180,0))="","",INDEX(Backlog!$K$2:$K$180,MATCH($A141,Backlog!$A$2:$A$180,0)))</x:f>
        <x:v>Not Started</x:v>
      </x:c>
      <x:c r="D141" t="str">
        <x:f>IF(INDEX(Backlog!$B$2:$B$180,MATCH($A141,Backlog!$A$2:$A$180,0))="","",INDEX(Backlog!$B$2:$B$180,MATCH($A141,Backlog!$A$2:$A$180,0)))</x:f>
        <x:v>M3</x:v>
      </x:c>
    </x:row>
    <x:row r="142">
      <x:c r="A142" t="str">
        <x:v>T-267</x:v>
      </x:c>
      <x:c r="B142" t="str">
        <x:v>L3.3</x:v>
      </x:c>
      <x:c r="C142" t="str">
        <x:f>IF(INDEX(Backlog!$K$2:$K$180,MATCH($A142,Backlog!$A$2:$A$180,0))="","",INDEX(Backlog!$K$2:$K$180,MATCH($A142,Backlog!$A$2:$A$180,0)))</x:f>
        <x:v>Not Started</x:v>
      </x:c>
      <x:c r="D142" t="str">
        <x:f>IF(INDEX(Backlog!$B$2:$B$180,MATCH($A142,Backlog!$A$2:$A$180,0))="","",INDEX(Backlog!$B$2:$B$180,MATCH($A142,Backlog!$A$2:$A$180,0)))</x:f>
        <x:v>M3</x:v>
      </x:c>
    </x:row>
    <x:row r="143">
      <x:c r="A143" t="str">
        <x:v>T-267</x:v>
      </x:c>
      <x:c r="B143" t="str">
        <x:v>L3.9</x:v>
      </x:c>
      <x:c r="C143" t="str">
        <x:f>IF(INDEX(Backlog!$K$2:$K$180,MATCH($A143,Backlog!$A$2:$A$180,0))="","",INDEX(Backlog!$K$2:$K$180,MATCH($A143,Backlog!$A$2:$A$180,0)))</x:f>
        <x:v>Not Started</x:v>
      </x:c>
      <x:c r="D143" t="str">
        <x:f>IF(INDEX(Backlog!$B$2:$B$180,MATCH($A143,Backlog!$A$2:$A$180,0))="","",INDEX(Backlog!$B$2:$B$180,MATCH($A143,Backlog!$A$2:$A$180,0)))</x:f>
        <x:v>M3</x:v>
      </x:c>
    </x:row>
    <x:row r="144">
      <x:c r="A144" t="str">
        <x:v>T-267</x:v>
      </x:c>
      <x:c r="B144" t="str">
        <x:v>L6.5</x:v>
      </x:c>
      <x:c r="C144" t="str">
        <x:f>IF(INDEX(Backlog!$K$2:$K$180,MATCH($A144,Backlog!$A$2:$A$180,0))="","",INDEX(Backlog!$K$2:$K$180,MATCH($A144,Backlog!$A$2:$A$180,0)))</x:f>
        <x:v>Not Started</x:v>
      </x:c>
      <x:c r="D144" t="str">
        <x:f>IF(INDEX(Backlog!$B$2:$B$180,MATCH($A144,Backlog!$A$2:$A$180,0))="","",INDEX(Backlog!$B$2:$B$180,MATCH($A144,Backlog!$A$2:$A$180,0)))</x:f>
        <x:v>M3</x:v>
      </x:c>
    </x:row>
    <x:row r="145">
      <x:c r="A145" t="str">
        <x:v>T-267</x:v>
      </x:c>
      <x:c r="B145" t="str">
        <x:v>L6.7</x:v>
      </x:c>
      <x:c r="C145" t="str">
        <x:f>IF(INDEX(Backlog!$K$2:$K$180,MATCH($A145,Backlog!$A$2:$A$180,0))="","",INDEX(Backlog!$K$2:$K$180,MATCH($A145,Backlog!$A$2:$A$180,0)))</x:f>
        <x:v>Not Started</x:v>
      </x:c>
      <x:c r="D145" t="str">
        <x:f>IF(INDEX(Backlog!$B$2:$B$180,MATCH($A145,Backlog!$A$2:$A$180,0))="","",INDEX(Backlog!$B$2:$B$180,MATCH($A145,Backlog!$A$2:$A$180,0)))</x:f>
        <x:v>M3</x:v>
      </x:c>
    </x:row>
    <x:row r="146">
      <x:c r="A146" t="str">
        <x:v>T-267</x:v>
      </x:c>
      <x:c r="B146" t="str">
        <x:v>L7.4</x:v>
      </x:c>
      <x:c r="C146" t="str">
        <x:f>IF(INDEX(Backlog!$K$2:$K$180,MATCH($A146,Backlog!$A$2:$A$180,0))="","",INDEX(Backlog!$K$2:$K$180,MATCH($A146,Backlog!$A$2:$A$180,0)))</x:f>
        <x:v>Not Started</x:v>
      </x:c>
      <x:c r="D146" t="str">
        <x:f>IF(INDEX(Backlog!$B$2:$B$180,MATCH($A146,Backlog!$A$2:$A$180,0))="","",INDEX(Backlog!$B$2:$B$180,MATCH($A146,Backlog!$A$2:$A$180,0)))</x:f>
        <x:v>M3</x:v>
      </x:c>
    </x:row>
    <x:row r="147">
      <x:c r="A147" t="str">
        <x:v>T-267</x:v>
      </x:c>
      <x:c r="B147" t="str">
        <x:v>L9.3</x:v>
      </x:c>
      <x:c r="C147" t="str">
        <x:f>IF(INDEX(Backlog!$K$2:$K$180,MATCH($A147,Backlog!$A$2:$A$180,0))="","",INDEX(Backlog!$K$2:$K$180,MATCH($A147,Backlog!$A$2:$A$180,0)))</x:f>
        <x:v>Not Started</x:v>
      </x:c>
      <x:c r="D147" t="str">
        <x:f>IF(INDEX(Backlog!$B$2:$B$180,MATCH($A147,Backlog!$A$2:$A$180,0))="","",INDEX(Backlog!$B$2:$B$180,MATCH($A147,Backlog!$A$2:$A$180,0)))</x:f>
        <x:v>M3</x:v>
      </x:c>
    </x:row>
    <x:row r="148">
      <x:c r="A148" t="str">
        <x:v>T-267</x:v>
      </x:c>
      <x:c r="B148" t="str">
        <x:v>L9.5</x:v>
      </x:c>
      <x:c r="C148" t="str">
        <x:f>IF(INDEX(Backlog!$K$2:$K$180,MATCH($A148,Backlog!$A$2:$A$180,0))="","",INDEX(Backlog!$K$2:$K$180,MATCH($A148,Backlog!$A$2:$A$180,0)))</x:f>
        <x:v>Not Started</x:v>
      </x:c>
      <x:c r="D148" t="str">
        <x:f>IF(INDEX(Backlog!$B$2:$B$180,MATCH($A148,Backlog!$A$2:$A$180,0))="","",INDEX(Backlog!$B$2:$B$180,MATCH($A148,Backlog!$A$2:$A$180,0)))</x:f>
        <x:v>M3</x:v>
      </x:c>
    </x:row>
    <x:row r="149">
      <x:c r="A149" t="str">
        <x:v>T-267</x:v>
      </x:c>
      <x:c r="B149" t="str">
        <x:v>L10.1</x:v>
      </x:c>
      <x:c r="C149" t="str">
        <x:f>IF(INDEX(Backlog!$K$2:$K$180,MATCH($A149,Backlog!$A$2:$A$180,0))="","",INDEX(Backlog!$K$2:$K$180,MATCH($A149,Backlog!$A$2:$A$180,0)))</x:f>
        <x:v>Not Started</x:v>
      </x:c>
      <x:c r="D149" t="str">
        <x:f>IF(INDEX(Backlog!$B$2:$B$180,MATCH($A149,Backlog!$A$2:$A$180,0))="","",INDEX(Backlog!$B$2:$B$180,MATCH($A149,Backlog!$A$2:$A$180,0)))</x:f>
        <x:v>M3</x:v>
      </x:c>
    </x:row>
    <x:row r="150">
      <x:c r="A150" t="str">
        <x:v>T-267</x:v>
      </x:c>
      <x:c r="B150" t="str">
        <x:v>L10.4</x:v>
      </x:c>
      <x:c r="C150" t="str">
        <x:f>IF(INDEX(Backlog!$K$2:$K$180,MATCH($A150,Backlog!$A$2:$A$180,0))="","",INDEX(Backlog!$K$2:$K$180,MATCH($A150,Backlog!$A$2:$A$180,0)))</x:f>
        <x:v>Not Started</x:v>
      </x:c>
      <x:c r="D150" t="str">
        <x:f>IF(INDEX(Backlog!$B$2:$B$180,MATCH($A150,Backlog!$A$2:$A$180,0))="","",INDEX(Backlog!$B$2:$B$180,MATCH($A150,Backlog!$A$2:$A$180,0)))</x:f>
        <x:v>M3</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22" hidden="0" customWidth="1"/>
    <x:col min="2" max="2" width="28" hidden="0" customWidth="1"/>
    <x:col min="3" max="3" width="32" hidden="0" customWidth="1"/>
    <x:col min="4" max="4" width="20" hidden="0" customWidth="1"/>
    <x:col min="5" max="5" width="24" hidden="0" customWidth="1"/>
    <x:col min="6" max="6" width="32" hidden="0" customWidth="1"/>
    <x:col min="7" max="7" width="40" hidden="0" customWidth="1"/>
    <x:col min="8" max="8" width="36" hidden="0" customWidth="1"/>
    <x:col min="9" max="9" width="28" hidden="0" customWidth="1"/>
    <x:col min="10" max="10" width="44" hidden="0" customWidth="1"/>
    <x:col min="11" max="11" width="36" hidden="0" customWidth="1"/>
  </x:cols>
  <x:sheetData>
    <x:row r="1" ht="30" customHeight="1">
      <x:c r="A1" s="244" t="str">
        <x:v>Artifact ID</x:v>
      </x:c>
      <x:c r="B1" s="244" t="str">
        <x:v>Kind</x:v>
      </x:c>
      <x:c r="C1" s="244" t="str">
        <x:v>Name</x:v>
      </x:c>
      <x:c r="D1" s="244" t="str">
        <x:v>Release portion</x:v>
      </x:c>
      <x:c r="E1" s="244" t="str">
        <x:v>Design owner</x:v>
      </x:c>
      <x:c r="F1" s="244" t="str">
        <x:v>Runtime owner(s)</x:v>
      </x:c>
      <x:c r="G1" s="244" t="str">
        <x:v>Chapter / source</x:v>
      </x:c>
      <x:c r="H1" s="244" t="str">
        <x:v>Existing scene IDs</x:v>
      </x:c>
      <x:c r="I1" s="244" t="str">
        <x:v>Design state</x:v>
      </x:c>
      <x:c r="J1" s="244" t="str">
        <x:v>Required correction / outcome</x:v>
      </x:c>
      <x:c r="K1" s="244" t="str">
        <x:v>Citation status</x:v>
      </x:c>
    </x:row>
    <x:row r="2" ht="60" customHeight="1">
      <x:c r="A2" s="245" t="str">
        <x:v>A1</x:v>
      </x:c>
      <x:c r="B2" s="245" t="str">
        <x:v>Page</x:v>
      </x:c>
      <x:c r="C2" s="245" t="str">
        <x:v>Login</x:v>
      </x:c>
      <x:c r="D2" s="245" t="str">
        <x:v>M2</x:v>
      </x:c>
      <x:c r="E2" s="245" t="str">
        <x:v>T-265</x:v>
      </x:c>
      <x:c r="F2" s="245" t="str">
        <x:v>T-113; T-119; T-120</x:v>
      </x:c>
      <x:c r="G2" s="245" t="str">
        <x:v>PPIQ_Chapter3_General_Technical_Function_Description_v4.10.3.md §A1</x:v>
      </x:c>
      <x:c r="H2" s="245" t="str">
        <x:v>A1--populated; A1--loading; A1--blocked; A1--refused; A1--failed</x:v>
      </x:c>
      <x:c r="I2" s="245" t="str">
        <x:v>DESIGN DEPTH PENDING</x:v>
      </x:c>
      <x:c r="J2" s="245" t="str">
        <x:v>Authenticated/locked/challenge/session recovery; secrets never shown.</x:v>
      </x:c>
      <x:c r="K2" s="245" t="str">
        <x:v>SOURCE SECTION RETAINED; SEMANTIC REVIEW REQUIRED</x:v>
      </x:c>
    </x:row>
    <x:row r="3" ht="60" customHeight="1">
      <x:c r="A3" s="245" t="str">
        <x:v>A2</x:v>
      </x:c>
      <x:c r="B3" s="245" t="str">
        <x:v>Page</x:v>
      </x:c>
      <x:c r="C3" s="245" t="str">
        <x:v>Home</x:v>
      </x:c>
      <x:c r="D3" s="245" t="str">
        <x:v>M2</x:v>
      </x:c>
      <x:c r="E3" s="245" t="str">
        <x:v>T-265</x:v>
      </x:c>
      <x:c r="F3" s="245" t="str">
        <x:v>T-148; T-247</x:v>
      </x:c>
      <x:c r="G3" s="245" t="str">
        <x:v>PPIQ_Chapter3_General_Technical_Function_Description_v4.10.3.md §A2</x:v>
      </x:c>
      <x:c r="H3" s="245" t="str">
        <x:v>A2--populated; A2--loading; A2--empty; A2--filtered-empty; A2--blocked; A2--refused; A2--failed; A2--read-only</x:v>
      </x:c>
      <x:c r="I3" s="245" t="str">
        <x:v>DESIGN DEPTH PENDING</x:v>
      </x:c>
      <x:c r="J3" s="245" t="str">
        <x:v>Canonical J1-J15 identity, or a labelled condensed mapping; no second journey.</x:v>
      </x:c>
      <x:c r="K3" s="245" t="str">
        <x:v>SOURCE SECTION RETAINED; SEMANTIC REVIEW REQUIRED</x:v>
      </x:c>
    </x:row>
    <x:row r="4" ht="60" customHeight="1">
      <x:c r="A4" s="245" t="str">
        <x:v>B1</x:v>
      </x:c>
      <x:c r="B4" s="245" t="str">
        <x:v>Page</x:v>
      </x:c>
      <x:c r="C4" s="245" t="str">
        <x:v>Connections</x:v>
      </x:c>
      <x:c r="D4" s="245" t="str">
        <x:v>M2</x:v>
      </x:c>
      <x:c r="E4" s="245" t="str">
        <x:v>T-265</x:v>
      </x:c>
      <x:c r="F4" s="245" t="str">
        <x:v>T-113; T-254; T-148</x:v>
      </x:c>
      <x:c r="G4" s="245" t="str">
        <x:v>PPIQ_Chapter3_General_Technical_Function_Description_v4.10.3.md §B1</x:v>
      </x:c>
      <x:c r="H4" s="245" t="str">
        <x:v>B1--populated; B1--loading; B1--empty; B1--filtered-empty; B1--blocked; B1--refused; B1--failed; B1--read-only</x:v>
      </x:c>
      <x:c r="I4" s="245" t="str">
        <x:v>DESIGN DEPTH PENDING</x:v>
      </x:c>
      <x:c r="J4" s="245" t="str">
        <x:v>Provider-aware fields/test/budget/secret reference; OPC variant T-266.</x:v>
      </x:c>
      <x:c r="K4" s="245" t="str">
        <x:v>SOURCE SECTION RETAINED; SEMANTIC REVIEW REQUIRED</x:v>
      </x:c>
    </x:row>
    <x:row r="5" ht="60" customHeight="1">
      <x:c r="A5" s="245" t="str">
        <x:v>B2</x:v>
      </x:c>
      <x:c r="B5" s="245" t="str">
        <x:v>Page</x:v>
      </x:c>
      <x:c r="C5" s="245" t="str">
        <x:v>Dataset Registry</x:v>
      </x:c>
      <x:c r="D5" s="245" t="str">
        <x:v>M2</x:v>
      </x:c>
      <x:c r="E5" s="245" t="str">
        <x:v>T-265</x:v>
      </x:c>
      <x:c r="F5" s="245" t="str">
        <x:v>T-148; T-101</x:v>
      </x:c>
      <x:c r="G5" s="245" t="str">
        <x:v>PPIQ_Chapter3_General_Technical_Function_Description_v4.10.3.md §B2</x:v>
      </x:c>
      <x:c r="H5" s="245" t="str">
        <x:v>B2--populated; B2--loading; B2--empty; B2--filtered-empty; B2--blocked; B2--refused; B2--failed; B2--read-only</x:v>
      </x:c>
      <x:c r="I5" s="245" t="str">
        <x:v>DESIGN DEPTH PENDING</x:v>
      </x:c>
      <x:c r="J5" s="245" t="str">
        <x:v>Discovery tree/selection/register/preview; confirm suggestions; OPC variant T-266.</x:v>
      </x:c>
      <x:c r="K5" s="245" t="str">
        <x:v>SOURCE SECTION RETAINED; SEMANTIC REVIEW REQUIRED</x:v>
      </x:c>
    </x:row>
    <x:row r="6" ht="60" customHeight="1">
      <x:c r="A6" s="245" t="str">
        <x:v>B3</x:v>
      </x:c>
      <x:c r="B6" s="245" t="str">
        <x:v>Page</x:v>
      </x:c>
      <x:c r="C6" s="245" t="str">
        <x:v>Prepare Import</x:v>
      </x:c>
      <x:c r="D6" s="245" t="str">
        <x:v>M2</x:v>
      </x:c>
      <x:c r="E6" s="245" t="str">
        <x:v>T-265</x:v>
      </x:c>
      <x:c r="F6" s="245" t="str">
        <x:v>T-108; T-148</x:v>
      </x:c>
      <x:c r="G6" s="245" t="str">
        <x:v>PPIQ_Chapter3_General_Technical_Function_Description_v4.10.3.md §B3</x:v>
      </x:c>
      <x:c r="H6" s="245" t="str">
        <x:v>B3--populated; B3--loading; B3--empty; B3--filtered-empty; B3--blocked; B3--refused; B3--failed; B3--read-only</x:v>
      </x:c>
      <x:c r="I6" s="245" t="str">
        <x:v>DESIGN DEPTH PENDING</x:v>
      </x:c>
      <x:c r="J6" s="245" t="str">
        <x:v>Typed watermark and deterministic tie-break; no-watermark warning/cadence; OPC T-266.</x:v>
      </x:c>
      <x:c r="K6" s="245" t="str">
        <x:v>SOURCE SECTION RETAINED; SEMANTIC REVIEW REQUIRED</x:v>
      </x:c>
    </x:row>
    <x:row r="7" ht="60" customHeight="1">
      <x:c r="A7" s="245" t="str">
        <x:v>B4</x:v>
      </x:c>
      <x:c r="B7" s="245" t="str">
        <x:v>Page</x:v>
      </x:c>
      <x:c r="C7" s="245" t="str">
        <x:v>Importing</x:v>
      </x:c>
      <x:c r="D7" s="245" t="str">
        <x:v>M2</x:v>
      </x:c>
      <x:c r="E7" s="245" t="str">
        <x:v>T-265</x:v>
      </x:c>
      <x:c r="F7" s="245" t="str">
        <x:v>T-101; T-125</x:v>
      </x:c>
      <x:c r="G7" s="245" t="str">
        <x:v>PPIQ_Chapter3_General_Technical_Function_Description_v4.10.3.md §B4</x:v>
      </x:c>
      <x:c r="H7" s="245" t="str">
        <x:v>B4--populated; B4--loading; B4--empty; B4--filtered-empty; B4--blocked; B4--refused; B4--failed; B4--read-only</x:v>
      </x:c>
      <x:c r="I7" s="245" t="str">
        <x:v>DESIGN DEPTH PENDING</x:v>
      </x:c>
      <x:c r="J7" s="245" t="str">
        <x:v>Durable batch state/error/counts/last committed cursor; retry and spool variant.</x:v>
      </x:c>
      <x:c r="K7" s="245" t="str">
        <x:v>SOURCE SECTION RETAINED; SEMANTIC REVIEW REQUIRED</x:v>
      </x:c>
    </x:row>
    <x:row r="8" ht="60" customHeight="1">
      <x:c r="A8" s="245" t="str">
        <x:v>B5</x:v>
      </x:c>
      <x:c r="B8" s="245" t="str">
        <x:v>Page</x:v>
      </x:c>
      <x:c r="C8" s="245" t="str">
        <x:v>Jobs Monitor</x:v>
      </x:c>
      <x:c r="D8" s="245" t="str">
        <x:v>M2</x:v>
      </x:c>
      <x:c r="E8" s="245" t="str">
        <x:v>T-265</x:v>
      </x:c>
      <x:c r="F8" s="245" t="str">
        <x:v>T-106; T-125; T-245</x:v>
      </x:c>
      <x:c r="G8" s="245" t="str">
        <x:v>PPIQ_Chapter3_General_Technical_Function_Description_v4.10.3.md §B5</x:v>
      </x:c>
      <x:c r="H8" s="245" t="str">
        <x:v>B5--populated; B5--loading; B5--empty; B5--filtered-empty; B5--blocked; B5--refused; B5--failed; B5--read-only</x:v>
      </x:c>
      <x:c r="I8" s="245" t="str">
        <x:v>DESIGN DEPTH PENDING</x:v>
      </x:c>
      <x:c r="J8" s="245" t="str">
        <x:v>Monitor and history, cancellation acknowledgement, canonical outcomes.</x:v>
      </x:c>
      <x:c r="K8" s="245" t="str">
        <x:v>SOURCE SECTION RETAINED; SEMANTIC REVIEW REQUIRED</x:v>
      </x:c>
    </x:row>
    <x:row r="9" ht="60" customHeight="1">
      <x:c r="A9" s="245" t="str">
        <x:v>B6</x:v>
      </x:c>
      <x:c r="B9" s="245" t="str">
        <x:v>Page</x:v>
      </x:c>
      <x:c r="C9" s="245" t="str">
        <x:v>Connector Truth</x:v>
      </x:c>
      <x:c r="D9" s="245" t="str">
        <x:v>M2</x:v>
      </x:c>
      <x:c r="E9" s="245" t="str">
        <x:v>T-265</x:v>
      </x:c>
      <x:c r="F9" s="245" t="str">
        <x:v>T-254; T-224; T-225; T-226</x:v>
      </x:c>
      <x:c r="G9" s="245" t="str">
        <x:v>PPIQ_Chapter3_General_Technical_Function_Description_v4.10.3.md §B6</x:v>
      </x:c>
      <x:c r="H9" s="245" t="str">
        <x:v>B6--populated; B6--loading; B6--empty; B6--filtered-empty; B6--blocked; B6--refused; B6--failed; B6--read-only</x:v>
      </x:c>
      <x:c r="I9" s="245" t="str">
        <x:v>DESIGN DEPTH PENDING</x:v>
      </x:c>
      <x:c r="J9" s="245" t="str">
        <x:v>Availability is role/entitlement/runtime-specific; OPC design T-266.</x:v>
      </x:c>
      <x:c r="K9" s="245" t="str">
        <x:v>SOURCE SECTION RETAINED; SEMANTIC REVIEW REQUIRED</x:v>
      </x:c>
    </x:row>
    <x:row r="10" ht="60" customHeight="1">
      <x:c r="A10" s="245" t="str">
        <x:v>C1</x:v>
      </x:c>
      <x:c r="B10" s="245" t="str">
        <x:v>Page</x:v>
      </x:c>
      <x:c r="C10" s="245" t="str">
        <x:v>Transformation Studio</x:v>
      </x:c>
      <x:c r="D10" s="245" t="str">
        <x:v>M2 + M3</x:v>
      </x:c>
      <x:c r="E10" s="245" t="str">
        <x:v>T-265; T-267</x:v>
      </x:c>
      <x:c r="F10" s="245" t="str">
        <x:v>T-243; T-262; T-245; T-248</x:v>
      </x:c>
      <x:c r="G10" s="245" t="str">
        <x:v>PPIQ_Chapter3_General_Technical_Function_Description_v4.10.3.md §C1</x:v>
      </x:c>
      <x:c r="H10" s="245" t="str">
        <x:v>C1--populated; C1--loading; C1--empty; C1--filtered-empty; C1--blocked; C1--refused; C1--failed; C1--read-only</x:v>
      </x:c>
      <x:c r="I10" s="245" t="str">
        <x:v>DESIGN DEPTH PENDING</x:v>
      </x:c>
      <x:c r="J10" s="245" t="str">
        <x:v>S1 hosting is intentional; selected-block/property/wiring/run flow is required.</x:v>
      </x:c>
      <x:c r="K10" s="245" t="str">
        <x:v>SOURCE SECTION RETAINED; SEMANTIC REVIEW REQUIRED</x:v>
      </x:c>
    </x:row>
    <x:row r="11" ht="60" customHeight="1">
      <x:c r="A11" s="245" t="str">
        <x:v>C2</x:v>
      </x:c>
      <x:c r="B11" s="245" t="str">
        <x:v>Page</x:v>
      </x:c>
      <x:c r="C11" s="245" t="str">
        <x:v>Mapping Health</x:v>
      </x:c>
      <x:c r="D11" s="245" t="str">
        <x:v>M2</x:v>
      </x:c>
      <x:c r="E11" s="245" t="str">
        <x:v>T-265</x:v>
      </x:c>
      <x:c r="F11" s="245" t="str">
        <x:v>T-101</x:v>
      </x:c>
      <x:c r="G11" s="245" t="str">
        <x:v>PPIQ_Chapter3_General_Technical_Function_Description_v4.10.3.md §C2</x:v>
      </x:c>
      <x:c r="H11" s="245" t="str">
        <x:v>C2--populated; C2--loading; C2--empty; C2--filtered-empty; C2--blocked; C2--refused; C2--failed; C2--read-only</x:v>
      </x:c>
      <x:c r="I11" s="245" t="str">
        <x:v>DESIGN DEPTH PENDING</x:v>
      </x:c>
      <x:c r="J11" s="245" t="str">
        <x:v>Catalogue-driven PV groups, lineage, drift and reprocess; not exactly eight fixed groups.</x:v>
      </x:c>
      <x:c r="K11" s="245" t="str">
        <x:v>SOURCE SECTION RETAINED; SEMANTIC REVIEW REQUIRED</x:v>
      </x:c>
    </x:row>
    <x:row r="12" ht="60" customHeight="1">
      <x:c r="A12" s="245" t="str">
        <x:v>C3</x:v>
      </x:c>
      <x:c r="B12" s="245" t="str">
        <x:v>Page</x:v>
      </x:c>
      <x:c r="C12" s="245" t="str">
        <x:v>Data Quality</x:v>
      </x:c>
      <x:c r="D12" s="245" t="str">
        <x:v>M2</x:v>
      </x:c>
      <x:c r="E12" s="245" t="str">
        <x:v>T-265</x:v>
      </x:c>
      <x:c r="F12" s="245" t="str">
        <x:v>T-100; T-101</x:v>
      </x:c>
      <x:c r="G12" s="245" t="str">
        <x:v>PPIQ_Chapter3_General_Technical_Function_Description_v4.10.3.md §C3</x:v>
      </x:c>
      <x:c r="H12" s="245" t="str">
        <x:v>C3--populated; C3--loading; C3--empty; C3--filtered-empty; C3--blocked; C3--refused; C3--failed; C3--read-only</x:v>
      </x:c>
      <x:c r="I12" s="245" t="str">
        <x:v>DESIGN DEPTH PENDING</x:v>
      </x:c>
      <x:c r="J12" s="245" t="str">
        <x:v>Quality diagnostics and quarantine states with safe row-detail actions.</x:v>
      </x:c>
      <x:c r="K12" s="245" t="str">
        <x:v>SOURCE SECTION RETAINED; SEMANTIC REVIEW REQUIRED</x:v>
      </x:c>
    </x:row>
    <x:row r="13" ht="60" customHeight="1">
      <x:c r="A13" s="245" t="str">
        <x:v>C4</x:v>
      </x:c>
      <x:c r="B13" s="245" t="str">
        <x:v>Page</x:v>
      </x:c>
      <x:c r="C13" s="245" t="str">
        <x:v>Plant Model Explorer</x:v>
      </x:c>
      <x:c r="D13" s="245" t="str">
        <x:v>M3</x:v>
      </x:c>
      <x:c r="E13" s="245" t="str">
        <x:v>T-267</x:v>
      </x:c>
      <x:c r="F13" s="245" t="str">
        <x:v>T-196</x:v>
      </x:c>
      <x:c r="G13" s="245" t="str">
        <x:v>PPIQ_Chapter3_General_Technical_Function_Description_v4.10.3.md §C4</x:v>
      </x:c>
      <x:c r="H13" s="245" t="str">
        <x:v>C4--populated; C4--loading; C4--empty; C4--filtered-empty; C4--blocked; C4--refused; C4--failed; C4--read-only</x:v>
      </x:c>
      <x:c r="I13" s="245" t="str">
        <x:v>DESIGN DEPTH PENDING</x:v>
      </x:c>
      <x:c r="J13" s="245" t="str">
        <x:v>Full Plant Model Explorer; canonical route contract available to T-148.</x:v>
      </x:c>
      <x:c r="K13" s="245" t="str">
        <x:v>SOURCE SECTION RETAINED; SEMANTIC REVIEW REQUIRED</x:v>
      </x:c>
    </x:row>
    <x:row r="14" ht="60" customHeight="1">
      <x:c r="A14" s="245" t="str">
        <x:v>C5</x:v>
      </x:c>
      <x:c r="B14" s="245" t="str">
        <x:v>Page</x:v>
      </x:c>
      <x:c r="C14" s="245" t="str">
        <x:v>Genealogy Explorer</x:v>
      </x:c>
      <x:c r="D14" s="245" t="str">
        <x:v>M2</x:v>
      </x:c>
      <x:c r="E14" s="245" t="str">
        <x:v>T-265</x:v>
      </x:c>
      <x:c r="F14" s="245" t="str">
        <x:v>T-102; T-103; T-258</x:v>
      </x:c>
      <x:c r="G14" s="245" t="str">
        <x:v>PPIQ_Chapter3_General_Technical_Function_Description_v4.10.3.md §C5</x:v>
      </x:c>
      <x:c r="H14" s="245" t="str">
        <x:v>C5--populated; C5--loading; C5--empty; C5--filtered-empty; C5--blocked; C5--refused; C5--failed; C5--read-only</x:v>
      </x:c>
      <x:c r="I14" s="245" t="str">
        <x:v>DESIGN DEPTH PENDING</x:v>
      </x:c>
      <x:c r="J14" s="245" t="str">
        <x:v>Genealogy path, aliases, weights, cycles/refusal and evidence.</x:v>
      </x:c>
      <x:c r="K14" s="245" t="str">
        <x:v>SOURCE SECTION RETAINED; SEMANTIC REVIEW REQUIRED</x:v>
      </x:c>
    </x:row>
    <x:row r="15" ht="60" customHeight="1">
      <x:c r="A15" s="245" t="str">
        <x:v>C6</x:v>
      </x:c>
      <x:c r="B15" s="245" t="str">
        <x:v>Page</x:v>
      </x:c>
      <x:c r="C15" s="245" t="str">
        <x:v>Relationship Browser</x:v>
      </x:c>
      <x:c r="D15" s="245" t="str">
        <x:v>M2</x:v>
      </x:c>
      <x:c r="E15" s="245" t="str">
        <x:v>T-265</x:v>
      </x:c>
      <x:c r="F15" s="245" t="str">
        <x:v>T-098</x:v>
      </x:c>
      <x:c r="G15" s="245" t="str">
        <x:v>PPIQ_Chapter3_General_Technical_Function_Description_v4.10.3.md §C6</x:v>
      </x:c>
      <x:c r="H15" s="245" t="str">
        <x:v>C6--populated; C6--loading; C6--empty; C6--filtered-empty; C6--blocked; C6--refused; C6--failed; C6--read-only</x:v>
      </x:c>
      <x:c r="I15" s="245" t="str">
        <x:v>DESIGN DEPTH PENDING</x:v>
      </x:c>
      <x:c r="J15" s="245" t="str">
        <x:v>Published relationship members, cardinality, paths and validation controls.</x:v>
      </x:c>
      <x:c r="K15" s="245" t="str">
        <x:v>SOURCE SECTION RETAINED; SEMANTIC REVIEW REQUIRED</x:v>
      </x:c>
    </x:row>
    <x:row r="16" ht="60" customHeight="1">
      <x:c r="A16" s="245" t="str">
        <x:v>D1</x:v>
      </x:c>
      <x:c r="B16" s="245" t="str">
        <x:v>Page</x:v>
      </x:c>
      <x:c r="C16" s="245" t="str">
        <x:v>Interactive Workspace</x:v>
      </x:c>
      <x:c r="D16" s="245" t="str">
        <x:v>M2 + M3</x:v>
      </x:c>
      <x:c r="E16" s="245" t="str">
        <x:v>T-265; T-267</x:v>
      </x:c>
      <x:c r="F16" s="245" t="str">
        <x:v>T-148; T-258; T-247; T-248</x:v>
      </x:c>
      <x:c r="G16" s="245" t="str">
        <x:v>PPIQ_Chapter3_General_Technical_Function_Description_v4.10.3.md §D1</x:v>
      </x:c>
      <x:c r="H16" s="245" t="str">
        <x:v>D1--populated; D1--loading; D1--empty; D1--filtered-empty; D1--blocked; D1--refused; D1--failed; D1--read-only</x:v>
      </x:c>
      <x:c r="I16" s="245" t="str">
        <x:v>DESIGN DEPTH PENDING</x:v>
      </x:c>
      <x:c r="J16" s="245" t="str">
        <x:v>M2 selection strip, excluded pivot, propagation/table UX; advanced comparison/bookmarks M3.</x:v>
      </x:c>
      <x:c r="K16" s="245" t="str">
        <x:v>SOURCE SECTION RETAINED; SEMANTIC REVIEW REQUIRED</x:v>
      </x:c>
    </x:row>
    <x:row r="17" ht="60" customHeight="1">
      <x:c r="A17" s="245" t="str">
        <x:v>D2</x:v>
      </x:c>
      <x:c r="B17" s="245" t="str">
        <x:v>Page</x:v>
      </x:c>
      <x:c r="C17" s="245" t="str">
        <x:v>Page Builder</x:v>
      </x:c>
      <x:c r="D17" s="245" t="str">
        <x:v>M2 + M3</x:v>
      </x:c>
      <x:c r="E17" s="245" t="str">
        <x:v>T-265; T-267</x:v>
      </x:c>
      <x:c r="F17" s="245" t="str">
        <x:v>T-148; T-212; T-248</x:v>
      </x:c>
      <x:c r="G17" s="245" t="str">
        <x:v>PPIQ_Chapter3_General_Technical_Function_Description_v4.10.3.md §D2</x:v>
      </x:c>
      <x:c r="H17" s="245" t="str">
        <x:v>D2--populated; D2--loading; D2--empty; D2--filtered-empty; D2--blocked; D2--refused; D2--failed; D2--read-only</x:v>
      </x:c>
      <x:c r="I17" s="245" t="str">
        <x:v>DESIGN DEPTH PENDING</x:v>
      </x:c>
      <x:c r="J17" s="245" t="str">
        <x:v>Creation/editing/layout/role binding; distinguish from D1 view mode.</x:v>
      </x:c>
      <x:c r="K17" s="245" t="str">
        <x:v>SOURCE SECTION RETAINED; SEMANTIC REVIEW REQUIRED</x:v>
      </x:c>
    </x:row>
    <x:row r="18" ht="60" customHeight="1">
      <x:c r="A18" s="245" t="str">
        <x:v>D3</x:v>
      </x:c>
      <x:c r="B18" s="245" t="str">
        <x:v>Page</x:v>
      </x:c>
      <x:c r="C18" s="245" t="str">
        <x:v>Analysis Toolbox</x:v>
      </x:c>
      <x:c r="D18" s="245" t="str">
        <x:v>M2 + M3</x:v>
      </x:c>
      <x:c r="E18" s="245" t="str">
        <x:v>T-265; T-267</x:v>
      </x:c>
      <x:c r="F18" s="245" t="str">
        <x:v>T-211; T-212; T-237; T-248</x:v>
      </x:c>
      <x:c r="G18" s="245" t="str">
        <x:v>PPIQ_Chapter3_General_Technical_Function_Description_v4.10.3.md §D3</x:v>
      </x:c>
      <x:c r="H18" s="245" t="str">
        <x:v>D3--populated; D3--loading; D3--empty; D3--filtered-empty; D3--blocked; D3--refused; D3--failed; D3--read-only</x:v>
      </x:c>
      <x:c r="I18" s="245" t="str">
        <x:v>DESIGN DEPTH PENDING</x:v>
      </x:c>
      <x:c r="J18" s="245" t="str">
        <x:v>Active method/subject/grain/readiness controls; unsupported methods refuse honestly.</x:v>
      </x:c>
      <x:c r="K18" s="245" t="str">
        <x:v>SOURCE SECTION RETAINED; SEMANTIC REVIEW REQUIRED</x:v>
      </x:c>
    </x:row>
    <x:row r="19" ht="60" customHeight="1">
      <x:c r="A19" s="245" t="str">
        <x:v>D4</x:v>
      </x:c>
      <x:c r="B19" s="245" t="str">
        <x:v>Page</x:v>
      </x:c>
      <x:c r="C19" s="245" t="str">
        <x:v>Findings</x:v>
      </x:c>
      <x:c r="D19" s="245" t="str">
        <x:v>M2 + M3</x:v>
      </x:c>
      <x:c r="E19" s="245" t="str">
        <x:v>T-265; T-267</x:v>
      </x:c>
      <x:c r="F19" s="245" t="str">
        <x:v>T-212; T-247; T-188</x:v>
      </x:c>
      <x:c r="G19" s="245" t="str">
        <x:v>PPIQ_Chapter3_General_Technical_Function_Description_v4.10.3.md §D4</x:v>
      </x:c>
      <x:c r="H19" s="245" t="str">
        <x:v>D4--populated; D4--loading; D4--empty; D4--filtered-empty; D4--blocked; D4--refused; D4--failed; D4--read-only</x:v>
      </x:c>
      <x:c r="I19" s="245" t="str">
        <x:v>DESIGN DEPTH PENDING</x:v>
      </x:c>
      <x:c r="J19" s="245" t="str">
        <x:v>Existing findings minimum and evidence M2; full findings cutover M3.</x:v>
      </x:c>
      <x:c r="K19" s="245" t="str">
        <x:v>SOURCE SECTION RETAINED; SEMANTIC REVIEW REQUIRED</x:v>
      </x:c>
    </x:row>
    <x:row r="20" ht="60" customHeight="1">
      <x:c r="A20" s="245" t="str">
        <x:v>D5</x:v>
      </x:c>
      <x:c r="B20" s="245" t="str">
        <x:v>Page</x:v>
      </x:c>
      <x:c r="C20" s="245" t="str">
        <x:v>Risk Dashboard</x:v>
      </x:c>
      <x:c r="D20" s="245" t="str">
        <x:v>M2 + M3</x:v>
      </x:c>
      <x:c r="E20" s="245" t="str">
        <x:v>T-265; T-267</x:v>
      </x:c>
      <x:c r="F20" s="245" t="str">
        <x:v>T-247; T-189</x:v>
      </x:c>
      <x:c r="G20" s="245" t="str">
        <x:v>PPIQ_Chapter3_General_Technical_Function_Description_v4.10.3.md §D5</x:v>
      </x:c>
      <x:c r="H20" s="245" t="str">
        <x:v>D5--populated; D5--loading; D5--empty; D5--filtered-empty; D5--blocked; D5--refused; D5--failed; D5--read-only</x:v>
      </x:c>
      <x:c r="I20" s="245" t="str">
        <x:v>DESIGN DEPTH PENDING</x:v>
      </x:c>
      <x:c r="J20" s="245" t="str">
        <x:v>Existing risk foundation only in M2; operational prediction depth remains M3.</x:v>
      </x:c>
      <x:c r="K20" s="245" t="str">
        <x:v>SOURCE SECTION RETAINED; SEMANTIC REVIEW REQUIRED</x:v>
      </x:c>
    </x:row>
    <x:row r="21" ht="60" customHeight="1">
      <x:c r="A21" s="245" t="str">
        <x:v>D6</x:v>
      </x:c>
      <x:c r="B21" s="245" t="str">
        <x:v>Page</x:v>
      </x:c>
      <x:c r="C21" s="245" t="str">
        <x:v>Suggestions</x:v>
      </x:c>
      <x:c r="D21" s="245" t="str">
        <x:v>M2 + M3</x:v>
      </x:c>
      <x:c r="E21" s="245" t="str">
        <x:v>T-265; T-267</x:v>
      </x:c>
      <x:c r="F21" s="245" t="str">
        <x:v>T-247; T-113; T-190</x:v>
      </x:c>
      <x:c r="G21" s="245" t="str">
        <x:v>PPIQ_Chapter3_General_Technical_Function_Description_v4.10.3.md §D6</x:v>
      </x:c>
      <x:c r="H21" s="245" t="str">
        <x:v>D6--populated; D6--loading; D6--empty; D6--filtered-empty; D6--blocked; D6--refused; D6--failed; D6--read-only</x:v>
      </x:c>
      <x:c r="I21" s="245" t="str">
        <x:v>DESIGN DEPTH PENDING</x:v>
      </x:c>
      <x:c r="J21" s="245" t="str">
        <x:v>Existing evidence-linked suggestions M2; full decisions cutover M3.</x:v>
      </x:c>
      <x:c r="K21" s="245" t="str">
        <x:v>SOURCE SECTION RETAINED; SEMANTIC REVIEW REQUIRED</x:v>
      </x:c>
    </x:row>
    <x:row r="22" ht="60" customHeight="1">
      <x:c r="A22" s="245" t="str">
        <x:v>D7</x:v>
      </x:c>
      <x:c r="B22" s="245" t="str">
        <x:v>Page</x:v>
      </x:c>
      <x:c r="C22" s="245" t="str">
        <x:v>Value Dashboard</x:v>
      </x:c>
      <x:c r="D22" s="245" t="str">
        <x:v>M2 + M3</x:v>
      </x:c>
      <x:c r="E22" s="245" t="str">
        <x:v>T-265; T-267</x:v>
      </x:c>
      <x:c r="F22" s="245" t="str">
        <x:v>T-247; T-164</x:v>
      </x:c>
      <x:c r="G22" s="245" t="str">
        <x:v>PPIQ_Chapter3_General_Technical_Function_Description_v4.10.3.md §D7</x:v>
      </x:c>
      <x:c r="H22" s="245" t="str">
        <x:v>D7--populated; D7--loading; D7--empty; D7--filtered-empty; D7--blocked; D7--refused; D7--failed; D7--read-only</x:v>
      </x:c>
      <x:c r="I22" s="245" t="str">
        <x:v>DESIGN DEPTH PENDING</x:v>
      </x:c>
      <x:c r="J22" s="245" t="str">
        <x:v>Bounded potential value only M2; realised-value evidence M3.</x:v>
      </x:c>
      <x:c r="K22" s="245" t="str">
        <x:v>SOURCE SECTION RETAINED; SEMANTIC REVIEW REQUIRED</x:v>
      </x:c>
    </x:row>
    <x:row r="23" ht="60" customHeight="1">
      <x:c r="A23" s="245" t="str">
        <x:v>D8</x:v>
      </x:c>
      <x:c r="B23" s="245" t="str">
        <x:v>Page</x:v>
      </x:c>
      <x:c r="C23" s="245" t="str">
        <x:v>ML Readiness and Models</x:v>
      </x:c>
      <x:c r="D23" s="245" t="str">
        <x:v>M2 + M3</x:v>
      </x:c>
      <x:c r="E23" s="245" t="str">
        <x:v>T-265; T-267</x:v>
      </x:c>
      <x:c r="F23" s="245" t="str">
        <x:v>T-247; T-211; T-186; T-187; T-188</x:v>
      </x:c>
      <x:c r="G23" s="245" t="str">
        <x:v>PPIQ_Chapter3_General_Technical_Function_Description_v4.10.3.md §D8</x:v>
      </x:c>
      <x:c r="H23" s="245" t="str">
        <x:v>D8--populated; D8--loading; D8--empty; D8--filtered-empty; D8--blocked; D8--refused; D8--failed; D8--read-only</x:v>
      </x:c>
      <x:c r="I23" s="245" t="str">
        <x:v>DESIGN DEPTH PENDING</x:v>
      </x:c>
      <x:c r="J23" s="245" t="str">
        <x:v>Live readiness/refusal minimum M2; model production lifecycle M3.</x:v>
      </x:c>
      <x:c r="K23" s="245" t="str">
        <x:v>SOURCE SECTION RETAINED; SEMANTIC REVIEW REQUIRED</x:v>
      </x:c>
    </x:row>
    <x:row r="24" ht="60" customHeight="1">
      <x:c r="A24" s="245" t="str">
        <x:v>D9</x:v>
      </x:c>
      <x:c r="B24" s="245" t="str">
        <x:v>Page</x:v>
      </x:c>
      <x:c r="C24" s="245" t="str">
        <x:v>Early Warning</x:v>
      </x:c>
      <x:c r="D24" s="245" t="str">
        <x:v>M3</x:v>
      </x:c>
      <x:c r="E24" s="245" t="str">
        <x:v>T-267</x:v>
      </x:c>
      <x:c r="F24" s="245" t="str">
        <x:v>T-189; T-141</x:v>
      </x:c>
      <x:c r="G24" s="245" t="str">
        <x:v>PPIQ_Chapter3_General_Technical_Function_Description_v4.10.3.md §D9</x:v>
      </x:c>
      <x:c r="H24" s="245" t="str">
        <x:v>D9--populated; D9--loading; D9--empty; D9--filtered-empty; D9--blocked; D9--refused; D9--failed; D9--read-only</x:v>
      </x:c>
      <x:c r="I24" s="245" t="str">
        <x:v>DESIGN DEPTH PENDING</x:v>
      </x:c>
      <x:c r="J24" s="245" t="str">
        <x:v>Operational warning, deadline and remediation state under canonical contracts.</x:v>
      </x:c>
      <x:c r="K24" s="245" t="str">
        <x:v>SOURCE SECTION RETAINED; SEMANTIC REVIEW REQUIRED</x:v>
      </x:c>
    </x:row>
    <x:row r="25" ht="60" customHeight="1">
      <x:c r="A25" s="245" t="str">
        <x:v>D10</x:v>
      </x:c>
      <x:c r="B25" s="245" t="str">
        <x:v>Page</x:v>
      </x:c>
      <x:c r="C25" s="245" t="str">
        <x:v>Practice Insights</x:v>
      </x:c>
      <x:c r="D25" s="245" t="str">
        <x:v>M3</x:v>
      </x:c>
      <x:c r="E25" s="245" t="str">
        <x:v>T-267</x:v>
      </x:c>
      <x:c r="F25" s="245" t="str">
        <x:v>T-136; T-240</x:v>
      </x:c>
      <x:c r="G25" s="245" t="str">
        <x:v>PPIQ_Chapter3_General_Technical_Function_Description_v4.10.3.md §D10</x:v>
      </x:c>
      <x:c r="H25" s="245" t="str">
        <x:v>D10--populated; D10--loading; D10--empty; D10--filtered-empty; D10--blocked; D10--refused; D10--failed; D10--read-only</x:v>
      </x:c>
      <x:c r="I25" s="245" t="str">
        <x:v>DESIGN DEPTH PENDING</x:v>
      </x:c>
      <x:c r="J25" s="245" t="str">
        <x:v>Practice selection/benchmark/limitations under declared context.</x:v>
      </x:c>
      <x:c r="K25" s="245" t="str">
        <x:v>SOURCE SECTION RETAINED; SEMANTIC REVIEW REQUIRED</x:v>
      </x:c>
    </x:row>
    <x:row r="26" ht="60" customHeight="1">
      <x:c r="A26" s="245" t="str">
        <x:v>D11</x:v>
      </x:c>
      <x:c r="B26" s="245" t="str">
        <x:v>Page</x:v>
      </x:c>
      <x:c r="C26" s="245" t="str">
        <x:v>Scenario Simulation</x:v>
      </x:c>
      <x:c r="D26" s="245" t="str">
        <x:v>M3</x:v>
      </x:c>
      <x:c r="E26" s="245" t="str">
        <x:v>T-267</x:v>
      </x:c>
      <x:c r="F26" s="245" t="str">
        <x:v>T-191</x:v>
      </x:c>
      <x:c r="G26" s="245" t="str">
        <x:v>PPIQ_Chapter3_General_Technical_Function_Description_v4.10.3.md §D11</x:v>
      </x:c>
      <x:c r="H26" s="245" t="str">
        <x:v>D11--populated; D11--loading; D11--empty; D11--filtered-empty; D11--blocked; D11--refused; D11--failed; D11--read-only</x:v>
      </x:c>
      <x:c r="I26" s="245" t="str">
        <x:v>DESIGN DEPTH PENDING</x:v>
      </x:c>
      <x:c r="J26" s="245" t="str">
        <x:v>Scenario assumptions, comparison and evidence; no invented monetary result.</x:v>
      </x:c>
      <x:c r="K26" s="245" t="str">
        <x:v>SOURCE SECTION RETAINED; SEMANTIC REVIEW REQUIRED</x:v>
      </x:c>
    </x:row>
    <x:row r="27" ht="60" customHeight="1">
      <x:c r="A27" s="245" t="str">
        <x:v>D12</x:v>
      </x:c>
      <x:c r="B27" s="245" t="str">
        <x:v>Page</x:v>
      </x:c>
      <x:c r="C27" s="245" t="str">
        <x:v>Benchmarking</x:v>
      </x:c>
      <x:c r="D27" s="245" t="str">
        <x:v>M3</x:v>
      </x:c>
      <x:c r="E27" s="245" t="str">
        <x:v>T-267</x:v>
      </x:c>
      <x:c r="F27" s="245" t="str">
        <x:v>T-264</x:v>
      </x:c>
      <x:c r="G27" s="245" t="str">
        <x:v>PPIQ_Chapter3_General_Technical_Function_Description_v4.10.3.md §D12</x:v>
      </x:c>
      <x:c r="H27" s="245" t="str">
        <x:v>D12--populated; D12--loading; D12--empty; D12--filtered-empty; D12--blocked; D12--refused; D12--failed; D12--read-only</x:v>
      </x:c>
      <x:c r="I27" s="245" t="str">
        <x:v>DESIGN DEPTH PENDING</x:v>
      </x:c>
      <x:c r="J27" s="245" t="str">
        <x:v>Sample/direction refusals BM01/BM02 and declared normalisation.</x:v>
      </x:c>
      <x:c r="K27" s="245" t="str">
        <x:v>SOURCE SECTION RETAINED; SEMANTIC REVIEW REQUIRED</x:v>
      </x:c>
    </x:row>
    <x:row r="28" ht="60" customHeight="1">
      <x:c r="A28" s="245" t="str">
        <x:v>E2</x:v>
      </x:c>
      <x:c r="B28" s="245" t="str">
        <x:v>Page</x:v>
      </x:c>
      <x:c r="C28" s="245" t="str">
        <x:v>Assistant Configuration</x:v>
      </x:c>
      <x:c r="D28" s="245" t="str">
        <x:v>M2 + M3</x:v>
      </x:c>
      <x:c r="E28" s="245" t="str">
        <x:v>T-265; T-267</x:v>
      </x:c>
      <x:c r="F28" s="245" t="str">
        <x:v>T-113; T-247; T-138</x:v>
      </x:c>
      <x:c r="G28" s="245" t="str">
        <x:v>PPIQ_Chapter3_General_Technical_Function_Description_v4.10.3.md §E2</x:v>
      </x:c>
      <x:c r="H28" s="245" t="str">
        <x:v>E2--populated; E2--loading; E2--empty; E2--filtered-empty; E2--blocked; E2--refused; E2--failed; E2--read-only</x:v>
      </x:c>
      <x:c r="I28" s="245" t="str">
        <x:v>DESIGN DEPTH PENDING</x:v>
      </x:c>
      <x:c r="J28" s="245" t="str">
        <x:v>Safe existing Assistant config M2; canonical advanced runtime config M3.</x:v>
      </x:c>
      <x:c r="K28" s="245" t="str">
        <x:v>SOURCE SECTION RETAINED; SEMANTIC REVIEW REQUIRED</x:v>
      </x:c>
    </x:row>
    <x:row r="29" ht="60" customHeight="1">
      <x:c r="A29" s="245" t="str">
        <x:v>E3</x:v>
      </x:c>
      <x:c r="B29" s="245" t="str">
        <x:v>Page</x:v>
      </x:c>
      <x:c r="C29" s="245" t="str">
        <x:v>Plant Data Log</x:v>
      </x:c>
      <x:c r="D29" s="245" t="str">
        <x:v>M2 + M3</x:v>
      </x:c>
      <x:c r="E29" s="245" t="str">
        <x:v>T-265; T-267</x:v>
      </x:c>
      <x:c r="F29" s="245" t="str">
        <x:v>T-125; T-198</x:v>
      </x:c>
      <x:c r="G29" s="245" t="str">
        <x:v>PPIQ_Chapter3_General_Technical_Function_Description_v4.10.3.md §E3</x:v>
      </x:c>
      <x:c r="H29" s="245" t="str">
        <x:v>E3--populated; E3--loading; E3--empty; E3--filtered-empty; E3--blocked; E3--refused; E3--failed; E3--read-only</x:v>
      </x:c>
      <x:c r="I29" s="245" t="str">
        <x:v>DESIGN DEPTH PENDING</x:v>
      </x:c>
      <x:c r="J29" s="245" t="str">
        <x:v>Minimum attributable logs M2; deeper audit/channel workflows M3.</x:v>
      </x:c>
      <x:c r="K29" s="245" t="str">
        <x:v>SOURCE SECTION RETAINED; SEMANTIC REVIEW REQUIRED</x:v>
      </x:c>
    </x:row>
    <x:row r="30" ht="60" customHeight="1">
      <x:c r="A30" s="245" t="str">
        <x:v>E4</x:v>
      </x:c>
      <x:c r="B30" s="245" t="str">
        <x:v>Page</x:v>
      </x:c>
      <x:c r="C30" s="245" t="str">
        <x:v>Supervisor</x:v>
      </x:c>
      <x:c r="D30" s="245" t="str">
        <x:v>M3</x:v>
      </x:c>
      <x:c r="E30" s="245" t="str">
        <x:v>T-267</x:v>
      </x:c>
      <x:c r="F30" s="245" t="str">
        <x:v>T-193</x:v>
      </x:c>
      <x:c r="G30" s="245" t="str">
        <x:v>PPIQ_Chapter3_General_Technical_Function_Description_v4.10.3.md §E4</x:v>
      </x:c>
      <x:c r="H30" s="245" t="str">
        <x:v>E4--populated; E4--loading; E4--empty; E4--filtered-empty; E4--blocked; E4--refused; E4--failed; E4--read-only</x:v>
      </x:c>
      <x:c r="I30" s="245" t="str">
        <x:v>DESIGN DEPTH PENDING</x:v>
      </x:c>
      <x:c r="J30" s="245" t="str">
        <x:v>Supervisor proposals/shadow/review; no silent self-modification.</x:v>
      </x:c>
      <x:c r="K30" s="245" t="str">
        <x:v>SOURCE SECTION RETAINED; SEMANTIC REVIEW REQUIRED</x:v>
      </x:c>
    </x:row>
    <x:row r="31" ht="60" customHeight="1">
      <x:c r="A31" s="245" t="str">
        <x:v>E5</x:v>
      </x:c>
      <x:c r="B31" s="245" t="str">
        <x:v>Page</x:v>
      </x:c>
      <x:c r="C31" s="245" t="str">
        <x:v>Reports</x:v>
      </x:c>
      <x:c r="D31" s="245" t="str">
        <x:v>M3</x:v>
      </x:c>
      <x:c r="E31" s="245" t="str">
        <x:v>T-267</x:v>
      </x:c>
      <x:c r="F31" s="245" t="str">
        <x:v>T-263</x:v>
      </x:c>
      <x:c r="G31" s="245" t="str">
        <x:v>PPIQ_Chapter3_General_Technical_Function_Description_v4.10.3.md §E5</x:v>
      </x:c>
      <x:c r="H31" s="245" t="str">
        <x:v>E5--populated; E5--loading; E5--empty; E5--filtered-empty; E5--blocked; E5--refused; E5--failed; E5--read-only</x:v>
      </x:c>
      <x:c r="I31" s="245" t="str">
        <x:v>DESIGN DEPTH PENDING</x:v>
      </x:c>
      <x:c r="J31" s="245" t="str">
        <x:v>Report define/generate/history/download/delivery with job evidence.</x:v>
      </x:c>
      <x:c r="K31" s="245" t="str">
        <x:v>SOURCE SECTION RETAINED; SEMANTIC REVIEW REQUIRED</x:v>
      </x:c>
    </x:row>
    <x:row r="32" ht="60" customHeight="1">
      <x:c r="A32" s="245" t="str">
        <x:v>E6</x:v>
      </x:c>
      <x:c r="B32" s="245" t="str">
        <x:v>Page</x:v>
      </x:c>
      <x:c r="C32" s="245" t="str">
        <x:v>Alert Routing and Escalation</x:v>
      </x:c>
      <x:c r="D32" s="245" t="str">
        <x:v>M3</x:v>
      </x:c>
      <x:c r="E32" s="245" t="str">
        <x:v>T-267</x:v>
      </x:c>
      <x:c r="F32" s="245" t="str">
        <x:v>T-197</x:v>
      </x:c>
      <x:c r="G32" s="245" t="str">
        <x:v>PPIQ_Chapter3_General_Technical_Function_Description_v4.10.3.md §E6</x:v>
      </x:c>
      <x:c r="H32" s="245" t="str">
        <x:v>E6--populated; E6--loading; E6--empty; E6--filtered-empty; E6--blocked; E6--refused; E6--failed; E6--read-only</x:v>
      </x:c>
      <x:c r="I32" s="245" t="str">
        <x:v>DESIGN DEPTH PENDING</x:v>
      </x:c>
      <x:c r="J32" s="245" t="str">
        <x:v>Routing/escalation/dedupe/retry/dead-letter contract.</x:v>
      </x:c>
      <x:c r="K32" s="245" t="str">
        <x:v>SOURCE SECTION RETAINED; SEMANTIC REVIEW REQUIRED</x:v>
      </x:c>
    </x:row>
    <x:row r="33" ht="60" customHeight="1">
      <x:c r="A33" s="245" t="str">
        <x:v>F1</x:v>
      </x:c>
      <x:c r="B33" s="245" t="str">
        <x:v>Page</x:v>
      </x:c>
      <x:c r="C33" s="245" t="str">
        <x:v>Users and Roles</x:v>
      </x:c>
      <x:c r="D33" s="245" t="str">
        <x:v>M2 + M3</x:v>
      </x:c>
      <x:c r="E33" s="245" t="str">
        <x:v>T-265; T-267</x:v>
      </x:c>
      <x:c r="F33" s="245" t="str">
        <x:v>T-119; T-120; T-161</x:v>
      </x:c>
      <x:c r="G33" s="245" t="str">
        <x:v>PPIQ_Chapter3_General_Technical_Function_Description_v4.10.3.md §F1</x:v>
      </x:c>
      <x:c r="H33" s="245" t="str">
        <x:v>F1--populated; F1--loading; F1--empty; F1--filtered-empty; F1--blocked; F1--refused; F1--failed; F1--read-only</x:v>
      </x:c>
      <x:c r="I33" s="245" t="str">
        <x:v>DESIGN DEPTH PENDING</x:v>
      </x:c>
      <x:c r="J33" s="245" t="str">
        <x:v>Existing M2 role/user security scope; advanced enterprise identity M3.</x:v>
      </x:c>
      <x:c r="K33" s="245" t="str">
        <x:v>SOURCE SECTION RETAINED; SEMANTIC REVIEW REQUIRED</x:v>
      </x:c>
    </x:row>
    <x:row r="34" ht="60" customHeight="1">
      <x:c r="A34" s="245" t="str">
        <x:v>F2</x:v>
      </x:c>
      <x:c r="B34" s="245" t="str">
        <x:v>Page</x:v>
      </x:c>
      <x:c r="C34" s="245" t="str">
        <x:v>Licence and Entitlement</x:v>
      </x:c>
      <x:c r="D34" s="245" t="str">
        <x:v>M2 + M3</x:v>
      </x:c>
      <x:c r="E34" s="245" t="str">
        <x:v>T-265; T-267</x:v>
      </x:c>
      <x:c r="F34" s="245" t="str">
        <x:v>T-121; T-165</x:v>
      </x:c>
      <x:c r="G34" s="245" t="str">
        <x:v>PPIQ_Chapter3_General_Technical_Function_Description_v4.10.3.md §F2</x:v>
      </x:c>
      <x:c r="H34" s="245" t="str">
        <x:v>F2--populated; F2--loading; F2--empty; F2--filtered-empty; F2--blocked; F2--refused; F2--failed; F2--read-only</x:v>
      </x:c>
      <x:c r="I34" s="245" t="str">
        <x:v>DESIGN DEPTH PENDING</x:v>
      </x:c>
      <x:c r="J34" s="245" t="str">
        <x:v>Verification-only activation and clear entitlements; deeper commercial UI M3.</x:v>
      </x:c>
      <x:c r="K34" s="245" t="str">
        <x:v>SOURCE SECTION RETAINED; SEMANTIC REVIEW REQUIRED</x:v>
      </x:c>
    </x:row>
    <x:row r="35" ht="60" customHeight="1">
      <x:c r="A35" s="245" t="str">
        <x:v>F3</x:v>
      </x:c>
      <x:c r="B35" s="245" t="str">
        <x:v>Page</x:v>
      </x:c>
      <x:c r="C35" s="245" t="str">
        <x:v>Authoring Quota and Limits</x:v>
      </x:c>
      <x:c r="D35" s="245" t="str">
        <x:v>M2 + M3</x:v>
      </x:c>
      <x:c r="E35" s="245" t="str">
        <x:v>T-265; T-267</x:v>
      </x:c>
      <x:c r="F35" s="245" t="str">
        <x:v>T-121; T-165</x:v>
      </x:c>
      <x:c r="G35" s="245" t="str">
        <x:v>PPIQ_Chapter3_General_Technical_Function_Description_v4.10.3.md §F3</x:v>
      </x:c>
      <x:c r="H35" s="245" t="str">
        <x:v>F3--populated; F3--loading; F3--empty; F3--filtered-empty; F3--blocked; F3--refused; F3--failed; F3--read-only</x:v>
      </x:c>
      <x:c r="I35" s="245" t="str">
        <x:v>DESIGN DEPTH PENDING</x:v>
      </x:c>
      <x:c r="J35" s="245" t="str">
        <x:v>T-121 quota/limits scope retained; only explicitly deferred depth follows M3.</x:v>
      </x:c>
      <x:c r="K35" s="245" t="str">
        <x:v>SOURCE SECTION RETAINED; SEMANTIC REVIEW REQUIRED</x:v>
      </x:c>
    </x:row>
    <x:row r="36" ht="60" customHeight="1">
      <x:c r="A36" s="245" t="str">
        <x:v>F4</x:v>
      </x:c>
      <x:c r="B36" s="245" t="str">
        <x:v>Page</x:v>
      </x:c>
      <x:c r="C36" s="245" t="str">
        <x:v>Jobs Administration</x:v>
      </x:c>
      <x:c r="D36" s="245" t="str">
        <x:v>M2 + M3</x:v>
      </x:c>
      <x:c r="E36" s="245" t="str">
        <x:v>T-265; T-267</x:v>
      </x:c>
      <x:c r="F36" s="245" t="str">
        <x:v>T-106; T-107; T-125</x:v>
      </x:c>
      <x:c r="G36" s="245" t="str">
        <x:v>PPIQ_Chapter3_General_Technical_Function_Description_v4.10.3.md §F4</x:v>
      </x:c>
      <x:c r="H36" s="245" t="str">
        <x:v>F4--populated; F4--loading; F4--empty; F4--filtered-empty; F4--blocked; F4--refused; F4--failed; F4--read-only</x:v>
      </x:c>
      <x:c r="I36" s="245" t="str">
        <x:v>DESIGN DEPTH PENDING</x:v>
      </x:c>
      <x:c r="J36" s="245" t="str">
        <x:v>M2 schedule/DAG/admission/cancel/history controls; heavy administration depth M3.</x:v>
      </x:c>
      <x:c r="K36" s="245" t="str">
        <x:v>SOURCE SECTION RETAINED; SEMANTIC REVIEW REQUIRED</x:v>
      </x:c>
    </x:row>
    <x:row r="37" ht="60" customHeight="1">
      <x:c r="A37" s="245" t="str">
        <x:v>F5</x:v>
      </x:c>
      <x:c r="B37" s="245" t="str">
        <x:v>Page</x:v>
      </x:c>
      <x:c r="C37" s="245" t="str">
        <x:v>Logging and Audit</x:v>
      </x:c>
      <x:c r="D37" s="245" t="str">
        <x:v>M3</x:v>
      </x:c>
      <x:c r="E37" s="245" t="str">
        <x:v>T-267</x:v>
      </x:c>
      <x:c r="F37" s="245" t="str">
        <x:v>T-198</x:v>
      </x:c>
      <x:c r="G37" s="245" t="str">
        <x:v>PPIQ_Chapter3_General_Technical_Function_Description_v4.10.3.md §F5</x:v>
      </x:c>
      <x:c r="H37" s="245" t="str">
        <x:v>F5--populated; F5--loading; F5--empty; F5--filtered-empty; F5--blocked; F5--refused; F5--failed; F5--read-only</x:v>
      </x:c>
      <x:c r="I37" s="245" t="str">
        <x:v>DESIGN DEPTH PENDING</x:v>
      </x:c>
      <x:c r="J37" s="245" t="str">
        <x:v>Full logging/audit page; minimum M2 log evidence remains E3/B5.</x:v>
      </x:c>
      <x:c r="K37" s="245" t="str">
        <x:v>SOURCE SECTION RETAINED; SEMANTIC REVIEW REQUIRED</x:v>
      </x:c>
    </x:row>
    <x:row r="38" ht="60" customHeight="1">
      <x:c r="A38" s="245" t="str">
        <x:v>F6</x:v>
      </x:c>
      <x:c r="B38" s="245" t="str">
        <x:v>Page</x:v>
      </x:c>
      <x:c r="C38" s="245" t="str">
        <x:v>Log Channel Configuration</x:v>
      </x:c>
      <x:c r="D38" s="245" t="str">
        <x:v>M3</x:v>
      </x:c>
      <x:c r="E38" s="245" t="str">
        <x:v>T-267</x:v>
      </x:c>
      <x:c r="F38" s="245" t="str">
        <x:v>T-198</x:v>
      </x:c>
      <x:c r="G38" s="245" t="str">
        <x:v>PPIQ_Chapter3_General_Technical_Function_Description_v4.10.3.md §F6</x:v>
      </x:c>
      <x:c r="H38" s="245" t="str">
        <x:v>F6--populated; F6--loading; F6--empty; F6--filtered-empty; F6--blocked; F6--refused; F6--failed; F6--read-only</x:v>
      </x:c>
      <x:c r="I38" s="245" t="str">
        <x:v>DESIGN DEPTH PENDING</x:v>
      </x:c>
      <x:c r="J38" s="245" t="str">
        <x:v>Full channel configuration; no parallel log authority.</x:v>
      </x:c>
      <x:c r="K38" s="245" t="str">
        <x:v>SOURCE SECTION RETAINED; SEMANTIC REVIEW REQUIRED</x:v>
      </x:c>
    </x:row>
    <x:row r="39" ht="60" customHeight="1">
      <x:c r="A39" s="245" t="str">
        <x:v>F7</x:v>
      </x:c>
      <x:c r="B39" s="245" t="str">
        <x:v>Page</x:v>
      </x:c>
      <x:c r="C39" s="245" t="str">
        <x:v>System Settings</x:v>
      </x:c>
      <x:c r="D39" s="245" t="str">
        <x:v>M2 + M3</x:v>
      </x:c>
      <x:c r="E39" s="245" t="str">
        <x:v>T-265; T-267</x:v>
      </x:c>
      <x:c r="F39" s="245" t="str">
        <x:v>T-233; T-200</x:v>
      </x:c>
      <x:c r="G39" s="245" t="str">
        <x:v>PPIQ_Chapter3_General_Technical_Function_Description_v4.10.3.md §F7</x:v>
      </x:c>
      <x:c r="H39" s="245" t="str">
        <x:v>F7--populated; F7--loading; F7--empty; F7--filtered-empty; F7--blocked; F7--refused; F7--failed; F7--read-only</x:v>
      </x:c>
      <x:c r="I39" s="245" t="str">
        <x:v>DESIGN DEPTH PENDING</x:v>
      </x:c>
      <x:c r="J39" s="245" t="str">
        <x:v>Plant time semantics M2 at existing commissioning surface; full admin page M3.</x:v>
      </x:c>
      <x:c r="K39" s="245" t="str">
        <x:v>SOURCE SECTION RETAINED; SEMANTIC REVIEW REQUIRED</x:v>
      </x:c>
    </x:row>
    <x:row r="40" ht="60" customHeight="1">
      <x:c r="A40" s="245" t="str">
        <x:v>F8</x:v>
      </x:c>
      <x:c r="B40" s="245" t="str">
        <x:v>Page</x:v>
      </x:c>
      <x:c r="C40" s="245" t="str">
        <x:v>Translation and Language</x:v>
      </x:c>
      <x:c r="D40" s="245" t="str">
        <x:v>M3</x:v>
      </x:c>
      <x:c r="E40" s="245" t="str">
        <x:v>T-267</x:v>
      </x:c>
      <x:c r="F40" s="245" t="str">
        <x:v>T-200</x:v>
      </x:c>
      <x:c r="G40" s="245" t="str">
        <x:v>PPIQ_Chapter3_General_Technical_Function_Description_v4.10.3.md §F8</x:v>
      </x:c>
      <x:c r="H40" s="245" t="str">
        <x:v>F8--populated; F8--loading; F8--empty; F8--filtered-empty; F8--blocked; F8--refused; F8--failed; F8--read-only</x:v>
      </x:c>
      <x:c r="I40" s="245" t="str">
        <x:v>DESIGN DEPTH PENDING</x:v>
      </x:c>
      <x:c r="J40" s="245" t="str">
        <x:v>Translation/language management; M2 rendered RTL/focus states still T-265.</x:v>
      </x:c>
      <x:c r="K40" s="245" t="str">
        <x:v>SOURCE SECTION RETAINED; SEMANTIC REVIEW REQUIRED</x:v>
      </x:c>
    </x:row>
    <x:row r="41" ht="60" customHeight="1">
      <x:c r="A41" s="245" t="str">
        <x:v>F9</x:v>
      </x:c>
      <x:c r="B41" s="245" t="str">
        <x:v>Page</x:v>
      </x:c>
      <x:c r="C41" s="245" t="str">
        <x:v>Log Retention and Archival</x:v>
      </x:c>
      <x:c r="D41" s="245" t="str">
        <x:v>M3</x:v>
      </x:c>
      <x:c r="E41" s="245" t="str">
        <x:v>T-267</x:v>
      </x:c>
      <x:c r="F41" s="245" t="str">
        <x:v>T-199</x:v>
      </x:c>
      <x:c r="G41" s="245" t="str">
        <x:v>PPIQ_Chapter3_General_Technical_Function_Description_v4.10.3.md §F9</x:v>
      </x:c>
      <x:c r="H41" s="245" t="str">
        <x:v>F9--populated; F9--loading; F9--empty; F9--filtered-empty; F9--blocked; F9--refused; F9--failed; F9--read-only</x:v>
      </x:c>
      <x:c r="I41" s="245" t="str">
        <x:v>DESIGN DEPTH PENDING</x:v>
      </x:c>
      <x:c r="J41" s="245" t="str">
        <x:v>Retention/archive/legal-hold preview and destructive confirmation.</x:v>
      </x:c>
      <x:c r="K41" s="245" t="str">
        <x:v>SOURCE SECTION RETAINED; SEMANTIC REVIEW REQUIRED</x:v>
      </x:c>
    </x:row>
    <x:row r="42" ht="60" customHeight="1">
      <x:c r="A42" s="245" t="str">
        <x:v>G1</x:v>
      </x:c>
      <x:c r="B42" s="245" t="str">
        <x:v>Global component</x:v>
      </x:c>
      <x:c r="C42" s="245" t="str">
        <x:v>Assistant dock</x:v>
      </x:c>
      <x:c r="D42" s="245" t="str">
        <x:v>M2</x:v>
      </x:c>
      <x:c r="E42" s="245" t="str">
        <x:v>T-265</x:v>
      </x:c>
      <x:c r="F42" s="245" t="str">
        <x:v>T-148; T-247</x:v>
      </x:c>
      <x:c r="G42" s="245" t="str">
        <x:v>PPIQ_Chapter3_General_Technical_Function_Description_v4.10.3.md §G1</x:v>
      </x:c>
      <x:c r="H42" s="245" t="str">
        <x:v>G1</x:v>
      </x:c>
      <x:c r="I42" s="245" t="str">
        <x:v>DESIGN DEPTH PENDING</x:v>
      </x:c>
      <x:c r="J42" s="245" t="str">
        <x:v>Applicable source controls/states; no automatic eight-state template. Preserve existing closed implementations.</x:v>
      </x:c>
      <x:c r="K42" s="245" t="str">
        <x:v>SEMANTIC REVIEW REQUIRED</x:v>
      </x:c>
    </x:row>
    <x:row r="43" ht="60" customHeight="1">
      <x:c r="A43" s="245" t="str">
        <x:v>G2</x:v>
      </x:c>
      <x:c r="B43" s="245" t="str">
        <x:v>Global component</x:v>
      </x:c>
      <x:c r="C43" s="245" t="str">
        <x:v>Application header and navigation</x:v>
      </x:c>
      <x:c r="D43" s="245" t="str">
        <x:v>M2</x:v>
      </x:c>
      <x:c r="E43" s="245" t="str">
        <x:v>T-265</x:v>
      </x:c>
      <x:c r="F43" s="245" t="str">
        <x:v>T-148; T-247</x:v>
      </x:c>
      <x:c r="G43" s="245" t="str">
        <x:v>PPIQ_Chapter3_General_Technical_Function_Description_v4.10.3.md §G2</x:v>
      </x:c>
      <x:c r="H43" s="245" t="str">
        <x:v>G2</x:v>
      </x:c>
      <x:c r="I43" s="245" t="str">
        <x:v>DESIGN DEPTH PENDING</x:v>
      </x:c>
      <x:c r="J43" s="245" t="str">
        <x:v>Applicable source controls/states; no automatic eight-state template. Preserve existing closed implementations.</x:v>
      </x:c>
      <x:c r="K43" s="245" t="str">
        <x:v>SEMANTIC REVIEW REQUIRED</x:v>
      </x:c>
    </x:row>
    <x:row r="44" ht="60" customHeight="1">
      <x:c r="A44" s="245" t="str">
        <x:v>G3</x:v>
      </x:c>
      <x:c r="B44" s="245" t="str">
        <x:v>Global component</x:v>
      </x:c>
      <x:c r="C44" s="245" t="str">
        <x:v>Global search and command palette</x:v>
      </x:c>
      <x:c r="D44" s="245" t="str">
        <x:v>M3</x:v>
      </x:c>
      <x:c r="E44" s="245" t="str">
        <x:v>T-267</x:v>
      </x:c>
      <x:c r="F44" s="245" t="str">
        <x:v>T-248</x:v>
      </x:c>
      <x:c r="G44" s="245" t="str">
        <x:v>PPIQ_Chapter3_General_Technical_Function_Description_v4.10.3.md §G3</x:v>
      </x:c>
      <x:c r="H44" s="245" t="str">
        <x:v>G3</x:v>
      </x:c>
      <x:c r="I44" s="245" t="str">
        <x:v>DESIGN DEPTH PENDING</x:v>
      </x:c>
      <x:c r="J44" s="245" t="str">
        <x:v>Applicable source controls/states; no automatic eight-state template. Preserve existing closed implementations.</x:v>
      </x:c>
      <x:c r="K44" s="245" t="str">
        <x:v>SEMANTIC REVIEW REQUIRED</x:v>
      </x:c>
    </x:row>
    <x:row r="45" ht="60" customHeight="1">
      <x:c r="A45" s="245" t="str">
        <x:v>G4</x:v>
      </x:c>
      <x:c r="B45" s="245" t="str">
        <x:v>Global component</x:v>
      </x:c>
      <x:c r="C45" s="245" t="str">
        <x:v>Notification and toast host</x:v>
      </x:c>
      <x:c r="D45" s="245" t="str">
        <x:v>M2</x:v>
      </x:c>
      <x:c r="E45" s="245" t="str">
        <x:v>T-265</x:v>
      </x:c>
      <x:c r="F45" s="245" t="str">
        <x:v>T-148; T-247</x:v>
      </x:c>
      <x:c r="G45" s="245" t="str">
        <x:v>PPIQ_Chapter3_General_Technical_Function_Description_v4.10.3.md §G4</x:v>
      </x:c>
      <x:c r="H45" s="245" t="str">
        <x:v>G4</x:v>
      </x:c>
      <x:c r="I45" s="245" t="str">
        <x:v>DESIGN DEPTH PENDING</x:v>
      </x:c>
      <x:c r="J45" s="245" t="str">
        <x:v>Applicable source controls/states; no automatic eight-state template. Preserve existing closed implementations.</x:v>
      </x:c>
      <x:c r="K45" s="245" t="str">
        <x:v>SEMANTIC REVIEW REQUIRED</x:v>
      </x:c>
    </x:row>
    <x:row r="46" ht="60" customHeight="1">
      <x:c r="A46" s="245" t="str">
        <x:v>G5</x:v>
      </x:c>
      <x:c r="B46" s="245" t="str">
        <x:v>Global component</x:v>
      </x:c>
      <x:c r="C46" s="245" t="str">
        <x:v>Refusal and error boundary</x:v>
      </x:c>
      <x:c r="D46" s="245" t="str">
        <x:v>M2</x:v>
      </x:c>
      <x:c r="E46" s="245" t="str">
        <x:v>T-265</x:v>
      </x:c>
      <x:c r="F46" s="245" t="str">
        <x:v>T-148; T-247</x:v>
      </x:c>
      <x:c r="G46" s="245" t="str">
        <x:v>PPIQ_Chapter3_General_Technical_Function_Description_v4.10.3.md §G5</x:v>
      </x:c>
      <x:c r="H46" s="245" t="str">
        <x:v>G5</x:v>
      </x:c>
      <x:c r="I46" s="245" t="str">
        <x:v>DESIGN DEPTH PENDING</x:v>
      </x:c>
      <x:c r="J46" s="245" t="str">
        <x:v>Applicable source controls/states; no automatic eight-state template. Preserve existing closed implementations.</x:v>
      </x:c>
      <x:c r="K46" s="245" t="str">
        <x:v>SEMANTIC REVIEW REQUIRED</x:v>
      </x:c>
    </x:row>
    <x:row r="47" ht="60" customHeight="1">
      <x:c r="A47" s="245" t="str">
        <x:v>G6</x:v>
      </x:c>
      <x:c r="B47" s="245" t="str">
        <x:v>Global component</x:v>
      </x:c>
      <x:c r="C47" s="245" t="str">
        <x:v>Activity and progress tray</x:v>
      </x:c>
      <x:c r="D47" s="245" t="str">
        <x:v>M3</x:v>
      </x:c>
      <x:c r="E47" s="245" t="str">
        <x:v>T-267</x:v>
      </x:c>
      <x:c r="F47" s="245" t="str">
        <x:v>T-248</x:v>
      </x:c>
      <x:c r="G47" s="245" t="str">
        <x:v>PPIQ_Chapter3_General_Technical_Function_Description_v4.10.3.md §G6</x:v>
      </x:c>
      <x:c r="H47" s="245" t="str">
        <x:v>G6</x:v>
      </x:c>
      <x:c r="I47" s="245" t="str">
        <x:v>DESIGN DEPTH PENDING</x:v>
      </x:c>
      <x:c r="J47" s="245" t="str">
        <x:v>Applicable source controls/states; no automatic eight-state template. Preserve existing closed implementations.</x:v>
      </x:c>
      <x:c r="K47" s="245" t="str">
        <x:v>SEMANTIC REVIEW REQUIRED</x:v>
      </x:c>
    </x:row>
    <x:row r="48" ht="60" customHeight="1">
      <x:c r="A48" s="245" t="str">
        <x:v>DLG-A1-mfa</x:v>
      </x:c>
      <x:c r="B48" s="245" t="str">
        <x:v>Dialog</x:v>
      </x:c>
      <x:c r="C48" s="245" t="str">
        <x:v>Verify administrator access</x:v>
      </x:c>
      <x:c r="D48" s="245" t="str">
        <x:v>M2</x:v>
      </x:c>
      <x:c r="E48" s="245" t="str">
        <x:v>T-265</x:v>
      </x:c>
      <x:c r="F48" s="245" t="str">
        <x:v>T-113; T-119; T-120</x:v>
      </x:c>
      <x:c r="G48" s="245" t="str">
        <x:v>PPIQ_Chapter3_General_Technical_Function_Description_v4.10.3.md §A1</x:v>
      </x:c>
      <x:c r="H48" s="245" t="str">
        <x:v>DLG-A1-mfa--default; DLG-A1-mfa--invalid</x:v>
      </x:c>
      <x:c r="I48" s="245" t="str">
        <x:v>DESIGN DEPTH PENDING</x:v>
      </x:c>
      <x:c r="J48" s="245" t="str">
        <x:v>Verification code | No authenticated page until required verification succeeds. | Use meaningful controls, filled/invalid/pending/refused/recovery states only where applicable; prototype focus-return.</x:v>
      </x:c>
      <x:c r="K48" s="245" t="str">
        <x:v>CHECK DATA / WORD CAPTION / IMAGE AGAINST PARENT CLAUSE</x:v>
      </x:c>
    </x:row>
    <x:row r="49" ht="60" customHeight="1">
      <x:c r="A49" s="245" t="str">
        <x:v>DLG-A1-session</x:v>
      </x:c>
      <x:c r="B49" s="245" t="str">
        <x:v>Dialog</x:v>
      </x:c>
      <x:c r="C49" s="245" t="str">
        <x:v>Session expired</x:v>
      </x:c>
      <x:c r="D49" s="245" t="str">
        <x:v>M2</x:v>
      </x:c>
      <x:c r="E49" s="245" t="str">
        <x:v>T-265</x:v>
      </x:c>
      <x:c r="F49" s="245" t="str">
        <x:v>T-113; T-119; T-120</x:v>
      </x:c>
      <x:c r="G49" s="245" t="str">
        <x:v>PPIQ_Chapter3_General_Technical_Function_Description_v4.10.3.md §A1</x:v>
      </x:c>
      <x:c r="H49" s="245" t="str">
        <x:v>DLG-A1-session--default; DLG-A1-session--invalid</x:v>
      </x:c>
      <x:c r="I49" s="245" t="str">
        <x:v>DESIGN DEPTH PENDING</x:v>
      </x:c>
      <x:c r="J49" s="245" t="str">
        <x:v> | Explain expiry; never silently discard a dirty authored draft. | Use meaningful controls, filled/invalid/pending/refused/recovery states only where applicable; prototype focus-return.</x:v>
      </x:c>
      <x:c r="K49" s="245" t="str">
        <x:v>CHECK DATA / WORD CAPTION / IMAGE AGAINST PARENT CLAUSE</x:v>
      </x:c>
    </x:row>
    <x:row r="50" ht="60" customHeight="1">
      <x:c r="A50" s="245" t="str">
        <x:v>DLG-B1-create</x:v>
      </x:c>
      <x:c r="B50" s="245" t="str">
        <x:v>Dialog</x:v>
      </x:c>
      <x:c r="C50" s="245" t="str">
        <x:v>Connection profile</x:v>
      </x:c>
      <x:c r="D50" s="245" t="str">
        <x:v>M2</x:v>
      </x:c>
      <x:c r="E50" s="245" t="str">
        <x:v>T-265</x:v>
      </x:c>
      <x:c r="F50" s="245" t="str">
        <x:v>T-113; T-254; T-148</x:v>
      </x:c>
      <x:c r="G50" s="245" t="str">
        <x:v>PPIQ_Chapter3_General_Technical_Function_Description_v4.10.3.md §B1</x:v>
      </x:c>
      <x:c r="H50" s="245" t="str">
        <x:v>DLG-B1-create--default; DLG-B1-create--invalid</x:v>
      </x:c>
      <x:c r="I50" s="245" t="str">
        <x:v>DESIGN DEPTH PENDING</x:v>
      </x:c>
      <x:c r="J50" s="245" t="str">
        <x:v>Name; Provider; Host; Port; Database; Schema; Credential reference; Read-only posture; Allowed window; Row cap; Timeout; Rate cap | Do not display a stored secret; only a credential reference is returned. | Use meaningful controls, filled/invalid/pending/refused/recovery states only where applicable; prototype focus-return.</x:v>
      </x:c>
      <x:c r="K50" s="245" t="str">
        <x:v>CHECK DATA / WORD CAPTION / IMAGE AGAINST PARENT CLAUSE</x:v>
      </x:c>
    </x:row>
    <x:row r="51" ht="60" customHeight="1">
      <x:c r="A51" s="245" t="str">
        <x:v>DLG-B1-test</x:v>
      </x:c>
      <x:c r="B51" s="245" t="str">
        <x:v>Dialog</x:v>
      </x:c>
      <x:c r="C51" s="245" t="str">
        <x:v>Test source connection</x:v>
      </x:c>
      <x:c r="D51" s="245" t="str">
        <x:v>M2</x:v>
      </x:c>
      <x:c r="E51" s="245" t="str">
        <x:v>T-265</x:v>
      </x:c>
      <x:c r="F51" s="245" t="str">
        <x:v>T-113; T-254; T-148</x:v>
      </x:c>
      <x:c r="G51" s="245" t="str">
        <x:v>PPIQ_Chapter3_General_Technical_Function_Description_v4.10.3.md §B1</x:v>
      </x:c>
      <x:c r="H51" s="245" t="str">
        <x:v>DLG-B1-test--default; DLG-B1-test--invalid</x:v>
      </x:c>
      <x:c r="I51" s="245" t="str">
        <x:v>DESIGN DEPTH PENDING</x:v>
      </x:c>
      <x:c r="J51" s="245" t="str">
        <x:v>Connection identity; Provider identity; Read-only evidence; Measured source budget | Read-only proof and source-budget check, not just reachability. | Use meaningful controls, filled/invalid/pending/refused/recovery states only where applicable; prototype focus-return.</x:v>
      </x:c>
      <x:c r="K51" s="245" t="str">
        <x:v>CHECK DATA / WORD CAPTION / IMAGE AGAINST PARENT CLAUSE</x:v>
      </x:c>
    </x:row>
    <x:row r="52" ht="60" customHeight="1">
      <x:c r="A52" s="245" t="str">
        <x:v>DLG-B1-deactivate</x:v>
      </x:c>
      <x:c r="B52" s="245" t="str">
        <x:v>Dialog</x:v>
      </x:c>
      <x:c r="C52" s="245" t="str">
        <x:v>Deactivate connection</x:v>
      </x:c>
      <x:c r="D52" s="245" t="str">
        <x:v>M2</x:v>
      </x:c>
      <x:c r="E52" s="245" t="str">
        <x:v>T-265</x:v>
      </x:c>
      <x:c r="F52" s="245" t="str">
        <x:v>T-113; T-254; T-148</x:v>
      </x:c>
      <x:c r="G52" s="245" t="str">
        <x:v>PPIQ_Chapter3_General_Technical_Function_Description_v4.10.3.md §B1</x:v>
      </x:c>
      <x:c r="H52" s="245" t="str">
        <x:v>DLG-B1-deactivate--default; DLG-B1-deactivate--invalid</x:v>
      </x:c>
      <x:c r="I52" s="245" t="str">
        <x:v>DESIGN DEPTH PENDING</x:v>
      </x:c>
      <x:c r="J52" s="245" t="str">
        <x:v>Affected datasets; Affected jobs; Reason | Show dependency impact; no deletion of source history. | Use meaningful controls, filled/invalid/pending/refused/recovery states only where applicable; prototype focus-return.</x:v>
      </x:c>
      <x:c r="K52" s="245" t="str">
        <x:v>CHECK DATA / WORD CAPTION / IMAGE AGAINST PARENT CLAUSE</x:v>
      </x:c>
    </x:row>
    <x:row r="53" ht="60" customHeight="1">
      <x:c r="A53" s="245" t="str">
        <x:v>DLG-B1-credential</x:v>
      </x:c>
      <x:c r="B53" s="245" t="str">
        <x:v>Dialog</x:v>
      </x:c>
      <x:c r="C53" s="245" t="str">
        <x:v>Replace credential reference</x:v>
      </x:c>
      <x:c r="D53" s="245" t="str">
        <x:v>M2</x:v>
      </x:c>
      <x:c r="E53" s="245" t="str">
        <x:v>T-265</x:v>
      </x:c>
      <x:c r="F53" s="245" t="str">
        <x:v>T-113; T-254; T-148</x:v>
      </x:c>
      <x:c r="G53" s="245" t="str">
        <x:v>PPIQ_Chapter3_General_Technical_Function_Description_v4.10.3.md §B1</x:v>
      </x:c>
      <x:c r="H53" s="245" t="str">
        <x:v>DLG-B1-credential--default; DLG-B1-credential--invalid</x:v>
      </x:c>
      <x:c r="I53" s="245" t="str">
        <x:v>DESIGN DEPTH PENDING</x:v>
      </x:c>
      <x:c r="J53" s="245" t="str">
        <x:v>Current reference (masked label); New protected reference; Reason | No plaintext secret persisted in options or returned by read-back. | Use meaningful controls, filled/invalid/pending/refused/recovery states only where applicable; prototype focus-return.</x:v>
      </x:c>
      <x:c r="K53" s="245" t="str">
        <x:v>CHECK DATA / WORD CAPTION / IMAGE AGAINST PARENT CLAUSE</x:v>
      </x:c>
    </x:row>
    <x:row r="54" ht="60" customHeight="1">
      <x:c r="A54" s="245" t="str">
        <x:v>DLG-B2-register</x:v>
      </x:c>
      <x:c r="B54" s="245" t="str">
        <x:v>Dialog</x:v>
      </x:c>
      <x:c r="C54" s="245" t="str">
        <x:v>Register dataset</x:v>
      </x:c>
      <x:c r="D54" s="245" t="str">
        <x:v>M2</x:v>
      </x:c>
      <x:c r="E54" s="245" t="str">
        <x:v>T-265</x:v>
      </x:c>
      <x:c r="F54" s="245" t="str">
        <x:v>T-148; T-101</x:v>
      </x:c>
      <x:c r="G54" s="245" t="str">
        <x:v>PPIQ_Chapter3_General_Technical_Function_Description_v4.10.3.md §B2</x:v>
      </x:c>
      <x:c r="H54" s="245" t="str">
        <x:v>DLG-B2-register--default; DLG-B2-register--invalid</x:v>
      </x:c>
      <x:c r="I54" s="245" t="str">
        <x:v>DESIGN DEPTH PENDING</x:v>
      </x:c>
      <x:c r="J54" s="245" t="str">
        <x:v>Connection; Schema; Source object; Included columns; Taxonomy source | Author confirms source metadata; suggestions are not declarations. | Use meaningful controls, filled/invalid/pending/refused/recovery states only where applicable; prototype focus-return.</x:v>
      </x:c>
      <x:c r="K54" s="245" t="str">
        <x:v>CHECK DATA / WORD CAPTION / IMAGE AGAINST PARENT CLAUSE</x:v>
      </x:c>
    </x:row>
    <x:row r="55" ht="60" customHeight="1">
      <x:c r="A55" s="245" t="str">
        <x:v>DLG-B2-preview</x:v>
      </x:c>
      <x:c r="B55" s="245" t="str">
        <x:v>Dialog</x:v>
      </x:c>
      <x:c r="C55" s="245" t="str">
        <x:v>Source preview</x:v>
      </x:c>
      <x:c r="D55" s="245" t="str">
        <x:v>M2</x:v>
      </x:c>
      <x:c r="E55" s="245" t="str">
        <x:v>T-265</x:v>
      </x:c>
      <x:c r="F55" s="245" t="str">
        <x:v>T-148; T-101</x:v>
      </x:c>
      <x:c r="G55" s="245" t="str">
        <x:v>PPIQ_Chapter3_General_Technical_Function_Description_v4.10.3.md §B2</x:v>
      </x:c>
      <x:c r="H55" s="245" t="str">
        <x:v>DLG-B2-preview--default; DLG-B2-preview--invalid</x:v>
      </x:c>
      <x:c r="I55" s="245" t="str">
        <x:v>DESIGN DEPTH PENDING</x:v>
      </x:c>
      <x:c r="J55" s="245" t="str">
        <x:v>Source identity; Column names and types; Bounded sample; Rows and elapsed time | Read under the effective source budget. | Use meaningful controls, filled/invalid/pending/refused/recovery states only where applicable; prototype focus-return.</x:v>
      </x:c>
      <x:c r="K55" s="245" t="str">
        <x:v>CHECK DATA / WORD CAPTION / IMAGE AGAINST PARENT CLAUSE</x:v>
      </x:c>
    </x:row>
    <x:row r="56" ht="60" customHeight="1">
      <x:c r="A56" s="245" t="str">
        <x:v>DLG-B3-key</x:v>
      </x:c>
      <x:c r="B56" s="245" t="str">
        <x:v>Dialog</x:v>
      </x:c>
      <x:c r="C56" s="245" t="str">
        <x:v>Business-key members</x:v>
      </x:c>
      <x:c r="D56" s="245" t="str">
        <x:v>M2</x:v>
      </x:c>
      <x:c r="E56" s="245" t="str">
        <x:v>T-265</x:v>
      </x:c>
      <x:c r="F56" s="245" t="str">
        <x:v>T-108; T-148</x:v>
      </x:c>
      <x:c r="G56" s="245" t="str">
        <x:v>PPIQ_Chapter3_General_Technical_Function_Description_v4.10.3.md §B3</x:v>
      </x:c>
      <x:c r="H56" s="245" t="str">
        <x:v>DLG-B3-key--default; DLG-B3-key--invalid</x:v>
      </x:c>
      <x:c r="I56" s="245" t="str">
        <x:v>DESIGN DEPTH PENDING</x:v>
      </x:c>
      <x:c r="J56" s="245" t="str">
        <x:v>Ordered source fields; Member order; Uniqueness evidence | All selected key members belong to imported columns. | Use meaningful controls, filled/invalid/pending/refused/recovery states only where applicable; prototype focus-return.</x:v>
      </x:c>
      <x:c r="K56" s="245" t="str">
        <x:v>CHECK DATA / WORD CAPTION / IMAGE AGAINST PARENT CLAUSE</x:v>
      </x:c>
    </x:row>
    <x:row r="57" ht="60" customHeight="1">
      <x:c r="A57" s="245" t="str">
        <x:v>DLG-B3-cursor</x:v>
      </x:c>
      <x:c r="B57" s="245" t="str">
        <x:v>Dialog</x:v>
      </x:c>
      <x:c r="C57" s="245" t="str">
        <x:v>Incremental cursor</x:v>
      </x:c>
      <x:c r="D57" s="245" t="str">
        <x:v>M2</x:v>
      </x:c>
      <x:c r="E57" s="245" t="str">
        <x:v>T-265</x:v>
      </x:c>
      <x:c r="F57" s="245" t="str">
        <x:v>T-108; T-148</x:v>
      </x:c>
      <x:c r="G57" s="245" t="str">
        <x:v>PPIQ_Chapter3_General_Technical_Function_Description_v4.10.3.md §B3</x:v>
      </x:c>
      <x:c r="H57" s="245" t="str">
        <x:v>DLG-B3-cursor--default; DLG-B3-cursor--invalid</x:v>
      </x:c>
      <x:c r="I57" s="245" t="str">
        <x:v>DESIGN DEPTH PENDING</x:v>
      </x:c>
      <x:c r="J57" s="245" t="str">
        <x:v>Watermark field; Watermark type; Stable tie-break members; Initial position; Source upper bound | v4.10.3 total-order contract; no guessed type or tie-break. | Use meaningful controls, filled/invalid/pending/refused/recovery states only where applicable; prototype focus-return.</x:v>
      </x:c>
      <x:c r="K57" s="245" t="str">
        <x:v>CHECK DATA / WORD CAPTION / IMAGE AGAINST PARENT CLAUSE</x:v>
      </x:c>
    </x:row>
    <x:row r="58" ht="60" customHeight="1">
      <x:c r="A58" s="245" t="str">
        <x:v>DLG-B3-fullscan</x:v>
      </x:c>
      <x:c r="B58" s="245" t="str">
        <x:v>Dialog</x:v>
      </x:c>
      <x:c r="C58" s="245" t="str">
        <x:v>No watermark: daily floor</x:v>
      </x:c>
      <x:c r="D58" s="245" t="str">
        <x:v>M2</x:v>
      </x:c>
      <x:c r="E58" s="245" t="str">
        <x:v>T-265</x:v>
      </x:c>
      <x:c r="F58" s="245" t="str">
        <x:v>T-108; T-148</x:v>
      </x:c>
      <x:c r="G58" s="245" t="str">
        <x:v>PPIQ_Chapter3_General_Technical_Function_Description_v4.10.3.md §B3</x:v>
      </x:c>
      <x:c r="H58" s="245" t="str">
        <x:v>DLG-B3-fullscan--default; DLG-B3-fullscan--invalid</x:v>
      </x:c>
      <x:c r="I58" s="245" t="str">
        <x:v>DESIGN DEPTH PENDING</x:v>
      </x:c>
      <x:c r="J58" s="245" t="str">
        <x:v>Source object; Forced daily minimum; Expected scan budget | Not eligible for fast cadence without a safe incremental contract. | Use meaningful controls, filled/invalid/pending/refused/recovery states only where applicable; prototype focus-return.</x:v>
      </x:c>
      <x:c r="K58" s="245" t="str">
        <x:v>CHECK DATA / WORD CAPTION / IMAGE AGAINST PARENT CLAUSE</x:v>
      </x:c>
    </x:row>
    <x:row r="59" ht="60" customHeight="1">
      <x:c r="A59" s="245" t="str">
        <x:v>DLG-B4-rerun</x:v>
      </x:c>
      <x:c r="B59" s="245" t="str">
        <x:v>Dialog</x:v>
      </x:c>
      <x:c r="C59" s="245" t="str">
        <x:v>Re-run import batch</x:v>
      </x:c>
      <x:c r="D59" s="245" t="str">
        <x:v>M2</x:v>
      </x:c>
      <x:c r="E59" s="245" t="str">
        <x:v>T-265</x:v>
      </x:c>
      <x:c r="F59" s="245" t="str">
        <x:v>T-101; T-125</x:v>
      </x:c>
      <x:c r="G59" s="245" t="str">
        <x:v>PPIQ_Chapter3_General_Technical_Function_Description_v4.10.3.md §B4</x:v>
      </x:c>
      <x:c r="H59" s="245" t="str">
        <x:v>DLG-B4-rerun--default; DLG-B4-rerun--invalid</x:v>
      </x:c>
      <x:c r="I59" s="245" t="str">
        <x:v>DESIGN DEPTH PENDING</x:v>
      </x:c>
      <x:c r="J59" s="245" t="str">
        <x:v>Batch identity; Persisted cursor range; Failure reason; Replay policy | Replay produces idempotent accepted effects, not duplicate staging. | Use meaningful controls, filled/invalid/pending/refused/recovery states only where applicable; prototype focus-return.</x:v>
      </x:c>
      <x:c r="K59" s="245" t="str">
        <x:v>CHECK DATA / WORD CAPTION / IMAGE AGAINST PARENT CLAUSE</x:v>
      </x:c>
    </x:row>
    <x:row r="60" ht="60" customHeight="1">
      <x:c r="A60" s="245" t="str">
        <x:v>DLG-B4-backfill</x:v>
      </x:c>
      <x:c r="B60" s="245" t="str">
        <x:v>Dialog</x:v>
      </x:c>
      <x:c r="C60" s="245" t="str">
        <x:v>Historical backfill</x:v>
      </x:c>
      <x:c r="D60" s="245" t="str">
        <x:v>M2</x:v>
      </x:c>
      <x:c r="E60" s="245" t="str">
        <x:v>T-265</x:v>
      </x:c>
      <x:c r="F60" s="245" t="str">
        <x:v>T-101; T-125</x:v>
      </x:c>
      <x:c r="G60" s="245" t="str">
        <x:v>PPIQ_Chapter3_General_Technical_Function_Description_v4.10.3.md §B4</x:v>
      </x:c>
      <x:c r="H60" s="245" t="str">
        <x:v>DLG-B4-backfill--default; DLG-B4-backfill--invalid</x:v>
      </x:c>
      <x:c r="I60" s="245" t="str">
        <x:v>DESIGN DEPTH PENDING</x:v>
      </x:c>
      <x:c r="J60" s="245" t="str">
        <x:v>Dataset; From / to; Row and byte cap; Checkpoint; Source window | Bounded, pausable/resumable; does not starve cadence work. | Use meaningful controls, filled/invalid/pending/refused/recovery states only where applicable; prototype focus-return.</x:v>
      </x:c>
      <x:c r="K60" s="245" t="str">
        <x:v>CHECK DATA / WORD CAPTION / IMAGE AGAINST PARENT CLAUSE</x:v>
      </x:c>
    </x:row>
    <x:row r="61" ht="60" customHeight="1">
      <x:c r="A61" s="245" t="str">
        <x:v>DLG-B4-detail</x:v>
      </x:c>
      <x:c r="B61" s="245" t="str">
        <x:v>Drawer</x:v>
      </x:c>
      <x:c r="C61" s="245" t="str">
        <x:v>Import batch detail</x:v>
      </x:c>
      <x:c r="D61" s="245" t="str">
        <x:v>M2</x:v>
      </x:c>
      <x:c r="E61" s="245" t="str">
        <x:v>T-265</x:v>
      </x:c>
      <x:c r="F61" s="245" t="str">
        <x:v>T-101; T-125</x:v>
      </x:c>
      <x:c r="G61" s="245" t="str">
        <x:v>PPIQ_Chapter3_General_Technical_Function_Description_v4.10.3.md §B4</x:v>
      </x:c>
      <x:c r="H61" s="245" t="str">
        <x:v>DLG-B4-detail--default; DLG-B4-detail--invalid</x:v>
      </x:c>
      <x:c r="I61" s="245" t="str">
        <x:v>DESIGN DEPTH PENDING</x:v>
      </x:c>
      <x:c r="J61" s="245" t="str">
        <x:v>Status; Watermark from / to; Rows read / staged; Failed rows; Source lineage; Run log | Failed rows cannot be hidden inside a green aggregate run. | Use meaningful controls, filled/invalid/pending/refused/recovery states only where applicable; prototype focus-return.</x:v>
      </x:c>
      <x:c r="K61" s="245" t="str">
        <x:v>CHECK DATA / WORD CAPTION / IMAGE AGAINST PARENT CLAUSE</x:v>
      </x:c>
    </x:row>
    <x:row r="62" ht="60" customHeight="1">
      <x:c r="A62" s="245" t="str">
        <x:v>DLG-B5-cancel</x:v>
      </x:c>
      <x:c r="B62" s="245" t="str">
        <x:v>Dialog</x:v>
      </x:c>
      <x:c r="C62" s="245" t="str">
        <x:v>Cancel running job</x:v>
      </x:c>
      <x:c r="D62" s="245" t="str">
        <x:v>M2</x:v>
      </x:c>
      <x:c r="E62" s="245" t="str">
        <x:v>T-265</x:v>
      </x:c>
      <x:c r="F62" s="245" t="str">
        <x:v>T-106; T-125; T-245</x:v>
      </x:c>
      <x:c r="G62" s="245" t="str">
        <x:v>PPIQ_Chapter3_General_Technical_Function_Description_v4.10.3.md §B5</x:v>
      </x:c>
      <x:c r="H62" s="245" t="str">
        <x:v>DLG-B5-cancel--default; DLG-B5-cancel--invalid</x:v>
      </x:c>
      <x:c r="I62" s="245" t="str">
        <x:v>DESIGN DEPTH PENDING</x:v>
      </x:c>
      <x:c r="J62" s="245" t="str">
        <x:v>Job identity; Run identity; Committed work; Reason | A cancellation request is not an acknowledged terminal state. | Use meaningful controls, filled/invalid/pending/refused/recovery states only where applicable; prototype focus-return.</x:v>
      </x:c>
      <x:c r="K62" s="245" t="str">
        <x:v>CHECK DATA / WORD CAPTION / IMAGE AGAINST PARENT CLAUSE</x:v>
      </x:c>
    </x:row>
    <x:row r="63" ht="60" customHeight="1">
      <x:c r="A63" s="245" t="str">
        <x:v>DLG-B5-pause</x:v>
      </x:c>
      <x:c r="B63" s="245" t="str">
        <x:v>Dialog</x:v>
      </x:c>
      <x:c r="C63" s="245" t="str">
        <x:v>Pause scheduled job</x:v>
      </x:c>
      <x:c r="D63" s="245" t="str">
        <x:v>M2</x:v>
      </x:c>
      <x:c r="E63" s="245" t="str">
        <x:v>T-265</x:v>
      </x:c>
      <x:c r="F63" s="245" t="str">
        <x:v>T-106; T-125; T-245</x:v>
      </x:c>
      <x:c r="G63" s="245" t="str">
        <x:v>PPIQ_Chapter3_General_Technical_Function_Description_v4.10.3.md §B5</x:v>
      </x:c>
      <x:c r="H63" s="245" t="str">
        <x:v>DLG-B5-pause--default; DLG-B5-pause--invalid</x:v>
      </x:c>
      <x:c r="I63" s="245" t="str">
        <x:v>DESIGN DEPTH PENDING</x:v>
      </x:c>
      <x:c r="J63" s="245" t="str">
        <x:v>Schedule; Next occurrence; Reason | Pauses future admission; separately cancel any current run. | Use meaningful controls, filled/invalid/pending/refused/recovery states only where applicable; prototype focus-return.</x:v>
      </x:c>
      <x:c r="K63" s="245" t="str">
        <x:v>CHECK DATA / WORD CAPTION / IMAGE AGAINST PARENT CLAUSE</x:v>
      </x:c>
    </x:row>
    <x:row r="64" ht="60" customHeight="1">
      <x:c r="A64" s="245" t="str">
        <x:v>DLG-B5-run</x:v>
      </x:c>
      <x:c r="B64" s="245" t="str">
        <x:v>Dialog</x:v>
      </x:c>
      <x:c r="C64" s="245" t="str">
        <x:v>Run job now</x:v>
      </x:c>
      <x:c r="D64" s="245" t="str">
        <x:v>M2</x:v>
      </x:c>
      <x:c r="E64" s="245" t="str">
        <x:v>T-265</x:v>
      </x:c>
      <x:c r="F64" s="245" t="str">
        <x:v>T-106; T-125; T-245</x:v>
      </x:c>
      <x:c r="G64" s="245" t="str">
        <x:v>PPIQ_Chapter3_General_Technical_Function_Description_v4.10.3.md §B5</x:v>
      </x:c>
      <x:c r="H64" s="245" t="str">
        <x:v>DLG-B5-run--default; DLG-B5-run--invalid</x:v>
      </x:c>
      <x:c r="I64" s="245" t="str">
        <x:v>DESIGN DEPTH PENDING</x:v>
      </x:c>
      <x:c r="J64" s="245" t="str">
        <x:v>Definition version; Dependency verdict; Budget verdict; Parameters | Target pinned at admission; unsupported families refuse before execution. | Use meaningful controls, filled/invalid/pending/refused/recovery states only where applicable; prototype focus-return.</x:v>
      </x:c>
      <x:c r="K64" s="245" t="str">
        <x:v>CHECK DATA / WORD CAPTION / IMAGE AGAINST PARENT CLAUSE</x:v>
      </x:c>
    </x:row>
    <x:row r="65" ht="60" customHeight="1">
      <x:c r="A65" s="245" t="str">
        <x:v>DLG-B5-history</x:v>
      </x:c>
      <x:c r="B65" s="245" t="str">
        <x:v>Drawer</x:v>
      </x:c>
      <x:c r="C65" s="245" t="str">
        <x:v>Run evidence</x:v>
      </x:c>
      <x:c r="D65" s="245" t="str">
        <x:v>M2</x:v>
      </x:c>
      <x:c r="E65" s="245" t="str">
        <x:v>T-265</x:v>
      </x:c>
      <x:c r="F65" s="245" t="str">
        <x:v>T-106; T-125; T-245</x:v>
      </x:c>
      <x:c r="G65" s="245" t="str">
        <x:v>PPIQ_Chapter3_General_Technical_Function_Description_v4.10.3.md §B5</x:v>
      </x:c>
      <x:c r="H65" s="245" t="str">
        <x:v>DLG-B5-history--default; DLG-B5-history--invalid</x:v>
      </x:c>
      <x:c r="I65" s="245" t="str">
        <x:v>DESIGN DEPTH PENDING</x:v>
      </x:c>
      <x:c r="J65" s="245" t="str">
        <x:v>Run identity; Resolved version; Counts; Duration; Upstream evidence; Failure / refusal | Historical identities remain immutable and tenant-scoped. | Use meaningful controls, filled/invalid/pending/refused/recovery states only where applicable; prototype focus-return.</x:v>
      </x:c>
      <x:c r="K65" s="245" t="str">
        <x:v>CHECK DATA / WORD CAPTION / IMAGE AGAINST PARENT CLAUSE</x:v>
      </x:c>
    </x:row>
    <x:row r="66" ht="60" customHeight="1">
      <x:c r="A66" s="245" t="str">
        <x:v>DLG-B6-export</x:v>
      </x:c>
      <x:c r="B66" s="245" t="str">
        <x:v>Dialog</x:v>
      </x:c>
      <x:c r="C66" s="245" t="str">
        <x:v>Export capability truth</x:v>
      </x:c>
      <x:c r="D66" s="245" t="str">
        <x:v>M2</x:v>
      </x:c>
      <x:c r="E66" s="245" t="str">
        <x:v>T-265</x:v>
      </x:c>
      <x:c r="F66" s="245" t="str">
        <x:v>T-254; T-224; T-225; T-226</x:v>
      </x:c>
      <x:c r="G66" s="245" t="str">
        <x:v>PPIQ_Chapter3_General_Technical_Function_Description_v4.10.3.md §B6</x:v>
      </x:c>
      <x:c r="H66" s="245" t="str">
        <x:v>DLG-B6-export--default; DLG-B6-export--invalid</x:v>
      </x:c>
      <x:c r="I66" s="245" t="str">
        <x:v>DESIGN DEPTH PENDING</x:v>
      </x:c>
      <x:c r="J66" s="245" t="str">
        <x:v>Provider set; State filter; Evidence date | Read-only representation of server capability truth. | Use meaningful controls, filled/invalid/pending/refused/recovery states only where applicable; prototype focus-return.</x:v>
      </x:c>
      <x:c r="K66" s="245" t="str">
        <x:v>CHECK DATA / WORD CAPTION / IMAGE AGAINST PARENT CLAUSE</x:v>
      </x:c>
    </x:row>
    <x:row r="67" ht="60" customHeight="1">
      <x:c r="A67" s="245" t="str">
        <x:v>DLG-C1-publish</x:v>
      </x:c>
      <x:c r="B67" s="245" t="str">
        <x:v>Dialog</x:v>
      </x:c>
      <x:c r="C67" s="245" t="str">
        <x:v>Publish Transformation</x:v>
      </x:c>
      <x:c r="D67" s="245" t="str">
        <x:v>M2 + M3</x:v>
      </x:c>
      <x:c r="E67" s="245" t="str">
        <x:v>T-265; T-267</x:v>
      </x:c>
      <x:c r="F67" s="245" t="str">
        <x:v>T-243; T-262; T-245; T-248</x:v>
      </x:c>
      <x:c r="G67" s="245" t="str">
        <x:v>PPIQ_Chapter3_General_Technical_Function_Description_v4.10.3.md §C1</x:v>
      </x:c>
      <x:c r="H67" s="245" t="str">
        <x:v>DLG-C1-publish--default; DLG-C1-publish--invalid</x:v>
      </x:c>
      <x:c r="I67" s="245" t="str">
        <x:v>DESIGN DEPTH PENDING</x:v>
      </x:c>
      <x:c r="J67" s="245" t="str">
        <x:v>Definition name; Version / hash; Output target; Relationship emission; Downstream impact | Definition and relationship publication must not partially commit. | Use meaningful controls, filled/invalid/pending/refused/recovery states only where applicable; prototype focus-return.</x:v>
      </x:c>
      <x:c r="K67" s="245" t="str">
        <x:v>CHECK DATA / WORD CAPTION / IMAGE AGAINST PARENT CLAUSE</x:v>
      </x:c>
    </x:row>
    <x:row r="68" ht="60" customHeight="1">
      <x:c r="A68" s="245" t="str">
        <x:v>DLG-C1-impact</x:v>
      </x:c>
      <x:c r="B68" s="245" t="str">
        <x:v>Dialog</x:v>
      </x:c>
      <x:c r="C68" s="245" t="str">
        <x:v>Downstream impact</x:v>
      </x:c>
      <x:c r="D68" s="245" t="str">
        <x:v>M2 + M3</x:v>
      </x:c>
      <x:c r="E68" s="245" t="str">
        <x:v>T-265; T-267</x:v>
      </x:c>
      <x:c r="F68" s="245" t="str">
        <x:v>T-243; T-262; T-245; T-248</x:v>
      </x:c>
      <x:c r="G68" s="245" t="str">
        <x:v>PPIQ_Chapter3_General_Technical_Function_Description_v4.10.3.md §C1</x:v>
      </x:c>
      <x:c r="H68" s="245" t="str">
        <x:v>DLG-C1-impact--default; DLG-C1-impact--invalid</x:v>
      </x:c>
      <x:c r="I68" s="245" t="str">
        <x:v>DESIGN DEPTH PENDING</x:v>
      </x:c>
      <x:c r="J68" s="245" t="str">
        <x:v>Definitions; Pages; Analyses; Models; Relationships; Required action | No implicit deletion or widening of existing contracts. | Use meaningful controls, filled/invalid/pending/refused/recovery states only where applicable; prototype focus-return.</x:v>
      </x:c>
      <x:c r="K68" s="245" t="str">
        <x:v>CHECK DATA / WORD CAPTION / IMAGE AGAINST PARENT CLAUSE</x:v>
      </x:c>
    </x:row>
    <x:row r="69" ht="60" customHeight="1">
      <x:c r="A69" s="245" t="str">
        <x:v>DLG-C1-fork</x:v>
      </x:c>
      <x:c r="B69" s="245" t="str">
        <x:v>Dialog</x:v>
      </x:c>
      <x:c r="C69" s="245" t="str">
        <x:v>Edit published definition</x:v>
      </x:c>
      <x:c r="D69" s="245" t="str">
        <x:v>M2 + M3</x:v>
      </x:c>
      <x:c r="E69" s="245" t="str">
        <x:v>T-265; T-267</x:v>
      </x:c>
      <x:c r="F69" s="245" t="str">
        <x:v>T-243; T-262; T-245; T-248</x:v>
      </x:c>
      <x:c r="G69" s="245" t="str">
        <x:v>PPIQ_Chapter3_General_Technical_Function_Description_v4.10.3.md §C1</x:v>
      </x:c>
      <x:c r="H69" s="245" t="str">
        <x:v>DLG-C1-fork--default; DLG-C1-fork--invalid</x:v>
      </x:c>
      <x:c r="I69" s="245" t="str">
        <x:v>DESIGN DEPTH PENDING</x:v>
      </x:c>
      <x:c r="J69" s="245" t="str">
        <x:v>Published version; Next draft; Reason | Never mutate the existing immutable version. | Use meaningful controls, filled/invalid/pending/refused/recovery states only where applicable; prototype focus-return.</x:v>
      </x:c>
      <x:c r="K69" s="245" t="str">
        <x:v>CHECK DATA / WORD CAPTION / IMAGE AGAINST PARENT CLAUSE</x:v>
      </x:c>
    </x:row>
    <x:row r="70" ht="60" customHeight="1">
      <x:c r="A70" s="245" t="str">
        <x:v>DLG-C1-rollback</x:v>
      </x:c>
      <x:c r="B70" s="245" t="str">
        <x:v>Dialog</x:v>
      </x:c>
      <x:c r="C70" s="245" t="str">
        <x:v>Select prior version</x:v>
      </x:c>
      <x:c r="D70" s="245" t="str">
        <x:v>M2 + M3</x:v>
      </x:c>
      <x:c r="E70" s="245" t="str">
        <x:v>T-265; T-267</x:v>
      </x:c>
      <x:c r="F70" s="245" t="str">
        <x:v>T-243; T-262; T-245; T-248</x:v>
      </x:c>
      <x:c r="G70" s="245" t="str">
        <x:v>PPIQ_Chapter3_General_Technical_Function_Description_v4.10.3.md §C1</x:v>
      </x:c>
      <x:c r="H70" s="245" t="str">
        <x:v>DLG-C1-rollback--default; DLG-C1-rollback--invalid</x:v>
      </x:c>
      <x:c r="I70" s="245" t="str">
        <x:v>DESIGN DEPTH PENDING</x:v>
      </x:c>
      <x:c r="J70" s="245" t="str">
        <x:v>Version history; Current pointer; Downstream impact; Reason | Preserve later historical versions and explain the pointer change. | Use meaningful controls, filled/invalid/pending/refused/recovery states only where applicable; prototype focus-return.</x:v>
      </x:c>
      <x:c r="K70" s="245" t="str">
        <x:v>CHECK DATA / WORD CAPTION / IMAGE AGAINST PARENT CLAUSE</x:v>
      </x:c>
    </x:row>
    <x:row r="71" ht="60" customHeight="1">
      <x:c r="A71" s="245" t="str">
        <x:v>DLG-C1-import</x:v>
      </x:c>
      <x:c r="B71" s="245" t="str">
        <x:v>Dialog</x:v>
      </x:c>
      <x:c r="C71" s="245" t="str">
        <x:v>Import definition</x:v>
      </x:c>
      <x:c r="D71" s="245" t="str">
        <x:v>M2 + M3</x:v>
      </x:c>
      <x:c r="E71" s="245" t="str">
        <x:v>T-265; T-267</x:v>
      </x:c>
      <x:c r="F71" s="245" t="str">
        <x:v>T-243; T-262; T-245; T-248</x:v>
      </x:c>
      <x:c r="G71" s="245" t="str">
        <x:v>PPIQ_Chapter3_General_Technical_Function_Description_v4.10.3.md §C1</x:v>
      </x:c>
      <x:c r="H71" s="245" t="str">
        <x:v>DLG-C1-import--default; DLG-C1-import--invalid</x:v>
      </x:c>
      <x:c r="I71" s="245" t="str">
        <x:v>DESIGN DEPTH PENDING</x:v>
      </x:c>
      <x:c r="J71" s="245" t="str">
        <x:v>Artifact; Source schema bindings; Target catalog; Validation diagnostics | No authored file bypasses the canonical lifecycle. | Use meaningful controls, filled/invalid/pending/refused/recovery states only where applicable; prototype focus-return.</x:v>
      </x:c>
      <x:c r="K71" s="245" t="str">
        <x:v>CHECK DATA / WORD CAPTION / IMAGE AGAINST PARENT CLAUSE</x:v>
      </x:c>
    </x:row>
    <x:row r="72" ht="60" customHeight="1">
      <x:c r="A72" s="245" t="str">
        <x:v>DLG-C1-mode</x:v>
      </x:c>
      <x:c r="B72" s="245" t="str">
        <x:v>Dialog</x:v>
      </x:c>
      <x:c r="C72" s="245" t="str">
        <x:v>Switch authoring representation</x:v>
      </x:c>
      <x:c r="D72" s="245" t="str">
        <x:v>M2 + M3</x:v>
      </x:c>
      <x:c r="E72" s="245" t="str">
        <x:v>T-265; T-267</x:v>
      </x:c>
      <x:c r="F72" s="245" t="str">
        <x:v>T-243; T-262; T-245; T-248</x:v>
      </x:c>
      <x:c r="G72" s="245" t="str">
        <x:v>PPIQ_Chapter3_General_Technical_Function_Description_v4.10.3.md §C1</x:v>
      </x:c>
      <x:c r="H72" s="245" t="str">
        <x:v>DLG-C1-mode--default; DLG-C1-mode--invalid</x:v>
      </x:c>
      <x:c r="I72" s="245" t="str">
        <x:v>DESIGN DEPTH PENDING</x:v>
      </x:c>
      <x:c r="J72" s="245" t="str">
        <x:v>Current representation; Reconstructability; Preserved SQL; Diagram consequence | Do not claim a SQL diagram is reconstructable when it is not. | Use meaningful controls, filled/invalid/pending/refused/recovery states only where applicable; prototype focus-return.</x:v>
      </x:c>
      <x:c r="K72" s="245" t="str">
        <x:v>CHECK DATA / WORD CAPTION / IMAGE AGAINST PARENT CLAUSE</x:v>
      </x:c>
    </x:row>
    <x:row r="73" ht="60" customHeight="1">
      <x:c r="A73" s="245" t="str">
        <x:v>DLG-C1-dirty</x:v>
      </x:c>
      <x:c r="B73" s="245" t="str">
        <x:v>Dialog</x:v>
      </x:c>
      <x:c r="C73" s="245" t="str">
        <x:v>Unsaved definition changes</x:v>
      </x:c>
      <x:c r="D73" s="245" t="str">
        <x:v>M2 + M3</x:v>
      </x:c>
      <x:c r="E73" s="245" t="str">
        <x:v>T-265; T-267</x:v>
      </x:c>
      <x:c r="F73" s="245" t="str">
        <x:v>T-243; T-262; T-245; T-248</x:v>
      </x:c>
      <x:c r="G73" s="245" t="str">
        <x:v>PPIQ_Chapter3_General_Technical_Function_Description_v4.10.3.md §C1</x:v>
      </x:c>
      <x:c r="H73" s="245" t="str">
        <x:v>DLG-C1-dirty--default; DLG-C1-dirty--invalid</x:v>
      </x:c>
      <x:c r="I73" s="245" t="str">
        <x:v>DESIGN DEPTH PENDING</x:v>
      </x:c>
      <x:c r="J73" s="245" t="str">
        <x:v>Changed fields; Last persisted version | Actions: save, discard with confirmation, stay. Never silently lose edits. | Use meaningful controls, filled/invalid/pending/refused/recovery states only where applicable; prototype focus-return.</x:v>
      </x:c>
      <x:c r="K73" s="245" t="str">
        <x:v>CHECK DATA / WORD CAPTION / IMAGE AGAINST PARENT CLAUSE</x:v>
      </x:c>
    </x:row>
    <x:row r="74" ht="60" customHeight="1">
      <x:c r="A74" s="245" t="str">
        <x:v>DLG-C1-conflict</x:v>
      </x:c>
      <x:c r="B74" s="245" t="str">
        <x:v>Dialog</x:v>
      </x:c>
      <x:c r="C74" s="245" t="str">
        <x:v>Concurrent edit conflict</x:v>
      </x:c>
      <x:c r="D74" s="245" t="str">
        <x:v>M2 + M3</x:v>
      </x:c>
      <x:c r="E74" s="245" t="str">
        <x:v>T-265; T-267</x:v>
      </x:c>
      <x:c r="F74" s="245" t="str">
        <x:v>T-243; T-262; T-245; T-248</x:v>
      </x:c>
      <x:c r="G74" s="245" t="str">
        <x:v>PPIQ_Chapter3_General_Technical_Function_Description_v4.10.3.md §C1</x:v>
      </x:c>
      <x:c r="H74" s="245" t="str">
        <x:v>DLG-C1-conflict--default; DLG-C1-conflict--invalid</x:v>
      </x:c>
      <x:c r="I74" s="245" t="str">
        <x:v>DESIGN DEPTH PENDING</x:v>
      </x:c>
      <x:c r="J74" s="245" t="str">
        <x:v>Base version; Server version; Local changes; Rebase / save-as | No last-write-wins overwrite of a published version. | Use meaningful controls, filled/invalid/pending/refused/recovery states only where applicable; prototype focus-return.</x:v>
      </x:c>
      <x:c r="K74" s="245" t="str">
        <x:v>CHECK DATA / WORD CAPTION / IMAGE AGAINST PARENT CLAUSE</x:v>
      </x:c>
    </x:row>
    <x:row r="75" ht="60" customHeight="1">
      <x:c r="A75" s="245" t="str">
        <x:v>DLG-C1-sqlerror</x:v>
      </x:c>
      <x:c r="B75" s="245" t="str">
        <x:v>Dialog</x:v>
      </x:c>
      <x:c r="C75" s="245" t="str">
        <x:v>SQL validation details</x:v>
      </x:c>
      <x:c r="D75" s="245" t="str">
        <x:v>M2 + M3</x:v>
      </x:c>
      <x:c r="E75" s="245" t="str">
        <x:v>T-265; T-267</x:v>
      </x:c>
      <x:c r="F75" s="245" t="str">
        <x:v>T-243; T-262; T-245; T-248</x:v>
      </x:c>
      <x:c r="G75" s="245" t="str">
        <x:v>PPIQ_Chapter3_General_Technical_Function_Description_v4.10.3.md §C1</x:v>
      </x:c>
      <x:c r="H75" s="245" t="str">
        <x:v>DLG-C1-sqlerror--default; DLG-C1-sqlerror--invalid</x:v>
      </x:c>
      <x:c r="I75" s="245" t="str">
        <x:v>DESIGN DEPTH PENDING</x:v>
      </x:c>
      <x:c r="J75" s="245" t="str">
        <x:v>Message; Offending fragment; Token / line / column; Suggested correction | Message + echoed fragment + in-place token highlight. | Use meaningful controls, filled/invalid/pending/refused/recovery states only where applicable; prototype focus-return.</x:v>
      </x:c>
      <x:c r="K75" s="245" t="str">
        <x:v>CHECK DATA / WORD CAPTION / IMAGE AGAINST PARENT CLAUSE</x:v>
      </x:c>
    </x:row>
    <x:row r="76" ht="60" customHeight="1">
      <x:c r="A76" s="245" t="str">
        <x:v>DLG-C1-expression</x:v>
      </x:c>
      <x:c r="B76" s="245" t="str">
        <x:v>Dialog</x:v>
      </x:c>
      <x:c r="C76" s="245" t="str">
        <x:v>Expression editor</x:v>
      </x:c>
      <x:c r="D76" s="245" t="str">
        <x:v>M2 + M3</x:v>
      </x:c>
      <x:c r="E76" s="245" t="str">
        <x:v>T-265; T-267</x:v>
      </x:c>
      <x:c r="F76" s="245" t="str">
        <x:v>T-243; T-262; T-245; T-248</x:v>
      </x:c>
      <x:c r="G76" s="245" t="str">
        <x:v>PPIQ_Chapter3_General_Technical_Function_Description_v4.10.3.md §C1</x:v>
      </x:c>
      <x:c r="H76" s="245" t="str">
        <x:v>DLG-C1-expression--default; DLG-C1-expression--invalid</x:v>
      </x:c>
      <x:c r="I76" s="245" t="str">
        <x:v>DESIGN DEPTH PENDING</x:v>
      </x:c>
      <x:c r="J76" s="245" t="str">
        <x:v>Typed fields; Operators; Expression; Declared result type; Validation; Test sample | Single row context; no free control-flow board. Accept is one undo step. | Use meaningful controls, filled/invalid/pending/refused/recovery states only where applicable; prototype focus-return.</x:v>
      </x:c>
      <x:c r="K76" s="245" t="str">
        <x:v>CHECK DATA / WORD CAPTION / IMAGE AGAINST PARENT CLAUSE</x:v>
      </x:c>
    </x:row>
    <x:row r="77" ht="60" customHeight="1">
      <x:c r="A77" s="245" t="str">
        <x:v>DLG-C1-mapping</x:v>
      </x:c>
      <x:c r="B77" s="245" t="str">
        <x:v>Dialog</x:v>
      </x:c>
      <x:c r="C77" s="245" t="str">
        <x:v>Canonical field mapping</x:v>
      </x:c>
      <x:c r="D77" s="245" t="str">
        <x:v>M2 + M3</x:v>
      </x:c>
      <x:c r="E77" s="245" t="str">
        <x:v>T-265; T-267</x:v>
      </x:c>
      <x:c r="F77" s="245" t="str">
        <x:v>T-243; T-262; T-245; T-248</x:v>
      </x:c>
      <x:c r="G77" s="245" t="str">
        <x:v>PPIQ_Chapter3_General_Technical_Function_Description_v4.10.3.md §C1</x:v>
      </x:c>
      <x:c r="H77" s="245" t="str">
        <x:v>DLG-C1-mapping--default; DLG-C1-mapping--invalid</x:v>
      </x:c>
      <x:c r="I77" s="245" t="str">
        <x:v>DESIGN DEPTH PENDING</x:v>
      </x:c>
      <x:c r="J77" s="245" t="str">
        <x:v>Target entity; Required business fields; Source output binding; Type verdict; System provenance (read-only) | No inference by ordinal/name resemblance; unknown source type refuses. | Use meaningful controls, filled/invalid/pending/refused/recovery states only where applicable; prototype focus-return.</x:v>
      </x:c>
      <x:c r="K77" s="245" t="str">
        <x:v>CHECK DATA / WORD CAPTION / IMAGE AGAINST PARENT CLAUSE</x:v>
      </x:c>
    </x:row>
    <x:row r="78" ht="60" customHeight="1">
      <x:c r="A78" s="245" t="str">
        <x:v>DLG-C2-drift</x:v>
      </x:c>
      <x:c r="B78" s="245" t="str">
        <x:v>Dialog</x:v>
      </x:c>
      <x:c r="C78" s="245" t="str">
        <x:v>Schema drift event</x:v>
      </x:c>
      <x:c r="D78" s="245" t="str">
        <x:v>M2</x:v>
      </x:c>
      <x:c r="E78" s="245" t="str">
        <x:v>T-265</x:v>
      </x:c>
      <x:c r="F78" s="245" t="str">
        <x:v>T-101</x:v>
      </x:c>
      <x:c r="G78" s="245" t="str">
        <x:v>PPIQ_Chapter3_General_Technical_Function_Description_v4.10.3.md §C2</x:v>
      </x:c>
      <x:c r="H78" s="245" t="str">
        <x:v>DLG-C2-drift--default; DLG-C2-drift--invalid</x:v>
      </x:c>
      <x:c r="I78" s="245" t="str">
        <x:v>DESIGN DEPTH PENDING</x:v>
      </x:c>
      <x:c r="J78" s="245" t="str">
        <x:v>Dataset; Changed field; Old / new type; Affected mappings; State | Acknowledgement is not automatic repair or reactivation. | Use meaningful controls, filled/invalid/pending/refused/recovery states only where applicable; prototype focus-return.</x:v>
      </x:c>
      <x:c r="K78" s="245" t="str">
        <x:v>CHECK DATA / WORD CAPTION / IMAGE AGAINST PARENT CLAUSE</x:v>
      </x:c>
    </x:row>
    <x:row r="79" ht="60" customHeight="1">
      <x:c r="A79" s="245" t="str">
        <x:v>DLG-C2-reprocess</x:v>
      </x:c>
      <x:c r="B79" s="245" t="str">
        <x:v>Dialog</x:v>
      </x:c>
      <x:c r="C79" s="245" t="str">
        <x:v>Reprocess corrected rows</x:v>
      </x:c>
      <x:c r="D79" s="245" t="str">
        <x:v>M2</x:v>
      </x:c>
      <x:c r="E79" s="245" t="str">
        <x:v>T-265</x:v>
      </x:c>
      <x:c r="F79" s="245" t="str">
        <x:v>T-101</x:v>
      </x:c>
      <x:c r="G79" s="245" t="str">
        <x:v>PPIQ_Chapter3_General_Technical_Function_Description_v4.10.3.md §C2</x:v>
      </x:c>
      <x:c r="H79" s="245" t="str">
        <x:v>DLG-C2-reprocess--default; DLG-C2-reprocess--invalid</x:v>
      </x:c>
      <x:c r="I79" s="245" t="str">
        <x:v>DESIGN DEPTH PENDING</x:v>
      </x:c>
      <x:c r="J79" s="245" t="str">
        <x:v>Batch; Quarantine code; Corrected definition version; Estimated scope | Preserve original rejection and exact selected correction version. | Use meaningful controls, filled/invalid/pending/refused/recovery states only where applicable; prototype focus-return.</x:v>
      </x:c>
      <x:c r="K79" s="245" t="str">
        <x:v>CHECK DATA / WORD CAPTION / IMAGE AGAINST PARENT CLAUSE</x:v>
      </x:c>
    </x:row>
    <x:row r="80" ht="60" customHeight="1">
      <x:c r="A80" s="245" t="str">
        <x:v>DLG-C3-quarantine</x:v>
      </x:c>
      <x:c r="B80" s="245" t="str">
        <x:v>Drawer</x:v>
      </x:c>
      <x:c r="C80" s="245" t="str">
        <x:v>Quarantine row detail</x:v>
      </x:c>
      <x:c r="D80" s="245" t="str">
        <x:v>M2</x:v>
      </x:c>
      <x:c r="E80" s="245" t="str">
        <x:v>T-265</x:v>
      </x:c>
      <x:c r="F80" s="245" t="str">
        <x:v>T-100; T-101</x:v>
      </x:c>
      <x:c r="G80" s="245" t="str">
        <x:v>PPIQ_Chapter3_General_Technical_Function_Description_v4.10.3.md §C3</x:v>
      </x:c>
      <x:c r="H80" s="245" t="str">
        <x:v>DLG-C3-quarantine--default; DLG-C3-quarantine--invalid</x:v>
      </x:c>
      <x:c r="I80" s="245" t="str">
        <x:v>DESIGN DEPTH PENDING</x:v>
      </x:c>
      <x:c r="J80" s="245" t="str">
        <x:v>Validation code; Offending field; Staging row; Source provenance; Correction hint | Actual failure evidence, not invented successful output. | Use meaningful controls, filled/invalid/pending/refused/recovery states only where applicable; prototype focus-return.</x:v>
      </x:c>
      <x:c r="K80" s="245" t="str">
        <x:v>CHECK DATA / WORD CAPTION / IMAGE AGAINST PARENT CLAUSE</x:v>
      </x:c>
    </x:row>
    <x:row r="81" ht="60" customHeight="1">
      <x:c r="A81" s="245" t="str">
        <x:v>DLG-C4-entity</x:v>
      </x:c>
      <x:c r="B81" s="245" t="str">
        <x:v>Dialog</x:v>
      </x:c>
      <x:c r="C81" s="245" t="str">
        <x:v>Canonical entity detail</x:v>
      </x:c>
      <x:c r="D81" s="245" t="str">
        <x:v>M3</x:v>
      </x:c>
      <x:c r="E81" s="245" t="str">
        <x:v>T-267</x:v>
      </x:c>
      <x:c r="F81" s="245" t="str">
        <x:v>T-196</x:v>
      </x:c>
      <x:c r="G81" s="245" t="str">
        <x:v>PPIQ_Chapter3_General_Technical_Function_Description_v4.10.3.md §C4</x:v>
      </x:c>
      <x:c r="H81" s="245" t="str">
        <x:v>DLG-C4-entity--default; DLG-C4-entity--invalid</x:v>
      </x:c>
      <x:c r="I81" s="245" t="str">
        <x:v>DESIGN DEPTH PENDING</x:v>
      </x:c>
      <x:c r="J81" s="245" t="str">
        <x:v>Entity type; Registered dimensions; Relationships; Evidence | Generic registry vocabulary; no customer-specific hardcoding. | Use meaningful controls, filled/invalid/pending/refused/recovery states only where applicable; prototype focus-return.</x:v>
      </x:c>
      <x:c r="K81" s="245" t="str">
        <x:v>CHECK DATA / WORD CAPTION / IMAGE AGAINST PARENT CLAUSE</x:v>
      </x:c>
    </x:row>
    <x:row r="82" ht="60" customHeight="1">
      <x:c r="A82" s="245" t="str">
        <x:v>DLG-C5-genealogy</x:v>
      </x:c>
      <x:c r="B82" s="245" t="str">
        <x:v>Drawer</x:v>
      </x:c>
      <x:c r="C82" s="245" t="str">
        <x:v>Genealogy contribution</x:v>
      </x:c>
      <x:c r="D82" s="245" t="str">
        <x:v>M2</x:v>
      </x:c>
      <x:c r="E82" s="245" t="str">
        <x:v>T-265</x:v>
      </x:c>
      <x:c r="F82" s="245" t="str">
        <x:v>T-102; T-103; T-258</x:v>
      </x:c>
      <x:c r="G82" s="245" t="str">
        <x:v>PPIQ_Chapter3_General_Technical_Function_Description_v4.10.3.md §C5</x:v>
      </x:c>
      <x:c r="H82" s="245" t="str">
        <x:v>DLG-C5-genealogy--default; DLG-C5-genealogy--invalid</x:v>
      </x:c>
      <x:c r="I82" s="245" t="str">
        <x:v>DESIGN DEPTH PENDING</x:v>
      </x:c>
      <x:c r="J82" s="245" t="str">
        <x:v>Parent / child identities; Ordered key; Weight; Grain; Source definition | Weights and direction are evidence-bearing, never decorative lines. | Use meaningful controls, filled/invalid/pending/refused/recovery states only where applicable; prototype focus-return.</x:v>
      </x:c>
      <x:c r="K82" s="245" t="str">
        <x:v>CHECK DATA / WORD CAPTION / IMAGE AGAINST PARENT CLAUSE</x:v>
      </x:c>
    </x:row>
    <x:row r="83" ht="60" customHeight="1">
      <x:c r="A83" s="245" t="str">
        <x:v>DLG-C6-validate</x:v>
      </x:c>
      <x:c r="B83" s="245" t="str">
        <x:v>Dialog</x:v>
      </x:c>
      <x:c r="C83" s="245" t="str">
        <x:v>Validate relationship</x:v>
      </x:c>
      <x:c r="D83" s="245" t="str">
        <x:v>M2</x:v>
      </x:c>
      <x:c r="E83" s="245" t="str">
        <x:v>T-265</x:v>
      </x:c>
      <x:c r="F83" s="245" t="str">
        <x:v>T-098</x:v>
      </x:c>
      <x:c r="G83" s="245" t="str">
        <x:v>PPIQ_Chapter3_General_Technical_Function_Description_v4.10.3.md §C6</x:v>
      </x:c>
      <x:c r="H83" s="245" t="str">
        <x:v>DLG-C6-validate--default; DLG-C6-validate--invalid</x:v>
      </x:c>
      <x:c r="I83" s="245" t="str">
        <x:v>DESIGN DEPTH PENDING</x:v>
      </x:c>
      <x:c r="J83" s="245" t="str">
        <x:v>Relationship version; Ordered members; Cardinality; Grain conversion; Attribution; Evidence | Server measures validation state; user cannot assert proven=true. | Use meaningful controls, filled/invalid/pending/refused/recovery states only where applicable; prototype focus-return.</x:v>
      </x:c>
      <x:c r="K83" s="245" t="str">
        <x:v>CHECK DATA / WORD CAPTION / IMAGE AGAINST PARENT CLAUSE</x:v>
      </x:c>
    </x:row>
    <x:row r="84" ht="60" customHeight="1">
      <x:c r="A84" s="245" t="str">
        <x:v>DLG-C6-path</x:v>
      </x:c>
      <x:c r="B84" s="245" t="str">
        <x:v>Dialog</x:v>
      </x:c>
      <x:c r="C84" s="245" t="str">
        <x:v>Preferred relationship path</x:v>
      </x:c>
      <x:c r="D84" s="245" t="str">
        <x:v>M2</x:v>
      </x:c>
      <x:c r="E84" s="245" t="str">
        <x:v>T-265</x:v>
      </x:c>
      <x:c r="F84" s="245" t="str">
        <x:v>T-098</x:v>
      </x:c>
      <x:c r="G84" s="245" t="str">
        <x:v>PPIQ_Chapter3_General_Technical_Function_Description_v4.10.3.md §C6</x:v>
      </x:c>
      <x:c r="H84" s="245" t="str">
        <x:v>DLG-C6-path--default; DLG-C6-path--invalid</x:v>
      </x:c>
      <x:c r="I84" s="245" t="str">
        <x:v>DESIGN DEPTH PENDING</x:v>
      </x:c>
      <x:c r="J84" s="245" t="str">
        <x:v>Source / destination; Candidate paths; Ambiguity; Declared preference | No guessed path when more than one lawful route exists. | Use meaningful controls, filled/invalid/pending/refused/recovery states only where applicable; prototype focus-return.</x:v>
      </x:c>
      <x:c r="K84" s="245" t="str">
        <x:v>CHECK DATA / WORD CAPTION / IMAGE AGAINST PARENT CLAUSE</x:v>
      </x:c>
    </x:row>
    <x:row r="85" ht="60" customHeight="1">
      <x:c r="A85" s="245" t="str">
        <x:v>DLG-D1-selection</x:v>
      </x:c>
      <x:c r="B85" s="245" t="str">
        <x:v>Dialog</x:v>
      </x:c>
      <x:c r="C85" s="245" t="str">
        <x:v>Selection state</x:v>
      </x:c>
      <x:c r="D85" s="245" t="str">
        <x:v>M2 + M3</x:v>
      </x:c>
      <x:c r="E85" s="245" t="str">
        <x:v>T-265; T-267</x:v>
      </x:c>
      <x:c r="F85" s="245" t="str">
        <x:v>T-148; T-258; T-247; T-248</x:v>
      </x:c>
      <x:c r="G85" s="245" t="str">
        <x:v>PPIQ_Chapter3_General_Technical_Function_Description_v4.10.3.md §D1</x:v>
      </x:c>
      <x:c r="H85" s="245" t="str">
        <x:v>DLG-D1-selection--default; DLG-D1-selection--invalid</x:v>
      </x:c>
      <x:c r="I85" s="245" t="str">
        <x:v>DESIGN DEPTH PENDING</x:v>
      </x:c>
      <x:c r="J85" s="245" t="str">
        <x:v>Selected; Possible; Excluded; Clear one / all | Excluded values remain clickable to pivot; color is not the sole signal. | Use meaningful controls, filled/invalid/pending/refused/recovery states only where applicable; prototype focus-return.</x:v>
      </x:c>
      <x:c r="K85" s="245" t="str">
        <x:v>CHECK DATA / WORD CAPTION / IMAGE AGAINST PARENT CLAUSE</x:v>
      </x:c>
    </x:row>
    <x:row r="86" ht="60" customHeight="1">
      <x:c r="A86" s="245" t="str">
        <x:v>DLG-D1-bookmark</x:v>
      </x:c>
      <x:c r="B86" s="245" t="str">
        <x:v>Dialog</x:v>
      </x:c>
      <x:c r="C86" s="245" t="str">
        <x:v>Save current view</x:v>
      </x:c>
      <x:c r="D86" s="245" t="str">
        <x:v>M2 + M3</x:v>
      </x:c>
      <x:c r="E86" s="245" t="str">
        <x:v>T-265; T-267</x:v>
      </x:c>
      <x:c r="F86" s="245" t="str">
        <x:v>T-148; T-258; T-247; T-248</x:v>
      </x:c>
      <x:c r="G86" s="245" t="str">
        <x:v>PPIQ_Chapter3_General_Technical_Function_Description_v4.10.3.md §D1</x:v>
      </x:c>
      <x:c r="H86" s="245" t="str">
        <x:v>DLG-D1-bookmark--default; DLG-D1-bookmark--invalid</x:v>
      </x:c>
      <x:c r="I86" s="245" t="str">
        <x:v>DESIGN DEPTH PENDING</x:v>
      </x:c>
      <x:c r="J86" s="245" t="str">
        <x:v>Name; Selection state; Layout version; Visibility | Persist through governed definitions; no layout authority in localStorage. | Use meaningful controls, filled/invalid/pending/refused/recovery states only where applicable; prototype focus-return.</x:v>
      </x:c>
      <x:c r="K86" s="245" t="str">
        <x:v>CHECK DATA / WORD CAPTION / IMAGE AGAINST PARENT CLAUSE</x:v>
      </x:c>
    </x:row>
    <x:row r="87" ht="60" customHeight="1">
      <x:c r="A87" s="245" t="str">
        <x:v>DLG-D1-export</x:v>
      </x:c>
      <x:c r="B87" s="245" t="str">
        <x:v>Dialog</x:v>
      </x:c>
      <x:c r="C87" s="245" t="str">
        <x:v>Export current state</x:v>
      </x:c>
      <x:c r="D87" s="245" t="str">
        <x:v>M2 + M3</x:v>
      </x:c>
      <x:c r="E87" s="245" t="str">
        <x:v>T-265; T-267</x:v>
      </x:c>
      <x:c r="F87" s="245" t="str">
        <x:v>T-148; T-258; T-247; T-248</x:v>
      </x:c>
      <x:c r="G87" s="245" t="str">
        <x:v>PPIQ_Chapter3_General_Technical_Function_Description_v4.10.3.md §D1</x:v>
      </x:c>
      <x:c r="H87" s="245" t="str">
        <x:v>DLG-D1-export--default; DLG-D1-export--invalid</x:v>
      </x:c>
      <x:c r="I87" s="245" t="str">
        <x:v>DESIGN DEPTH PENDING</x:v>
      </x:c>
      <x:c r="J87" s="245" t="str">
        <x:v>Format; Current filters; Period; Evidence inclusion; Scope | Export the displayed state and label incomplete/unavailable evidence. | Use meaningful controls, filled/invalid/pending/refused/recovery states only where applicable; prototype focus-return.</x:v>
      </x:c>
      <x:c r="K87" s="245" t="str">
        <x:v>CHECK DATA / WORD CAPTION / IMAGE AGAINST PARENT CLAUSE</x:v>
      </x:c>
    </x:row>
    <x:row r="88" ht="60" customHeight="1">
      <x:c r="A88" s="245" t="str">
        <x:v>DLG-D2-page</x:v>
      </x:c>
      <x:c r="B88" s="245" t="str">
        <x:v>Dialog</x:v>
      </x:c>
      <x:c r="C88" s="245" t="str">
        <x:v>Page definition</x:v>
      </x:c>
      <x:c r="D88" s="245" t="str">
        <x:v>M2 + M3</x:v>
      </x:c>
      <x:c r="E88" s="245" t="str">
        <x:v>T-265; T-267</x:v>
      </x:c>
      <x:c r="F88" s="245" t="str">
        <x:v>T-148; T-212; T-248</x:v>
      </x:c>
      <x:c r="G88" s="245" t="str">
        <x:v>PPIQ_Chapter3_General_Technical_Function_Description_v4.10.3.md §D2</x:v>
      </x:c>
      <x:c r="H88" s="245" t="str">
        <x:v>DLG-D2-page--default; DLG-D2-page--invalid</x:v>
      </x:c>
      <x:c r="I88" s="245" t="str">
        <x:v>DESIGN DEPTH PENDING</x:v>
      </x:c>
      <x:c r="J88" s="245" t="str">
        <x:v>Title; Description; Visibility; Layout; Default selection | Reuse page lifecycle, not a separate dashboard engine. | Use meaningful controls, filled/invalid/pending/refused/recovery states only where applicable; prototype focus-return.</x:v>
      </x:c>
      <x:c r="K88" s="245" t="str">
        <x:v>CHECK DATA / WORD CAPTION / IMAGE AGAINST PARENT CLAUSE</x:v>
      </x:c>
    </x:row>
    <x:row r="89" ht="60" customHeight="1">
      <x:c r="A89" s="245" t="str">
        <x:v>DLG-D2-widget</x:v>
      </x:c>
      <x:c r="B89" s="245" t="str">
        <x:v>Dialog</x:v>
      </x:c>
      <x:c r="C89" s="245" t="str">
        <x:v>Widget binding</x:v>
      </x:c>
      <x:c r="D89" s="245" t="str">
        <x:v>M2 + M3</x:v>
      </x:c>
      <x:c r="E89" s="245" t="str">
        <x:v>T-265; T-267</x:v>
      </x:c>
      <x:c r="F89" s="245" t="str">
        <x:v>T-148; T-212; T-248</x:v>
      </x:c>
      <x:c r="G89" s="245" t="str">
        <x:v>PPIQ_Chapter3_General_Technical_Function_Description_v4.10.3.md §D2</x:v>
      </x:c>
      <x:c r="H89" s="245" t="str">
        <x:v>DLG-D2-widget--default; DLG-D2-widget--invalid</x:v>
      </x:c>
      <x:c r="I89" s="245" t="str">
        <x:v>DESIGN DEPTH PENDING</x:v>
      </x:c>
      <x:c r="J89" s="245" t="str">
        <x:v>Source class; Source identity; Grain; Dimensions; Measures; Chart; Evidence handles | Keep native-grain rich sources intact; refuse invalid joins/roles. | Use meaningful controls, filled/invalid/pending/refused/recovery states only where applicable; prototype focus-return.</x:v>
      </x:c>
      <x:c r="K89" s="245" t="str">
        <x:v>CHECK DATA / WORD CAPTION / IMAGE AGAINST PARENT CLAUSE</x:v>
      </x:c>
    </x:row>
    <x:row r="90" ht="60" customHeight="1">
      <x:c r="A90" s="245" t="str">
        <x:v>DLG-D2-filter</x:v>
      </x:c>
      <x:c r="B90" s="245" t="str">
        <x:v>Dialog</x:v>
      </x:c>
      <x:c r="C90" s="245" t="str">
        <x:v>Filter definition</x:v>
      </x:c>
      <x:c r="D90" s="245" t="str">
        <x:v>M2 + M3</x:v>
      </x:c>
      <x:c r="E90" s="245" t="str">
        <x:v>T-265; T-267</x:v>
      </x:c>
      <x:c r="F90" s="245" t="str">
        <x:v>T-148; T-212; T-248</x:v>
      </x:c>
      <x:c r="G90" s="245" t="str">
        <x:v>PPIQ_Chapter3_General_Technical_Function_Description_v4.10.3.md §D2</x:v>
      </x:c>
      <x:c r="H90" s="245" t="str">
        <x:v>DLG-D2-filter--default; DLG-D2-filter--invalid</x:v>
      </x:c>
      <x:c r="I90" s="245" t="str">
        <x:v>DESIGN DEPTH PENDING</x:v>
      </x:c>
      <x:c r="J90" s="245" t="str">
        <x:v>Name; Scope; Registered field; Filter kind; Default; Version | Page/global/widget scopes stay distinct; stale bindings are visible. | Use meaningful controls, filled/invalid/pending/refused/recovery states only where applicable; prototype focus-return.</x:v>
      </x:c>
      <x:c r="K90" s="245" t="str">
        <x:v>CHECK DATA / WORD CAPTION / IMAGE AGAINST PARENT CLAUSE</x:v>
      </x:c>
    </x:row>
    <x:row r="91" ht="60" customHeight="1">
      <x:c r="A91" s="245" t="str">
        <x:v>DLG-D2-delete</x:v>
      </x:c>
      <x:c r="B91" s="245" t="str">
        <x:v>Dialog</x:v>
      </x:c>
      <x:c r="C91" s="245" t="str">
        <x:v>Remove widget</x:v>
      </x:c>
      <x:c r="D91" s="245" t="str">
        <x:v>M2 + M3</x:v>
      </x:c>
      <x:c r="E91" s="245" t="str">
        <x:v>T-265; T-267</x:v>
      </x:c>
      <x:c r="F91" s="245" t="str">
        <x:v>T-148; T-212; T-248</x:v>
      </x:c>
      <x:c r="G91" s="245" t="str">
        <x:v>PPIQ_Chapter3_General_Technical_Function_Description_v4.10.3.md §D2</x:v>
      </x:c>
      <x:c r="H91" s="245" t="str">
        <x:v>DLG-D2-delete--default; DLG-D2-delete--invalid</x:v>
      </x:c>
      <x:c r="I91" s="245" t="str">
        <x:v>DESIGN DEPTH PENDING</x:v>
      </x:c>
      <x:c r="J91" s="245" t="str">
        <x:v>Widget identity; Page version; Unsaved changes | Removal changes the draft only; saved history retained. | Use meaningful controls, filled/invalid/pending/refused/recovery states only where applicable; prototype focus-return.</x:v>
      </x:c>
      <x:c r="K91" s="245" t="str">
        <x:v>CHECK DATA / WORD CAPTION / IMAGE AGAINST PARENT CLAUSE</x:v>
      </x:c>
    </x:row>
    <x:row r="92" ht="60" customHeight="1">
      <x:c r="A92" s="245" t="str">
        <x:v>DLG-D3-readiness</x:v>
      </x:c>
      <x:c r="B92" s="245" t="str">
        <x:v>Dialog</x:v>
      </x:c>
      <x:c r="C92" s="245" t="str">
        <x:v>Analysis readiness</x:v>
      </x:c>
      <x:c r="D92" s="245" t="str">
        <x:v>M2 + M3</x:v>
      </x:c>
      <x:c r="E92" s="245" t="str">
        <x:v>T-265; T-267</x:v>
      </x:c>
      <x:c r="F92" s="245" t="str">
        <x:v>T-211; T-212; T-237; T-248</x:v>
      </x:c>
      <x:c r="G92" s="245" t="str">
        <x:v>PPIQ_Chapter3_General_Technical_Function_Description_v4.10.3.md §D3</x:v>
      </x:c>
      <x:c r="H92" s="245" t="str">
        <x:v>DLG-D3-readiness--default; DLG-D3-readiness--invalid</x:v>
      </x:c>
      <x:c r="I92" s="245" t="str">
        <x:v>DESIGN DEPTH PENDING</x:v>
      </x:c>
      <x:c r="J92" s="245" t="str">
        <x:v>Population; Grain; Method; Measured values; Thresholds; Refusal reasons | A refusal cannot be bypassed by enabling a UI checkbox. | Use meaningful controls, filled/invalid/pending/refused/recovery states only where applicable; prototype focus-return.</x:v>
      </x:c>
      <x:c r="K92" s="245" t="str">
        <x:v>CHECK DATA / WORD CAPTION / IMAGE AGAINST PARENT CLAUSE</x:v>
      </x:c>
    </x:row>
    <x:row r="93" ht="60" customHeight="1">
      <x:c r="A93" s="245" t="str">
        <x:v>DLG-D4-evidence</x:v>
      </x:c>
      <x:c r="B93" s="245" t="str">
        <x:v>Drawer</x:v>
      </x:c>
      <x:c r="C93" s="245" t="str">
        <x:v>Finding evidence</x:v>
      </x:c>
      <x:c r="D93" s="245" t="str">
        <x:v>M2 + M3</x:v>
      </x:c>
      <x:c r="E93" s="245" t="str">
        <x:v>T-265; T-267</x:v>
      </x:c>
      <x:c r="F93" s="245" t="str">
        <x:v>T-212; T-247; T-188</x:v>
      </x:c>
      <x:c r="G93" s="245" t="str">
        <x:v>PPIQ_Chapter3_General_Technical_Function_Description_v4.10.3.md §D4</x:v>
      </x:c>
      <x:c r="H93" s="245" t="str">
        <x:v>DLG-D4-evidence--default; DLG-D4-evidence--invalid</x:v>
      </x:c>
      <x:c r="I93" s="245" t="str">
        <x:v>DESIGN DEPTH PENDING</x:v>
      </x:c>
      <x:c r="J93" s="245" t="str">
        <x:v>Claim class; Method; Population; Effect / uncertainty; q-value; Source handles | A statistical association is not upgraded to a causal claim. | Use meaningful controls, filled/invalid/pending/refused/recovery states only where applicable; prototype focus-return.</x:v>
      </x:c>
      <x:c r="K93" s="245" t="str">
        <x:v>CHECK DATA / WORD CAPTION / IMAGE AGAINST PARENT CLAUSE</x:v>
      </x:c>
    </x:row>
    <x:row r="94" ht="60" customHeight="1">
      <x:c r="A94" s="245" t="str">
        <x:v>DLG-D5-risk</x:v>
      </x:c>
      <x:c r="B94" s="245" t="str">
        <x:v>Dialog</x:v>
      </x:c>
      <x:c r="C94" s="245" t="str">
        <x:v>Risk record</x:v>
      </x:c>
      <x:c r="D94" s="245" t="str">
        <x:v>M2 + M3</x:v>
      </x:c>
      <x:c r="E94" s="245" t="str">
        <x:v>T-265; T-267</x:v>
      </x:c>
      <x:c r="F94" s="245" t="str">
        <x:v>T-247; T-189</x:v>
      </x:c>
      <x:c r="G94" s="245" t="str">
        <x:v>PPIQ_Chapter3_General_Technical_Function_Description_v4.10.3.md §D5</x:v>
      </x:c>
      <x:c r="H94" s="245" t="str">
        <x:v>DLG-D5-risk--default; DLG-D5-risk--invalid</x:v>
      </x:c>
      <x:c r="I94" s="245" t="str">
        <x:v>DESIGN DEPTH PENDING</x:v>
      </x:c>
      <x:c r="J94" s="245" t="str">
        <x:v>Subject identity; Risk band; Drivers; Model / engine version; Evidence | No certainty claim; source and model states remain explicit. | Use meaningful controls, filled/invalid/pending/refused/recovery states only where applicable; prototype focus-return.</x:v>
      </x:c>
      <x:c r="K94" s="245" t="str">
        <x:v>CHECK DATA / WORD CAPTION / IMAGE AGAINST PARENT CLAUSE</x:v>
      </x:c>
    </x:row>
    <x:row r="95" ht="60" customHeight="1">
      <x:c r="A95" s="245" t="str">
        <x:v>DLG-D6-decision</x:v>
      </x:c>
      <x:c r="B95" s="245" t="str">
        <x:v>Dialog</x:v>
      </x:c>
      <x:c r="C95" s="245" t="str">
        <x:v>Suggestion decision</x:v>
      </x:c>
      <x:c r="D95" s="245" t="str">
        <x:v>M2 + M3</x:v>
      </x:c>
      <x:c r="E95" s="245" t="str">
        <x:v>T-265; T-267</x:v>
      </x:c>
      <x:c r="F95" s="245" t="str">
        <x:v>T-247; T-113; T-190</x:v>
      </x:c>
      <x:c r="G95" s="245" t="str">
        <x:v>PPIQ_Chapter3_General_Technical_Function_Description_v4.10.3.md §D6</x:v>
      </x:c>
      <x:c r="H95" s="245" t="str">
        <x:v>DLG-D6-decision--default; DLG-D6-decision--invalid</x:v>
      </x:c>
      <x:c r="I95" s="245" t="str">
        <x:v>DESIGN DEPTH PENDING</x:v>
      </x:c>
      <x:c r="J95" s="245" t="str">
        <x:v>Suggestion; Evidence; Reason code; Decision; Actor | Server can_accept/permission authority gates action; no plant control write. | Use meaningful controls, filled/invalid/pending/refused/recovery states only where applicable; prototype focus-return.</x:v>
      </x:c>
      <x:c r="K95" s="245" t="str">
        <x:v>CHECK DATA / WORD CAPTION / IMAGE AGAINST PARENT CLAUSE</x:v>
      </x:c>
    </x:row>
    <x:row r="96" ht="60" customHeight="1">
      <x:c r="A96" s="245" t="str">
        <x:v>DLG-D6-defer</x:v>
      </x:c>
      <x:c r="B96" s="245" t="str">
        <x:v>Dialog</x:v>
      </x:c>
      <x:c r="C96" s="245" t="str">
        <x:v>Defer suggestion</x:v>
      </x:c>
      <x:c r="D96" s="245" t="str">
        <x:v>M2 + M3</x:v>
      </x:c>
      <x:c r="E96" s="245" t="str">
        <x:v>T-265; T-267</x:v>
      </x:c>
      <x:c r="F96" s="245" t="str">
        <x:v>T-247; T-113; T-190</x:v>
      </x:c>
      <x:c r="G96" s="245" t="str">
        <x:v>PPIQ_Chapter3_General_Technical_Function_Description_v4.10.3.md §D6</x:v>
      </x:c>
      <x:c r="H96" s="245" t="str">
        <x:v>DLG-D6-defer--default; DLG-D6-defer--invalid</x:v>
      </x:c>
      <x:c r="I96" s="245" t="str">
        <x:v>DESIGN DEPTH PENDING</x:v>
      </x:c>
      <x:c r="J96" s="245" t="str">
        <x:v>Reason code; Review time; Evidence | Record actor/time; do not fabricate an action or outcome. | Use meaningful controls, filled/invalid/pending/refused/recovery states only where applicable; prototype focus-return.</x:v>
      </x:c>
      <x:c r="K96" s="245" t="str">
        <x:v>CHECK DATA / WORD CAPTION / IMAGE AGAINST PARENT CLAUSE</x:v>
      </x:c>
    </x:row>
    <x:row r="97" ht="60" customHeight="1">
      <x:c r="A97" s="245" t="str">
        <x:v>DLG-D7-assumptions</x:v>
      </x:c>
      <x:c r="B97" s="245" t="str">
        <x:v>Dialog</x:v>
      </x:c>
      <x:c r="C97" s="245" t="str">
        <x:v>Cost assumptions</x:v>
      </x:c>
      <x:c r="D97" s="245" t="str">
        <x:v>M2 + M3</x:v>
      </x:c>
      <x:c r="E97" s="245" t="str">
        <x:v>T-265; T-267</x:v>
      </x:c>
      <x:c r="F97" s="245" t="str">
        <x:v>T-247; T-164</x:v>
      </x:c>
      <x:c r="G97" s="245" t="str">
        <x:v>PPIQ_Chapter3_General_Technical_Function_Description_v4.10.3.md §D7</x:v>
      </x:c>
      <x:c r="H97" s="245" t="str">
        <x:v>DLG-D7-assumptions--default; DLG-D7-assumptions--invalid</x:v>
      </x:c>
      <x:c r="I97" s="245" t="str">
        <x:v>DESIGN DEPTH PENDING</x:v>
      </x:c>
      <x:c r="J97" s="245" t="str">
        <x:v>Measure; Unit / currency; Effective period; Assumption value; Source; Reason | No monetary claim without declared basis and audit. | Use meaningful controls, filled/invalid/pending/refused/recovery states only where applicable; prototype focus-return.</x:v>
      </x:c>
      <x:c r="K97" s="245" t="str">
        <x:v>CHECK DATA / WORD CAPTION / IMAGE AGAINST PARENT CLAUSE</x:v>
      </x:c>
    </x:row>
    <x:row r="98" ht="60" customHeight="1">
      <x:c r="A98" s="245" t="str">
        <x:v>DLG-D7-value</x:v>
      </x:c>
      <x:c r="B98" s="245" t="str">
        <x:v>Dialog</x:v>
      </x:c>
      <x:c r="C98" s="245" t="str">
        <x:v>Value derivation</x:v>
      </x:c>
      <x:c r="D98" s="245" t="str">
        <x:v>M2 + M3</x:v>
      </x:c>
      <x:c r="E98" s="245" t="str">
        <x:v>T-265; T-267</x:v>
      </x:c>
      <x:c r="F98" s="245" t="str">
        <x:v>T-247; T-164</x:v>
      </x:c>
      <x:c r="G98" s="245" t="str">
        <x:v>PPIQ_Chapter3_General_Technical_Function_Description_v4.10.3.md §D7</x:v>
      </x:c>
      <x:c r="H98" s="245" t="str">
        <x:v>DLG-D7-value--default; DLG-D7-value--invalid</x:v>
      </x:c>
      <x:c r="I98" s="245" t="str">
        <x:v>DESIGN DEPTH PENDING</x:v>
      </x:c>
      <x:c r="J98" s="245" t="str">
        <x:v>Potential / realised class; Assumptions; Counterfactual; Uncertainty; Evidence | Do not combine unsupported realised value with a modeled potential figure. | Use meaningful controls, filled/invalid/pending/refused/recovery states only where applicable; prototype focus-return.</x:v>
      </x:c>
      <x:c r="K98" s="245" t="str">
        <x:v>CHECK DATA / WORD CAPTION / IMAGE AGAINST PARENT CLAUSE</x:v>
      </x:c>
    </x:row>
    <x:row r="99" ht="60" customHeight="1">
      <x:c r="A99" s="245" t="str">
        <x:v>DLG-D8-activate</x:v>
      </x:c>
      <x:c r="B99" s="245" t="str">
        <x:v>Dialog</x:v>
      </x:c>
      <x:c r="C99" s="245" t="str">
        <x:v>Activate model version</x:v>
      </x:c>
      <x:c r="D99" s="245" t="str">
        <x:v>M2 + M3</x:v>
      </x:c>
      <x:c r="E99" s="245" t="str">
        <x:v>T-265; T-267</x:v>
      </x:c>
      <x:c r="F99" s="245" t="str">
        <x:v>T-247; T-211; T-186; T-187; T-188</x:v>
      </x:c>
      <x:c r="G99" s="245" t="str">
        <x:v>PPIQ_Chapter3_General_Technical_Function_Description_v4.10.3.md §D8</x:v>
      </x:c>
      <x:c r="H99" s="245" t="str">
        <x:v>DLG-D8-activate--default; DLG-D8-activate--invalid</x:v>
      </x:c>
      <x:c r="I99" s="245" t="str">
        <x:v>DESIGN DEPTH PENDING</x:v>
      </x:c>
      <x:c r="J99" s="245" t="str">
        <x:v>Candidate; Serving identity; Gate results; Snapshot / manifest; Warm-up; Fallback | Only approved gates and held-out evidence permit activation. | Use meaningful controls, filled/invalid/pending/refused/recovery states only where applicable; prototype focus-return.</x:v>
      </x:c>
      <x:c r="K99" s="245" t="str">
        <x:v>CHECK DATA / WORD CAPTION / IMAGE AGAINST PARENT CLAUSE</x:v>
      </x:c>
    </x:row>
    <x:row r="100" ht="60" customHeight="1">
      <x:c r="A100" s="245" t="str">
        <x:v>DLG-D8-retire</x:v>
      </x:c>
      <x:c r="B100" s="245" t="str">
        <x:v>Dialog</x:v>
      </x:c>
      <x:c r="C100" s="245" t="str">
        <x:v>Retire model version</x:v>
      </x:c>
      <x:c r="D100" s="245" t="str">
        <x:v>M2 + M3</x:v>
      </x:c>
      <x:c r="E100" s="245" t="str">
        <x:v>T-265; T-267</x:v>
      </x:c>
      <x:c r="F100" s="245" t="str">
        <x:v>T-247; T-211; T-186; T-187; T-188</x:v>
      </x:c>
      <x:c r="G100" s="245" t="str">
        <x:v>PPIQ_Chapter3_General_Technical_Function_Description_v4.10.3.md §D8</x:v>
      </x:c>
      <x:c r="H100" s="245" t="str">
        <x:v>DLG-D8-retire--default; DLG-D8-retire--invalid</x:v>
      </x:c>
      <x:c r="I100" s="245" t="str">
        <x:v>DESIGN DEPTH PENDING</x:v>
      </x:c>
      <x:c r="J100" s="245" t="str">
        <x:v>Version; Dependent consumers; Fallback; Reason | Never erase provenance of historical predictions. | Use meaningful controls, filled/invalid/pending/refused/recovery states only where applicable; prototype focus-return.</x:v>
      </x:c>
      <x:c r="K100" s="245" t="str">
        <x:v>CHECK DATA / WORD CAPTION / IMAGE AGAINST PARENT CLAUSE</x:v>
      </x:c>
    </x:row>
    <x:row r="101" ht="60" customHeight="1">
      <x:c r="A101" s="245" t="str">
        <x:v>DLG-D9-remediation</x:v>
      </x:c>
      <x:c r="B101" s="245" t="str">
        <x:v>Dialog</x:v>
      </x:c>
      <x:c r="C101" s="245" t="str">
        <x:v>Remediation eligibility</x:v>
      </x:c>
      <x:c r="D101" s="245" t="str">
        <x:v>M3</x:v>
      </x:c>
      <x:c r="E101" s="245" t="str">
        <x:v>T-267</x:v>
      </x:c>
      <x:c r="F101" s="245" t="str">
        <x:v>T-189; T-141</x:v>
      </x:c>
      <x:c r="G101" s="245" t="str">
        <x:v>PPIQ_Chapter3_General_Technical_Function_Description_v4.10.3.md §D9</x:v>
      </x:c>
      <x:c r="H101" s="245" t="str">
        <x:v>DLG-D9-remediation--default; DLG-D9-remediation--invalid</x:v>
      </x:c>
      <x:c r="I101" s="245" t="str">
        <x:v>DESIGN DEPTH PENDING</x:v>
      </x:c>
      <x:c r="J101" s="245" t="str">
        <x:v>Prediction; Deadline; Candidate; Nine check results; Expected effect; Evidence | No accept action after deadline or any failed mandatory gate. | Use meaningful controls, filled/invalid/pending/refused/recovery states only where applicable; prototype focus-return.</x:v>
      </x:c>
      <x:c r="K101" s="245" t="str">
        <x:v>CHECK DATA / WORD CAPTION / IMAGE AGAINST PARENT CLAUSE</x:v>
      </x:c>
    </x:row>
    <x:row r="102" ht="60" customHeight="1">
      <x:c r="A102" s="245" t="str">
        <x:v>DLG-D10-practice</x:v>
      </x:c>
      <x:c r="B102" s="245" t="str">
        <x:v>Dialog</x:v>
      </x:c>
      <x:c r="C102" s="245" t="str">
        <x:v>Practice evidence</x:v>
      </x:c>
      <x:c r="D102" s="245" t="str">
        <x:v>M3</x:v>
      </x:c>
      <x:c r="E102" s="245" t="str">
        <x:v>T-267</x:v>
      </x:c>
      <x:c r="F102" s="245" t="str">
        <x:v>T-136; T-240</x:v>
      </x:c>
      <x:c r="G102" s="245" t="str">
        <x:v>PPIQ_Chapter3_General_Technical_Function_Description_v4.10.3.md §D10</x:v>
      </x:c>
      <x:c r="H102" s="245" t="str">
        <x:v>DLG-D10-practice--default; DLG-D10-practice--invalid</x:v>
      </x:c>
      <x:c r="I102" s="245" t="str">
        <x:v>DESIGN DEPTH PENDING</x:v>
      </x:c>
      <x:c r="J102" s="245" t="str">
        <x:v>Comparable context; Support; Outcome; Confidence; Sensitivity; Benchmark status | Observed practice is not automatically a proven benchmark. | Use meaningful controls, filled/invalid/pending/refused/recovery states only where applicable; prototype focus-return.</x:v>
      </x:c>
      <x:c r="K102" s="245" t="str">
        <x:v>CHECK DATA / WORD CAPTION / IMAGE AGAINST PARENT CLAUSE</x:v>
      </x:c>
    </x:row>
    <x:row r="103" ht="60" customHeight="1">
      <x:c r="A103" s="245" t="str">
        <x:v>DLG-D11-save</x:v>
      </x:c>
      <x:c r="B103" s="245" t="str">
        <x:v>Dialog</x:v>
      </x:c>
      <x:c r="C103" s="245" t="str">
        <x:v>Save scenario</x:v>
      </x:c>
      <x:c r="D103" s="245" t="str">
        <x:v>M3</x:v>
      </x:c>
      <x:c r="E103" s="245" t="str">
        <x:v>T-267</x:v>
      </x:c>
      <x:c r="F103" s="245" t="str">
        <x:v>T-191</x:v>
      </x:c>
      <x:c r="G103" s="245" t="str">
        <x:v>PPIQ_Chapter3_General_Technical_Function_Description_v4.10.3.md §D11</x:v>
      </x:c>
      <x:c r="H103" s="245" t="str">
        <x:v>DLG-D11-save--default; DLG-D11-save--invalid</x:v>
      </x:c>
      <x:c r="I103" s="245" t="str">
        <x:v>DESIGN DEPTH PENDING</x:v>
      </x:c>
      <x:c r="J103" s="245" t="str">
        <x:v>Name; Baseline; Variable changes; Fixed assumptions; Model version; Uncertainty | Simulation label permanent; no plant write path. | Use meaningful controls, filled/invalid/pending/refused/recovery states only where applicable; prototype focus-return.</x:v>
      </x:c>
      <x:c r="K103" s="245" t="str">
        <x:v>CHECK DATA / WORD CAPTION / IMAGE AGAINST PARENT CLAUSE</x:v>
      </x:c>
    </x:row>
    <x:row r="104" ht="60" customHeight="1">
      <x:c r="A104" s="245" t="str">
        <x:v>DLG-D11-compare</x:v>
      </x:c>
      <x:c r="B104" s="245" t="str">
        <x:v>Dialog</x:v>
      </x:c>
      <x:c r="C104" s="245" t="str">
        <x:v>Compare scenarios</x:v>
      </x:c>
      <x:c r="D104" s="245" t="str">
        <x:v>M3</x:v>
      </x:c>
      <x:c r="E104" s="245" t="str">
        <x:v>T-267</x:v>
      </x:c>
      <x:c r="F104" s="245" t="str">
        <x:v>T-191</x:v>
      </x:c>
      <x:c r="G104" s="245" t="str">
        <x:v>PPIQ_Chapter3_General_Technical_Function_Description_v4.10.3.md §D11</x:v>
      </x:c>
      <x:c r="H104" s="245" t="str">
        <x:v>DLG-D11-compare--default; DLG-D11-compare--invalid</x:v>
      </x:c>
      <x:c r="I104" s="245" t="str">
        <x:v>DESIGN DEPTH PENDING</x:v>
      </x:c>
      <x:c r="J104" s="245" t="str">
        <x:v>Saved versions; Common baseline; Variables; Result intervals | All models/bases/assumptions explicit; incomparable cases refuse. | Use meaningful controls, filled/invalid/pending/refused/recovery states only where applicable; prototype focus-return.</x:v>
      </x:c>
      <x:c r="K104" s="245" t="str">
        <x:v>CHECK DATA / WORD CAPTION / IMAGE AGAINST PARENT CLAUSE</x:v>
      </x:c>
    </x:row>
    <x:row r="105" ht="60" customHeight="1">
      <x:c r="A105" s="245" t="str">
        <x:v>DLG-D12-comparison</x:v>
      </x:c>
      <x:c r="B105" s="245" t="str">
        <x:v>Dialog</x:v>
      </x:c>
      <x:c r="C105" s="245" t="str">
        <x:v>Benchmark population evidence</x:v>
      </x:c>
      <x:c r="D105" s="245" t="str">
        <x:v>M3</x:v>
      </x:c>
      <x:c r="E105" s="245" t="str">
        <x:v>T-267</x:v>
      </x:c>
      <x:c r="F105" s="245" t="str">
        <x:v>T-264</x:v>
      </x:c>
      <x:c r="G105" s="245" t="str">
        <x:v>PPIQ_Chapter3_General_Technical_Function_Description_v4.10.3.md §D12</x:v>
      </x:c>
      <x:c r="H105" s="245" t="str">
        <x:v>DLG-D12-comparison--default; DLG-D12-comparison--invalid</x:v>
      </x:c>
      <x:c r="I105" s="245" t="str">
        <x:v>DESIGN DEPTH PENDING</x:v>
      </x:c>
      <x:c r="J105" s="245" t="str">
        <x:v>Both populations; Measure direction; Normalization; Support; Reference | BM01 support and BM02 direction-of-goodness guards are visible. | Use meaningful controls, filled/invalid/pending/refused/recovery states only where applicable; prototype focus-return.</x:v>
      </x:c>
      <x:c r="K105" s="245" t="str">
        <x:v>CHECK DATA / WORD CAPTION / IMAGE AGAINST PARENT CLAUSE</x:v>
      </x:c>
    </x:row>
    <x:row r="106" ht="60" customHeight="1">
      <x:c r="A106" s="245" t="str">
        <x:v>DLG-E2-reset</x:v>
      </x:c>
      <x:c r="B106" s="245" t="str">
        <x:v>Dialog</x:v>
      </x:c>
      <x:c r="C106" s="245" t="str">
        <x:v>Reset Assistant configuration</x:v>
      </x:c>
      <x:c r="D106" s="245" t="str">
        <x:v>M2 + M3</x:v>
      </x:c>
      <x:c r="E106" s="245" t="str">
        <x:v>T-265; T-267</x:v>
      </x:c>
      <x:c r="F106" s="245" t="str">
        <x:v>T-113; T-247; T-138</x:v>
      </x:c>
      <x:c r="G106" s="245" t="str">
        <x:v>PPIQ_Chapter3_General_Technical_Function_Description_v4.10.3.md §E2</x:v>
      </x:c>
      <x:c r="H106" s="245" t="str">
        <x:v>DLG-E2-reset--default; DLG-E2-reset--invalid</x:v>
      </x:c>
      <x:c r="I106" s="245" t="str">
        <x:v>DESIGN DEPTH PENDING</x:v>
      </x:c>
      <x:c r="J106" s="245" t="str">
        <x:v>Current policies; Default policies; Impact; Reason | Cannot weaken grounding or evidence rules. | Use meaningful controls, filled/invalid/pending/refused/recovery states only where applicable; prototype focus-return.</x:v>
      </x:c>
      <x:c r="K106" s="245" t="str">
        <x:v>CHECK DATA / WORD CAPTION / IMAGE AGAINST PARENT CLAUSE</x:v>
      </x:c>
    </x:row>
    <x:row r="107" ht="60" customHeight="1">
      <x:c r="A107" s="245" t="str">
        <x:v>DLG-E2-reindex</x:v>
      </x:c>
      <x:c r="B107" s="245" t="str">
        <x:v>Dialog</x:v>
      </x:c>
      <x:c r="C107" s="245" t="str">
        <x:v>Reindex knowledge</x:v>
      </x:c>
      <x:c r="D107" s="245" t="str">
        <x:v>M2 + M3</x:v>
      </x:c>
      <x:c r="E107" s="245" t="str">
        <x:v>T-265; T-267</x:v>
      </x:c>
      <x:c r="F107" s="245" t="str">
        <x:v>T-113; T-247; T-138</x:v>
      </x:c>
      <x:c r="G107" s="245" t="str">
        <x:v>PPIQ_Chapter3_General_Technical_Function_Description_v4.10.3.md §E2</x:v>
      </x:c>
      <x:c r="H107" s="245" t="str">
        <x:v>DLG-E2-reindex--default; DLG-E2-reindex--invalid</x:v>
      </x:c>
      <x:c r="I107" s="245" t="str">
        <x:v>DESIGN DEPTH PENDING</x:v>
      </x:c>
      <x:c r="J107" s="245" t="str">
        <x:v>Allowed source families; Current index; Expected bounded work | Tenant and permission scope preserved. | Use meaningful controls, filled/invalid/pending/refused/recovery states only where applicable; prototype focus-return.</x:v>
      </x:c>
      <x:c r="K107" s="245" t="str">
        <x:v>CHECK DATA / WORD CAPTION / IMAGE AGAINST PARENT CLAUSE</x:v>
      </x:c>
    </x:row>
    <x:row r="108" ht="60" customHeight="1">
      <x:c r="A108" s="245" t="str">
        <x:v>DLG-E3-rule</x:v>
      </x:c>
      <x:c r="B108" s="245" t="str">
        <x:v>Dialog</x:v>
      </x:c>
      <x:c r="C108" s="245" t="str">
        <x:v>Plant data log rule</x:v>
      </x:c>
      <x:c r="D108" s="245" t="str">
        <x:v>M2 + M3</x:v>
      </x:c>
      <x:c r="E108" s="245" t="str">
        <x:v>T-265; T-267</x:v>
      </x:c>
      <x:c r="F108" s="245" t="str">
        <x:v>T-125; T-198</x:v>
      </x:c>
      <x:c r="G108" s="245" t="str">
        <x:v>PPIQ_Chapter3_General_Technical_Function_Description_v4.10.3.md §E3</x:v>
      </x:c>
      <x:c r="H108" s="245" t="str">
        <x:v>DLG-E3-rule--default; DLG-E3-rule--invalid</x:v>
      </x:c>
      <x:c r="I108" s="245" t="str">
        <x:v>DESIGN DEPTH PENDING</x:v>
      </x:c>
      <x:c r="J108" s="245" t="str">
        <x:v>Rule name; Parameter; Comparator; Limit; Severity | Comparator whitelist enforced both server and persistence. | Use meaningful controls, filled/invalid/pending/refused/recovery states only where applicable; prototype focus-return.</x:v>
      </x:c>
      <x:c r="K108" s="245" t="str">
        <x:v>CHECK DATA / WORD CAPTION / IMAGE AGAINST PARENT CLAUSE</x:v>
      </x:c>
    </x:row>
    <x:row r="109" ht="60" customHeight="1">
      <x:c r="A109" s="245" t="str">
        <x:v>DLG-E3-ack</x:v>
      </x:c>
      <x:c r="B109" s="245" t="str">
        <x:v>Dialog</x:v>
      </x:c>
      <x:c r="C109" s="245" t="str">
        <x:v>Acknowledge log entry</x:v>
      </x:c>
      <x:c r="D109" s="245" t="str">
        <x:v>M2 + M3</x:v>
      </x:c>
      <x:c r="E109" s="245" t="str">
        <x:v>T-265; T-267</x:v>
      </x:c>
      <x:c r="F109" s="245" t="str">
        <x:v>T-125; T-198</x:v>
      </x:c>
      <x:c r="G109" s="245" t="str">
        <x:v>PPIQ_Chapter3_General_Technical_Function_Description_v4.10.3.md §E3</x:v>
      </x:c>
      <x:c r="H109" s="245" t="str">
        <x:v>DLG-E3-ack--default; DLG-E3-ack--invalid</x:v>
      </x:c>
      <x:c r="I109" s="245" t="str">
        <x:v>DESIGN DEPTH PENDING</x:v>
      </x:c>
      <x:c r="J109" s="245" t="str">
        <x:v>Entry; Rule; Source subject; Actor; Note | No acknowledgment rewrites the observed measurement. | Use meaningful controls, filled/invalid/pending/refused/recovery states only where applicable; prototype focus-return.</x:v>
      </x:c>
      <x:c r="K109" s="245" t="str">
        <x:v>CHECK DATA / WORD CAPTION / IMAGE AGAINST PARENT CLAUSE</x:v>
      </x:c>
    </x:row>
    <x:row r="110" ht="60" customHeight="1">
      <x:c r="A110" s="245" t="str">
        <x:v>DLG-E4-proposal</x:v>
      </x:c>
      <x:c r="B110" s="245" t="str">
        <x:v>Dialog</x:v>
      </x:c>
      <x:c r="C110" s="245" t="str">
        <x:v>Review Supervisor proposal</x:v>
      </x:c>
      <x:c r="D110" s="245" t="str">
        <x:v>M3</x:v>
      </x:c>
      <x:c r="E110" s="245" t="str">
        <x:v>T-267</x:v>
      </x:c>
      <x:c r="F110" s="245" t="str">
        <x:v>T-193</x:v>
      </x:c>
      <x:c r="G110" s="245" t="str">
        <x:v>PPIQ_Chapter3_General_Technical_Function_Description_v4.10.3.md §E4</x:v>
      </x:c>
      <x:c r="H110" s="245" t="str">
        <x:v>DLG-E4-proposal--default; DLG-E4-proposal--invalid</x:v>
      </x:c>
      <x:c r="I110" s="245" t="str">
        <x:v>DESIGN DEPTH PENDING</x:v>
      </x:c>
      <x:c r="J110" s="245" t="str">
        <x:v>Target; Before / after; Reason; Evidence; Shadow comparison | Forbidden authority targets remain unwriteable by construction. | Use meaningful controls, filled/invalid/pending/refused/recovery states only where applicable; prototype focus-return.</x:v>
      </x:c>
      <x:c r="K110" s="245" t="str">
        <x:v>CHECK DATA / WORD CAPTION / IMAGE AGAINST PARENT CLAUSE</x:v>
      </x:c>
    </x:row>
    <x:row r="111" ht="60" customHeight="1">
      <x:c r="A111" s="245" t="str">
        <x:v>DLG-E4-reject</x:v>
      </x:c>
      <x:c r="B111" s="245" t="str">
        <x:v>Dialog</x:v>
      </x:c>
      <x:c r="C111" s="245" t="str">
        <x:v>Reject Supervisor proposal</x:v>
      </x:c>
      <x:c r="D111" s="245" t="str">
        <x:v>M3</x:v>
      </x:c>
      <x:c r="E111" s="245" t="str">
        <x:v>T-267</x:v>
      </x:c>
      <x:c r="F111" s="245" t="str">
        <x:v>T-193</x:v>
      </x:c>
      <x:c r="G111" s="245" t="str">
        <x:v>PPIQ_Chapter3_General_Technical_Function_Description_v4.10.3.md §E4</x:v>
      </x:c>
      <x:c r="H111" s="245" t="str">
        <x:v>DLG-E4-reject--default; DLG-E4-reject--invalid</x:v>
      </x:c>
      <x:c r="I111" s="245" t="str">
        <x:v>DESIGN DEPTH PENDING</x:v>
      </x:c>
      <x:c r="J111" s="245" t="str">
        <x:v>Proposal; Reason | Preserve proposal and evidence history. | Use meaningful controls, filled/invalid/pending/refused/recovery states only where applicable; prototype focus-return.</x:v>
      </x:c>
      <x:c r="K111" s="245" t="str">
        <x:v>CHECK DATA / WORD CAPTION / IMAGE AGAINST PARENT CLAUSE</x:v>
      </x:c>
    </x:row>
    <x:row r="112" ht="60" customHeight="1">
      <x:c r="A112" s="245" t="str">
        <x:v>DLG-E5-definition</x:v>
      </x:c>
      <x:c r="B112" s="245" t="str">
        <x:v>Dialog</x:v>
      </x:c>
      <x:c r="C112" s="245" t="str">
        <x:v>Report definition</x:v>
      </x:c>
      <x:c r="D112" s="245" t="str">
        <x:v>M3</x:v>
      </x:c>
      <x:c r="E112" s="245" t="str">
        <x:v>T-267</x:v>
      </x:c>
      <x:c r="F112" s="245" t="str">
        <x:v>T-263</x:v>
      </x:c>
      <x:c r="G112" s="245" t="str">
        <x:v>PPIQ_Chapter3_General_Technical_Function_Description_v4.10.3.md §E5</x:v>
      </x:c>
      <x:c r="H112" s="245" t="str">
        <x:v>DLG-E5-definition--default; DLG-E5-definition--invalid</x:v>
      </x:c>
      <x:c r="I112" s="245" t="str">
        <x:v>DESIGN DEPTH PENDING</x:v>
      </x:c>
      <x:c r="J112" s="245" t="str">
        <x:v>Title; Sections; Period; Recipients; Schedule; Delivery target | One report definition and platform Job scheduler. | Use meaningful controls, filled/invalid/pending/refused/recovery states only where applicable; prototype focus-return.</x:v>
      </x:c>
      <x:c r="K112" s="245" t="str">
        <x:v>CHECK DATA / WORD CAPTION / IMAGE AGAINST PARENT CLAUSE</x:v>
      </x:c>
    </x:row>
    <x:row r="113" ht="60" customHeight="1">
      <x:c r="A113" s="245" t="str">
        <x:v>DLG-E5-output</x:v>
      </x:c>
      <x:c r="B113" s="245" t="str">
        <x:v>Drawer</x:v>
      </x:c>
      <x:c r="C113" s="245" t="str">
        <x:v>Generated report output</x:v>
      </x:c>
      <x:c r="D113" s="245" t="str">
        <x:v>M3</x:v>
      </x:c>
      <x:c r="E113" s="245" t="str">
        <x:v>T-267</x:v>
      </x:c>
      <x:c r="F113" s="245" t="str">
        <x:v>T-263</x:v>
      </x:c>
      <x:c r="G113" s="245" t="str">
        <x:v>PPIQ_Chapter3_General_Technical_Function_Description_v4.10.3.md §E5</x:v>
      </x:c>
      <x:c r="H113" s="245" t="str">
        <x:v>DLG-E5-output--default; DLG-E5-output--invalid</x:v>
      </x:c>
      <x:c r="I113" s="245" t="str">
        <x:v>DESIGN DEPTH PENDING</x:v>
      </x:c>
      <x:c r="J113" s="245" t="str">
        <x:v>Period; Filter state; Generation run; Sections; Evidence; Delivery status | All-empty sections refuse generation; report uses light surface. | Use meaningful controls, filled/invalid/pending/refused/recovery states only where applicable; prototype focus-return.</x:v>
      </x:c>
      <x:c r="K113" s="245" t="str">
        <x:v>CHECK DATA / WORD CAPTION / IMAGE AGAINST PARENT CLAUSE</x:v>
      </x:c>
    </x:row>
    <x:row r="114" ht="60" customHeight="1">
      <x:c r="A114" s="245" t="str">
        <x:v>DLG-E6-routing</x:v>
      </x:c>
      <x:c r="B114" s="245" t="str">
        <x:v>Dialog</x:v>
      </x:c>
      <x:c r="C114" s="245" t="str">
        <x:v>Alert routing rule</x:v>
      </x:c>
      <x:c r="D114" s="245" t="str">
        <x:v>M3</x:v>
      </x:c>
      <x:c r="E114" s="245" t="str">
        <x:v>T-267</x:v>
      </x:c>
      <x:c r="F114" s="245" t="str">
        <x:v>T-197</x:v>
      </x:c>
      <x:c r="G114" s="245" t="str">
        <x:v>PPIQ_Chapter3_General_Technical_Function_Description_v4.10.3.md §E6</x:v>
      </x:c>
      <x:c r="H114" s="245" t="str">
        <x:v>DLG-E6-routing--default; DLG-E6-routing--invalid</x:v>
      </x:c>
      <x:c r="I114" s="245" t="str">
        <x:v>DESIGN DEPTH PENDING</x:v>
      </x:c>
      <x:c r="J114" s="245" t="str">
        <x:v>Channel / severity; Recipients; Delivery channels; Quiet hours; Dedupe; Rate; Escalation | Recipient and escalation validity checked before save. | Use meaningful controls, filled/invalid/pending/refused/recovery states only where applicable; prototype focus-return.</x:v>
      </x:c>
      <x:c r="K114" s="245" t="str">
        <x:v>CHECK DATA / WORD CAPTION / IMAGE AGAINST PARENT CLAUSE</x:v>
      </x:c>
    </x:row>
    <x:row r="115" ht="60" customHeight="1">
      <x:c r="A115" s="245" t="str">
        <x:v>DLG-E6-delivery</x:v>
      </x:c>
      <x:c r="B115" s="245" t="str">
        <x:v>Dialog</x:v>
      </x:c>
      <x:c r="C115" s="245" t="str">
        <x:v>Delivery attempt</x:v>
      </x:c>
      <x:c r="D115" s="245" t="str">
        <x:v>M3</x:v>
      </x:c>
      <x:c r="E115" s="245" t="str">
        <x:v>T-267</x:v>
      </x:c>
      <x:c r="F115" s="245" t="str">
        <x:v>T-197</x:v>
      </x:c>
      <x:c r="G115" s="245" t="str">
        <x:v>PPIQ_Chapter3_General_Technical_Function_Description_v4.10.3.md §E6</x:v>
      </x:c>
      <x:c r="H115" s="245" t="str">
        <x:v>DLG-E6-delivery--default; DLG-E6-delivery--invalid</x:v>
      </x:c>
      <x:c r="I115" s="245" t="str">
        <x:v>DESIGN DEPTH PENDING</x:v>
      </x:c>
      <x:c r="J115" s="245" t="str">
        <x:v>Recipient; Channel; Attempts; Reason; Next retry | Retry without duplicate external delivery where receipt exists. | Use meaningful controls, filled/invalid/pending/refused/recovery states only where applicable; prototype focus-return.</x:v>
      </x:c>
      <x:c r="K115" s="245" t="str">
        <x:v>CHECK DATA / WORD CAPTION / IMAGE AGAINST PARENT CLAUSE</x:v>
      </x:c>
    </x:row>
    <x:row r="116" ht="60" customHeight="1">
      <x:c r="A116" s="245" t="str">
        <x:v>DLG-F1-user</x:v>
      </x:c>
      <x:c r="B116" s="245" t="str">
        <x:v>Dialog</x:v>
      </x:c>
      <x:c r="C116" s="245" t="str">
        <x:v>Create user</x:v>
      </x:c>
      <x:c r="D116" s="245" t="str">
        <x:v>M2 + M3</x:v>
      </x:c>
      <x:c r="E116" s="245" t="str">
        <x:v>T-265; T-267</x:v>
      </x:c>
      <x:c r="F116" s="245" t="str">
        <x:v>T-119; T-120; T-161</x:v>
      </x:c>
      <x:c r="G116" s="245" t="str">
        <x:v>PPIQ_Chapter3_General_Technical_Function_Description_v4.10.3.md §F1</x:v>
      </x:c>
      <x:c r="H116" s="245" t="str">
        <x:v>DLG-F1-user--default; DLG-F1-user--invalid</x:v>
      </x:c>
      <x:c r="I116" s="245" t="str">
        <x:v>DESIGN DEPTH PENDING</x:v>
      </x:c>
      <x:c r="J116" s="245" t="str">
        <x:v>Name; Email; Role | Authorised admin; permission matrix derives from approved role contract. | Use meaningful controls, filled/invalid/pending/refused/recovery states only where applicable; prototype focus-return.</x:v>
      </x:c>
      <x:c r="K116" s="245" t="str">
        <x:v>CHECK DATA / WORD CAPTION / IMAGE AGAINST PARENT CLAUSE</x:v>
      </x:c>
    </x:row>
    <x:row r="117" ht="60" customHeight="1">
      <x:c r="A117" s="245" t="str">
        <x:v>DLG-F1-role</x:v>
      </x:c>
      <x:c r="B117" s="245" t="str">
        <x:v>Dialog</x:v>
      </x:c>
      <x:c r="C117" s="245" t="str">
        <x:v>Role / user permission override</x:v>
      </x:c>
      <x:c r="D117" s="245" t="str">
        <x:v>M2 + M3</x:v>
      </x:c>
      <x:c r="E117" s="245" t="str">
        <x:v>T-265; T-267</x:v>
      </x:c>
      <x:c r="F117" s="245" t="str">
        <x:v>T-119; T-120; T-161</x:v>
      </x:c>
      <x:c r="G117" s="245" t="str">
        <x:v>PPIQ_Chapter3_General_Technical_Function_Description_v4.10.3.md §F1</x:v>
      </x:c>
      <x:c r="H117" s="245" t="str">
        <x:v>DLG-F1-role--default; DLG-F1-role--invalid</x:v>
      </x:c>
      <x:c r="I117" s="245" t="str">
        <x:v>DESIGN DEPTH PENDING</x:v>
      </x:c>
      <x:c r="J117" s="245" t="str">
        <x:v>Principal; Role inheritance; Surface × action; Overrides; Reason | Show inherited versus overridden grants; fail-closed at API too. | Use meaningful controls, filled/invalid/pending/refused/recovery states only where applicable; prototype focus-return.</x:v>
      </x:c>
      <x:c r="K117" s="245" t="str">
        <x:v>CHECK DATA / WORD CAPTION / IMAGE AGAINST PARENT CLAUSE</x:v>
      </x:c>
    </x:row>
    <x:row r="118" ht="60" customHeight="1">
      <x:c r="A118" s="245" t="str">
        <x:v>DLG-F1-disable</x:v>
      </x:c>
      <x:c r="B118" s="245" t="str">
        <x:v>Dialog</x:v>
      </x:c>
      <x:c r="C118" s="245" t="str">
        <x:v>Disable user</x:v>
      </x:c>
      <x:c r="D118" s="245" t="str">
        <x:v>M2 + M3</x:v>
      </x:c>
      <x:c r="E118" s="245" t="str">
        <x:v>T-265; T-267</x:v>
      </x:c>
      <x:c r="F118" s="245" t="str">
        <x:v>T-119; T-120; T-161</x:v>
      </x:c>
      <x:c r="G118" s="245" t="str">
        <x:v>PPIQ_Chapter3_General_Technical_Function_Description_v4.10.3.md §F1</x:v>
      </x:c>
      <x:c r="H118" s="245" t="str">
        <x:v>DLG-F1-disable--default; DLG-F1-disable--invalid</x:v>
      </x:c>
      <x:c r="I118" s="245" t="str">
        <x:v>DESIGN DEPTH PENDING</x:v>
      </x:c>
      <x:c r="J118" s="245" t="str">
        <x:v>User; Active sessions; Reason | Audit; revoke active access according to session policy. | Use meaningful controls, filled/invalid/pending/refused/recovery states only where applicable; prototype focus-return.</x:v>
      </x:c>
      <x:c r="K118" s="245" t="str">
        <x:v>CHECK DATA / WORD CAPTION / IMAGE AGAINST PARENT CLAUSE</x:v>
      </x:c>
    </x:row>
    <x:row r="119" ht="60" customHeight="1">
      <x:c r="A119" s="245" t="str">
        <x:v>DLG-F2-license</x:v>
      </x:c>
      <x:c r="B119" s="245" t="str">
        <x:v>Dialog</x:v>
      </x:c>
      <x:c r="C119" s="245" t="str">
        <x:v>Activate signed licence</x:v>
      </x:c>
      <x:c r="D119" s="245" t="str">
        <x:v>M2 + M3</x:v>
      </x:c>
      <x:c r="E119" s="245" t="str">
        <x:v>T-265; T-267</x:v>
      </x:c>
      <x:c r="F119" s="245" t="str">
        <x:v>T-121; T-165</x:v>
      </x:c>
      <x:c r="G119" s="245" t="str">
        <x:v>PPIQ_Chapter3_General_Technical_Function_Description_v4.10.3.md §F2</x:v>
      </x:c>
      <x:c r="H119" s="245" t="str">
        <x:v>DLG-F2-license--default; DLG-F2-license--invalid</x:v>
      </x:c>
      <x:c r="I119" s="245" t="str">
        <x:v>DESIGN DEPTH PENDING</x:v>
      </x:c>
      <x:c r="J119" s="245" t="str">
        <x:v>Signed artifact; Tenant; Instance; Tier; Validity; Verification result | Customer verifies vendor-signed artifact; no production self-signing. | Use meaningful controls, filled/invalid/pending/refused/recovery states only where applicable; prototype focus-return.</x:v>
      </x:c>
      <x:c r="K119" s="245" t="str">
        <x:v>CHECK DATA / WORD CAPTION / IMAGE AGAINST PARENT CLAUSE</x:v>
      </x:c>
    </x:row>
    <x:row r="120" ht="60" customHeight="1">
      <x:c r="A120" s="245" t="str">
        <x:v>DLG-F3-quota</x:v>
      </x:c>
      <x:c r="B120" s="245" t="str">
        <x:v>Dialog</x:v>
      </x:c>
      <x:c r="C120" s="245" t="str">
        <x:v>Role or user quota</x:v>
      </x:c>
      <x:c r="D120" s="245" t="str">
        <x:v>M2 + M3</x:v>
      </x:c>
      <x:c r="E120" s="245" t="str">
        <x:v>T-265; T-267</x:v>
      </x:c>
      <x:c r="F120" s="245" t="str">
        <x:v>T-121; T-165</x:v>
      </x:c>
      <x:c r="G120" s="245" t="str">
        <x:v>PPIQ_Chapter3_General_Technical_Function_Description_v4.10.3.md §F3</x:v>
      </x:c>
      <x:c r="H120" s="245" t="str">
        <x:v>DLG-F3-quota--default; DLG-F3-quota--invalid</x:v>
      </x:c>
      <x:c r="I120" s="245" t="str">
        <x:v>DESIGN DEPTH PENDING</x:v>
      </x:c>
      <x:c r="J120" s="245" t="str">
        <x:v>Principal / role; Object type; Inherited limit; Override; Current use | 80% warning, 100% creation guard; never discard existing draft. | Use meaningful controls, filled/invalid/pending/refused/recovery states only where applicable; prototype focus-return.</x:v>
      </x:c>
      <x:c r="K120" s="245" t="str">
        <x:v>CHECK DATA / WORD CAPTION / IMAGE AGAINST PARENT CLAUSE</x:v>
      </x:c>
    </x:row>
    <x:row r="121" ht="60" customHeight="1">
      <x:c r="A121" s="245" t="str">
        <x:v>DLG-F4-job</x:v>
      </x:c>
      <x:c r="B121" s="245" t="str">
        <x:v>Dialog</x:v>
      </x:c>
      <x:c r="C121" s="245" t="str">
        <x:v>Job definition</x:v>
      </x:c>
      <x:c r="D121" s="245" t="str">
        <x:v>M2 + M3</x:v>
      </x:c>
      <x:c r="E121" s="245" t="str">
        <x:v>T-265; T-267</x:v>
      </x:c>
      <x:c r="F121" s="245" t="str">
        <x:v>T-106; T-107; T-125</x:v>
      </x:c>
      <x:c r="G121" s="245" t="str">
        <x:v>PPIQ_Chapter3_General_Technical_Function_Description_v4.10.3.md §F4</x:v>
      </x:c>
      <x:c r="H121" s="245" t="str">
        <x:v>DLG-F4-job--default; DLG-F4-job--invalid</x:v>
      </x:c>
      <x:c r="I121" s="245" t="str">
        <x:v>DESIGN DEPTH PENDING</x:v>
      </x:c>
      <x:c r="J121" s="245" t="str">
        <x:v>Name; Family; Target identity; Version policy; Parameters; Schedule; Pool / weight | One scheduler authority; unsupported family refused as unavailable. | Use meaningful controls, filled/invalid/pending/refused/recovery states only where applicable; prototype focus-return.</x:v>
      </x:c>
      <x:c r="K121" s="245" t="str">
        <x:v>CHECK DATA / WORD CAPTION / IMAGE AGAINST PARENT CLAUSE</x:v>
      </x:c>
    </x:row>
    <x:row r="122" ht="60" customHeight="1">
      <x:c r="A122" s="245" t="str">
        <x:v>DLG-F4-schedule</x:v>
      </x:c>
      <x:c r="B122" s="245" t="str">
        <x:v>Dialog</x:v>
      </x:c>
      <x:c r="C122" s="245" t="str">
        <x:v>Schedule editor</x:v>
      </x:c>
      <x:c r="D122" s="245" t="str">
        <x:v>M2 + M3</x:v>
      </x:c>
      <x:c r="E122" s="245" t="str">
        <x:v>T-265; T-267</x:v>
      </x:c>
      <x:c r="F122" s="245" t="str">
        <x:v>T-106; T-107; T-125</x:v>
      </x:c>
      <x:c r="G122" s="245" t="str">
        <x:v>PPIQ_Chapter3_General_Technical_Function_Description_v4.10.3.md §F4</x:v>
      </x:c>
      <x:c r="H122" s="245" t="str">
        <x:v>DLG-F4-schedule--default; DLG-F4-schedule--invalid</x:v>
      </x:c>
      <x:c r="I122" s="245" t="str">
        <x:v>DESIGN DEPTH PENDING</x:v>
      </x:c>
      <x:c r="J122" s="245" t="str">
        <x:v>Kind; Canonical expression; Time zone; Next occurrences; Jitter; Missed-tick policy | v4.10.3 machine grammar; UI words never executable source text. | Use meaningful controls, filled/invalid/pending/refused/recovery states only where applicable; prototype focus-return.</x:v>
      </x:c>
      <x:c r="K122" s="245" t="str">
        <x:v>CHECK DATA / WORD CAPTION / IMAGE AGAINST PARENT CLAUSE</x:v>
      </x:c>
    </x:row>
    <x:row r="123" ht="60" customHeight="1">
      <x:c r="A123" s="245" t="str">
        <x:v>DLG-F4-dependency</x:v>
      </x:c>
      <x:c r="B123" s="245" t="str">
        <x:v>Dialog</x:v>
      </x:c>
      <x:c r="C123" s="245" t="str">
        <x:v>Dependency policy</x:v>
      </x:c>
      <x:c r="D123" s="245" t="str">
        <x:v>M2 + M3</x:v>
      </x:c>
      <x:c r="E123" s="245" t="str">
        <x:v>T-265; T-267</x:v>
      </x:c>
      <x:c r="F123" s="245" t="str">
        <x:v>T-106; T-107; T-125</x:v>
      </x:c>
      <x:c r="G123" s="245" t="str">
        <x:v>PPIQ_Chapter3_General_Technical_Function_Description_v4.10.3.md §F4</x:v>
      </x:c>
      <x:c r="H123" s="245" t="str">
        <x:v>DLG-F4-dependency--default; DLG-F4-dependency--invalid</x:v>
      </x:c>
      <x:c r="I123" s="245" t="str">
        <x:v>DESIGN DEPTH PENDING</x:v>
      </x:c>
      <x:c r="J123" s="245" t="str">
        <x:v>Upstream job; Required / optional; Pinned version; Allow prior-success reuse; Age ceiling; Cycle impact | Default reuse=false; no beyond-limit acceptance; negative cases named. | Use meaningful controls, filled/invalid/pending/refused/recovery states only where applicable; prototype focus-return.</x:v>
      </x:c>
      <x:c r="K123" s="245" t="str">
        <x:v>CHECK DATA / WORD CAPTION / IMAGE AGAINST PARENT CLAUSE</x:v>
      </x:c>
    </x:row>
    <x:row r="124" ht="60" customHeight="1">
      <x:c r="A124" s="245" t="str">
        <x:v>DLG-F5-filter</x:v>
      </x:c>
      <x:c r="B124" s="245" t="str">
        <x:v>Dialog</x:v>
      </x:c>
      <x:c r="C124" s="245" t="str">
        <x:v>Log search / export</x:v>
      </x:c>
      <x:c r="D124" s="245" t="str">
        <x:v>M3</x:v>
      </x:c>
      <x:c r="E124" s="245" t="str">
        <x:v>T-267</x:v>
      </x:c>
      <x:c r="F124" s="245" t="str">
        <x:v>T-198</x:v>
      </x:c>
      <x:c r="G124" s="245" t="str">
        <x:v>PPIQ_Chapter3_General_Technical_Function_Description_v4.10.3.md §F5</x:v>
      </x:c>
      <x:c r="H124" s="245" t="str">
        <x:v>DLG-F5-filter--default; DLG-F5-filter--invalid</x:v>
      </x:c>
      <x:c r="I124" s="245" t="str">
        <x:v>DESIGN DEPTH PENDING</x:v>
      </x:c>
      <x:c r="J124" s="245" t="str">
        <x:v>Family; Severity; Actor; Run id; From / to; Export format | Permission and tenant scope retained in export. | Use meaningful controls, filled/invalid/pending/refused/recovery states only where applicable; prototype focus-return.</x:v>
      </x:c>
      <x:c r="K124" s="245" t="str">
        <x:v>CHECK DATA / WORD CAPTION / IMAGE AGAINST PARENT CLAUSE</x:v>
      </x:c>
    </x:row>
    <x:row r="125" ht="60" customHeight="1">
      <x:c r="A125" s="245" t="str">
        <x:v>DLG-F6-channel</x:v>
      </x:c>
      <x:c r="B125" s="245" t="str">
        <x:v>Dialog</x:v>
      </x:c>
      <x:c r="C125" s="245" t="str">
        <x:v>Log channel</x:v>
      </x:c>
      <x:c r="D125" s="245" t="str">
        <x:v>M3</x:v>
      </x:c>
      <x:c r="E125" s="245" t="str">
        <x:v>T-267</x:v>
      </x:c>
      <x:c r="F125" s="245" t="str">
        <x:v>T-198</x:v>
      </x:c>
      <x:c r="G125" s="245" t="str">
        <x:v>PPIQ_Chapter3_General_Technical_Function_Description_v4.10.3.md §F6</x:v>
      </x:c>
      <x:c r="H125" s="245" t="str">
        <x:v>DLG-F6-channel--default; DLG-F6-channel--invalid</x:v>
      </x:c>
      <x:c r="I125" s="245" t="str">
        <x:v>DESIGN DEPTH PENDING</x:v>
      </x:c>
      <x:c r="J125" s="245" t="str">
        <x:v>Name; Family; Severity policy; Retention policy; Enabled | Cannot redirect customer entries into protected audit authority. | Use meaningful controls, filled/invalid/pending/refused/recovery states only where applicable; prototype focus-return.</x:v>
      </x:c>
      <x:c r="K125" s="245" t="str">
        <x:v>CHECK DATA / WORD CAPTION / IMAGE AGAINST PARENT CLAUSE</x:v>
      </x:c>
    </x:row>
    <x:row r="126" ht="60" customHeight="1">
      <x:c r="A126" s="245" t="str">
        <x:v>DLG-F7-timezone</x:v>
      </x:c>
      <x:c r="B126" s="245" t="str">
        <x:v>Dialog</x:v>
      </x:c>
      <x:c r="C126" s="245" t="str">
        <x:v>Change plant time zone</x:v>
      </x:c>
      <x:c r="D126" s="245" t="str">
        <x:v>M2 + M3</x:v>
      </x:c>
      <x:c r="E126" s="245" t="str">
        <x:v>T-265; T-267</x:v>
      </x:c>
      <x:c r="F126" s="245" t="str">
        <x:v>T-233; T-200</x:v>
      </x:c>
      <x:c r="G126" s="245" t="str">
        <x:v>PPIQ_Chapter3_General_Technical_Function_Description_v4.10.3.md §F7</x:v>
      </x:c>
      <x:c r="H126" s="245" t="str">
        <x:v>DLG-F7-timezone--default; DLG-F7-timezone--invalid</x:v>
      </x:c>
      <x:c r="I126" s="245" t="str">
        <x:v>DESIGN DEPTH PENDING</x:v>
      </x:c>
      <x:c r="J126" s="245" t="str">
        <x:v>Current zone; New zone; Shift-analysis impact; Next schedule previews | Does not rewrite historical source timestamps; audit setting revision. | Use meaningful controls, filled/invalid/pending/refused/recovery states only where applicable; prototype focus-return.</x:v>
      </x:c>
      <x:c r="K126" s="245" t="str">
        <x:v>CHECK DATA / WORD CAPTION / IMAGE AGAINST PARENT CLAUSE</x:v>
      </x:c>
    </x:row>
    <x:row r="127" ht="60" customHeight="1">
      <x:c r="A127" s="245" t="str">
        <x:v>DLG-F7-egress</x:v>
      </x:c>
      <x:c r="B127" s="245" t="str">
        <x:v>Dialog</x:v>
      </x:c>
      <x:c r="C127" s="245" t="str">
        <x:v>Change data egress policy</x:v>
      </x:c>
      <x:c r="D127" s="245" t="str">
        <x:v>M2 + M3</x:v>
      </x:c>
      <x:c r="E127" s="245" t="str">
        <x:v>T-265; T-267</x:v>
      </x:c>
      <x:c r="F127" s="245" t="str">
        <x:v>T-233; T-200</x:v>
      </x:c>
      <x:c r="G127" s="245" t="str">
        <x:v>PPIQ_Chapter3_General_Technical_Function_Description_v4.10.3.md §F7</x:v>
      </x:c>
      <x:c r="H127" s="245" t="str">
        <x:v>DLG-F7-egress--default; DLG-F7-egress--invalid</x:v>
      </x:c>
      <x:c r="I127" s="245" t="str">
        <x:v>DESIGN DEPTH PENDING</x:v>
      </x:c>
      <x:c r="J127" s="245" t="str">
        <x:v>Current policy; New policy; Affected tools; Reason | No-egress state reaches every external model/tool boundary. | Use meaningful controls, filled/invalid/pending/refused/recovery states only where applicable; prototype focus-return.</x:v>
      </x:c>
      <x:c r="K127" s="245" t="str">
        <x:v>CHECK DATA / WORD CAPTION / IMAGE AGAINST PARENT CLAUSE</x:v>
      </x:c>
    </x:row>
    <x:row r="128" ht="60" customHeight="1">
      <x:c r="A128" s="245" t="str">
        <x:v>DLG-F8-language</x:v>
      </x:c>
      <x:c r="B128" s="245" t="str">
        <x:v>Dialog</x:v>
      </x:c>
      <x:c r="C128" s="245" t="str">
        <x:v>Import language pack</x:v>
      </x:c>
      <x:c r="D128" s="245" t="str">
        <x:v>M3</x:v>
      </x:c>
      <x:c r="E128" s="245" t="str">
        <x:v>T-267</x:v>
      </x:c>
      <x:c r="F128" s="245" t="str">
        <x:v>T-200</x:v>
      </x:c>
      <x:c r="G128" s="245" t="str">
        <x:v>PPIQ_Chapter3_General_Technical_Function_Description_v4.10.3.md §F8</x:v>
      </x:c>
      <x:c r="H128" s="245" t="str">
        <x:v>DLG-F8-language--default; DLG-F8-language--invalid</x:v>
      </x:c>
      <x:c r="I128" s="245" t="str">
        <x:v>DESIGN DEPTH PENDING</x:v>
      </x:c>
      <x:c r="J128" s="245" t="str">
        <x:v>Language; Pack version; Changed labels; Fallback; Review state | Keep technical identifiers unchanged; translation does not redefine semantics. | Use meaningful controls, filled/invalid/pending/refused/recovery states only where applicable; prototype focus-return.</x:v>
      </x:c>
      <x:c r="K128" s="245" t="str">
        <x:v>CHECK DATA / WORD CAPTION / IMAGE AGAINST PARENT CLAUSE</x:v>
      </x:c>
    </x:row>
    <x:row r="129" ht="60" customHeight="1">
      <x:c r="A129" s="245" t="str">
        <x:v>DLG-F9-retention</x:v>
      </x:c>
      <x:c r="B129" s="245" t="str">
        <x:v>Dialog</x:v>
      </x:c>
      <x:c r="C129" s="245" t="str">
        <x:v>Retention impact preview</x:v>
      </x:c>
      <x:c r="D129" s="245" t="str">
        <x:v>M3</x:v>
      </x:c>
      <x:c r="E129" s="245" t="str">
        <x:v>T-267</x:v>
      </x:c>
      <x:c r="F129" s="245" t="str">
        <x:v>T-199</x:v>
      </x:c>
      <x:c r="G129" s="245" t="str">
        <x:v>PPIQ_Chapter3_General_Technical_Function_Description_v4.10.3.md §F9</x:v>
      </x:c>
      <x:c r="H129" s="245" t="str">
        <x:v>DLG-F9-retention--default; DLG-F9-retention--invalid</x:v>
      </x:c>
      <x:c r="I129" s="245" t="str">
        <x:v>DESIGN DEPTH PENDING</x:v>
      </x:c>
      <x:c r="J129" s="245" t="str">
        <x:v>Channel; Cutoff; Rows / storage; Archive destination; Legal hold; Preview receipt | No destructive save without preview; failed archive -&gt; zero deletions. | Use meaningful controls, filled/invalid/pending/refused/recovery states only where applicable; prototype focus-return.</x:v>
      </x:c>
      <x:c r="K129" s="245" t="str">
        <x:v>CHECK DATA / WORD CAPTION / IMAGE AGAINST PARENT CLAUSE</x:v>
      </x:c>
    </x:row>
    <x:row r="130" ht="60" customHeight="1">
      <x:c r="A130" s="245" t="str">
        <x:v>DLG-F9-hold</x:v>
      </x:c>
      <x:c r="B130" s="245" t="str">
        <x:v>Dialog</x:v>
      </x:c>
      <x:c r="C130" s="245" t="str">
        <x:v>Place or remove legal hold</x:v>
      </x:c>
      <x:c r="D130" s="245" t="str">
        <x:v>M3</x:v>
      </x:c>
      <x:c r="E130" s="245" t="str">
        <x:v>T-267</x:v>
      </x:c>
      <x:c r="F130" s="245" t="str">
        <x:v>T-199</x:v>
      </x:c>
      <x:c r="G130" s="245" t="str">
        <x:v>PPIQ_Chapter3_General_Technical_Function_Description_v4.10.3.md §F9</x:v>
      </x:c>
      <x:c r="H130" s="245" t="str">
        <x:v>DLG-F9-hold--default; DLG-F9-hold--invalid</x:v>
      </x:c>
      <x:c r="I130" s="245" t="str">
        <x:v>DESIGN DEPTH PENDING</x:v>
      </x:c>
      <x:c r="J130" s="245" t="str">
        <x:v>Channel; Current hold; Actor; Reason | Authorised audited action; held data cannot be purged. | Use meaningful controls, filled/invalid/pending/refused/recovery states only where applicable; prototype focus-return.</x:v>
      </x:c>
      <x:c r="K130" s="245" t="str">
        <x:v>CHECK DATA / WORD CAPTION / IMAGE AGAINST PARENT CLAUSE</x:v>
      </x:c>
    </x:row>
    <x:row r="131" ht="60" customHeight="1">
      <x:c r="A131" s="245" t="str">
        <x:v>DLG-F9-cleanup</x:v>
      </x:c>
      <x:c r="B131" s="245" t="str">
        <x:v>Dialog</x:v>
      </x:c>
      <x:c r="C131" s="245" t="str">
        <x:v>Run retention cleanup</x:v>
      </x:c>
      <x:c r="D131" s="245" t="str">
        <x:v>M3</x:v>
      </x:c>
      <x:c r="E131" s="245" t="str">
        <x:v>T-267</x:v>
      </x:c>
      <x:c r="F131" s="245" t="str">
        <x:v>T-199</x:v>
      </x:c>
      <x:c r="G131" s="245" t="str">
        <x:v>PPIQ_Chapter3_General_Technical_Function_Description_v4.10.3.md §F9</x:v>
      </x:c>
      <x:c r="H131" s="245" t="str">
        <x:v>DLG-F9-cleanup--default; DLG-F9-cleanup--invalid</x:v>
      </x:c>
      <x:c r="I131" s="245" t="str">
        <x:v>DESIGN DEPTH PENDING</x:v>
      </x:c>
      <x:c r="J131" s="245" t="str">
        <x:v>Channels; Exact cutoff; Archive status; Expected count; Preview identity | Abort deletion on archive failure; persist actual terminal summary. | Use meaningful controls, filled/invalid/pending/refused/recovery states only where applicable; prototype focus-return.</x:v>
      </x:c>
      <x:c r="K131" s="245" t="str">
        <x:v>CHECK DATA / WORD CAPTION / IMAGE AGAINST PARENT CLAUSE</x:v>
      </x:c>
    </x:row>
    <x:row r="132" ht="60" customHeight="1">
      <x:c r="A132" s="245" t="str">
        <x:v>DLG-G1-citations</x:v>
      </x:c>
      <x:c r="B132" s="245" t="str">
        <x:v>Drawer</x:v>
      </x:c>
      <x:c r="C132" s="245" t="str">
        <x:v>Assistant citations</x:v>
      </x:c>
      <x:c r="D132" s="245" t="str">
        <x:v>M2</x:v>
      </x:c>
      <x:c r="E132" s="245" t="str">
        <x:v>T-265</x:v>
      </x:c>
      <x:c r="F132" s="245" t="str">
        <x:v>T-148; T-247</x:v>
      </x:c>
      <x:c r="G132" s="245" t="str">
        <x:v>PPIQ_Chapter3_General_Technical_Function_Description_v4.10.3.md §G1</x:v>
      </x:c>
      <x:c r="H132" s="245" t="str">
        <x:v>DLG-G1-citations--default; DLG-G1-citations--invalid</x:v>
      </x:c>
      <x:c r="I132" s="245" t="str">
        <x:v>DESIGN DEPTH PENDING</x:v>
      </x:c>
      <x:c r="J132" s="245" t="str">
        <x:v>Answer claim; Evidence handles; Source identity; Permission scope | Context is not evidence; unresolved evidence cannot be upgraded. | Use meaningful controls, filled/invalid/pending/refused/recovery states only where applicable; prototype focus-return.</x:v>
      </x:c>
      <x:c r="K132" s="245" t="str">
        <x:v>CHECK DATA / WORD CAPTION / IMAGE AGAINST PARENT CLAUSE</x:v>
      </x:c>
    </x:row>
    <x:row r="133" ht="60" customHeight="1">
      <x:c r="A133" s="245" t="str">
        <x:v>DLG-G3-commands</x:v>
      </x:c>
      <x:c r="B133" s="245" t="str">
        <x:v>Dialog</x:v>
      </x:c>
      <x:c r="C133" s="245" t="str">
        <x:v>Global command palette</x:v>
      </x:c>
      <x:c r="D133" s="245" t="str">
        <x:v>M3</x:v>
      </x:c>
      <x:c r="E133" s="245" t="str">
        <x:v>T-267</x:v>
      </x:c>
      <x:c r="F133" s="245" t="str">
        <x:v>T-248</x:v>
      </x:c>
      <x:c r="G133" s="245" t="str">
        <x:v>PPIQ_Chapter3_General_Technical_Function_Description_v4.10.3.md §G3</x:v>
      </x:c>
      <x:c r="H133" s="245" t="str">
        <x:v>DLG-G3-commands--default; DLG-G3-commands--invalid</x:v>
      </x:c>
      <x:c r="I133" s="245" t="str">
        <x:v>DESIGN DEPTH PENDING</x:v>
      </x:c>
      <x:c r="J133" s="245" t="str">
        <x:v>Search; Permitted pages; Definitions; Fields; Findings; Commands | Only permitted search results/actions; keyboard focus returns to trigger. | Use meaningful controls, filled/invalid/pending/refused/recovery states only where applicable; prototype focus-return.</x:v>
      </x:c>
      <x:c r="K133" s="245" t="str">
        <x:v>CHECK DATA / WORD CAPTION / IMAGE AGAINST PARENT CLAUSE</x:v>
      </x:c>
    </x:row>
    <x:row r="134" ht="60" customHeight="1">
      <x:c r="A134" s="245" t="str">
        <x:v>DLG-G6-activity</x:v>
      </x:c>
      <x:c r="B134" s="245" t="str">
        <x:v>Drawer</x:v>
      </x:c>
      <x:c r="C134" s="245" t="str">
        <x:v>Activity tray</x:v>
      </x:c>
      <x:c r="D134" s="245" t="str">
        <x:v>M3</x:v>
      </x:c>
      <x:c r="E134" s="245" t="str">
        <x:v>T-267</x:v>
      </x:c>
      <x:c r="F134" s="245" t="str">
        <x:v>T-248</x:v>
      </x:c>
      <x:c r="G134" s="245" t="str">
        <x:v>PPIQ_Chapter3_General_Technical_Function_Description_v4.10.3.md §G6</x:v>
      </x:c>
      <x:c r="H134" s="245" t="str">
        <x:v>DLG-G6-activity--default; DLG-G6-activity--invalid</x:v>
      </x:c>
      <x:c r="I134" s="245" t="str">
        <x:v>DESIGN DEPTH PENDING</x:v>
      </x:c>
      <x:c r="J134" s="245" t="str">
        <x:v>Running jobs; Stage / counts; Last heartbeat; Outcome; Evidence | No fabricated percent; poll fallback explicitly visible. | Use meaningful controls, filled/invalid/pending/refused/recovery states only where applicable; prototype focus-return.</x:v>
      </x:c>
      <x:c r="K134" s="245" t="str">
        <x:v>CHECK DATA / WORD CAPTION / IMAGE AGAINST PARENT CLAUSE</x:v>
      </x:c>
    </x:row>
    <x:row r="135" ht="60" customHeight="1">
      <x:c r="A135" s="245" t="str">
        <x:v>TB-001</x:v>
      </x:c>
      <x:c r="B135" s="245" t="str">
        <x:v>Toolbox entry</x:v>
      </x:c>
      <x:c r="C135" s="245" t="str">
        <x:v>Source table</x:v>
      </x:c>
      <x:c r="D135" s="245" t="str">
        <x:v>M2 + M3</x:v>
      </x:c>
      <x:c r="E135" s="245" t="str">
        <x:v>T-265; T-267</x:v>
      </x:c>
      <x:c r="F135" s="245" t="str">
        <x:v>T-243; T-245; T-211; T-212; T-248</x:v>
      </x:c>
      <x:c r="G135" s="245" t="str">
        <x:v>PPIQ_Chapter4_Specific_Technical_Function_Description_v4.10.3.md §Group 1 - Source and output</x:v>
      </x:c>
      <x:c r="H135" s="245" t="str">
        <x:v>TB-001</x:v>
      </x:c>
      <x:c r="I135" s="245" t="str">
        <x:v>DESIGN DEPTH PENDING</x:v>
      </x:c>
      <x:c r="J135" s="245" t="str">
        <x:v>Map the exact input/output/configuration/validation to a selected-node inspector, with typed ports and refusal/recovery as applicable.</x:v>
      </x:c>
      <x:c r="K135" s="245" t="str">
        <x:v>SEMANTIC REVIEW REQUIRED</x:v>
      </x:c>
    </x:row>
    <x:row r="136" ht="60" customHeight="1">
      <x:c r="A136" s="245" t="str">
        <x:v>TB-002</x:v>
      </x:c>
      <x:c r="B136" s="245" t="str">
        <x:v>Toolbox entry</x:v>
      </x:c>
      <x:c r="C136" s="245" t="str">
        <x:v>Output to canonical entity</x:v>
      </x:c>
      <x:c r="D136" s="245" t="str">
        <x:v>M2 + M3</x:v>
      </x:c>
      <x:c r="E136" s="245" t="str">
        <x:v>T-265; T-267</x:v>
      </x:c>
      <x:c r="F136" s="245" t="str">
        <x:v>T-243; T-245; T-211; T-212; T-248</x:v>
      </x:c>
      <x:c r="G136" s="245" t="str">
        <x:v>PPIQ_Chapter4_Specific_Technical_Function_Description_v4.10.3.md §Group 1 - Source and output</x:v>
      </x:c>
      <x:c r="H136" s="245" t="str">
        <x:v>TB-002</x:v>
      </x:c>
      <x:c r="I136" s="245" t="str">
        <x:v>DESIGN DEPTH PENDING</x:v>
      </x:c>
      <x:c r="J136" s="245" t="str">
        <x:v>Map the exact input/output/configuration/validation to a selected-node inspector, with typed ports and refusal/recovery as applicable.</x:v>
      </x:c>
      <x:c r="K136" s="245" t="str">
        <x:v>SEMANTIC REVIEW REQUIRED</x:v>
      </x:c>
    </x:row>
    <x:row r="137" ht="60" customHeight="1">
      <x:c r="A137" s="245" t="str">
        <x:v>TB-003</x:v>
      </x:c>
      <x:c r="B137" s="245" t="str">
        <x:v>Toolbox entry</x:v>
      </x:c>
      <x:c r="C137" s="245" t="str">
        <x:v>Output to named dataset</x:v>
      </x:c>
      <x:c r="D137" s="245" t="str">
        <x:v>M2 + M3</x:v>
      </x:c>
      <x:c r="E137" s="245" t="str">
        <x:v>T-265; T-267</x:v>
      </x:c>
      <x:c r="F137" s="245" t="str">
        <x:v>T-243; T-245; T-211; T-212; T-248</x:v>
      </x:c>
      <x:c r="G137" s="245" t="str">
        <x:v>PPIQ_Chapter4_Specific_Technical_Function_Description_v4.10.3.md §Group 1 - Source and output</x:v>
      </x:c>
      <x:c r="H137" s="245" t="str">
        <x:v>TB-003</x:v>
      </x:c>
      <x:c r="I137" s="245" t="str">
        <x:v>DESIGN DEPTH PENDING</x:v>
      </x:c>
      <x:c r="J137" s="245" t="str">
        <x:v>Map the exact input/output/configuration/validation to a selected-node inspector, with typed ports and refusal/recovery as applicable.</x:v>
      </x:c>
      <x:c r="K137" s="245" t="str">
        <x:v>SEMANTIC REVIEW REQUIRED</x:v>
      </x:c>
    </x:row>
    <x:row r="138" ht="60" customHeight="1">
      <x:c r="A138" s="245" t="str">
        <x:v>TB-004</x:v>
      </x:c>
      <x:c r="B138" s="245" t="str">
        <x:v>Toolbox entry</x:v>
      </x:c>
      <x:c r="C138" s="245" t="str">
        <x:v>Join</x:v>
      </x:c>
      <x:c r="D138" s="245" t="str">
        <x:v>M2 + M3</x:v>
      </x:c>
      <x:c r="E138" s="245" t="str">
        <x:v>T-265; T-267</x:v>
      </x:c>
      <x:c r="F138" s="245" t="str">
        <x:v>T-243; T-245; T-211; T-212; T-248</x:v>
      </x:c>
      <x:c r="G138" s="245" t="str">
        <x:v>PPIQ_Chapter4_Specific_Technical_Function_Description_v4.10.3.md §Group 2 - Relational</x:v>
      </x:c>
      <x:c r="H138" s="245" t="str">
        <x:v>TB-004</x:v>
      </x:c>
      <x:c r="I138" s="245" t="str">
        <x:v>DESIGN DEPTH PENDING</x:v>
      </x:c>
      <x:c r="J138" s="245" t="str">
        <x:v>Map the exact input/output/configuration/validation to a selected-node inspector, with typed ports and refusal/recovery as applicable.</x:v>
      </x:c>
      <x:c r="K138" s="245" t="str">
        <x:v>SEMANTIC REVIEW REQUIRED</x:v>
      </x:c>
    </x:row>
    <x:row r="139" ht="60" customHeight="1">
      <x:c r="A139" s="245" t="str">
        <x:v>TB-005</x:v>
      </x:c>
      <x:c r="B139" s="245" t="str">
        <x:v>Toolbox entry</x:v>
      </x:c>
      <x:c r="C139" s="245" t="str">
        <x:v>Filter</x:v>
      </x:c>
      <x:c r="D139" s="245" t="str">
        <x:v>M2 + M3</x:v>
      </x:c>
      <x:c r="E139" s="245" t="str">
        <x:v>T-265; T-267</x:v>
      </x:c>
      <x:c r="F139" s="245" t="str">
        <x:v>T-243; T-245; T-211; T-212; T-248</x:v>
      </x:c>
      <x:c r="G139" s="245" t="str">
        <x:v>PPIQ_Chapter4_Specific_Technical_Function_Description_v4.10.3.md §Group 2 - Relational</x:v>
      </x:c>
      <x:c r="H139" s="245" t="str">
        <x:v>TB-005</x:v>
      </x:c>
      <x:c r="I139" s="245" t="str">
        <x:v>DESIGN DEPTH PENDING</x:v>
      </x:c>
      <x:c r="J139" s="245" t="str">
        <x:v>Map the exact input/output/configuration/validation to a selected-node inspector, with typed ports and refusal/recovery as applicable.</x:v>
      </x:c>
      <x:c r="K139" s="245" t="str">
        <x:v>SEMANTIC REVIEW REQUIRED</x:v>
      </x:c>
    </x:row>
    <x:row r="140" ht="60" customHeight="1">
      <x:c r="A140" s="245" t="str">
        <x:v>TB-006</x:v>
      </x:c>
      <x:c r="B140" s="245" t="str">
        <x:v>Toolbox entry</x:v>
      </x:c>
      <x:c r="C140" s="245" t="str">
        <x:v>Select columns</x:v>
      </x:c>
      <x:c r="D140" s="245" t="str">
        <x:v>M2 + M3</x:v>
      </x:c>
      <x:c r="E140" s="245" t="str">
        <x:v>T-265; T-267</x:v>
      </x:c>
      <x:c r="F140" s="245" t="str">
        <x:v>T-243; T-245; T-211; T-212; T-248</x:v>
      </x:c>
      <x:c r="G140" s="245" t="str">
        <x:v>PPIQ_Chapter4_Specific_Technical_Function_Description_v4.10.3.md §Group 2 - Relational</x:v>
      </x:c>
      <x:c r="H140" s="245" t="str">
        <x:v>TB-006</x:v>
      </x:c>
      <x:c r="I140" s="245" t="str">
        <x:v>DESIGN DEPTH PENDING</x:v>
      </x:c>
      <x:c r="J140" s="245" t="str">
        <x:v>Map the exact input/output/configuration/validation to a selected-node inspector, with typed ports and refusal/recovery as applicable.</x:v>
      </x:c>
      <x:c r="K140" s="245" t="str">
        <x:v>SEMANTIC REVIEW REQUIRED</x:v>
      </x:c>
    </x:row>
    <x:row r="141" ht="60" customHeight="1">
      <x:c r="A141" s="245" t="str">
        <x:v>TB-007</x:v>
      </x:c>
      <x:c r="B141" s="245" t="str">
        <x:v>Toolbox entry</x:v>
      </x:c>
      <x:c r="C141" s="245" t="str">
        <x:v>Rename / alias</x:v>
      </x:c>
      <x:c r="D141" s="245" t="str">
        <x:v>M2 + M3</x:v>
      </x:c>
      <x:c r="E141" s="245" t="str">
        <x:v>T-265; T-267</x:v>
      </x:c>
      <x:c r="F141" s="245" t="str">
        <x:v>T-243; T-245; T-211; T-212; T-248</x:v>
      </x:c>
      <x:c r="G141" s="245" t="str">
        <x:v>PPIQ_Chapter4_Specific_Technical_Function_Description_v4.10.3.md §Group 2 - Relational</x:v>
      </x:c>
      <x:c r="H141" s="245" t="str">
        <x:v>TB-007</x:v>
      </x:c>
      <x:c r="I141" s="245" t="str">
        <x:v>DESIGN DEPTH PENDING</x:v>
      </x:c>
      <x:c r="J141" s="245" t="str">
        <x:v>Map the exact input/output/configuration/validation to a selected-node inspector, with typed ports and refusal/recovery as applicable.</x:v>
      </x:c>
      <x:c r="K141" s="245" t="str">
        <x:v>SEMANTIC REVIEW REQUIRED</x:v>
      </x:c>
    </x:row>
    <x:row r="142" ht="60" customHeight="1">
      <x:c r="A142" s="245" t="str">
        <x:v>TB-008</x:v>
      </x:c>
      <x:c r="B142" s="245" t="str">
        <x:v>Toolbox entry</x:v>
      </x:c>
      <x:c r="C142" s="245" t="str">
        <x:v>Group by</x:v>
      </x:c>
      <x:c r="D142" s="245" t="str">
        <x:v>M2 + M3</x:v>
      </x:c>
      <x:c r="E142" s="245" t="str">
        <x:v>T-265; T-267</x:v>
      </x:c>
      <x:c r="F142" s="245" t="str">
        <x:v>T-243; T-245; T-211; T-212; T-248</x:v>
      </x:c>
      <x:c r="G142" s="245" t="str">
        <x:v>PPIQ_Chapter4_Specific_Technical_Function_Description_v4.10.3.md §Group 2 - Relational</x:v>
      </x:c>
      <x:c r="H142" s="245" t="str">
        <x:v>TB-008</x:v>
      </x:c>
      <x:c r="I142" s="245" t="str">
        <x:v>DESIGN DEPTH PENDING</x:v>
      </x:c>
      <x:c r="J142" s="245" t="str">
        <x:v>Map the exact input/output/configuration/validation to a selected-node inspector, with typed ports and refusal/recovery as applicable.</x:v>
      </x:c>
      <x:c r="K142" s="245" t="str">
        <x:v>SEMANTIC REVIEW REQUIRED</x:v>
      </x:c>
    </x:row>
    <x:row r="143" ht="60" customHeight="1">
      <x:c r="A143" s="245" t="str">
        <x:v>TB-009</x:v>
      </x:c>
      <x:c r="B143" s="245" t="str">
        <x:v>Toolbox entry</x:v>
      </x:c>
      <x:c r="C143" s="245" t="str">
        <x:v>Sort</x:v>
      </x:c>
      <x:c r="D143" s="245" t="str">
        <x:v>M2 + M3</x:v>
      </x:c>
      <x:c r="E143" s="245" t="str">
        <x:v>T-265; T-267</x:v>
      </x:c>
      <x:c r="F143" s="245" t="str">
        <x:v>T-243; T-245; T-211; T-212; T-248</x:v>
      </x:c>
      <x:c r="G143" s="245" t="str">
        <x:v>PPIQ_Chapter4_Specific_Technical_Function_Description_v4.10.3.md §Group 2 - Relational</x:v>
      </x:c>
      <x:c r="H143" s="245" t="str">
        <x:v>TB-009</x:v>
      </x:c>
      <x:c r="I143" s="245" t="str">
        <x:v>DESIGN DEPTH PENDING</x:v>
      </x:c>
      <x:c r="J143" s="245" t="str">
        <x:v>Map the exact input/output/configuration/validation to a selected-node inspector, with typed ports and refusal/recovery as applicable.</x:v>
      </x:c>
      <x:c r="K143" s="245" t="str">
        <x:v>SEMANTIC REVIEW REQUIRED</x:v>
      </x:c>
    </x:row>
    <x:row r="144" ht="60" customHeight="1">
      <x:c r="A144" s="245" t="str">
        <x:v>TB-010</x:v>
      </x:c>
      <x:c r="B144" s="245" t="str">
        <x:v>Toolbox entry</x:v>
      </x:c>
      <x:c r="C144" s="245" t="str">
        <x:v>Union</x:v>
      </x:c>
      <x:c r="D144" s="245" t="str">
        <x:v>M2 + M3</x:v>
      </x:c>
      <x:c r="E144" s="245" t="str">
        <x:v>T-265; T-267</x:v>
      </x:c>
      <x:c r="F144" s="245" t="str">
        <x:v>T-243; T-245; T-211; T-212; T-248</x:v>
      </x:c>
      <x:c r="G144" s="245" t="str">
        <x:v>PPIQ_Chapter4_Specific_Technical_Function_Description_v4.10.3.md §Group 2 - Relational</x:v>
      </x:c>
      <x:c r="H144" s="245" t="str">
        <x:v>TB-010</x:v>
      </x:c>
      <x:c r="I144" s="245" t="str">
        <x:v>DESIGN DEPTH PENDING</x:v>
      </x:c>
      <x:c r="J144" s="245" t="str">
        <x:v>Map the exact input/output/configuration/validation to a selected-node inspector, with typed ports and refusal/recovery as applicable.</x:v>
      </x:c>
      <x:c r="K144" s="245" t="str">
        <x:v>SEMANTIC REVIEW REQUIRED</x:v>
      </x:c>
    </x:row>
    <x:row r="145" ht="60" customHeight="1">
      <x:c r="A145" s="245" t="str">
        <x:v>TB-011</x:v>
      </x:c>
      <x:c r="B145" s="245" t="str">
        <x:v>Toolbox entry</x:v>
      </x:c>
      <x:c r="C145" s="245" t="str">
        <x:v>Distinct</x:v>
      </x:c>
      <x:c r="D145" s="245" t="str">
        <x:v>M2 + M3</x:v>
      </x:c>
      <x:c r="E145" s="245" t="str">
        <x:v>T-265; T-267</x:v>
      </x:c>
      <x:c r="F145" s="245" t="str">
        <x:v>T-243; T-245; T-211; T-212; T-248</x:v>
      </x:c>
      <x:c r="G145" s="245" t="str">
        <x:v>PPIQ_Chapter4_Specific_Technical_Function_Description_v4.10.3.md §Group 2 - Relational</x:v>
      </x:c>
      <x:c r="H145" s="245" t="str">
        <x:v>TB-011</x:v>
      </x:c>
      <x:c r="I145" s="245" t="str">
        <x:v>DESIGN DEPTH PENDING</x:v>
      </x:c>
      <x:c r="J145" s="245" t="str">
        <x:v>Map the exact input/output/configuration/validation to a selected-node inspector, with typed ports and refusal/recovery as applicable.</x:v>
      </x:c>
      <x:c r="K145" s="245" t="str">
        <x:v>SEMANTIC REVIEW REQUIRED</x:v>
      </x:c>
    </x:row>
    <x:row r="146" ht="60" customHeight="1">
      <x:c r="A146" s="245" t="str">
        <x:v>TB-012</x:v>
      </x:c>
      <x:c r="B146" s="245" t="str">
        <x:v>Toolbox entry</x:v>
      </x:c>
      <x:c r="C146" s="245" t="str">
        <x:v>Limit</x:v>
      </x:c>
      <x:c r="D146" s="245" t="str">
        <x:v>M2 + M3</x:v>
      </x:c>
      <x:c r="E146" s="245" t="str">
        <x:v>T-265; T-267</x:v>
      </x:c>
      <x:c r="F146" s="245" t="str">
        <x:v>T-243; T-245; T-211; T-212; T-248</x:v>
      </x:c>
      <x:c r="G146" s="245" t="str">
        <x:v>PPIQ_Chapter4_Specific_Technical_Function_Description_v4.10.3.md §Group 2 - Relational</x:v>
      </x:c>
      <x:c r="H146" s="245" t="str">
        <x:v>TB-012</x:v>
      </x:c>
      <x:c r="I146" s="245" t="str">
        <x:v>DESIGN DEPTH PENDING</x:v>
      </x:c>
      <x:c r="J146" s="245" t="str">
        <x:v>Map the exact input/output/configuration/validation to a selected-node inspector, with typed ports and refusal/recovery as applicable.</x:v>
      </x:c>
      <x:c r="K146" s="245" t="str">
        <x:v>SEMANTIC REVIEW REQUIRED</x:v>
      </x:c>
    </x:row>
    <x:row r="147" ht="60" customHeight="1">
      <x:c r="A147" s="245" t="str">
        <x:v>TB-013</x:v>
      </x:c>
      <x:c r="B147" s="245" t="str">
        <x:v>Toolbox entry</x:v>
      </x:c>
      <x:c r="C147" s="245" t="str">
        <x:v>Pivot / unpivot</x:v>
      </x:c>
      <x:c r="D147" s="245" t="str">
        <x:v>M2 + M3</x:v>
      </x:c>
      <x:c r="E147" s="245" t="str">
        <x:v>T-265; T-267</x:v>
      </x:c>
      <x:c r="F147" s="245" t="str">
        <x:v>T-243; T-245; T-211; T-212; T-248</x:v>
      </x:c>
      <x:c r="G147" s="245" t="str">
        <x:v>PPIQ_Chapter4_Specific_Technical_Function_Description_v4.10.3.md §Group 2 - Relational</x:v>
      </x:c>
      <x:c r="H147" s="245" t="str">
        <x:v>TB-013</x:v>
      </x:c>
      <x:c r="I147" s="245" t="str">
        <x:v>DESIGN DEPTH PENDING</x:v>
      </x:c>
      <x:c r="J147" s="245" t="str">
        <x:v>Map the exact input/output/configuration/validation to a selected-node inspector, with typed ports and refusal/recovery as applicable.</x:v>
      </x:c>
      <x:c r="K147" s="245" t="str">
        <x:v>SEMANTIC REVIEW REQUIRED</x:v>
      </x:c>
    </x:row>
    <x:row r="148" ht="60" customHeight="1">
      <x:c r="A148" s="245" t="str">
        <x:v>TB-014</x:v>
      </x:c>
      <x:c r="B148" s="245" t="str">
        <x:v>Toolbox entry</x:v>
      </x:c>
      <x:c r="C148" s="245" t="str">
        <x:v>Derived column</x:v>
      </x:c>
      <x:c r="D148" s="245" t="str">
        <x:v>M2 + M3</x:v>
      </x:c>
      <x:c r="E148" s="245" t="str">
        <x:v>T-265; T-267</x:v>
      </x:c>
      <x:c r="F148" s="245" t="str">
        <x:v>T-243; T-245; T-211; T-212; T-248</x:v>
      </x:c>
      <x:c r="G148" s="245" t="str">
        <x:v>PPIQ_Chapter4_Specific_Technical_Function_Description_v4.10.3.md §Group 2 - Relational</x:v>
      </x:c>
      <x:c r="H148" s="245" t="str">
        <x:v>TB-014</x:v>
      </x:c>
      <x:c r="I148" s="245" t="str">
        <x:v>DESIGN DEPTH PENDING</x:v>
      </x:c>
      <x:c r="J148" s="245" t="str">
        <x:v>Map the exact input/output/configuration/validation to a selected-node inspector, with typed ports and refusal/recovery as applicable.</x:v>
      </x:c>
      <x:c r="K148" s="245" t="str">
        <x:v>SEMANTIC REVIEW REQUIRED</x:v>
      </x:c>
    </x:row>
    <x:row r="149" ht="60" customHeight="1">
      <x:c r="A149" s="245" t="str">
        <x:v>TB-015</x:v>
      </x:c>
      <x:c r="B149" s="245" t="str">
        <x:v>Toolbox entry</x:v>
      </x:c>
      <x:c r="C149" s="245" t="str">
        <x:v>Cast</x:v>
      </x:c>
      <x:c r="D149" s="245" t="str">
        <x:v>M2 + M3</x:v>
      </x:c>
      <x:c r="E149" s="245" t="str">
        <x:v>T-265; T-267</x:v>
      </x:c>
      <x:c r="F149" s="245" t="str">
        <x:v>T-243; T-245; T-211; T-212; T-248</x:v>
      </x:c>
      <x:c r="G149" s="245" t="str">
        <x:v>PPIQ_Chapter4_Specific_Technical_Function_Description_v4.10.3.md §Group 2 - Relational</x:v>
      </x:c>
      <x:c r="H149" s="245" t="str">
        <x:v>TB-015</x:v>
      </x:c>
      <x:c r="I149" s="245" t="str">
        <x:v>DESIGN DEPTH PENDING</x:v>
      </x:c>
      <x:c r="J149" s="245" t="str">
        <x:v>Map the exact input/output/configuration/validation to a selected-node inspector, with typed ports and refusal/recovery as applicable.</x:v>
      </x:c>
      <x:c r="K149" s="245" t="str">
        <x:v>SEMANTIC REVIEW REQUIRED</x:v>
      </x:c>
    </x:row>
    <x:row r="150" ht="60" customHeight="1">
      <x:c r="A150" s="245" t="str">
        <x:v>TB-016</x:v>
      </x:c>
      <x:c r="B150" s="245" t="str">
        <x:v>Toolbox entry</x:v>
      </x:c>
      <x:c r="C150" s="245" t="str">
        <x:v>Lookup</x:v>
      </x:c>
      <x:c r="D150" s="245" t="str">
        <x:v>M2 + M3</x:v>
      </x:c>
      <x:c r="E150" s="245" t="str">
        <x:v>T-265; T-267</x:v>
      </x:c>
      <x:c r="F150" s="245" t="str">
        <x:v>T-243; T-245; T-211; T-212; T-248</x:v>
      </x:c>
      <x:c r="G150" s="245" t="str">
        <x:v>PPIQ_Chapter4_Specific_Technical_Function_Description_v4.10.3.md §Group 2 - Relational</x:v>
      </x:c>
      <x:c r="H150" s="245" t="str">
        <x:v>TB-016</x:v>
      </x:c>
      <x:c r="I150" s="245" t="str">
        <x:v>DESIGN DEPTH PENDING</x:v>
      </x:c>
      <x:c r="J150" s="245" t="str">
        <x:v>Map the exact input/output/configuration/validation to a selected-node inspector, with typed ports and refusal/recovery as applicable.</x:v>
      </x:c>
      <x:c r="K150" s="245" t="str">
        <x:v>SEMANTIC REVIEW REQUIRED</x:v>
      </x:c>
    </x:row>
    <x:row r="151" ht="60" customHeight="1">
      <x:c r="A151" s="245" t="str">
        <x:v>TB-017</x:v>
      </x:c>
      <x:c r="B151" s="245" t="str">
        <x:v>Toolbox entry</x:v>
      </x:c>
      <x:c r="C151" s="245" t="str">
        <x:v>Summary statistics</x:v>
      </x:c>
      <x:c r="D151" s="245" t="str">
        <x:v>M2 + M3</x:v>
      </x:c>
      <x:c r="E151" s="245" t="str">
        <x:v>T-265; T-267</x:v>
      </x:c>
      <x:c r="F151" s="245" t="str">
        <x:v>T-243; T-245; T-211; T-212; T-248</x:v>
      </x:c>
      <x:c r="G151" s="245" t="str">
        <x:v>PPIQ_Chapter4_Specific_Technical_Function_Description_v4.10.3.md §5.5.2 Group A - Descriptive</x:v>
      </x:c>
      <x:c r="H151" s="245" t="str">
        <x:v>TB-017</x:v>
      </x:c>
      <x:c r="I151" s="245" t="str">
        <x:v>DESIGN DEPTH PENDING</x:v>
      </x:c>
      <x:c r="J151" s="245" t="str">
        <x:v>Map the exact input/output/configuration/validation to a selected-node inspector, with typed ports and refusal/recovery as applicable.</x:v>
      </x:c>
      <x:c r="K151" s="245" t="str">
        <x:v>SEMANTIC REVIEW REQUIRED</x:v>
      </x:c>
    </x:row>
    <x:row r="152" ht="60" customHeight="1">
      <x:c r="A152" s="245" t="str">
        <x:v>TB-018</x:v>
      </x:c>
      <x:c r="B152" s="245" t="str">
        <x:v>Toolbox entry</x:v>
      </x:c>
      <x:c r="C152" s="245" t="str">
        <x:v>Distribution</x:v>
      </x:c>
      <x:c r="D152" s="245" t="str">
        <x:v>M2 + M3</x:v>
      </x:c>
      <x:c r="E152" s="245" t="str">
        <x:v>T-265; T-267</x:v>
      </x:c>
      <x:c r="F152" s="245" t="str">
        <x:v>T-243; T-245; T-211; T-212; T-248</x:v>
      </x:c>
      <x:c r="G152" s="245" t="str">
        <x:v>PPIQ_Chapter4_Specific_Technical_Function_Description_v4.10.3.md §5.5.2 Group A - Descriptive</x:v>
      </x:c>
      <x:c r="H152" s="245" t="str">
        <x:v>TB-018</x:v>
      </x:c>
      <x:c r="I152" s="245" t="str">
        <x:v>DESIGN DEPTH PENDING</x:v>
      </x:c>
      <x:c r="J152" s="245" t="str">
        <x:v>Map the exact input/output/configuration/validation to a selected-node inspector, with typed ports and refusal/recovery as applicable.</x:v>
      </x:c>
      <x:c r="K152" s="245" t="str">
        <x:v>SEMANTIC REVIEW REQUIRED</x:v>
      </x:c>
    </x:row>
    <x:row r="153" ht="60" customHeight="1">
      <x:c r="A153" s="245" t="str">
        <x:v>TB-019</x:v>
      </x:c>
      <x:c r="B153" s="245" t="str">
        <x:v>Toolbox entry</x:v>
      </x:c>
      <x:c r="C153" s="245" t="str">
        <x:v>Category counts</x:v>
      </x:c>
      <x:c r="D153" s="245" t="str">
        <x:v>M2 + M3</x:v>
      </x:c>
      <x:c r="E153" s="245" t="str">
        <x:v>T-265; T-267</x:v>
      </x:c>
      <x:c r="F153" s="245" t="str">
        <x:v>T-243; T-245; T-211; T-212; T-248</x:v>
      </x:c>
      <x:c r="G153" s="245" t="str">
        <x:v>PPIQ_Chapter4_Specific_Technical_Function_Description_v4.10.3.md §5.5.2 Group A - Descriptive</x:v>
      </x:c>
      <x:c r="H153" s="245" t="str">
        <x:v>TB-019</x:v>
      </x:c>
      <x:c r="I153" s="245" t="str">
        <x:v>DESIGN DEPTH PENDING</x:v>
      </x:c>
      <x:c r="J153" s="245" t="str">
        <x:v>Map the exact input/output/configuration/validation to a selected-node inspector, with typed ports and refusal/recovery as applicable.</x:v>
      </x:c>
      <x:c r="K153" s="245" t="str">
        <x:v>SEMANTIC REVIEW REQUIRED</x:v>
      </x:c>
    </x:row>
    <x:row r="154" ht="60" customHeight="1">
      <x:c r="A154" s="245" t="str">
        <x:v>TB-020</x:v>
      </x:c>
      <x:c r="B154" s="245" t="str">
        <x:v>Toolbox entry</x:v>
      </x:c>
      <x:c r="C154" s="245" t="str">
        <x:v>Time series</x:v>
      </x:c>
      <x:c r="D154" s="245" t="str">
        <x:v>M2 + M3</x:v>
      </x:c>
      <x:c r="E154" s="245" t="str">
        <x:v>T-265; T-267</x:v>
      </x:c>
      <x:c r="F154" s="245" t="str">
        <x:v>T-243; T-245; T-211; T-212; T-248</x:v>
      </x:c>
      <x:c r="G154" s="245" t="str">
        <x:v>PPIQ_Chapter4_Specific_Technical_Function_Description_v4.10.3.md §5.5.2 Group A - Descriptive</x:v>
      </x:c>
      <x:c r="H154" s="245" t="str">
        <x:v>TB-020</x:v>
      </x:c>
      <x:c r="I154" s="245" t="str">
        <x:v>DESIGN DEPTH PENDING</x:v>
      </x:c>
      <x:c r="J154" s="245" t="str">
        <x:v>Map the exact input/output/configuration/validation to a selected-node inspector, with typed ports and refusal/recovery as applicable.</x:v>
      </x:c>
      <x:c r="K154" s="245" t="str">
        <x:v>SEMANTIC REVIEW REQUIRED</x:v>
      </x:c>
    </x:row>
    <x:row r="155" ht="60" customHeight="1">
      <x:c r="A155" s="245" t="str">
        <x:v>TB-021</x:v>
      </x:c>
      <x:c r="B155" s="245" t="str">
        <x:v>Toolbox entry</x:v>
      </x:c>
      <x:c r="C155" s="245" t="str">
        <x:v>Cross-tabulation</x:v>
      </x:c>
      <x:c r="D155" s="245" t="str">
        <x:v>M2 + M3</x:v>
      </x:c>
      <x:c r="E155" s="245" t="str">
        <x:v>T-265; T-267</x:v>
      </x:c>
      <x:c r="F155" s="245" t="str">
        <x:v>T-243; T-245; T-211; T-212; T-248</x:v>
      </x:c>
      <x:c r="G155" s="245" t="str">
        <x:v>PPIQ_Chapter4_Specific_Technical_Function_Description_v4.10.3.md §5.5.2 Group A - Descriptive</x:v>
      </x:c>
      <x:c r="H155" s="245" t="str">
        <x:v>TB-021</x:v>
      </x:c>
      <x:c r="I155" s="245" t="str">
        <x:v>DESIGN DEPTH PENDING</x:v>
      </x:c>
      <x:c r="J155" s="245" t="str">
        <x:v>Map the exact input/output/configuration/validation to a selected-node inspector, with typed ports and refusal/recovery as applicable.</x:v>
      </x:c>
      <x:c r="K155" s="245" t="str">
        <x:v>SEMANTIC REVIEW REQUIRED</x:v>
      </x:c>
    </x:row>
    <x:row r="156" ht="60" customHeight="1">
      <x:c r="A156" s="245" t="str">
        <x:v>TB-022</x:v>
      </x:c>
      <x:c r="B156" s="245" t="str">
        <x:v>Toolbox entry</x:v>
      </x:c>
      <x:c r="C156" s="245" t="str">
        <x:v>Outlier detection (IQR / z-score)</x:v>
      </x:c>
      <x:c r="D156" s="245" t="str">
        <x:v>M2 + M3</x:v>
      </x:c>
      <x:c r="E156" s="245" t="str">
        <x:v>T-265; T-267</x:v>
      </x:c>
      <x:c r="F156" s="245" t="str">
        <x:v>T-243; T-245; T-211; T-212; T-248</x:v>
      </x:c>
      <x:c r="G156" s="245" t="str">
        <x:v>PPIQ_Chapter4_Specific_Technical_Function_Description_v4.10.3.md §5.5.2 Group A - Descriptive</x:v>
      </x:c>
      <x:c r="H156" s="245" t="str">
        <x:v>TB-022</x:v>
      </x:c>
      <x:c r="I156" s="245" t="str">
        <x:v>DESIGN DEPTH PENDING</x:v>
      </x:c>
      <x:c r="J156" s="245" t="str">
        <x:v>Map the exact input/output/configuration/validation to a selected-node inspector, with typed ports and refusal/recovery as applicable.</x:v>
      </x:c>
      <x:c r="K156" s="245" t="str">
        <x:v>SEMANTIC REVIEW REQUIRED</x:v>
      </x:c>
    </x:row>
    <x:row r="157" ht="60" customHeight="1">
      <x:c r="A157" s="245" t="str">
        <x:v>TB-023</x:v>
      </x:c>
      <x:c r="B157" s="245" t="str">
        <x:v>Toolbox entry</x:v>
      </x:c>
      <x:c r="C157" s="245" t="str">
        <x:v>Missingness profile</x:v>
      </x:c>
      <x:c r="D157" s="245" t="str">
        <x:v>M2 + M3</x:v>
      </x:c>
      <x:c r="E157" s="245" t="str">
        <x:v>T-265; T-267</x:v>
      </x:c>
      <x:c r="F157" s="245" t="str">
        <x:v>T-243; T-245; T-211; T-212; T-248</x:v>
      </x:c>
      <x:c r="G157" s="245" t="str">
        <x:v>PPIQ_Chapter4_Specific_Technical_Function_Description_v4.10.3.md §5.5.2 Group A - Descriptive</x:v>
      </x:c>
      <x:c r="H157" s="245" t="str">
        <x:v>TB-023</x:v>
      </x:c>
      <x:c r="I157" s="245" t="str">
        <x:v>DESIGN DEPTH PENDING</x:v>
      </x:c>
      <x:c r="J157" s="245" t="str">
        <x:v>Map the exact input/output/configuration/validation to a selected-node inspector, with typed ports and refusal/recovery as applicable.</x:v>
      </x:c>
      <x:c r="K157" s="245" t="str">
        <x:v>SEMANTIC REVIEW REQUIRED</x:v>
      </x:c>
    </x:row>
    <x:row r="158" ht="60" customHeight="1">
      <x:c r="A158" s="245" t="str">
        <x:v>TB-024</x:v>
      </x:c>
      <x:c r="B158" s="245" t="str">
        <x:v>Toolbox entry</x:v>
      </x:c>
      <x:c r="C158" s="245" t="str">
        <x:v>Pearson correlation</x:v>
      </x:c>
      <x:c r="D158" s="245" t="str">
        <x:v>M2 + M3</x:v>
      </x:c>
      <x:c r="E158" s="245" t="str">
        <x:v>T-265; T-267</x:v>
      </x:c>
      <x:c r="F158" s="245" t="str">
        <x:v>T-243; T-245; T-211; T-212; T-248</x:v>
      </x:c>
      <x:c r="G158" s="245" t="str">
        <x:v>PPIQ_Chapter4_Specific_Technical_Function_Description_v4.10.3.md §5.5.3 Group B - Association and correlation</x:v>
      </x:c>
      <x:c r="H158" s="245" t="str">
        <x:v>TB-024</x:v>
      </x:c>
      <x:c r="I158" s="245" t="str">
        <x:v>DESIGN DEPTH PENDING</x:v>
      </x:c>
      <x:c r="J158" s="245" t="str">
        <x:v>Map the exact input/output/configuration/validation to a selected-node inspector, with typed ports and refusal/recovery as applicable.</x:v>
      </x:c>
      <x:c r="K158" s="245" t="str">
        <x:v>SEMANTIC REVIEW REQUIRED</x:v>
      </x:c>
    </x:row>
    <x:row r="159" ht="60" customHeight="1">
      <x:c r="A159" s="245" t="str">
        <x:v>TB-025</x:v>
      </x:c>
      <x:c r="B159" s="245" t="str">
        <x:v>Toolbox entry</x:v>
      </x:c>
      <x:c r="C159" s="245" t="str">
        <x:v>Spearman rank correlation</x:v>
      </x:c>
      <x:c r="D159" s="245" t="str">
        <x:v>M2 + M3</x:v>
      </x:c>
      <x:c r="E159" s="245" t="str">
        <x:v>T-265; T-267</x:v>
      </x:c>
      <x:c r="F159" s="245" t="str">
        <x:v>T-243; T-245; T-211; T-212; T-248</x:v>
      </x:c>
      <x:c r="G159" s="245" t="str">
        <x:v>PPIQ_Chapter4_Specific_Technical_Function_Description_v4.10.3.md §5.5.3 Group B - Association and correlation</x:v>
      </x:c>
      <x:c r="H159" s="245" t="str">
        <x:v>TB-025</x:v>
      </x:c>
      <x:c r="I159" s="245" t="str">
        <x:v>DESIGN DEPTH PENDING</x:v>
      </x:c>
      <x:c r="J159" s="245" t="str">
        <x:v>Map the exact input/output/configuration/validation to a selected-node inspector, with typed ports and refusal/recovery as applicable.</x:v>
      </x:c>
      <x:c r="K159" s="245" t="str">
        <x:v>SEMANTIC REVIEW REQUIRED</x:v>
      </x:c>
    </x:row>
    <x:row r="160" ht="60" customHeight="1">
      <x:c r="A160" s="245" t="str">
        <x:v>TB-026</x:v>
      </x:c>
      <x:c r="B160" s="245" t="str">
        <x:v>Toolbox entry</x:v>
      </x:c>
      <x:c r="C160" s="245" t="str">
        <x:v>Correlation matrix</x:v>
      </x:c>
      <x:c r="D160" s="245" t="str">
        <x:v>M2 + M3</x:v>
      </x:c>
      <x:c r="E160" s="245" t="str">
        <x:v>T-265; T-267</x:v>
      </x:c>
      <x:c r="F160" s="245" t="str">
        <x:v>T-243; T-245; T-211; T-212; T-248</x:v>
      </x:c>
      <x:c r="G160" s="245" t="str">
        <x:v>PPIQ_Chapter4_Specific_Technical_Function_Description_v4.10.3.md §5.5.3 Group B - Association and correlation</x:v>
      </x:c>
      <x:c r="H160" s="245" t="str">
        <x:v>TB-026</x:v>
      </x:c>
      <x:c r="I160" s="245" t="str">
        <x:v>DESIGN DEPTH PENDING</x:v>
      </x:c>
      <x:c r="J160" s="245" t="str">
        <x:v>Map the exact input/output/configuration/validation to a selected-node inspector, with typed ports and refusal/recovery as applicable.</x:v>
      </x:c>
      <x:c r="K160" s="245" t="str">
        <x:v>SEMANTIC REVIEW REQUIRED</x:v>
      </x:c>
    </x:row>
    <x:row r="161" ht="60" customHeight="1">
      <x:c r="A161" s="245" t="str">
        <x:v>TB-027</x:v>
      </x:c>
      <x:c r="B161" s="245" t="str">
        <x:v>Toolbox entry</x:v>
      </x:c>
      <x:c r="C161" s="245" t="str">
        <x:v>Chi-square independence</x:v>
      </x:c>
      <x:c r="D161" s="245" t="str">
        <x:v>M2 + M3</x:v>
      </x:c>
      <x:c r="E161" s="245" t="str">
        <x:v>T-265; T-267</x:v>
      </x:c>
      <x:c r="F161" s="245" t="str">
        <x:v>T-243; T-245; T-211; T-212; T-248</x:v>
      </x:c>
      <x:c r="G161" s="245" t="str">
        <x:v>PPIQ_Chapter4_Specific_Technical_Function_Description_v4.10.3.md §5.5.3 Group B - Association and correlation</x:v>
      </x:c>
      <x:c r="H161" s="245" t="str">
        <x:v>TB-027</x:v>
      </x:c>
      <x:c r="I161" s="245" t="str">
        <x:v>DESIGN DEPTH PENDING</x:v>
      </x:c>
      <x:c r="J161" s="245" t="str">
        <x:v>Map the exact input/output/configuration/validation to a selected-node inspector, with typed ports and refusal/recovery as applicable.</x:v>
      </x:c>
      <x:c r="K161" s="245" t="str">
        <x:v>SEMANTIC REVIEW REQUIRED</x:v>
      </x:c>
    </x:row>
    <x:row r="162" ht="60" customHeight="1">
      <x:c r="A162" s="245" t="str">
        <x:v>TB-028</x:v>
      </x:c>
      <x:c r="B162" s="245" t="str">
        <x:v>Toolbox entry</x:v>
      </x:c>
      <x:c r="C162" s="245" t="str">
        <x:v>ANOVA / Kruskal-Wallis</x:v>
      </x:c>
      <x:c r="D162" s="245" t="str">
        <x:v>M2 + M3</x:v>
      </x:c>
      <x:c r="E162" s="245" t="str">
        <x:v>T-265; T-267</x:v>
      </x:c>
      <x:c r="F162" s="245" t="str">
        <x:v>T-243; T-245; T-211; T-212; T-248</x:v>
      </x:c>
      <x:c r="G162" s="245" t="str">
        <x:v>PPIQ_Chapter4_Specific_Technical_Function_Description_v4.10.3.md §5.5.3 Group B - Association and correlation</x:v>
      </x:c>
      <x:c r="H162" s="245" t="str">
        <x:v>TB-028</x:v>
      </x:c>
      <x:c r="I162" s="245" t="str">
        <x:v>DESIGN DEPTH PENDING</x:v>
      </x:c>
      <x:c r="J162" s="245" t="str">
        <x:v>Map the exact input/output/configuration/validation to a selected-node inspector, with typed ports and refusal/recovery as applicable.</x:v>
      </x:c>
      <x:c r="K162" s="245" t="str">
        <x:v>SEMANTIC REVIEW REQUIRED</x:v>
      </x:c>
    </x:row>
    <x:row r="163" ht="60" customHeight="1">
      <x:c r="A163" s="245" t="str">
        <x:v>TB-029</x:v>
      </x:c>
      <x:c r="B163" s="245" t="str">
        <x:v>Toolbox entry</x:v>
      </x:c>
      <x:c r="C163" s="245" t="str">
        <x:v>Odds ratio / relative risk</x:v>
      </x:c>
      <x:c r="D163" s="245" t="str">
        <x:v>M2 + M3</x:v>
      </x:c>
      <x:c r="E163" s="245" t="str">
        <x:v>T-265; T-267</x:v>
      </x:c>
      <x:c r="F163" s="245" t="str">
        <x:v>T-243; T-245; T-211; T-212; T-248</x:v>
      </x:c>
      <x:c r="G163" s="245" t="str">
        <x:v>PPIQ_Chapter4_Specific_Technical_Function_Description_v4.10.3.md §5.5.3 Group B - Association and correlation</x:v>
      </x:c>
      <x:c r="H163" s="245" t="str">
        <x:v>TB-029</x:v>
      </x:c>
      <x:c r="I163" s="245" t="str">
        <x:v>DESIGN DEPTH PENDING</x:v>
      </x:c>
      <x:c r="J163" s="245" t="str">
        <x:v>Map the exact input/output/configuration/validation to a selected-node inspector, with typed ports and refusal/recovery as applicable.</x:v>
      </x:c>
      <x:c r="K163" s="245" t="str">
        <x:v>SEMANTIC REVIEW REQUIRED</x:v>
      </x:c>
    </x:row>
    <x:row r="164" ht="60" customHeight="1">
      <x:c r="A164" s="245" t="str">
        <x:v>TB-030</x:v>
      </x:c>
      <x:c r="B164" s="245" t="str">
        <x:v>Toolbox entry</x:v>
      </x:c>
      <x:c r="C164" s="245" t="str">
        <x:v>Point-biserial</x:v>
      </x:c>
      <x:c r="D164" s="245" t="str">
        <x:v>M2 + M3</x:v>
      </x:c>
      <x:c r="E164" s="245" t="str">
        <x:v>T-265; T-267</x:v>
      </x:c>
      <x:c r="F164" s="245" t="str">
        <x:v>T-243; T-245; T-211; T-212; T-248</x:v>
      </x:c>
      <x:c r="G164" s="245" t="str">
        <x:v>PPIQ_Chapter4_Specific_Technical_Function_Description_v4.10.3.md §5.5.3 Group B - Association and correlation</x:v>
      </x:c>
      <x:c r="H164" s="245" t="str">
        <x:v>TB-030</x:v>
      </x:c>
      <x:c r="I164" s="245" t="str">
        <x:v>DESIGN DEPTH PENDING</x:v>
      </x:c>
      <x:c r="J164" s="245" t="str">
        <x:v>Map the exact input/output/configuration/validation to a selected-node inspector, with typed ports and refusal/recovery as applicable.</x:v>
      </x:c>
      <x:c r="K164" s="245" t="str">
        <x:v>SEMANTIC REVIEW REQUIRED</x:v>
      </x:c>
    </x:row>
    <x:row r="165" ht="60" customHeight="1">
      <x:c r="A165" s="245" t="str">
        <x:v>TB-031</x:v>
      </x:c>
      <x:c r="B165" s="245" t="str">
        <x:v>Toolbox entry</x:v>
      </x:c>
      <x:c r="C165" s="245" t="str">
        <x:v>Lagged correlation</x:v>
      </x:c>
      <x:c r="D165" s="245" t="str">
        <x:v>M2 + M3</x:v>
      </x:c>
      <x:c r="E165" s="245" t="str">
        <x:v>T-265; T-267</x:v>
      </x:c>
      <x:c r="F165" s="245" t="str">
        <x:v>T-243; T-245; T-211; T-212; T-248</x:v>
      </x:c>
      <x:c r="G165" s="245" t="str">
        <x:v>PPIQ_Chapter4_Specific_Technical_Function_Description_v4.10.3.md §5.5.3 Group B - Association and correlation</x:v>
      </x:c>
      <x:c r="H165" s="245" t="str">
        <x:v>TB-031</x:v>
      </x:c>
      <x:c r="I165" s="245" t="str">
        <x:v>DESIGN DEPTH PENDING</x:v>
      </x:c>
      <x:c r="J165" s="245" t="str">
        <x:v>Map the exact input/output/configuration/validation to a selected-node inspector, with typed ports and refusal/recovery as applicable.</x:v>
      </x:c>
      <x:c r="K165" s="245" t="str">
        <x:v>SEMANTIC REVIEW REQUIRED</x:v>
      </x:c>
    </x:row>
    <x:row r="166" ht="60" customHeight="1">
      <x:c r="A166" s="245" t="str">
        <x:v>TB-032</x:v>
      </x:c>
      <x:c r="B166" s="245" t="str">
        <x:v>Toolbox entry</x:v>
      </x:c>
      <x:c r="C166" s="245" t="str">
        <x:v>Genealogy-attributed correlation</x:v>
      </x:c>
      <x:c r="D166" s="245" t="str">
        <x:v>M2 + M3</x:v>
      </x:c>
      <x:c r="E166" s="245" t="str">
        <x:v>T-265; T-267</x:v>
      </x:c>
      <x:c r="F166" s="245" t="str">
        <x:v>T-243; T-245; T-211; T-212; T-248</x:v>
      </x:c>
      <x:c r="G166" s="245" t="str">
        <x:v>PPIQ_Chapter4_Specific_Technical_Function_Description_v4.10.3.md §5.5.3 Group B - Association and correlation</x:v>
      </x:c>
      <x:c r="H166" s="245" t="str">
        <x:v>TB-032</x:v>
      </x:c>
      <x:c r="I166" s="245" t="str">
        <x:v>DESIGN DEPTH PENDING</x:v>
      </x:c>
      <x:c r="J166" s="245" t="str">
        <x:v>Map the exact input/output/configuration/validation to a selected-node inspector, with typed ports and refusal/recovery as applicable.</x:v>
      </x:c>
      <x:c r="K166" s="245" t="str">
        <x:v>SEMANTIC REVIEW REQUIRED</x:v>
      </x:c>
    </x:row>
    <x:row r="167" ht="60" customHeight="1">
      <x:c r="A167" s="245" t="str">
        <x:v>TB-033</x:v>
      </x:c>
      <x:c r="B167" s="245" t="str">
        <x:v>Mandatory discipline output / inspection</x:v>
      </x:c>
      <x:c r="C167" s="245" t="str">
        <x:v>False-discovery control</x:v>
      </x:c>
      <x:c r="D167" s="245" t="str">
        <x:v>M2 + M3</x:v>
      </x:c>
      <x:c r="E167" s="245" t="str">
        <x:v>T-265; T-267</x:v>
      </x:c>
      <x:c r="F167" s="245" t="str">
        <x:v>T-243; T-245; T-211; T-212; T-248</x:v>
      </x:c>
      <x:c r="G167" s="245" t="str">
        <x:v>PPIQ_Chapter4_Specific_Technical_Function_Description_v4.10.3.md §5.5.4 Group C - Discipline (always applied, never optional)</x:v>
      </x:c>
      <x:c r="H167" s="245" t="str">
        <x:v>TB-033</x:v>
      </x:c>
      <x:c r="I167" s="245" t="str">
        <x:v>DESIGN DEPTH PENDING</x:v>
      </x:c>
      <x:c r="J167" s="245" t="str">
        <x:v>Always-applied discipline; inspect outputs only. Do not turn it into an optional drag/drop bypass.</x:v>
      </x:c>
      <x:c r="K167" s="245" t="str">
        <x:v>SEMANTIC REVIEW REQUIRED</x:v>
      </x:c>
    </x:row>
    <x:row r="168" ht="60" customHeight="1">
      <x:c r="A168" s="245" t="str">
        <x:v>TB-034</x:v>
      </x:c>
      <x:c r="B168" s="245" t="str">
        <x:v>Mandatory discipline output / inspection</x:v>
      </x:c>
      <x:c r="C168" s="245" t="str">
        <x:v>Effect-size ranking</x:v>
      </x:c>
      <x:c r="D168" s="245" t="str">
        <x:v>M2 + M3</x:v>
      </x:c>
      <x:c r="E168" s="245" t="str">
        <x:v>T-265; T-267</x:v>
      </x:c>
      <x:c r="F168" s="245" t="str">
        <x:v>T-243; T-245; T-211; T-212; T-248</x:v>
      </x:c>
      <x:c r="G168" s="245" t="str">
        <x:v>PPIQ_Chapter4_Specific_Technical_Function_Description_v4.10.3.md §5.5.4 Group C - Discipline (always applied, never optional)</x:v>
      </x:c>
      <x:c r="H168" s="245" t="str">
        <x:v>TB-034</x:v>
      </x:c>
      <x:c r="I168" s="245" t="str">
        <x:v>DESIGN DEPTH PENDING</x:v>
      </x:c>
      <x:c r="J168" s="245" t="str">
        <x:v>Always-applied discipline; inspect outputs only. Do not turn it into an optional drag/drop bypass.</x:v>
      </x:c>
      <x:c r="K168" s="245" t="str">
        <x:v>SEMANTIC REVIEW REQUIRED</x:v>
      </x:c>
    </x:row>
    <x:row r="169" ht="60" customHeight="1">
      <x:c r="A169" s="245" t="str">
        <x:v>TB-035</x:v>
      </x:c>
      <x:c r="B169" s="245" t="str">
        <x:v>Mandatory discipline output / inspection</x:v>
      </x:c>
      <x:c r="C169" s="245" t="str">
        <x:v>Stratification</x:v>
      </x:c>
      <x:c r="D169" s="245" t="str">
        <x:v>M2 + M3</x:v>
      </x:c>
      <x:c r="E169" s="245" t="str">
        <x:v>T-265; T-267</x:v>
      </x:c>
      <x:c r="F169" s="245" t="str">
        <x:v>T-243; T-245; T-211; T-212; T-248</x:v>
      </x:c>
      <x:c r="G169" s="245" t="str">
        <x:v>PPIQ_Chapter4_Specific_Technical_Function_Description_v4.10.3.md §5.5.4 Group C - Discipline (always applied, never optional)</x:v>
      </x:c>
      <x:c r="H169" s="245" t="str">
        <x:v>TB-035</x:v>
      </x:c>
      <x:c r="I169" s="245" t="str">
        <x:v>DESIGN DEPTH PENDING</x:v>
      </x:c>
      <x:c r="J169" s="245" t="str">
        <x:v>Always-applied discipline; inspect outputs only. Do not turn it into an optional drag/drop bypass.</x:v>
      </x:c>
      <x:c r="K169" s="245" t="str">
        <x:v>SEMANTIC REVIEW REQUIRED</x:v>
      </x:c>
    </x:row>
    <x:row r="170" ht="60" customHeight="1">
      <x:c r="A170" s="245" t="str">
        <x:v>TB-036</x:v>
      </x:c>
      <x:c r="B170" s="245" t="str">
        <x:v>Mandatory discipline output / inspection</x:v>
      </x:c>
      <x:c r="C170" s="245" t="str">
        <x:v>Bootstrap stability</x:v>
      </x:c>
      <x:c r="D170" s="245" t="str">
        <x:v>M2 + M3</x:v>
      </x:c>
      <x:c r="E170" s="245" t="str">
        <x:v>T-265; T-267</x:v>
      </x:c>
      <x:c r="F170" s="245" t="str">
        <x:v>T-243; T-245; T-211; T-212; T-248</x:v>
      </x:c>
      <x:c r="G170" s="245" t="str">
        <x:v>PPIQ_Chapter4_Specific_Technical_Function_Description_v4.10.3.md §5.5.4 Group C - Discipline (always applied, never optional)</x:v>
      </x:c>
      <x:c r="H170" s="245" t="str">
        <x:v>TB-036</x:v>
      </x:c>
      <x:c r="I170" s="245" t="str">
        <x:v>DESIGN DEPTH PENDING</x:v>
      </x:c>
      <x:c r="J170" s="245" t="str">
        <x:v>Always-applied discipline; inspect outputs only. Do not turn it into an optional drag/drop bypass.</x:v>
      </x:c>
      <x:c r="K170" s="245" t="str">
        <x:v>SEMANTIC REVIEW REQUIRED</x:v>
      </x:c>
    </x:row>
    <x:row r="171" ht="60" customHeight="1">
      <x:c r="A171" s="245" t="str">
        <x:v>TB-037</x:v>
      </x:c>
      <x:c r="B171" s="245" t="str">
        <x:v>Mandatory discipline output / inspection</x:v>
      </x:c>
      <x:c r="C171" s="245" t="str">
        <x:v>Confounder check</x:v>
      </x:c>
      <x:c r="D171" s="245" t="str">
        <x:v>M2 + M3</x:v>
      </x:c>
      <x:c r="E171" s="245" t="str">
        <x:v>T-265; T-267</x:v>
      </x:c>
      <x:c r="F171" s="245" t="str">
        <x:v>T-243; T-245; T-211; T-212; T-248</x:v>
      </x:c>
      <x:c r="G171" s="245" t="str">
        <x:v>PPIQ_Chapter4_Specific_Technical_Function_Description_v4.10.3.md §5.5.4 Group C - Discipline (always applied, never optional)</x:v>
      </x:c>
      <x:c r="H171" s="245" t="str">
        <x:v>TB-037</x:v>
      </x:c>
      <x:c r="I171" s="245" t="str">
        <x:v>DESIGN DEPTH PENDING</x:v>
      </x:c>
      <x:c r="J171" s="245" t="str">
        <x:v>Always-applied discipline; inspect outputs only. Do not turn it into an optional drag/drop bypass.</x:v>
      </x:c>
      <x:c r="K171" s="245" t="str">
        <x:v>SEMANTIC REVIEW REQUIRED</x:v>
      </x:c>
    </x:row>
    <x:row r="172" ht="60" customHeight="1">
      <x:c r="A172" s="245" t="str">
        <x:v>TB-038</x:v>
      </x:c>
      <x:c r="B172" s="245" t="str">
        <x:v>Toolbox entry</x:v>
      </x:c>
      <x:c r="C172" s="245" t="str">
        <x:v>Control chart</x:v>
      </x:c>
      <x:c r="D172" s="245" t="str">
        <x:v>M2 + M3</x:v>
      </x:c>
      <x:c r="E172" s="245" t="str">
        <x:v>T-265; T-267</x:v>
      </x:c>
      <x:c r="F172" s="245" t="str">
        <x:v>T-243; T-245; T-211; T-212; T-248</x:v>
      </x:c>
      <x:c r="G172" s="245" t="str">
        <x:v>PPIQ_Chapter4_Specific_Technical_Function_Description_v4.10.3.md §5.5.5 Group D - Process and quality specific</x:v>
      </x:c>
      <x:c r="H172" s="245" t="str">
        <x:v>TB-038</x:v>
      </x:c>
      <x:c r="I172" s="245" t="str">
        <x:v>DESIGN DEPTH PENDING</x:v>
      </x:c>
      <x:c r="J172" s="245" t="str">
        <x:v>Map the exact input/output/configuration/validation to a selected-node inspector, with typed ports and refusal/recovery as applicable.</x:v>
      </x:c>
      <x:c r="K172" s="245" t="str">
        <x:v>SEMANTIC REVIEW REQUIRED</x:v>
      </x:c>
    </x:row>
    <x:row r="173" ht="60" customHeight="1">
      <x:c r="A173" s="245" t="str">
        <x:v>TB-039</x:v>
      </x:c>
      <x:c r="B173" s="245" t="str">
        <x:v>Toolbox entry</x:v>
      </x:c>
      <x:c r="C173" s="245" t="str">
        <x:v>Capability</x:v>
      </x:c>
      <x:c r="D173" s="245" t="str">
        <x:v>M2 + M3</x:v>
      </x:c>
      <x:c r="E173" s="245" t="str">
        <x:v>T-265; T-267</x:v>
      </x:c>
      <x:c r="F173" s="245" t="str">
        <x:v>T-243; T-245; T-211; T-212; T-248</x:v>
      </x:c>
      <x:c r="G173" s="245" t="str">
        <x:v>PPIQ_Chapter4_Specific_Technical_Function_Description_v4.10.3.md §5.5.5 Group D - Process and quality specific</x:v>
      </x:c>
      <x:c r="H173" s="245" t="str">
        <x:v>TB-039</x:v>
      </x:c>
      <x:c r="I173" s="245" t="str">
        <x:v>DESIGN DEPTH PENDING</x:v>
      </x:c>
      <x:c r="J173" s="245" t="str">
        <x:v>Map the exact input/output/configuration/validation to a selected-node inspector, with typed ports and refusal/recovery as applicable.</x:v>
      </x:c>
      <x:c r="K173" s="245" t="str">
        <x:v>SEMANTIC REVIEW REQUIRED</x:v>
      </x:c>
    </x:row>
    <x:row r="174" ht="60" customHeight="1">
      <x:c r="A174" s="245" t="str">
        <x:v>TB-040</x:v>
      </x:c>
      <x:c r="B174" s="245" t="str">
        <x:v>Toolbox entry</x:v>
      </x:c>
      <x:c r="C174" s="245" t="str">
        <x:v>Pareto of causes</x:v>
      </x:c>
      <x:c r="D174" s="245" t="str">
        <x:v>M2 + M3</x:v>
      </x:c>
      <x:c r="E174" s="245" t="str">
        <x:v>T-265; T-267</x:v>
      </x:c>
      <x:c r="F174" s="245" t="str">
        <x:v>T-243; T-245; T-211; T-212; T-248</x:v>
      </x:c>
      <x:c r="G174" s="245" t="str">
        <x:v>PPIQ_Chapter4_Specific_Technical_Function_Description_v4.10.3.md §5.5.5 Group D - Process and quality specific</x:v>
      </x:c>
      <x:c r="H174" s="245" t="str">
        <x:v>TB-040</x:v>
      </x:c>
      <x:c r="I174" s="245" t="str">
        <x:v>DESIGN DEPTH PENDING</x:v>
      </x:c>
      <x:c r="J174" s="245" t="str">
        <x:v>Map the exact input/output/configuration/validation to a selected-node inspector, with typed ports and refusal/recovery as applicable.</x:v>
      </x:c>
      <x:c r="K174" s="245" t="str">
        <x:v>SEMANTIC REVIEW REQUIRED</x:v>
      </x:c>
    </x:row>
    <x:row r="175" ht="60" customHeight="1">
      <x:c r="A175" s="245" t="str">
        <x:v>TB-041</x:v>
      </x:c>
      <x:c r="B175" s="245" t="str">
        <x:v>Toolbox entry</x:v>
      </x:c>
      <x:c r="C175" s="245" t="str">
        <x:v>Yield decomposition</x:v>
      </x:c>
      <x:c r="D175" s="245" t="str">
        <x:v>M2 + M3</x:v>
      </x:c>
      <x:c r="E175" s="245" t="str">
        <x:v>T-265; T-267</x:v>
      </x:c>
      <x:c r="F175" s="245" t="str">
        <x:v>T-243; T-245; T-211; T-212; T-248</x:v>
      </x:c>
      <x:c r="G175" s="245" t="str">
        <x:v>PPIQ_Chapter4_Specific_Technical_Function_Description_v4.10.3.md §5.5.5 Group D - Process and quality specific</x:v>
      </x:c>
      <x:c r="H175" s="245" t="str">
        <x:v>TB-041</x:v>
      </x:c>
      <x:c r="I175" s="245" t="str">
        <x:v>DESIGN DEPTH PENDING</x:v>
      </x:c>
      <x:c r="J175" s="245" t="str">
        <x:v>Map the exact input/output/configuration/validation to a selected-node inspector, with typed ports and refusal/recovery as applicable.</x:v>
      </x:c>
      <x:c r="K175" s="245" t="str">
        <x:v>SEMANTIC REVIEW REQUIRED</x:v>
      </x:c>
    </x:row>
    <x:row r="176" ht="60" customHeight="1">
      <x:c r="A176" s="245" t="str">
        <x:v>TB-042</x:v>
      </x:c>
      <x:c r="B176" s="245" t="str">
        <x:v>Toolbox entry</x:v>
      </x:c>
      <x:c r="C176" s="245" t="str">
        <x:v>Downtime impact split</x:v>
      </x:c>
      <x:c r="D176" s="245" t="str">
        <x:v>M2 + M3</x:v>
      </x:c>
      <x:c r="E176" s="245" t="str">
        <x:v>T-265; T-267</x:v>
      </x:c>
      <x:c r="F176" s="245" t="str">
        <x:v>T-243; T-245; T-211; T-212; T-248</x:v>
      </x:c>
      <x:c r="G176" s="245" t="str">
        <x:v>PPIQ_Chapter4_Specific_Technical_Function_Description_v4.10.3.md §5.5.5 Group D - Process and quality specific</x:v>
      </x:c>
      <x:c r="H176" s="245" t="str">
        <x:v>TB-042</x:v>
      </x:c>
      <x:c r="I176" s="245" t="str">
        <x:v>DESIGN DEPTH PENDING</x:v>
      </x:c>
      <x:c r="J176" s="245" t="str">
        <x:v>Map the exact input/output/configuration/validation to a selected-node inspector, with typed ports and refusal/recovery as applicable.</x:v>
      </x:c>
      <x:c r="K176" s="245" t="str">
        <x:v>SEMANTIC REVIEW REQUIRED</x:v>
      </x:c>
    </x:row>
    <x:row r="177" ht="60" customHeight="1">
      <x:c r="A177" s="245" t="str">
        <x:v>TB-043</x:v>
      </x:c>
      <x:c r="B177" s="245" t="str">
        <x:v>Toolbox entry</x:v>
      </x:c>
      <x:c r="C177" s="245" t="str">
        <x:v>Transition analysis</x:v>
      </x:c>
      <x:c r="D177" s="245" t="str">
        <x:v>M2 + M3</x:v>
      </x:c>
      <x:c r="E177" s="245" t="str">
        <x:v>T-265; T-267</x:v>
      </x:c>
      <x:c r="F177" s="245" t="str">
        <x:v>T-243; T-245; T-211; T-212; T-248</x:v>
      </x:c>
      <x:c r="G177" s="245" t="str">
        <x:v>PPIQ_Chapter4_Specific_Technical_Function_Description_v4.10.3.md §5.5.5 Group D - Process and quality specific</x:v>
      </x:c>
      <x:c r="H177" s="245" t="str">
        <x:v>TB-043</x:v>
      </x:c>
      <x:c r="I177" s="245" t="str">
        <x:v>DESIGN DEPTH PENDING</x:v>
      </x:c>
      <x:c r="J177" s="245" t="str">
        <x:v>Map the exact input/output/configuration/validation to a selected-node inspector, with typed ports and refusal/recovery as applicable.</x:v>
      </x:c>
      <x:c r="K177" s="245" t="str">
        <x:v>SEMANTIC REVIEW REQUIRED</x:v>
      </x:c>
    </x:row>
    <x:row r="178" ht="60" customHeight="1">
      <x:c r="A178" s="245" t="str">
        <x:v>TB-044</x:v>
      </x:c>
      <x:c r="B178" s="245" t="str">
        <x:v>Toolbox entry</x:v>
      </x:c>
      <x:c r="C178" s="245" t="str">
        <x:v>Window comparison</x:v>
      </x:c>
      <x:c r="D178" s="245" t="str">
        <x:v>M2 + M3</x:v>
      </x:c>
      <x:c r="E178" s="245" t="str">
        <x:v>T-265; T-267</x:v>
      </x:c>
      <x:c r="F178" s="245" t="str">
        <x:v>T-243; T-245; T-211; T-212; T-248</x:v>
      </x:c>
      <x:c r="G178" s="245" t="str">
        <x:v>PPIQ_Chapter4_Specific_Technical_Function_Description_v4.10.3.md §5.5.5 Group D - Process and quality specific</x:v>
      </x:c>
      <x:c r="H178" s="245" t="str">
        <x:v>TB-044</x:v>
      </x:c>
      <x:c r="I178" s="245" t="str">
        <x:v>DESIGN DEPTH PENDING</x:v>
      </x:c>
      <x:c r="J178" s="245" t="str">
        <x:v>Map the exact input/output/configuration/validation to a selected-node inspector, with typed ports and refusal/recovery as applicable.</x:v>
      </x:c>
      <x:c r="K178" s="245" t="str">
        <x:v>SEMANTIC REVIEW REQUIRED</x:v>
      </x:c>
    </x:row>
    <x:row r="179" ht="60" customHeight="1">
      <x:c r="A179" s="245" t="str">
        <x:v>TB-045</x:v>
      </x:c>
      <x:c r="B179" s="245" t="str">
        <x:v>Toolbox entry</x:v>
      </x:c>
      <x:c r="C179" s="245" t="str">
        <x:v>Feature assembly</x:v>
      </x:c>
      <x:c r="D179" s="245" t="str">
        <x:v>M3</x:v>
      </x:c>
      <x:c r="E179" s="245" t="str">
        <x:v>T-267</x:v>
      </x:c>
      <x:c r="F179" s="245" t="str">
        <x:v>T-246; T-248; T-187</x:v>
      </x:c>
      <x:c r="G179" s="245" t="str">
        <x:v>PPIQ_Chapter4_Specific_Technical_Function_Description_v4.10.3.md §5.6.2 Group E - Feature engineering blocks</x:v>
      </x:c>
      <x:c r="H179" s="245" t="str">
        <x:v>TB-045</x:v>
      </x:c>
      <x:c r="I179" s="245" t="str">
        <x:v>DESIGN DEPTH PENDING</x:v>
      </x:c>
      <x:c r="J179" s="245" t="str">
        <x:v>Map the exact input/output/configuration/validation to a selected-node inspector, with typed ports and refusal/recovery as applicable.</x:v>
      </x:c>
      <x:c r="K179" s="245" t="str">
        <x:v>SEMANTIC REVIEW REQUIRED</x:v>
      </x:c>
    </x:row>
    <x:row r="180" ht="60" customHeight="1">
      <x:c r="A180" s="245" t="str">
        <x:v>TB-046</x:v>
      </x:c>
      <x:c r="B180" s="245" t="str">
        <x:v>Toolbox entry</x:v>
      </x:c>
      <x:c r="C180" s="245" t="str">
        <x:v>Genealogy roll-up</x:v>
      </x:c>
      <x:c r="D180" s="245" t="str">
        <x:v>M3</x:v>
      </x:c>
      <x:c r="E180" s="245" t="str">
        <x:v>T-267</x:v>
      </x:c>
      <x:c r="F180" s="245" t="str">
        <x:v>T-246; T-248; T-187</x:v>
      </x:c>
      <x:c r="G180" s="245" t="str">
        <x:v>PPIQ_Chapter4_Specific_Technical_Function_Description_v4.10.3.md §5.6.2 Group E - Feature engineering blocks</x:v>
      </x:c>
      <x:c r="H180" s="245" t="str">
        <x:v>TB-046</x:v>
      </x:c>
      <x:c r="I180" s="245" t="str">
        <x:v>DESIGN DEPTH PENDING</x:v>
      </x:c>
      <x:c r="J180" s="245" t="str">
        <x:v>Map the exact input/output/configuration/validation to a selected-node inspector, with typed ports and refusal/recovery as applicable.</x:v>
      </x:c>
      <x:c r="K180" s="245" t="str">
        <x:v>SEMANTIC REVIEW REQUIRED</x:v>
      </x:c>
    </x:row>
    <x:row r="181" ht="60" customHeight="1">
      <x:c r="A181" s="245" t="str">
        <x:v>TB-047</x:v>
      </x:c>
      <x:c r="B181" s="245" t="str">
        <x:v>Toolbox entry</x:v>
      </x:c>
      <x:c r="C181" s="245" t="str">
        <x:v>Lag feature</x:v>
      </x:c>
      <x:c r="D181" s="245" t="str">
        <x:v>M3</x:v>
      </x:c>
      <x:c r="E181" s="245" t="str">
        <x:v>T-267</x:v>
      </x:c>
      <x:c r="F181" s="245" t="str">
        <x:v>T-246; T-248; T-187</x:v>
      </x:c>
      <x:c r="G181" s="245" t="str">
        <x:v>PPIQ_Chapter4_Specific_Technical_Function_Description_v4.10.3.md §5.6.2 Group E - Feature engineering blocks</x:v>
      </x:c>
      <x:c r="H181" s="245" t="str">
        <x:v>TB-047</x:v>
      </x:c>
      <x:c r="I181" s="245" t="str">
        <x:v>DESIGN DEPTH PENDING</x:v>
      </x:c>
      <x:c r="J181" s="245" t="str">
        <x:v>Map the exact input/output/configuration/validation to a selected-node inspector, with typed ports and refusal/recovery as applicable.</x:v>
      </x:c>
      <x:c r="K181" s="245" t="str">
        <x:v>SEMANTIC REVIEW REQUIRED</x:v>
      </x:c>
    </x:row>
    <x:row r="182" ht="60" customHeight="1">
      <x:c r="A182" s="245" t="str">
        <x:v>TB-048</x:v>
      </x:c>
      <x:c r="B182" s="245" t="str">
        <x:v>Toolbox entry</x:v>
      </x:c>
      <x:c r="C182" s="245" t="str">
        <x:v>Rolling window feature</x:v>
      </x:c>
      <x:c r="D182" s="245" t="str">
        <x:v>M3</x:v>
      </x:c>
      <x:c r="E182" s="245" t="str">
        <x:v>T-267</x:v>
      </x:c>
      <x:c r="F182" s="245" t="str">
        <x:v>T-246; T-248; T-187</x:v>
      </x:c>
      <x:c r="G182" s="245" t="str">
        <x:v>PPIQ_Chapter4_Specific_Technical_Function_Description_v4.10.3.md §5.6.2 Group E - Feature engineering blocks</x:v>
      </x:c>
      <x:c r="H182" s="245" t="str">
        <x:v>TB-048</x:v>
      </x:c>
      <x:c r="I182" s="245" t="str">
        <x:v>DESIGN DEPTH PENDING</x:v>
      </x:c>
      <x:c r="J182" s="245" t="str">
        <x:v>Map the exact input/output/configuration/validation to a selected-node inspector, with typed ports and refusal/recovery as applicable.</x:v>
      </x:c>
      <x:c r="K182" s="245" t="str">
        <x:v>SEMANTIC REVIEW REQUIRED</x:v>
      </x:c>
    </x:row>
    <x:row r="183" ht="60" customHeight="1">
      <x:c r="A183" s="245" t="str">
        <x:v>TB-049</x:v>
      </x:c>
      <x:c r="B183" s="245" t="str">
        <x:v>Toolbox entry</x:v>
      </x:c>
      <x:c r="C183" s="245" t="str">
        <x:v>Binning</x:v>
      </x:c>
      <x:c r="D183" s="245" t="str">
        <x:v>M3</x:v>
      </x:c>
      <x:c r="E183" s="245" t="str">
        <x:v>T-267</x:v>
      </x:c>
      <x:c r="F183" s="245" t="str">
        <x:v>T-246; T-248; T-187</x:v>
      </x:c>
      <x:c r="G183" s="245" t="str">
        <x:v>PPIQ_Chapter4_Specific_Technical_Function_Description_v4.10.3.md §5.6.2 Group E - Feature engineering blocks</x:v>
      </x:c>
      <x:c r="H183" s="245" t="str">
        <x:v>TB-049</x:v>
      </x:c>
      <x:c r="I183" s="245" t="str">
        <x:v>DESIGN DEPTH PENDING</x:v>
      </x:c>
      <x:c r="J183" s="245" t="str">
        <x:v>Map the exact input/output/configuration/validation to a selected-node inspector, with typed ports and refusal/recovery as applicable.</x:v>
      </x:c>
      <x:c r="K183" s="245" t="str">
        <x:v>SEMANTIC REVIEW REQUIRED</x:v>
      </x:c>
    </x:row>
    <x:row r="184" ht="60" customHeight="1">
      <x:c r="A184" s="245" t="str">
        <x:v>TB-050</x:v>
      </x:c>
      <x:c r="B184" s="245" t="str">
        <x:v>Toolbox entry</x:v>
      </x:c>
      <x:c r="C184" s="245" t="str">
        <x:v>Encoding</x:v>
      </x:c>
      <x:c r="D184" s="245" t="str">
        <x:v>M3</x:v>
      </x:c>
      <x:c r="E184" s="245" t="str">
        <x:v>T-267</x:v>
      </x:c>
      <x:c r="F184" s="245" t="str">
        <x:v>T-246; T-248; T-187</x:v>
      </x:c>
      <x:c r="G184" s="245" t="str">
        <x:v>PPIQ_Chapter4_Specific_Technical_Function_Description_v4.10.3.md §5.6.2 Group E - Feature engineering blocks</x:v>
      </x:c>
      <x:c r="H184" s="245" t="str">
        <x:v>TB-050</x:v>
      </x:c>
      <x:c r="I184" s="245" t="str">
        <x:v>DESIGN DEPTH PENDING</x:v>
      </x:c>
      <x:c r="J184" s="245" t="str">
        <x:v>Map the exact input/output/configuration/validation to a selected-node inspector, with typed ports and refusal/recovery as applicable.</x:v>
      </x:c>
      <x:c r="K184" s="245" t="str">
        <x:v>SEMANTIC REVIEW REQUIRED</x:v>
      </x:c>
    </x:row>
    <x:row r="185" ht="60" customHeight="1">
      <x:c r="A185" s="245" t="str">
        <x:v>TB-051</x:v>
      </x:c>
      <x:c r="B185" s="245" t="str">
        <x:v>Toolbox entry</x:v>
      </x:c>
      <x:c r="C185" s="245" t="str">
        <x:v>Missing-value policy</x:v>
      </x:c>
      <x:c r="D185" s="245" t="str">
        <x:v>M3</x:v>
      </x:c>
      <x:c r="E185" s="245" t="str">
        <x:v>T-267</x:v>
      </x:c>
      <x:c r="F185" s="245" t="str">
        <x:v>T-246; T-248; T-187</x:v>
      </x:c>
      <x:c r="G185" s="245" t="str">
        <x:v>PPIQ_Chapter4_Specific_Technical_Function_Description_v4.10.3.md §5.6.2 Group E - Feature engineering blocks</x:v>
      </x:c>
      <x:c r="H185" s="245" t="str">
        <x:v>TB-051</x:v>
      </x:c>
      <x:c r="I185" s="245" t="str">
        <x:v>DESIGN DEPTH PENDING</x:v>
      </x:c>
      <x:c r="J185" s="245" t="str">
        <x:v>Map the exact input/output/configuration/validation to a selected-node inspector, with typed ports and refusal/recovery as applicable.</x:v>
      </x:c>
      <x:c r="K185" s="245" t="str">
        <x:v>SEMANTIC REVIEW REQUIRED</x:v>
      </x:c>
    </x:row>
    <x:row r="186" ht="60" customHeight="1">
      <x:c r="A186" s="245" t="str">
        <x:v>TB-052</x:v>
      </x:c>
      <x:c r="B186" s="245" t="str">
        <x:v>Toolbox entry</x:v>
      </x:c>
      <x:c r="C186" s="245" t="str">
        <x:v>Scaling</x:v>
      </x:c>
      <x:c r="D186" s="245" t="str">
        <x:v>M3</x:v>
      </x:c>
      <x:c r="E186" s="245" t="str">
        <x:v>T-267</x:v>
      </x:c>
      <x:c r="F186" s="245" t="str">
        <x:v>T-246; T-248; T-187</x:v>
      </x:c>
      <x:c r="G186" s="245" t="str">
        <x:v>PPIQ_Chapter4_Specific_Technical_Function_Description_v4.10.3.md §5.6.2 Group E - Feature engineering blocks</x:v>
      </x:c>
      <x:c r="H186" s="245" t="str">
        <x:v>TB-052</x:v>
      </x:c>
      <x:c r="I186" s="245" t="str">
        <x:v>DESIGN DEPTH PENDING</x:v>
      </x:c>
      <x:c r="J186" s="245" t="str">
        <x:v>Map the exact input/output/configuration/validation to a selected-node inspector, with typed ports and refusal/recovery as applicable.</x:v>
      </x:c>
      <x:c r="K186" s="245" t="str">
        <x:v>SEMANTIC REVIEW REQUIRED</x:v>
      </x:c>
    </x:row>
    <x:row r="187" ht="60" customHeight="1">
      <x:c r="A187" s="245" t="str">
        <x:v>TB-053</x:v>
      </x:c>
      <x:c r="B187" s="245" t="str">
        <x:v>Toolbox entry</x:v>
      </x:c>
      <x:c r="C187" s="245" t="str">
        <x:v>Train/validation split</x:v>
      </x:c>
      <x:c r="D187" s="245" t="str">
        <x:v>M3</x:v>
      </x:c>
      <x:c r="E187" s="245" t="str">
        <x:v>T-267</x:v>
      </x:c>
      <x:c r="F187" s="245" t="str">
        <x:v>T-246; T-248; T-187</x:v>
      </x:c>
      <x:c r="G187" s="245" t="str">
        <x:v>PPIQ_Chapter4_Specific_Technical_Function_Description_v4.10.3.md §5.6.3 Group F - Model blocks</x:v>
      </x:c>
      <x:c r="H187" s="245" t="str">
        <x:v>TB-053</x:v>
      </x:c>
      <x:c r="I187" s="245" t="str">
        <x:v>DESIGN DEPTH PENDING</x:v>
      </x:c>
      <x:c r="J187" s="245" t="str">
        <x:v>Map the exact input/output/configuration/validation to a selected-node inspector, with typed ports and refusal/recovery as applicable.</x:v>
      </x:c>
      <x:c r="K187" s="245" t="str">
        <x:v>SEMANTIC REVIEW REQUIRED</x:v>
      </x:c>
    </x:row>
    <x:row r="188" ht="60" customHeight="1">
      <x:c r="A188" s="245" t="str">
        <x:v>TB-054</x:v>
      </x:c>
      <x:c r="B188" s="245" t="str">
        <x:v>Toolbox entry</x:v>
      </x:c>
      <x:c r="C188" s="245" t="str">
        <x:v>Classification model</x:v>
      </x:c>
      <x:c r="D188" s="245" t="str">
        <x:v>M3</x:v>
      </x:c>
      <x:c r="E188" s="245" t="str">
        <x:v>T-267</x:v>
      </x:c>
      <x:c r="F188" s="245" t="str">
        <x:v>T-246; T-248; T-187</x:v>
      </x:c>
      <x:c r="G188" s="245" t="str">
        <x:v>PPIQ_Chapter4_Specific_Technical_Function_Description_v4.10.3.md §5.6.3 Group F - Model blocks</x:v>
      </x:c>
      <x:c r="H188" s="245" t="str">
        <x:v>TB-054</x:v>
      </x:c>
      <x:c r="I188" s="245" t="str">
        <x:v>DESIGN DEPTH PENDING</x:v>
      </x:c>
      <x:c r="J188" s="245" t="str">
        <x:v>Map the exact input/output/configuration/validation to a selected-node inspector, with typed ports and refusal/recovery as applicable.</x:v>
      </x:c>
      <x:c r="K188" s="245" t="str">
        <x:v>SEMANTIC REVIEW REQUIRED</x:v>
      </x:c>
    </x:row>
    <x:row r="189" ht="60" customHeight="1">
      <x:c r="A189" s="245" t="str">
        <x:v>TB-055</x:v>
      </x:c>
      <x:c r="B189" s="245" t="str">
        <x:v>Toolbox entry</x:v>
      </x:c>
      <x:c r="C189" s="245" t="str">
        <x:v>Regression model</x:v>
      </x:c>
      <x:c r="D189" s="245" t="str">
        <x:v>M3</x:v>
      </x:c>
      <x:c r="E189" s="245" t="str">
        <x:v>T-267</x:v>
      </x:c>
      <x:c r="F189" s="245" t="str">
        <x:v>T-246; T-248; T-187</x:v>
      </x:c>
      <x:c r="G189" s="245" t="str">
        <x:v>PPIQ_Chapter4_Specific_Technical_Function_Description_v4.10.3.md §5.6.3 Group F - Model blocks</x:v>
      </x:c>
      <x:c r="H189" s="245" t="str">
        <x:v>TB-055</x:v>
      </x:c>
      <x:c r="I189" s="245" t="str">
        <x:v>DESIGN DEPTH PENDING</x:v>
      </x:c>
      <x:c r="J189" s="245" t="str">
        <x:v>Map the exact input/output/configuration/validation to a selected-node inspector, with typed ports and refusal/recovery as applicable.</x:v>
      </x:c>
      <x:c r="K189" s="245" t="str">
        <x:v>SEMANTIC REVIEW REQUIRED</x:v>
      </x:c>
    </x:row>
    <x:row r="190" ht="60" customHeight="1">
      <x:c r="A190" s="245" t="str">
        <x:v>TB-056</x:v>
      </x:c>
      <x:c r="B190" s="245" t="str">
        <x:v>Toolbox entry</x:v>
      </x:c>
      <x:c r="C190" s="245" t="str">
        <x:v>Anomaly detection</x:v>
      </x:c>
      <x:c r="D190" s="245" t="str">
        <x:v>M3</x:v>
      </x:c>
      <x:c r="E190" s="245" t="str">
        <x:v>T-267</x:v>
      </x:c>
      <x:c r="F190" s="245" t="str">
        <x:v>T-246; T-248; T-187</x:v>
      </x:c>
      <x:c r="G190" s="245" t="str">
        <x:v>PPIQ_Chapter4_Specific_Technical_Function_Description_v4.10.3.md §5.6.3 Group F - Model blocks</x:v>
      </x:c>
      <x:c r="H190" s="245" t="str">
        <x:v>TB-056</x:v>
      </x:c>
      <x:c r="I190" s="245" t="str">
        <x:v>DESIGN DEPTH PENDING</x:v>
      </x:c>
      <x:c r="J190" s="245" t="str">
        <x:v>Map the exact input/output/configuration/validation to a selected-node inspector, with typed ports and refusal/recovery as applicable.</x:v>
      </x:c>
      <x:c r="K190" s="245" t="str">
        <x:v>SEMANTIC REVIEW REQUIRED</x:v>
      </x:c>
    </x:row>
    <x:row r="191" ht="60" customHeight="1">
      <x:c r="A191" s="245" t="str">
        <x:v>TB-057</x:v>
      </x:c>
      <x:c r="B191" s="245" t="str">
        <x:v>Toolbox entry</x:v>
      </x:c>
      <x:c r="C191" s="245" t="str">
        <x:v>Clustering</x:v>
      </x:c>
      <x:c r="D191" s="245" t="str">
        <x:v>M3</x:v>
      </x:c>
      <x:c r="E191" s="245" t="str">
        <x:v>T-267</x:v>
      </x:c>
      <x:c r="F191" s="245" t="str">
        <x:v>T-246; T-248; T-187</x:v>
      </x:c>
      <x:c r="G191" s="245" t="str">
        <x:v>PPIQ_Chapter4_Specific_Technical_Function_Description_v4.10.3.md §5.6.3 Group F - Model blocks</x:v>
      </x:c>
      <x:c r="H191" s="245" t="str">
        <x:v>TB-057</x:v>
      </x:c>
      <x:c r="I191" s="245" t="str">
        <x:v>DESIGN DEPTH PENDING</x:v>
      </x:c>
      <x:c r="J191" s="245" t="str">
        <x:v>Map the exact input/output/configuration/validation to a selected-node inspector, with typed ports and refusal/recovery as applicable.</x:v>
      </x:c>
      <x:c r="K191" s="245" t="str">
        <x:v>SEMANTIC REVIEW REQUIRED</x:v>
      </x:c>
    </x:row>
    <x:row r="192" ht="60" customHeight="1">
      <x:c r="A192" s="245" t="str">
        <x:v>TB-058</x:v>
      </x:c>
      <x:c r="B192" s="245" t="str">
        <x:v>Toolbox entry</x:v>
      </x:c>
      <x:c r="C192" s="245" t="str">
        <x:v>Feature importance</x:v>
      </x:c>
      <x:c r="D192" s="245" t="str">
        <x:v>M3</x:v>
      </x:c>
      <x:c r="E192" s="245" t="str">
        <x:v>T-267</x:v>
      </x:c>
      <x:c r="F192" s="245" t="str">
        <x:v>T-246; T-248; T-187</x:v>
      </x:c>
      <x:c r="G192" s="245" t="str">
        <x:v>PPIQ_Chapter4_Specific_Technical_Function_Description_v4.10.3.md §5.6.3 Group F - Model blocks</x:v>
      </x:c>
      <x:c r="H192" s="245" t="str">
        <x:v>TB-058</x:v>
      </x:c>
      <x:c r="I192" s="245" t="str">
        <x:v>DESIGN DEPTH PENDING</x:v>
      </x:c>
      <x:c r="J192" s="245" t="str">
        <x:v>Map the exact input/output/configuration/validation to a selected-node inspector, with typed ports and refusal/recovery as applicable.</x:v>
      </x:c>
      <x:c r="K192" s="245" t="str">
        <x:v>SEMANTIC REVIEW REQUIRED</x:v>
      </x:c>
    </x:row>
    <x:row r="193" ht="60" customHeight="1">
      <x:c r="A193" s="245" t="str">
        <x:v>TB-059</x:v>
      </x:c>
      <x:c r="B193" s="245" t="str">
        <x:v>Toolbox entry</x:v>
      </x:c>
      <x:c r="C193" s="245" t="str">
        <x:v>Partial dependence</x:v>
      </x:c>
      <x:c r="D193" s="245" t="str">
        <x:v>M3</x:v>
      </x:c>
      <x:c r="E193" s="245" t="str">
        <x:v>T-267</x:v>
      </x:c>
      <x:c r="F193" s="245" t="str">
        <x:v>T-246; T-248; T-187</x:v>
      </x:c>
      <x:c r="G193" s="245" t="str">
        <x:v>PPIQ_Chapter4_Specific_Technical_Function_Description_v4.10.3.md §5.6.3 Group F - Model blocks</x:v>
      </x:c>
      <x:c r="H193" s="245" t="str">
        <x:v>TB-059</x:v>
      </x:c>
      <x:c r="I193" s="245" t="str">
        <x:v>DESIGN DEPTH PENDING</x:v>
      </x:c>
      <x:c r="J193" s="245" t="str">
        <x:v>Map the exact input/output/configuration/validation to a selected-node inspector, with typed ports and refusal/recovery as applicable.</x:v>
      </x:c>
      <x:c r="K193" s="245" t="str">
        <x:v>SEMANTIC REVIEW REQUIRED</x:v>
      </x:c>
    </x:row>
    <x:row r="194" ht="60" customHeight="1">
      <x:c r="A194" s="245" t="str">
        <x:v>TB-060</x:v>
      </x:c>
      <x:c r="B194" s="245" t="str">
        <x:v>Toolbox entry</x:v>
      </x:c>
      <x:c r="C194" s="245" t="str">
        <x:v>Model evaluation</x:v>
      </x:c>
      <x:c r="D194" s="245" t="str">
        <x:v>M3</x:v>
      </x:c>
      <x:c r="E194" s="245" t="str">
        <x:v>T-267</x:v>
      </x:c>
      <x:c r="F194" s="245" t="str">
        <x:v>T-246; T-248; T-187</x:v>
      </x:c>
      <x:c r="G194" s="245" t="str">
        <x:v>PPIQ_Chapter4_Specific_Technical_Function_Description_v4.10.3.md §5.6.3 Group F - Model blocks</x:v>
      </x:c>
      <x:c r="H194" s="245" t="str">
        <x:v>TB-060</x:v>
      </x:c>
      <x:c r="I194" s="245" t="str">
        <x:v>DESIGN DEPTH PENDING</x:v>
      </x:c>
      <x:c r="J194" s="245" t="str">
        <x:v>Map the exact input/output/configuration/validation to a selected-node inspector, with typed ports and refusal/recovery as applicable.</x:v>
      </x:c>
      <x:c r="K194" s="245" t="str">
        <x:v>SEMANTIC REVIEW REQUIRED</x:v>
      </x:c>
    </x:row>
    <x:row r="195" ht="60" customHeight="1">
      <x:c r="A195" s="245" t="str">
        <x:v>TB-061</x:v>
      </x:c>
      <x:c r="B195" s="245" t="str">
        <x:v>Toolbox entry</x:v>
      </x:c>
      <x:c r="C195" s="245" t="str">
        <x:v>Calibration</x:v>
      </x:c>
      <x:c r="D195" s="245" t="str">
        <x:v>M3</x:v>
      </x:c>
      <x:c r="E195" s="245" t="str">
        <x:v>T-267</x:v>
      </x:c>
      <x:c r="F195" s="245" t="str">
        <x:v>T-246; T-248; T-187</x:v>
      </x:c>
      <x:c r="G195" s="245" t="str">
        <x:v>PPIQ_Chapter4_Specific_Technical_Function_Description_v4.10.3.md §5.6.3 Group F - Model blocks</x:v>
      </x:c>
      <x:c r="H195" s="245" t="str">
        <x:v>TB-061</x:v>
      </x:c>
      <x:c r="I195" s="245" t="str">
        <x:v>DESIGN DEPTH PENDING</x:v>
      </x:c>
      <x:c r="J195" s="245" t="str">
        <x:v>Map the exact input/output/configuration/validation to a selected-node inspector, with typed ports and refusal/recovery as applicable.</x:v>
      </x:c>
      <x:c r="K195" s="245" t="str">
        <x:v>SEMANTIC REVIEW REQUIRED</x:v>
      </x:c>
    </x:row>
    <x:row r="196" ht="60" customHeight="1">
      <x:c r="A196" s="245" t="str">
        <x:v>TB-062</x:v>
      </x:c>
      <x:c r="B196" s="245" t="str">
        <x:v>Toolbox entry</x:v>
      </x:c>
      <x:c r="C196" s="245" t="str">
        <x:v>Scoring</x:v>
      </x:c>
      <x:c r="D196" s="245" t="str">
        <x:v>M3</x:v>
      </x:c>
      <x:c r="E196" s="245" t="str">
        <x:v>T-267</x:v>
      </x:c>
      <x:c r="F196" s="245" t="str">
        <x:v>T-246; T-248; T-187</x:v>
      </x:c>
      <x:c r="G196" s="245" t="str">
        <x:v>PPIQ_Chapter4_Specific_Technical_Function_Description_v4.10.3.md §5.6.3 Group F - Model blocks</x:v>
      </x:c>
      <x:c r="H196" s="245" t="str">
        <x:v>TB-062</x:v>
      </x:c>
      <x:c r="I196" s="245" t="str">
        <x:v>DESIGN DEPTH PENDING</x:v>
      </x:c>
      <x:c r="J196" s="245" t="str">
        <x:v>Map the exact input/output/configuration/validation to a selected-node inspector, with typed ports and refusal/recovery as applicable.</x:v>
      </x:c>
      <x:c r="K196" s="245" t="str">
        <x:v>SEMANTIC REVIEW REQUIRED</x:v>
      </x:c>
    </x:row>
    <x:row r="197" ht="60" customHeight="1">
      <x:c r="A197" s="245" t="str">
        <x:v>TB-063</x:v>
      </x:c>
      <x:c r="B197" s="245" t="str">
        <x:v>Toolbox entry</x:v>
      </x:c>
      <x:c r="C197" s="245" t="str">
        <x:v>Early-stage risk score</x:v>
      </x:c>
      <x:c r="D197" s="245" t="str">
        <x:v>M3</x:v>
      </x:c>
      <x:c r="E197" s="245" t="str">
        <x:v>T-267</x:v>
      </x:c>
      <x:c r="F197" s="245" t="str">
        <x:v>T-246; T-248; T-187</x:v>
      </x:c>
      <x:c r="G197" s="245" t="str">
        <x:v>PPIQ_Chapter4_Specific_Technical_Function_Description_v4.10.3.md §5.6.4 Group G - Prediction and recommendation</x:v>
      </x:c>
      <x:c r="H197" s="245" t="str">
        <x:v>TB-063</x:v>
      </x:c>
      <x:c r="I197" s="245" t="str">
        <x:v>DESIGN DEPTH PENDING</x:v>
      </x:c>
      <x:c r="J197" s="245" t="str">
        <x:v>Map the exact input/output/configuration/validation to a selected-node inspector, with typed ports and refusal/recovery as applicable.</x:v>
      </x:c>
      <x:c r="K197" s="245" t="str">
        <x:v>SEMANTIC REVIEW REQUIRED</x:v>
      </x:c>
    </x:row>
    <x:row r="198" ht="60" customHeight="1">
      <x:c r="A198" s="245" t="str">
        <x:v>TB-064</x:v>
      </x:c>
      <x:c r="B198" s="245" t="str">
        <x:v>Toolbox entry</x:v>
      </x:c>
      <x:c r="C198" s="245" t="str">
        <x:v>Downstream remediation search</x:v>
      </x:c>
      <x:c r="D198" s="245" t="str">
        <x:v>M3</x:v>
      </x:c>
      <x:c r="E198" s="245" t="str">
        <x:v>T-267</x:v>
      </x:c>
      <x:c r="F198" s="245" t="str">
        <x:v>T-246; T-248; T-187</x:v>
      </x:c>
      <x:c r="G198" s="245" t="str">
        <x:v>PPIQ_Chapter4_Specific_Technical_Function_Description_v4.10.3.md §5.6.4 Group G - Prediction and recommendation</x:v>
      </x:c>
      <x:c r="H198" s="245" t="str">
        <x:v>TB-064</x:v>
      </x:c>
      <x:c r="I198" s="245" t="str">
        <x:v>DESIGN DEPTH PENDING</x:v>
      </x:c>
      <x:c r="J198" s="245" t="str">
        <x:v>Map the exact input/output/configuration/validation to a selected-node inspector, with typed ports and refusal/recovery as applicable.</x:v>
      </x:c>
      <x:c r="K198" s="245" t="str">
        <x:v>SEMANTIC REVIEW REQUIRED</x:v>
      </x:c>
    </x:row>
    <x:row r="199" ht="60" customHeight="1">
      <x:c r="A199" s="245" t="str">
        <x:v>TB-065</x:v>
      </x:c>
      <x:c r="B199" s="245" t="str">
        <x:v>Toolbox entry</x:v>
      </x:c>
      <x:c r="C199" s="245" t="str">
        <x:v>Practice comparison</x:v>
      </x:c>
      <x:c r="D199" s="245" t="str">
        <x:v>M3</x:v>
      </x:c>
      <x:c r="E199" s="245" t="str">
        <x:v>T-267</x:v>
      </x:c>
      <x:c r="F199" s="245" t="str">
        <x:v>T-246; T-248; T-187</x:v>
      </x:c>
      <x:c r="G199" s="245" t="str">
        <x:v>PPIQ_Chapter4_Specific_Technical_Function_Description_v4.10.3.md §5.6.4 Group G - Prediction and recommendation</x:v>
      </x:c>
      <x:c r="H199" s="245" t="str">
        <x:v>TB-065</x:v>
      </x:c>
      <x:c r="I199" s="245" t="str">
        <x:v>DESIGN DEPTH PENDING</x:v>
      </x:c>
      <x:c r="J199" s="245" t="str">
        <x:v>Map the exact input/output/configuration/validation to a selected-node inspector, with typed ports and refusal/recovery as applicable.</x:v>
      </x:c>
      <x:c r="K199" s="245" t="str">
        <x:v>SEMANTIC REVIEW REQUIRED</x:v>
      </x:c>
    </x:row>
    <x:row r="200" ht="60" customHeight="1">
      <x:c r="A200" s="245" t="str">
        <x:v>TB-066</x:v>
      </x:c>
      <x:c r="B200" s="245" t="str">
        <x:v>Toolbox entry</x:v>
      </x:c>
      <x:c r="C200" s="245" t="str">
        <x:v>Suggestion generation</x:v>
      </x:c>
      <x:c r="D200" s="245" t="str">
        <x:v>M3</x:v>
      </x:c>
      <x:c r="E200" s="245" t="str">
        <x:v>T-267</x:v>
      </x:c>
      <x:c r="F200" s="245" t="str">
        <x:v>T-246; T-248; T-187</x:v>
      </x:c>
      <x:c r="G200" s="245" t="str">
        <x:v>PPIQ_Chapter4_Specific_Technical_Function_Description_v4.10.3.md §5.6.4 Group G - Prediction and recommendation</x:v>
      </x:c>
      <x:c r="H200" s="245" t="str">
        <x:v>TB-066</x:v>
      </x:c>
      <x:c r="I200" s="245" t="str">
        <x:v>DESIGN DEPTH PENDING</x:v>
      </x:c>
      <x:c r="J200" s="245" t="str">
        <x:v>Map the exact input/output/configuration/validation to a selected-node inspector, with typed ports and refusal/recovery as applicable.</x:v>
      </x:c>
      <x:c r="K200" s="245" t="str">
        <x:v>SEMANTIC REVIEW REQUIRED</x:v>
      </x:c>
    </x:row>
    <x:row r="201" ht="60" customHeight="1">
      <x:c r="A201" s="245" t="str">
        <x:v>TB-067</x:v>
      </x:c>
      <x:c r="B201" s="245" t="str">
        <x:v>Toolbox entry</x:v>
      </x:c>
      <x:c r="C201" s="245" t="str">
        <x:v>Value attachment</x:v>
      </x:c>
      <x:c r="D201" s="245" t="str">
        <x:v>M3</x:v>
      </x:c>
      <x:c r="E201" s="245" t="str">
        <x:v>T-267</x:v>
      </x:c>
      <x:c r="F201" s="245" t="str">
        <x:v>T-246; T-248; T-187</x:v>
      </x:c>
      <x:c r="G201" s="245" t="str">
        <x:v>PPIQ_Chapter4_Specific_Technical_Function_Description_v4.10.3.md §5.6.4 Group G - Prediction and recommendation</x:v>
      </x:c>
      <x:c r="H201" s="245" t="str">
        <x:v>TB-067</x:v>
      </x:c>
      <x:c r="I201" s="245" t="str">
        <x:v>DESIGN DEPTH PENDING</x:v>
      </x:c>
      <x:c r="J201" s="245" t="str">
        <x:v>Map the exact input/output/configuration/validation to a selected-node inspector, with typed ports and refusal/recovery as applicable.</x:v>
      </x:c>
      <x:c r="K201" s="245" t="str">
        <x:v>SEMANTIC REVIEW REQUIRED</x:v>
      </x:c>
    </x:row>
    <x:row r="202" ht="60" customHeight="1">
      <x:c r="A202" s="245" t="str">
        <x:v>TB-068</x:v>
      </x:c>
      <x:c r="B202" s="245" t="str">
        <x:v>Toolbox entry</x:v>
      </x:c>
      <x:c r="C202" s="245" t="str">
        <x:v>Practice reconstruction</x:v>
      </x:c>
      <x:c r="D202" s="245" t="str">
        <x:v>M3</x:v>
      </x:c>
      <x:c r="E202" s="245" t="str">
        <x:v>T-267</x:v>
      </x:c>
      <x:c r="F202" s="245" t="str">
        <x:v>T-246; T-248; T-187</x:v>
      </x:c>
      <x:c r="G202" s="245" t="str">
        <x:v>PPIQ_Chapter4_Specific_Technical_Function_Description_v4.10.3.md §5.6.4a Practice authoring blocks - Group G2 (guideline 1.3.b)</x:v>
      </x:c>
      <x:c r="H202" s="245" t="str">
        <x:v>TB-068</x:v>
      </x:c>
      <x:c r="I202" s="245" t="str">
        <x:v>DESIGN DEPTH PENDING</x:v>
      </x:c>
      <x:c r="J202" s="245" t="str">
        <x:v>Map the exact input/output/configuration/validation to a selected-node inspector, with typed ports and refusal/recovery as applicable.</x:v>
      </x:c>
      <x:c r="K202" s="245" t="str">
        <x:v>SEMANTIC REVIEW REQUIRED</x:v>
      </x:c>
    </x:row>
    <x:row r="203" ht="60" customHeight="1">
      <x:c r="A203" s="245" t="str">
        <x:v>TB-069</x:v>
      </x:c>
      <x:c r="B203" s="245" t="str">
        <x:v>Toolbox entry</x:v>
      </x:c>
      <x:c r="C203" s="245" t="str">
        <x:v>Practice-outcome linkage</x:v>
      </x:c>
      <x:c r="D203" s="245" t="str">
        <x:v>M3</x:v>
      </x:c>
      <x:c r="E203" s="245" t="str">
        <x:v>T-267</x:v>
      </x:c>
      <x:c r="F203" s="245" t="str">
        <x:v>T-246; T-248; T-187</x:v>
      </x:c>
      <x:c r="G203" s="245" t="str">
        <x:v>PPIQ_Chapter4_Specific_Technical_Function_Description_v4.10.3.md §5.6.4a Practice authoring blocks - Group G2 (guideline 1.3.b)</x:v>
      </x:c>
      <x:c r="H203" s="245" t="str">
        <x:v>TB-069</x:v>
      </x:c>
      <x:c r="I203" s="245" t="str">
        <x:v>DESIGN DEPTH PENDING</x:v>
      </x:c>
      <x:c r="J203" s="245" t="str">
        <x:v>Map the exact input/output/configuration/validation to a selected-node inspector, with typed ports and refusal/recovery as applicable.</x:v>
      </x:c>
      <x:c r="K203" s="245" t="str">
        <x:v>SEMANTIC REVIEW REQUIRED</x:v>
      </x:c>
    </x:row>
    <x:row r="204" ht="60" customHeight="1">
      <x:c r="A204" s="245" t="str">
        <x:v>TB-070</x:v>
      </x:c>
      <x:c r="B204" s="245" t="str">
        <x:v>Toolbox entry</x:v>
      </x:c>
      <x:c r="C204" s="245" t="str">
        <x:v>Best-practice benchmark</x:v>
      </x:c>
      <x:c r="D204" s="245" t="str">
        <x:v>M3</x:v>
      </x:c>
      <x:c r="E204" s="245" t="str">
        <x:v>T-267</x:v>
      </x:c>
      <x:c r="F204" s="245" t="str">
        <x:v>T-246; T-248; T-187</x:v>
      </x:c>
      <x:c r="G204" s="245" t="str">
        <x:v>PPIQ_Chapter4_Specific_Technical_Function_Description_v4.10.3.md §5.6.4a Practice authoring blocks - Group G2 (guideline 1.3.b)</x:v>
      </x:c>
      <x:c r="H204" s="245" t="str">
        <x:v>TB-070</x:v>
      </x:c>
      <x:c r="I204" s="245" t="str">
        <x:v>DESIGN DEPTH PENDING</x:v>
      </x:c>
      <x:c r="J204" s="245" t="str">
        <x:v>Map the exact input/output/configuration/validation to a selected-node inspector, with typed ports and refusal/recovery as applicable.</x:v>
      </x:c>
      <x:c r="K204" s="245" t="str">
        <x:v>SEMANTIC REVIEW REQUIRED</x:v>
      </x:c>
    </x:row>
    <x:row r="205" ht="60" customHeight="1">
      <x:c r="A205" s="245" t="str">
        <x:v>TB-071</x:v>
      </x:c>
      <x:c r="B205" s="245" t="str">
        <x:v>Toolbox entry</x:v>
      </x:c>
      <x:c r="C205" s="245" t="str">
        <x:v>Failure-practice linkage</x:v>
      </x:c>
      <x:c r="D205" s="245" t="str">
        <x:v>M3</x:v>
      </x:c>
      <x:c r="E205" s="245" t="str">
        <x:v>T-267</x:v>
      </x:c>
      <x:c r="F205" s="245" t="str">
        <x:v>T-246; T-248; T-187</x:v>
      </x:c>
      <x:c r="G205" s="245" t="str">
        <x:v>PPIQ_Chapter4_Specific_Technical_Function_Description_v4.10.3.md §5.6.4a Practice authoring blocks - Group G2 (guideline 1.3.b)</x:v>
      </x:c>
      <x:c r="H205" s="245" t="str">
        <x:v>TB-071</x:v>
      </x:c>
      <x:c r="I205" s="245" t="str">
        <x:v>DESIGN DEPTH PENDING</x:v>
      </x:c>
      <x:c r="J205" s="245" t="str">
        <x:v>Map the exact input/output/configuration/validation to a selected-node inspector, with typed ports and refusal/recovery as applicable.</x:v>
      </x:c>
      <x:c r="K205" s="245" t="str">
        <x:v>SEMANTIC REVIEW REQUIRED</x:v>
      </x:c>
    </x:row>
    <x:row r="206" ht="60" customHeight="1">
      <x:c r="A206" s="245" t="str">
        <x:v>TB-072</x:v>
      </x:c>
      <x:c r="B206" s="245" t="str">
        <x:v>Toolbox entry</x:v>
      </x:c>
      <x:c r="C206" s="245" t="str">
        <x:v>Drift detection</x:v>
      </x:c>
      <x:c r="D206" s="245" t="str">
        <x:v>M3</x:v>
      </x:c>
      <x:c r="E206" s="245" t="str">
        <x:v>T-267</x:v>
      </x:c>
      <x:c r="F206" s="245" t="str">
        <x:v>T-246; T-248; T-187</x:v>
      </x:c>
      <x:c r="G206" s="245" t="str">
        <x:v>PPIQ_Chapter4_Specific_Technical_Function_Description_v4.10.3.md §5.6.4a Practice authoring blocks - Group G2 (guideline 1.3.b)</x:v>
      </x:c>
      <x:c r="H206" s="245" t="str">
        <x:v>TB-072</x:v>
      </x:c>
      <x:c r="I206" s="245" t="str">
        <x:v>DESIGN DEPTH PENDING</x:v>
      </x:c>
      <x:c r="J206" s="245" t="str">
        <x:v>Map the exact input/output/configuration/validation to a selected-node inspector, with typed ports and refusal/recovery as applicable.</x:v>
      </x:c>
      <x:c r="K206" s="245" t="str">
        <x:v>SEMANTIC REVIEW REQUIRED</x:v>
      </x:c>
    </x:row>
    <x:row r="207" ht="60" customHeight="1">
      <x:c r="A207" s="245" t="str">
        <x:v>TB-073</x:v>
      </x:c>
      <x:c r="B207" s="245" t="str">
        <x:v>Engine classification reference</x:v>
      </x:c>
      <x:c r="C207" s="245" t="str">
        <x:v>Correlation</x:v>
      </x:c>
      <x:c r="D207" s="245" t="str">
        <x:v>M2 + M3</x:v>
      </x:c>
      <x:c r="E207" s="245" t="str">
        <x:v>T-265; T-267</x:v>
      </x:c>
      <x:c r="F207" s="245" t="str">
        <x:v>T-243; T-245; T-211; T-212; T-248</x:v>
      </x:c>
      <x:c r="G207" s="245" t="str">
        <x:v>PPIQ_Chapter4_Specific_Technical_Function_Description_v4.10.3.md §36.4 Naming discipline, ruled</x:v>
      </x:c>
      <x:c r="H207" s="245" t="str">
        <x:v>TB-073</x:v>
      </x:c>
      <x:c r="I207" s="245" t="str">
        <x:v>DESIGN DEPTH PENDING</x:v>
      </x:c>
      <x:c r="J207" s="245" t="str">
        <x:v>Reference classification row; reconcile with the actual registry. Not automatically another independent draggable block.</x:v>
      </x:c>
      <x:c r="K207" s="245" t="str">
        <x:v>SEMANTIC REVIEW REQUIRED</x:v>
      </x:c>
    </x:row>
    <x:row r="208" ht="60" customHeight="1">
      <x:c r="A208" s="245" t="str">
        <x:v>TB-074</x:v>
      </x:c>
      <x:c r="B208" s="245" t="str">
        <x:v>Engine classification reference</x:v>
      </x:c>
      <x:c r="C208" s="245" t="str">
        <x:v>Statistics</x:v>
      </x:c>
      <x:c r="D208" s="245" t="str">
        <x:v>M2 + M3</x:v>
      </x:c>
      <x:c r="E208" s="245" t="str">
        <x:v>T-265; T-267</x:v>
      </x:c>
      <x:c r="F208" s="245" t="str">
        <x:v>T-243; T-245; T-211; T-212; T-248</x:v>
      </x:c>
      <x:c r="G208" s="245" t="str">
        <x:v>PPIQ_Chapter4_Specific_Technical_Function_Description_v4.10.3.md §36.4 Naming discipline, ruled</x:v>
      </x:c>
      <x:c r="H208" s="245" t="str">
        <x:v>TB-074</x:v>
      </x:c>
      <x:c r="I208" s="245" t="str">
        <x:v>DESIGN DEPTH PENDING</x:v>
      </x:c>
      <x:c r="J208" s="245" t="str">
        <x:v>Reference classification row; reconcile with the actual registry. Not automatically another independent draggable block.</x:v>
      </x:c>
      <x:c r="K208" s="245" t="str">
        <x:v>SEMANTIC REVIEW REQUIRED</x:v>
      </x:c>
    </x:row>
    <x:row r="209" ht="60" customHeight="1">
      <x:c r="A209" s="245" t="str">
        <x:v>TB-075</x:v>
      </x:c>
      <x:c r="B209" s="245" t="str">
        <x:v>Engine classification reference</x:v>
      </x:c>
      <x:c r="C209" s="245" t="str">
        <x:v>Deep analysis</x:v>
      </x:c>
      <x:c r="D209" s="245" t="str">
        <x:v>M2 + M3</x:v>
      </x:c>
      <x:c r="E209" s="245" t="str">
        <x:v>T-265; T-267</x:v>
      </x:c>
      <x:c r="F209" s="245" t="str">
        <x:v>T-243; T-245; T-211; T-212; T-248</x:v>
      </x:c>
      <x:c r="G209" s="245" t="str">
        <x:v>PPIQ_Chapter4_Specific_Technical_Function_Description_v4.10.3.md §36.4 Naming discipline, ruled</x:v>
      </x:c>
      <x:c r="H209" s="245" t="str">
        <x:v>TB-075</x:v>
      </x:c>
      <x:c r="I209" s="245" t="str">
        <x:v>DESIGN DEPTH PENDING</x:v>
      </x:c>
      <x:c r="J209" s="245" t="str">
        <x:v>Reference classification row; reconcile with the actual registry. Not automatically another independent draggable block.</x:v>
      </x:c>
      <x:c r="K209" s="245" t="str">
        <x:v>SEMANTIC REVIEW REQUIRED</x:v>
      </x:c>
    </x:row>
    <x:row r="210" ht="60" customHeight="1">
      <x:c r="A210" s="245" t="str">
        <x:v>TB-076</x:v>
      </x:c>
      <x:c r="B210" s="245" t="str">
        <x:v>Engine classification reference</x:v>
      </x:c>
      <x:c r="C210" s="245" t="str">
        <x:v>Anomaly</x:v>
      </x:c>
      <x:c r="D210" s="245" t="str">
        <x:v>M3</x:v>
      </x:c>
      <x:c r="E210" s="245" t="str">
        <x:v>T-267</x:v>
      </x:c>
      <x:c r="F210" s="245" t="str">
        <x:v>T-246; T-248; T-187</x:v>
      </x:c>
      <x:c r="G210" s="245" t="str">
        <x:v>PPIQ_Chapter4_Specific_Technical_Function_Description_v4.10.3.md §36.4 Naming discipline, ruled</x:v>
      </x:c>
      <x:c r="H210" s="245" t="str">
        <x:v>TB-076</x:v>
      </x:c>
      <x:c r="I210" s="245" t="str">
        <x:v>DESIGN DEPTH PENDING</x:v>
      </x:c>
      <x:c r="J210" s="245" t="str">
        <x:v>Reference classification row; reconcile with the actual registry. Not automatically another independent draggable block.</x:v>
      </x:c>
      <x:c r="K210" s="245" t="str">
        <x:v>SEMANTIC REVIEW REQUIRED</x:v>
      </x:c>
    </x:row>
    <x:row r="211" ht="60" customHeight="1">
      <x:c r="A211" s="245" t="str">
        <x:v>TB-077</x:v>
      </x:c>
      <x:c r="B211" s="245" t="str">
        <x:v>Engine classification reference</x:v>
      </x:c>
      <x:c r="C211" s="245" t="str">
        <x:v>Similarity / fingerprint</x:v>
      </x:c>
      <x:c r="D211" s="245" t="str">
        <x:v>M3</x:v>
      </x:c>
      <x:c r="E211" s="245" t="str">
        <x:v>T-267</x:v>
      </x:c>
      <x:c r="F211" s="245" t="str">
        <x:v>T-246; T-248; T-187</x:v>
      </x:c>
      <x:c r="G211" s="245" t="str">
        <x:v>PPIQ_Chapter4_Specific_Technical_Function_Description_v4.10.3.md §36.4 Naming discipline, ruled</x:v>
      </x:c>
      <x:c r="H211" s="245" t="str">
        <x:v>TB-077</x:v>
      </x:c>
      <x:c r="I211" s="245" t="str">
        <x:v>DESIGN DEPTH PENDING</x:v>
      </x:c>
      <x:c r="J211" s="245" t="str">
        <x:v>Reference classification row; reconcile with the actual registry. Not automatically another independent draggable block.</x:v>
      </x:c>
      <x:c r="K211" s="245" t="str">
        <x:v>SEMANTIC REVIEW REQUIRED</x:v>
      </x:c>
    </x:row>
    <x:row r="212" ht="60" customHeight="1">
      <x:c r="A212" s="245" t="str">
        <x:v>TB-078</x:v>
      </x:c>
      <x:c r="B212" s="245" t="str">
        <x:v>Engine classification reference</x:v>
      </x:c>
      <x:c r="C212" s="245" t="str">
        <x:v>Supervised prediction</x:v>
      </x:c>
      <x:c r="D212" s="245" t="str">
        <x:v>M3</x:v>
      </x:c>
      <x:c r="E212" s="245" t="str">
        <x:v>T-267</x:v>
      </x:c>
      <x:c r="F212" s="245" t="str">
        <x:v>T-246; T-248; T-187</x:v>
      </x:c>
      <x:c r="G212" s="245" t="str">
        <x:v>PPIQ_Chapter4_Specific_Technical_Function_Description_v4.10.3.md §36.4 Naming discipline, ruled</x:v>
      </x:c>
      <x:c r="H212" s="245" t="str">
        <x:v>TB-078</x:v>
      </x:c>
      <x:c r="I212" s="245" t="str">
        <x:v>DESIGN DEPTH PENDING</x:v>
      </x:c>
      <x:c r="J212" s="245" t="str">
        <x:v>Reference classification row; reconcile with the actual registry. Not automatically another independent draggable block.</x:v>
      </x:c>
      <x:c r="K212" s="245" t="str">
        <x:v>SEMANTIC REVIEW REQUIRED</x:v>
      </x:c>
    </x:row>
    <x:row r="213" ht="60" customHeight="1">
      <x:c r="A213" s="245" t="str">
        <x:v>TB-079</x:v>
      </x:c>
      <x:c r="B213" s="245" t="str">
        <x:v>Engine classification reference</x:v>
      </x:c>
      <x:c r="C213" s="245" t="str">
        <x:v>Practice learning</x:v>
      </x:c>
      <x:c r="D213" s="245" t="str">
        <x:v>M3</x:v>
      </x:c>
      <x:c r="E213" s="245" t="str">
        <x:v>T-267</x:v>
      </x:c>
      <x:c r="F213" s="245" t="str">
        <x:v>T-246; T-248; T-187</x:v>
      </x:c>
      <x:c r="G213" s="245" t="str">
        <x:v>PPIQ_Chapter4_Specific_Technical_Function_Description_v4.10.3.md §36.4 Naming discipline, ruled</x:v>
      </x:c>
      <x:c r="H213" s="245" t="str">
        <x:v>TB-079</x:v>
      </x:c>
      <x:c r="I213" s="245" t="str">
        <x:v>DESIGN DEPTH PENDING</x:v>
      </x:c>
      <x:c r="J213" s="245" t="str">
        <x:v>Reference classification row; reconcile with the actual registry. Not automatically another independent draggable block.</x:v>
      </x:c>
      <x:c r="K213" s="245" t="str">
        <x:v>SEMANTIC REVIEW REQUIRED</x:v>
      </x:c>
    </x:row>
    <x:row r="214" ht="60" customHeight="1">
      <x:c r="A214" s="245" t="str">
        <x:v>TB-080</x:v>
      </x:c>
      <x:c r="B214" s="245" t="str">
        <x:v>Engine classification reference</x:v>
      </x:c>
      <x:c r="C214" s="245" t="str">
        <x:v>Remediation search</x:v>
      </x:c>
      <x:c r="D214" s="245" t="str">
        <x:v>M3</x:v>
      </x:c>
      <x:c r="E214" s="245" t="str">
        <x:v>T-267</x:v>
      </x:c>
      <x:c r="F214" s="245" t="str">
        <x:v>T-246; T-248; T-187</x:v>
      </x:c>
      <x:c r="G214" s="245" t="str">
        <x:v>PPIQ_Chapter4_Specific_Technical_Function_Description_v4.10.3.md §36.4 Naming discipline, ruled</x:v>
      </x:c>
      <x:c r="H214" s="245" t="str">
        <x:v>TB-080</x:v>
      </x:c>
      <x:c r="I214" s="245" t="str">
        <x:v>DESIGN DEPTH PENDING</x:v>
      </x:c>
      <x:c r="J214" s="245" t="str">
        <x:v>Reference classification row; reconcile with the actual registry. Not automatically another independent draggable block.</x:v>
      </x:c>
      <x:c r="K214" s="245" t="str">
        <x:v>SEMANTIC REVIEW REQUIRED</x:v>
      </x:c>
    </x:row>
    <x:row r="215" ht="60" customHeight="1">
      <x:c r="A215" s="245" t="str">
        <x:v>TB-081</x:v>
      </x:c>
      <x:c r="B215" s="245" t="str">
        <x:v>Engine classification reference</x:v>
      </x:c>
      <x:c r="C215" s="245" t="str">
        <x:v>Scenario</x:v>
      </x:c>
      <x:c r="D215" s="245" t="str">
        <x:v>M3</x:v>
      </x:c>
      <x:c r="E215" s="245" t="str">
        <x:v>T-267</x:v>
      </x:c>
      <x:c r="F215" s="245" t="str">
        <x:v>T-246; T-248; T-187</x:v>
      </x:c>
      <x:c r="G215" s="245" t="str">
        <x:v>PPIQ_Chapter4_Specific_Technical_Function_Description_v4.10.3.md §36.4 Naming discipline, ruled</x:v>
      </x:c>
      <x:c r="H215" s="245" t="str">
        <x:v>TB-081</x:v>
      </x:c>
      <x:c r="I215" s="245" t="str">
        <x:v>DESIGN DEPTH PENDING</x:v>
      </x:c>
      <x:c r="J215" s="245" t="str">
        <x:v>Reference classification row; reconcile with the actual registry. Not automatically another independent draggable block.</x:v>
      </x:c>
      <x:c r="K215" s="245" t="str">
        <x:v>SEMANTIC REVIEW REQUIRED</x:v>
      </x:c>
    </x:row>
    <x:row r="216" ht="60" customHeight="1">
      <x:c r="A216" s="245" t="str">
        <x:v>TB-082</x:v>
      </x:c>
      <x:c r="B216" s="245" t="str">
        <x:v>Engine classification reference</x:v>
      </x:c>
      <x:c r="C216" s="245" t="str">
        <x:v>Value</x:v>
      </x:c>
      <x:c r="D216" s="245" t="str">
        <x:v>M3</x:v>
      </x:c>
      <x:c r="E216" s="245" t="str">
        <x:v>T-267</x:v>
      </x:c>
      <x:c r="F216" s="245" t="str">
        <x:v>T-246; T-248; T-187</x:v>
      </x:c>
      <x:c r="G216" s="245" t="str">
        <x:v>PPIQ_Chapter4_Specific_Technical_Function_Description_v4.10.3.md §36.4 Naming discipline, ruled</x:v>
      </x:c>
      <x:c r="H216" s="245" t="str">
        <x:v>TB-082</x:v>
      </x:c>
      <x:c r="I216" s="245" t="str">
        <x:v>DESIGN DEPTH PENDING</x:v>
      </x:c>
      <x:c r="J216" s="245" t="str">
        <x:v>Reference classification row; reconcile with the actual registry. Not automatically another independent draggable block.</x:v>
      </x:c>
      <x:c r="K216" s="245" t="str">
        <x:v>SEMANTIC REVIEW REQUIRED</x:v>
      </x:c>
    </x:row>
    <x:row r="217" ht="60" customHeight="1">
      <x:c r="A217" s="245" t="str">
        <x:v>INS-01</x:v>
      </x:c>
      <x:c r="B217" s="245" t="str">
        <x:v>Property inspector</x:v>
      </x:c>
      <x:c r="C217" s="245" t="str">
        <x:v>Source</x:v>
      </x:c>
      <x:c r="D217" s="245" t="str">
        <x:v>M2 + M3</x:v>
      </x:c>
      <x:c r="E217" s="245" t="str">
        <x:v>T-265; T-267</x:v>
      </x:c>
      <x:c r="F217" s="245" t="str">
        <x:v>T-243; T-245; T-211; T-212; T-248</x:v>
      </x:c>
      <x:c r="G217" s="245" t="str">
        <x:v>PPIQ_Chapter4_Specific_Technical_Function_Description_v4.10.3.md §5.2.17 Per-block property inspectors</x:v>
      </x:c>
      <x:c r="H217" s="245" t="str">
        <x:v>INS-01</x:v>
      </x:c>
      <x:c r="I217" s="245" t="str">
        <x:v>DESIGN DEPTH PENDING</x:v>
      </x:c>
      <x:c r="J217" s="245" t="str">
        <x:v>Schema, table (typed pickers), row estimate, column checklist with types, sample toggle | Validation: Table must be registered; at least one column | Preview: First 20 rows</x:v>
      </x:c>
      <x:c r="K217" s="245" t="str">
        <x:v>SEMANTIC REVIEW REQUIRED</x:v>
      </x:c>
    </x:row>
    <x:row r="218" ht="60" customHeight="1">
      <x:c r="A218" s="245" t="str">
        <x:v>INS-02</x:v>
      </x:c>
      <x:c r="B218" s="245" t="str">
        <x:v>Property inspector</x:v>
      </x:c>
      <x:c r="C218" s="245" t="str">
        <x:v>Join</x:v>
      </x:c>
      <x:c r="D218" s="245" t="str">
        <x:v>M2 + M3</x:v>
      </x:c>
      <x:c r="E218" s="245" t="str">
        <x:v>T-265; T-267</x:v>
      </x:c>
      <x:c r="F218" s="245" t="str">
        <x:v>T-243; T-245; T-211; T-212; T-248</x:v>
      </x:c>
      <x:c r="G218" s="245" t="str">
        <x:v>PPIQ_Chapter4_Specific_Technical_Function_Description_v4.10.3.md §5.2.17 Per-block property inspectors</x:v>
      </x:c>
      <x:c r="H218" s="245" t="str">
        <x:v>INS-02</x:v>
      </x:c>
      <x:c r="I218" s="245" t="str">
        <x:v>DESIGN DEPTH PENDING</x:v>
      </x:c>
      <x:c r="J218" s="245" t="str">
        <x:v>Type (inner/left/right/full), **ordered key-pair rows** with add and reorder, grain on both sides, cardinality (declared, then observed after preview), **attribution rule when grain converts**, weight expression | Validation: `TR08` incomplete or unordered members; `TR09` conversion without attribution; `TR10` weights cannot sum to one; observed cardinality contradicting declared is a warning | Preview: Row counts in, out and expansion factor; **a fan-out warning when output exceeds either input**</x:v>
      </x:c>
      <x:c r="K218" s="245" t="str">
        <x:v>SEMANTIC REVIEW REQUIRED</x:v>
      </x:c>
    </x:row>
    <x:row r="219" ht="60" customHeight="1">
      <x:c r="A219" s="245" t="str">
        <x:v>INS-03</x:v>
      </x:c>
      <x:c r="B219" s="245" t="str">
        <x:v>Property inspector</x:v>
      </x:c>
      <x:c r="C219" s="245" t="str">
        <x:v>Filter</x:v>
      </x:c>
      <x:c r="D219" s="245" t="str">
        <x:v>M2 + M3</x:v>
      </x:c>
      <x:c r="E219" s="245" t="str">
        <x:v>T-265; T-267</x:v>
      </x:c>
      <x:c r="F219" s="245" t="str">
        <x:v>T-243; T-245; T-211; T-212; T-248</x:v>
      </x:c>
      <x:c r="G219" s="245" t="str">
        <x:v>PPIQ_Chapter4_Specific_Technical_Function_Description_v4.10.3.md §5.2.17 Per-block property inspectors</x:v>
      </x:c>
      <x:c r="H219" s="245" t="str">
        <x:v>INS-03</x:v>
      </x:c>
      <x:c r="I219" s="245" t="str">
        <x:v>DESIGN DEPTH PENDING</x:v>
      </x:c>
      <x:c r="J219" s="245" t="str">
        <x:v>Expression (opens 5.2.16), null handling, case sensitivity | Validation: Return type must be boolean | Preview: Rows in, rows out, percentage removed; a warning above 95 percent removal</x:v>
      </x:c>
      <x:c r="K219" s="245" t="str">
        <x:v>SEMANTIC REVIEW REQUIRED</x:v>
      </x:c>
    </x:row>
    <x:row r="220" ht="60" customHeight="1">
      <x:c r="A220" s="245" t="str">
        <x:v>INS-04</x:v>
      </x:c>
      <x:c r="B220" s="245" t="str">
        <x:v>Property inspector</x:v>
      </x:c>
      <x:c r="C220" s="245" t="str">
        <x:v>Select columns</x:v>
      </x:c>
      <x:c r="D220" s="245" t="str">
        <x:v>M2 + M3</x:v>
      </x:c>
      <x:c r="E220" s="245" t="str">
        <x:v>T-265; T-267</x:v>
      </x:c>
      <x:c r="F220" s="245" t="str">
        <x:v>T-243; T-245; T-211; T-212; T-248</x:v>
      </x:c>
      <x:c r="G220" s="245" t="str">
        <x:v>PPIQ_Chapter4_Specific_Technical_Function_Description_v4.10.3.md §5.2.17 Per-block property inspectors</x:v>
      </x:c>
      <x:c r="H220" s="245" t="str">
        <x:v>INS-04</x:v>
      </x:c>
      <x:c r="I220" s="245" t="str">
        <x:v>DESIGN DEPTH PENDING</x:v>
      </x:c>
      <x:c r="J220" s="245" t="str">
        <x:v>Column checklist, rename pairs, output order | Validation: At least one column; no duplicate output name | Preview: Output schema</x:v>
      </x:c>
      <x:c r="K220" s="245" t="str">
        <x:v>SEMANTIC REVIEW REQUIRED</x:v>
      </x:c>
    </x:row>
    <x:row r="221" ht="60" customHeight="1">
      <x:c r="A221" s="245" t="str">
        <x:v>INS-05</x:v>
      </x:c>
      <x:c r="B221" s="245" t="str">
        <x:v>Property inspector</x:v>
      </x:c>
      <x:c r="C221" s="245" t="str">
        <x:v>Group by</x:v>
      </x:c>
      <x:c r="D221" s="245" t="str">
        <x:v>M2 + M3</x:v>
      </x:c>
      <x:c r="E221" s="245" t="str">
        <x:v>T-265; T-267</x:v>
      </x:c>
      <x:c r="F221" s="245" t="str">
        <x:v>T-243; T-245; T-211; T-212; T-248</x:v>
      </x:c>
      <x:c r="G221" s="245" t="str">
        <x:v>PPIQ_Chapter4_Specific_Technical_Function_Description_v4.10.3.md §5.2.17 Per-block property inspectors</x:v>
      </x:c>
      <x:c r="H221" s="245" t="str">
        <x:v>INS-05</x:v>
      </x:c>
      <x:c r="I221" s="245" t="str">
        <x:v>DESIGN DEPTH PENDING</x:v>
      </x:c>
      <x:c r="J221" s="245" t="str">
        <x:v>Group keys (multi), aggregate rows: function, column, alias | Validation: An aggregate over a grouped key; a non-aggregated column not in the keys | Preview: Group count and the largest group size</x:v>
      </x:c>
      <x:c r="K221" s="245" t="str">
        <x:v>SEMANTIC REVIEW REQUIRED</x:v>
      </x:c>
    </x:row>
    <x:row r="222" ht="60" customHeight="1">
      <x:c r="A222" s="245" t="str">
        <x:v>INS-06</x:v>
      </x:c>
      <x:c r="B222" s="245" t="str">
        <x:v>Property inspector</x:v>
      </x:c>
      <x:c r="C222" s="245" t="str">
        <x:v>Derived column</x:v>
      </x:c>
      <x:c r="D222" s="245" t="str">
        <x:v>M2 + M3</x:v>
      </x:c>
      <x:c r="E222" s="245" t="str">
        <x:v>T-265; T-267</x:v>
      </x:c>
      <x:c r="F222" s="245" t="str">
        <x:v>T-243; T-245; T-211; T-212; T-248</x:v>
      </x:c>
      <x:c r="G222" s="245" t="str">
        <x:v>PPIQ_Chapter4_Specific_Technical_Function_Description_v4.10.3.md §5.2.17 Per-block property inspectors</x:v>
      </x:c>
      <x:c r="H222" s="245" t="str">
        <x:v>INS-06</x:v>
      </x:c>
      <x:c r="I222" s="245" t="str">
        <x:v>DESIGN DEPTH PENDING</x:v>
      </x:c>
      <x:c r="J222" s="245" t="str">
        <x:v>Name, expression (opens 5.2.16), declared type, unit | Validation: Name collision; type mismatch; unit mismatch inside arithmetic | Preview: The column beside its inputs</x:v>
      </x:c>
      <x:c r="K222" s="245" t="str">
        <x:v>SEMANTIC REVIEW REQUIRED</x:v>
      </x:c>
    </x:row>
    <x:row r="223" ht="60" customHeight="1">
      <x:c r="A223" s="245" t="str">
        <x:v>INS-07</x:v>
      </x:c>
      <x:c r="B223" s="245" t="str">
        <x:v>Property inspector</x:v>
      </x:c>
      <x:c r="C223" s="245" t="str">
        <x:v>Sort / Limit</x:v>
      </x:c>
      <x:c r="D223" s="245" t="str">
        <x:v>M2 + M3</x:v>
      </x:c>
      <x:c r="E223" s="245" t="str">
        <x:v>T-265; T-267</x:v>
      </x:c>
      <x:c r="F223" s="245" t="str">
        <x:v>T-243; T-245; T-211; T-212; T-248</x:v>
      </x:c>
      <x:c r="G223" s="245" t="str">
        <x:v>PPIQ_Chapter4_Specific_Technical_Function_Description_v4.10.3.md §5.2.17 Per-block property inspectors</x:v>
      </x:c>
      <x:c r="H223" s="245" t="str">
        <x:v>INS-07</x:v>
      </x:c>
      <x:c r="I223" s="245" t="str">
        <x:v>DESIGN DEPTH PENDING</x:v>
      </x:c>
      <x:c r="J223" s="245" t="str">
        <x:v>Column, direction, n | Validation: n within the absolute cap | Preview: -</x:v>
      </x:c>
      <x:c r="K223" s="245" t="str">
        <x:v>SEMANTIC REVIEW REQUIRED</x:v>
      </x:c>
    </x:row>
    <x:row r="224" ht="60" customHeight="1">
      <x:c r="A224" s="245" t="str">
        <x:v>INS-08</x:v>
      </x:c>
      <x:c r="B224" s="245" t="str">
        <x:v>Property inspector</x:v>
      </x:c>
      <x:c r="C224" s="245" t="str">
        <x:v>Union</x:v>
      </x:c>
      <x:c r="D224" s="245" t="str">
        <x:v>M2 + M3</x:v>
      </x:c>
      <x:c r="E224" s="245" t="str">
        <x:v>T-265; T-267</x:v>
      </x:c>
      <x:c r="F224" s="245" t="str">
        <x:v>T-243; T-245; T-211; T-212; T-248</x:v>
      </x:c>
      <x:c r="G224" s="245" t="str">
        <x:v>PPIQ_Chapter4_Specific_Technical_Function_Description_v4.10.3.md §5.2.17 Per-block property inspectors</x:v>
      </x:c>
      <x:c r="H224" s="245" t="str">
        <x:v>INS-08</x:v>
      </x:c>
      <x:c r="I224" s="245" t="str">
        <x:v>DESIGN DEPTH PENDING</x:v>
      </x:c>
      <x:c r="J224" s="245" t="str">
        <x:v>Second input, column alignment map | Validation: Arity and type compatibility per aligned pair | Preview: Combined count</x:v>
      </x:c>
      <x:c r="K224" s="245" t="str">
        <x:v>SEMANTIC REVIEW REQUIRED</x:v>
      </x:c>
    </x:row>
    <x:row r="225" ht="60" customHeight="1">
      <x:c r="A225" s="245" t="str">
        <x:v>INS-09</x:v>
      </x:c>
      <x:c r="B225" s="245" t="str">
        <x:v>Property inspector</x:v>
      </x:c>
      <x:c r="C225" s="245" t="str">
        <x:v>Output to canonical</x:v>
      </x:c>
      <x:c r="D225" s="245" t="str">
        <x:v>M2 + M3</x:v>
      </x:c>
      <x:c r="E225" s="245" t="str">
        <x:v>T-265; T-267</x:v>
      </x:c>
      <x:c r="F225" s="245" t="str">
        <x:v>T-243; T-245; T-211; T-212; T-248</x:v>
      </x:c>
      <x:c r="G225" s="245" t="str">
        <x:v>PPIQ_Chapter4_Specific_Technical_Function_Description_v4.10.3.md §5.2.17 Per-block property inspectors</x:v>
      </x:c>
      <x:c r="H225" s="245" t="str">
        <x:v>INS-09</x:v>
      </x:c>
      <x:c r="I225" s="245" t="str">
        <x:v>DESIGN DEPTH PENDING</x:v>
      </x:c>
      <x:c r="J225" s="245" t="str">
        <x:v>Target entity (typed picker), field map rows, `const:` literals, provenance columns (read-only, shown) | Validation: Required target field unmapped; type mismatch; the fifteen `PV` classes previewed | Preview: **The projected error profile from the pre-flight sample**, grouped by code</x:v>
      </x:c>
      <x:c r="K225" s="245" t="str">
        <x:v>SEMANTIC REVIEW REQUIRED</x:v>
      </x:c>
    </x:row>
    <x:row r="226" ht="60" customHeight="1">
      <x:c r="A226" s="245" t="str">
        <x:v>INS-10</x:v>
      </x:c>
      <x:c r="B226" s="245" t="str">
        <x:v>Property inspector</x:v>
      </x:c>
      <x:c r="C226" s="245" t="str">
        <x:v>Statistical method</x:v>
      </x:c>
      <x:c r="D226" s="245" t="str">
        <x:v>M2 + M3</x:v>
      </x:c>
      <x:c r="E226" s="245" t="str">
        <x:v>T-265; T-267</x:v>
      </x:c>
      <x:c r="F226" s="245" t="str">
        <x:v>T-243; T-245; T-211; T-212; T-248</x:v>
      </x:c>
      <x:c r="G226" s="245" t="str">
        <x:v>PPIQ_Chapter4_Specific_Technical_Function_Description_v4.10.3.md §5.2.17 Per-block property inspectors</x:v>
      </x:c>
      <x:c r="H226" s="245" t="str">
        <x:v>INS-10</x:v>
      </x:c>
      <x:c r="I226" s="245" t="str">
        <x:v>DESIGN DEPTH PENDING</x:v>
      </x:c>
      <x:c r="J226" s="245" t="str">
        <x:v>Method, outcome, factor set, window, stratification dimensions, method-auto toggle | Validation: `ST01` to `ST06`; sample-size precondition checked before run | Preview: Population size, and the readiness verdict inline</x:v>
      </x:c>
      <x:c r="K226" s="245" t="str">
        <x:v>SEMANTIC REVIEW REQUIRED</x:v>
      </x:c>
    </x:row>
    <x:row r="227" ht="60" customHeight="1">
      <x:c r="A227" s="245" t="str">
        <x:v>INS-11</x:v>
      </x:c>
      <x:c r="B227" s="245" t="str">
        <x:v>Property inspector</x:v>
      </x:c>
      <x:c r="C227" s="245" t="str">
        <x:v>Model</x:v>
      </x:c>
      <x:c r="D227" s="245" t="str">
        <x:v>M3</x:v>
      </x:c>
      <x:c r="E227" s="245" t="str">
        <x:v>T-267</x:v>
      </x:c>
      <x:c r="F227" s="245" t="str">
        <x:v>T-246; T-248</x:v>
      </x:c>
      <x:c r="G227" s="245" t="str">
        <x:v>PPIQ_Chapter4_Specific_Technical_Function_Description_v4.10.3.md §5.2.17 Per-block property inspectors</x:v>
      </x:c>
      <x:c r="H227" s="245" t="str">
        <x:v>INS-11</x:v>
      </x:c>
      <x:c r="I227" s="245" t="str">
        <x:v>DESIGN DEPTH PENDING</x:v>
      </x:c>
      <x:c r="J227" s="245" t="str">
        <x:v>Algorithm, feature set version, split strategy, missing-value policy, scaling, hyperparameters, acceptance floor | Validation: `ML01` to `ML07`; a random split on time-ordered data warns | Preview: Train and validation row counts, and the overlap count which must be zero</x:v>
      </x:c>
      <x:c r="K227" s="245" t="str">
        <x:v>SEMANTIC REVIEW REQUIRED</x:v>
      </x:c>
    </x:row>
    <x:row r="228" ht="60" customHeight="1">
      <x:c r="A228" s="245" t="str">
        <x:v>INS-12</x:v>
      </x:c>
      <x:c r="B228" s="245" t="str">
        <x:v>Property inspector</x:v>
      </x:c>
      <x:c r="C228" s="245" t="str">
        <x:v>Scoring</x:v>
      </x:c>
      <x:c r="D228" s="245" t="str">
        <x:v>M3</x:v>
      </x:c>
      <x:c r="E228" s="245" t="str">
        <x:v>T-267</x:v>
      </x:c>
      <x:c r="F228" s="245" t="str">
        <x:v>T-246; T-248</x:v>
      </x:c>
      <x:c r="G228" s="245" t="str">
        <x:v>PPIQ_Chapter4_Specific_Technical_Function_Description_v4.10.3.md §5.2.17 Per-block property inspectors</x:v>
      </x:c>
      <x:c r="H228" s="245" t="str">
        <x:v>INS-12</x:v>
      </x:c>
      <x:c r="I228" s="245" t="str">
        <x:v>DESIGN DEPTH PENDING</x:v>
      </x:c>
      <x:c r="J228" s="245" t="str">
        <x:v>Model version, scope rule, batch size, latency budget, trigger kind | Validation: `PD01` schema mismatch with counts; `PD02` no active model | Preview: Units in scope, and an estimated duration range</x:v>
      </x:c>
      <x:c r="K228" s="245" t="str">
        <x:v>SEMANTIC REVIEW REQUIRED</x:v>
      </x:c>
    </x:row>
    <x:row r="229" ht="60" customHeight="1">
      <x:c r="A229" s="245" t="str">
        <x:v>INS-13</x:v>
      </x:c>
      <x:c r="B229" s="245" t="str">
        <x:v>Property inspector</x:v>
      </x:c>
      <x:c r="C229" s="245" t="str">
        <x:v>Prediction</x:v>
      </x:c>
      <x:c r="D229" s="245" t="str">
        <x:v>M3</x:v>
      </x:c>
      <x:c r="E229" s="245" t="str">
        <x:v>T-267</x:v>
      </x:c>
      <x:c r="F229" s="245" t="str">
        <x:v>T-246; T-248</x:v>
      </x:c>
      <x:c r="G229" s="245" t="str">
        <x:v>PPIQ_Chapter4_Specific_Technical_Function_Description_v4.10.3.md §5.2.17 Per-block property inspectors</x:v>
      </x:c>
      <x:c r="H229" s="245" t="str">
        <x:v>INS-13</x:v>
      </x:c>
      <x:c r="I229" s="245" t="str">
        <x:v>DESIGN DEPTH PENDING</x:v>
      </x:c>
      <x:c r="J229" s="245" t="str">
        <x:v>Outcome, horizon stage, risk banding thresholds, confidence display | Validation: Horizon stage must exist on the route; banding must be monotonic | Preview: Distribution of scores on a sample</x:v>
      </x:c>
      <x:c r="K229" s="245" t="str">
        <x:v>SEMANTIC REVIEW REQUIRED</x:v>
      </x:c>
    </x:row>
    <x:row r="230" ht="60" customHeight="1">
      <x:c r="A230" s="245" t="str">
        <x:v>INS-14</x:v>
      </x:c>
      <x:c r="B230" s="245" t="str">
        <x:v>Property inspector</x:v>
      </x:c>
      <x:c r="C230" s="245" t="str">
        <x:v>Remediation</x:v>
      </x:c>
      <x:c r="D230" s="245" t="str">
        <x:v>M3</x:v>
      </x:c>
      <x:c r="E230" s="245" t="str">
        <x:v>T-267</x:v>
      </x:c>
      <x:c r="F230" s="245" t="str">
        <x:v>T-246; T-248</x:v>
      </x:c>
      <x:c r="G230" s="245" t="str">
        <x:v>PPIQ_Chapter4_Specific_Technical_Function_Description_v4.10.3.md §5.2.17 Per-block property inspectors</x:v>
      </x:c>
      <x:c r="H230" s="245" t="str">
        <x:v>INS-14</x:v>
      </x:c>
      <x:c r="I230" s="245" t="str">
        <x:v>DESIGN DEPTH PENDING</x:v>
      </x:c>
      <x:c r="J230" s="245" t="str">
        <x:v>Comparable-condition rule, candidate practice set, **minimum support**, expected-effect measure, limitations text | Validation: Minimum support below the floor is refused; a proposed stage after the horizon is refused | Preview: Candidate count, and how many pass support</x:v>
      </x:c>
      <x:c r="K230" s="245" t="str">
        <x:v>SEMANTIC REVIEW REQUIRED</x:v>
      </x:c>
    </x:row>
    <x:row r="231" ht="60" customHeight="1">
      <x:c r="A231" s="245" t="str">
        <x:v>INS-15</x:v>
      </x:c>
      <x:c r="B231" s="245" t="str">
        <x:v>Property inspector</x:v>
      </x:c>
      <x:c r="C231" s="245" t="str">
        <x:v>Alert condition</x:v>
      </x:c>
      <x:c r="D231" s="245" t="str">
        <x:v>M2 + M3</x:v>
      </x:c>
      <x:c r="E231" s="245" t="str">
        <x:v>T-265; T-267</x:v>
      </x:c>
      <x:c r="F231" s="245" t="str">
        <x:v>T-243; T-245; T-211; T-212; T-248</x:v>
      </x:c>
      <x:c r="G231" s="245" t="str">
        <x:v>PPIQ_Chapter4_Specific_Technical_Function_Description_v4.10.3.md §5.2.17 Per-block property inspectors</x:v>
      </x:c>
      <x:c r="H231" s="245" t="str">
        <x:v>INS-15</x:v>
      </x:c>
      <x:c r="I231" s="245" t="str">
        <x:v>DESIGN DEPTH PENDING</x:v>
      </x:c>
      <x:c r="J231" s="245" t="str">
        <x:v>Parameter, comparator, limit or limit source (specification or operating limit), severity, message template with tokens | Validation: Comparator outside the set; a template token that does not resolve | Preview: The message rendered with sample values</x:v>
      </x:c>
      <x:c r="K231" s="245" t="str">
        <x:v>SEMANTIC REVIEW REQUIRED</x:v>
      </x:c>
    </x:row>
    <x:row r="232" ht="60" customHeight="1">
      <x:c r="A232" s="245" t="str">
        <x:v>INS-16</x:v>
      </x:c>
      <x:c r="B232" s="245" t="str">
        <x:v>Property inspector</x:v>
      </x:c>
      <x:c r="C232" s="245" t="str">
        <x:v>Action</x:v>
      </x:c>
      <x:c r="D232" s="245" t="str">
        <x:v>M2 + M3</x:v>
      </x:c>
      <x:c r="E232" s="245" t="str">
        <x:v>T-265; T-267</x:v>
      </x:c>
      <x:c r="F232" s="245" t="str">
        <x:v>T-243; T-245; T-211; T-212; T-248</x:v>
      </x:c>
      <x:c r="G232" s="245" t="str">
        <x:v>PPIQ_Chapter4_Specific_Technical_Function_Description_v4.10.3.md §5.2.17 Per-block property inspectors</x:v>
      </x:c>
      <x:c r="H232" s="245" t="str">
        <x:v>INS-16</x:v>
      </x:c>
      <x:c r="I232" s="245" t="str">
        <x:v>DESIGN DEPTH PENDING</x:v>
      </x:c>
      <x:c r="J232" s="245" t="str">
        <x:v>Action kind (log, notify, route), channel, recipients, dedup window | Validation: `AR01` no recipient | Preview: Rendered notification</x:v>
      </x:c>
      <x:c r="K232" s="245" t="str">
        <x:v>SEMANTIC REVIEW REQUIRED</x:v>
      </x:c>
    </x:row>
    <x:row r="233" ht="60" customHeight="1">
      <x:c r="A233" s="245" t="str">
        <x:v>S1-Block</x:v>
      </x:c>
      <x:c r="B233" s="245" t="str">
        <x:v>Authoring / expression frame</x:v>
      </x:c>
      <x:c r="C233" s="245" t="str">
        <x:v>Transformation — Block mode</x:v>
      </x:c>
      <x:c r="D233" s="245" t="str">
        <x:v>M2 + M3</x:v>
      </x:c>
      <x:c r="E233" s="245" t="str">
        <x:v>T-265; T-267</x:v>
      </x:c>
      <x:c r="F233" s="245" t="str">
        <x:v>T-243; T-244; T-245; T-248</x:v>
      </x:c>
      <x:c r="G233" s="245" t="str">
        <x:v>Chapter 4 v4.10.3 §5.2 / §5.5 / §5.6 (exact owning clause to be confirmed per frame)</x:v>
      </x:c>
      <x:c r="H233" s="245" t="str">
        <x:v>S1-Block</x:v>
      </x:c>
      <x:c r="I233" s="245" t="str">
        <x:v>DESIGN DEPTH PENDING</x:v>
      </x:c>
      <x:c r="J233" s="245" t="str">
        <x:v>Per-purpose schema/toolbox/permission and representability; SQL diagnostic positions and read-only bounded preview; stable definitions; no SQL/RTL corruption.</x:v>
      </x:c>
      <x:c r="K233" s="245" t="str">
        <x:v>EXACT SUBSECTION REQUIRED</x:v>
      </x:c>
    </x:row>
    <x:row r="234" ht="60" customHeight="1">
      <x:c r="A234" s="245" t="str">
        <x:v>S1-SQL</x:v>
      </x:c>
      <x:c r="B234" s="245" t="str">
        <x:v>Authoring / expression frame</x:v>
      </x:c>
      <x:c r="C234" s="245" t="str">
        <x:v>Transformation — SQL mode</x:v>
      </x:c>
      <x:c r="D234" s="245" t="str">
        <x:v>M2 + M3</x:v>
      </x:c>
      <x:c r="E234" s="245" t="str">
        <x:v>T-265; T-267</x:v>
      </x:c>
      <x:c r="F234" s="245" t="str">
        <x:v>T-243; T-244; T-245; T-248</x:v>
      </x:c>
      <x:c r="G234" s="245" t="str">
        <x:v>Chapter 4 v4.10.3 §5.2 / §5.5 / §5.6 (exact owning clause to be confirmed per frame)</x:v>
      </x:c>
      <x:c r="H234" s="245" t="str">
        <x:v>S1-SQL</x:v>
      </x:c>
      <x:c r="I234" s="245" t="str">
        <x:v>DESIGN DEPTH PENDING</x:v>
      </x:c>
      <x:c r="J234" s="245" t="str">
        <x:v>Per-purpose schema/toolbox/permission and representability; SQL diagnostic positions and read-only bounded preview; stable definitions; no SQL/RTL corruption.</x:v>
      </x:c>
      <x:c r="K234" s="245" t="str">
        <x:v>EXACT SUBSECTION REQUIRED</x:v>
      </x:c>
    </x:row>
    <x:row r="235" ht="60" customHeight="1">
      <x:c r="A235" s="245" t="str">
        <x:v>S2-Block</x:v>
      </x:c>
      <x:c r="B235" s="245" t="str">
        <x:v>Authoring / expression frame</x:v>
      </x:c>
      <x:c r="C235" s="245" t="str">
        <x:v>Widget / query — Block mode</x:v>
      </x:c>
      <x:c r="D235" s="245" t="str">
        <x:v>M2 + M3</x:v>
      </x:c>
      <x:c r="E235" s="245" t="str">
        <x:v>T-265; T-267</x:v>
      </x:c>
      <x:c r="F235" s="245" t="str">
        <x:v>T-243; T-244; T-245; T-248</x:v>
      </x:c>
      <x:c r="G235" s="245" t="str">
        <x:v>Chapter 4 v4.10.3 §5.2 / §5.5 / §5.6 (exact owning clause to be confirmed per frame)</x:v>
      </x:c>
      <x:c r="H235" s="245" t="str">
        <x:v>S2-Block</x:v>
      </x:c>
      <x:c r="I235" s="245" t="str">
        <x:v>DESIGN DEPTH PENDING</x:v>
      </x:c>
      <x:c r="J235" s="245" t="str">
        <x:v>Per-purpose schema/toolbox/permission and representability; SQL diagnostic positions and read-only bounded preview; stable definitions; no SQL/RTL corruption.</x:v>
      </x:c>
      <x:c r="K235" s="245" t="str">
        <x:v>EXACT SUBSECTION REQUIRED</x:v>
      </x:c>
    </x:row>
    <x:row r="236" ht="60" customHeight="1">
      <x:c r="A236" s="245" t="str">
        <x:v>S2-SQL</x:v>
      </x:c>
      <x:c r="B236" s="245" t="str">
        <x:v>Authoring / expression frame</x:v>
      </x:c>
      <x:c r="C236" s="245" t="str">
        <x:v>Widget / query — SQL mode</x:v>
      </x:c>
      <x:c r="D236" s="245" t="str">
        <x:v>M2 + M3</x:v>
      </x:c>
      <x:c r="E236" s="245" t="str">
        <x:v>T-265; T-267</x:v>
      </x:c>
      <x:c r="F236" s="245" t="str">
        <x:v>T-243; T-244; T-245; T-248</x:v>
      </x:c>
      <x:c r="G236" s="245" t="str">
        <x:v>Chapter 4 v4.10.3 §5.2 / §5.5 / §5.6 (exact owning clause to be confirmed per frame)</x:v>
      </x:c>
      <x:c r="H236" s="245" t="str">
        <x:v>S2-SQL</x:v>
      </x:c>
      <x:c r="I236" s="245" t="str">
        <x:v>DESIGN DEPTH PENDING</x:v>
      </x:c>
      <x:c r="J236" s="245" t="str">
        <x:v>Per-purpose schema/toolbox/permission and representability; SQL diagnostic positions and read-only bounded preview; stable definitions; no SQL/RTL corruption.</x:v>
      </x:c>
      <x:c r="K236" s="245" t="str">
        <x:v>EXACT SUBSECTION REQUIRED</x:v>
      </x:c>
    </x:row>
    <x:row r="237" ht="60" customHeight="1">
      <x:c r="A237" s="245" t="str">
        <x:v>S3-Block</x:v>
      </x:c>
      <x:c r="B237" s="245" t="str">
        <x:v>Authoring / expression frame</x:v>
      </x:c>
      <x:c r="C237" s="245" t="str">
        <x:v>Analysis — Block mode</x:v>
      </x:c>
      <x:c r="D237" s="245" t="str">
        <x:v>M2 + M3</x:v>
      </x:c>
      <x:c r="E237" s="245" t="str">
        <x:v>T-265; T-267</x:v>
      </x:c>
      <x:c r="F237" s="245" t="str">
        <x:v>T-243; T-244; T-245; T-248</x:v>
      </x:c>
      <x:c r="G237" s="245" t="str">
        <x:v>Chapter 4 v4.10.3 §5.2 / §5.5 / §5.6 (exact owning clause to be confirmed per frame)</x:v>
      </x:c>
      <x:c r="H237" s="245" t="str">
        <x:v>S3-Block</x:v>
      </x:c>
      <x:c r="I237" s="245" t="str">
        <x:v>DESIGN DEPTH PENDING</x:v>
      </x:c>
      <x:c r="J237" s="245" t="str">
        <x:v>Per-purpose schema/toolbox/permission and representability; SQL diagnostic positions and read-only bounded preview; stable definitions; no SQL/RTL corruption.</x:v>
      </x:c>
      <x:c r="K237" s="245" t="str">
        <x:v>EXACT SUBSECTION REQUIRED</x:v>
      </x:c>
    </x:row>
    <x:row r="238" ht="60" customHeight="1">
      <x:c r="A238" s="245" t="str">
        <x:v>S3-SQL</x:v>
      </x:c>
      <x:c r="B238" s="245" t="str">
        <x:v>Authoring / expression frame</x:v>
      </x:c>
      <x:c r="C238" s="245" t="str">
        <x:v>Analysis — SQL mode</x:v>
      </x:c>
      <x:c r="D238" s="245" t="str">
        <x:v>M2 + M3</x:v>
      </x:c>
      <x:c r="E238" s="245" t="str">
        <x:v>T-265; T-267</x:v>
      </x:c>
      <x:c r="F238" s="245" t="str">
        <x:v>T-243; T-244; T-245; T-248</x:v>
      </x:c>
      <x:c r="G238" s="245" t="str">
        <x:v>Chapter 4 v4.10.3 §5.2 / §5.5 / §5.6 (exact owning clause to be confirmed per frame)</x:v>
      </x:c>
      <x:c r="H238" s="245" t="str">
        <x:v>S3-SQL</x:v>
      </x:c>
      <x:c r="I238" s="245" t="str">
        <x:v>DESIGN DEPTH PENDING</x:v>
      </x:c>
      <x:c r="J238" s="245" t="str">
        <x:v>Per-purpose schema/toolbox/permission and representability; SQL diagnostic positions and read-only bounded preview; stable definitions; no SQL/RTL corruption.</x:v>
      </x:c>
      <x:c r="K238" s="245" t="str">
        <x:v>EXACT SUBSECTION REQUIRED</x:v>
      </x:c>
    </x:row>
    <x:row r="239" ht="60" customHeight="1">
      <x:c r="A239" s="245" t="str">
        <x:v>S4-Block</x:v>
      </x:c>
      <x:c r="B239" s="245" t="str">
        <x:v>Authoring / expression frame</x:v>
      </x:c>
      <x:c r="C239" s="245" t="str">
        <x:v>Model / features — Block mode</x:v>
      </x:c>
      <x:c r="D239" s="245" t="str">
        <x:v>M3</x:v>
      </x:c>
      <x:c r="E239" s="245" t="str">
        <x:v>T-267</x:v>
      </x:c>
      <x:c r="F239" s="245" t="str">
        <x:v>T-246; T-248</x:v>
      </x:c>
      <x:c r="G239" s="245" t="str">
        <x:v>Chapter 4 v4.10.3 §5.2 / §5.5 / §5.6 (exact owning clause to be confirmed per frame)</x:v>
      </x:c>
      <x:c r="H239" s="245" t="str">
        <x:v>S4-Block</x:v>
      </x:c>
      <x:c r="I239" s="245" t="str">
        <x:v>DESIGN DEPTH PENDING</x:v>
      </x:c>
      <x:c r="J239" s="245" t="str">
        <x:v>Per-purpose schema/toolbox/permission and representability; SQL diagnostic positions and read-only bounded preview; stable definitions; no SQL/RTL corruption.</x:v>
      </x:c>
      <x:c r="K239" s="245" t="str">
        <x:v>EXACT SUBSECTION REQUIRED</x:v>
      </x:c>
    </x:row>
    <x:row r="240" ht="60" customHeight="1">
      <x:c r="A240" s="245" t="str">
        <x:v>S4-SQL</x:v>
      </x:c>
      <x:c r="B240" s="245" t="str">
        <x:v>Authoring / expression frame</x:v>
      </x:c>
      <x:c r="C240" s="245" t="str">
        <x:v>Model / features — SQL mode</x:v>
      </x:c>
      <x:c r="D240" s="245" t="str">
        <x:v>M3</x:v>
      </x:c>
      <x:c r="E240" s="245" t="str">
        <x:v>T-267</x:v>
      </x:c>
      <x:c r="F240" s="245" t="str">
        <x:v>T-246; T-248</x:v>
      </x:c>
      <x:c r="G240" s="245" t="str">
        <x:v>Chapter 4 v4.10.3 §5.2 / §5.5 / §5.6 (exact owning clause to be confirmed per frame)</x:v>
      </x:c>
      <x:c r="H240" s="245" t="str">
        <x:v>S4-SQL</x:v>
      </x:c>
      <x:c r="I240" s="245" t="str">
        <x:v>DESIGN DEPTH PENDING</x:v>
      </x:c>
      <x:c r="J240" s="245" t="str">
        <x:v>Per-purpose schema/toolbox/permission and representability; SQL diagnostic positions and read-only bounded preview; stable definitions; no SQL/RTL corruption.</x:v>
      </x:c>
      <x:c r="K240" s="245" t="str">
        <x:v>EXACT SUBSECTION REQUIRED</x:v>
      </x:c>
    </x:row>
    <x:row r="241" ht="60" customHeight="1">
      <x:c r="A241" s="245" t="str">
        <x:v>S5-Block</x:v>
      </x:c>
      <x:c r="B241" s="245" t="str">
        <x:v>Authoring / expression frame</x:v>
      </x:c>
      <x:c r="C241" s="245" t="str">
        <x:v>Rule / alert — Block mode</x:v>
      </x:c>
      <x:c r="D241" s="245" t="str">
        <x:v>M2 + M3</x:v>
      </x:c>
      <x:c r="E241" s="245" t="str">
        <x:v>T-265; T-267</x:v>
      </x:c>
      <x:c r="F241" s="245" t="str">
        <x:v>T-243; T-244; T-245; T-248</x:v>
      </x:c>
      <x:c r="G241" s="245" t="str">
        <x:v>Chapter 4 v4.10.3 §5.2 / §5.5 / §5.6 (exact owning clause to be confirmed per frame)</x:v>
      </x:c>
      <x:c r="H241" s="245" t="str">
        <x:v>S5-Block</x:v>
      </x:c>
      <x:c r="I241" s="245" t="str">
        <x:v>DESIGN DEPTH PENDING</x:v>
      </x:c>
      <x:c r="J241" s="245" t="str">
        <x:v>Per-purpose schema/toolbox/permission and representability; SQL diagnostic positions and read-only bounded preview; stable definitions; no SQL/RTL corruption.</x:v>
      </x:c>
      <x:c r="K241" s="245" t="str">
        <x:v>EXACT SUBSECTION REQUIRED</x:v>
      </x:c>
    </x:row>
    <x:row r="242" ht="60" customHeight="1">
      <x:c r="A242" s="245" t="str">
        <x:v>S5-SQL</x:v>
      </x:c>
      <x:c r="B242" s="245" t="str">
        <x:v>Authoring / expression frame</x:v>
      </x:c>
      <x:c r="C242" s="245" t="str">
        <x:v>Rule / alert — SQL mode</x:v>
      </x:c>
      <x:c r="D242" s="245" t="str">
        <x:v>M2 + M3</x:v>
      </x:c>
      <x:c r="E242" s="245" t="str">
        <x:v>T-265; T-267</x:v>
      </x:c>
      <x:c r="F242" s="245" t="str">
        <x:v>T-243; T-244; T-245; T-248</x:v>
      </x:c>
      <x:c r="G242" s="245" t="str">
        <x:v>Chapter 4 v4.10.3 §5.2 / §5.5 / §5.6 (exact owning clause to be confirmed per frame)</x:v>
      </x:c>
      <x:c r="H242" s="245" t="str">
        <x:v>S5-SQL</x:v>
      </x:c>
      <x:c r="I242" s="245" t="str">
        <x:v>DESIGN DEPTH PENDING</x:v>
      </x:c>
      <x:c r="J242" s="245" t="str">
        <x:v>Per-purpose schema/toolbox/permission and representability; SQL diagnostic positions and read-only bounded preview; stable definitions; no SQL/RTL corruption.</x:v>
      </x:c>
      <x:c r="K242" s="245" t="str">
        <x:v>EXACT SUBSECTION REQUIRED</x:v>
      </x:c>
    </x:row>
    <x:row r="243" ht="60" customHeight="1">
      <x:c r="A243" s="245" t="str">
        <x:v>EXPR-01</x:v>
      </x:c>
      <x:c r="B243" s="245" t="str">
        <x:v>Authoring / expression frame</x:v>
      </x:c>
      <x:c r="C243" s="245" t="str">
        <x:v>Expression editor — typed row context</x:v>
      </x:c>
      <x:c r="D243" s="245" t="str">
        <x:v>M2 + M3</x:v>
      </x:c>
      <x:c r="E243" s="245" t="str">
        <x:v>T-265; T-267</x:v>
      </x:c>
      <x:c r="F243" s="245" t="str">
        <x:v>T-243; T-244; T-245; T-248</x:v>
      </x:c>
      <x:c r="G243" s="245" t="str">
        <x:v>Chapter 4 v4.10.3 §5.2 / §5.5 / §5.6 (exact owning clause to be confirmed per frame)</x:v>
      </x:c>
      <x:c r="H243" s="245" t="str">
        <x:v>EXPR-01</x:v>
      </x:c>
      <x:c r="I243" s="245" t="str">
        <x:v>DESIGN DEPTH PENDING</x:v>
      </x:c>
      <x:c r="J243" s="245" t="str">
        <x:v>Per-purpose schema/toolbox/permission and representability; SQL diagnostic positions and read-only bounded preview; stable definitions; no SQL/RTL corruption.</x:v>
      </x:c>
      <x:c r="K243" s="245" t="str">
        <x:v>EXACT SUBSECTION REQUIRED</x:v>
      </x:c>
    </x:row>
    <x:row r="244" ht="60" customHeight="1">
      <x:c r="A244" s="245" t="str">
        <x:v>EXPR-ITEM-01</x:v>
      </x:c>
      <x:c r="B244" s="245" t="str">
        <x:v>Expression vocabulary entry</x:v>
      </x:c>
      <x:c r="C244" s="245" t="str">
        <x:v>+</x:v>
      </x:c>
      <x:c r="D244" s="245" t="str">
        <x:v>M2 + M3</x:v>
      </x:c>
      <x:c r="E244" s="245" t="str">
        <x:v>T-265; T-267</x:v>
      </x:c>
      <x:c r="F244" s="245" t="str">
        <x:v>T-243; T-244; T-248</x:v>
      </x:c>
      <x:c r="G244" s="245" t="str">
        <x:v>Chapter 4 v4.10.3 §5.2.16 (verify applicable grammar for each purpose)</x:v>
      </x:c>
      <x:c r="H244" s="245" t="str">
        <x:v>EXPR-01</x:v>
      </x:c>
      <x:c r="I244" s="245" t="str">
        <x:v>DESIGN DEPTH PENDING</x:v>
      </x:c>
      <x:c r="J244" s="245" t="str">
        <x:v>Typed expression configuration inside the containing block; operator/function legality and named refusal; not a second arithmetic board.</x:v>
      </x:c>
      <x:c r="K244" s="245" t="str">
        <x:v>SEMANTIC REVIEW REQUIRED</x:v>
      </x:c>
    </x:row>
    <x:row r="245" ht="60" customHeight="1">
      <x:c r="A245" s="245" t="str">
        <x:v>EXPR-ITEM-02</x:v>
      </x:c>
      <x:c r="B245" s="245" t="str">
        <x:v>Expression vocabulary entry</x:v>
      </x:c>
      <x:c r="C245" s="245" t="str">
        <x:v>−</x:v>
      </x:c>
      <x:c r="D245" s="245" t="str">
        <x:v>M2 + M3</x:v>
      </x:c>
      <x:c r="E245" s="245" t="str">
        <x:v>T-265; T-267</x:v>
      </x:c>
      <x:c r="F245" s="245" t="str">
        <x:v>T-243; T-244; T-248</x:v>
      </x:c>
      <x:c r="G245" s="245" t="str">
        <x:v>Chapter 4 v4.10.3 §5.2.16 (verify applicable grammar for each purpose)</x:v>
      </x:c>
      <x:c r="H245" s="245" t="str">
        <x:v>EXPR-01</x:v>
      </x:c>
      <x:c r="I245" s="245" t="str">
        <x:v>DESIGN DEPTH PENDING</x:v>
      </x:c>
      <x:c r="J245" s="245" t="str">
        <x:v>Typed expression configuration inside the containing block; operator/function legality and named refusal; not a second arithmetic board.</x:v>
      </x:c>
      <x:c r="K245" s="245" t="str">
        <x:v>SEMANTIC REVIEW REQUIRED</x:v>
      </x:c>
    </x:row>
    <x:row r="246" ht="60" customHeight="1">
      <x:c r="A246" s="245" t="str">
        <x:v>EXPR-ITEM-03</x:v>
      </x:c>
      <x:c r="B246" s="245" t="str">
        <x:v>Expression vocabulary entry</x:v>
      </x:c>
      <x:c r="C246" s="245" t="str">
        <x:v>×</x:v>
      </x:c>
      <x:c r="D246" s="245" t="str">
        <x:v>M2 + M3</x:v>
      </x:c>
      <x:c r="E246" s="245" t="str">
        <x:v>T-265; T-267</x:v>
      </x:c>
      <x:c r="F246" s="245" t="str">
        <x:v>T-243; T-244; T-248</x:v>
      </x:c>
      <x:c r="G246" s="245" t="str">
        <x:v>Chapter 4 v4.10.3 §5.2.16 (verify applicable grammar for each purpose)</x:v>
      </x:c>
      <x:c r="H246" s="245" t="str">
        <x:v>EXPR-01</x:v>
      </x:c>
      <x:c r="I246" s="245" t="str">
        <x:v>DESIGN DEPTH PENDING</x:v>
      </x:c>
      <x:c r="J246" s="245" t="str">
        <x:v>Typed expression configuration inside the containing block; operator/function legality and named refusal; not a second arithmetic board.</x:v>
      </x:c>
      <x:c r="K246" s="245" t="str">
        <x:v>SEMANTIC REVIEW REQUIRED</x:v>
      </x:c>
    </x:row>
    <x:row r="247" ht="60" customHeight="1">
      <x:c r="A247" s="245" t="str">
        <x:v>EXPR-ITEM-04</x:v>
      </x:c>
      <x:c r="B247" s="245" t="str">
        <x:v>Expression vocabulary entry</x:v>
      </x:c>
      <x:c r="C247" s="245" t="str">
        <x:v>÷</x:v>
      </x:c>
      <x:c r="D247" s="245" t="str">
        <x:v>M2 + M3</x:v>
      </x:c>
      <x:c r="E247" s="245" t="str">
        <x:v>T-265; T-267</x:v>
      </x:c>
      <x:c r="F247" s="245" t="str">
        <x:v>T-243; T-244; T-248</x:v>
      </x:c>
      <x:c r="G247" s="245" t="str">
        <x:v>Chapter 4 v4.10.3 §5.2.16 (verify applicable grammar for each purpose)</x:v>
      </x:c>
      <x:c r="H247" s="245" t="str">
        <x:v>EXPR-01</x:v>
      </x:c>
      <x:c r="I247" s="245" t="str">
        <x:v>DESIGN DEPTH PENDING</x:v>
      </x:c>
      <x:c r="J247" s="245" t="str">
        <x:v>Typed expression configuration inside the containing block; operator/function legality and named refusal; not a second arithmetic board.</x:v>
      </x:c>
      <x:c r="K247" s="245" t="str">
        <x:v>SEMANTIC REVIEW REQUIRED</x:v>
      </x:c>
    </x:row>
    <x:row r="248" ht="60" customHeight="1">
      <x:c r="A248" s="245" t="str">
        <x:v>EXPR-ITEM-05</x:v>
      </x:c>
      <x:c r="B248" s="245" t="str">
        <x:v>Expression vocabulary entry</x:v>
      </x:c>
      <x:c r="C248" s="245" t="str">
        <x:v>=</x:v>
      </x:c>
      <x:c r="D248" s="245" t="str">
        <x:v>M2 + M3</x:v>
      </x:c>
      <x:c r="E248" s="245" t="str">
        <x:v>T-265; T-267</x:v>
      </x:c>
      <x:c r="F248" s="245" t="str">
        <x:v>T-243; T-244; T-248</x:v>
      </x:c>
      <x:c r="G248" s="245" t="str">
        <x:v>Chapter 4 v4.10.3 §5.2.16 (verify applicable grammar for each purpose)</x:v>
      </x:c>
      <x:c r="H248" s="245" t="str">
        <x:v>EXPR-01</x:v>
      </x:c>
      <x:c r="I248" s="245" t="str">
        <x:v>DESIGN DEPTH PENDING</x:v>
      </x:c>
      <x:c r="J248" s="245" t="str">
        <x:v>Typed expression configuration inside the containing block; operator/function legality and named refusal; not a second arithmetic board.</x:v>
      </x:c>
      <x:c r="K248" s="245" t="str">
        <x:v>SEMANTIC REVIEW REQUIRED</x:v>
      </x:c>
    </x:row>
    <x:row r="249" ht="60" customHeight="1">
      <x:c r="A249" s="245" t="str">
        <x:v>EXPR-ITEM-06</x:v>
      </x:c>
      <x:c r="B249" s="245" t="str">
        <x:v>Expression vocabulary entry</x:v>
      </x:c>
      <x:c r="C249" s="245" t="str">
        <x:v>&lt;&gt;</x:v>
      </x:c>
      <x:c r="D249" s="245" t="str">
        <x:v>M2 + M3</x:v>
      </x:c>
      <x:c r="E249" s="245" t="str">
        <x:v>T-265; T-267</x:v>
      </x:c>
      <x:c r="F249" s="245" t="str">
        <x:v>T-243; T-244; T-248</x:v>
      </x:c>
      <x:c r="G249" s="245" t="str">
        <x:v>Chapter 4 v4.10.3 §5.2.16 (verify applicable grammar for each purpose)</x:v>
      </x:c>
      <x:c r="H249" s="245" t="str">
        <x:v>EXPR-01</x:v>
      </x:c>
      <x:c r="I249" s="245" t="str">
        <x:v>DESIGN DEPTH PENDING</x:v>
      </x:c>
      <x:c r="J249" s="245" t="str">
        <x:v>Typed expression configuration inside the containing block; operator/function legality and named refusal; not a second arithmetic board.</x:v>
      </x:c>
      <x:c r="K249" s="245" t="str">
        <x:v>SEMANTIC REVIEW REQUIRED</x:v>
      </x:c>
    </x:row>
    <x:row r="250" ht="60" customHeight="1">
      <x:c r="A250" s="245" t="str">
        <x:v>EXPR-ITEM-07</x:v>
      </x:c>
      <x:c r="B250" s="245" t="str">
        <x:v>Expression vocabulary entry</x:v>
      </x:c>
      <x:c r="C250" s="245" t="str">
        <x:v>&gt;</x:v>
      </x:c>
      <x:c r="D250" s="245" t="str">
        <x:v>M2 + M3</x:v>
      </x:c>
      <x:c r="E250" s="245" t="str">
        <x:v>T-265; T-267</x:v>
      </x:c>
      <x:c r="F250" s="245" t="str">
        <x:v>T-243; T-244; T-248</x:v>
      </x:c>
      <x:c r="G250" s="245" t="str">
        <x:v>Chapter 4 v4.10.3 §5.2.16 (verify applicable grammar for each purpose)</x:v>
      </x:c>
      <x:c r="H250" s="245" t="str">
        <x:v>EXPR-01</x:v>
      </x:c>
      <x:c r="I250" s="245" t="str">
        <x:v>DESIGN DEPTH PENDING</x:v>
      </x:c>
      <x:c r="J250" s="245" t="str">
        <x:v>Typed expression configuration inside the containing block; operator/function legality and named refusal; not a second arithmetic board.</x:v>
      </x:c>
      <x:c r="K250" s="245" t="str">
        <x:v>SEMANTIC REVIEW REQUIRED</x:v>
      </x:c>
    </x:row>
    <x:row r="251" ht="60" customHeight="1">
      <x:c r="A251" s="245" t="str">
        <x:v>EXPR-ITEM-08</x:v>
      </x:c>
      <x:c r="B251" s="245" t="str">
        <x:v>Expression vocabulary entry</x:v>
      </x:c>
      <x:c r="C251" s="245" t="str">
        <x:v>&gt;=</x:v>
      </x:c>
      <x:c r="D251" s="245" t="str">
        <x:v>M2 + M3</x:v>
      </x:c>
      <x:c r="E251" s="245" t="str">
        <x:v>T-265; T-267</x:v>
      </x:c>
      <x:c r="F251" s="245" t="str">
        <x:v>T-243; T-244; T-248</x:v>
      </x:c>
      <x:c r="G251" s="245" t="str">
        <x:v>Chapter 4 v4.10.3 §5.2.16 (verify applicable grammar for each purpose)</x:v>
      </x:c>
      <x:c r="H251" s="245" t="str">
        <x:v>EXPR-01</x:v>
      </x:c>
      <x:c r="I251" s="245" t="str">
        <x:v>DESIGN DEPTH PENDING</x:v>
      </x:c>
      <x:c r="J251" s="245" t="str">
        <x:v>Typed expression configuration inside the containing block; operator/function legality and named refusal; not a second arithmetic board.</x:v>
      </x:c>
      <x:c r="K251" s="245" t="str">
        <x:v>SEMANTIC REVIEW REQUIRED</x:v>
      </x:c>
    </x:row>
    <x:row r="252" ht="60" customHeight="1">
      <x:c r="A252" s="245" t="str">
        <x:v>EXPR-ITEM-09</x:v>
      </x:c>
      <x:c r="B252" s="245" t="str">
        <x:v>Expression vocabulary entry</x:v>
      </x:c>
      <x:c r="C252" s="245" t="str">
        <x:v>&lt;</x:v>
      </x:c>
      <x:c r="D252" s="245" t="str">
        <x:v>M2 + M3</x:v>
      </x:c>
      <x:c r="E252" s="245" t="str">
        <x:v>T-265; T-267</x:v>
      </x:c>
      <x:c r="F252" s="245" t="str">
        <x:v>T-243; T-244; T-248</x:v>
      </x:c>
      <x:c r="G252" s="245" t="str">
        <x:v>Chapter 4 v4.10.3 §5.2.16 (verify applicable grammar for each purpose)</x:v>
      </x:c>
      <x:c r="H252" s="245" t="str">
        <x:v>EXPR-01</x:v>
      </x:c>
      <x:c r="I252" s="245" t="str">
        <x:v>DESIGN DEPTH PENDING</x:v>
      </x:c>
      <x:c r="J252" s="245" t="str">
        <x:v>Typed expression configuration inside the containing block; operator/function legality and named refusal; not a second arithmetic board.</x:v>
      </x:c>
      <x:c r="K252" s="245" t="str">
        <x:v>SEMANTIC REVIEW REQUIRED</x:v>
      </x:c>
    </x:row>
    <x:row r="253" ht="60" customHeight="1">
      <x:c r="A253" s="245" t="str">
        <x:v>EXPR-ITEM-10</x:v>
      </x:c>
      <x:c r="B253" s="245" t="str">
        <x:v>Expression vocabulary entry</x:v>
      </x:c>
      <x:c r="C253" s="245" t="str">
        <x:v>&lt;=</x:v>
      </x:c>
      <x:c r="D253" s="245" t="str">
        <x:v>M2 + M3</x:v>
      </x:c>
      <x:c r="E253" s="245" t="str">
        <x:v>T-265; T-267</x:v>
      </x:c>
      <x:c r="F253" s="245" t="str">
        <x:v>T-243; T-244; T-248</x:v>
      </x:c>
      <x:c r="G253" s="245" t="str">
        <x:v>Chapter 4 v4.10.3 §5.2.16 (verify applicable grammar for each purpose)</x:v>
      </x:c>
      <x:c r="H253" s="245" t="str">
        <x:v>EXPR-01</x:v>
      </x:c>
      <x:c r="I253" s="245" t="str">
        <x:v>DESIGN DEPTH PENDING</x:v>
      </x:c>
      <x:c r="J253" s="245" t="str">
        <x:v>Typed expression configuration inside the containing block; operator/function legality and named refusal; not a second arithmetic board.</x:v>
      </x:c>
      <x:c r="K253" s="245" t="str">
        <x:v>SEMANTIC REVIEW REQUIRED</x:v>
      </x:c>
    </x:row>
    <x:row r="254" ht="60" customHeight="1">
      <x:c r="A254" s="245" t="str">
        <x:v>EXPR-ITEM-11</x:v>
      </x:c>
      <x:c r="B254" s="245" t="str">
        <x:v>Expression vocabulary entry</x:v>
      </x:c>
      <x:c r="C254" s="245" t="str">
        <x:v>AND</x:v>
      </x:c>
      <x:c r="D254" s="245" t="str">
        <x:v>M2 + M3</x:v>
      </x:c>
      <x:c r="E254" s="245" t="str">
        <x:v>T-265; T-267</x:v>
      </x:c>
      <x:c r="F254" s="245" t="str">
        <x:v>T-243; T-244; T-248</x:v>
      </x:c>
      <x:c r="G254" s="245" t="str">
        <x:v>Chapter 4 v4.10.3 §5.2.16 (verify applicable grammar for each purpose)</x:v>
      </x:c>
      <x:c r="H254" s="245" t="str">
        <x:v>EXPR-01</x:v>
      </x:c>
      <x:c r="I254" s="245" t="str">
        <x:v>DESIGN DEPTH PENDING</x:v>
      </x:c>
      <x:c r="J254" s="245" t="str">
        <x:v>Typed expression configuration inside the containing block; operator/function legality and named refusal; not a second arithmetic board.</x:v>
      </x:c>
      <x:c r="K254" s="245" t="str">
        <x:v>SEMANTIC REVIEW REQUIRED</x:v>
      </x:c>
    </x:row>
    <x:row r="255" ht="60" customHeight="1">
      <x:c r="A255" s="245" t="str">
        <x:v>EXPR-ITEM-12</x:v>
      </x:c>
      <x:c r="B255" s="245" t="str">
        <x:v>Expression vocabulary entry</x:v>
      </x:c>
      <x:c r="C255" s="245" t="str">
        <x:v>OR</x:v>
      </x:c>
      <x:c r="D255" s="245" t="str">
        <x:v>M2 + M3</x:v>
      </x:c>
      <x:c r="E255" s="245" t="str">
        <x:v>T-265; T-267</x:v>
      </x:c>
      <x:c r="F255" s="245" t="str">
        <x:v>T-243; T-244; T-248</x:v>
      </x:c>
      <x:c r="G255" s="245" t="str">
        <x:v>Chapter 4 v4.10.3 §5.2.16 (verify applicable grammar for each purpose)</x:v>
      </x:c>
      <x:c r="H255" s="245" t="str">
        <x:v>EXPR-01</x:v>
      </x:c>
      <x:c r="I255" s="245" t="str">
        <x:v>DESIGN DEPTH PENDING</x:v>
      </x:c>
      <x:c r="J255" s="245" t="str">
        <x:v>Typed expression configuration inside the containing block; operator/function legality and named refusal; not a second arithmetic board.</x:v>
      </x:c>
      <x:c r="K255" s="245" t="str">
        <x:v>SEMANTIC REVIEW REQUIRED</x:v>
      </x:c>
    </x:row>
    <x:row r="256" ht="60" customHeight="1">
      <x:c r="A256" s="245" t="str">
        <x:v>EXPR-ITEM-13</x:v>
      </x:c>
      <x:c r="B256" s="245" t="str">
        <x:v>Expression vocabulary entry</x:v>
      </x:c>
      <x:c r="C256" s="245" t="str">
        <x:v>NOT</x:v>
      </x:c>
      <x:c r="D256" s="245" t="str">
        <x:v>M2 + M3</x:v>
      </x:c>
      <x:c r="E256" s="245" t="str">
        <x:v>T-265; T-267</x:v>
      </x:c>
      <x:c r="F256" s="245" t="str">
        <x:v>T-243; T-244; T-248</x:v>
      </x:c>
      <x:c r="G256" s="245" t="str">
        <x:v>Chapter 4 v4.10.3 §5.2.16 (verify applicable grammar for each purpose)</x:v>
      </x:c>
      <x:c r="H256" s="245" t="str">
        <x:v>EXPR-01</x:v>
      </x:c>
      <x:c r="I256" s="245" t="str">
        <x:v>DESIGN DEPTH PENDING</x:v>
      </x:c>
      <x:c r="J256" s="245" t="str">
        <x:v>Typed expression configuration inside the containing block; operator/function legality and named refusal; not a second arithmetic board.</x:v>
      </x:c>
      <x:c r="K256" s="245" t="str">
        <x:v>SEMANTIC REVIEW REQUIRED</x:v>
      </x:c>
    </x:row>
    <x:row r="257" ht="60" customHeight="1">
      <x:c r="A257" s="245" t="str">
        <x:v>EXPR-ITEM-14</x:v>
      </x:c>
      <x:c r="B257" s="245" t="str">
        <x:v>Expression vocabulary entry</x:v>
      </x:c>
      <x:c r="C257" s="245" t="str">
        <x:v>IF / ELSE</x:v>
      </x:c>
      <x:c r="D257" s="245" t="str">
        <x:v>M2 + M3</x:v>
      </x:c>
      <x:c r="E257" s="245" t="str">
        <x:v>T-265; T-267</x:v>
      </x:c>
      <x:c r="F257" s="245" t="str">
        <x:v>T-243; T-244; T-248</x:v>
      </x:c>
      <x:c r="G257" s="245" t="str">
        <x:v>Chapter 4 v4.10.3 §5.2.16 (verify applicable grammar for each purpose)</x:v>
      </x:c>
      <x:c r="H257" s="245" t="str">
        <x:v>EXPR-01</x:v>
      </x:c>
      <x:c r="I257" s="245" t="str">
        <x:v>DESIGN DEPTH PENDING</x:v>
      </x:c>
      <x:c r="J257" s="245" t="str">
        <x:v>Typed expression configuration inside the containing block; operator/function legality and named refusal; not a second arithmetic board.</x:v>
      </x:c>
      <x:c r="K257" s="245" t="str">
        <x:v>SEMANTIC REVIEW REQUIRED</x:v>
      </x:c>
    </x:row>
    <x:row r="258" ht="60" customHeight="1">
      <x:c r="A258" s="245" t="str">
        <x:v>EXPR-ITEM-15</x:v>
      </x:c>
      <x:c r="B258" s="245" t="str">
        <x:v>Expression vocabulary entry</x:v>
      </x:c>
      <x:c r="C258" s="245" t="str">
        <x:v>IS NULL</x:v>
      </x:c>
      <x:c r="D258" s="245" t="str">
        <x:v>M2 + M3</x:v>
      </x:c>
      <x:c r="E258" s="245" t="str">
        <x:v>T-265; T-267</x:v>
      </x:c>
      <x:c r="F258" s="245" t="str">
        <x:v>T-243; T-244; T-248</x:v>
      </x:c>
      <x:c r="G258" s="245" t="str">
        <x:v>Chapter 4 v4.10.3 §5.2.16 (verify applicable grammar for each purpose)</x:v>
      </x:c>
      <x:c r="H258" s="245" t="str">
        <x:v>EXPR-01</x:v>
      </x:c>
      <x:c r="I258" s="245" t="str">
        <x:v>DESIGN DEPTH PENDING</x:v>
      </x:c>
      <x:c r="J258" s="245" t="str">
        <x:v>Typed expression configuration inside the containing block; operator/function legality and named refusal; not a second arithmetic board.</x:v>
      </x:c>
      <x:c r="K258" s="245" t="str">
        <x:v>SEMANTIC REVIEW REQUIRED</x:v>
      </x:c>
    </x:row>
    <x:row r="259" ht="60" customHeight="1">
      <x:c r="A259" s="245" t="str">
        <x:v>EXPR-ITEM-16</x:v>
      </x:c>
      <x:c r="B259" s="245" t="str">
        <x:v>Expression vocabulary entry</x:v>
      </x:c>
      <x:c r="C259" s="245" t="str">
        <x:v>LIKE</x:v>
      </x:c>
      <x:c r="D259" s="245" t="str">
        <x:v>M2 + M3</x:v>
      </x:c>
      <x:c r="E259" s="245" t="str">
        <x:v>T-265; T-267</x:v>
      </x:c>
      <x:c r="F259" s="245" t="str">
        <x:v>T-243; T-244; T-248</x:v>
      </x:c>
      <x:c r="G259" s="245" t="str">
        <x:v>Chapter 4 v4.10.3 §5.2.16 (verify applicable grammar for each purpose)</x:v>
      </x:c>
      <x:c r="H259" s="245" t="str">
        <x:v>EXPR-01</x:v>
      </x:c>
      <x:c r="I259" s="245" t="str">
        <x:v>DESIGN DEPTH PENDING</x:v>
      </x:c>
      <x:c r="J259" s="245" t="str">
        <x:v>Typed expression configuration inside the containing block; operator/function legality and named refusal; not a second arithmetic board.</x:v>
      </x:c>
      <x:c r="K259" s="245" t="str">
        <x:v>SEMANTIC REVIEW REQUIRED</x:v>
      </x:c>
    </x:row>
    <x:row r="260" ht="60" customHeight="1">
      <x:c r="A260" s="245" t="str">
        <x:v>EXPR-ITEM-17</x:v>
      </x:c>
      <x:c r="B260" s="245" t="str">
        <x:v>Expression vocabulary entry</x:v>
      </x:c>
      <x:c r="C260" s="245" t="str">
        <x:v>IN</x:v>
      </x:c>
      <x:c r="D260" s="245" t="str">
        <x:v>M2 + M3</x:v>
      </x:c>
      <x:c r="E260" s="245" t="str">
        <x:v>T-265; T-267</x:v>
      </x:c>
      <x:c r="F260" s="245" t="str">
        <x:v>T-243; T-244; T-248</x:v>
      </x:c>
      <x:c r="G260" s="245" t="str">
        <x:v>Chapter 4 v4.10.3 §5.2.16 (verify applicable grammar for each purpose)</x:v>
      </x:c>
      <x:c r="H260" s="245" t="str">
        <x:v>EXPR-01</x:v>
      </x:c>
      <x:c r="I260" s="245" t="str">
        <x:v>DESIGN DEPTH PENDING</x:v>
      </x:c>
      <x:c r="J260" s="245" t="str">
        <x:v>Typed expression configuration inside the containing block; operator/function legality and named refusal; not a second arithmetic board.</x:v>
      </x:c>
      <x:c r="K260" s="245" t="str">
        <x:v>SEMANTIC REVIEW REQUIRED</x:v>
      </x:c>
    </x:row>
    <x:row r="261" ht="60" customHeight="1">
      <x:c r="A261" s="245" t="str">
        <x:v>EXPR-ITEM-18</x:v>
      </x:c>
      <x:c r="B261" s="245" t="str">
        <x:v>Expression vocabulary entry</x:v>
      </x:c>
      <x:c r="C261" s="245" t="str">
        <x:v>BETWEEN</x:v>
      </x:c>
      <x:c r="D261" s="245" t="str">
        <x:v>M2 + M3</x:v>
      </x:c>
      <x:c r="E261" s="245" t="str">
        <x:v>T-265; T-267</x:v>
      </x:c>
      <x:c r="F261" s="245" t="str">
        <x:v>T-243; T-244; T-248</x:v>
      </x:c>
      <x:c r="G261" s="245" t="str">
        <x:v>Chapter 4 v4.10.3 §5.2.16 (verify applicable grammar for each purpose)</x:v>
      </x:c>
      <x:c r="H261" s="245" t="str">
        <x:v>EXPR-01</x:v>
      </x:c>
      <x:c r="I261" s="245" t="str">
        <x:v>DESIGN DEPTH PENDING</x:v>
      </x:c>
      <x:c r="J261" s="245" t="str">
        <x:v>Typed expression configuration inside the containing block; operator/function legality and named refusal; not a second arithmetic board.</x:v>
      </x:c>
      <x:c r="K261" s="245" t="str">
        <x:v>SEMANTIC REVIEW REQUIRED</x:v>
      </x:c>
    </x:row>
    <x:row r="262" ht="60" customHeight="1">
      <x:c r="A262" s="245" t="str">
        <x:v>EXPR-ITEM-19</x:v>
      </x:c>
      <x:c r="B262" s="245" t="str">
        <x:v>Expression vocabulary entry</x:v>
      </x:c>
      <x:c r="C262" s="245" t="str">
        <x:v>COALESCE</x:v>
      </x:c>
      <x:c r="D262" s="245" t="str">
        <x:v>M2 + M3</x:v>
      </x:c>
      <x:c r="E262" s="245" t="str">
        <x:v>T-265; T-267</x:v>
      </x:c>
      <x:c r="F262" s="245" t="str">
        <x:v>T-243; T-244; T-248</x:v>
      </x:c>
      <x:c r="G262" s="245" t="str">
        <x:v>Chapter 4 v4.10.3 §5.2.16 (verify applicable grammar for each purpose)</x:v>
      </x:c>
      <x:c r="H262" s="245" t="str">
        <x:v>EXPR-01</x:v>
      </x:c>
      <x:c r="I262" s="245" t="str">
        <x:v>DESIGN DEPTH PENDING</x:v>
      </x:c>
      <x:c r="J262" s="245" t="str">
        <x:v>Typed expression configuration inside the containing block; operator/function legality and named refusal; not a second arithmetic board.</x:v>
      </x:c>
      <x:c r="K262" s="245" t="str">
        <x:v>SEMANTIC REVIEW REQUIRED</x:v>
      </x:c>
    </x:row>
    <x:row r="263" ht="60" customHeight="1">
      <x:c r="A263" s="245" t="str">
        <x:v>EXPR-ITEM-20</x:v>
      </x:c>
      <x:c r="B263" s="245" t="str">
        <x:v>Expression vocabulary entry</x:v>
      </x:c>
      <x:c r="C263" s="245" t="str">
        <x:v>ROUND</x:v>
      </x:c>
      <x:c r="D263" s="245" t="str">
        <x:v>M2 + M3</x:v>
      </x:c>
      <x:c r="E263" s="245" t="str">
        <x:v>T-265; T-267</x:v>
      </x:c>
      <x:c r="F263" s="245" t="str">
        <x:v>T-243; T-244; T-248</x:v>
      </x:c>
      <x:c r="G263" s="245" t="str">
        <x:v>Chapter 4 v4.10.3 §5.2.16 (verify applicable grammar for each purpose)</x:v>
      </x:c>
      <x:c r="H263" s="245" t="str">
        <x:v>EXPR-01</x:v>
      </x:c>
      <x:c r="I263" s="245" t="str">
        <x:v>DESIGN DEPTH PENDING</x:v>
      </x:c>
      <x:c r="J263" s="245" t="str">
        <x:v>Typed expression configuration inside the containing block; operator/function legality and named refusal; not a second arithmetic board.</x:v>
      </x:c>
      <x:c r="K263" s="245" t="str">
        <x:v>SEMANTIC REVIEW REQUIRED</x:v>
      </x:c>
    </x:row>
    <x:row r="264" ht="60" customHeight="1">
      <x:c r="A264" s="245" t="str">
        <x:v>EXPR-ITEM-21</x:v>
      </x:c>
      <x:c r="B264" s="245" t="str">
        <x:v>Expression vocabulary entry</x:v>
      </x:c>
      <x:c r="C264" s="245" t="str">
        <x:v>ABS</x:v>
      </x:c>
      <x:c r="D264" s="245" t="str">
        <x:v>M2 + M3</x:v>
      </x:c>
      <x:c r="E264" s="245" t="str">
        <x:v>T-265; T-267</x:v>
      </x:c>
      <x:c r="F264" s="245" t="str">
        <x:v>T-243; T-244; T-248</x:v>
      </x:c>
      <x:c r="G264" s="245" t="str">
        <x:v>Chapter 4 v4.10.3 §5.2.16 (verify applicable grammar for each purpose)</x:v>
      </x:c>
      <x:c r="H264" s="245" t="str">
        <x:v>EXPR-01</x:v>
      </x:c>
      <x:c r="I264" s="245" t="str">
        <x:v>DESIGN DEPTH PENDING</x:v>
      </x:c>
      <x:c r="J264" s="245" t="str">
        <x:v>Typed expression configuration inside the containing block; operator/function legality and named refusal; not a second arithmetic board.</x:v>
      </x:c>
      <x:c r="K264" s="245" t="str">
        <x:v>SEMANTIC REVIEW REQUIRED</x:v>
      </x:c>
    </x:row>
    <x:row r="265" ht="60" customHeight="1">
      <x:c r="A265" s="245" t="str">
        <x:v>EXPR-ITEM-22</x:v>
      </x:c>
      <x:c r="B265" s="245" t="str">
        <x:v>Expression vocabulary entry</x:v>
      </x:c>
      <x:c r="C265" s="245" t="str">
        <x:v>Date arithmetic</x:v>
      </x:c>
      <x:c r="D265" s="245" t="str">
        <x:v>M2 + M3</x:v>
      </x:c>
      <x:c r="E265" s="245" t="str">
        <x:v>T-265; T-267</x:v>
      </x:c>
      <x:c r="F265" s="245" t="str">
        <x:v>T-243; T-244; T-248</x:v>
      </x:c>
      <x:c r="G265" s="245" t="str">
        <x:v>Chapter 4 v4.10.3 §5.2.16 (verify applicable grammar for each purpose)</x:v>
      </x:c>
      <x:c r="H265" s="245" t="str">
        <x:v>EXPR-01</x:v>
      </x:c>
      <x:c r="I265" s="245" t="str">
        <x:v>DESIGN DEPTH PENDING</x:v>
      </x:c>
      <x:c r="J265" s="245" t="str">
        <x:v>Typed expression configuration inside the containing block; operator/function legality and named refusal; not a second arithmetic board.</x:v>
      </x:c>
      <x:c r="K265" s="245" t="str">
        <x:v>SEMANTIC REVIEW REQUIRED</x:v>
      </x:c>
    </x:row>
    <x:row r="266" ht="60" customHeight="1">
      <x:c r="A266" s="245" t="str">
        <x:v>OPC-UX-01</x:v>
      </x:c>
      <x:c r="B266" s="245" t="str">
        <x:v>Missing OPC workflow design</x:v>
      </x:c>
      <x:c r="C266" s="245" t="str">
        <x:v>Profile and trusted/rejected session</x:v>
      </x:c>
      <x:c r="D266" s="245" t="str">
        <x:v>M2</x:v>
      </x:c>
      <x:c r="E266" s="245" t="str">
        <x:v>T-266</x:v>
      </x:c>
      <x:c r="F266" s="245" t="str">
        <x:v>T-224; T-113</x:v>
      </x:c>
      <x:c r="G266" s="245" t="str">
        <x:v>Chapter 2/6 OPC boundary; Chapter 3 B1; existing T-224..T-226 contracts</x:v>
      </x:c>
      <x:c r="H266" s="245" t="str">
        <x:v>MISSING — to author</x:v>
      </x:c>
      <x:c r="I266" s="245" t="str">
        <x:v>MISSING DESIGN — T-266 OWNS</x:v>
      </x:c>
      <x:c r="J266" s="245" t="str">
        <x:v>endpoint, policy, certificate reference, authentication, source identity, connection test</x:v>
      </x:c>
      <x:c r="K266" s="245" t="str">
        <x:v>EXACT CLAUSE REQUIRED BEFORE ACCEPTANCE</x:v>
      </x:c>
    </x:row>
    <x:row r="267" ht="60" customHeight="1">
      <x:c r="A267" s="245" t="str">
        <x:v>OPC-UX-02</x:v>
      </x:c>
      <x:c r="B267" s="245" t="str">
        <x:v>Missing OPC workflow design</x:v>
      </x:c>
      <x:c r="C267" s="245" t="str">
        <x:v>Browse, tag select and registration</x:v>
      </x:c>
      <x:c r="D267" s="245" t="str">
        <x:v>M2</x:v>
      </x:c>
      <x:c r="E267" s="245" t="str">
        <x:v>T-266</x:v>
      </x:c>
      <x:c r="F267" s="245" t="str">
        <x:v>T-225</x:v>
      </x:c>
      <x:c r="G267" s="245" t="str">
        <x:v>Chapter 2/6 OPC boundary; Chapter 3 B2; existing T-224..T-226 contracts</x:v>
      </x:c>
      <x:c r="H267" s="245" t="str">
        <x:v>MISSING — to author</x:v>
      </x:c>
      <x:c r="I267" s="245" t="str">
        <x:v>MISSING DESIGN — T-266 OWNS</x:v>
      </x:c>
      <x:c r="J267" s="245" t="str">
        <x:v>namespace/node tree, type, tag identity, selection, bounded discovery, register</x:v>
      </x:c>
      <x:c r="K267" s="245" t="str">
        <x:v>EXACT CLAUSE REQUIRED BEFORE ACCEPTANCE</x:v>
      </x:c>
    </x:row>
    <x:row r="268" ht="60" customHeight="1">
      <x:c r="A268" s="245" t="str">
        <x:v>OPC-UX-03</x:v>
      </x:c>
      <x:c r="B268" s="245" t="str">
        <x:v>Missing OPC workflow design</x:v>
      </x:c>
      <x:c r="C268" s="245" t="str">
        <x:v>Bounded read and subscription</x:v>
      </x:c>
      <x:c r="D268" s="245" t="str">
        <x:v>M2</x:v>
      </x:c>
      <x:c r="E268" s="245" t="str">
        <x:v>T-266</x:v>
      </x:c>
      <x:c r="F268" s="245" t="str">
        <x:v>T-225</x:v>
      </x:c>
      <x:c r="G268" s="245" t="str">
        <x:v>Chapter 2/6 OPC boundary; Chapter 3 B3; existing T-224..T-226 contracts</x:v>
      </x:c>
      <x:c r="H268" s="245" t="str">
        <x:v>MISSING — to author</x:v>
      </x:c>
      <x:c r="I268" s="245" t="str">
        <x:v>MISSING DESIGN — T-266 OWNS</x:v>
      </x:c>
      <x:c r="J268" s="245" t="str">
        <x:v>sampling/publishing/deadband, budget/invalid settings, monitored items</x:v>
      </x:c>
      <x:c r="K268" s="245" t="str">
        <x:v>EXACT CLAUSE REQUIRED BEFORE ACCEPTANCE</x:v>
      </x:c>
    </x:row>
    <x:row r="269" ht="60" customHeight="1">
      <x:c r="A269" s="245" t="str">
        <x:v>OPC-UX-04</x:v>
      </x:c>
      <x:c r="B269" s="245" t="str">
        <x:v>Missing OPC workflow design</x:v>
      </x:c>
      <x:c r="C269" s="245" t="str">
        <x:v>Quality and source-time inspection</x:v>
      </x:c>
      <x:c r="D269" s="245" t="str">
        <x:v>M2</x:v>
      </x:c>
      <x:c r="E269" s="245" t="str">
        <x:v>T-266</x:v>
      </x:c>
      <x:c r="F269" s="245" t="str">
        <x:v>T-226; T-233</x:v>
      </x:c>
      <x:c r="G269" s="245" t="str">
        <x:v>Chapter 2/6 OPC boundary; Chapter 3 B4; existing T-224..T-226 contracts</x:v>
      </x:c>
      <x:c r="H269" s="245" t="str">
        <x:v>MISSING — to author</x:v>
      </x:c>
      <x:c r="I269" s="245" t="str">
        <x:v>MISSING DESIGN — T-266 OWNS</x:v>
      </x:c>
      <x:c r="J269" s="245" t="str">
        <x:v>StatusCode and Good/Bad/Uncertain; source/server/ingested timestamps; gaps</x:v>
      </x:c>
      <x:c r="K269" s="245" t="str">
        <x:v>EXACT CLAUSE REQUIRED BEFORE ACCEPTANCE</x:v>
      </x:c>
    </x:row>
    <x:row r="270" ht="60" customHeight="1">
      <x:c r="A270" s="245" t="str">
        <x:v>OPC-UX-05</x:v>
      </x:c>
      <x:c r="B270" s="245" t="str">
        <x:v>Missing OPC workflow design</x:v>
      </x:c>
      <x:c r="C270" s="245" t="str">
        <x:v>Disconnect, spool and replay</x:v>
      </x:c>
      <x:c r="D270" s="245" t="str">
        <x:v>M2</x:v>
      </x:c>
      <x:c r="E270" s="245" t="str">
        <x:v>T-266</x:v>
      </x:c>
      <x:c r="F270" s="245" t="str">
        <x:v>T-226</x:v>
      </x:c>
      <x:c r="G270" s="245" t="str">
        <x:v>Chapter 2/6 OPC boundary; Chapter 3 B4; existing T-224..T-226 contracts</x:v>
      </x:c>
      <x:c r="H270" s="245" t="str">
        <x:v>MISSING — to author</x:v>
      </x:c>
      <x:c r="I270" s="245" t="str">
        <x:v>MISSING DESIGN — T-266 OWNS</x:v>
      </x:c>
      <x:c r="J270" s="245" t="str">
        <x:v>buffer depth, outage, replay cursor/acknowledgement, duplicates and sequence loss</x:v>
      </x:c>
      <x:c r="K270" s="245" t="str">
        <x:v>EXACT CLAUSE REQUIRED BEFORE ACCEPTANCE</x:v>
      </x:c>
    </x:row>
    <x:row r="271" ht="60" customHeight="1">
      <x:c r="A271" s="245" t="str">
        <x:v>OPC-UX-06</x:v>
      </x:c>
      <x:c r="B271" s="245" t="str">
        <x:v>Missing OPC workflow design</x:v>
      </x:c>
      <x:c r="C271" s="245" t="str">
        <x:v>Capability/permission/refusal</x:v>
      </x:c>
      <x:c r="D271" s="245" t="str">
        <x:v>M2</x:v>
      </x:c>
      <x:c r="E271" s="245" t="str">
        <x:v>T-266</x:v>
      </x:c>
      <x:c r="F271" s="245" t="str">
        <x:v>T-254; T-224; T-225; T-226</x:v>
      </x:c>
      <x:c r="G271" s="245" t="str">
        <x:v>Chapter 2/6 OPC boundary; Chapter 3 B6; existing T-224..T-226 contracts</x:v>
      </x:c>
      <x:c r="H271" s="245" t="str">
        <x:v>MISSING — to author</x:v>
      </x:c>
      <x:c r="I271" s="245" t="str">
        <x:v>MISSING DESIGN — T-266 OWNS</x:v>
      </x:c>
      <x:c r="J271" s="245" t="str">
        <x:v>separate current unavailable versus target commissioned; no flip of runtime flags</x:v>
      </x:c>
      <x:c r="K271" s="245" t="str">
        <x:v>EXACT CLAUSE REQUIRED BEFORE ACCEPTANCE</x:v>
      </x:c>
    </x:row>
  </x:sheetData>
  <x:pageMargins left="0.7" right="0.7" top="0.75" bottom="0.75" header="0.3" footer="0.3"/>
  <x:tableParts count="1">
    <x:tablePart xmlns:r="http://schemas.openxmlformats.org/officeDocument/2006/relationships" r:id="R85871a1f45f5475c"/>
  </x:tableParts>
</x:worksheet>
</file>

<file path=xl/worksheets/sheet27.xml><?xml version="1.0" encoding="utf-8"?>
<x:worksheet xmlns:x="http://schemas.openxmlformats.org/spreadsheetml/2006/main">
  <x:sheetFormatPr defaultRowHeight="15"/>
  <x:cols>
    <x:col min="1" max="1" width="24" hidden="0" customWidth="1"/>
    <x:col min="2" max="2" width="12" hidden="0" customWidth="1"/>
    <x:col min="3" max="3" width="40" hidden="0" customWidth="1"/>
    <x:col min="4" max="4" width="24" hidden="0" customWidth="1"/>
    <x:col min="5" max="5" width="32" hidden="0" customWidth="1"/>
    <x:col min="6" max="6" width="34" hidden="0" customWidth="1"/>
    <x:col min="7" max="7" width="40" hidden="0" customWidth="1"/>
    <x:col min="8" max="8" width="20" hidden="0" customWidth="1"/>
    <x:col min="9" max="9" width="24" hidden="0" customWidth="1"/>
    <x:col min="10" max="10" width="28" hidden="0" customWidth="1"/>
    <x:col min="11" max="11" width="40" hidden="0" customWidth="1"/>
  </x:cols>
  <x:sheetData>
    <x:row r="1" ht="30" customHeight="1">
      <x:c r="A1" s="244" t="str">
        <x:v>Control review ID</x:v>
      </x:c>
      <x:c r="B1" s="244" t="str">
        <x:v>Parent</x:v>
      </x:c>
      <x:c r="C1" s="244" t="str">
        <x:v>Chapter control text</x:v>
      </x:c>
      <x:c r="D1" s="244" t="str">
        <x:v>Type</x:v>
      </x:c>
      <x:c r="E1" s="244" t="str">
        <x:v>Position / reachability</x:v>
      </x:c>
      <x:c r="F1" s="244" t="str">
        <x:v>Enabled / condition</x:v>
      </x:c>
      <x:c r="G1" s="244" t="str">
        <x:v>Source</x:v>
      </x:c>
      <x:c r="H1" s="244" t="str">
        <x:v>Release portion</x:v>
      </x:c>
      <x:c r="I1" s="244" t="str">
        <x:v>Design owner</x:v>
      </x:c>
      <x:c r="J1" s="244" t="str">
        <x:v>Trace state</x:v>
      </x:c>
      <x:c r="K1" s="244" t="str">
        <x:v>Acceptance requirement</x:v>
      </x:c>
    </x:row>
    <x:row r="2" ht="60" customHeight="1">
      <x:c r="A2" s="245" t="str">
        <x:v>A1/CTRL-01</x:v>
      </x:c>
      <x:c r="B2" s="245" t="str">
        <x:v>A1</x:v>
      </x:c>
      <x:c r="C2" s="245" t="str">
        <x:v>Username</x:v>
      </x:c>
      <x:c r="D2" s="245" t="str">
        <x:v>`StandardInput`</x:v>
      </x:c>
      <x:c r="E2" s="245" t="str">
        <x:v>card, first</x:v>
      </x:c>
      <x:c r="F2" s="245" t="str">
        <x:v>always</x:v>
      </x:c>
      <x:c r="G2" s="245" t="str">
        <x:v>PPIQ_Chapter3_General_Technical_Function_Description_v4.10.3.md §A1</x:v>
      </x:c>
      <x:c r="H2" s="245" t="str">
        <x:v>M2</x:v>
      </x:c>
      <x:c r="I2" s="245" t="str">
        <x:v>T-265</x:v>
      </x:c>
      <x:c r="J2" s="245" t="str">
        <x:v>PENDING SEMANTIC TRACE</x:v>
      </x:c>
      <x:c r="K2" s="245" t="str">
        <x:v>Frame/state/node + action/outcome proof required</x:v>
      </x:c>
    </x:row>
    <x:row r="3" ht="60" customHeight="1">
      <x:c r="A3" s="245" t="str">
        <x:v>A1/CTRL-02</x:v>
      </x:c>
      <x:c r="B3" s="245" t="str">
        <x:v>A1</x:v>
      </x:c>
      <x:c r="C3" s="245" t="str">
        <x:v>Password</x:v>
      </x:c>
      <x:c r="D3" s="245" t="str">
        <x:v>`StandardInput type=password`</x:v>
      </x:c>
      <x:c r="E3" s="245" t="str">
        <x:v>card, second</x:v>
      </x:c>
      <x:c r="F3" s="245" t="str">
        <x:v>always</x:v>
      </x:c>
      <x:c r="G3" s="245" t="str">
        <x:v>PPIQ_Chapter3_General_Technical_Function_Description_v4.10.3.md §A1</x:v>
      </x:c>
      <x:c r="H3" s="245" t="str">
        <x:v>M2</x:v>
      </x:c>
      <x:c r="I3" s="245" t="str">
        <x:v>T-265</x:v>
      </x:c>
      <x:c r="J3" s="245" t="str">
        <x:v>PENDING SEMANTIC TRACE</x:v>
      </x:c>
      <x:c r="K3" s="245" t="str">
        <x:v>Frame/state/node + action/outcome proof required</x:v>
      </x:c>
    </x:row>
    <x:row r="4" ht="60" customHeight="1">
      <x:c r="A4" s="245" t="str">
        <x:v>A1/CTRL-03</x:v>
      </x:c>
      <x:c r="B4" s="245" t="str">
        <x:v>A1</x:v>
      </x:c>
      <x:c r="C4" s="245" t="str">
        <x:v>Sign in</x:v>
      </x:c>
      <x:c r="D4" s="245" t="str">
        <x:v>primary button</x:v>
      </x:c>
      <x:c r="E4" s="245" t="str">
        <x:v>card footer, full width</x:v>
      </x:c>
      <x:c r="F4" s="245" t="str">
        <x:v>both fields non-empty</x:v>
      </x:c>
      <x:c r="G4" s="245" t="str">
        <x:v>PPIQ_Chapter3_General_Technical_Function_Description_v4.10.3.md §A1</x:v>
      </x:c>
      <x:c r="H4" s="245" t="str">
        <x:v>M2</x:v>
      </x:c>
      <x:c r="I4" s="245" t="str">
        <x:v>T-265</x:v>
      </x:c>
      <x:c r="J4" s="245" t="str">
        <x:v>PENDING SEMANTIC TRACE</x:v>
      </x:c>
      <x:c r="K4" s="245" t="str">
        <x:v>Frame/state/node + action/outcome proof required</x:v>
      </x:c>
    </x:row>
    <x:row r="5" ht="60" customHeight="1">
      <x:c r="A5" s="245" t="str">
        <x:v>A1/CTRL-04</x:v>
      </x:c>
      <x:c r="B5" s="245" t="str">
        <x:v>A1</x:v>
      </x:c>
      <x:c r="C5" s="245" t="str">
        <x:v>Second factor code</x:v>
      </x:c>
      <x:c r="D5" s="245" t="str">
        <x:v>`StandardInput`</x:v>
      </x:c>
      <x:c r="E5" s="245" t="str">
        <x:v>replaces form after step 1</x:v>
      </x:c>
      <x:c r="F5" s="245" t="str">
        <x:v>challenge issued</x:v>
      </x:c>
      <x:c r="G5" s="245" t="str">
        <x:v>PPIQ_Chapter3_General_Technical_Function_Description_v4.10.3.md §A1</x:v>
      </x:c>
      <x:c r="H5" s="245" t="str">
        <x:v>M2</x:v>
      </x:c>
      <x:c r="I5" s="245" t="str">
        <x:v>T-265</x:v>
      </x:c>
      <x:c r="J5" s="245" t="str">
        <x:v>PENDING SEMANTIC TRACE</x:v>
      </x:c>
      <x:c r="K5" s="245" t="str">
        <x:v>Frame/state/node + action/outcome proof required</x:v>
      </x:c>
    </x:row>
    <x:row r="6" ht="60" customHeight="1">
      <x:c r="A6" s="245" t="str">
        <x:v>A1/CTRL-05</x:v>
      </x:c>
      <x:c r="B6" s="245" t="str">
        <x:v>A1</x:v>
      </x:c>
      <x:c r="C6" s="245" t="str">
        <x:v>Language</x:v>
      </x:c>
      <x:c r="D6" s="245" t="str">
        <x:v>select</x:v>
      </x:c>
      <x:c r="E6" s="245" t="str">
        <x:v>block-end</x:v>
      </x:c>
      <x:c r="F6" s="245" t="str">
        <x:v>always</x:v>
      </x:c>
      <x:c r="G6" s="245" t="str">
        <x:v>PPIQ_Chapter3_General_Technical_Function_Description_v4.10.3.md §A1</x:v>
      </x:c>
      <x:c r="H6" s="245" t="str">
        <x:v>M2</x:v>
      </x:c>
      <x:c r="I6" s="245" t="str">
        <x:v>T-265</x:v>
      </x:c>
      <x:c r="J6" s="245" t="str">
        <x:v>PENDING SEMANTIC TRACE</x:v>
      </x:c>
      <x:c r="K6" s="245" t="str">
        <x:v>Frame/state/node + action/outcome proof required</x:v>
      </x:c>
    </x:row>
    <x:row r="7" ht="60" customHeight="1">
      <x:c r="A7" s="245" t="str">
        <x:v>A2/CTRL-01</x:v>
      </x:c>
      <x:c r="B7" s="245" t="str">
        <x:v>A2</x:v>
      </x:c>
      <x:c r="C7" s="245" t="str">
        <x:v>Journey rail node</x:v>
      </x:c>
      <x:c r="D7" s="245" t="str">
        <x:v>link chip</x:v>
      </x:c>
      <x:c r="E7" s="245" t="str">
        <x:v>rail</x:v>
      </x:c>
      <x:c r="F7" s="245" t="str">
        <x:v>node's page permitted</x:v>
      </x:c>
      <x:c r="G7" s="245" t="str">
        <x:v>PPIQ_Chapter3_General_Technical_Function_Description_v4.10.3.md §A2</x:v>
      </x:c>
      <x:c r="H7" s="245" t="str">
        <x:v>M2</x:v>
      </x:c>
      <x:c r="I7" s="245" t="str">
        <x:v>T-265</x:v>
      </x:c>
      <x:c r="J7" s="245" t="str">
        <x:v>PENDING SEMANTIC TRACE</x:v>
      </x:c>
      <x:c r="K7" s="245" t="str">
        <x:v>Frame/state/node + action/outcome proof required</x:v>
      </x:c>
    </x:row>
    <x:row r="8" ht="60" customHeight="1">
      <x:c r="A8" s="245" t="str">
        <x:v>A2/CTRL-02</x:v>
      </x:c>
      <x:c r="B8" s="245" t="str">
        <x:v>A2</x:v>
      </x:c>
      <x:c r="C8" s="245" t="str">
        <x:v>Stat tile</x:v>
      </x:c>
      <x:c r="D8" s="245" t="str">
        <x:v>`StandardStatGrid` cell</x:v>
      </x:c>
      <x:c r="E8" s="245" t="str">
        <x:v>grid</x:v>
      </x:c>
      <x:c r="F8" s="245" t="str">
        <x:v>always</x:v>
      </x:c>
      <x:c r="G8" s="245" t="str">
        <x:v>PPIQ_Chapter3_General_Technical_Function_Description_v4.10.3.md §A2</x:v>
      </x:c>
      <x:c r="H8" s="245" t="str">
        <x:v>M2</x:v>
      </x:c>
      <x:c r="I8" s="245" t="str">
        <x:v>T-265</x:v>
      </x:c>
      <x:c r="J8" s="245" t="str">
        <x:v>PENDING SEMANTIC TRACE</x:v>
      </x:c>
      <x:c r="K8" s="245" t="str">
        <x:v>Frame/state/node + action/outcome proof required</x:v>
      </x:c>
    </x:row>
    <x:row r="9" ht="60" customHeight="1">
      <x:c r="A9" s="245" t="str">
        <x:v>A2/CTRL-03</x:v>
      </x:c>
      <x:c r="B9" s="245" t="str">
        <x:v>A2</x:v>
      </x:c>
      <x:c r="C9" s="245" t="str">
        <x:v>Readiness dimension bar</x:v>
      </x:c>
      <x:c r="D9" s="245" t="str">
        <x:v>progress bar</x:v>
      </x:c>
      <x:c r="E9" s="245" t="str">
        <x:v>inline-start column</x:v>
      </x:c>
      <x:c r="F9" s="245" t="str">
        <x:v>gate evaluated</x:v>
      </x:c>
      <x:c r="G9" s="245" t="str">
        <x:v>PPIQ_Chapter3_General_Technical_Function_Description_v4.10.3.md §A2</x:v>
      </x:c>
      <x:c r="H9" s="245" t="str">
        <x:v>M2</x:v>
      </x:c>
      <x:c r="I9" s="245" t="str">
        <x:v>T-265</x:v>
      </x:c>
      <x:c r="J9" s="245" t="str">
        <x:v>PENDING SEMANTIC TRACE</x:v>
      </x:c>
      <x:c r="K9" s="245" t="str">
        <x:v>Frame/state/node + action/outcome proof required</x:v>
      </x:c>
    </x:row>
    <x:row r="10" ht="60" customHeight="1">
      <x:c r="A10" s="245" t="str">
        <x:v>A2/CTRL-04</x:v>
      </x:c>
      <x:c r="B10" s="245" t="str">
        <x:v>A2</x:v>
      </x:c>
      <x:c r="C10" s="245" t="str">
        <x:v>Finding row</x:v>
      </x:c>
      <x:c r="D10" s="245" t="str">
        <x:v>link</x:v>
      </x:c>
      <x:c r="E10" s="245" t="str">
        <x:v>inline-end column</x:v>
      </x:c>
      <x:c r="F10" s="245" t="str">
        <x:v>findings exist</x:v>
      </x:c>
      <x:c r="G10" s="245" t="str">
        <x:v>PPIQ_Chapter3_General_Technical_Function_Description_v4.10.3.md §A2</x:v>
      </x:c>
      <x:c r="H10" s="245" t="str">
        <x:v>M2</x:v>
      </x:c>
      <x:c r="I10" s="245" t="str">
        <x:v>T-265</x:v>
      </x:c>
      <x:c r="J10" s="245" t="str">
        <x:v>PENDING SEMANTIC TRACE</x:v>
      </x:c>
      <x:c r="K10" s="245" t="str">
        <x:v>Frame/state/node + action/outcome proof required</x:v>
      </x:c>
    </x:row>
    <x:row r="11" ht="60" customHeight="1">
      <x:c r="A11" s="245" t="str">
        <x:v>A2/CTRL-05</x:v>
      </x:c>
      <x:c r="B11" s="245" t="str">
        <x:v>A2</x:v>
      </x:c>
      <x:c r="C11" s="245" t="str">
        <x:v>Refresh</x:v>
      </x:c>
      <x:c r="D11" s="245" t="str">
        <x:v>secondary</x:v>
      </x:c>
      <x:c r="E11" s="245" t="str">
        <x:v>header inline-end</x:v>
      </x:c>
      <x:c r="F11" s="245" t="str">
        <x:v>always</x:v>
      </x:c>
      <x:c r="G11" s="245" t="str">
        <x:v>PPIQ_Chapter3_General_Technical_Function_Description_v4.10.3.md §A2</x:v>
      </x:c>
      <x:c r="H11" s="245" t="str">
        <x:v>M2</x:v>
      </x:c>
      <x:c r="I11" s="245" t="str">
        <x:v>T-265</x:v>
      </x:c>
      <x:c r="J11" s="245" t="str">
        <x:v>PENDING SEMANTIC TRACE</x:v>
      </x:c>
      <x:c r="K11" s="245" t="str">
        <x:v>Frame/state/node + action/outcome proof required</x:v>
      </x:c>
    </x:row>
    <x:row r="12" ht="60" customHeight="1">
      <x:c r="A12" s="245" t="str">
        <x:v>B1/CTRL-01</x:v>
      </x:c>
      <x:c r="B12" s="245" t="str">
        <x:v>B1</x:v>
      </x:c>
      <x:c r="C12" s="245" t="str">
        <x:v>Refresh</x:v>
      </x:c>
      <x:c r="D12" s="245" t="str">
        <x:v>secondary, `RefreshCw`</x:v>
      </x:c>
      <x:c r="E12" s="245" t="str">
        <x:v>layout header, inline-end</x:v>
      </x:c>
      <x:c r="F12" s="245" t="str">
        <x:v>always</x:v>
      </x:c>
      <x:c r="G12" s="245" t="str">
        <x:v>PPIQ_Chapter3_General_Technical_Function_Description_v4.10.3.md §B1</x:v>
      </x:c>
      <x:c r="H12" s="245" t="str">
        <x:v>M2</x:v>
      </x:c>
      <x:c r="I12" s="245" t="str">
        <x:v>T-265</x:v>
      </x:c>
      <x:c r="J12" s="245" t="str">
        <x:v>PENDING SEMANTIC TRACE</x:v>
      </x:c>
      <x:c r="K12" s="245" t="str">
        <x:v>Frame/state/node + action/outcome proof required</x:v>
      </x:c>
    </x:row>
    <x:row r="13" ht="60" customHeight="1">
      <x:c r="A13" s="245" t="str">
        <x:v>B1/CTRL-02</x:v>
      </x:c>
      <x:c r="B13" s="245" t="str">
        <x:v>B1</x:v>
      </x:c>
      <x:c r="C13" s="245" t="str">
        <x:v>New Connection Profile</x:v>
      </x:c>
      <x:c r="D13" s="245" t="str">
        <x:v>primary, `Plus`</x:v>
      </x:c>
      <x:c r="E13" s="245" t="str">
        <x:v>panel 1 header, inline-end</x:v>
      </x:c>
      <x:c r="F13" s="245" t="str">
        <x:v>LIST mode</x:v>
      </x:c>
      <x:c r="G13" s="245" t="str">
        <x:v>PPIQ_Chapter3_General_Technical_Function_Description_v4.10.3.md §B1</x:v>
      </x:c>
      <x:c r="H13" s="245" t="str">
        <x:v>M2</x:v>
      </x:c>
      <x:c r="I13" s="245" t="str">
        <x:v>T-265</x:v>
      </x:c>
      <x:c r="J13" s="245" t="str">
        <x:v>PENDING SEMANTIC TRACE</x:v>
      </x:c>
      <x:c r="K13" s="245" t="str">
        <x:v>Frame/state/node + action/outcome proof required</x:v>
      </x:c>
    </x:row>
    <x:row r="14" ht="60" customHeight="1">
      <x:c r="A14" s="245" t="str">
        <x:v>B1/CTRL-03</x:v>
      </x:c>
      <x:c r="B14" s="245" t="str">
        <x:v>B1</x:v>
      </x:c>
      <x:c r="C14" s="245" t="str">
        <x:v>Back</x:v>
      </x:c>
      <x:c r="D14" s="245" t="str">
        <x:v>secondary</x:v>
      </x:c>
      <x:c r="E14" s="245" t="str">
        <x:v>panel 1 header, inline-start</x:v>
      </x:c>
      <x:c r="F14" s="245" t="str">
        <x:v>FORM mode</x:v>
      </x:c>
      <x:c r="G14" s="245" t="str">
        <x:v>PPIQ_Chapter3_General_Technical_Function_Description_v4.10.3.md §B1</x:v>
      </x:c>
      <x:c r="H14" s="245" t="str">
        <x:v>M2</x:v>
      </x:c>
      <x:c r="I14" s="245" t="str">
        <x:v>T-265</x:v>
      </x:c>
      <x:c r="J14" s="245" t="str">
        <x:v>PENDING SEMANTIC TRACE</x:v>
      </x:c>
      <x:c r="K14" s="245" t="str">
        <x:v>Frame/state/node + action/outcome proof required</x:v>
      </x:c>
    </x:row>
    <x:row r="15" ht="60" customHeight="1">
      <x:c r="A15" s="245" t="str">
        <x:v>B1/CTRL-04</x:v>
      </x:c>
      <x:c r="B15" s="245" t="str">
        <x:v>B1</x:v>
      </x:c>
      <x:c r="C15" s="245" t="str">
        <x:v>Name / Code / Host / Port / Database / Schema / Username</x:v>
      </x:c>
      <x:c r="D15" s="245" t="str">
        <x:v>`StandardInput`</x:v>
      </x:c>
      <x:c r="E15" s="245" t="str">
        <x:v>form grid, two columns</x:v>
      </x:c>
      <x:c r="F15" s="245" t="str">
        <x:v>always</x:v>
      </x:c>
      <x:c r="G15" s="245" t="str">
        <x:v>PPIQ_Chapter3_General_Technical_Function_Description_v4.10.3.md §B1</x:v>
      </x:c>
      <x:c r="H15" s="245" t="str">
        <x:v>M2</x:v>
      </x:c>
      <x:c r="I15" s="245" t="str">
        <x:v>T-265</x:v>
      </x:c>
      <x:c r="J15" s="245" t="str">
        <x:v>PENDING SEMANTIC TRACE</x:v>
      </x:c>
      <x:c r="K15" s="245" t="str">
        <x:v>Frame/state/node + action/outcome proof required</x:v>
      </x:c>
    </x:row>
    <x:row r="16" ht="60" customHeight="1">
      <x:c r="A16" s="245" t="str">
        <x:v>B1/CTRL-05</x:v>
      </x:c>
      <x:c r="B16" s="245" t="str">
        <x:v>B1</x:v>
      </x:c>
      <x:c r="C16" s="245" t="str">
        <x:v>Password</x:v>
      </x:c>
      <x:c r="D16" s="245" t="str">
        <x:v>`StandardInput type=password`</x:v>
      </x:c>
      <x:c r="E16" s="245" t="str">
        <x:v>form grid</x:v>
      </x:c>
      <x:c r="F16" s="245" t="str">
        <x:v>always</x:v>
      </x:c>
      <x:c r="G16" s="245" t="str">
        <x:v>PPIQ_Chapter3_General_Technical_Function_Description_v4.10.3.md §B1</x:v>
      </x:c>
      <x:c r="H16" s="245" t="str">
        <x:v>M2</x:v>
      </x:c>
      <x:c r="I16" s="245" t="str">
        <x:v>T-265</x:v>
      </x:c>
      <x:c r="J16" s="245" t="str">
        <x:v>PENDING SEMANTIC TRACE</x:v>
      </x:c>
      <x:c r="K16" s="245" t="str">
        <x:v>Frame/state/node + action/outcome proof required</x:v>
      </x:c>
    </x:row>
    <x:row r="17" ht="60" customHeight="1">
      <x:c r="A17" s="245" t="str">
        <x:v>B1/CTRL-06</x:v>
      </x:c>
      <x:c r="B17" s="245" t="str">
        <x:v>B1</x:v>
      </x:c>
      <x:c r="C17" s="245" t="str">
        <x:v>Provider type</x:v>
      </x:c>
      <x:c r="D17" s="245" t="str">
        <x:v>`StandardSelect`</x:v>
      </x:c>
      <x:c r="E17" s="245" t="str">
        <x:v>form grid</x:v>
      </x:c>
      <x:c r="F17" s="245" t="str">
        <x:v>provider types loaded</x:v>
      </x:c>
      <x:c r="G17" s="245" t="str">
        <x:v>PPIQ_Chapter3_General_Technical_Function_Description_v4.10.3.md §B1</x:v>
      </x:c>
      <x:c r="H17" s="245" t="str">
        <x:v>M2</x:v>
      </x:c>
      <x:c r="I17" s="245" t="str">
        <x:v>T-265</x:v>
      </x:c>
      <x:c r="J17" s="245" t="str">
        <x:v>PENDING SEMANTIC TRACE</x:v>
      </x:c>
      <x:c r="K17" s="245" t="str">
        <x:v>Frame/state/node + action/outcome proof required</x:v>
      </x:c>
    </x:row>
    <x:row r="18" ht="60" customHeight="1">
      <x:c r="A18" s="245" t="str">
        <x:v>B1/CTRL-07</x:v>
      </x:c>
      <x:c r="B18" s="245" t="str">
        <x:v>B1</x:v>
      </x:c>
      <x:c r="C18" s="245" t="str">
        <x:v>Source system tag</x:v>
      </x:c>
      <x:c r="D18" s="245" t="str">
        <x:v>`StandardSelect`</x:v>
      </x:c>
      <x:c r="E18" s="245" t="str">
        <x:v>form grid</x:v>
      </x:c>
      <x:c r="F18" s="245" t="str">
        <x:v>always</x:v>
      </x:c>
      <x:c r="G18" s="245" t="str">
        <x:v>PPIQ_Chapter3_General_Technical_Function_Description_v4.10.3.md §B1</x:v>
      </x:c>
      <x:c r="H18" s="245" t="str">
        <x:v>M2</x:v>
      </x:c>
      <x:c r="I18" s="245" t="str">
        <x:v>T-265</x:v>
      </x:c>
      <x:c r="J18" s="245" t="str">
        <x:v>PENDING SEMANTIC TRACE</x:v>
      </x:c>
      <x:c r="K18" s="245" t="str">
        <x:v>Frame/state/node + action/outcome proof required</x:v>
      </x:c>
    </x:row>
    <x:row r="19" ht="60" customHeight="1">
      <x:c r="A19" s="245" t="str">
        <x:v>B1/CTRL-08</x:v>
      </x:c>
      <x:c r="B19" s="245" t="str">
        <x:v>B1</x:v>
      </x:c>
      <x:c r="C19" s="245" t="str">
        <x:v>File path</x:v>
      </x:c>
      <x:c r="D19" s="245" t="str">
        <x:v>`StandardInput`</x:v>
      </x:c>
      <x:c r="E19" s="245" t="str">
        <x:v>form grid</x:v>
      </x:c>
      <x:c r="F19" s="245" t="str">
        <x:v>provider is file-based</x:v>
      </x:c>
      <x:c r="G19" s="245" t="str">
        <x:v>PPIQ_Chapter3_General_Technical_Function_Description_v4.10.3.md §B1</x:v>
      </x:c>
      <x:c r="H19" s="245" t="str">
        <x:v>M2</x:v>
      </x:c>
      <x:c r="I19" s="245" t="str">
        <x:v>T-265</x:v>
      </x:c>
      <x:c r="J19" s="245" t="str">
        <x:v>PENDING SEMANTIC TRACE</x:v>
      </x:c>
      <x:c r="K19" s="245" t="str">
        <x:v>Frame/state/node + action/outcome proof required</x:v>
      </x:c>
    </x:row>
    <x:row r="20" ht="60" customHeight="1">
      <x:c r="A20" s="245" t="str">
        <x:v>B1/CTRL-09</x:v>
      </x:c>
      <x:c r="B20" s="245" t="str">
        <x:v>B1</x:v>
      </x:c>
      <x:c r="C20" s="245" t="str">
        <x:v>Max rows / Timeout / Requests per minute / Approved window</x:v>
      </x:c>
      <x:c r="D20" s="245" t="str">
        <x:v>`StandardInput`, time pickers</x:v>
      </x:c>
      <x:c r="E20" s="245" t="str">
        <x:v>budget group</x:v>
      </x:c>
      <x:c r="F20" s="245" t="str">
        <x:v>always</x:v>
      </x:c>
      <x:c r="G20" s="245" t="str">
        <x:v>PPIQ_Chapter3_General_Technical_Function_Description_v4.10.3.md §B1</x:v>
      </x:c>
      <x:c r="H20" s="245" t="str">
        <x:v>M2</x:v>
      </x:c>
      <x:c r="I20" s="245" t="str">
        <x:v>T-265</x:v>
      </x:c>
      <x:c r="J20" s="245" t="str">
        <x:v>PENDING SEMANTIC TRACE</x:v>
      </x:c>
      <x:c r="K20" s="245" t="str">
        <x:v>Frame/state/node + action/outcome proof required</x:v>
      </x:c>
    </x:row>
    <x:row r="21" ht="60" customHeight="1">
      <x:c r="A21" s="245" t="str">
        <x:v>B1/CTRL-10</x:v>
      </x:c>
      <x:c r="B21" s="245" t="str">
        <x:v>B1</x:v>
      </x:c>
      <x:c r="C21" s="245" t="str">
        <x:v>Test connection</x:v>
      </x:c>
      <x:c r="D21" s="245" t="str">
        <x:v>secondary</x:v>
      </x:c>
      <x:c r="E21" s="245" t="str">
        <x:v>form footer</x:v>
      </x:c>
      <x:c r="F21" s="245" t="str">
        <x:v>host, database and credentials non-empty</x:v>
      </x:c>
      <x:c r="G21" s="245" t="str">
        <x:v>PPIQ_Chapter3_General_Technical_Function_Description_v4.10.3.md §B1</x:v>
      </x:c>
      <x:c r="H21" s="245" t="str">
        <x:v>M2</x:v>
      </x:c>
      <x:c r="I21" s="245" t="str">
        <x:v>T-265</x:v>
      </x:c>
      <x:c r="J21" s="245" t="str">
        <x:v>PENDING SEMANTIC TRACE</x:v>
      </x:c>
      <x:c r="K21" s="245" t="str">
        <x:v>Frame/state/node + action/outcome proof required</x:v>
      </x:c>
    </x:row>
    <x:row r="22" ht="60" customHeight="1">
      <x:c r="A22" s="245" t="str">
        <x:v>B1/CTRL-11</x:v>
      </x:c>
      <x:c r="B22" s="245" t="str">
        <x:v>B1</x:v>
      </x:c>
      <x:c r="C22" s="245" t="str">
        <x:v>Save</x:v>
      </x:c>
      <x:c r="D22" s="245" t="str">
        <x:v>primary</x:v>
      </x:c>
      <x:c r="E22" s="245" t="str">
        <x:v>form footer, inline-end</x:v>
      </x:c>
      <x:c r="F22" s="245" t="str">
        <x:v>client validation passes</x:v>
      </x:c>
      <x:c r="G22" s="245" t="str">
        <x:v>PPIQ_Chapter3_General_Technical_Function_Description_v4.10.3.md §B1</x:v>
      </x:c>
      <x:c r="H22" s="245" t="str">
        <x:v>M2</x:v>
      </x:c>
      <x:c r="I22" s="245" t="str">
        <x:v>T-265</x:v>
      </x:c>
      <x:c r="J22" s="245" t="str">
        <x:v>PENDING SEMANTIC TRACE</x:v>
      </x:c>
      <x:c r="K22" s="245" t="str">
        <x:v>Frame/state/node + action/outcome proof required</x:v>
      </x:c>
    </x:row>
    <x:row r="23" ht="60" customHeight="1">
      <x:c r="A23" s="245" t="str">
        <x:v>B1/CTRL-12</x:v>
      </x:c>
      <x:c r="B23" s="245" t="str">
        <x:v>B1</x:v>
      </x:c>
      <x:c r="C23" s="245" t="str">
        <x:v>Row Edit / Test / Activate / Deactivate</x:v>
      </x:c>
      <x:c r="D23" s="245" t="str">
        <x:v>icon buttons</x:v>
      </x:c>
      <x:c r="E23" s="245" t="str">
        <x:v>table row, inline-end</x:v>
      </x:c>
      <x:c r="F23" s="245" t="str">
        <x:v>per row state</x:v>
      </x:c>
      <x:c r="G23" s="245" t="str">
        <x:v>PPIQ_Chapter3_General_Technical_Function_Description_v4.10.3.md §B1</x:v>
      </x:c>
      <x:c r="H23" s="245" t="str">
        <x:v>M2</x:v>
      </x:c>
      <x:c r="I23" s="245" t="str">
        <x:v>T-265</x:v>
      </x:c>
      <x:c r="J23" s="245" t="str">
        <x:v>PENDING SEMANTIC TRACE</x:v>
      </x:c>
      <x:c r="K23" s="245" t="str">
        <x:v>Frame/state/node + action/outcome proof required</x:v>
      </x:c>
    </x:row>
    <x:row r="24" ht="60" customHeight="1">
      <x:c r="A24" s="245" t="str">
        <x:v>B2/CTRL-01</x:v>
      </x:c>
      <x:c r="B24" s="245" t="str">
        <x:v>B2</x:v>
      </x:c>
      <x:c r="C24" s="245" t="str">
        <x:v>Connection selector</x:v>
      </x:c>
      <x:c r="D24" s="245" t="str">
        <x:v>`StandardSelect`</x:v>
      </x:c>
      <x:c r="E24" s="245" t="str">
        <x:v>inline-start, block-start</x:v>
      </x:c>
      <x:c r="F24" s="245" t="str">
        <x:v>profiles exist</x:v>
      </x:c>
      <x:c r="G24" s="245" t="str">
        <x:v>PPIQ_Chapter3_General_Technical_Function_Description_v4.10.3.md §B2</x:v>
      </x:c>
      <x:c r="H24" s="245" t="str">
        <x:v>M2</x:v>
      </x:c>
      <x:c r="I24" s="245" t="str">
        <x:v>T-265</x:v>
      </x:c>
      <x:c r="J24" s="245" t="str">
        <x:v>PENDING SEMANTIC TRACE</x:v>
      </x:c>
      <x:c r="K24" s="245" t="str">
        <x:v>Frame/state/node + action/outcome proof required</x:v>
      </x:c>
    </x:row>
    <x:row r="25" ht="60" customHeight="1">
      <x:c r="A25" s="245" t="str">
        <x:v>B2/CTRL-02</x:v>
      </x:c>
      <x:c r="B25" s="245" t="str">
        <x:v>B2</x:v>
      </x:c>
      <x:c r="C25" s="245" t="str">
        <x:v>Tree node expander</x:v>
      </x:c>
      <x:c r="D25" s="245" t="str">
        <x:v>disclosure</x:v>
      </x:c>
      <x:c r="E25" s="245" t="str">
        <x:v>tree</x:v>
      </x:c>
      <x:c r="F25" s="245" t="str">
        <x:v>node has children</x:v>
      </x:c>
      <x:c r="G25" s="245" t="str">
        <x:v>PPIQ_Chapter3_General_Technical_Function_Description_v4.10.3.md §B2</x:v>
      </x:c>
      <x:c r="H25" s="245" t="str">
        <x:v>M2</x:v>
      </x:c>
      <x:c r="I25" s="245" t="str">
        <x:v>T-265</x:v>
      </x:c>
      <x:c r="J25" s="245" t="str">
        <x:v>PENDING SEMANTIC TRACE</x:v>
      </x:c>
      <x:c r="K25" s="245" t="str">
        <x:v>Frame/state/node + action/outcome proof required</x:v>
      </x:c>
    </x:row>
    <x:row r="26" ht="60" customHeight="1">
      <x:c r="A26" s="245" t="str">
        <x:v>B2/CTRL-03</x:v>
      </x:c>
      <x:c r="B26" s="245" t="str">
        <x:v>B2</x:v>
      </x:c>
      <x:c r="C26" s="245" t="str">
        <x:v>Register</x:v>
      </x:c>
      <x:c r="D26" s="245" t="str">
        <x:v>primary</x:v>
      </x:c>
      <x:c r="E26" s="245" t="str">
        <x:v>tree row, inline-end</x:v>
      </x:c>
      <x:c r="F26" s="245" t="str">
        <x:v>a table is selected</x:v>
      </x:c>
      <x:c r="G26" s="245" t="str">
        <x:v>PPIQ_Chapter3_General_Technical_Function_Description_v4.10.3.md §B2</x:v>
      </x:c>
      <x:c r="H26" s="245" t="str">
        <x:v>M2</x:v>
      </x:c>
      <x:c r="I26" s="245" t="str">
        <x:v>T-265</x:v>
      </x:c>
      <x:c r="J26" s="245" t="str">
        <x:v>PENDING SEMANTIC TRACE</x:v>
      </x:c>
      <x:c r="K26" s="245" t="str">
        <x:v>Frame/state/node + action/outcome proof required</x:v>
      </x:c>
    </x:row>
    <x:row r="27" ht="60" customHeight="1">
      <x:c r="A27" s="245" t="str">
        <x:v>B2/CTRL-04</x:v>
      </x:c>
      <x:c r="B27" s="245" t="str">
        <x:v>B2</x:v>
      </x:c>
      <x:c r="C27" s="245" t="str">
        <x:v>Unregister</x:v>
      </x:c>
      <x:c r="D27" s="245" t="str">
        <x:v>secondary</x:v>
      </x:c>
      <x:c r="E27" s="245" t="str">
        <x:v>registered row</x:v>
      </x:c>
      <x:c r="F27" s="245" t="str">
        <x:v>row selected</x:v>
      </x:c>
      <x:c r="G27" s="245" t="str">
        <x:v>PPIQ_Chapter3_General_Technical_Function_Description_v4.10.3.md §B2</x:v>
      </x:c>
      <x:c r="H27" s="245" t="str">
        <x:v>M2</x:v>
      </x:c>
      <x:c r="I27" s="245" t="str">
        <x:v>T-265</x:v>
      </x:c>
      <x:c r="J27" s="245" t="str">
        <x:v>PENDING SEMANTIC TRACE</x:v>
      </x:c>
      <x:c r="K27" s="245" t="str">
        <x:v>Frame/state/node + action/outcome proof required</x:v>
      </x:c>
    </x:row>
    <x:row r="28" ht="60" customHeight="1">
      <x:c r="A28" s="245" t="str">
        <x:v>B2/CTRL-05</x:v>
      </x:c>
      <x:c r="B28" s="245" t="str">
        <x:v>B2</x:v>
      </x:c>
      <x:c r="C28" s="245" t="str">
        <x:v>Filter tables</x:v>
      </x:c>
      <x:c r="D28" s="245" t="str">
        <x:v>`StandardInput` search</x:v>
      </x:c>
      <x:c r="E28" s="245" t="str">
        <x:v>above tree</x:v>
      </x:c>
      <x:c r="F28" s="245" t="str">
        <x:v>tree loaded</x:v>
      </x:c>
      <x:c r="G28" s="245" t="str">
        <x:v>PPIQ_Chapter3_General_Technical_Function_Description_v4.10.3.md §B2</x:v>
      </x:c>
      <x:c r="H28" s="245" t="str">
        <x:v>M2</x:v>
      </x:c>
      <x:c r="I28" s="245" t="str">
        <x:v>T-265</x:v>
      </x:c>
      <x:c r="J28" s="245" t="str">
        <x:v>PENDING SEMANTIC TRACE</x:v>
      </x:c>
      <x:c r="K28" s="245" t="str">
        <x:v>Frame/state/node + action/outcome proof required</x:v>
      </x:c>
    </x:row>
    <x:row r="29" ht="60" customHeight="1">
      <x:c r="A29" s="245" t="str">
        <x:v>B3/CTRL-01</x:v>
      </x:c>
      <x:c r="B29" s="245" t="str">
        <x:v>B3</x:v>
      </x:c>
      <x:c r="C29" s="245" t="str">
        <x:v>Dataset row</x:v>
      </x:c>
      <x:c r="D29" s="245" t="str">
        <x:v>list item</x:v>
      </x:c>
      <x:c r="E29" s="245" t="str">
        <x:v>inline-start</x:v>
      </x:c>
      <x:c r="F29" s="245" t="str">
        <x:v>always</x:v>
      </x:c>
      <x:c r="G29" s="245" t="str">
        <x:v>PPIQ_Chapter3_General_Technical_Function_Description_v4.10.3.md §B3</x:v>
      </x:c>
      <x:c r="H29" s="245" t="str">
        <x:v>M2</x:v>
      </x:c>
      <x:c r="I29" s="245" t="str">
        <x:v>T-265</x:v>
      </x:c>
      <x:c r="J29" s="245" t="str">
        <x:v>PENDING SEMANTIC TRACE</x:v>
      </x:c>
      <x:c r="K29" s="245" t="str">
        <x:v>Frame/state/node + action/outcome proof required</x:v>
      </x:c>
    </x:row>
    <x:row r="30" ht="60" customHeight="1">
      <x:c r="A30" s="245" t="str">
        <x:v>B3/CTRL-02</x:v>
      </x:c>
      <x:c r="B30" s="245" t="str">
        <x:v>B3</x:v>
      </x:c>
      <x:c r="C30" s="245" t="str">
        <x:v>Column include</x:v>
      </x:c>
      <x:c r="D30" s="245" t="str">
        <x:v>checkbox per column, plus select-all</x:v>
      </x:c>
      <x:c r="E30" s="245" t="str">
        <x:v>Columns group</x:v>
      </x:c>
      <x:c r="F30" s="245" t="str">
        <x:v>dataset selected</x:v>
      </x:c>
      <x:c r="G30" s="245" t="str">
        <x:v>PPIQ_Chapter3_General_Technical_Function_Description_v4.10.3.md §B3</x:v>
      </x:c>
      <x:c r="H30" s="245" t="str">
        <x:v>M2</x:v>
      </x:c>
      <x:c r="I30" s="245" t="str">
        <x:v>T-265</x:v>
      </x:c>
      <x:c r="J30" s="245" t="str">
        <x:v>PENDING SEMANTIC TRACE</x:v>
      </x:c>
      <x:c r="K30" s="245" t="str">
        <x:v>Frame/state/node + action/outcome proof required</x:v>
      </x:c>
    </x:row>
    <x:row r="31" ht="60" customHeight="1">
      <x:c r="A31" s="245" t="str">
        <x:v>B3/CTRL-03</x:v>
      </x:c>
      <x:c r="B31" s="245" t="str">
        <x:v>B3</x:v>
      </x:c>
      <x:c r="C31" s="245" t="str">
        <x:v>Business key</x:v>
      </x:c>
      <x:c r="D31" s="245" t="str">
        <x:v>multi-select of columns</x:v>
      </x:c>
      <x:c r="E31" s="245" t="str">
        <x:v>Business key group</x:v>
      </x:c>
      <x:c r="F31" s="245" t="str">
        <x:v>dataset selected</x:v>
      </x:c>
      <x:c r="G31" s="245" t="str">
        <x:v>PPIQ_Chapter3_General_Technical_Function_Description_v4.10.3.md §B3</x:v>
      </x:c>
      <x:c r="H31" s="245" t="str">
        <x:v>M2</x:v>
      </x:c>
      <x:c r="I31" s="245" t="str">
        <x:v>T-265</x:v>
      </x:c>
      <x:c r="J31" s="245" t="str">
        <x:v>PENDING SEMANTIC TRACE</x:v>
      </x:c>
      <x:c r="K31" s="245" t="str">
        <x:v>Frame/state/node + action/outcome proof required</x:v>
      </x:c>
    </x:row>
    <x:row r="32" ht="60" customHeight="1">
      <x:c r="A32" s="245" t="str">
        <x:v>B3/CTRL-04</x:v>
      </x:c>
      <x:c r="B32" s="245" t="str">
        <x:v>B3</x:v>
      </x:c>
      <x:c r="C32" s="245" t="str">
        <x:v>Watermark column</x:v>
      </x:c>
      <x:c r="D32" s="245" t="str">
        <x:v>`StandardSelect` of orderable columns only</x:v>
      </x:c>
      <x:c r="E32" s="245" t="str">
        <x:v>Watermark group</x:v>
      </x:c>
      <x:c r="F32" s="245" t="str">
        <x:v>dataset selected</x:v>
      </x:c>
      <x:c r="G32" s="245" t="str">
        <x:v>PPIQ_Chapter3_General_Technical_Function_Description_v4.10.3.md §B3</x:v>
      </x:c>
      <x:c r="H32" s="245" t="str">
        <x:v>M2</x:v>
      </x:c>
      <x:c r="I32" s="245" t="str">
        <x:v>T-265</x:v>
      </x:c>
      <x:c r="J32" s="245" t="str">
        <x:v>PENDING SEMANTIC TRACE</x:v>
      </x:c>
      <x:c r="K32" s="245" t="str">
        <x:v>Frame/state/node + action/outcome proof required</x:v>
      </x:c>
    </x:row>
    <x:row r="33" ht="60" customHeight="1">
      <x:c r="A33" s="245" t="str">
        <x:v>B3/CTRL-05</x:v>
      </x:c>
      <x:c r="B33" s="245" t="str">
        <x:v>B3</x:v>
      </x:c>
      <x:c r="C33" s="245" t="str">
        <x:v>Save preparation</x:v>
      </x:c>
      <x:c r="D33" s="245" t="str">
        <x:v>primary</x:v>
      </x:c>
      <x:c r="E33" s="245" t="str">
        <x:v>footer, inline-end</x:v>
      </x:c>
      <x:c r="F33" s="245" t="str">
        <x:v>at least one column included</x:v>
      </x:c>
      <x:c r="G33" s="245" t="str">
        <x:v>PPIQ_Chapter3_General_Technical_Function_Description_v4.10.3.md §B3</x:v>
      </x:c>
      <x:c r="H33" s="245" t="str">
        <x:v>M2</x:v>
      </x:c>
      <x:c r="I33" s="245" t="str">
        <x:v>T-265</x:v>
      </x:c>
      <x:c r="J33" s="245" t="str">
        <x:v>PENDING SEMANTIC TRACE</x:v>
      </x:c>
      <x:c r="K33" s="245" t="str">
        <x:v>Frame/state/node + action/outcome proof required</x:v>
      </x:c>
    </x:row>
    <x:row r="34" ht="60" customHeight="1">
      <x:c r="A34" s="245" t="str">
        <x:v>B4/CTRL-01</x:v>
      </x:c>
      <x:c r="B34" s="245" t="str">
        <x:v>B4</x:v>
      </x:c>
      <x:c r="C34" s="245" t="str">
        <x:v>Run due imports</x:v>
      </x:c>
      <x:c r="D34" s="245" t="str">
        <x:v>primary</x:v>
      </x:c>
      <x:c r="E34" s="245" t="str">
        <x:v>batch card header</x:v>
      </x:c>
      <x:c r="F34" s="245" t="str">
        <x:v>at least one dataset is due</x:v>
      </x:c>
      <x:c r="G34" s="245" t="str">
        <x:v>PPIQ_Chapter3_General_Technical_Function_Description_v4.10.3.md §B4</x:v>
      </x:c>
      <x:c r="H34" s="245" t="str">
        <x:v>M2</x:v>
      </x:c>
      <x:c r="I34" s="245" t="str">
        <x:v>T-265</x:v>
      </x:c>
      <x:c r="J34" s="245" t="str">
        <x:v>PENDING SEMANTIC TRACE</x:v>
      </x:c>
      <x:c r="K34" s="245" t="str">
        <x:v>Frame/state/node + action/outcome proof required</x:v>
      </x:c>
    </x:row>
    <x:row r="35" ht="60" customHeight="1">
      <x:c r="A35" s="245" t="str">
        <x:v>B4/CTRL-02</x:v>
      </x:c>
      <x:c r="B35" s="245" t="str">
        <x:v>B4</x:v>
      </x:c>
      <x:c r="C35" s="245" t="str">
        <x:v>Batch row expander</x:v>
      </x:c>
      <x:c r="D35" s="245" t="str">
        <x:v>disclosure</x:v>
      </x:c>
      <x:c r="E35" s="245" t="str">
        <x:v>batch table</x:v>
      </x:c>
      <x:c r="F35" s="245" t="str">
        <x:v>always</x:v>
      </x:c>
      <x:c r="G35" s="245" t="str">
        <x:v>PPIQ_Chapter3_General_Technical_Function_Description_v4.10.3.md §B4</x:v>
      </x:c>
      <x:c r="H35" s="245" t="str">
        <x:v>M2</x:v>
      </x:c>
      <x:c r="I35" s="245" t="str">
        <x:v>T-265</x:v>
      </x:c>
      <x:c r="J35" s="245" t="str">
        <x:v>PENDING SEMANTIC TRACE</x:v>
      </x:c>
      <x:c r="K35" s="245" t="str">
        <x:v>Frame/state/node + action/outcome proof required</x:v>
      </x:c>
    </x:row>
    <x:row r="36" ht="60" customHeight="1">
      <x:c r="A36" s="245" t="str">
        <x:v>B4/CTRL-03</x:v>
      </x:c>
      <x:c r="B36" s="245" t="str">
        <x:v>B4</x:v>
      </x:c>
      <x:c r="C36" s="245" t="str">
        <x:v>Re-run batch</x:v>
      </x:c>
      <x:c r="D36" s="245" t="str">
        <x:v>secondary</x:v>
      </x:c>
      <x:c r="E36" s="245" t="str">
        <x:v>expanded row</x:v>
      </x:c>
      <x:c r="F36" s="245" t="str">
        <x:v>batch is terminal</x:v>
      </x:c>
      <x:c r="G36" s="245" t="str">
        <x:v>PPIQ_Chapter3_General_Technical_Function_Description_v4.10.3.md §B4</x:v>
      </x:c>
      <x:c r="H36" s="245" t="str">
        <x:v>M2</x:v>
      </x:c>
      <x:c r="I36" s="245" t="str">
        <x:v>T-265</x:v>
      </x:c>
      <x:c r="J36" s="245" t="str">
        <x:v>PENDING SEMANTIC TRACE</x:v>
      </x:c>
      <x:c r="K36" s="245" t="str">
        <x:v>Frame/state/node + action/outcome proof required</x:v>
      </x:c>
    </x:row>
    <x:row r="37" ht="60" customHeight="1">
      <x:c r="A37" s="245" t="str">
        <x:v>B4/CTRL-04</x:v>
      </x:c>
      <x:c r="B37" s="245" t="str">
        <x:v>B4</x:v>
      </x:c>
      <x:c r="C37" s="245" t="str">
        <x:v>Mapping selector</x:v>
      </x:c>
      <x:c r="D37" s="245" t="str">
        <x:v>`StandardSelect`</x:v>
      </x:c>
      <x:c r="E37" s="245" t="str">
        <x:v>schedule card</x:v>
      </x:c>
      <x:c r="F37" s="245" t="str">
        <x:v>mappings exist</x:v>
      </x:c>
      <x:c r="G37" s="245" t="str">
        <x:v>PPIQ_Chapter3_General_Technical_Function_Description_v4.10.3.md §B4</x:v>
      </x:c>
      <x:c r="H37" s="245" t="str">
        <x:v>M2</x:v>
      </x:c>
      <x:c r="I37" s="245" t="str">
        <x:v>T-265</x:v>
      </x:c>
      <x:c r="J37" s="245" t="str">
        <x:v>PENDING SEMANTIC TRACE</x:v>
      </x:c>
      <x:c r="K37" s="245" t="str">
        <x:v>Frame/state/node + action/outcome proof required</x:v>
      </x:c>
    </x:row>
    <x:row r="38" ht="60" customHeight="1">
      <x:c r="A38" s="245" t="str">
        <x:v>B4/CTRL-05</x:v>
      </x:c>
      <x:c r="B38" s="245" t="str">
        <x:v>B4</x:v>
      </x:c>
      <x:c r="C38" s="245" t="str">
        <x:v>Interval minutes</x:v>
      </x:c>
      <x:c r="D38" s="245" t="str">
        <x:v>`StandardInput` numeric, default 15</x:v>
      </x:c>
      <x:c r="E38" s="245" t="str">
        <x:v>schedule card</x:v>
      </x:c>
      <x:c r="F38" s="245" t="str">
        <x:v>mapping selected</x:v>
      </x:c>
      <x:c r="G38" s="245" t="str">
        <x:v>PPIQ_Chapter3_General_Technical_Function_Description_v4.10.3.md §B4</x:v>
      </x:c>
      <x:c r="H38" s="245" t="str">
        <x:v>M2</x:v>
      </x:c>
      <x:c r="I38" s="245" t="str">
        <x:v>T-265</x:v>
      </x:c>
      <x:c r="J38" s="245" t="str">
        <x:v>PENDING SEMANTIC TRACE</x:v>
      </x:c>
      <x:c r="K38" s="245" t="str">
        <x:v>Frame/state/node + action/outcome proof required</x:v>
      </x:c>
    </x:row>
    <x:row r="39" ht="60" customHeight="1">
      <x:c r="A39" s="245" t="str">
        <x:v>B4/CTRL-06</x:v>
      </x:c>
      <x:c r="B39" s="245" t="str">
        <x:v>B4</x:v>
      </x:c>
      <x:c r="C39" s="245" t="str">
        <x:v>Save schedule</x:v>
      </x:c>
      <x:c r="D39" s="245" t="str">
        <x:v>primary</x:v>
      </x:c>
      <x:c r="E39" s="245" t="str">
        <x:v>schedule card footer</x:v>
      </x:c>
      <x:c r="F39" s="245" t="str">
        <x:v>interval valid</x:v>
      </x:c>
      <x:c r="G39" s="245" t="str">
        <x:v>PPIQ_Chapter3_General_Technical_Function_Description_v4.10.3.md §B4</x:v>
      </x:c>
      <x:c r="H39" s="245" t="str">
        <x:v>M2</x:v>
      </x:c>
      <x:c r="I39" s="245" t="str">
        <x:v>T-265</x:v>
      </x:c>
      <x:c r="J39" s="245" t="str">
        <x:v>PENDING SEMANTIC TRACE</x:v>
      </x:c>
      <x:c r="K39" s="245" t="str">
        <x:v>Frame/state/node + action/outcome proof required</x:v>
      </x:c>
    </x:row>
    <x:row r="40" ht="60" customHeight="1">
      <x:c r="A40" s="245" t="str">
        <x:v>B5/CTRL-01</x:v>
      </x:c>
      <x:c r="B40" s="245" t="str">
        <x:v>B5</x:v>
      </x:c>
      <x:c r="C40" s="245" t="str">
        <x:v>Family / Status / Time filter</x:v>
      </x:c>
      <x:c r="D40" s="245" t="str">
        <x:v>`StandardSelect`</x:v>
      </x:c>
      <x:c r="E40" s="245" t="str">
        <x:v>filter bar</x:v>
      </x:c>
      <x:c r="F40" s="245" t="str">
        <x:v>always</x:v>
      </x:c>
      <x:c r="G40" s="245" t="str">
        <x:v>PPIQ_Chapter3_General_Technical_Function_Description_v4.10.3.md §B5</x:v>
      </x:c>
      <x:c r="H40" s="245" t="str">
        <x:v>M2</x:v>
      </x:c>
      <x:c r="I40" s="245" t="str">
        <x:v>T-265</x:v>
      </x:c>
      <x:c r="J40" s="245" t="str">
        <x:v>PENDING SEMANTIC TRACE</x:v>
      </x:c>
      <x:c r="K40" s="245" t="str">
        <x:v>Frame/state/node + action/outcome proof required</x:v>
      </x:c>
    </x:row>
    <x:row r="41" ht="60" customHeight="1">
      <x:c r="A41" s="245" t="str">
        <x:v>B5/CTRL-02</x:v>
      </x:c>
      <x:c r="B41" s="245" t="str">
        <x:v>B5</x:v>
      </x:c>
      <x:c r="C41" s="245" t="str">
        <x:v>Run now</x:v>
      </x:c>
      <x:c r="D41" s="245" t="str">
        <x:v>primary small</x:v>
      </x:c>
      <x:c r="E41" s="245" t="str">
        <x:v>row, inline-end</x:v>
      </x:c>
      <x:c r="F41" s="245" t="str">
        <x:v>job runnable and not running</x:v>
      </x:c>
      <x:c r="G41" s="245" t="str">
        <x:v>PPIQ_Chapter3_General_Technical_Function_Description_v4.10.3.md §B5</x:v>
      </x:c>
      <x:c r="H41" s="245" t="str">
        <x:v>M2</x:v>
      </x:c>
      <x:c r="I41" s="245" t="str">
        <x:v>T-265</x:v>
      </x:c>
      <x:c r="J41" s="245" t="str">
        <x:v>PENDING SEMANTIC TRACE</x:v>
      </x:c>
      <x:c r="K41" s="245" t="str">
        <x:v>Frame/state/node + action/outcome proof required</x:v>
      </x:c>
    </x:row>
    <x:row r="42" ht="60" customHeight="1">
      <x:c r="A42" s="245" t="str">
        <x:v>B5/CTRL-03</x:v>
      </x:c>
      <x:c r="B42" s="245" t="str">
        <x:v>B5</x:v>
      </x:c>
      <x:c r="C42" s="245" t="str">
        <x:v>Pause / Resume</x:v>
      </x:c>
      <x:c r="D42" s="245" t="str">
        <x:v>secondary small</x:v>
      </x:c>
      <x:c r="E42" s="245" t="str">
        <x:v>row, inline-end</x:v>
      </x:c>
      <x:c r="F42" s="245" t="str">
        <x:v>per state</x:v>
      </x:c>
      <x:c r="G42" s="245" t="str">
        <x:v>PPIQ_Chapter3_General_Technical_Function_Description_v4.10.3.md §B5</x:v>
      </x:c>
      <x:c r="H42" s="245" t="str">
        <x:v>M2</x:v>
      </x:c>
      <x:c r="I42" s="245" t="str">
        <x:v>T-265</x:v>
      </x:c>
      <x:c r="J42" s="245" t="str">
        <x:v>PENDING SEMANTIC TRACE</x:v>
      </x:c>
      <x:c r="K42" s="245" t="str">
        <x:v>Frame/state/node + action/outcome proof required</x:v>
      </x:c>
    </x:row>
    <x:row r="43" ht="60" customHeight="1">
      <x:c r="A43" s="245" t="str">
        <x:v>B5/CTRL-04</x:v>
      </x:c>
      <x:c r="B43" s="245" t="str">
        <x:v>B5</x:v>
      </x:c>
      <x:c r="C43" s="245" t="str">
        <x:v>Cancel</x:v>
      </x:c>
      <x:c r="D43" s="245" t="str">
        <x:v>destructive small</x:v>
      </x:c>
      <x:c r="E43" s="245" t="str">
        <x:v>row, inline-end</x:v>
      </x:c>
      <x:c r="F43" s="245" t="str">
        <x:v>job running</x:v>
      </x:c>
      <x:c r="G43" s="245" t="str">
        <x:v>PPIQ_Chapter3_General_Technical_Function_Description_v4.10.3.md §B5</x:v>
      </x:c>
      <x:c r="H43" s="245" t="str">
        <x:v>M2</x:v>
      </x:c>
      <x:c r="I43" s="245" t="str">
        <x:v>T-265</x:v>
      </x:c>
      <x:c r="J43" s="245" t="str">
        <x:v>PENDING SEMANTIC TRACE</x:v>
      </x:c>
      <x:c r="K43" s="245" t="str">
        <x:v>Frame/state/node + action/outcome proof required</x:v>
      </x:c>
    </x:row>
    <x:row r="44" ht="60" customHeight="1">
      <x:c r="A44" s="245" t="str">
        <x:v>B5/CTRL-05</x:v>
      </x:c>
      <x:c r="B44" s="245" t="str">
        <x:v>B5</x:v>
      </x:c>
      <x:c r="C44" s="245" t="str">
        <x:v>Status pill</x:v>
      </x:c>
      <x:c r="D44" s="245" t="str">
        <x:v>`StatusPill`</x:v>
      </x:c>
      <x:c r="E44" s="245" t="str">
        <x:v>Status column</x:v>
      </x:c>
      <x:c r="F44" s="245" t="str">
        <x:v>always</x:v>
      </x:c>
      <x:c r="G44" s="245" t="str">
        <x:v>PPIQ_Chapter3_General_Technical_Function_Description_v4.10.3.md §B5</x:v>
      </x:c>
      <x:c r="H44" s="245" t="str">
        <x:v>M2</x:v>
      </x:c>
      <x:c r="I44" s="245" t="str">
        <x:v>T-265</x:v>
      </x:c>
      <x:c r="J44" s="245" t="str">
        <x:v>PENDING SEMANTIC TRACE</x:v>
      </x:c>
      <x:c r="K44" s="245" t="str">
        <x:v>Frame/state/node + action/outcome proof required</x:v>
      </x:c>
    </x:row>
    <x:row r="45" ht="60" customHeight="1">
      <x:c r="A45" s="245" t="str">
        <x:v>B6/CTRL-PROSE</x:v>
      </x:c>
      <x:c r="B45" s="245" t="str">
        <x:v>B6</x:v>
      </x:c>
      <x:c r="C45" s="245" t="str">
        <x:v>Filter by state; export the matrix. No mutating control exists on this page by design.</x:v>
      </x:c>
      <x:c r="D45" s="245" t="str">
        <x:v>Source prose</x:v>
      </x:c>
      <x:c r="E45" s="245" t="str">
        <x:v>See source</x:v>
      </x:c>
      <x:c r="F45" s="245" t="str">
        <x:v>See source</x:v>
      </x:c>
      <x:c r="G45" s="245" t="str">
        <x:v>PPIQ_Chapter3_General_Technical_Function_Description_v4.10.3.md §B6</x:v>
      </x:c>
      <x:c r="H45" s="245" t="str">
        <x:v>M2</x:v>
      </x:c>
      <x:c r="I45" s="245" t="str">
        <x:v>T-265</x:v>
      </x:c>
      <x:c r="J45" s="245" t="str">
        <x:v>PENDING DECOMPOSITION</x:v>
      </x:c>
      <x:c r="K45" s="245" t="str">
        <x:v>Split prose obligations into controls; do not count zero controls.</x:v>
      </x:c>
    </x:row>
    <x:row r="46" ht="60" customHeight="1">
      <x:c r="A46" s="245" t="str">
        <x:v>C1/CTRL-01</x:v>
      </x:c>
      <x:c r="B46" s="245" t="str">
        <x:v>C1</x:v>
      </x:c>
      <x:c r="C46" s="245" t="str">
        <x:v>Mode toggle Block / SQL</x:v>
      </x:c>
      <x:c r="D46" s="245" t="str">
        <x:v>segmented control</x:v>
      </x:c>
      <x:c r="E46" s="245" t="str">
        <x:v>block-start, inline-start</x:v>
      </x:c>
      <x:c r="F46" s="245" t="str">
        <x:v>SQL requires tier and role</x:v>
      </x:c>
      <x:c r="G46" s="245" t="str">
        <x:v>PPIQ_Chapter3_General_Technical_Function_Description_v4.10.3.md §C1</x:v>
      </x:c>
      <x:c r="H46" s="245" t="str">
        <x:v>M2 + M3</x:v>
      </x:c>
      <x:c r="I46" s="245" t="str">
        <x:v>T-265; T-267</x:v>
      </x:c>
      <x:c r="J46" s="245" t="str">
        <x:v>PENDING SEMANTIC TRACE</x:v>
      </x:c>
      <x:c r="K46" s="245" t="str">
        <x:v>Frame/state/node + action/outcome proof required</x:v>
      </x:c>
    </x:row>
    <x:row r="47" ht="60" customHeight="1">
      <x:c r="A47" s="245" t="str">
        <x:v>C1/CTRL-02</x:v>
      </x:c>
      <x:c r="B47" s="245" t="str">
        <x:v>C1</x:v>
      </x:c>
      <x:c r="C47" s="245" t="str">
        <x:v>Zoom in / out / **Zoom fit** / **Arrange**</x:v>
      </x:c>
      <x:c r="D47" s="245" t="str">
        <x:v>icon buttons</x:v>
      </x:c>
      <x:c r="E47" s="245" t="str">
        <x:v>canvas toolbar</x:v>
      </x:c>
      <x:c r="F47" s="245" t="str">
        <x:v>board has nodes</x:v>
      </x:c>
      <x:c r="G47" s="245" t="str">
        <x:v>PPIQ_Chapter3_General_Technical_Function_Description_v4.10.3.md §C1</x:v>
      </x:c>
      <x:c r="H47" s="245" t="str">
        <x:v>M2 + M3</x:v>
      </x:c>
      <x:c r="I47" s="245" t="str">
        <x:v>T-265; T-267</x:v>
      </x:c>
      <x:c r="J47" s="245" t="str">
        <x:v>PENDING SEMANTIC TRACE</x:v>
      </x:c>
      <x:c r="K47" s="245" t="str">
        <x:v>Frame/state/node + action/outcome proof required</x:v>
      </x:c>
    </x:row>
    <x:row r="48" ht="60" customHeight="1">
      <x:c r="A48" s="245" t="str">
        <x:v>C1/CTRL-03</x:v>
      </x:c>
      <x:c r="B48" s="245" t="str">
        <x:v>C1</x:v>
      </x:c>
      <x:c r="C48" s="245" t="str">
        <x:v>Validity indicator</x:v>
      </x:c>
      <x:c r="D48" s="245" t="str">
        <x:v>badge</x:v>
      </x:c>
      <x:c r="E48" s="245" t="str">
        <x:v>beside Run</x:v>
      </x:c>
      <x:c r="F48" s="245" t="str">
        <x:v>always</x:v>
      </x:c>
      <x:c r="G48" s="245" t="str">
        <x:v>PPIQ_Chapter3_General_Technical_Function_Description_v4.10.3.md §C1</x:v>
      </x:c>
      <x:c r="H48" s="245" t="str">
        <x:v>M2 + M3</x:v>
      </x:c>
      <x:c r="I48" s="245" t="str">
        <x:v>T-265; T-267</x:v>
      </x:c>
      <x:c r="J48" s="245" t="str">
        <x:v>PENDING SEMANTIC TRACE</x:v>
      </x:c>
      <x:c r="K48" s="245" t="str">
        <x:v>Frame/state/node + action/outcome proof required</x:v>
      </x:c>
    </x:row>
    <x:row r="49" ht="60" customHeight="1">
      <x:c r="A49" s="245" t="str">
        <x:v>C1/CTRL-04</x:v>
      </x:c>
      <x:c r="B49" s="245" t="str">
        <x:v>C1</x:v>
      </x:c>
      <x:c r="C49" s="245" t="str">
        <x:v>Preview (dry-run)</x:v>
      </x:c>
      <x:c r="D49" s="245" t="str">
        <x:v>secondary</x:v>
      </x:c>
      <x:c r="E49" s="245" t="str">
        <x:v>toolbar inline-end</x:v>
      </x:c>
      <x:c r="F49" s="245" t="str">
        <x:v>graph valid</x:v>
      </x:c>
      <x:c r="G49" s="245" t="str">
        <x:v>PPIQ_Chapter3_General_Technical_Function_Description_v4.10.3.md §C1</x:v>
      </x:c>
      <x:c r="H49" s="245" t="str">
        <x:v>M2 + M3</x:v>
      </x:c>
      <x:c r="I49" s="245" t="str">
        <x:v>T-265; T-267</x:v>
      </x:c>
      <x:c r="J49" s="245" t="str">
        <x:v>PENDING SEMANTIC TRACE</x:v>
      </x:c>
      <x:c r="K49" s="245" t="str">
        <x:v>Frame/state/node + action/outcome proof required</x:v>
      </x:c>
    </x:row>
    <x:row r="50" ht="60" customHeight="1">
      <x:c r="A50" s="245" t="str">
        <x:v>C1/CTRL-05</x:v>
      </x:c>
      <x:c r="B50" s="245" t="str">
        <x:v>C1</x:v>
      </x:c>
      <x:c r="C50" s="245" t="str">
        <x:v>Compiled SQL</x:v>
      </x:c>
      <x:c r="D50" s="245" t="str">
        <x:v>secondary</x:v>
      </x:c>
      <x:c r="E50" s="245" t="str">
        <x:v>toolbar inline-end</x:v>
      </x:c>
      <x:c r="F50" s="245" t="str">
        <x:v>graph valid</x:v>
      </x:c>
      <x:c r="G50" s="245" t="str">
        <x:v>PPIQ_Chapter3_General_Technical_Function_Description_v4.10.3.md §C1</x:v>
      </x:c>
      <x:c r="H50" s="245" t="str">
        <x:v>M2 + M3</x:v>
      </x:c>
      <x:c r="I50" s="245" t="str">
        <x:v>T-265; T-267</x:v>
      </x:c>
      <x:c r="J50" s="245" t="str">
        <x:v>PENDING SEMANTIC TRACE</x:v>
      </x:c>
      <x:c r="K50" s="245" t="str">
        <x:v>Frame/state/node + action/outcome proof required</x:v>
      </x:c>
    </x:row>
    <x:row r="51" ht="60" customHeight="1">
      <x:c r="A51" s="245" t="str">
        <x:v>C1/CTRL-06</x:v>
      </x:c>
      <x:c r="B51" s="245" t="str">
        <x:v>C1</x:v>
      </x:c>
      <x:c r="C51" s="245" t="str">
        <x:v>Publish version</x:v>
      </x:c>
      <x:c r="D51" s="245" t="str">
        <x:v>primary</x:v>
      </x:c>
      <x:c r="E51" s="245" t="str">
        <x:v>toolbar inline-end</x:v>
      </x:c>
      <x:c r="F51" s="245" t="str">
        <x:v>graph valid and previewed</x:v>
      </x:c>
      <x:c r="G51" s="245" t="str">
        <x:v>PPIQ_Chapter3_General_Technical_Function_Description_v4.10.3.md §C1</x:v>
      </x:c>
      <x:c r="H51" s="245" t="str">
        <x:v>M2 + M3</x:v>
      </x:c>
      <x:c r="I51" s="245" t="str">
        <x:v>T-265; T-267</x:v>
      </x:c>
      <x:c r="J51" s="245" t="str">
        <x:v>PENDING SEMANTIC TRACE</x:v>
      </x:c>
      <x:c r="K51" s="245" t="str">
        <x:v>Frame/state/node + action/outcome proof required</x:v>
      </x:c>
    </x:row>
    <x:row r="52" ht="60" customHeight="1">
      <x:c r="A52" s="245" t="str">
        <x:v>C1/CTRL-07</x:v>
      </x:c>
      <x:c r="B52" s="245" t="str">
        <x:v>C1</x:v>
      </x:c>
      <x:c r="C52" s="245" t="str">
        <x:v>Export / Import definition</x:v>
      </x:c>
      <x:c r="D52" s="245" t="str">
        <x:v>icon buttons</x:v>
      </x:c>
      <x:c r="E52" s="245" t="str">
        <x:v>toolbar overflow</x:v>
      </x:c>
      <x:c r="F52" s="245" t="str">
        <x:v>always / always</x:v>
      </x:c>
      <x:c r="G52" s="245" t="str">
        <x:v>PPIQ_Chapter3_General_Technical_Function_Description_v4.10.3.md §C1</x:v>
      </x:c>
      <x:c r="H52" s="245" t="str">
        <x:v>M2 + M3</x:v>
      </x:c>
      <x:c r="I52" s="245" t="str">
        <x:v>T-265; T-267</x:v>
      </x:c>
      <x:c r="J52" s="245" t="str">
        <x:v>PENDING SEMANTIC TRACE</x:v>
      </x:c>
      <x:c r="K52" s="245" t="str">
        <x:v>Frame/state/node + action/outcome proof required</x:v>
      </x:c>
    </x:row>
    <x:row r="53" ht="60" customHeight="1">
      <x:c r="A53" s="245" t="str">
        <x:v>C1/CTRL-08</x:v>
      </x:c>
      <x:c r="B53" s="245" t="str">
        <x:v>C1</x:v>
      </x:c>
      <x:c r="C53" s="245" t="str">
        <x:v>Node status badge</x:v>
      </x:c>
      <x:c r="D53" s="245" t="str">
        <x:v>badge on node</x:v>
      </x:c>
      <x:c r="E53" s="245" t="str">
        <x:v>each node</x:v>
      </x:c>
      <x:c r="F53" s="245" t="str">
        <x:v>always</x:v>
      </x:c>
      <x:c r="G53" s="245" t="str">
        <x:v>PPIQ_Chapter3_General_Technical_Function_Description_v4.10.3.md §C1</x:v>
      </x:c>
      <x:c r="H53" s="245" t="str">
        <x:v>M2 + M3</x:v>
      </x:c>
      <x:c r="I53" s="245" t="str">
        <x:v>T-265; T-267</x:v>
      </x:c>
      <x:c r="J53" s="245" t="str">
        <x:v>PENDING SEMANTIC TRACE</x:v>
      </x:c>
      <x:c r="K53" s="245" t="str">
        <x:v>Frame/state/node + action/outcome proof required</x:v>
      </x:c>
    </x:row>
    <x:row r="54" ht="60" customHeight="1">
      <x:c r="A54" s="245" t="str">
        <x:v>C1/CTRL-09</x:v>
      </x:c>
      <x:c r="B54" s="245" t="str">
        <x:v>C1</x:v>
      </x:c>
      <x:c r="C54" s="245" t="str">
        <x:v>Node inspector fields</x:v>
      </x:c>
      <x:c r="D54" s="245" t="str">
        <x:v>typed controls fed from live schema</x:v>
      </x:c>
      <x:c r="E54" s="245" t="str">
        <x:v>inline-end when a node is selected</x:v>
      </x:c>
      <x:c r="F54" s="245" t="str">
        <x:v>node selected</x:v>
      </x:c>
      <x:c r="G54" s="245" t="str">
        <x:v>PPIQ_Chapter3_General_Technical_Function_Description_v4.10.3.md §C1</x:v>
      </x:c>
      <x:c r="H54" s="245" t="str">
        <x:v>M2 + M3</x:v>
      </x:c>
      <x:c r="I54" s="245" t="str">
        <x:v>T-265; T-267</x:v>
      </x:c>
      <x:c r="J54" s="245" t="str">
        <x:v>PENDING SEMANTIC TRACE</x:v>
      </x:c>
      <x:c r="K54" s="245" t="str">
        <x:v>Frame/state/node + action/outcome proof required</x:v>
      </x:c>
    </x:row>
    <x:row r="55" ht="60" customHeight="1">
      <x:c r="A55" s="245" t="str">
        <x:v>C1/CTRL-10</x:v>
      </x:c>
      <x:c r="B55" s="245" t="str">
        <x:v>C1</x:v>
      </x:c>
      <x:c r="C55" s="245" t="str">
        <x:v>Debug log severity filter</x:v>
      </x:c>
      <x:c r="D55" s="245" t="str">
        <x:v>segmented</x:v>
      </x:c>
      <x:c r="E55" s="245" t="str">
        <x:v>log header</x:v>
      </x:c>
      <x:c r="F55" s="245" t="str">
        <x:v>log has entries</x:v>
      </x:c>
      <x:c r="G55" s="245" t="str">
        <x:v>PPIQ_Chapter3_General_Technical_Function_Description_v4.10.3.md §C1</x:v>
      </x:c>
      <x:c r="H55" s="245" t="str">
        <x:v>M2 + M3</x:v>
      </x:c>
      <x:c r="I55" s="245" t="str">
        <x:v>T-265; T-267</x:v>
      </x:c>
      <x:c r="J55" s="245" t="str">
        <x:v>PENDING SEMANTIC TRACE</x:v>
      </x:c>
      <x:c r="K55" s="245" t="str">
        <x:v>Frame/state/node + action/outcome proof required</x:v>
      </x:c>
    </x:row>
    <x:row r="56" ht="60" customHeight="1">
      <x:c r="A56" s="245" t="str">
        <x:v>C2/CTRL-01</x:v>
      </x:c>
      <x:c r="B56" s="245" t="str">
        <x:v>C2</x:v>
      </x:c>
      <x:c r="C56" s="245" t="str">
        <x:v>Time range</x:v>
      </x:c>
      <x:c r="D56" s="245" t="str">
        <x:v>`StandardSelect`</x:v>
      </x:c>
      <x:c r="E56" s="245" t="str">
        <x:v>header</x:v>
      </x:c>
      <x:c r="F56" s="245" t="str">
        <x:v>always</x:v>
      </x:c>
      <x:c r="G56" s="245" t="str">
        <x:v>PPIQ_Chapter3_General_Technical_Function_Description_v4.10.3.md §C2</x:v>
      </x:c>
      <x:c r="H56" s="245" t="str">
        <x:v>M2</x:v>
      </x:c>
      <x:c r="I56" s="245" t="str">
        <x:v>T-265</x:v>
      </x:c>
      <x:c r="J56" s="245" t="str">
        <x:v>PENDING SEMANTIC TRACE</x:v>
      </x:c>
      <x:c r="K56" s="245" t="str">
        <x:v>Frame/state/node + action/outcome proof required</x:v>
      </x:c>
    </x:row>
    <x:row r="57" ht="60" customHeight="1">
      <x:c r="A57" s="245" t="str">
        <x:v>C2/CTRL-02</x:v>
      </x:c>
      <x:c r="B57" s="245" t="str">
        <x:v>C2</x:v>
      </x:c>
      <x:c r="C57" s="245" t="str">
        <x:v>Re-validate</x:v>
      </x:c>
      <x:c r="D57" s="245" t="str">
        <x:v>secondary</x:v>
      </x:c>
      <x:c r="E57" s="245" t="str">
        <x:v>header inline-end</x:v>
      </x:c>
      <x:c r="F57" s="245" t="str">
        <x:v>a definition is selected</x:v>
      </x:c>
      <x:c r="G57" s="245" t="str">
        <x:v>PPIQ_Chapter3_General_Technical_Function_Description_v4.10.3.md §C2</x:v>
      </x:c>
      <x:c r="H57" s="245" t="str">
        <x:v>M2</x:v>
      </x:c>
      <x:c r="I57" s="245" t="str">
        <x:v>T-265</x:v>
      </x:c>
      <x:c r="J57" s="245" t="str">
        <x:v>PENDING SEMANTIC TRACE</x:v>
      </x:c>
      <x:c r="K57" s="245" t="str">
        <x:v>Frame/state/node + action/outcome proof required</x:v>
      </x:c>
    </x:row>
    <x:row r="58" ht="60" customHeight="1">
      <x:c r="A58" s="245" t="str">
        <x:v>C2/CTRL-03</x:v>
      </x:c>
      <x:c r="B58" s="245" t="str">
        <x:v>C2</x:v>
      </x:c>
      <x:c r="C58" s="245" t="str">
        <x:v>Open in Studio</x:v>
      </x:c>
      <x:c r="D58" s="245" t="str">
        <x:v>link per row</x:v>
      </x:c>
      <x:c r="E58" s="245" t="str">
        <x:v>mapping row</x:v>
      </x:c>
      <x:c r="F58" s="245" t="str">
        <x:v>always</x:v>
      </x:c>
      <x:c r="G58" s="245" t="str">
        <x:v>PPIQ_Chapter3_General_Technical_Function_Description_v4.10.3.md §C2</x:v>
      </x:c>
      <x:c r="H58" s="245" t="str">
        <x:v>M2</x:v>
      </x:c>
      <x:c r="I58" s="245" t="str">
        <x:v>T-265</x:v>
      </x:c>
      <x:c r="J58" s="245" t="str">
        <x:v>PENDING SEMANTIC TRACE</x:v>
      </x:c>
      <x:c r="K58" s="245" t="str">
        <x:v>Frame/state/node + action/outcome proof required</x:v>
      </x:c>
    </x:row>
    <x:row r="59" ht="60" customHeight="1">
      <x:c r="A59" s="245" t="str">
        <x:v>C2/CTRL-04</x:v>
      </x:c>
      <x:c r="B59" s="245" t="str">
        <x:v>C2</x:v>
      </x:c>
      <x:c r="C59" s="245" t="str">
        <x:v>Acknowledge drift</x:v>
      </x:c>
      <x:c r="D59" s="245" t="str">
        <x:v>secondary</x:v>
      </x:c>
      <x:c r="E59" s="245" t="str">
        <x:v>drift row</x:v>
      </x:c>
      <x:c r="F59" s="245" t="str">
        <x:v>drift unacknowledged</x:v>
      </x:c>
      <x:c r="G59" s="245" t="str">
        <x:v>PPIQ_Chapter3_General_Technical_Function_Description_v4.10.3.md §C2</x:v>
      </x:c>
      <x:c r="H59" s="245" t="str">
        <x:v>M2</x:v>
      </x:c>
      <x:c r="I59" s="245" t="str">
        <x:v>T-265</x:v>
      </x:c>
      <x:c r="J59" s="245" t="str">
        <x:v>PENDING SEMANTIC TRACE</x:v>
      </x:c>
      <x:c r="K59" s="245" t="str">
        <x:v>Frame/state/node + action/outcome proof required</x:v>
      </x:c>
    </x:row>
    <x:row r="60" ht="60" customHeight="1">
      <x:c r="A60" s="245" t="str">
        <x:v>C2/CTRL-05</x:v>
      </x:c>
      <x:c r="B60" s="245" t="str">
        <x:v>C2</x:v>
      </x:c>
      <x:c r="C60" s="245" t="str">
        <x:v>Quarantine group expander</x:v>
      </x:c>
      <x:c r="D60" s="245" t="str">
        <x:v>disclosure per error code, with count and examples</x:v>
      </x:c>
      <x:c r="E60" s="245" t="str">
        <x:v>quarantine section</x:v>
      </x:c>
      <x:c r="F60" s="245" t="str">
        <x:v>quarantined rows exist</x:v>
      </x:c>
      <x:c r="G60" s="245" t="str">
        <x:v>PPIQ_Chapter3_General_Technical_Function_Description_v4.10.3.md §C2</x:v>
      </x:c>
      <x:c r="H60" s="245" t="str">
        <x:v>M2</x:v>
      </x:c>
      <x:c r="I60" s="245" t="str">
        <x:v>T-265</x:v>
      </x:c>
      <x:c r="J60" s="245" t="str">
        <x:v>PENDING SEMANTIC TRACE</x:v>
      </x:c>
      <x:c r="K60" s="245" t="str">
        <x:v>Frame/state/node + action/outcome proof required</x:v>
      </x:c>
    </x:row>
    <x:row r="61" ht="60" customHeight="1">
      <x:c r="A61" s="245" t="str">
        <x:v>C2/CTRL-06</x:v>
      </x:c>
      <x:c r="B61" s="245" t="str">
        <x:v>C2</x:v>
      </x:c>
      <x:c r="C61" s="245" t="str">
        <x:v>**Reprocess quarantined**</x:v>
      </x:c>
      <x:c r="D61" s="245" t="str">
        <x:v>primary, **confirmed**</x:v>
      </x:c>
      <x:c r="E61" s="245" t="str">
        <x:v>quarantine section header</x:v>
      </x:c>
      <x:c r="F61" s="245" t="str">
        <x:v>unresolved quarantined rows exist for the selected definition version</x:v>
      </x:c>
      <x:c r="G61" s="245" t="str">
        <x:v>PPIQ_Chapter3_General_Technical_Function_Description_v4.10.3.md §C2</x:v>
      </x:c>
      <x:c r="H61" s="245" t="str">
        <x:v>M2</x:v>
      </x:c>
      <x:c r="I61" s="245" t="str">
        <x:v>T-265</x:v>
      </x:c>
      <x:c r="J61" s="245" t="str">
        <x:v>PENDING SEMANTIC TRACE</x:v>
      </x:c>
      <x:c r="K61" s="245" t="str">
        <x:v>Frame/state/node + action/outcome proof required</x:v>
      </x:c>
    </x:row>
    <x:row r="62" ht="60" customHeight="1">
      <x:c r="A62" s="245" t="str">
        <x:v>C2/CTRL-07</x:v>
      </x:c>
      <x:c r="B62" s="245" t="str">
        <x:v>C2</x:v>
      </x:c>
      <x:c r="C62" s="245" t="str">
        <x:v>Dismiss row</x:v>
      </x:c>
      <x:c r="D62" s="245" t="str">
        <x:v>destructive small, confirmed, **reason required**</x:v>
      </x:c>
      <x:c r="E62" s="245" t="str">
        <x:v>quarantine example row</x:v>
      </x:c>
      <x:c r="F62" s="245" t="str">
        <x:v>row selected</x:v>
      </x:c>
      <x:c r="G62" s="245" t="str">
        <x:v>PPIQ_Chapter3_General_Technical_Function_Description_v4.10.3.md §C2</x:v>
      </x:c>
      <x:c r="H62" s="245" t="str">
        <x:v>M2</x:v>
      </x:c>
      <x:c r="I62" s="245" t="str">
        <x:v>T-265</x:v>
      </x:c>
      <x:c r="J62" s="245" t="str">
        <x:v>PENDING SEMANTIC TRACE</x:v>
      </x:c>
      <x:c r="K62" s="245" t="str">
        <x:v>Frame/state/node + action/outcome proof required</x:v>
      </x:c>
    </x:row>
    <x:row r="63" ht="60" customHeight="1">
      <x:c r="A63" s="245" t="str">
        <x:v>C2/CTRL-08</x:v>
      </x:c>
      <x:c r="B63" s="245" t="str">
        <x:v>C2</x:v>
      </x:c>
      <x:c r="C63" s="245" t="str">
        <x:v>Export quarantine</x:v>
      </x:c>
      <x:c r="D63" s="245" t="str">
        <x:v>secondary</x:v>
      </x:c>
      <x:c r="E63" s="245" t="str">
        <x:v>quarantine section header</x:v>
      </x:c>
      <x:c r="F63" s="245" t="str">
        <x:v>rows present</x:v>
      </x:c>
      <x:c r="G63" s="245" t="str">
        <x:v>PPIQ_Chapter3_General_Technical_Function_Description_v4.10.3.md §C2</x:v>
      </x:c>
      <x:c r="H63" s="245" t="str">
        <x:v>M2</x:v>
      </x:c>
      <x:c r="I63" s="245" t="str">
        <x:v>T-265</x:v>
      </x:c>
      <x:c r="J63" s="245" t="str">
        <x:v>PENDING SEMANTIC TRACE</x:v>
      </x:c>
      <x:c r="K63" s="245" t="str">
        <x:v>Frame/state/node + action/outcome proof required</x:v>
      </x:c>
    </x:row>
    <x:row r="64" ht="60" customHeight="1">
      <x:c r="A64" s="245" t="str">
        <x:v>C3/CTRL-PROSE</x:v>
      </x:c>
      <x:c r="B64" s="245" t="str">
        <x:v>C3</x:v>
      </x:c>
      <x:c r="C64" s="245" t="str">
        <x:v>Class / Source / Severity filters; Run scan (primary); Export (secondary); Open the affected dataset (link).</x:v>
      </x:c>
      <x:c r="D64" s="245" t="str">
        <x:v>Source prose</x:v>
      </x:c>
      <x:c r="E64" s="245" t="str">
        <x:v>See source</x:v>
      </x:c>
      <x:c r="F64" s="245" t="str">
        <x:v>See source</x:v>
      </x:c>
      <x:c r="G64" s="245" t="str">
        <x:v>PPIQ_Chapter3_General_Technical_Function_Description_v4.10.3.md §C3</x:v>
      </x:c>
      <x:c r="H64" s="245" t="str">
        <x:v>M2</x:v>
      </x:c>
      <x:c r="I64" s="245" t="str">
        <x:v>T-265</x:v>
      </x:c>
      <x:c r="J64" s="245" t="str">
        <x:v>PENDING DECOMPOSITION</x:v>
      </x:c>
      <x:c r="K64" s="245" t="str">
        <x:v>Split prose obligations into controls; do not count zero controls.</x:v>
      </x:c>
    </x:row>
    <x:row r="65" ht="60" customHeight="1">
      <x:c r="A65" s="245" t="str">
        <x:v>C4/CTRL-PROSE</x:v>
      </x:c>
      <x:c r="B65" s="245" t="str">
        <x:v>C4</x:v>
      </x:c>
      <x:c r="C65" s="245" t="str">
        <x:v>Tree expanders; search; Show unmapped only (toggle); Open in Genealogy (link where a unit is selected).</x:v>
      </x:c>
      <x:c r="D65" s="245" t="str">
        <x:v>Source prose</x:v>
      </x:c>
      <x:c r="E65" s="245" t="str">
        <x:v>See source</x:v>
      </x:c>
      <x:c r="F65" s="245" t="str">
        <x:v>See source</x:v>
      </x:c>
      <x:c r="G65" s="245" t="str">
        <x:v>PPIQ_Chapter3_General_Technical_Function_Description_v4.10.3.md §C4</x:v>
      </x:c>
      <x:c r="H65" s="245" t="str">
        <x:v>M3</x:v>
      </x:c>
      <x:c r="I65" s="245" t="str">
        <x:v>T-267</x:v>
      </x:c>
      <x:c r="J65" s="245" t="str">
        <x:v>PENDING DECOMPOSITION</x:v>
      </x:c>
      <x:c r="K65" s="245" t="str">
        <x:v>Split prose obligations into controls; do not count zero controls.</x:v>
      </x:c>
    </x:row>
    <x:row r="66" ht="60" customHeight="1">
      <x:c r="A66" s="245" t="str">
        <x:v>C5/CTRL-01</x:v>
      </x:c>
      <x:c r="B66" s="245" t="str">
        <x:v>C5</x:v>
      </x:c>
      <x:c r="C66" s="245" t="str">
        <x:v>Search unit</x:v>
      </x:c>
      <x:c r="D66" s="245" t="str">
        <x:v>`StandardInput`</x:v>
      </x:c>
      <x:c r="E66" s="245" t="str">
        <x:v>header inline-end</x:v>
      </x:c>
      <x:c r="F66" s="245" t="str">
        <x:v>always</x:v>
      </x:c>
      <x:c r="G66" s="245" t="str">
        <x:v>PPIQ_Chapter3_General_Technical_Function_Description_v4.10.3.md §C5</x:v>
      </x:c>
      <x:c r="H66" s="245" t="str">
        <x:v>M2</x:v>
      </x:c>
      <x:c r="I66" s="245" t="str">
        <x:v>T-265</x:v>
      </x:c>
      <x:c r="J66" s="245" t="str">
        <x:v>PENDING SEMANTIC TRACE</x:v>
      </x:c>
      <x:c r="K66" s="245" t="str">
        <x:v>Frame/state/node + action/outcome proof required</x:v>
      </x:c>
    </x:row>
    <x:row r="67" ht="60" customHeight="1">
      <x:c r="A67" s="245" t="str">
        <x:v>C5/CTRL-02</x:v>
      </x:c>
      <x:c r="B67" s="245" t="str">
        <x:v>C5</x:v>
      </x:c>
      <x:c r="C67" s="245" t="str">
        <x:v>Direction toggle back / forward / both</x:v>
      </x:c>
      <x:c r="D67" s="245" t="str">
        <x:v>segmented</x:v>
      </x:c>
      <x:c r="E67" s="245" t="str">
        <x:v>graph header</x:v>
      </x:c>
      <x:c r="F67" s="245" t="str">
        <x:v>graph loaded</x:v>
      </x:c>
      <x:c r="G67" s="245" t="str">
        <x:v>PPIQ_Chapter3_General_Technical_Function_Description_v4.10.3.md §C5</x:v>
      </x:c>
      <x:c r="H67" s="245" t="str">
        <x:v>M2</x:v>
      </x:c>
      <x:c r="I67" s="245" t="str">
        <x:v>T-265</x:v>
      </x:c>
      <x:c r="J67" s="245" t="str">
        <x:v>PENDING SEMANTIC TRACE</x:v>
      </x:c>
      <x:c r="K67" s="245" t="str">
        <x:v>Frame/state/node + action/outcome proof required</x:v>
      </x:c>
    </x:row>
    <x:row r="68" ht="60" customHeight="1">
      <x:c r="A68" s="245" t="str">
        <x:v>C5/CTRL-03</x:v>
      </x:c>
      <x:c r="B68" s="245" t="str">
        <x:v>C5</x:v>
      </x:c>
      <x:c r="C68" s="245" t="str">
        <x:v>Depth</x:v>
      </x:c>
      <x:c r="D68" s="245" t="str">
        <x:v>stepper</x:v>
      </x:c>
      <x:c r="E68" s="245" t="str">
        <x:v>graph header</x:v>
      </x:c>
      <x:c r="F68" s="245" t="str">
        <x:v>graph loaded</x:v>
      </x:c>
      <x:c r="G68" s="245" t="str">
        <x:v>PPIQ_Chapter3_General_Technical_Function_Description_v4.10.3.md §C5</x:v>
      </x:c>
      <x:c r="H68" s="245" t="str">
        <x:v>M2</x:v>
      </x:c>
      <x:c r="I68" s="245" t="str">
        <x:v>T-265</x:v>
      </x:c>
      <x:c r="J68" s="245" t="str">
        <x:v>PENDING SEMANTIC TRACE</x:v>
      </x:c>
      <x:c r="K68" s="245" t="str">
        <x:v>Frame/state/node + action/outcome proof required</x:v>
      </x:c>
    </x:row>
    <x:row r="69" ht="60" customHeight="1">
      <x:c r="A69" s="245" t="str">
        <x:v>C5/CTRL-04</x:v>
      </x:c>
      <x:c r="B69" s="245" t="str">
        <x:v>C5</x:v>
      </x:c>
      <x:c r="C69" s="245" t="str">
        <x:v>Edge weight badge</x:v>
      </x:c>
      <x:c r="D69" s="245" t="str">
        <x:v>badge</x:v>
      </x:c>
      <x:c r="E69" s="245" t="str">
        <x:v>each edge</x:v>
      </x:c>
      <x:c r="F69" s="245" t="str">
        <x:v>weight present</x:v>
      </x:c>
      <x:c r="G69" s="245" t="str">
        <x:v>PPIQ_Chapter3_General_Technical_Function_Description_v4.10.3.md §C5</x:v>
      </x:c>
      <x:c r="H69" s="245" t="str">
        <x:v>M2</x:v>
      </x:c>
      <x:c r="I69" s="245" t="str">
        <x:v>T-265</x:v>
      </x:c>
      <x:c r="J69" s="245" t="str">
        <x:v>PENDING SEMANTIC TRACE</x:v>
      </x:c>
      <x:c r="K69" s="245" t="str">
        <x:v>Frame/state/node + action/outcome proof required</x:v>
      </x:c>
    </x:row>
    <x:row r="70" ht="60" customHeight="1">
      <x:c r="A70" s="245" t="str">
        <x:v>C5/CTRL-05</x:v>
      </x:c>
      <x:c r="B70" s="245" t="str">
        <x:v>C5</x:v>
      </x:c>
      <x:c r="C70" s="245" t="str">
        <x:v>Drill to source rows</x:v>
      </x:c>
      <x:c r="D70" s="245" t="str">
        <x:v>link per node</x:v>
      </x:c>
      <x:c r="E70" s="245" t="str">
        <x:v>node detail</x:v>
      </x:c>
      <x:c r="F70" s="245" t="str">
        <x:v>provenance present</x:v>
      </x:c>
      <x:c r="G70" s="245" t="str">
        <x:v>PPIQ_Chapter3_General_Technical_Function_Description_v4.10.3.md §C5</x:v>
      </x:c>
      <x:c r="H70" s="245" t="str">
        <x:v>M2</x:v>
      </x:c>
      <x:c r="I70" s="245" t="str">
        <x:v>T-265</x:v>
      </x:c>
      <x:c r="J70" s="245" t="str">
        <x:v>PENDING SEMANTIC TRACE</x:v>
      </x:c>
      <x:c r="K70" s="245" t="str">
        <x:v>Frame/state/node + action/outcome proof required</x:v>
      </x:c>
    </x:row>
    <x:row r="71" ht="60" customHeight="1">
      <x:c r="A71" s="245" t="str">
        <x:v>C5/CTRL-06</x:v>
      </x:c>
      <x:c r="B71" s="245" t="str">
        <x:v>C5</x:v>
      </x:c>
      <x:c r="C71" s="245" t="str">
        <x:v>Open in Workspace</x:v>
      </x:c>
      <x:c r="D71" s="245" t="str">
        <x:v>secondary</x:v>
      </x:c>
      <x:c r="E71" s="245" t="str">
        <x:v>header inline-end</x:v>
      </x:c>
      <x:c r="F71" s="245" t="str">
        <x:v>always</x:v>
      </x:c>
      <x:c r="G71" s="245" t="str">
        <x:v>PPIQ_Chapter3_General_Technical_Function_Description_v4.10.3.md §C5</x:v>
      </x:c>
      <x:c r="H71" s="245" t="str">
        <x:v>M2</x:v>
      </x:c>
      <x:c r="I71" s="245" t="str">
        <x:v>T-265</x:v>
      </x:c>
      <x:c r="J71" s="245" t="str">
        <x:v>PENDING SEMANTIC TRACE</x:v>
      </x:c>
      <x:c r="K71" s="245" t="str">
        <x:v>Frame/state/node + action/outcome proof required</x:v>
      </x:c>
    </x:row>
    <x:row r="72" ht="60" customHeight="1">
      <x:c r="A72" s="245" t="str">
        <x:v>C6/CTRL-01</x:v>
      </x:c>
      <x:c r="B72" s="245" t="str">
        <x:v>C6</x:v>
      </x:c>
      <x:c r="C72" s="245" t="str">
        <x:v>Entity search</x:v>
      </x:c>
      <x:c r="D72" s="245" t="str">
        <x:v>`StandardInput`</x:v>
      </x:c>
      <x:c r="E72" s="245" t="str">
        <x:v>header</x:v>
      </x:c>
      <x:c r="F72" s="245" t="str">
        <x:v>always</x:v>
      </x:c>
      <x:c r="G72" s="245" t="str">
        <x:v>PPIQ_Chapter3_General_Technical_Function_Description_v4.10.3.md §C6</x:v>
      </x:c>
      <x:c r="H72" s="245" t="str">
        <x:v>M2</x:v>
      </x:c>
      <x:c r="I72" s="245" t="str">
        <x:v>T-265</x:v>
      </x:c>
      <x:c r="J72" s="245" t="str">
        <x:v>PENDING SEMANTIC TRACE</x:v>
      </x:c>
      <x:c r="K72" s="245" t="str">
        <x:v>Frame/state/node + action/outcome proof required</x:v>
      </x:c>
    </x:row>
    <x:row r="73" ht="60" customHeight="1">
      <x:c r="A73" s="245" t="str">
        <x:v>C6/CTRL-02</x:v>
      </x:c>
      <x:c r="B73" s="245" t="str">
        <x:v>C6</x:v>
      </x:c>
      <x:c r="C73" s="245" t="str">
        <x:v>State filter: all / validated / unproven / ambiguous / superseded</x:v>
      </x:c>
      <x:c r="D73" s="245" t="str">
        <x:v>`StandardSelect`</x:v>
      </x:c>
      <x:c r="E73" s="245" t="str">
        <x:v>header</x:v>
      </x:c>
      <x:c r="F73" s="245" t="str">
        <x:v>always</x:v>
      </x:c>
      <x:c r="G73" s="245" t="str">
        <x:v>PPIQ_Chapter3_General_Technical_Function_Description_v4.10.3.md §C6</x:v>
      </x:c>
      <x:c r="H73" s="245" t="str">
        <x:v>M2</x:v>
      </x:c>
      <x:c r="I73" s="245" t="str">
        <x:v>T-265</x:v>
      </x:c>
      <x:c r="J73" s="245" t="str">
        <x:v>PENDING SEMANTIC TRACE</x:v>
      </x:c>
      <x:c r="K73" s="245" t="str">
        <x:v>Frame/state/node + action/outcome proof required</x:v>
      </x:c>
    </x:row>
    <x:row r="74" ht="60" customHeight="1">
      <x:c r="A74" s="245" t="str">
        <x:v>C6/CTRL-03</x:v>
      </x:c>
      <x:c r="B74" s="245" t="str">
        <x:v>C6</x:v>
      </x:c>
      <x:c r="C74" s="245" t="str">
        <x:v>Graph node</x:v>
      </x:c>
      <x:c r="D74" s="245" t="str">
        <x:v>selectable</x:v>
      </x:c>
      <x:c r="E74" s="245" t="str">
        <x:v>centre</x:v>
      </x:c>
      <x:c r="F74" s="245" t="str">
        <x:v>always</x:v>
      </x:c>
      <x:c r="G74" s="245" t="str">
        <x:v>PPIQ_Chapter3_General_Technical_Function_Description_v4.10.3.md §C6</x:v>
      </x:c>
      <x:c r="H74" s="245" t="str">
        <x:v>M2</x:v>
      </x:c>
      <x:c r="I74" s="245" t="str">
        <x:v>T-265</x:v>
      </x:c>
      <x:c r="J74" s="245" t="str">
        <x:v>PENDING SEMANTIC TRACE</x:v>
      </x:c>
      <x:c r="K74" s="245" t="str">
        <x:v>Frame/state/node + action/outcome proof required</x:v>
      </x:c>
    </x:row>
    <x:row r="75" ht="60" customHeight="1">
      <x:c r="A75" s="245" t="str">
        <x:v>C6/CTRL-04</x:v>
      </x:c>
      <x:c r="B75" s="245" t="str">
        <x:v>C6</x:v>
      </x:c>
      <x:c r="C75" s="245" t="str">
        <x:v>Preferred-path badge</x:v>
      </x:c>
      <x:c r="D75" s="245" t="str">
        <x:v>badge</x:v>
      </x:c>
      <x:c r="E75" s="245" t="str">
        <x:v>on the edge</x:v>
      </x:c>
      <x:c r="F75" s="245" t="str">
        <x:v>a preferred path exists</x:v>
      </x:c>
      <x:c r="G75" s="245" t="str">
        <x:v>PPIQ_Chapter3_General_Technical_Function_Description_v4.10.3.md §C6</x:v>
      </x:c>
      <x:c r="H75" s="245" t="str">
        <x:v>M2</x:v>
      </x:c>
      <x:c r="I75" s="245" t="str">
        <x:v>T-265</x:v>
      </x:c>
      <x:c r="J75" s="245" t="str">
        <x:v>PENDING SEMANTIC TRACE</x:v>
      </x:c>
      <x:c r="K75" s="245" t="str">
        <x:v>Frame/state/node + action/outcome proof required</x:v>
      </x:c>
    </x:row>
    <x:row r="76" ht="60" customHeight="1">
      <x:c r="A76" s="245" t="str">
        <x:v>C6/CTRL-05</x:v>
      </x:c>
      <x:c r="B76" s="245" t="str">
        <x:v>C6</x:v>
      </x:c>
      <x:c r="C76" s="245" t="str">
        <x:v>Ambiguity badge</x:v>
      </x:c>
      <x:c r="D76" s="245" t="str">
        <x:v>badge</x:v>
      </x:c>
      <x:c r="E76" s="245" t="str">
        <x:v>on the edge</x:v>
      </x:c>
      <x:c r="F76" s="245" t="str">
        <x:v>two equally valid paths</x:v>
      </x:c>
      <x:c r="G76" s="245" t="str">
        <x:v>PPIQ_Chapter3_General_Technical_Function_Description_v4.10.3.md §C6</x:v>
      </x:c>
      <x:c r="H76" s="245" t="str">
        <x:v>M2</x:v>
      </x:c>
      <x:c r="I76" s="245" t="str">
        <x:v>T-265</x:v>
      </x:c>
      <x:c r="J76" s="245" t="str">
        <x:v>PENDING SEMANTIC TRACE</x:v>
      </x:c>
      <x:c r="K76" s="245" t="str">
        <x:v>Frame/state/node + action/outcome proof required</x:v>
      </x:c>
    </x:row>
    <x:row r="77" ht="60" customHeight="1">
      <x:c r="A77" s="245" t="str">
        <x:v>C6/CTRL-06</x:v>
      </x:c>
      <x:c r="B77" s="245" t="str">
        <x:v>C6</x:v>
      </x:c>
      <x:c r="C77" s="245" t="str">
        <x:v>Member list</x:v>
      </x:c>
      <x:c r="D77" s="245" t="str">
        <x:v>read-only ordered rows</x:v>
      </x:c>
      <x:c r="E77" s="245" t="str">
        <x:v>detail panel</x:v>
      </x:c>
      <x:c r="F77" s="245" t="str">
        <x:v>relationship selected</x:v>
      </x:c>
      <x:c r="G77" s="245" t="str">
        <x:v>PPIQ_Chapter3_General_Technical_Function_Description_v4.10.3.md §C6</x:v>
      </x:c>
      <x:c r="H77" s="245" t="str">
        <x:v>M2</x:v>
      </x:c>
      <x:c r="I77" s="245" t="str">
        <x:v>T-265</x:v>
      </x:c>
      <x:c r="J77" s="245" t="str">
        <x:v>PENDING SEMANTIC TRACE</x:v>
      </x:c>
      <x:c r="K77" s="245" t="str">
        <x:v>Frame/state/node + action/outcome proof required</x:v>
      </x:c>
    </x:row>
    <x:row r="78" ht="60" customHeight="1">
      <x:c r="A78" s="245" t="str">
        <x:v>C6/CTRL-07</x:v>
      </x:c>
      <x:c r="B78" s="245" t="str">
        <x:v>C6</x:v>
      </x:c>
      <x:c r="C78" s="245" t="str">
        <x:v>Grain, cardinality, attribution rule</x:v>
      </x:c>
      <x:c r="D78" s="245" t="str">
        <x:v>read-only fields</x:v>
      </x:c>
      <x:c r="E78" s="245" t="str">
        <x:v>detail panel</x:v>
      </x:c>
      <x:c r="F78" s="245" t="str">
        <x:v>relationship selected</x:v>
      </x:c>
      <x:c r="G78" s="245" t="str">
        <x:v>PPIQ_Chapter3_General_Technical_Function_Description_v4.10.3.md §C6</x:v>
      </x:c>
      <x:c r="H78" s="245" t="str">
        <x:v>M2</x:v>
      </x:c>
      <x:c r="I78" s="245" t="str">
        <x:v>T-265</x:v>
      </x:c>
      <x:c r="J78" s="245" t="str">
        <x:v>PENDING SEMANTIC TRACE</x:v>
      </x:c>
      <x:c r="K78" s="245" t="str">
        <x:v>Frame/state/node + action/outcome proof required</x:v>
      </x:c>
    </x:row>
    <x:row r="79" ht="60" customHeight="1">
      <x:c r="A79" s="245" t="str">
        <x:v>C6/CTRL-08</x:v>
      </x:c>
      <x:c r="B79" s="245" t="str">
        <x:v>C6</x:v>
      </x:c>
      <x:c r="C79" s="245" t="str">
        <x:v>Validate against data</x:v>
      </x:c>
      <x:c r="D79" s="245" t="str">
        <x:v>secondary</x:v>
      </x:c>
      <x:c r="E79" s="245" t="str">
        <x:v>detail panel</x:v>
      </x:c>
      <x:c r="F79" s="245" t="str">
        <x:v>validationState is unproven</x:v>
      </x:c>
      <x:c r="G79" s="245" t="str">
        <x:v>PPIQ_Chapter3_General_Technical_Function_Description_v4.10.3.md §C6</x:v>
      </x:c>
      <x:c r="H79" s="245" t="str">
        <x:v>M2</x:v>
      </x:c>
      <x:c r="I79" s="245" t="str">
        <x:v>T-265</x:v>
      </x:c>
      <x:c r="J79" s="245" t="str">
        <x:v>PENDING SEMANTIC TRACE</x:v>
      </x:c>
      <x:c r="K79" s="245" t="str">
        <x:v>Frame/state/node + action/outcome proof required</x:v>
      </x:c>
    </x:row>
    <x:row r="80" ht="60" customHeight="1">
      <x:c r="A80" s="245" t="str">
        <x:v>C6/CTRL-09</x:v>
      </x:c>
      <x:c r="B80" s="245" t="str">
        <x:v>C6</x:v>
      </x:c>
      <x:c r="C80" s="245" t="str">
        <x:v>Set preferred path</x:v>
      </x:c>
      <x:c r="D80" s="245" t="str">
        <x:v>secondary, confirmed</x:v>
      </x:c>
      <x:c r="E80" s="245" t="str">
        <x:v>detail panel</x:v>
      </x:c>
      <x:c r="F80" s="245" t="str">
        <x:v>ambiguityState is ambiguous</x:v>
      </x:c>
      <x:c r="G80" s="245" t="str">
        <x:v>PPIQ_Chapter3_General_Technical_Function_Description_v4.10.3.md §C6</x:v>
      </x:c>
      <x:c r="H80" s="245" t="str">
        <x:v>M2</x:v>
      </x:c>
      <x:c r="I80" s="245" t="str">
        <x:v>T-265</x:v>
      </x:c>
      <x:c r="J80" s="245" t="str">
        <x:v>PENDING SEMANTIC TRACE</x:v>
      </x:c>
      <x:c r="K80" s="245" t="str">
        <x:v>Frame/state/node + action/outcome proof required</x:v>
      </x:c>
    </x:row>
    <x:row r="81" ht="60" customHeight="1">
      <x:c r="A81" s="245" t="str">
        <x:v>C6/CTRL-10</x:v>
      </x:c>
      <x:c r="B81" s="245" t="str">
        <x:v>C6</x:v>
      </x:c>
      <x:c r="C81" s="245" t="str">
        <x:v>Open source definition</x:v>
      </x:c>
      <x:c r="D81" s="245" t="str">
        <x:v>link</x:v>
      </x:c>
      <x:c r="E81" s="245" t="str">
        <x:v>detail panel</x:v>
      </x:c>
      <x:c r="F81" s="245" t="str">
        <x:v>always</x:v>
      </x:c>
      <x:c r="G81" s="245" t="str">
        <x:v>PPIQ_Chapter3_General_Technical_Function_Description_v4.10.3.md §C6</x:v>
      </x:c>
      <x:c r="H81" s="245" t="str">
        <x:v>M2</x:v>
      </x:c>
      <x:c r="I81" s="245" t="str">
        <x:v>T-265</x:v>
      </x:c>
      <x:c r="J81" s="245" t="str">
        <x:v>PENDING SEMANTIC TRACE</x:v>
      </x:c>
      <x:c r="K81" s="245" t="str">
        <x:v>Frame/state/node + action/outcome proof required</x:v>
      </x:c>
    </x:row>
    <x:row r="82" ht="60" customHeight="1">
      <x:c r="A82" s="245" t="str">
        <x:v>C6/CTRL-11</x:v>
      </x:c>
      <x:c r="B82" s="245" t="str">
        <x:v>C6</x:v>
      </x:c>
      <x:c r="C82" s="245" t="str">
        <x:v>Path finder: from / to</x:v>
      </x:c>
      <x:c r="D82" s="245" t="str">
        <x:v>two selects plus Find</x:v>
      </x:c>
      <x:c r="E82" s="245" t="str">
        <x:v>header</x:v>
      </x:c>
      <x:c r="F82" s="245" t="str">
        <x:v>two entities chosen</x:v>
      </x:c>
      <x:c r="G82" s="245" t="str">
        <x:v>PPIQ_Chapter3_General_Technical_Function_Description_v4.10.3.md §C6</x:v>
      </x:c>
      <x:c r="H82" s="245" t="str">
        <x:v>M2</x:v>
      </x:c>
      <x:c r="I82" s="245" t="str">
        <x:v>T-265</x:v>
      </x:c>
      <x:c r="J82" s="245" t="str">
        <x:v>PENDING SEMANTIC TRACE</x:v>
      </x:c>
      <x:c r="K82" s="245" t="str">
        <x:v>Frame/state/node + action/outcome proof required</x:v>
      </x:c>
    </x:row>
    <x:row r="83" ht="60" customHeight="1">
      <x:c r="A83" s="245" t="str">
        <x:v>C6/CTRL-12</x:v>
      </x:c>
      <x:c r="B83" s="245" t="str">
        <x:v>C6</x:v>
      </x:c>
      <x:c r="C83" s="245" t="str">
        <x:v>Retire relationship</x:v>
      </x:c>
      <x:c r="D83" s="245" t="str">
        <x:v>destructive, confirmed</x:v>
      </x:c>
      <x:c r="E83" s="245" t="str">
        <x:v>detail panel</x:v>
      </x:c>
      <x:c r="F83" s="245" t="str">
        <x:v>Administrator, and no active dependent</x:v>
      </x:c>
      <x:c r="G83" s="245" t="str">
        <x:v>PPIQ_Chapter3_General_Technical_Function_Description_v4.10.3.md §C6</x:v>
      </x:c>
      <x:c r="H83" s="245" t="str">
        <x:v>M2</x:v>
      </x:c>
      <x:c r="I83" s="245" t="str">
        <x:v>T-265</x:v>
      </x:c>
      <x:c r="J83" s="245" t="str">
        <x:v>PENDING SEMANTIC TRACE</x:v>
      </x:c>
      <x:c r="K83" s="245" t="str">
        <x:v>Frame/state/node + action/outcome proof required</x:v>
      </x:c>
    </x:row>
    <x:row r="84" ht="60" customHeight="1">
      <x:c r="A84" s="245" t="str">
        <x:v>D1/CTRL-01</x:v>
      </x:c>
      <x:c r="B84" s="245" t="str">
        <x:v>D1</x:v>
      </x:c>
      <x:c r="C84" s="245" t="str">
        <x:v>Sheet selector</x:v>
      </x:c>
      <x:c r="D84" s="245" t="str">
        <x:v>`StandardSelect`</x:v>
      </x:c>
      <x:c r="E84" s="245" t="str">
        <x:v>header</x:v>
      </x:c>
      <x:c r="F84" s="245" t="str">
        <x:v>more than one sheet</x:v>
      </x:c>
      <x:c r="G84" s="245" t="str">
        <x:v>PPIQ_Chapter3_General_Technical_Function_Description_v4.10.3.md §D1</x:v>
      </x:c>
      <x:c r="H84" s="245" t="str">
        <x:v>M2 + M3</x:v>
      </x:c>
      <x:c r="I84" s="245" t="str">
        <x:v>T-265; T-267</x:v>
      </x:c>
      <x:c r="J84" s="245" t="str">
        <x:v>PENDING SEMANTIC TRACE</x:v>
      </x:c>
      <x:c r="K84" s="245" t="str">
        <x:v>Frame/state/node + action/outcome proof required</x:v>
      </x:c>
    </x:row>
    <x:row r="85" ht="60" customHeight="1">
      <x:c r="A85" s="245" t="str">
        <x:v>D1/CTRL-02</x:v>
      </x:c>
      <x:c r="B85" s="245" t="str">
        <x:v>D1</x:v>
      </x:c>
      <x:c r="C85" s="245" t="str">
        <x:v>Filter bar field</x:v>
      </x:c>
      <x:c r="D85" s="245" t="str">
        <x:v>dropdown per field</x:v>
      </x:c>
      <x:c r="E85" s="245" t="str">
        <x:v>filter bar</x:v>
      </x:c>
      <x:c r="F85" s="245" t="str">
        <x:v>field is filterable</x:v>
      </x:c>
      <x:c r="G85" s="245" t="str">
        <x:v>PPIQ_Chapter3_General_Technical_Function_Description_v4.10.3.md §D1</x:v>
      </x:c>
      <x:c r="H85" s="245" t="str">
        <x:v>M2 + M3</x:v>
      </x:c>
      <x:c r="I85" s="245" t="str">
        <x:v>T-265; T-267</x:v>
      </x:c>
      <x:c r="J85" s="245" t="str">
        <x:v>PENDING SEMANTIC TRACE</x:v>
      </x:c>
      <x:c r="K85" s="245" t="str">
        <x:v>Frame/state/node + action/outcome proof required</x:v>
      </x:c>
    </x:row>
    <x:row r="86" ht="60" customHeight="1">
      <x:c r="A86" s="245" t="str">
        <x:v>D1/CTRL-03</x:v>
      </x:c>
      <x:c r="B86" s="245" t="str">
        <x:v>D1</x:v>
      </x:c>
      <x:c r="C86" s="245" t="str">
        <x:v>Clear all</x:v>
      </x:c>
      <x:c r="D86" s="245" t="str">
        <x:v>secondary</x:v>
      </x:c>
      <x:c r="E86" s="245" t="str">
        <x:v>selections bar, inline-end</x:v>
      </x:c>
      <x:c r="F86" s="245" t="str">
        <x:v>a selection exists</x:v>
      </x:c>
      <x:c r="G86" s="245" t="str">
        <x:v>PPIQ_Chapter3_General_Technical_Function_Description_v4.10.3.md §D1</x:v>
      </x:c>
      <x:c r="H86" s="245" t="str">
        <x:v>M2 + M3</x:v>
      </x:c>
      <x:c r="I86" s="245" t="str">
        <x:v>T-265; T-267</x:v>
      </x:c>
      <x:c r="J86" s="245" t="str">
        <x:v>PENDING SEMANTIC TRACE</x:v>
      </x:c>
      <x:c r="K86" s="245" t="str">
        <x:v>Frame/state/node + action/outcome proof required</x:v>
      </x:c>
    </x:row>
    <x:row r="87" ht="60" customHeight="1">
      <x:c r="A87" s="245" t="str">
        <x:v>D1/CTRL-04</x:v>
      </x:c>
      <x:c r="B87" s="245" t="str">
        <x:v>D1</x:v>
      </x:c>
      <x:c r="C87" s="245" t="str">
        <x:v>Selection chip</x:v>
      </x:c>
      <x:c r="D87" s="245" t="str">
        <x:v>removable chip</x:v>
      </x:c>
      <x:c r="E87" s="245" t="str">
        <x:v>selections bar</x:v>
      </x:c>
      <x:c r="F87" s="245" t="str">
        <x:v>per selection</x:v>
      </x:c>
      <x:c r="G87" s="245" t="str">
        <x:v>PPIQ_Chapter3_General_Technical_Function_Description_v4.10.3.md §D1</x:v>
      </x:c>
      <x:c r="H87" s="245" t="str">
        <x:v>M2 + M3</x:v>
      </x:c>
      <x:c r="I87" s="245" t="str">
        <x:v>T-265; T-267</x:v>
      </x:c>
      <x:c r="J87" s="245" t="str">
        <x:v>PENDING SEMANTIC TRACE</x:v>
      </x:c>
      <x:c r="K87" s="245" t="str">
        <x:v>Frame/state/node + action/outcome proof required</x:v>
      </x:c>
    </x:row>
    <x:row r="88" ht="60" customHeight="1">
      <x:c r="A88" s="245" t="str">
        <x:v>D1/CTRL-05</x:v>
      </x:c>
      <x:c r="B88" s="245" t="str">
        <x:v>D1</x:v>
      </x:c>
      <x:c r="C88" s="245" t="str">
        <x:v>Card hover tools: maximise, collapse, export, clone, remove, edit</x:v>
      </x:c>
      <x:c r="D88" s="245" t="str">
        <x:v>icon buttons</x:v>
      </x:c>
      <x:c r="E88" s="245" t="str">
        <x:v>card header, inline-end</x:v>
      </x:c>
      <x:c r="F88" s="245" t="str">
        <x:v>per permission</x:v>
      </x:c>
      <x:c r="G88" s="245" t="str">
        <x:v>PPIQ_Chapter3_General_Technical_Function_Description_v4.10.3.md §D1</x:v>
      </x:c>
      <x:c r="H88" s="245" t="str">
        <x:v>M2 + M3</x:v>
      </x:c>
      <x:c r="I88" s="245" t="str">
        <x:v>T-265; T-267</x:v>
      </x:c>
      <x:c r="J88" s="245" t="str">
        <x:v>PENDING SEMANTIC TRACE</x:v>
      </x:c>
      <x:c r="K88" s="245" t="str">
        <x:v>Frame/state/node + action/outcome proof required</x:v>
      </x:c>
    </x:row>
    <x:row r="89" ht="60" customHeight="1">
      <x:c r="A89" s="245" t="str">
        <x:v>D1/CTRL-06</x:v>
      </x:c>
      <x:c r="B89" s="245" t="str">
        <x:v>D1</x:v>
      </x:c>
      <x:c r="C89" s="245" t="str">
        <x:v>Chart-type switcher</x:v>
      </x:c>
      <x:c r="D89" s="245" t="str">
        <x:v>select on card</x:v>
      </x:c>
      <x:c r="E89" s="245" t="str">
        <x:v>card header</x:v>
      </x:c>
      <x:c r="F89" s="245" t="str">
        <x:v>server registry accepts the type for this binding</x:v>
      </x:c>
      <x:c r="G89" s="245" t="str">
        <x:v>PPIQ_Chapter3_General_Technical_Function_Description_v4.10.3.md §D1</x:v>
      </x:c>
      <x:c r="H89" s="245" t="str">
        <x:v>M2 + M3</x:v>
      </x:c>
      <x:c r="I89" s="245" t="str">
        <x:v>T-265; T-267</x:v>
      </x:c>
      <x:c r="J89" s="245" t="str">
        <x:v>PENDING SEMANTIC TRACE</x:v>
      </x:c>
      <x:c r="K89" s="245" t="str">
        <x:v>Frame/state/node + action/outcome proof required</x:v>
      </x:c>
    </x:row>
    <x:row r="90" ht="60" customHeight="1">
      <x:c r="A90" s="245" t="str">
        <x:v>D1/CTRL-07</x:v>
      </x:c>
      <x:c r="B90" s="245" t="str">
        <x:v>D1</x:v>
      </x:c>
      <x:c r="C90" s="245" t="str">
        <x:v>Save layout / Reset layout</x:v>
      </x:c>
      <x:c r="D90" s="245" t="str">
        <x:v>primary / secondary</x:v>
      </x:c>
      <x:c r="E90" s="245" t="str">
        <x:v>header inline-end</x:v>
      </x:c>
      <x:c r="F90" s="245" t="str">
        <x:v>layout dirty</x:v>
      </x:c>
      <x:c r="G90" s="245" t="str">
        <x:v>PPIQ_Chapter3_General_Technical_Function_Description_v4.10.3.md §D1</x:v>
      </x:c>
      <x:c r="H90" s="245" t="str">
        <x:v>M2 + M3</x:v>
      </x:c>
      <x:c r="I90" s="245" t="str">
        <x:v>T-265; T-267</x:v>
      </x:c>
      <x:c r="J90" s="245" t="str">
        <x:v>PENDING SEMANTIC TRACE</x:v>
      </x:c>
      <x:c r="K90" s="245" t="str">
        <x:v>Frame/state/node + action/outcome proof required</x:v>
      </x:c>
    </x:row>
    <x:row r="91" ht="60" customHeight="1">
      <x:c r="A91" s="245" t="str">
        <x:v>D1/CTRL-08</x:v>
      </x:c>
      <x:c r="B91" s="245" t="str">
        <x:v>D1</x:v>
      </x:c>
      <x:c r="C91" s="245" t="str">
        <x:v>Edit mode toggle</x:v>
      </x:c>
      <x:c r="D91" s="245" t="str">
        <x:v>segmented</x:v>
      </x:c>
      <x:c r="E91" s="245" t="str">
        <x:v>header</x:v>
      </x:c>
      <x:c r="F91" s="245" t="str">
        <x:v>edit permission</x:v>
      </x:c>
      <x:c r="G91" s="245" t="str">
        <x:v>PPIQ_Chapter3_General_Technical_Function_Description_v4.10.3.md §D1</x:v>
      </x:c>
      <x:c r="H91" s="245" t="str">
        <x:v>M2 + M3</x:v>
      </x:c>
      <x:c r="I91" s="245" t="str">
        <x:v>T-265; T-267</x:v>
      </x:c>
      <x:c r="J91" s="245" t="str">
        <x:v>PENDING SEMANTIC TRACE</x:v>
      </x:c>
      <x:c r="K91" s="245" t="str">
        <x:v>Frame/state/node + action/outcome proof required</x:v>
      </x:c>
    </x:row>
    <x:row r="92" ht="60" customHeight="1">
      <x:c r="A92" s="245" t="str">
        <x:v>D2/CTRL-01</x:v>
      </x:c>
      <x:c r="B92" s="245" t="str">
        <x:v>D2</x:v>
      </x:c>
      <x:c r="C92" s="245" t="str">
        <x:v>Create page</x:v>
      </x:c>
      <x:c r="D92" s="245" t="str">
        <x:v>primary</x:v>
      </x:c>
      <x:c r="E92" s="245" t="str">
        <x:v>inline-start header</x:v>
      </x:c>
      <x:c r="F92" s="245" t="str">
        <x:v>quota not exhausted</x:v>
      </x:c>
      <x:c r="G92" s="245" t="str">
        <x:v>PPIQ_Chapter3_General_Technical_Function_Description_v4.10.3.md §D2</x:v>
      </x:c>
      <x:c r="H92" s="245" t="str">
        <x:v>M2 + M3</x:v>
      </x:c>
      <x:c r="I92" s="245" t="str">
        <x:v>T-265; T-267</x:v>
      </x:c>
      <x:c r="J92" s="245" t="str">
        <x:v>PENDING SEMANTIC TRACE</x:v>
      </x:c>
      <x:c r="K92" s="245" t="str">
        <x:v>Frame/state/node + action/outcome proof required</x:v>
      </x:c>
    </x:row>
    <x:row r="93" ht="60" customHeight="1">
      <x:c r="A93" s="245" t="str">
        <x:v>D2/CTRL-02</x:v>
      </x:c>
      <x:c r="B93" s="245" t="str">
        <x:v>D2</x:v>
      </x:c>
      <x:c r="C93" s="245" t="str">
        <x:v>Add widget</x:v>
      </x:c>
      <x:c r="D93" s="245" t="str">
        <x:v>primary</x:v>
      </x:c>
      <x:c r="E93" s="245" t="str">
        <x:v>preview header</x:v>
      </x:c>
      <x:c r="F93" s="245" t="str">
        <x:v>page selected, quota available</x:v>
      </x:c>
      <x:c r="G93" s="245" t="str">
        <x:v>PPIQ_Chapter3_General_Technical_Function_Description_v4.10.3.md §D2</x:v>
      </x:c>
      <x:c r="H93" s="245" t="str">
        <x:v>M2 + M3</x:v>
      </x:c>
      <x:c r="I93" s="245" t="str">
        <x:v>T-265; T-267</x:v>
      </x:c>
      <x:c r="J93" s="245" t="str">
        <x:v>PENDING SEMANTIC TRACE</x:v>
      </x:c>
      <x:c r="K93" s="245" t="str">
        <x:v>Frame/state/node + action/outcome proof required</x:v>
      </x:c>
    </x:row>
    <x:row r="94" ht="60" customHeight="1">
      <x:c r="A94" s="245" t="str">
        <x:v>D2/CTRL-03</x:v>
      </x:c>
      <x:c r="B94" s="245" t="str">
        <x:v>D2</x:v>
      </x:c>
      <x:c r="C94" s="245" t="str">
        <x:v>Kind picker: chart, table, KPI, calculated label, calendar filter, filter</x:v>
      </x:c>
      <x:c r="D94" s="245" t="str">
        <x:v>tile picker</x:v>
      </x:c>
      <x:c r="E94" s="245" t="str">
        <x:v>modal step 1</x:v>
      </x:c>
      <x:c r="F94" s="245" t="str">
        <x:v>Add widget pressed</x:v>
      </x:c>
      <x:c r="G94" s="245" t="str">
        <x:v>PPIQ_Chapter3_General_Technical_Function_Description_v4.10.3.md §D2</x:v>
      </x:c>
      <x:c r="H94" s="245" t="str">
        <x:v>M2 + M3</x:v>
      </x:c>
      <x:c r="I94" s="245" t="str">
        <x:v>T-265; T-267</x:v>
      </x:c>
      <x:c r="J94" s="245" t="str">
        <x:v>PENDING SEMANTIC TRACE</x:v>
      </x:c>
      <x:c r="K94" s="245" t="str">
        <x:v>Frame/state/node + action/outcome proof required</x:v>
      </x:c>
    </x:row>
    <x:row r="95" ht="60" customHeight="1">
      <x:c r="A95" s="245" t="str">
        <x:v>D2/CTRL-04</x:v>
      </x:c>
      <x:c r="B95" s="245" t="str">
        <x:v>D2</x:v>
      </x:c>
      <x:c r="C95" s="245" t="str">
        <x:v>Widget name</x:v>
      </x:c>
      <x:c r="D95" s="245" t="str">
        <x:v>`StandardInput`</x:v>
      </x:c>
      <x:c r="E95" s="245" t="str">
        <x:v>modal step 2</x:v>
      </x:c>
      <x:c r="F95" s="245" t="str">
        <x:v>kind chosen</x:v>
      </x:c>
      <x:c r="G95" s="245" t="str">
        <x:v>PPIQ_Chapter3_General_Technical_Function_Description_v4.10.3.md §D2</x:v>
      </x:c>
      <x:c r="H95" s="245" t="str">
        <x:v>M2 + M3</x:v>
      </x:c>
      <x:c r="I95" s="245" t="str">
        <x:v>T-265; T-267</x:v>
      </x:c>
      <x:c r="J95" s="245" t="str">
        <x:v>PENDING SEMANTIC TRACE</x:v>
      </x:c>
      <x:c r="K95" s="245" t="str">
        <x:v>Frame/state/node + action/outcome proof required</x:v>
      </x:c>
    </x:row>
    <x:row r="96" ht="60" customHeight="1">
      <x:c r="A96" s="245" t="str">
        <x:v>D2/CTRL-05</x:v>
      </x:c>
      <x:c r="B96" s="245" t="str">
        <x:v>D2</x:v>
      </x:c>
      <x:c r="C96" s="245" t="str">
        <x:v>Binding mode: Catalogue / Query</x:v>
      </x:c>
      <x:c r="D96" s="245" t="str">
        <x:v>segmented</x:v>
      </x:c>
      <x:c r="E96" s="245" t="str">
        <x:v>shell, block-start</x:v>
      </x:c>
      <x:c r="F96" s="245" t="str">
        <x:v>always; Query needs Pro and role</x:v>
      </x:c>
      <x:c r="G96" s="245" t="str">
        <x:v>PPIQ_Chapter3_General_Technical_Function_Description_v4.10.3.md §D2</x:v>
      </x:c>
      <x:c r="H96" s="245" t="str">
        <x:v>M2 + M3</x:v>
      </x:c>
      <x:c r="I96" s="245" t="str">
        <x:v>T-265; T-267</x:v>
      </x:c>
      <x:c r="J96" s="245" t="str">
        <x:v>PENDING SEMANTIC TRACE</x:v>
      </x:c>
      <x:c r="K96" s="245" t="str">
        <x:v>Frame/state/node + action/outcome proof required</x:v>
      </x:c>
    </x:row>
    <x:row r="97" ht="60" customHeight="1">
      <x:c r="A97" s="245" t="str">
        <x:v>D2/CTRL-06</x:v>
      </x:c>
      <x:c r="B97" s="245" t="str">
        <x:v>D2</x:v>
      </x:c>
      <x:c r="C97" s="245" t="str">
        <x:v>Chart type / Dimension / Measure</x:v>
      </x:c>
      <x:c r="D97" s="245" t="str">
        <x:v>`StandardSelect`</x:v>
      </x:c>
      <x:c r="E97" s="245" t="str">
        <x:v>shell, catalogue mode</x:v>
      </x:c>
      <x:c r="F97" s="245" t="str">
        <x:v>catalogue mode</x:v>
      </x:c>
      <x:c r="G97" s="245" t="str">
        <x:v>PPIQ_Chapter3_General_Technical_Function_Description_v4.10.3.md §D2</x:v>
      </x:c>
      <x:c r="H97" s="245" t="str">
        <x:v>M2 + M3</x:v>
      </x:c>
      <x:c r="I97" s="245" t="str">
        <x:v>T-265; T-267</x:v>
      </x:c>
      <x:c r="J97" s="245" t="str">
        <x:v>PENDING SEMANTIC TRACE</x:v>
      </x:c>
      <x:c r="K97" s="245" t="str">
        <x:v>Frame/state/node + action/outcome proof required</x:v>
      </x:c>
    </x:row>
    <x:row r="98" ht="60" customHeight="1">
      <x:c r="A98" s="245" t="str">
        <x:v>D2/CTRL-07</x:v>
      </x:c>
      <x:c r="B98" s="245" t="str">
        <x:v>D2</x:v>
      </x:c>
      <x:c r="C98" s="245" t="str">
        <x:v>Query editor</x:v>
      </x:c>
      <x:c r="D98" s="245" t="str">
        <x:v>monospace editor, IBM Plex Mono</x:v>
      </x:c>
      <x:c r="E98" s="245" t="str">
        <x:v>shell, query mode</x:v>
      </x:c>
      <x:c r="F98" s="245" t="str">
        <x:v>query mode</x:v>
      </x:c>
      <x:c r="G98" s="245" t="str">
        <x:v>PPIQ_Chapter3_General_Technical_Function_Description_v4.10.3.md §D2</x:v>
      </x:c>
      <x:c r="H98" s="245" t="str">
        <x:v>M2 + M3</x:v>
      </x:c>
      <x:c r="I98" s="245" t="str">
        <x:v>T-265; T-267</x:v>
      </x:c>
      <x:c r="J98" s="245" t="str">
        <x:v>PENDING SEMANTIC TRACE</x:v>
      </x:c>
      <x:c r="K98" s="245" t="str">
        <x:v>Frame/state/node + action/outcome proof required</x:v>
      </x:c>
    </x:row>
    <x:row r="99" ht="60" customHeight="1">
      <x:c r="A99" s="245" t="str">
        <x:v>D2/CTRL-08</x:v>
      </x:c>
      <x:c r="B99" s="245" t="str">
        <x:v>D2</x:v>
      </x:c>
      <x:c r="C99" s="245" t="str">
        <x:v>Run test</x:v>
      </x:c>
      <x:c r="D99" s="245" t="str">
        <x:v>secondary</x:v>
      </x:c>
      <x:c r="E99" s="245" t="str">
        <x:v>shell footer</x:v>
      </x:c>
      <x:c r="F99" s="245" t="str">
        <x:v>query non-empty</x:v>
      </x:c>
      <x:c r="G99" s="245" t="str">
        <x:v>PPIQ_Chapter3_General_Technical_Function_Description_v4.10.3.md §D2</x:v>
      </x:c>
      <x:c r="H99" s="245" t="str">
        <x:v>M2 + M3</x:v>
      </x:c>
      <x:c r="I99" s="245" t="str">
        <x:v>T-265; T-267</x:v>
      </x:c>
      <x:c r="J99" s="245" t="str">
        <x:v>PENDING SEMANTIC TRACE</x:v>
      </x:c>
      <x:c r="K99" s="245" t="str">
        <x:v>Frame/state/node + action/outcome proof required</x:v>
      </x:c>
    </x:row>
    <x:row r="100" ht="60" customHeight="1">
      <x:c r="A100" s="245" t="str">
        <x:v>D2/CTRL-09</x:v>
      </x:c>
      <x:c r="B100" s="245" t="str">
        <x:v>D2</x:v>
      </x:c>
      <x:c r="C100" s="245" t="str">
        <x:v>Result columns to axes</x:v>
      </x:c>
      <x:c r="D100" s="245" t="str">
        <x:v>mapping rows</x:v>
      </x:c>
      <x:c r="E100" s="245" t="str">
        <x:v>shell, after Run test</x:v>
      </x:c>
      <x:c r="F100" s="245" t="str">
        <x:v>test returned columns</x:v>
      </x:c>
      <x:c r="G100" s="245" t="str">
        <x:v>PPIQ_Chapter3_General_Technical_Function_Description_v4.10.3.md §D2</x:v>
      </x:c>
      <x:c r="H100" s="245" t="str">
        <x:v>M2 + M3</x:v>
      </x:c>
      <x:c r="I100" s="245" t="str">
        <x:v>T-265; T-267</x:v>
      </x:c>
      <x:c r="J100" s="245" t="str">
        <x:v>PENDING SEMANTIC TRACE</x:v>
      </x:c>
      <x:c r="K100" s="245" t="str">
        <x:v>Frame/state/node + action/outcome proof required</x:v>
      </x:c>
    </x:row>
    <x:row r="101" ht="60" customHeight="1">
      <x:c r="A101" s="245" t="str">
        <x:v>D2/CTRL-10</x:v>
      </x:c>
      <x:c r="B101" s="245" t="str">
        <x:v>D2</x:v>
      </x:c>
      <x:c r="C101" s="245" t="str">
        <x:v>Saved filter</x:v>
      </x:c>
      <x:c r="D101" s="245" t="str">
        <x:v>filter rows</x:v>
      </x:c>
      <x:c r="E101" s="245" t="str">
        <x:v>shell</x:v>
      </x:c>
      <x:c r="F101" s="245" t="str">
        <x:v>always</x:v>
      </x:c>
      <x:c r="G101" s="245" t="str">
        <x:v>PPIQ_Chapter3_General_Technical_Function_Description_v4.10.3.md §D2</x:v>
      </x:c>
      <x:c r="H101" s="245" t="str">
        <x:v>M2 + M3</x:v>
      </x:c>
      <x:c r="I101" s="245" t="str">
        <x:v>T-265; T-267</x:v>
      </x:c>
      <x:c r="J101" s="245" t="str">
        <x:v>PENDING SEMANTIC TRACE</x:v>
      </x:c>
      <x:c r="K101" s="245" t="str">
        <x:v>Frame/state/node + action/outcome proof required</x:v>
      </x:c>
    </x:row>
    <x:row r="102" ht="60" customHeight="1">
      <x:c r="A102" s="245" t="str">
        <x:v>D2/CTRL-11</x:v>
      </x:c>
      <x:c r="B102" s="245" t="str">
        <x:v>D2</x:v>
      </x:c>
      <x:c r="C102" s="245" t="str">
        <x:v>Preview</x:v>
      </x:c>
      <x:c r="D102" s="245" t="str">
        <x:v>secondary</x:v>
      </x:c>
      <x:c r="E102" s="245" t="str">
        <x:v>shell footer</x:v>
      </x:c>
      <x:c r="F102" s="245" t="str">
        <x:v>binding valid</x:v>
      </x:c>
      <x:c r="G102" s="245" t="str">
        <x:v>PPIQ_Chapter3_General_Technical_Function_Description_v4.10.3.md §D2</x:v>
      </x:c>
      <x:c r="H102" s="245" t="str">
        <x:v>M2 + M3</x:v>
      </x:c>
      <x:c r="I102" s="245" t="str">
        <x:v>T-265; T-267</x:v>
      </x:c>
      <x:c r="J102" s="245" t="str">
        <x:v>PENDING SEMANTIC TRACE</x:v>
      </x:c>
      <x:c r="K102" s="245" t="str">
        <x:v>Frame/state/node + action/outcome proof required</x:v>
      </x:c>
    </x:row>
    <x:row r="103" ht="60" customHeight="1">
      <x:c r="A103" s="245" t="str">
        <x:v>D2/CTRL-12</x:v>
      </x:c>
      <x:c r="B103" s="245" t="str">
        <x:v>D2</x:v>
      </x:c>
      <x:c r="C103" s="245" t="str">
        <x:v>Save</x:v>
      </x:c>
      <x:c r="D103" s="245" t="str">
        <x:v>primary</x:v>
      </x:c>
      <x:c r="E103" s="245" t="str">
        <x:v>shell footer, inline-end</x:v>
      </x:c>
      <x:c r="F103" s="245" t="str">
        <x:v>binding valid</x:v>
      </x:c>
      <x:c r="G103" s="245" t="str">
        <x:v>PPIQ_Chapter3_General_Technical_Function_Description_v4.10.3.md §D2</x:v>
      </x:c>
      <x:c r="H103" s="245" t="str">
        <x:v>M2 + M3</x:v>
      </x:c>
      <x:c r="I103" s="245" t="str">
        <x:v>T-265; T-267</x:v>
      </x:c>
      <x:c r="J103" s="245" t="str">
        <x:v>PENDING SEMANTIC TRACE</x:v>
      </x:c>
      <x:c r="K103" s="245" t="str">
        <x:v>Frame/state/node + action/outcome proof required</x:v>
      </x:c>
    </x:row>
    <x:row r="104" ht="60" customHeight="1">
      <x:c r="A104" s="245" t="str">
        <x:v>D3/CTRL-01</x:v>
      </x:c>
      <x:c r="B104" s="245" t="str">
        <x:v>D3</x:v>
      </x:c>
      <x:c r="C104" s="245" t="str">
        <x:v>New definition</x:v>
      </x:c>
      <x:c r="D104" s="245" t="str">
        <x:v>primary</x:v>
      </x:c>
      <x:c r="E104" s="245" t="str">
        <x:v>inline-start header</x:v>
      </x:c>
      <x:c r="F104" s="245" t="str">
        <x:v>quota available</x:v>
      </x:c>
      <x:c r="G104" s="245" t="str">
        <x:v>PPIQ_Chapter3_General_Technical_Function_Description_v4.10.3.md §D3</x:v>
      </x:c>
      <x:c r="H104" s="245" t="str">
        <x:v>M2 + M3</x:v>
      </x:c>
      <x:c r="I104" s="245" t="str">
        <x:v>T-265; T-267</x:v>
      </x:c>
      <x:c r="J104" s="245" t="str">
        <x:v>PENDING SEMANTIC TRACE</x:v>
      </x:c>
      <x:c r="K104" s="245" t="str">
        <x:v>Frame/state/node + action/outcome proof required</x:v>
      </x:c>
    </x:row>
    <x:row r="105" ht="60" customHeight="1">
      <x:c r="A105" s="245" t="str">
        <x:v>D3/CTRL-02</x:v>
      </x:c>
      <x:c r="B105" s="245" t="str">
        <x:v>D3</x:v>
      </x:c>
      <x:c r="C105" s="245" t="str">
        <x:v>Outcome / Grain / Window blocks</x:v>
      </x:c>
      <x:c r="D105" s="245" t="str">
        <x:v>selects fed from `definition-options`</x:v>
      </x:c>
      <x:c r="E105" s="245" t="str">
        <x:v>centre</x:v>
      </x:c>
      <x:c r="F105" s="245" t="str">
        <x:v>options loaded</x:v>
      </x:c>
      <x:c r="G105" s="245" t="str">
        <x:v>PPIQ_Chapter3_General_Technical_Function_Description_v4.10.3.md §D3</x:v>
      </x:c>
      <x:c r="H105" s="245" t="str">
        <x:v>M2 + M3</x:v>
      </x:c>
      <x:c r="I105" s="245" t="str">
        <x:v>T-265; T-267</x:v>
      </x:c>
      <x:c r="J105" s="245" t="str">
        <x:v>PENDING SEMANTIC TRACE</x:v>
      </x:c>
      <x:c r="K105" s="245" t="str">
        <x:v>Frame/state/node + action/outcome proof required</x:v>
      </x:c>
    </x:row>
    <x:row r="106" ht="60" customHeight="1">
      <x:c r="A106" s="245" t="str">
        <x:v>D3/CTRL-03</x:v>
      </x:c>
      <x:c r="B106" s="245" t="str">
        <x:v>D3</x:v>
      </x:c>
      <x:c r="C106" s="245" t="str">
        <x:v>Method</x:v>
      </x:c>
      <x:c r="D106" s="245" t="str">
        <x:v>`StandardSelect` from the method registry</x:v>
      </x:c>
      <x:c r="E106" s="245" t="str">
        <x:v>centre</x:v>
      </x:c>
      <x:c r="F106" s="245" t="str">
        <x:v>outcome and grain chosen</x:v>
      </x:c>
      <x:c r="G106" s="245" t="str">
        <x:v>PPIQ_Chapter3_General_Technical_Function_Description_v4.10.3.md §D3</x:v>
      </x:c>
      <x:c r="H106" s="245" t="str">
        <x:v>M2 + M3</x:v>
      </x:c>
      <x:c r="I106" s="245" t="str">
        <x:v>T-265; T-267</x:v>
      </x:c>
      <x:c r="J106" s="245" t="str">
        <x:v>PENDING SEMANTIC TRACE</x:v>
      </x:c>
      <x:c r="K106" s="245" t="str">
        <x:v>Frame/state/node + action/outcome proof required</x:v>
      </x:c>
    </x:row>
    <x:row r="107" ht="60" customHeight="1">
      <x:c r="A107" s="245" t="str">
        <x:v>D3/CTRL-04</x:v>
      </x:c>
      <x:c r="B107" s="245" t="str">
        <x:v>D3</x:v>
      </x:c>
      <x:c r="C107" s="245" t="str">
        <x:v>Population filters</x:v>
      </x:c>
      <x:c r="D107" s="245" t="str">
        <x:v>filter rows</x:v>
      </x:c>
      <x:c r="E107" s="245" t="str">
        <x:v>centre</x:v>
      </x:c>
      <x:c r="F107" s="245" t="str">
        <x:v>always</x:v>
      </x:c>
      <x:c r="G107" s="245" t="str">
        <x:v>PPIQ_Chapter3_General_Technical_Function_Description_v4.10.3.md §D3</x:v>
      </x:c>
      <x:c r="H107" s="245" t="str">
        <x:v>M2 + M3</x:v>
      </x:c>
      <x:c r="I107" s="245" t="str">
        <x:v>T-265; T-267</x:v>
      </x:c>
      <x:c r="J107" s="245" t="str">
        <x:v>PENDING SEMANTIC TRACE</x:v>
      </x:c>
      <x:c r="K107" s="245" t="str">
        <x:v>Frame/state/node + action/outcome proof required</x:v>
      </x:c>
    </x:row>
    <x:row r="108" ht="60" customHeight="1">
      <x:c r="A108" s="245" t="str">
        <x:v>D3/CTRL-05</x:v>
      </x:c>
      <x:c r="B108" s="245" t="str">
        <x:v>D3</x:v>
      </x:c>
      <x:c r="C108" s="245" t="str">
        <x:v>Parity line</x:v>
      </x:c>
      <x:c r="D108" s="245" t="str">
        <x:v>badge</x:v>
      </x:c>
      <x:c r="E108" s="245" t="str">
        <x:v>payload panel</x:v>
      </x:c>
      <x:c r="F108" s="245" t="str">
        <x:v>payload built</x:v>
      </x:c>
      <x:c r="G108" s="245" t="str">
        <x:v>PPIQ_Chapter3_General_Technical_Function_Description_v4.10.3.md §D3</x:v>
      </x:c>
      <x:c r="H108" s="245" t="str">
        <x:v>M2 + M3</x:v>
      </x:c>
      <x:c r="I108" s="245" t="str">
        <x:v>T-265; T-267</x:v>
      </x:c>
      <x:c r="J108" s="245" t="str">
        <x:v>PENDING SEMANTIC TRACE</x:v>
      </x:c>
      <x:c r="K108" s="245" t="str">
        <x:v>Frame/state/node + action/outcome proof required</x:v>
      </x:c>
    </x:row>
    <x:row r="109" ht="60" customHeight="1">
      <x:c r="A109" s="245" t="str">
        <x:v>D3/CTRL-06</x:v>
      </x:c>
      <x:c r="B109" s="245" t="str">
        <x:v>D3</x:v>
      </x:c>
      <x:c r="C109" s="245" t="str">
        <x:v>Check readiness</x:v>
      </x:c>
      <x:c r="D109" s="245" t="str">
        <x:v>secondary</x:v>
      </x:c>
      <x:c r="E109" s="245" t="str">
        <x:v>readiness panel</x:v>
      </x:c>
      <x:c r="F109" s="245" t="str">
        <x:v>outcome, grain, window chosen</x:v>
      </x:c>
      <x:c r="G109" s="245" t="str">
        <x:v>PPIQ_Chapter3_General_Technical_Function_Description_v4.10.3.md §D3</x:v>
      </x:c>
      <x:c r="H109" s="245" t="str">
        <x:v>M2 + M3</x:v>
      </x:c>
      <x:c r="I109" s="245" t="str">
        <x:v>T-265; T-267</x:v>
      </x:c>
      <x:c r="J109" s="245" t="str">
        <x:v>PENDING SEMANTIC TRACE</x:v>
      </x:c>
      <x:c r="K109" s="245" t="str">
        <x:v>Frame/state/node + action/outcome proof required</x:v>
      </x:c>
    </x:row>
    <x:row r="110" ht="60" customHeight="1">
      <x:c r="A110" s="245" t="str">
        <x:v>D3/CTRL-07</x:v>
      </x:c>
      <x:c r="B110" s="245" t="str">
        <x:v>D3</x:v>
      </x:c>
      <x:c r="C110" s="245" t="str">
        <x:v>Run governed analysis</x:v>
      </x:c>
      <x:c r="D110" s="245" t="str">
        <x:v>primary</x:v>
      </x:c>
      <x:c r="E110" s="245" t="str">
        <x:v>footer inline-end</x:v>
      </x:c>
      <x:c r="F110" s="245" t="str">
        <x:v>definition valid</x:v>
      </x:c>
      <x:c r="G110" s="245" t="str">
        <x:v>PPIQ_Chapter3_General_Technical_Function_Description_v4.10.3.md §D3</x:v>
      </x:c>
      <x:c r="H110" s="245" t="str">
        <x:v>M2 + M3</x:v>
      </x:c>
      <x:c r="I110" s="245" t="str">
        <x:v>T-265; T-267</x:v>
      </x:c>
      <x:c r="J110" s="245" t="str">
        <x:v>PENDING SEMANTIC TRACE</x:v>
      </x:c>
      <x:c r="K110" s="245" t="str">
        <x:v>Frame/state/node + action/outcome proof required</x:v>
      </x:c>
    </x:row>
    <x:row r="111" ht="60" customHeight="1">
      <x:c r="A111" s="245" t="str">
        <x:v>D3/CTRL-08</x:v>
      </x:c>
      <x:c r="B111" s="245" t="str">
        <x:v>D3</x:v>
      </x:c>
      <x:c r="C111" s="245" t="str">
        <x:v>Save definition</x:v>
      </x:c>
      <x:c r="D111" s="245" t="str">
        <x:v>primary</x:v>
      </x:c>
      <x:c r="E111" s="245" t="str">
        <x:v>footer</x:v>
      </x:c>
      <x:c r="F111" s="245" t="str">
        <x:v>definition valid</x:v>
      </x:c>
      <x:c r="G111" s="245" t="str">
        <x:v>PPIQ_Chapter3_General_Technical_Function_Description_v4.10.3.md §D3</x:v>
      </x:c>
      <x:c r="H111" s="245" t="str">
        <x:v>M2 + M3</x:v>
      </x:c>
      <x:c r="I111" s="245" t="str">
        <x:v>T-265; T-267</x:v>
      </x:c>
      <x:c r="J111" s="245" t="str">
        <x:v>PENDING SEMANTIC TRACE</x:v>
      </x:c>
      <x:c r="K111" s="245" t="str">
        <x:v>Frame/state/node + action/outcome proof required</x:v>
      </x:c>
    </x:row>
    <x:row r="112" ht="60" customHeight="1">
      <x:c r="A112" s="245" t="str">
        <x:v>D4/CTRL-01</x:v>
      </x:c>
      <x:c r="B112" s="245" t="str">
        <x:v>D4</x:v>
      </x:c>
      <x:c r="C112" s="245" t="str">
        <x:v>Outcome / Window / Method / Significance filters</x:v>
      </x:c>
      <x:c r="D112" s="245" t="str">
        <x:v>`StandardSelect`</x:v>
      </x:c>
      <x:c r="E112" s="245" t="str">
        <x:v>filter bar</x:v>
      </x:c>
      <x:c r="F112" s="245" t="str">
        <x:v>always</x:v>
      </x:c>
      <x:c r="G112" s="245" t="str">
        <x:v>PPIQ_Chapter3_General_Technical_Function_Description_v4.10.3.md §D4</x:v>
      </x:c>
      <x:c r="H112" s="245" t="str">
        <x:v>M2 + M3</x:v>
      </x:c>
      <x:c r="I112" s="245" t="str">
        <x:v>T-265; T-267</x:v>
      </x:c>
      <x:c r="J112" s="245" t="str">
        <x:v>PENDING SEMANTIC TRACE</x:v>
      </x:c>
      <x:c r="K112" s="245" t="str">
        <x:v>Frame/state/node + action/outcome proof required</x:v>
      </x:c>
    </x:row>
    <x:row r="113" ht="60" customHeight="1">
      <x:c r="A113" s="245" t="str">
        <x:v>D4/CTRL-02</x:v>
      </x:c>
      <x:c r="B113" s="245" t="str">
        <x:v>D4</x:v>
      </x:c>
      <x:c r="C113" s="245" t="str">
        <x:v>Sortable column headers</x:v>
      </x:c>
      <x:c r="D113" s="245" t="str">
        <x:v>`SortableDataTable`</x:v>
      </x:c>
      <x:c r="E113" s="245" t="str">
        <x:v>table head</x:v>
      </x:c>
      <x:c r="F113" s="245" t="str">
        <x:v>always</x:v>
      </x:c>
      <x:c r="G113" s="245" t="str">
        <x:v>PPIQ_Chapter3_General_Technical_Function_Description_v4.10.3.md §D4</x:v>
      </x:c>
      <x:c r="H113" s="245" t="str">
        <x:v>M2 + M3</x:v>
      </x:c>
      <x:c r="I113" s="245" t="str">
        <x:v>T-265; T-267</x:v>
      </x:c>
      <x:c r="J113" s="245" t="str">
        <x:v>PENDING SEMANTIC TRACE</x:v>
      </x:c>
      <x:c r="K113" s="245" t="str">
        <x:v>Frame/state/node + action/outcome proof required</x:v>
      </x:c>
    </x:row>
    <x:row r="114" ht="60" customHeight="1">
      <x:c r="A114" s="245" t="str">
        <x:v>D4/CTRL-03</x:v>
      </x:c>
      <x:c r="B114" s="245" t="str">
        <x:v>D4</x:v>
      </x:c>
      <x:c r="C114" s="245" t="str">
        <x:v>Evidence drawer</x:v>
      </x:c>
      <x:c r="D114" s="245" t="str">
        <x:v>drawer</x:v>
      </x:c>
      <x:c r="E114" s="245" t="str">
        <x:v>inline-end on row click</x:v>
      </x:c>
      <x:c r="F114" s="245" t="str">
        <x:v>row selected</x:v>
      </x:c>
      <x:c r="G114" s="245" t="str">
        <x:v>PPIQ_Chapter3_General_Technical_Function_Description_v4.10.3.md §D4</x:v>
      </x:c>
      <x:c r="H114" s="245" t="str">
        <x:v>M2 + M3</x:v>
      </x:c>
      <x:c r="I114" s="245" t="str">
        <x:v>T-265; T-267</x:v>
      </x:c>
      <x:c r="J114" s="245" t="str">
        <x:v>PENDING SEMANTIC TRACE</x:v>
      </x:c>
      <x:c r="K114" s="245" t="str">
        <x:v>Frame/state/node + action/outcome proof required</x:v>
      </x:c>
    </x:row>
    <x:row r="115" ht="60" customHeight="1">
      <x:c r="A115" s="245" t="str">
        <x:v>D4/CTRL-04</x:v>
      </x:c>
      <x:c r="B115" s="245" t="str">
        <x:v>D4</x:v>
      </x:c>
      <x:c r="C115" s="245" t="str">
        <x:v>Drill to population</x:v>
      </x:c>
      <x:c r="D115" s="245" t="str">
        <x:v>link</x:v>
      </x:c>
      <x:c r="E115" s="245" t="str">
        <x:v>drawer</x:v>
      </x:c>
      <x:c r="F115" s="245" t="str">
        <x:v>population recorded</x:v>
      </x:c>
      <x:c r="G115" s="245" t="str">
        <x:v>PPIQ_Chapter3_General_Technical_Function_Description_v4.10.3.md §D4</x:v>
      </x:c>
      <x:c r="H115" s="245" t="str">
        <x:v>M2 + M3</x:v>
      </x:c>
      <x:c r="I115" s="245" t="str">
        <x:v>T-265; T-267</x:v>
      </x:c>
      <x:c r="J115" s="245" t="str">
        <x:v>PENDING SEMANTIC TRACE</x:v>
      </x:c>
      <x:c r="K115" s="245" t="str">
        <x:v>Frame/state/node + action/outcome proof required</x:v>
      </x:c>
    </x:row>
    <x:row r="116" ht="60" customHeight="1">
      <x:c r="A116" s="245" t="str">
        <x:v>D4/CTRL-05</x:v>
      </x:c>
      <x:c r="B116" s="245" t="str">
        <x:v>D4</x:v>
      </x:c>
      <x:c r="C116" s="245" t="str">
        <x:v>Export</x:v>
      </x:c>
      <x:c r="D116" s="245" t="str">
        <x:v>secondary</x:v>
      </x:c>
      <x:c r="E116" s="245" t="str">
        <x:v>header inline-end</x:v>
      </x:c>
      <x:c r="F116" s="245" t="str">
        <x:v>rows present</x:v>
      </x:c>
      <x:c r="G116" s="245" t="str">
        <x:v>PPIQ_Chapter3_General_Technical_Function_Description_v4.10.3.md §D4</x:v>
      </x:c>
      <x:c r="H116" s="245" t="str">
        <x:v>M2 + M3</x:v>
      </x:c>
      <x:c r="I116" s="245" t="str">
        <x:v>T-265; T-267</x:v>
      </x:c>
      <x:c r="J116" s="245" t="str">
        <x:v>PENDING SEMANTIC TRACE</x:v>
      </x:c>
      <x:c r="K116" s="245" t="str">
        <x:v>Frame/state/node + action/outcome proof required</x:v>
      </x:c>
    </x:row>
    <x:row r="117" ht="60" customHeight="1">
      <x:c r="A117" s="245" t="str">
        <x:v>D4/CTRL-06</x:v>
      </x:c>
      <x:c r="B117" s="245" t="str">
        <x:v>D4</x:v>
      </x:c>
      <x:c r="C117" s="245" t="str">
        <x:v>Add to page</x:v>
      </x:c>
      <x:c r="D117" s="245" t="str">
        <x:v>secondary</x:v>
      </x:c>
      <x:c r="E117" s="245" t="str">
        <x:v>drawer footer</x:v>
      </x:c>
      <x:c r="F117" s="245" t="str">
        <x:v>authoring permission</x:v>
      </x:c>
      <x:c r="G117" s="245" t="str">
        <x:v>PPIQ_Chapter3_General_Technical_Function_Description_v4.10.3.md §D4</x:v>
      </x:c>
      <x:c r="H117" s="245" t="str">
        <x:v>M2 + M3</x:v>
      </x:c>
      <x:c r="I117" s="245" t="str">
        <x:v>T-265; T-267</x:v>
      </x:c>
      <x:c r="J117" s="245" t="str">
        <x:v>PENDING SEMANTIC TRACE</x:v>
      </x:c>
      <x:c r="K117" s="245" t="str">
        <x:v>Frame/state/node + action/outcome proof required</x:v>
      </x:c>
    </x:row>
    <x:row r="118" ht="60" customHeight="1">
      <x:c r="A118" s="245" t="str">
        <x:v>D5/CTRL-PROSE</x:v>
      </x:c>
      <x:c r="B118" s="245" t="str">
        <x:v>D5</x:v>
      </x:c>
      <x:c r="C118" s="245" t="str">
        <x:v>Horizon select; risk-class filter; Recalculate (secondary); Open in Genealogy (link); Export.</x:v>
      </x:c>
      <x:c r="D118" s="245" t="str">
        <x:v>Source prose</x:v>
      </x:c>
      <x:c r="E118" s="245" t="str">
        <x:v>See source</x:v>
      </x:c>
      <x:c r="F118" s="245" t="str">
        <x:v>See source</x:v>
      </x:c>
      <x:c r="G118" s="245" t="str">
        <x:v>PPIQ_Chapter3_General_Technical_Function_Description_v4.10.3.md §D5</x:v>
      </x:c>
      <x:c r="H118" s="245" t="str">
        <x:v>M2 + M3</x:v>
      </x:c>
      <x:c r="I118" s="245" t="str">
        <x:v>T-265; T-267</x:v>
      </x:c>
      <x:c r="J118" s="245" t="str">
        <x:v>PENDING DECOMPOSITION</x:v>
      </x:c>
      <x:c r="K118" s="245" t="str">
        <x:v>Split prose obligations into controls; do not count zero controls.</x:v>
      </x:c>
    </x:row>
    <x:row r="119" ht="60" customHeight="1">
      <x:c r="A119" s="245" t="str">
        <x:v>D6/CTRL-PROSE</x:v>
      </x:c>
      <x:c r="B119" s="245" t="str">
        <x:v>D6</x:v>
      </x:c>
      <x:c r="C119" s="245" t="str">
        <x:v>Generate suggestions (primary); Accept / Reject / Defer (per card, Accept primary, Reject Hot Red); Comment (`StandardTextArea`); Open the evidence (link per reference).</x:v>
      </x:c>
      <x:c r="D119" s="245" t="str">
        <x:v>Source prose</x:v>
      </x:c>
      <x:c r="E119" s="245" t="str">
        <x:v>See source</x:v>
      </x:c>
      <x:c r="F119" s="245" t="str">
        <x:v>See source</x:v>
      </x:c>
      <x:c r="G119" s="245" t="str">
        <x:v>PPIQ_Chapter3_General_Technical_Function_Description_v4.10.3.md §D6</x:v>
      </x:c>
      <x:c r="H119" s="245" t="str">
        <x:v>M2 + M3</x:v>
      </x:c>
      <x:c r="I119" s="245" t="str">
        <x:v>T-265; T-267</x:v>
      </x:c>
      <x:c r="J119" s="245" t="str">
        <x:v>PENDING DECOMPOSITION</x:v>
      </x:c>
      <x:c r="K119" s="245" t="str">
        <x:v>Split prose obligations into controls; do not count zero controls.</x:v>
      </x:c>
    </x:row>
    <x:row r="120" ht="60" customHeight="1">
      <x:c r="A120" s="245" t="str">
        <x:v>D7/CTRL-PROSE</x:v>
      </x:c>
      <x:c r="B120" s="245" t="str">
        <x:v>D7</x:v>
      </x:c>
      <x:c r="C120" s="245" t="str">
        <x:v>Period select; Edit cost assumptions (secondary, Administrator only); Drill to rows (link per input); Compare scenario (secondary); Export monthly report (primary).</x:v>
      </x:c>
      <x:c r="D120" s="245" t="str">
        <x:v>Source prose</x:v>
      </x:c>
      <x:c r="E120" s="245" t="str">
        <x:v>See source</x:v>
      </x:c>
      <x:c r="F120" s="245" t="str">
        <x:v>See source</x:v>
      </x:c>
      <x:c r="G120" s="245" t="str">
        <x:v>PPIQ_Chapter3_General_Technical_Function_Description_v4.10.3.md §D7</x:v>
      </x:c>
      <x:c r="H120" s="245" t="str">
        <x:v>M2 + M3</x:v>
      </x:c>
      <x:c r="I120" s="245" t="str">
        <x:v>T-265; T-267</x:v>
      </x:c>
      <x:c r="J120" s="245" t="str">
        <x:v>PENDING DECOMPOSITION</x:v>
      </x:c>
      <x:c r="K120" s="245" t="str">
        <x:v>Split prose obligations into controls; do not count zero controls.</x:v>
      </x:c>
    </x:row>
    <x:row r="121" ht="60" customHeight="1">
      <x:c r="A121" s="245" t="str">
        <x:v>D8/CTRL-01</x:v>
      </x:c>
      <x:c r="B121" s="245" t="str">
        <x:v>D8</x:v>
      </x:c>
      <x:c r="C121" s="245" t="str">
        <x:v>Outcome and grain select</x:v>
      </x:c>
      <x:c r="D121" s="245" t="str">
        <x:v>`StandardSelect`</x:v>
      </x:c>
      <x:c r="E121" s="245" t="str">
        <x:v>header</x:v>
      </x:c>
      <x:c r="F121" s="245" t="str">
        <x:v>registered values exist</x:v>
      </x:c>
      <x:c r="G121" s="245" t="str">
        <x:v>PPIQ_Chapter3_General_Technical_Function_Description_v4.10.3.md §D8</x:v>
      </x:c>
      <x:c r="H121" s="245" t="str">
        <x:v>M2 + M3</x:v>
      </x:c>
      <x:c r="I121" s="245" t="str">
        <x:v>T-265; T-267</x:v>
      </x:c>
      <x:c r="J121" s="245" t="str">
        <x:v>PENDING SEMANTIC TRACE</x:v>
      </x:c>
      <x:c r="K121" s="245" t="str">
        <x:v>Frame/state/node + action/outcome proof required</x:v>
      </x:c>
    </x:row>
    <x:row r="122" ht="60" customHeight="1">
      <x:c r="A122" s="245" t="str">
        <x:v>D8/CTRL-02</x:v>
      </x:c>
      <x:c r="B122" s="245" t="str">
        <x:v>D8</x:v>
      </x:c>
      <x:c r="C122" s="245" t="str">
        <x:v>Readiness cell</x:v>
      </x:c>
      <x:c r="D122" s="245" t="str">
        <x:v>selectable, measured value against threshold</x:v>
      </x:c>
      <x:c r="E122" s="245" t="str">
        <x:v>matrix</x:v>
      </x:c>
      <x:c r="F122" s="245" t="str">
        <x:v>always</x:v>
      </x:c>
      <x:c r="G122" s="245" t="str">
        <x:v>PPIQ_Chapter3_General_Technical_Function_Description_v4.10.3.md §D8</x:v>
      </x:c>
      <x:c r="H122" s="245" t="str">
        <x:v>M2 + M3</x:v>
      </x:c>
      <x:c r="I122" s="245" t="str">
        <x:v>T-265; T-267</x:v>
      </x:c>
      <x:c r="J122" s="245" t="str">
        <x:v>PENDING SEMANTIC TRACE</x:v>
      </x:c>
      <x:c r="K122" s="245" t="str">
        <x:v>Frame/state/node + action/outcome proof required</x:v>
      </x:c>
    </x:row>
    <x:row r="123" ht="60" customHeight="1">
      <x:c r="A123" s="245" t="str">
        <x:v>D8/CTRL-03</x:v>
      </x:c>
      <x:c r="B123" s="245" t="str">
        <x:v>D8</x:v>
      </x:c>
      <x:c r="C123" s="245" t="str">
        <x:v>Ensure jobs</x:v>
      </x:c>
      <x:c r="D123" s="245" t="str">
        <x:v>secondary</x:v>
      </x:c>
      <x:c r="E123" s="245" t="str">
        <x:v>header inline-end</x:v>
      </x:c>
      <x:c r="F123" s="245" t="str">
        <x:v>Data Engineer</x:v>
      </x:c>
      <x:c r="G123" s="245" t="str">
        <x:v>PPIQ_Chapter3_General_Technical_Function_Description_v4.10.3.md §D8</x:v>
      </x:c>
      <x:c r="H123" s="245" t="str">
        <x:v>M2 + M3</x:v>
      </x:c>
      <x:c r="I123" s="245" t="str">
        <x:v>T-265; T-267</x:v>
      </x:c>
      <x:c r="J123" s="245" t="str">
        <x:v>PENDING SEMANTIC TRACE</x:v>
      </x:c>
      <x:c r="K123" s="245" t="str">
        <x:v>Frame/state/node + action/outcome proof required</x:v>
      </x:c>
    </x:row>
    <x:row r="124" ht="60" customHeight="1">
      <x:c r="A124" s="245" t="str">
        <x:v>D8/CTRL-04</x:v>
      </x:c>
      <x:c r="B124" s="245" t="str">
        <x:v>D8</x:v>
      </x:c>
      <x:c r="C124" s="245" t="str">
        <x:v>Train</x:v>
      </x:c>
      <x:c r="D124" s="245" t="str">
        <x:v>primary</x:v>
      </x:c>
      <x:c r="E124" s="245" t="str">
        <x:v>model row</x:v>
      </x:c>
      <x:c r="F124" s="245" t="str">
        <x:v>a snapshot exists</x:v>
      </x:c>
      <x:c r="G124" s="245" t="str">
        <x:v>PPIQ_Chapter3_General_Technical_Function_Description_v4.10.3.md §D8</x:v>
      </x:c>
      <x:c r="H124" s="245" t="str">
        <x:v>M2 + M3</x:v>
      </x:c>
      <x:c r="I124" s="245" t="str">
        <x:v>T-265; T-267</x:v>
      </x:c>
      <x:c r="J124" s="245" t="str">
        <x:v>PENDING SEMANTIC TRACE</x:v>
      </x:c>
      <x:c r="K124" s="245" t="str">
        <x:v>Frame/state/node + action/outcome proof required</x:v>
      </x:c>
    </x:row>
    <x:row r="125" ht="60" customHeight="1">
      <x:c r="A125" s="245" t="str">
        <x:v>D8/CTRL-05</x:v>
      </x:c>
      <x:c r="B125" s="245" t="str">
        <x:v>D8</x:v>
      </x:c>
      <x:c r="C125" s="245" t="str">
        <x:v>**Activate**</x:v>
      </x:c>
      <x:c r="D125" s="245" t="str">
        <x:v>primary, confirmed</x:v>
      </x:c>
      <x:c r="E125" s="245" t="str">
        <x:v>model row</x:v>
      </x:c>
      <x:c r="F125" s="245" t="str">
        <x:v>acceptance floor met and schema-compatible</x:v>
      </x:c>
      <x:c r="G125" s="245" t="str">
        <x:v>PPIQ_Chapter3_General_Technical_Function_Description_v4.10.3.md §D8</x:v>
      </x:c>
      <x:c r="H125" s="245" t="str">
        <x:v>M2 + M3</x:v>
      </x:c>
      <x:c r="I125" s="245" t="str">
        <x:v>T-265; T-267</x:v>
      </x:c>
      <x:c r="J125" s="245" t="str">
        <x:v>PENDING SEMANTIC TRACE</x:v>
      </x:c>
      <x:c r="K125" s="245" t="str">
        <x:v>Frame/state/node + action/outcome proof required</x:v>
      </x:c>
    </x:row>
    <x:row r="126" ht="60" customHeight="1">
      <x:c r="A126" s="245" t="str">
        <x:v>D8/CTRL-06</x:v>
      </x:c>
      <x:c r="B126" s="245" t="str">
        <x:v>D8</x:v>
      </x:c>
      <x:c r="C126" s="245" t="str">
        <x:v>Retire model</x:v>
      </x:c>
      <x:c r="D126" s="245" t="str">
        <x:v>destructive, confirmed</x:v>
      </x:c>
      <x:c r="E126" s="245" t="str">
        <x:v>model row</x:v>
      </x:c>
      <x:c r="F126" s="245" t="str">
        <x:v>not the only serving version</x:v>
      </x:c>
      <x:c r="G126" s="245" t="str">
        <x:v>PPIQ_Chapter3_General_Technical_Function_Description_v4.10.3.md §D8</x:v>
      </x:c>
      <x:c r="H126" s="245" t="str">
        <x:v>M2 + M3</x:v>
      </x:c>
      <x:c r="I126" s="245" t="str">
        <x:v>T-265; T-267</x:v>
      </x:c>
      <x:c r="J126" s="245" t="str">
        <x:v>PENDING SEMANTIC TRACE</x:v>
      </x:c>
      <x:c r="K126" s="245" t="str">
        <x:v>Frame/state/node + action/outcome proof required</x:v>
      </x:c>
    </x:row>
    <x:row r="127" ht="60" customHeight="1">
      <x:c r="A127" s="245" t="str">
        <x:v>D8/CTRL-07</x:v>
      </x:c>
      <x:c r="B127" s="245" t="str">
        <x:v>D8</x:v>
      </x:c>
      <x:c r="C127" s="245" t="str">
        <x:v>**Serving-role column**</x:v>
      </x:c>
      <x:c r="D127" s="245" t="str">
        <x:v>badge: **Active**, **Fallback** or **None**</x:v>
      </x:c>
      <x:c r="E127" s="245" t="str">
        <x:v>model table</x:v>
      </x:c>
      <x:c r="F127" s="245" t="str">
        <x:v>always</x:v>
      </x:c>
      <x:c r="G127" s="245" t="str">
        <x:v>PPIQ_Chapter3_General_Technical_Function_Description_v4.10.3.md §D8</x:v>
      </x:c>
      <x:c r="H127" s="245" t="str">
        <x:v>M2 + M3</x:v>
      </x:c>
      <x:c r="I127" s="245" t="str">
        <x:v>T-265; T-267</x:v>
      </x:c>
      <x:c r="J127" s="245" t="str">
        <x:v>PENDING SEMANTIC TRACE</x:v>
      </x:c>
      <x:c r="K127" s="245" t="str">
        <x:v>Frame/state/node + action/outcome proof required</x:v>
      </x:c>
    </x:row>
    <x:row r="128" ht="60" customHeight="1">
      <x:c r="A128" s="245" t="str">
        <x:v>D8/CTRL-08</x:v>
      </x:c>
      <x:c r="B128" s="245" t="str">
        <x:v>D8</x:v>
      </x:c>
      <x:c r="C128" s="245" t="str">
        <x:v>**Approve as fallback**</x:v>
      </x:c>
      <x:c r="D128" s="245" t="str">
        <x:v>secondary, **confirmed, justification required**</x:v>
      </x:c>
      <x:c r="E128" s="245" t="str">
        <x:v>model row</x:v>
      </x:c>
      <x:c r="F128" s="245" t="str">
        <x:v>all six fallback conditions currently pass</x:v>
      </x:c>
      <x:c r="G128" s="245" t="str">
        <x:v>PPIQ_Chapter3_General_Technical_Function_Description_v4.10.3.md §D8</x:v>
      </x:c>
      <x:c r="H128" s="245" t="str">
        <x:v>M2 + M3</x:v>
      </x:c>
      <x:c r="I128" s="245" t="str">
        <x:v>T-265; T-267</x:v>
      </x:c>
      <x:c r="J128" s="245" t="str">
        <x:v>PENDING SEMANTIC TRACE</x:v>
      </x:c>
      <x:c r="K128" s="245" t="str">
        <x:v>Frame/state/node + action/outcome proof required</x:v>
      </x:c>
    </x:row>
    <x:row r="129" ht="60" customHeight="1">
      <x:c r="A129" s="245" t="str">
        <x:v>D8/CTRL-09</x:v>
      </x:c>
      <x:c r="B129" s="245" t="str">
        <x:v>D8</x:v>
      </x:c>
      <x:c r="C129" s="245" t="str">
        <x:v>**Remove fallback approval**</x:v>
      </x:c>
      <x:c r="D129" s="245" t="str">
        <x:v>destructive, confirmed</x:v>
      </x:c>
      <x:c r="E129" s="245" t="str">
        <x:v>model row</x:v>
      </x:c>
      <x:c r="F129" s="245" t="str">
        <x:v>`serving_role = 'serving_fallback'`</x:v>
      </x:c>
      <x:c r="G129" s="245" t="str">
        <x:v>PPIQ_Chapter3_General_Technical_Function_Description_v4.10.3.md §D8</x:v>
      </x:c>
      <x:c r="H129" s="245" t="str">
        <x:v>M2 + M3</x:v>
      </x:c>
      <x:c r="I129" s="245" t="str">
        <x:v>T-265; T-267</x:v>
      </x:c>
      <x:c r="J129" s="245" t="str">
        <x:v>PENDING SEMANTIC TRACE</x:v>
      </x:c>
      <x:c r="K129" s="245" t="str">
        <x:v>Frame/state/node + action/outcome proof required</x:v>
      </x:c>
    </x:row>
    <x:row r="130" ht="60" customHeight="1">
      <x:c r="A130" s="245" t="str">
        <x:v>D8/CTRL-10</x:v>
      </x:c>
      <x:c r="B130" s="245" t="str">
        <x:v>D8</x:v>
      </x:c>
      <x:c r="C130" s="245" t="str">
        <x:v>**Fallback readiness panel**</x:v>
      </x:c>
      <x:c r="D130" s="245" t="str">
        <x:v>per condition: approved, lifecycle status, schema compatibility, drift and validity, outcome and grain match, acceptance floor - each pass or fail with its measured basis</x:v>
      </x:c>
      <x:c r="E130" s="245" t="str">
        <x:v>inline-end when a model is selected</x:v>
      </x:c>
      <x:c r="F130" s="245" t="str">
        <x:v>always</x:v>
      </x:c>
      <x:c r="G130" s="245" t="str">
        <x:v>PPIQ_Chapter3_General_Technical_Function_Description_v4.10.3.md §D8</x:v>
      </x:c>
      <x:c r="H130" s="245" t="str">
        <x:v>M2 + M3</x:v>
      </x:c>
      <x:c r="I130" s="245" t="str">
        <x:v>T-265; T-267</x:v>
      </x:c>
      <x:c r="J130" s="245" t="str">
        <x:v>PENDING SEMANTIC TRACE</x:v>
      </x:c>
      <x:c r="K130" s="245" t="str">
        <x:v>Frame/state/node + action/outcome proof required</x:v>
      </x:c>
    </x:row>
    <x:row r="131" ht="60" customHeight="1">
      <x:c r="A131" s="245" t="str">
        <x:v>D8/CTRL-11</x:v>
      </x:c>
      <x:c r="B131" s="245" t="str">
        <x:v>D8</x:v>
      </x:c>
      <x:c r="C131" s="245" t="str">
        <x:v>**Current fallback summary**</x:v>
      </x:c>
      <x:c r="D131" s="245" t="str">
        <x:v>the approved fallback version per outcome and grain, its justification, who approved it and when, its validity window</x:v>
      </x:c>
      <x:c r="E131" s="245" t="str">
        <x:v>header block</x:v>
      </x:c>
      <x:c r="F131" s="245" t="str">
        <x:v>a fallback is approved</x:v>
      </x:c>
      <x:c r="G131" s="245" t="str">
        <x:v>PPIQ_Chapter3_General_Technical_Function_Description_v4.10.3.md §D8</x:v>
      </x:c>
      <x:c r="H131" s="245" t="str">
        <x:v>M2 + M3</x:v>
      </x:c>
      <x:c r="I131" s="245" t="str">
        <x:v>T-265; T-267</x:v>
      </x:c>
      <x:c r="J131" s="245" t="str">
        <x:v>PENDING SEMANTIC TRACE</x:v>
      </x:c>
      <x:c r="K131" s="245" t="str">
        <x:v>Frame/state/node + action/outcome proof required</x:v>
      </x:c>
    </x:row>
    <x:row r="132" ht="60" customHeight="1">
      <x:c r="A132" s="245" t="str">
        <x:v>D8/CTRL-12</x:v>
      </x:c>
      <x:c r="B132" s="245" t="str">
        <x:v>D8</x:v>
      </x:c>
      <x:c r="C132" s="245" t="str">
        <x:v>**Latency and deadline health**</x:v>
      </x:c>
      <x:c r="D132" s="245" t="str">
        <x:v>miss rate, median and p95 delivery latency, current scoring mode, per outcome and route</x:v>
      </x:c>
      <x:c r="E132" s="245" t="str">
        <x:v>block-end</x:v>
      </x:c>
      <x:c r="F132" s="245" t="str">
        <x:v>predictions exist</x:v>
      </x:c>
      <x:c r="G132" s="245" t="str">
        <x:v>PPIQ_Chapter3_General_Technical_Function_Description_v4.10.3.md §D8</x:v>
      </x:c>
      <x:c r="H132" s="245" t="str">
        <x:v>M2 + M3</x:v>
      </x:c>
      <x:c r="I132" s="245" t="str">
        <x:v>T-265; T-267</x:v>
      </x:c>
      <x:c r="J132" s="245" t="str">
        <x:v>PENDING SEMANTIC TRACE</x:v>
      </x:c>
      <x:c r="K132" s="245" t="str">
        <x:v>Frame/state/node + action/outcome proof required</x:v>
      </x:c>
    </x:row>
    <x:row r="133" ht="60" customHeight="1">
      <x:c r="A133" s="245" t="str">
        <x:v>D8/CTRL-13</x:v>
      </x:c>
      <x:c r="B133" s="245" t="str">
        <x:v>D8</x:v>
      </x:c>
      <x:c r="C133" s="245" t="str">
        <x:v>Label preview refresh</x:v>
      </x:c>
      <x:c r="D133" s="245" t="str">
        <x:v>secondary</x:v>
      </x:c>
      <x:c r="E133" s="245" t="str">
        <x:v>inline-end</x:v>
      </x:c>
      <x:c r="F133" s="245" t="str">
        <x:v>outcome selected</x:v>
      </x:c>
      <x:c r="G133" s="245" t="str">
        <x:v>PPIQ_Chapter3_General_Technical_Function_Description_v4.10.3.md §D8</x:v>
      </x:c>
      <x:c r="H133" s="245" t="str">
        <x:v>M2 + M3</x:v>
      </x:c>
      <x:c r="I133" s="245" t="str">
        <x:v>T-265; T-267</x:v>
      </x:c>
      <x:c r="J133" s="245" t="str">
        <x:v>PENDING SEMANTIC TRACE</x:v>
      </x:c>
      <x:c r="K133" s="245" t="str">
        <x:v>Frame/state/node + action/outcome proof required</x:v>
      </x:c>
    </x:row>
    <x:row r="134" ht="60" customHeight="1">
      <x:c r="A134" s="245" t="str">
        <x:v>D9/CTRL-01</x:v>
      </x:c>
      <x:c r="B134" s="245" t="str">
        <x:v>D9</x:v>
      </x:c>
      <x:c r="C134" s="245" t="str">
        <x:v>Horizon</x:v>
      </x:c>
      <x:c r="D134" s="245" t="str">
        <x:v>`StandardSelect`</x:v>
      </x:c>
      <x:c r="E134" s="245" t="str">
        <x:v>header</x:v>
      </x:c>
      <x:c r="F134" s="245" t="str">
        <x:v>always</x:v>
      </x:c>
      <x:c r="G134" s="245" t="str">
        <x:v>PPIQ_Chapter3_General_Technical_Function_Description_v4.10.3.md §D9</x:v>
      </x:c>
      <x:c r="H134" s="245" t="str">
        <x:v>M3</x:v>
      </x:c>
      <x:c r="I134" s="245" t="str">
        <x:v>T-267</x:v>
      </x:c>
      <x:c r="J134" s="245" t="str">
        <x:v>PENDING SEMANTIC TRACE</x:v>
      </x:c>
      <x:c r="K134" s="245" t="str">
        <x:v>Frame/state/node + action/outcome proof required</x:v>
      </x:c>
    </x:row>
    <x:row r="135" ht="60" customHeight="1">
      <x:c r="A135" s="245" t="str">
        <x:v>D9/CTRL-02</x:v>
      </x:c>
      <x:c r="B135" s="245" t="str">
        <x:v>D9</x:v>
      </x:c>
      <x:c r="C135" s="245" t="str">
        <x:v>Outcome / risk class / stage filters</x:v>
      </x:c>
      <x:c r="D135" s="245" t="str">
        <x:v>`StandardSelect`</x:v>
      </x:c>
      <x:c r="E135" s="245" t="str">
        <x:v>header</x:v>
      </x:c>
      <x:c r="F135" s="245" t="str">
        <x:v>registered values exist</x:v>
      </x:c>
      <x:c r="G135" s="245" t="str">
        <x:v>PPIQ_Chapter3_General_Technical_Function_Description_v4.10.3.md §D9</x:v>
      </x:c>
      <x:c r="H135" s="245" t="str">
        <x:v>M3</x:v>
      </x:c>
      <x:c r="I135" s="245" t="str">
        <x:v>T-267</x:v>
      </x:c>
      <x:c r="J135" s="245" t="str">
        <x:v>PENDING SEMANTIC TRACE</x:v>
      </x:c>
      <x:c r="K135" s="245" t="str">
        <x:v>Frame/state/node + action/outcome proof required</x:v>
      </x:c>
    </x:row>
    <x:row r="136" ht="60" customHeight="1">
      <x:c r="A136" s="245" t="str">
        <x:v>D9/CTRL-03</x:v>
      </x:c>
      <x:c r="B136" s="245" t="str">
        <x:v>D9</x:v>
      </x:c>
      <x:c r="C136" s="245" t="str">
        <x:v>**Scoring-mode badge**</x:v>
      </x:c>
      <x:c r="D136" s="245" t="str">
        <x:v>badge with text: Event, Micro-batch or Scheduled</x:v>
      </x:c>
      <x:c r="E136" s="245" t="str">
        <x:v>header inline-end</x:v>
      </x:c>
      <x:c r="F136" s="245" t="str">
        <x:v>always</x:v>
      </x:c>
      <x:c r="G136" s="245" t="str">
        <x:v>PPIQ_Chapter3_General_Technical_Function_Description_v4.10.3.md §D9</x:v>
      </x:c>
      <x:c r="H136" s="245" t="str">
        <x:v>M3</x:v>
      </x:c>
      <x:c r="I136" s="245" t="str">
        <x:v>T-267</x:v>
      </x:c>
      <x:c r="J136" s="245" t="str">
        <x:v>PENDING SEMANTIC TRACE</x:v>
      </x:c>
      <x:c r="K136" s="245" t="str">
        <x:v>Frame/state/node + action/outcome proof required</x:v>
      </x:c>
    </x:row>
    <x:row r="137" ht="60" customHeight="1">
      <x:c r="A137" s="245" t="str">
        <x:v>D9/CTRL-04</x:v>
      </x:c>
      <x:c r="B137" s="245" t="str">
        <x:v>D9</x:v>
      </x:c>
      <x:c r="C137" s="245" t="str">
        <x:v>**Degraded-mode notice**</x:v>
      </x:c>
      <x:c r="D137" s="245" t="str">
        <x:v>persistent banner naming the fallback version and reason</x:v>
      </x:c>
      <x:c r="E137" s="245" t="str">
        <x:v>block-start</x:v>
      </x:c>
      <x:c r="F137" s="245" t="str">
        <x:v>`fallbackInUse`</x:v>
      </x:c>
      <x:c r="G137" s="245" t="str">
        <x:v>PPIQ_Chapter3_General_Technical_Function_Description_v4.10.3.md §D9</x:v>
      </x:c>
      <x:c r="H137" s="245" t="str">
        <x:v>M3</x:v>
      </x:c>
      <x:c r="I137" s="245" t="str">
        <x:v>T-267</x:v>
      </x:c>
      <x:c r="J137" s="245" t="str">
        <x:v>PENDING SEMANTIC TRACE</x:v>
      </x:c>
      <x:c r="K137" s="245" t="str">
        <x:v>Frame/state/node + action/outcome proof required</x:v>
      </x:c>
    </x:row>
    <x:row r="138" ht="60" customHeight="1">
      <x:c r="A138" s="245" t="str">
        <x:v>D9/CTRL-05</x:v>
      </x:c>
      <x:c r="B138" s="245" t="str">
        <x:v>D9</x:v>
      </x:c>
      <x:c r="C138" s="245" t="str">
        <x:v>Queue row</x:v>
      </x:c>
      <x:c r="D138" s="245" t="str">
        <x:v>selectable row</x:v>
      </x:c>
      <x:c r="E138" s="245" t="str">
        <x:v>table</x:v>
      </x:c>
      <x:c r="F138" s="245" t="str">
        <x:v>always</x:v>
      </x:c>
      <x:c r="G138" s="245" t="str">
        <x:v>PPIQ_Chapter3_General_Technical_Function_Description_v4.10.3.md §D9</x:v>
      </x:c>
      <x:c r="H138" s="245" t="str">
        <x:v>M3</x:v>
      </x:c>
      <x:c r="I138" s="245" t="str">
        <x:v>T-267</x:v>
      </x:c>
      <x:c r="J138" s="245" t="str">
        <x:v>PENDING SEMANTIC TRACE</x:v>
      </x:c>
      <x:c r="K138" s="245" t="str">
        <x:v>Frame/state/node + action/outcome proof required</x:v>
      </x:c>
    </x:row>
    <x:row r="139" ht="60" customHeight="1">
      <x:c r="A139" s="245" t="str">
        <x:v>D9/CTRL-06</x:v>
      </x:c>
      <x:c r="B139" s="245" t="str">
        <x:v>D9</x:v>
      </x:c>
      <x:c r="C139" s="245" t="str">
        <x:v>**Time-remaining column**</x:v>
      </x:c>
      <x:c r="D139" s="245" t="str">
        <x:v>countdown to `actionableDeadlineUtc`</x:v>
      </x:c>
      <x:c r="E139" s="245" t="str">
        <x:v>table</x:v>
      </x:c>
      <x:c r="F139" s="245" t="str">
        <x:v>always</x:v>
      </x:c>
      <x:c r="G139" s="245" t="str">
        <x:v>PPIQ_Chapter3_General_Technical_Function_Description_v4.10.3.md §D9</x:v>
      </x:c>
      <x:c r="H139" s="245" t="str">
        <x:v>M3</x:v>
      </x:c>
      <x:c r="I139" s="245" t="str">
        <x:v>T-267</x:v>
      </x:c>
      <x:c r="J139" s="245" t="str">
        <x:v>PENDING SEMANTIC TRACE</x:v>
      </x:c>
      <x:c r="K139" s="245" t="str">
        <x:v>Frame/state/node + action/outcome proof required</x:v>
      </x:c>
    </x:row>
    <x:row r="140" ht="60" customHeight="1">
      <x:c r="A140" s="245" t="str">
        <x:v>D9/CTRL-07</x:v>
      </x:c>
      <x:c r="B140" s="245" t="str">
        <x:v>D9</x:v>
      </x:c>
      <x:c r="C140" s="245" t="str">
        <x:v>**Past-actionable-stage chip**</x:v>
      </x:c>
      <x:c r="D140" s="245" t="str">
        <x:v>chip reading "past actionable stage - historical evidence"</x:v>
      </x:c>
      <x:c r="E140" s="245" t="str">
        <x:v>table row and drawer</x:v>
      </x:c>
      <x:c r="F140" s="245" t="str">
        <x:v>`isPastActionableStage`</x:v>
      </x:c>
      <x:c r="G140" s="245" t="str">
        <x:v>PPIQ_Chapter3_General_Technical_Function_Description_v4.10.3.md §D9</x:v>
      </x:c>
      <x:c r="H140" s="245" t="str">
        <x:v>M3</x:v>
      </x:c>
      <x:c r="I140" s="245" t="str">
        <x:v>T-267</x:v>
      </x:c>
      <x:c r="J140" s="245" t="str">
        <x:v>PENDING SEMANTIC TRACE</x:v>
      </x:c>
      <x:c r="K140" s="245" t="str">
        <x:v>Frame/state/node + action/outcome proof required</x:v>
      </x:c>
    </x:row>
    <x:row r="141" ht="60" customHeight="1">
      <x:c r="A141" s="245" t="str">
        <x:v>D9/CTRL-08</x:v>
      </x:c>
      <x:c r="B141" s="245" t="str">
        <x:v>D9</x:v>
      </x:c>
      <x:c r="C141" s="245" t="str">
        <x:v>Driver bar</x:v>
      </x:c>
      <x:c r="D141" s="245" t="str">
        <x:v>horizontal bar per driver, with current value against normal range</x:v>
      </x:c>
      <x:c r="E141" s="245" t="str">
        <x:v>drawer</x:v>
      </x:c>
      <x:c r="F141" s="245" t="str">
        <x:v>unit selected</x:v>
      </x:c>
      <x:c r="G141" s="245" t="str">
        <x:v>PPIQ_Chapter3_General_Technical_Function_Description_v4.10.3.md §D9</x:v>
      </x:c>
      <x:c r="H141" s="245" t="str">
        <x:v>M3</x:v>
      </x:c>
      <x:c r="I141" s="245" t="str">
        <x:v>T-267</x:v>
      </x:c>
      <x:c r="J141" s="245" t="str">
        <x:v>PENDING SEMANTIC TRACE</x:v>
      </x:c>
      <x:c r="K141" s="245" t="str">
        <x:v>Frame/state/node + action/outcome proof required</x:v>
      </x:c>
    </x:row>
    <x:row r="142" ht="60" customHeight="1">
      <x:c r="A142" s="245" t="str">
        <x:v>D9/CTRL-09</x:v>
      </x:c>
      <x:c r="B142" s="245" t="str">
        <x:v>D9</x:v>
      </x:c>
      <x:c r="C142" s="245" t="str">
        <x:v>**Actionable remediation card**</x:v>
      </x:c>
      <x:c r="D142" s="245" t="str">
        <x:v>card: practice, proposed stage, support, expected-effect interval, limitations, uplift basis</x:v>
      </x:c>
      <x:c r="E142" s="245" t="str">
        <x:v>drawer, Decision group</x:v>
      </x:c>
      <x:c r="F142" s="245" t="str">
        <x:v>**`canAccept` is true**</x:v>
      </x:c>
      <x:c r="G142" s="245" t="str">
        <x:v>PPIQ_Chapter3_General_Technical_Function_Description_v4.10.3.md §D9</x:v>
      </x:c>
      <x:c r="H142" s="245" t="str">
        <x:v>M3</x:v>
      </x:c>
      <x:c r="I142" s="245" t="str">
        <x:v>T-267</x:v>
      </x:c>
      <x:c r="J142" s="245" t="str">
        <x:v>PENDING SEMANTIC TRACE</x:v>
      </x:c>
      <x:c r="K142" s="245" t="str">
        <x:v>Frame/state/node + action/outcome proof required</x:v>
      </x:c>
    </x:row>
    <x:row r="143" ht="60" customHeight="1">
      <x:c r="A143" s="245" t="str">
        <x:v>D9/CTRL-10</x:v>
      </x:c>
      <x:c r="B143" s="245" t="str">
        <x:v>D9</x:v>
      </x:c>
      <x:c r="C143" s="245" t="str">
        <x:v>**Evidence-only entry**</x:v>
      </x:c>
      <x:c r="D143" s="245" t="str">
        <x:v>list row reading "observed historical difference - not actionable here", with the failed check named</x:v>
      </x:c>
      <x:c r="E143" s="245" t="str">
        <x:v>drawer, Investigation group</x:v>
      </x:c>
      <x:c r="F143" s="245" t="str">
        <x:v>`eligibilityState = evidence_only`</x:v>
      </x:c>
      <x:c r="G143" s="245" t="str">
        <x:v>PPIQ_Chapter3_General_Technical_Function_Description_v4.10.3.md §D9</x:v>
      </x:c>
      <x:c r="H143" s="245" t="str">
        <x:v>M3</x:v>
      </x:c>
      <x:c r="I143" s="245" t="str">
        <x:v>T-267</x:v>
      </x:c>
      <x:c r="J143" s="245" t="str">
        <x:v>PENDING SEMANTIC TRACE</x:v>
      </x:c>
      <x:c r="K143" s="245" t="str">
        <x:v>Frame/state/node + action/outcome proof required</x:v>
      </x:c>
    </x:row>
    <x:row r="144" ht="60" customHeight="1">
      <x:c r="A144" s="245" t="str">
        <x:v>D9/CTRL-11</x:v>
      </x:c>
      <x:c r="B144" s="245" t="str">
        <x:v>D9</x:v>
      </x:c>
      <x:c r="C144" s="245" t="str">
        <x:v>**Exploratory entry**</x:v>
      </x:c>
      <x:c r="D144" s="245" t="str">
        <x:v>list row behind an explicit disclosure, with the uncertainty and the failed check stated, **no accept affordance**</x:v>
      </x:c>
      <x:c r="E144" s="245" t="str">
        <x:v>drawer, Investigation group</x:v>
      </x:c>
      <x:c r="F144" s="245" t="str">
        <x:v>`eligibilityState = exploratory`</x:v>
      </x:c>
      <x:c r="G144" s="245" t="str">
        <x:v>PPIQ_Chapter3_General_Technical_Function_Description_v4.10.3.md §D9</x:v>
      </x:c>
      <x:c r="H144" s="245" t="str">
        <x:v>M3</x:v>
      </x:c>
      <x:c r="I144" s="245" t="str">
        <x:v>T-267</x:v>
      </x:c>
      <x:c r="J144" s="245" t="str">
        <x:v>PENDING SEMANTIC TRACE</x:v>
      </x:c>
      <x:c r="K144" s="245" t="str">
        <x:v>Frame/state/node + action/outcome proof required</x:v>
      </x:c>
    </x:row>
    <x:row r="145" ht="60" customHeight="1">
      <x:c r="A145" s="245" t="str">
        <x:v>D9/CTRL-12</x:v>
      </x:c>
      <x:c r="B145" s="245" t="str">
        <x:v>D9</x:v>
      </x:c>
      <x:c r="C145" s="245" t="str">
        <x:v>**Show gate evaluation**</x:v>
      </x:c>
      <x:c r="D145" s="245" t="str">
        <x:v>secondary, opens the nine-check result</x:v>
      </x:c>
      <x:c r="E145" s="245" t="str">
        <x:v>drawer</x:v>
      </x:c>
      <x:c r="F145" s="245" t="str">
        <x:v>any candidate selected</x:v>
      </x:c>
      <x:c r="G145" s="245" t="str">
        <x:v>PPIQ_Chapter3_General_Technical_Function_Description_v4.10.3.md §D9</x:v>
      </x:c>
      <x:c r="H145" s="245" t="str">
        <x:v>M3</x:v>
      </x:c>
      <x:c r="I145" s="245" t="str">
        <x:v>T-267</x:v>
      </x:c>
      <x:c r="J145" s="245" t="str">
        <x:v>PENDING SEMANTIC TRACE</x:v>
      </x:c>
      <x:c r="K145" s="245" t="str">
        <x:v>Frame/state/node + action/outcome proof required</x:v>
      </x:c>
    </x:row>
    <x:row r="146" ht="60" customHeight="1">
      <x:c r="A146" s="245" t="str">
        <x:v>D9/CTRL-13</x:v>
      </x:c>
      <x:c r="B146" s="245" t="str">
        <x:v>D9</x:v>
      </x:c>
      <x:c r="C146" s="245" t="str">
        <x:v>**Acknowledge**</x:v>
      </x:c>
      <x:c r="D146" s="245" t="str">
        <x:v>secondary</x:v>
      </x:c>
      <x:c r="E146" s="245" t="str">
        <x:v>drawer footer</x:v>
      </x:c>
      <x:c r="F146" s="245" t="str">
        <x:v>open and unacknowledged, engineer or operator</x:v>
      </x:c>
      <x:c r="G146" s="245" t="str">
        <x:v>PPIQ_Chapter3_General_Technical_Function_Description_v4.10.3.md §D9</x:v>
      </x:c>
      <x:c r="H146" s="245" t="str">
        <x:v>M3</x:v>
      </x:c>
      <x:c r="I146" s="245" t="str">
        <x:v>T-267</x:v>
      </x:c>
      <x:c r="J146" s="245" t="str">
        <x:v>PENDING SEMANTIC TRACE</x:v>
      </x:c>
      <x:c r="K146" s="245" t="str">
        <x:v>Frame/state/node + action/outcome proof required</x:v>
      </x:c>
    </x:row>
    <x:row r="147" ht="60" customHeight="1">
      <x:c r="A147" s="245" t="str">
        <x:v>D9/CTRL-14</x:v>
      </x:c>
      <x:c r="B147" s="245" t="str">
        <x:v>D9</x:v>
      </x:c>
      <x:c r="C147" s="245" t="str">
        <x:v>**Assign**</x:v>
      </x:c>
      <x:c r="D147" s="245" t="str">
        <x:v>secondary, opens assignee and due-stage picker</x:v>
      </x:c>
      <x:c r="E147" s="245" t="str">
        <x:v>drawer footer</x:v>
      </x:c>
      <x:c r="F147" s="245" t="str">
        <x:v>acknowledged, engineer role</x:v>
      </x:c>
      <x:c r="G147" s="245" t="str">
        <x:v>PPIQ_Chapter3_General_Technical_Function_Description_v4.10.3.md §D9</x:v>
      </x:c>
      <x:c r="H147" s="245" t="str">
        <x:v>M3</x:v>
      </x:c>
      <x:c r="I147" s="245" t="str">
        <x:v>T-267</x:v>
      </x:c>
      <x:c r="J147" s="245" t="str">
        <x:v>PENDING SEMANTIC TRACE</x:v>
      </x:c>
      <x:c r="K147" s="245" t="str">
        <x:v>Frame/state/node + action/outcome proof required</x:v>
      </x:c>
    </x:row>
    <x:row r="148" ht="60" customHeight="1">
      <x:c r="A148" s="245" t="str">
        <x:v>D9/CTRL-15</x:v>
      </x:c>
      <x:c r="B148" s="245" t="str">
        <x:v>D9</x:v>
      </x:c>
      <x:c r="C148" s="245" t="str">
        <x:v>**Accept**</x:v>
      </x:c>
      <x:c r="D148" s="245" t="str">
        <x:v>primary, confirmed</x:v>
      </x:c>
      <x:c r="E148" s="245" t="str">
        <x:v>drawer footer, Decision group</x:v>
      </x:c>
      <x:c r="F148" s="245" t="str">
        <x:v>**`canAccept` is true. Nothing else is tested**</x:v>
      </x:c>
      <x:c r="G148" s="245" t="str">
        <x:v>PPIQ_Chapter3_General_Technical_Function_Description_v4.10.3.md §D9</x:v>
      </x:c>
      <x:c r="H148" s="245" t="str">
        <x:v>M3</x:v>
      </x:c>
      <x:c r="I148" s="245" t="str">
        <x:v>T-267</x:v>
      </x:c>
      <x:c r="J148" s="245" t="str">
        <x:v>PENDING SEMANTIC TRACE</x:v>
      </x:c>
      <x:c r="K148" s="245" t="str">
        <x:v>Frame/state/node + action/outcome proof required</x:v>
      </x:c>
    </x:row>
    <x:row r="149" ht="60" customHeight="1">
      <x:c r="A149" s="245" t="str">
        <x:v>D9/CTRL-16</x:v>
      </x:c>
      <x:c r="B149" s="245" t="str">
        <x:v>D9</x:v>
      </x:c>
      <x:c r="C149" s="245" t="str">
        <x:v>**Reject**</x:v>
      </x:c>
      <x:c r="D149" s="245" t="str">
        <x:v>destructive, confirmed, **reason required**</x:v>
      </x:c>
      <x:c r="E149" s="245" t="str">
        <x:v>drawer footer, Decision group</x:v>
      </x:c>
      <x:c r="F149" s="245" t="str">
        <x:v>**`canAccept` is true**</x:v>
      </x:c>
      <x:c r="G149" s="245" t="str">
        <x:v>PPIQ_Chapter3_General_Technical_Function_Description_v4.10.3.md §D9</x:v>
      </x:c>
      <x:c r="H149" s="245" t="str">
        <x:v>M3</x:v>
      </x:c>
      <x:c r="I149" s="245" t="str">
        <x:v>T-267</x:v>
      </x:c>
      <x:c r="J149" s="245" t="str">
        <x:v>PENDING SEMANTIC TRACE</x:v>
      </x:c>
      <x:c r="K149" s="245" t="str">
        <x:v>Frame/state/node + action/outcome proof required</x:v>
      </x:c>
    </x:row>
    <x:row r="150" ht="60" customHeight="1">
      <x:c r="A150" s="245" t="str">
        <x:v>D9/CTRL-17</x:v>
      </x:c>
      <x:c r="B150" s="245" t="str">
        <x:v>D9</x:v>
      </x:c>
      <x:c r="C150" s="245" t="str">
        <x:v>**Defer**</x:v>
      </x:c>
      <x:c r="D150" s="245" t="str">
        <x:v>secondary, with a return-stage picker</x:v>
      </x:c>
      <x:c r="E150" s="245" t="str">
        <x:v>drawer footer, Decision group</x:v>
      </x:c>
      <x:c r="F150" s="245" t="str">
        <x:v>**`canAccept` is true**</x:v>
      </x:c>
      <x:c r="G150" s="245" t="str">
        <x:v>PPIQ_Chapter3_General_Technical_Function_Description_v4.10.3.md §D9</x:v>
      </x:c>
      <x:c r="H150" s="245" t="str">
        <x:v>M3</x:v>
      </x:c>
      <x:c r="I150" s="245" t="str">
        <x:v>T-267</x:v>
      </x:c>
      <x:c r="J150" s="245" t="str">
        <x:v>PENDING SEMANTIC TRACE</x:v>
      </x:c>
      <x:c r="K150" s="245" t="str">
        <x:v>Frame/state/node + action/outcome proof required</x:v>
      </x:c>
    </x:row>
    <x:row r="151" ht="60" customHeight="1">
      <x:c r="A151" s="245" t="str">
        <x:v>D9/CTRL-18</x:v>
      </x:c>
      <x:c r="B151" s="245" t="str">
        <x:v>D9</x:v>
      </x:c>
      <x:c r="C151" s="245" t="str">
        <x:v>**Inspect**</x:v>
      </x:c>
      <x:c r="D151" s="245" t="str">
        <x:v>secondary, opens the candidate detail</x:v>
      </x:c>
      <x:c r="E151" s="245" t="str">
        <x:v>drawer, Investigation group</x:v>
      </x:c>
      <x:c r="F151" s="245" t="str">
        <x:v>any non-actionable candidate</x:v>
      </x:c>
      <x:c r="G151" s="245" t="str">
        <x:v>PPIQ_Chapter3_General_Technical_Function_Description_v4.10.3.md §D9</x:v>
      </x:c>
      <x:c r="H151" s="245" t="str">
        <x:v>M3</x:v>
      </x:c>
      <x:c r="I151" s="245" t="str">
        <x:v>T-267</x:v>
      </x:c>
      <x:c r="J151" s="245" t="str">
        <x:v>PENDING SEMANTIC TRACE</x:v>
      </x:c>
      <x:c r="K151" s="245" t="str">
        <x:v>Frame/state/node + action/outcome proof required</x:v>
      </x:c>
    </x:row>
    <x:row r="152" ht="60" customHeight="1">
      <x:c r="A152" s="245" t="str">
        <x:v>D9/CTRL-19</x:v>
      </x:c>
      <x:c r="B152" s="245" t="str">
        <x:v>D9</x:v>
      </x:c>
      <x:c r="C152" s="245" t="str">
        <x:v>**Compare**</x:v>
      </x:c>
      <x:c r="D152" s="245" t="str">
        <x:v>secondary, opens the comparable cohort</x:v>
      </x:c>
      <x:c r="E152" s="245" t="str">
        <x:v>drawer, Investigation group</x:v>
      </x:c>
      <x:c r="F152" s="245" t="str">
        <x:v>any non-actionable candidate</x:v>
      </x:c>
      <x:c r="G152" s="245" t="str">
        <x:v>PPIQ_Chapter3_General_Technical_Function_Description_v4.10.3.md §D9</x:v>
      </x:c>
      <x:c r="H152" s="245" t="str">
        <x:v>M3</x:v>
      </x:c>
      <x:c r="I152" s="245" t="str">
        <x:v>T-267</x:v>
      </x:c>
      <x:c r="J152" s="245" t="str">
        <x:v>PENDING SEMANTIC TRACE</x:v>
      </x:c>
      <x:c r="K152" s="245" t="str">
        <x:v>Frame/state/node + action/outcome proof required</x:v>
      </x:c>
    </x:row>
    <x:row r="153" ht="60" customHeight="1">
      <x:c r="A153" s="245" t="str">
        <x:v>D9/CTRL-20</x:v>
      </x:c>
      <x:c r="B153" s="245" t="str">
        <x:v>D9</x:v>
      </x:c>
      <x:c r="C153" s="245" t="str">
        <x:v>**Escalate for investigation**</x:v>
      </x:c>
      <x:c r="D153" s="245" t="str">
        <x:v>secondary, reason required</x:v>
      </x:c>
      <x:c r="E153" s="245" t="str">
        <x:v>drawer, Investigation group</x:v>
      </x:c>
      <x:c r="F153" s="245" t="str">
        <x:v>`evidence_only` or `exploratory`</x:v>
      </x:c>
      <x:c r="G153" s="245" t="str">
        <x:v>PPIQ_Chapter3_General_Technical_Function_Description_v4.10.3.md §D9</x:v>
      </x:c>
      <x:c r="H153" s="245" t="str">
        <x:v>M3</x:v>
      </x:c>
      <x:c r="I153" s="245" t="str">
        <x:v>T-267</x:v>
      </x:c>
      <x:c r="J153" s="245" t="str">
        <x:v>PENDING SEMANTIC TRACE</x:v>
      </x:c>
      <x:c r="K153" s="245" t="str">
        <x:v>Frame/state/node + action/outcome proof required</x:v>
      </x:c>
    </x:row>
    <x:row r="154" ht="60" customHeight="1">
      <x:c r="A154" s="245" t="str">
        <x:v>D9/CTRL-21</x:v>
      </x:c>
      <x:c r="B154" s="245" t="str">
        <x:v>D9</x:v>
      </x:c>
      <x:c r="C154" s="245" t="str">
        <x:v>**Record action**</x:v>
      </x:c>
      <x:c r="D154" s="245" t="str">
        <x:v>primary, opens planned versus actual action, timestamp and process stage</x:v>
      </x:c>
      <x:c r="E154" s="245" t="str">
        <x:v>drawer footer</x:v>
      </x:c>
      <x:c r="F154" s="245" t="str">
        <x:v>decision is accept</x:v>
      </x:c>
      <x:c r="G154" s="245" t="str">
        <x:v>PPIQ_Chapter3_General_Technical_Function_Description_v4.10.3.md §D9</x:v>
      </x:c>
      <x:c r="H154" s="245" t="str">
        <x:v>M3</x:v>
      </x:c>
      <x:c r="I154" s="245" t="str">
        <x:v>T-267</x:v>
      </x:c>
      <x:c r="J154" s="245" t="str">
        <x:v>PENDING SEMANTIC TRACE</x:v>
      </x:c>
      <x:c r="K154" s="245" t="str">
        <x:v>Frame/state/node + action/outcome proof required</x:v>
      </x:c>
    </x:row>
    <x:row r="155" ht="60" customHeight="1">
      <x:c r="A155" s="245" t="str">
        <x:v>D9/CTRL-22</x:v>
      </x:c>
      <x:c r="B155" s="245" t="str">
        <x:v>D9</x:v>
      </x:c>
      <x:c r="C155" s="245" t="str">
        <x:v>**View evaluation**</x:v>
      </x:c>
      <x:c r="D155" s="245" t="str">
        <x:v>link to the prediction evaluation and remediation effectiveness</x:v>
      </x:c>
      <x:c r="E155" s="245" t="str">
        <x:v>drawer footer</x:v>
      </x:c>
      <x:c r="F155" s="245" t="str">
        <x:v>evaluation exists or is pending</x:v>
      </x:c>
      <x:c r="G155" s="245" t="str">
        <x:v>PPIQ_Chapter3_General_Technical_Function_Description_v4.10.3.md §D9</x:v>
      </x:c>
      <x:c r="H155" s="245" t="str">
        <x:v>M3</x:v>
      </x:c>
      <x:c r="I155" s="245" t="str">
        <x:v>T-267</x:v>
      </x:c>
      <x:c r="J155" s="245" t="str">
        <x:v>PENDING SEMANTIC TRACE</x:v>
      </x:c>
      <x:c r="K155" s="245" t="str">
        <x:v>Frame/state/node + action/outcome proof required</x:v>
      </x:c>
    </x:row>
    <x:row r="156" ht="60" customHeight="1">
      <x:c r="A156" s="245" t="str">
        <x:v>D9/CTRL-23</x:v>
      </x:c>
      <x:c r="B156" s="245" t="str">
        <x:v>D9</x:v>
      </x:c>
      <x:c r="C156" s="245" t="str">
        <x:v>Open in Genealogy</x:v>
      </x:c>
      <x:c r="D156" s="245" t="str">
        <x:v>link</x:v>
      </x:c>
      <x:c r="E156" s="245" t="str">
        <x:v>drawer</x:v>
      </x:c>
      <x:c r="F156" s="245" t="str">
        <x:v>always</x:v>
      </x:c>
      <x:c r="G156" s="245" t="str">
        <x:v>PPIQ_Chapter3_General_Technical_Function_Description_v4.10.3.md §D9</x:v>
      </x:c>
      <x:c r="H156" s="245" t="str">
        <x:v>M3</x:v>
      </x:c>
      <x:c r="I156" s="245" t="str">
        <x:v>T-267</x:v>
      </x:c>
      <x:c r="J156" s="245" t="str">
        <x:v>PENDING SEMANTIC TRACE</x:v>
      </x:c>
      <x:c r="K156" s="245" t="str">
        <x:v>Frame/state/node + action/outcome proof required</x:v>
      </x:c>
    </x:row>
    <x:row r="157" ht="60" customHeight="1">
      <x:c r="A157" s="245" t="str">
        <x:v>D9/CTRL-24</x:v>
      </x:c>
      <x:c r="B157" s="245" t="str">
        <x:v>D9</x:v>
      </x:c>
      <x:c r="C157" s="245" t="str">
        <x:v>Open the model in D8</x:v>
      </x:c>
      <x:c r="D157" s="245" t="str">
        <x:v>link</x:v>
      </x:c>
      <x:c r="E157" s="245" t="str">
        <x:v>drawer</x:v>
      </x:c>
      <x:c r="F157" s="245" t="str">
        <x:v>always</x:v>
      </x:c>
      <x:c r="G157" s="245" t="str">
        <x:v>PPIQ_Chapter3_General_Technical_Function_Description_v4.10.3.md §D9</x:v>
      </x:c>
      <x:c r="H157" s="245" t="str">
        <x:v>M3</x:v>
      </x:c>
      <x:c r="I157" s="245" t="str">
        <x:v>T-267</x:v>
      </x:c>
      <x:c r="J157" s="245" t="str">
        <x:v>PENDING SEMANTIC TRACE</x:v>
      </x:c>
      <x:c r="K157" s="245" t="str">
        <x:v>Frame/state/node + action/outcome proof required</x:v>
      </x:c>
    </x:row>
    <x:row r="158" ht="60" customHeight="1">
      <x:c r="A158" s="245" t="str">
        <x:v>D10/CTRL-01</x:v>
      </x:c>
      <x:c r="B158" s="245" t="str">
        <x:v>D10</x:v>
      </x:c>
      <x:c r="C158" s="245" t="str">
        <x:v>Outcome select</x:v>
      </x:c>
      <x:c r="D158" s="245" t="str">
        <x:v>`StandardSelect`</x:v>
      </x:c>
      <x:c r="E158" s="245" t="str">
        <x:v>header</x:v>
      </x:c>
      <x:c r="F158" s="245" t="str">
        <x:v>registered outcomes exist</x:v>
      </x:c>
      <x:c r="G158" s="245" t="str">
        <x:v>PPIQ_Chapter3_General_Technical_Function_Description_v4.10.3.md §D10</x:v>
      </x:c>
      <x:c r="H158" s="245" t="str">
        <x:v>M3</x:v>
      </x:c>
      <x:c r="I158" s="245" t="str">
        <x:v>T-267</x:v>
      </x:c>
      <x:c r="J158" s="245" t="str">
        <x:v>PENDING SEMANTIC TRACE</x:v>
      </x:c>
      <x:c r="K158" s="245" t="str">
        <x:v>Frame/state/node + action/outcome proof required</x:v>
      </x:c>
    </x:row>
    <x:row r="159" ht="60" customHeight="1">
      <x:c r="A159" s="245" t="str">
        <x:v>D10/CTRL-02</x:v>
      </x:c>
      <x:c r="B159" s="245" t="str">
        <x:v>D10</x:v>
      </x:c>
      <x:c r="C159" s="245" t="str">
        <x:v>Context select</x:v>
      </x:c>
      <x:c r="D159" s="245" t="str">
        <x:v>`StandardSelect` from registry</x:v>
      </x:c>
      <x:c r="E159" s="245" t="str">
        <x:v>header</x:v>
      </x:c>
      <x:c r="F159" s="245" t="str">
        <x:v>contexts exist</x:v>
      </x:c>
      <x:c r="G159" s="245" t="str">
        <x:v>PPIQ_Chapter3_General_Technical_Function_Description_v4.10.3.md §D10</x:v>
      </x:c>
      <x:c r="H159" s="245" t="str">
        <x:v>M3</x:v>
      </x:c>
      <x:c r="I159" s="245" t="str">
        <x:v>T-267</x:v>
      </x:c>
      <x:c r="J159" s="245" t="str">
        <x:v>PENDING SEMANTIC TRACE</x:v>
      </x:c>
      <x:c r="K159" s="245" t="str">
        <x:v>Frame/state/node + action/outcome proof required</x:v>
      </x:c>
    </x:row>
    <x:row r="160" ht="60" customHeight="1">
      <x:c r="A160" s="245" t="str">
        <x:v>D10/CTRL-03</x:v>
      </x:c>
      <x:c r="B160" s="245" t="str">
        <x:v>D10</x:v>
      </x:c>
      <x:c r="C160" s="245" t="str">
        <x:v>**Match-type filter: All, Exact only, Relaxed only**</x:v>
      </x:c>
      <x:c r="D160" s="245" t="str">
        <x:v>segmented</x:v>
      </x:c>
      <x:c r="E160" s="245" t="str">
        <x:v>header</x:v>
      </x:c>
      <x:c r="F160" s="245" t="str">
        <x:v>always</x:v>
      </x:c>
      <x:c r="G160" s="245" t="str">
        <x:v>PPIQ_Chapter3_General_Technical_Function_Description_v4.10.3.md §D10</x:v>
      </x:c>
      <x:c r="H160" s="245" t="str">
        <x:v>M3</x:v>
      </x:c>
      <x:c r="I160" s="245" t="str">
        <x:v>T-267</x:v>
      </x:c>
      <x:c r="J160" s="245" t="str">
        <x:v>PENDING SEMANTIC TRACE</x:v>
      </x:c>
      <x:c r="K160" s="245" t="str">
        <x:v>Frame/state/node + action/outcome proof required</x:v>
      </x:c>
    </x:row>
    <x:row r="161" ht="60" customHeight="1">
      <x:c r="A161" s="245" t="str">
        <x:v>D10/CTRL-04</x:v>
      </x:c>
      <x:c r="B161" s="245" t="str">
        <x:v>D10</x:v>
      </x:c>
      <x:c r="C161" s="245" t="str">
        <x:v>**Sensitivity filter: All, Stable only, Exclude fragile**</x:v>
      </x:c>
      <x:c r="D161" s="245" t="str">
        <x:v>`StandardSelect`</x:v>
      </x:c>
      <x:c r="E161" s="245" t="str">
        <x:v>header</x:v>
      </x:c>
      <x:c r="F161" s="245" t="str">
        <x:v>always</x:v>
      </x:c>
      <x:c r="G161" s="245" t="str">
        <x:v>PPIQ_Chapter3_General_Technical_Function_Description_v4.10.3.md §D10</x:v>
      </x:c>
      <x:c r="H161" s="245" t="str">
        <x:v>M3</x:v>
      </x:c>
      <x:c r="I161" s="245" t="str">
        <x:v>T-267</x:v>
      </x:c>
      <x:c r="J161" s="245" t="str">
        <x:v>PENDING SEMANTIC TRACE</x:v>
      </x:c>
      <x:c r="K161" s="245" t="str">
        <x:v>Frame/state/node + action/outcome proof required</x:v>
      </x:c>
    </x:row>
    <x:row r="162" ht="60" customHeight="1">
      <x:c r="A162" s="245" t="str">
        <x:v>D10/CTRL-05</x:v>
      </x:c>
      <x:c r="B162" s="245" t="str">
        <x:v>D10</x:v>
      </x:c>
      <x:c r="C162" s="245" t="str">
        <x:v>**Match-type badge**</x:v>
      </x:c>
      <x:c r="D162" s="245" t="str">
        <x:v>badge reading **Exact** or **Relaxed (L`&lt;n&gt;`)**</x:v>
      </x:c>
      <x:c r="E162" s="245" t="str">
        <x:v>every benchmark card and row</x:v>
      </x:c>
      <x:c r="F162" s="245" t="str">
        <x:v>always</x:v>
      </x:c>
      <x:c r="G162" s="245" t="str">
        <x:v>PPIQ_Chapter3_General_Technical_Function_Description_v4.10.3.md §D10</x:v>
      </x:c>
      <x:c r="H162" s="245" t="str">
        <x:v>M3</x:v>
      </x:c>
      <x:c r="I162" s="245" t="str">
        <x:v>T-267</x:v>
      </x:c>
      <x:c r="J162" s="245" t="str">
        <x:v>PENDING SEMANTIC TRACE</x:v>
      </x:c>
      <x:c r="K162" s="245" t="str">
        <x:v>Frame/state/node + action/outcome proof required</x:v>
      </x:c>
    </x:row>
    <x:row r="163" ht="60" customHeight="1">
      <x:c r="A163" s="245" t="str">
        <x:v>D10/CTRL-06</x:v>
      </x:c>
      <x:c r="B163" s="245" t="str">
        <x:v>D10</x:v>
      </x:c>
      <x:c r="C163" s="245" t="str">
        <x:v>**Sensitivity badge**</x:v>
      </x:c>
      <x:c r="D163" s="245" t="str">
        <x:v>badge reading **Stable**, **Fragile** or **Unstable**</x:v>
      </x:c>
      <x:c r="E163" s="245" t="str">
        <x:v>every benchmark card and row</x:v>
      </x:c>
      <x:c r="F163" s="245" t="str">
        <x:v>always</x:v>
      </x:c>
      <x:c r="G163" s="245" t="str">
        <x:v>PPIQ_Chapter3_General_Technical_Function_Description_v4.10.3.md §D10</x:v>
      </x:c>
      <x:c r="H163" s="245" t="str">
        <x:v>M3</x:v>
      </x:c>
      <x:c r="I163" s="245" t="str">
        <x:v>T-267</x:v>
      </x:c>
      <x:c r="J163" s="245" t="str">
        <x:v>PENDING SEMANTIC TRACE</x:v>
      </x:c>
      <x:c r="K163" s="245" t="str">
        <x:v>Frame/state/node + action/outcome proof required</x:v>
      </x:c>
    </x:row>
    <x:row r="164" ht="60" customHeight="1">
      <x:c r="A164" s="245" t="str">
        <x:v>D10/CTRL-07</x:v>
      </x:c>
      <x:c r="B164" s="245" t="str">
        <x:v>D10</x:v>
      </x:c>
      <x:c r="C164" s="245" t="str">
        <x:v>**Support pair**</x:v>
      </x:c>
      <x:c r="D164" s="245" t="str">
        <x:v>text `exact &lt;n&gt; / relaxed &lt;m&gt;`</x:v>
      </x:c>
      <x:c r="E164" s="245" t="str">
        <x:v>benchmark card</x:v>
      </x:c>
      <x:c r="F164" s="245" t="str">
        <x:v>always</x:v>
      </x:c>
      <x:c r="G164" s="245" t="str">
        <x:v>PPIQ_Chapter3_General_Technical_Function_Description_v4.10.3.md §D10</x:v>
      </x:c>
      <x:c r="H164" s="245" t="str">
        <x:v>M3</x:v>
      </x:c>
      <x:c r="I164" s="245" t="str">
        <x:v>T-267</x:v>
      </x:c>
      <x:c r="J164" s="245" t="str">
        <x:v>PENDING SEMANTIC TRACE</x:v>
      </x:c>
      <x:c r="K164" s="245" t="str">
        <x:v>Frame/state/node + action/outcome proof required</x:v>
      </x:c>
    </x:row>
    <x:row r="165" ht="60" customHeight="1">
      <x:c r="A165" s="245" t="str">
        <x:v>D10/CTRL-08</x:v>
      </x:c>
      <x:c r="B165" s="245" t="str">
        <x:v>D10</x:v>
      </x:c>
      <x:c r="C165" s="245" t="str">
        <x:v>**Relaxed-dimensions disclosure**</x:v>
      </x:c>
      <x:c r="D165" s="245" t="str">
        <x:v>expander listing each relaxed dimension, its original and widened tolerance and the rule applied</x:v>
      </x:c>
      <x:c r="E165" s="245" t="str">
        <x:v>benchmark card</x:v>
      </x:c>
      <x:c r="F165" s="245" t="str">
        <x:v>`similarityLevel &gt; 0`</x:v>
      </x:c>
      <x:c r="G165" s="245" t="str">
        <x:v>PPIQ_Chapter3_General_Technical_Function_Description_v4.10.3.md §D10</x:v>
      </x:c>
      <x:c r="H165" s="245" t="str">
        <x:v>M3</x:v>
      </x:c>
      <x:c r="I165" s="245" t="str">
        <x:v>T-267</x:v>
      </x:c>
      <x:c r="J165" s="245" t="str">
        <x:v>PENDING SEMANTIC TRACE</x:v>
      </x:c>
      <x:c r="K165" s="245" t="str">
        <x:v>Frame/state/node + action/outcome proof required</x:v>
      </x:c>
    </x:row>
    <x:row r="166" ht="60" customHeight="1">
      <x:c r="A166" s="245" t="str">
        <x:v>D10/CTRL-09</x:v>
      </x:c>
      <x:c r="B166" s="245" t="str">
        <x:v>D10</x:v>
      </x:c>
      <x:c r="C166" s="245" t="str">
        <x:v>**Sensitivity detail**</x:v>
      </x:c>
      <x:c r="D166" s="245" t="str">
        <x:v>expander showing the band tested and what changed at each end</x:v>
      </x:c>
      <x:c r="E166" s="245" t="str">
        <x:v>benchmark card</x:v>
      </x:c>
      <x:c r="F166" s="245" t="str">
        <x:v>always</x:v>
      </x:c>
      <x:c r="G166" s="245" t="str">
        <x:v>PPIQ_Chapter3_General_Technical_Function_Description_v4.10.3.md §D10</x:v>
      </x:c>
      <x:c r="H166" s="245" t="str">
        <x:v>M3</x:v>
      </x:c>
      <x:c r="I166" s="245" t="str">
        <x:v>T-267</x:v>
      </x:c>
      <x:c r="J166" s="245" t="str">
        <x:v>PENDING SEMANTIC TRACE</x:v>
      </x:c>
      <x:c r="K166" s="245" t="str">
        <x:v>Frame/state/node + action/outcome proof required</x:v>
      </x:c>
    </x:row>
    <x:row r="167" ht="60" customHeight="1">
      <x:c r="A167" s="245" t="str">
        <x:v>D10/CTRL-10</x:v>
      </x:c>
      <x:c r="B167" s="245" t="str">
        <x:v>D10</x:v>
      </x:c>
      <x:c r="C167" s="245" t="str">
        <x:v>Practice row expander</x:v>
      </x:c>
      <x:c r="D167" s="245" t="str">
        <x:v>disclosure showing the parameter combination and sequence</x:v>
      </x:c>
      <x:c r="E167" s="245" t="str">
        <x:v>comparison table</x:v>
      </x:c>
      <x:c r="F167" s="245" t="str">
        <x:v>always</x:v>
      </x:c>
      <x:c r="G167" s="245" t="str">
        <x:v>PPIQ_Chapter3_General_Technical_Function_Description_v4.10.3.md §D10</x:v>
      </x:c>
      <x:c r="H167" s="245" t="str">
        <x:v>M3</x:v>
      </x:c>
      <x:c r="I167" s="245" t="str">
        <x:v>T-267</x:v>
      </x:c>
      <x:c r="J167" s="245" t="str">
        <x:v>PENDING SEMANTIC TRACE</x:v>
      </x:c>
      <x:c r="K167" s="245" t="str">
        <x:v>Frame/state/node + action/outcome proof required</x:v>
      </x:c>
    </x:row>
    <x:row r="168" ht="60" customHeight="1">
      <x:c r="A168" s="245" t="str">
        <x:v>D10/CTRL-11</x:v>
      </x:c>
      <x:c r="B168" s="245" t="str">
        <x:v>D10</x:v>
      </x:c>
      <x:c r="C168" s="245" t="str">
        <x:v>Evidence link</x:v>
      </x:c>
      <x:c r="D168" s="245" t="str">
        <x:v>link to the periods behind the statistic</x:v>
      </x:c>
      <x:c r="E168" s="245" t="str">
        <x:v>benchmark card and row</x:v>
      </x:c>
      <x:c r="F168" s="245" t="str">
        <x:v>always</x:v>
      </x:c>
      <x:c r="G168" s="245" t="str">
        <x:v>PPIQ_Chapter3_General_Technical_Function_Description_v4.10.3.md §D10</x:v>
      </x:c>
      <x:c r="H168" s="245" t="str">
        <x:v>M3</x:v>
      </x:c>
      <x:c r="I168" s="245" t="str">
        <x:v>T-267</x:v>
      </x:c>
      <x:c r="J168" s="245" t="str">
        <x:v>PENDING SEMANTIC TRACE</x:v>
      </x:c>
      <x:c r="K168" s="245" t="str">
        <x:v>Frame/state/node + action/outcome proof required</x:v>
      </x:c>
    </x:row>
    <x:row r="169" ht="60" customHeight="1">
      <x:c r="A169" s="245" t="str">
        <x:v>D10/CTRL-12</x:v>
      </x:c>
      <x:c r="B169" s="245" t="str">
        <x:v>D10</x:v>
      </x:c>
      <x:c r="C169" s="245" t="str">
        <x:v>Drift period select</x:v>
      </x:c>
      <x:c r="D169" s="245" t="str">
        <x:v>date-range</x:v>
      </x:c>
      <x:c r="E169" s="245" t="str">
        <x:v>drift panel</x:v>
      </x:c>
      <x:c r="F169" s="245" t="str">
        <x:v>always</x:v>
      </x:c>
      <x:c r="G169" s="245" t="str">
        <x:v>PPIQ_Chapter3_General_Technical_Function_Description_v4.10.3.md §D10</x:v>
      </x:c>
      <x:c r="H169" s="245" t="str">
        <x:v>M3</x:v>
      </x:c>
      <x:c r="I169" s="245" t="str">
        <x:v>T-267</x:v>
      </x:c>
      <x:c r="J169" s="245" t="str">
        <x:v>PENDING SEMANTIC TRACE</x:v>
      </x:c>
      <x:c r="K169" s="245" t="str">
        <x:v>Frame/state/node + action/outcome proof required</x:v>
      </x:c>
    </x:row>
    <x:row r="170" ht="60" customHeight="1">
      <x:c r="A170" s="245" t="str">
        <x:v>D10/CTRL-13</x:v>
      </x:c>
      <x:c r="B170" s="245" t="str">
        <x:v>D10</x:v>
      </x:c>
      <x:c r="C170" s="245" t="str">
        <x:v>Export</x:v>
      </x:c>
      <x:c r="D170" s="245" t="str">
        <x:v>secondary</x:v>
      </x:c>
      <x:c r="E170" s="245" t="str">
        <x:v>header inline-end</x:v>
      </x:c>
      <x:c r="F170" s="245" t="str">
        <x:v>rows present</x:v>
      </x:c>
      <x:c r="G170" s="245" t="str">
        <x:v>PPIQ_Chapter3_General_Technical_Function_Description_v4.10.3.md §D10</x:v>
      </x:c>
      <x:c r="H170" s="245" t="str">
        <x:v>M3</x:v>
      </x:c>
      <x:c r="I170" s="245" t="str">
        <x:v>T-267</x:v>
      </x:c>
      <x:c r="J170" s="245" t="str">
        <x:v>PENDING SEMANTIC TRACE</x:v>
      </x:c>
      <x:c r="K170" s="245" t="str">
        <x:v>Frame/state/node + action/outcome proof required</x:v>
      </x:c>
    </x:row>
    <x:row r="171" ht="60" customHeight="1">
      <x:c r="A171" s="245" t="str">
        <x:v>D11/CTRL-01</x:v>
      </x:c>
      <x:c r="B171" s="245" t="str">
        <x:v>D11</x:v>
      </x:c>
      <x:c r="C171" s="245" t="str">
        <x:v>New scenario</x:v>
      </x:c>
      <x:c r="D171" s="245" t="str">
        <x:v>primary</x:v>
      </x:c>
      <x:c r="E171" s="245" t="str">
        <x:v>inline-start header</x:v>
      </x:c>
      <x:c r="F171" s="245" t="str">
        <x:v>quota available</x:v>
      </x:c>
      <x:c r="G171" s="245" t="str">
        <x:v>PPIQ_Chapter3_General_Technical_Function_Description_v4.10.3.md §D11</x:v>
      </x:c>
      <x:c r="H171" s="245" t="str">
        <x:v>M3</x:v>
      </x:c>
      <x:c r="I171" s="245" t="str">
        <x:v>T-267</x:v>
      </x:c>
      <x:c r="J171" s="245" t="str">
        <x:v>PENDING SEMANTIC TRACE</x:v>
      </x:c>
      <x:c r="K171" s="245" t="str">
        <x:v>Frame/state/node + action/outcome proof required</x:v>
      </x:c>
    </x:row>
    <x:row r="172" ht="60" customHeight="1">
      <x:c r="A172" s="245" t="str">
        <x:v>D11/CTRL-02</x:v>
      </x:c>
      <x:c r="B172" s="245" t="str">
        <x:v>D11</x:v>
      </x:c>
      <x:c r="C172" s="245" t="str">
        <x:v>Baseline selector</x:v>
      </x:c>
      <x:c r="D172" s="245" t="str">
        <x:v>`StandardSelect` (period, context or a saved state)</x:v>
      </x:c>
      <x:c r="E172" s="245" t="str">
        <x:v>variable panel</x:v>
      </x:c>
      <x:c r="F172" s="245" t="str">
        <x:v>always</x:v>
      </x:c>
      <x:c r="G172" s="245" t="str">
        <x:v>PPIQ_Chapter3_General_Technical_Function_Description_v4.10.3.md §D11</x:v>
      </x:c>
      <x:c r="H172" s="245" t="str">
        <x:v>M3</x:v>
      </x:c>
      <x:c r="I172" s="245" t="str">
        <x:v>T-267</x:v>
      </x:c>
      <x:c r="J172" s="245" t="str">
        <x:v>PENDING SEMANTIC TRACE</x:v>
      </x:c>
      <x:c r="K172" s="245" t="str">
        <x:v>Frame/state/node + action/outcome proof required</x:v>
      </x:c>
    </x:row>
    <x:row r="173" ht="60" customHeight="1">
      <x:c r="A173" s="245" t="str">
        <x:v>D11/CTRL-03</x:v>
      </x:c>
      <x:c r="B173" s="245" t="str">
        <x:v>D11</x:v>
      </x:c>
      <x:c r="C173" s="245" t="str">
        <x:v>Variable row: include toggle, value or range</x:v>
      </x:c>
      <x:c r="D173" s="245" t="str">
        <x:v>toggle plus numeric or slider</x:v>
      </x:c>
      <x:c r="E173" s="245" t="str">
        <x:v>variable panel</x:v>
      </x:c>
      <x:c r="F173" s="245" t="str">
        <x:v>variable registered and model-supported</x:v>
      </x:c>
      <x:c r="G173" s="245" t="str">
        <x:v>PPIQ_Chapter3_General_Technical_Function_Description_v4.10.3.md §D11</x:v>
      </x:c>
      <x:c r="H173" s="245" t="str">
        <x:v>M3</x:v>
      </x:c>
      <x:c r="I173" s="245" t="str">
        <x:v>T-267</x:v>
      </x:c>
      <x:c r="J173" s="245" t="str">
        <x:v>PENDING SEMANTIC TRACE</x:v>
      </x:c>
      <x:c r="K173" s="245" t="str">
        <x:v>Frame/state/node + action/outcome proof required</x:v>
      </x:c>
    </x:row>
    <x:row r="174" ht="60" customHeight="1">
      <x:c r="A174" s="245" t="str">
        <x:v>D11/CTRL-04</x:v>
      </x:c>
      <x:c r="B174" s="245" t="str">
        <x:v>D11</x:v>
      </x:c>
      <x:c r="C174" s="245" t="str">
        <x:v>Fixed assumptions</x:v>
      </x:c>
      <x:c r="D174" s="245" t="str">
        <x:v>read-only list</x:v>
      </x:c>
      <x:c r="E174" s="245" t="str">
        <x:v>variable panel</x:v>
      </x:c>
      <x:c r="F174" s="245" t="str">
        <x:v>always</x:v>
      </x:c>
      <x:c r="G174" s="245" t="str">
        <x:v>PPIQ_Chapter3_General_Technical_Function_Description_v4.10.3.md §D11</x:v>
      </x:c>
      <x:c r="H174" s="245" t="str">
        <x:v>M3</x:v>
      </x:c>
      <x:c r="I174" s="245" t="str">
        <x:v>T-267</x:v>
      </x:c>
      <x:c r="J174" s="245" t="str">
        <x:v>PENDING SEMANTIC TRACE</x:v>
      </x:c>
      <x:c r="K174" s="245" t="str">
        <x:v>Frame/state/node + action/outcome proof required</x:v>
      </x:c>
    </x:row>
    <x:row r="175" ht="60" customHeight="1">
      <x:c r="A175" s="245" t="str">
        <x:v>D11/CTRL-05</x:v>
      </x:c>
      <x:c r="B175" s="245" t="str">
        <x:v>D11</x:v>
      </x:c>
      <x:c r="C175" s="245" t="str">
        <x:v>Model version</x:v>
      </x:c>
      <x:c r="D175" s="245" t="str">
        <x:v>`StandardSelect`</x:v>
      </x:c>
      <x:c r="E175" s="245" t="str">
        <x:v>variable panel</x:v>
      </x:c>
      <x:c r="F175" s="245" t="str">
        <x:v>an active model exists</x:v>
      </x:c>
      <x:c r="G175" s="245" t="str">
        <x:v>PPIQ_Chapter3_General_Technical_Function_Description_v4.10.3.md §D11</x:v>
      </x:c>
      <x:c r="H175" s="245" t="str">
        <x:v>M3</x:v>
      </x:c>
      <x:c r="I175" s="245" t="str">
        <x:v>T-267</x:v>
      </x:c>
      <x:c r="J175" s="245" t="str">
        <x:v>PENDING SEMANTIC TRACE</x:v>
      </x:c>
      <x:c r="K175" s="245" t="str">
        <x:v>Frame/state/node + action/outcome proof required</x:v>
      </x:c>
    </x:row>
    <x:row r="176" ht="60" customHeight="1">
      <x:c r="A176" s="245" t="str">
        <x:v>D11/CTRL-06</x:v>
      </x:c>
      <x:c r="B176" s="245" t="str">
        <x:v>D11</x:v>
      </x:c>
      <x:c r="C176" s="245" t="str">
        <x:v>Run simulation</x:v>
      </x:c>
      <x:c r="D176" s="245" t="str">
        <x:v>primary</x:v>
      </x:c>
      <x:c r="E176" s="245" t="str">
        <x:v>footer inline-end</x:v>
      </x:c>
      <x:c r="F176" s="245" t="str">
        <x:v>at least one variable included and all values in range</x:v>
      </x:c>
      <x:c r="G176" s="245" t="str">
        <x:v>PPIQ_Chapter3_General_Technical_Function_Description_v4.10.3.md §D11</x:v>
      </x:c>
      <x:c r="H176" s="245" t="str">
        <x:v>M3</x:v>
      </x:c>
      <x:c r="I176" s="245" t="str">
        <x:v>T-267</x:v>
      </x:c>
      <x:c r="J176" s="245" t="str">
        <x:v>PENDING SEMANTIC TRACE</x:v>
      </x:c>
      <x:c r="K176" s="245" t="str">
        <x:v>Frame/state/node + action/outcome proof required</x:v>
      </x:c>
    </x:row>
    <x:row r="177" ht="60" customHeight="1">
      <x:c r="A177" s="245" t="str">
        <x:v>D11/CTRL-07</x:v>
      </x:c>
      <x:c r="B177" s="245" t="str">
        <x:v>D11</x:v>
      </x:c>
      <x:c r="C177" s="245" t="str">
        <x:v>Save scenario</x:v>
      </x:c>
      <x:c r="D177" s="245" t="str">
        <x:v>secondary</x:v>
      </x:c>
      <x:c r="E177" s="245" t="str">
        <x:v>footer</x:v>
      </x:c>
      <x:c r="F177" s="245" t="str">
        <x:v>a result exists</x:v>
      </x:c>
      <x:c r="G177" s="245" t="str">
        <x:v>PPIQ_Chapter3_General_Technical_Function_Description_v4.10.3.md §D11</x:v>
      </x:c>
      <x:c r="H177" s="245" t="str">
        <x:v>M3</x:v>
      </x:c>
      <x:c r="I177" s="245" t="str">
        <x:v>T-267</x:v>
      </x:c>
      <x:c r="J177" s="245" t="str">
        <x:v>PENDING SEMANTIC TRACE</x:v>
      </x:c>
      <x:c r="K177" s="245" t="str">
        <x:v>Frame/state/node + action/outcome proof required</x:v>
      </x:c>
    </x:row>
    <x:row r="178" ht="60" customHeight="1">
      <x:c r="A178" s="245" t="str">
        <x:v>D11/CTRL-08</x:v>
      </x:c>
      <x:c r="B178" s="245" t="str">
        <x:v>D11</x:v>
      </x:c>
      <x:c r="C178" s="245" t="str">
        <x:v>Compare</x:v>
      </x:c>
      <x:c r="D178" s="245" t="str">
        <x:v>secondary</x:v>
      </x:c>
      <x:c r="E178" s="245" t="str">
        <x:v>comparison strip</x:v>
      </x:c>
      <x:c r="F178" s="245" t="str">
        <x:v>two or more saved scenarios</x:v>
      </x:c>
      <x:c r="G178" s="245" t="str">
        <x:v>PPIQ_Chapter3_General_Technical_Function_Description_v4.10.3.md §D11</x:v>
      </x:c>
      <x:c r="H178" s="245" t="str">
        <x:v>M3</x:v>
      </x:c>
      <x:c r="I178" s="245" t="str">
        <x:v>T-267</x:v>
      </x:c>
      <x:c r="J178" s="245" t="str">
        <x:v>PENDING SEMANTIC TRACE</x:v>
      </x:c>
      <x:c r="K178" s="245" t="str">
        <x:v>Frame/state/node + action/outcome proof required</x:v>
      </x:c>
    </x:row>
    <x:row r="179" ht="60" customHeight="1">
      <x:c r="A179" s="245" t="str">
        <x:v>D11/CTRL-09</x:v>
      </x:c>
      <x:c r="B179" s="245" t="str">
        <x:v>D11</x:v>
      </x:c>
      <x:c r="C179" s="245" t="str">
        <x:v>Export</x:v>
      </x:c>
      <x:c r="D179" s="245" t="str">
        <x:v>secondary</x:v>
      </x:c>
      <x:c r="E179" s="245" t="str">
        <x:v>header inline-end</x:v>
      </x:c>
      <x:c r="F179" s="245" t="str">
        <x:v>a result exists</x:v>
      </x:c>
      <x:c r="G179" s="245" t="str">
        <x:v>PPIQ_Chapter3_General_Technical_Function_Description_v4.10.3.md §D11</x:v>
      </x:c>
      <x:c r="H179" s="245" t="str">
        <x:v>M3</x:v>
      </x:c>
      <x:c r="I179" s="245" t="str">
        <x:v>T-267</x:v>
      </x:c>
      <x:c r="J179" s="245" t="str">
        <x:v>PENDING SEMANTIC TRACE</x:v>
      </x:c>
      <x:c r="K179" s="245" t="str">
        <x:v>Frame/state/node + action/outcome proof required</x:v>
      </x:c>
    </x:row>
    <x:row r="180" ht="60" customHeight="1">
      <x:c r="A180" s="245" t="str">
        <x:v>D12/CTRL-01</x:v>
      </x:c>
      <x:c r="B180" s="245" t="str">
        <x:v>D12</x:v>
      </x:c>
      <x:c r="C180" s="245" t="str">
        <x:v>Compare by</x:v>
      </x:c>
      <x:c r="D180" s="245" t="str">
        <x:v>`StandardSelect` from registry: line, equipment, route, product family, shift or crew where registered, period</x:v>
      </x:c>
      <x:c r="E180" s="245" t="str">
        <x:v>header</x:v>
      </x:c>
      <x:c r="F180" s="245" t="str">
        <x:v>registered dimensions exist</x:v>
      </x:c>
      <x:c r="G180" s="245" t="str">
        <x:v>PPIQ_Chapter3_General_Technical_Function_Description_v4.10.3.md §D12</x:v>
      </x:c>
      <x:c r="H180" s="245" t="str">
        <x:v>M3</x:v>
      </x:c>
      <x:c r="I180" s="245" t="str">
        <x:v>T-267</x:v>
      </x:c>
      <x:c r="J180" s="245" t="str">
        <x:v>PENDING SEMANTIC TRACE</x:v>
      </x:c>
      <x:c r="K180" s="245" t="str">
        <x:v>Frame/state/node + action/outcome proof required</x:v>
      </x:c>
    </x:row>
    <x:row r="181" ht="60" customHeight="1">
      <x:c r="A181" s="245" t="str">
        <x:v>D12/CTRL-02</x:v>
      </x:c>
      <x:c r="B181" s="245" t="str">
        <x:v>D12</x:v>
      </x:c>
      <x:c r="C181" s="245" t="str">
        <x:v>Measure</x:v>
      </x:c>
      <x:c r="D181" s="245" t="str">
        <x:v>`StandardSelect` from registry</x:v>
      </x:c>
      <x:c r="E181" s="245" t="str">
        <x:v>header</x:v>
      </x:c>
      <x:c r="F181" s="245" t="str">
        <x:v>always</x:v>
      </x:c>
      <x:c r="G181" s="245" t="str">
        <x:v>PPIQ_Chapter3_General_Technical_Function_Description_v4.10.3.md §D12</x:v>
      </x:c>
      <x:c r="H181" s="245" t="str">
        <x:v>M3</x:v>
      </x:c>
      <x:c r="I181" s="245" t="str">
        <x:v>T-267</x:v>
      </x:c>
      <x:c r="J181" s="245" t="str">
        <x:v>PENDING SEMANTIC TRACE</x:v>
      </x:c>
      <x:c r="K181" s="245" t="str">
        <x:v>Frame/state/node + action/outcome proof required</x:v>
      </x:c>
    </x:row>
    <x:row r="182" ht="60" customHeight="1">
      <x:c r="A182" s="245" t="str">
        <x:v>D12/CTRL-03</x:v>
      </x:c>
      <x:c r="B182" s="245" t="str">
        <x:v>D12</x:v>
      </x:c>
      <x:c r="C182" s="245" t="str">
        <x:v>Period and comparison period</x:v>
      </x:c>
      <x:c r="D182" s="245" t="str">
        <x:v>date-range pair</x:v>
      </x:c>
      <x:c r="E182" s="245" t="str">
        <x:v>header</x:v>
      </x:c>
      <x:c r="F182" s="245" t="str">
        <x:v>always</x:v>
      </x:c>
      <x:c r="G182" s="245" t="str">
        <x:v>PPIQ_Chapter3_General_Technical_Function_Description_v4.10.3.md §D12</x:v>
      </x:c>
      <x:c r="H182" s="245" t="str">
        <x:v>M3</x:v>
      </x:c>
      <x:c r="I182" s="245" t="str">
        <x:v>T-267</x:v>
      </x:c>
      <x:c r="J182" s="245" t="str">
        <x:v>PENDING SEMANTIC TRACE</x:v>
      </x:c>
      <x:c r="K182" s="245" t="str">
        <x:v>Frame/state/node + action/outcome proof required</x:v>
      </x:c>
    </x:row>
    <x:row r="183" ht="60" customHeight="1">
      <x:c r="A183" s="245" t="str">
        <x:v>D12/CTRL-04</x:v>
      </x:c>
      <x:c r="B183" s="245" t="str">
        <x:v>D12</x:v>
      </x:c>
      <x:c r="C183" s="245" t="str">
        <x:v>Matrix cell</x:v>
      </x:c>
      <x:c r="D183" s="245" t="str">
        <x:v>selectable</x:v>
      </x:c>
      <x:c r="E183" s="245" t="str">
        <x:v>matrix</x:v>
      </x:c>
      <x:c r="F183" s="245" t="str">
        <x:v>always</x:v>
      </x:c>
      <x:c r="G183" s="245" t="str">
        <x:v>PPIQ_Chapter3_General_Technical_Function_Description_v4.10.3.md §D12</x:v>
      </x:c>
      <x:c r="H183" s="245" t="str">
        <x:v>M3</x:v>
      </x:c>
      <x:c r="I183" s="245" t="str">
        <x:v>T-267</x:v>
      </x:c>
      <x:c r="J183" s="245" t="str">
        <x:v>PENDING SEMANTIC TRACE</x:v>
      </x:c>
      <x:c r="K183" s="245" t="str">
        <x:v>Frame/state/node + action/outcome proof required</x:v>
      </x:c>
    </x:row>
    <x:row r="184" ht="60" customHeight="1">
      <x:c r="A184" s="245" t="str">
        <x:v>D12/CTRL-05</x:v>
      </x:c>
      <x:c r="B184" s="245" t="str">
        <x:v>D12</x:v>
      </x:c>
      <x:c r="C184" s="245" t="str">
        <x:v>Normalise by</x:v>
      </x:c>
      <x:c r="D184" s="245" t="str">
        <x:v>`StandardSelect` (per tonne, per hour, per unit)</x:v>
      </x:c>
      <x:c r="E184" s="245" t="str">
        <x:v>header</x:v>
      </x:c>
      <x:c r="F184" s="245" t="str">
        <x:v>measure supports it</x:v>
      </x:c>
      <x:c r="G184" s="245" t="str">
        <x:v>PPIQ_Chapter3_General_Technical_Function_Description_v4.10.3.md §D12</x:v>
      </x:c>
      <x:c r="H184" s="245" t="str">
        <x:v>M3</x:v>
      </x:c>
      <x:c r="I184" s="245" t="str">
        <x:v>T-267</x:v>
      </x:c>
      <x:c r="J184" s="245" t="str">
        <x:v>PENDING SEMANTIC TRACE</x:v>
      </x:c>
      <x:c r="K184" s="245" t="str">
        <x:v>Frame/state/node + action/outcome proof required</x:v>
      </x:c>
    </x:row>
    <x:row r="185" ht="60" customHeight="1">
      <x:c r="A185" s="245" t="str">
        <x:v>D12/CTRL-06</x:v>
      </x:c>
      <x:c r="B185" s="245" t="str">
        <x:v>D12</x:v>
      </x:c>
      <x:c r="C185" s="245" t="str">
        <x:v>Significance badge</x:v>
      </x:c>
      <x:c r="D185" s="245" t="str">
        <x:v>badge with text</x:v>
      </x:c>
      <x:c r="E185" s="245" t="str">
        <x:v>significance panel</x:v>
      </x:c>
      <x:c r="F185" s="245" t="str">
        <x:v>both populations above minimum</x:v>
      </x:c>
      <x:c r="G185" s="245" t="str">
        <x:v>PPIQ_Chapter3_General_Technical_Function_Description_v4.10.3.md §D12</x:v>
      </x:c>
      <x:c r="H185" s="245" t="str">
        <x:v>M3</x:v>
      </x:c>
      <x:c r="I185" s="245" t="str">
        <x:v>T-267</x:v>
      </x:c>
      <x:c r="J185" s="245" t="str">
        <x:v>PENDING SEMANTIC TRACE</x:v>
      </x:c>
      <x:c r="K185" s="245" t="str">
        <x:v>Frame/state/node + action/outcome proof required</x:v>
      </x:c>
    </x:row>
    <x:row r="186" ht="60" customHeight="1">
      <x:c r="A186" s="245" t="str">
        <x:v>D12/CTRL-07</x:v>
      </x:c>
      <x:c r="B186" s="245" t="str">
        <x:v>D12</x:v>
      </x:c>
      <x:c r="C186" s="245" t="str">
        <x:v>Compare to own best practice</x:v>
      </x:c>
      <x:c r="D186" s="245" t="str">
        <x:v>secondary</x:v>
      </x:c>
      <x:c r="E186" s="245" t="str">
        <x:v>block-end</x:v>
      </x:c>
      <x:c r="F186" s="245" t="str">
        <x:v>practice benchmarks exist for the context</x:v>
      </x:c>
      <x:c r="G186" s="245" t="str">
        <x:v>PPIQ_Chapter3_General_Technical_Function_Description_v4.10.3.md §D12</x:v>
      </x:c>
      <x:c r="H186" s="245" t="str">
        <x:v>M3</x:v>
      </x:c>
      <x:c r="I186" s="245" t="str">
        <x:v>T-267</x:v>
      </x:c>
      <x:c r="J186" s="245" t="str">
        <x:v>PENDING SEMANTIC TRACE</x:v>
      </x:c>
      <x:c r="K186" s="245" t="str">
        <x:v>Frame/state/node + action/outcome proof required</x:v>
      </x:c>
    </x:row>
    <x:row r="187" ht="60" customHeight="1">
      <x:c r="A187" s="245" t="str">
        <x:v>D12/CTRL-08</x:v>
      </x:c>
      <x:c r="B187" s="245" t="str">
        <x:v>D12</x:v>
      </x:c>
      <x:c r="C187" s="245" t="str">
        <x:v>Export</x:v>
      </x:c>
      <x:c r="D187" s="245" t="str">
        <x:v>secondary</x:v>
      </x:c>
      <x:c r="E187" s="245" t="str">
        <x:v>header inline-end</x:v>
      </x:c>
      <x:c r="F187" s="245" t="str">
        <x:v>a result exists</x:v>
      </x:c>
      <x:c r="G187" s="245" t="str">
        <x:v>PPIQ_Chapter3_General_Technical_Function_Description_v4.10.3.md §D12</x:v>
      </x:c>
      <x:c r="H187" s="245" t="str">
        <x:v>M3</x:v>
      </x:c>
      <x:c r="I187" s="245" t="str">
        <x:v>T-267</x:v>
      </x:c>
      <x:c r="J187" s="245" t="str">
        <x:v>PENDING SEMANTIC TRACE</x:v>
      </x:c>
      <x:c r="K187" s="245" t="str">
        <x:v>Frame/state/node + action/outcome proof required</x:v>
      </x:c>
    </x:row>
    <x:row r="188" ht="60" customHeight="1">
      <x:c r="A188" s="245" t="str">
        <x:v>E2/CTRL-PROSE</x:v>
      </x:c>
      <x:c r="B188" s="245" t="str">
        <x:v>E2</x:v>
      </x:c>
      <x:c r="C188" s="245" t="str">
        <x:v>Grounding policy select (`strict-citations-required`); Evidence policy select (`citations-and-provenance-required`); Max citations stepper; Tools matrix (tool against role and tier); Knowledge sources checklist; Glossary term and synonym rows; Guardrail phrase rows; Serving mode select (self-hosted, private endpoint, customer model) with the no-egress indicator; Save (primary); Reset (secondary, confirmed); Reindex (secondary).</x:v>
      </x:c>
      <x:c r="D188" s="245" t="str">
        <x:v>Source prose</x:v>
      </x:c>
      <x:c r="E188" s="245" t="str">
        <x:v>See source</x:v>
      </x:c>
      <x:c r="F188" s="245" t="str">
        <x:v>See source</x:v>
      </x:c>
      <x:c r="G188" s="245" t="str">
        <x:v>PPIQ_Chapter3_General_Technical_Function_Description_v4.10.3.md §E2</x:v>
      </x:c>
      <x:c r="H188" s="245" t="str">
        <x:v>M2 + M3</x:v>
      </x:c>
      <x:c r="I188" s="245" t="str">
        <x:v>T-265; T-267</x:v>
      </x:c>
      <x:c r="J188" s="245" t="str">
        <x:v>PENDING DECOMPOSITION</x:v>
      </x:c>
      <x:c r="K188" s="245" t="str">
        <x:v>Split prose obligations into controls; do not count zero controls.</x:v>
      </x:c>
    </x:row>
    <x:row r="189" ht="60" customHeight="1">
      <x:c r="A189" s="245" t="str">
        <x:v>E3/CTRL-01</x:v>
      </x:c>
      <x:c r="B189" s="245" t="str">
        <x:v>E3</x:v>
      </x:c>
      <x:c r="C189" s="245" t="str">
        <x:v>Run evaluation</x:v>
      </x:c>
      <x:c r="D189" s="245" t="str">
        <x:v>primary</x:v>
      </x:c>
      <x:c r="E189" s="245" t="str">
        <x:v>header inline-end</x:v>
      </x:c>
      <x:c r="F189" s="245" t="str">
        <x:v>not already running</x:v>
      </x:c>
      <x:c r="G189" s="245" t="str">
        <x:v>PPIQ_Chapter3_General_Technical_Function_Description_v4.10.3.md §E3</x:v>
      </x:c>
      <x:c r="H189" s="245" t="str">
        <x:v>M2 + M3</x:v>
      </x:c>
      <x:c r="I189" s="245" t="str">
        <x:v>T-265; T-267</x:v>
      </x:c>
      <x:c r="J189" s="245" t="str">
        <x:v>PENDING SEMANTIC TRACE</x:v>
      </x:c>
      <x:c r="K189" s="245" t="str">
        <x:v>Frame/state/node + action/outcome proof required</x:v>
      </x:c>
    </x:row>
    <x:row r="190" ht="60" customHeight="1">
      <x:c r="A190" s="245" t="str">
        <x:v>E3/CTRL-02</x:v>
      </x:c>
      <x:c r="B190" s="245" t="str">
        <x:v>E3</x:v>
      </x:c>
      <x:c r="C190" s="245" t="str">
        <x:v>Rule name</x:v>
      </x:c>
      <x:c r="D190" s="245" t="str">
        <x:v>`StandardInput`, placeholder "&lt;rule name&gt;"</x:v>
      </x:c>
      <x:c r="E190" s="245" t="str">
        <x:v>rule form</x:v>
      </x:c>
      <x:c r="F190" s="245" t="str">
        <x:v>always</x:v>
      </x:c>
      <x:c r="G190" s="245" t="str">
        <x:v>PPIQ_Chapter3_General_Technical_Function_Description_v4.10.3.md §E3</x:v>
      </x:c>
      <x:c r="H190" s="245" t="str">
        <x:v>M2 + M3</x:v>
      </x:c>
      <x:c r="I190" s="245" t="str">
        <x:v>T-265; T-267</x:v>
      </x:c>
      <x:c r="J190" s="245" t="str">
        <x:v>PENDING SEMANTIC TRACE</x:v>
      </x:c>
      <x:c r="K190" s="245" t="str">
        <x:v>Frame/state/node + action/outcome proof required</x:v>
      </x:c>
    </x:row>
    <x:row r="191" ht="60" customHeight="1">
      <x:c r="A191" s="245" t="str">
        <x:v>E3/CTRL-03</x:v>
      </x:c>
      <x:c r="B191" s="245" t="str">
        <x:v>E3</x:v>
      </x:c>
      <x:c r="C191" s="245" t="str">
        <x:v>Parameter code</x:v>
      </x:c>
      <x:c r="D191" s="245" t="str">
        <x:v>`StandardInput`, placeholder "&lt;parameter_code&gt;"</x:v>
      </x:c>
      <x:c r="E191" s="245" t="str">
        <x:v>rule form</x:v>
      </x:c>
      <x:c r="F191" s="245" t="str">
        <x:v>always</x:v>
      </x:c>
      <x:c r="G191" s="245" t="str">
        <x:v>PPIQ_Chapter3_General_Technical_Function_Description_v4.10.3.md §E3</x:v>
      </x:c>
      <x:c r="H191" s="245" t="str">
        <x:v>M2 + M3</x:v>
      </x:c>
      <x:c r="I191" s="245" t="str">
        <x:v>T-265; T-267</x:v>
      </x:c>
      <x:c r="J191" s="245" t="str">
        <x:v>PENDING SEMANTIC TRACE</x:v>
      </x:c>
      <x:c r="K191" s="245" t="str">
        <x:v>Frame/state/node + action/outcome proof required</x:v>
      </x:c>
    </x:row>
    <x:row r="192" ht="60" customHeight="1">
      <x:c r="A192" s="245" t="str">
        <x:v>E3/CTRL-04</x:v>
      </x:c>
      <x:c r="B192" s="245" t="str">
        <x:v>E3</x:v>
      </x:c>
      <x:c r="C192" s="245" t="str">
        <x:v>Comparator</x:v>
      </x:c>
      <x:c r="D192" s="245" t="str">
        <x:v>`StandardSelect`, exactly `&gt;` `&gt;=` `&lt;` `&lt;=` `=`</x:v>
      </x:c>
      <x:c r="E192" s="245" t="str">
        <x:v>rule form</x:v>
      </x:c>
      <x:c r="F192" s="245" t="str">
        <x:v>always</x:v>
      </x:c>
      <x:c r="G192" s="245" t="str">
        <x:v>PPIQ_Chapter3_General_Technical_Function_Description_v4.10.3.md §E3</x:v>
      </x:c>
      <x:c r="H192" s="245" t="str">
        <x:v>M2 + M3</x:v>
      </x:c>
      <x:c r="I192" s="245" t="str">
        <x:v>T-265; T-267</x:v>
      </x:c>
      <x:c r="J192" s="245" t="str">
        <x:v>PENDING SEMANTIC TRACE</x:v>
      </x:c>
      <x:c r="K192" s="245" t="str">
        <x:v>Frame/state/node + action/outcome proof required</x:v>
      </x:c>
    </x:row>
    <x:row r="193" ht="60" customHeight="1">
      <x:c r="A193" s="245" t="str">
        <x:v>E3/CTRL-05</x:v>
      </x:c>
      <x:c r="B193" s="245" t="str">
        <x:v>E3</x:v>
      </x:c>
      <x:c r="C193" s="245" t="str">
        <x:v>Limit</x:v>
      </x:c>
      <x:c r="D193" s="245" t="str">
        <x:v>`StandardInput` numeric, placeholder "&lt;limit value&gt;"</x:v>
      </x:c>
      <x:c r="E193" s="245" t="str">
        <x:v>rule form</x:v>
      </x:c>
      <x:c r="F193" s="245" t="str">
        <x:v>always</x:v>
      </x:c>
      <x:c r="G193" s="245" t="str">
        <x:v>PPIQ_Chapter3_General_Technical_Function_Description_v4.10.3.md §E3</x:v>
      </x:c>
      <x:c r="H193" s="245" t="str">
        <x:v>M2 + M3</x:v>
      </x:c>
      <x:c r="I193" s="245" t="str">
        <x:v>T-265; T-267</x:v>
      </x:c>
      <x:c r="J193" s="245" t="str">
        <x:v>PENDING SEMANTIC TRACE</x:v>
      </x:c>
      <x:c r="K193" s="245" t="str">
        <x:v>Frame/state/node + action/outcome proof required</x:v>
      </x:c>
    </x:row>
    <x:row r="194" ht="60" customHeight="1">
      <x:c r="A194" s="245" t="str">
        <x:v>E3/CTRL-06</x:v>
      </x:c>
      <x:c r="B194" s="245" t="str">
        <x:v>E3</x:v>
      </x:c>
      <x:c r="C194" s="245" t="str">
        <x:v>Severity</x:v>
      </x:c>
      <x:c r="D194" s="245" t="str">
        <x:v>`StandardSelect` Info / Warning / Critical</x:v>
      </x:c>
      <x:c r="E194" s="245" t="str">
        <x:v>rule form</x:v>
      </x:c>
      <x:c r="F194" s="245" t="str">
        <x:v>always</x:v>
      </x:c>
      <x:c r="G194" s="245" t="str">
        <x:v>PPIQ_Chapter3_General_Technical_Function_Description_v4.10.3.md §E3</x:v>
      </x:c>
      <x:c r="H194" s="245" t="str">
        <x:v>M2 + M3</x:v>
      </x:c>
      <x:c r="I194" s="245" t="str">
        <x:v>T-265; T-267</x:v>
      </x:c>
      <x:c r="J194" s="245" t="str">
        <x:v>PENDING SEMANTIC TRACE</x:v>
      </x:c>
      <x:c r="K194" s="245" t="str">
        <x:v>Frame/state/node + action/outcome proof required</x:v>
      </x:c>
    </x:row>
    <x:row r="195" ht="60" customHeight="1">
      <x:c r="A195" s="245" t="str">
        <x:v>E3/CTRL-07</x:v>
      </x:c>
      <x:c r="B195" s="245" t="str">
        <x:v>E3</x:v>
      </x:c>
      <x:c r="C195" s="245" t="str">
        <x:v>Add rule</x:v>
      </x:c>
      <x:c r="D195" s="245" t="str">
        <x:v>primary</x:v>
      </x:c>
      <x:c r="E195" s="245" t="str">
        <x:v>rule form footer</x:v>
      </x:c>
      <x:c r="F195" s="245" t="str">
        <x:v>validation passes</x:v>
      </x:c>
      <x:c r="G195" s="245" t="str">
        <x:v>PPIQ_Chapter3_General_Technical_Function_Description_v4.10.3.md §E3</x:v>
      </x:c>
      <x:c r="H195" s="245" t="str">
        <x:v>M2 + M3</x:v>
      </x:c>
      <x:c r="I195" s="245" t="str">
        <x:v>T-265; T-267</x:v>
      </x:c>
      <x:c r="J195" s="245" t="str">
        <x:v>PENDING SEMANTIC TRACE</x:v>
      </x:c>
      <x:c r="K195" s="245" t="str">
        <x:v>Frame/state/node + action/outcome proof required</x:v>
      </x:c>
    </x:row>
    <x:row r="196" ht="60" customHeight="1">
      <x:c r="A196" s="245" t="str">
        <x:v>E3/CTRL-08</x:v>
      </x:c>
      <x:c r="B196" s="245" t="str">
        <x:v>E3</x:v>
      </x:c>
      <x:c r="C196" s="245" t="str">
        <x:v>Deactivate rule</x:v>
      </x:c>
      <x:c r="D196" s="245" t="str">
        <x:v>secondary</x:v>
      </x:c>
      <x:c r="E196" s="245" t="str">
        <x:v>rules row</x:v>
      </x:c>
      <x:c r="F196" s="245" t="str">
        <x:v>rule active</x:v>
      </x:c>
      <x:c r="G196" s="245" t="str">
        <x:v>PPIQ_Chapter3_General_Technical_Function_Description_v4.10.3.md §E3</x:v>
      </x:c>
      <x:c r="H196" s="245" t="str">
        <x:v>M2 + M3</x:v>
      </x:c>
      <x:c r="I196" s="245" t="str">
        <x:v>T-265; T-267</x:v>
      </x:c>
      <x:c r="J196" s="245" t="str">
        <x:v>PENDING SEMANTIC TRACE</x:v>
      </x:c>
      <x:c r="K196" s="245" t="str">
        <x:v>Frame/state/node + action/outcome proof required</x:v>
      </x:c>
    </x:row>
    <x:row r="197" ht="60" customHeight="1">
      <x:c r="A197" s="245" t="str">
        <x:v>E3/CTRL-09</x:v>
      </x:c>
      <x:c r="B197" s="245" t="str">
        <x:v>E3</x:v>
      </x:c>
      <x:c r="C197" s="245" t="str">
        <x:v>Acknowledge</x:v>
      </x:c>
      <x:c r="D197" s="245" t="str">
        <x:v>secondary</x:v>
      </x:c>
      <x:c r="E197" s="245" t="str">
        <x:v>log row</x:v>
      </x:c>
      <x:c r="F197" s="245" t="str">
        <x:v>entry unacknowledged</x:v>
      </x:c>
      <x:c r="G197" s="245" t="str">
        <x:v>PPIQ_Chapter3_General_Technical_Function_Description_v4.10.3.md §E3</x:v>
      </x:c>
      <x:c r="H197" s="245" t="str">
        <x:v>M2 + M3</x:v>
      </x:c>
      <x:c r="I197" s="245" t="str">
        <x:v>T-265; T-267</x:v>
      </x:c>
      <x:c r="J197" s="245" t="str">
        <x:v>PENDING SEMANTIC TRACE</x:v>
      </x:c>
      <x:c r="K197" s="245" t="str">
        <x:v>Frame/state/node + action/outcome proof required</x:v>
      </x:c>
    </x:row>
    <x:row r="198" ht="60" customHeight="1">
      <x:c r="A198" s="245" t="str">
        <x:v>E4/CTRL-PROSE</x:v>
      </x:c>
      <x:c r="B198" s="245" t="str">
        <x:v>E4</x:v>
      </x:c>
      <x:c r="C198" s="245" t="str">
        <x:v>Run review now (primary, disabled with a spinner while busy); per proposal: Dry-run (secondary), Approve (primary, confirmed), Reject (Hot Red); Open provenance (link).</x:v>
      </x:c>
      <x:c r="D198" s="245" t="str">
        <x:v>Source prose</x:v>
      </x:c>
      <x:c r="E198" s="245" t="str">
        <x:v>See source</x:v>
      </x:c>
      <x:c r="F198" s="245" t="str">
        <x:v>See source</x:v>
      </x:c>
      <x:c r="G198" s="245" t="str">
        <x:v>PPIQ_Chapter3_General_Technical_Function_Description_v4.10.3.md §E4</x:v>
      </x:c>
      <x:c r="H198" s="245" t="str">
        <x:v>M3</x:v>
      </x:c>
      <x:c r="I198" s="245" t="str">
        <x:v>T-267</x:v>
      </x:c>
      <x:c r="J198" s="245" t="str">
        <x:v>PENDING DECOMPOSITION</x:v>
      </x:c>
      <x:c r="K198" s="245" t="str">
        <x:v>Split prose obligations into controls; do not count zero controls.</x:v>
      </x:c>
    </x:row>
    <x:row r="199" ht="60" customHeight="1">
      <x:c r="A199" s="245" t="str">
        <x:v>E5/CTRL-PROSE</x:v>
      </x:c>
      <x:c r="B199" s="245" t="str">
        <x:v>E5</x:v>
      </x:c>
      <x:c r="C199" s="245" t="str">
        <x:v>New definition (primary); Sections picker; Period select; Recipients rows; Schedule (cron-like select, plain language); Generate now (primary); Download (link per output); Delivery target rows (email, webhook).</x:v>
      </x:c>
      <x:c r="D199" s="245" t="str">
        <x:v>Source prose</x:v>
      </x:c>
      <x:c r="E199" s="245" t="str">
        <x:v>See source</x:v>
      </x:c>
      <x:c r="F199" s="245" t="str">
        <x:v>See source</x:v>
      </x:c>
      <x:c r="G199" s="245" t="str">
        <x:v>PPIQ_Chapter3_General_Technical_Function_Description_v4.10.3.md §E5</x:v>
      </x:c>
      <x:c r="H199" s="245" t="str">
        <x:v>M3</x:v>
      </x:c>
      <x:c r="I199" s="245" t="str">
        <x:v>T-267</x:v>
      </x:c>
      <x:c r="J199" s="245" t="str">
        <x:v>PENDING DECOMPOSITION</x:v>
      </x:c>
      <x:c r="K199" s="245" t="str">
        <x:v>Split prose obligations into controls; do not count zero controls.</x:v>
      </x:c>
    </x:row>
    <x:row r="200" ht="60" customHeight="1">
      <x:c r="A200" s="245" t="str">
        <x:v>E6/CTRL-01</x:v>
      </x:c>
      <x:c r="B200" s="245" t="str">
        <x:v>E6</x:v>
      </x:c>
      <x:c r="C200" s="245" t="str">
        <x:v>New routing rule</x:v>
      </x:c>
      <x:c r="D200" s="245" t="str">
        <x:v>primary</x:v>
      </x:c>
      <x:c r="E200" s="245" t="str">
        <x:v>inline-start header</x:v>
      </x:c>
      <x:c r="F200" s="245" t="str">
        <x:v>Administrator</x:v>
      </x:c>
      <x:c r="G200" s="245" t="str">
        <x:v>PPIQ_Chapter3_General_Technical_Function_Description_v4.10.3.md §E6</x:v>
      </x:c>
      <x:c r="H200" s="245" t="str">
        <x:v>M3</x:v>
      </x:c>
      <x:c r="I200" s="245" t="str">
        <x:v>T-267</x:v>
      </x:c>
      <x:c r="J200" s="245" t="str">
        <x:v>PENDING SEMANTIC TRACE</x:v>
      </x:c>
      <x:c r="K200" s="245" t="str">
        <x:v>Frame/state/node + action/outcome proof required</x:v>
      </x:c>
    </x:row>
    <x:row r="201" ht="60" customHeight="1">
      <x:c r="A201" s="245" t="str">
        <x:v>E6/CTRL-02</x:v>
      </x:c>
      <x:c r="B201" s="245" t="str">
        <x:v>E6</x:v>
      </x:c>
      <x:c r="C201" s="245" t="str">
        <x:v>Source channel and severity</x:v>
      </x:c>
      <x:c r="D201" s="245" t="str">
        <x:v>two selects</x:v>
      </x:c>
      <x:c r="E201" s="245" t="str">
        <x:v>editor</x:v>
      </x:c>
      <x:c r="F201" s="245" t="str">
        <x:v>always</x:v>
      </x:c>
      <x:c r="G201" s="245" t="str">
        <x:v>PPIQ_Chapter3_General_Technical_Function_Description_v4.10.3.md §E6</x:v>
      </x:c>
      <x:c r="H201" s="245" t="str">
        <x:v>M3</x:v>
      </x:c>
      <x:c r="I201" s="245" t="str">
        <x:v>T-267</x:v>
      </x:c>
      <x:c r="J201" s="245" t="str">
        <x:v>PENDING SEMANTIC TRACE</x:v>
      </x:c>
      <x:c r="K201" s="245" t="str">
        <x:v>Frame/state/node + action/outcome proof required</x:v>
      </x:c>
    </x:row>
    <x:row r="202" ht="60" customHeight="1">
      <x:c r="A202" s="245" t="str">
        <x:v>E6/CTRL-03</x:v>
      </x:c>
      <x:c r="B202" s="245" t="str">
        <x:v>E6</x:v>
      </x:c>
      <x:c r="C202" s="245" t="str">
        <x:v>Recipients: roles and users</x:v>
      </x:c>
      <x:c r="D202" s="245" t="str">
        <x:v>multi-select</x:v>
      </x:c>
      <x:c r="E202" s="245" t="str">
        <x:v>editor</x:v>
      </x:c>
      <x:c r="F202" s="245" t="str">
        <x:v>always</x:v>
      </x:c>
      <x:c r="G202" s="245" t="str">
        <x:v>PPIQ_Chapter3_General_Technical_Function_Description_v4.10.3.md §E6</x:v>
      </x:c>
      <x:c r="H202" s="245" t="str">
        <x:v>M3</x:v>
      </x:c>
      <x:c r="I202" s="245" t="str">
        <x:v>T-267</x:v>
      </x:c>
      <x:c r="J202" s="245" t="str">
        <x:v>PENDING SEMANTIC TRACE</x:v>
      </x:c>
      <x:c r="K202" s="245" t="str">
        <x:v>Frame/state/node + action/outcome proof required</x:v>
      </x:c>
    </x:row>
    <x:row r="203" ht="60" customHeight="1">
      <x:c r="A203" s="245" t="str">
        <x:v>E6/CTRL-04</x:v>
      </x:c>
      <x:c r="B203" s="245" t="str">
        <x:v>E6</x:v>
      </x:c>
      <x:c r="C203" s="245" t="str">
        <x:v>Delivery channel: in-app, email, webhook</x:v>
      </x:c>
      <x:c r="D203" s="245" t="str">
        <x:v>multi-select with per-channel target field</x:v>
      </x:c>
      <x:c r="E203" s="245" t="str">
        <x:v>editor</x:v>
      </x:c>
      <x:c r="F203" s="245" t="str">
        <x:v>channel enabled in settings</x:v>
      </x:c>
      <x:c r="G203" s="245" t="str">
        <x:v>PPIQ_Chapter3_General_Technical_Function_Description_v4.10.3.md §E6</x:v>
      </x:c>
      <x:c r="H203" s="245" t="str">
        <x:v>M3</x:v>
      </x:c>
      <x:c r="I203" s="245" t="str">
        <x:v>T-267</x:v>
      </x:c>
      <x:c r="J203" s="245" t="str">
        <x:v>PENDING SEMANTIC TRACE</x:v>
      </x:c>
      <x:c r="K203" s="245" t="str">
        <x:v>Frame/state/node + action/outcome proof required</x:v>
      </x:c>
    </x:row>
    <x:row r="204" ht="60" customHeight="1">
      <x:c r="A204" s="245" t="str">
        <x:v>E6/CTRL-05</x:v>
      </x:c>
      <x:c r="B204" s="245" t="str">
        <x:v>E6</x:v>
      </x:c>
      <x:c r="C204" s="245" t="str">
        <x:v>Escalate after</x:v>
      </x:c>
      <x:c r="D204" s="245" t="str">
        <x:v>duration stepper plus escalation recipients</x:v>
      </x:c>
      <x:c r="E204" s="245" t="str">
        <x:v>editor</x:v>
      </x:c>
      <x:c r="F204" s="245" t="str">
        <x:v>acknowledgement is required</x:v>
      </x:c>
      <x:c r="G204" s="245" t="str">
        <x:v>PPIQ_Chapter3_General_Technical_Function_Description_v4.10.3.md §E6</x:v>
      </x:c>
      <x:c r="H204" s="245" t="str">
        <x:v>M3</x:v>
      </x:c>
      <x:c r="I204" s="245" t="str">
        <x:v>T-267</x:v>
      </x:c>
      <x:c r="J204" s="245" t="str">
        <x:v>PENDING SEMANTIC TRACE</x:v>
      </x:c>
      <x:c r="K204" s="245" t="str">
        <x:v>Frame/state/node + action/outcome proof required</x:v>
      </x:c>
    </x:row>
    <x:row r="205" ht="60" customHeight="1">
      <x:c r="A205" s="245" t="str">
        <x:v>E6/CTRL-06</x:v>
      </x:c>
      <x:c r="B205" s="245" t="str">
        <x:v>E6</x:v>
      </x:c>
      <x:c r="C205" s="245" t="str">
        <x:v>Working hours and quiet periods</x:v>
      </x:c>
      <x:c r="D205" s="245" t="str">
        <x:v>time ranges plus days</x:v>
      </x:c>
      <x:c r="E205" s="245" t="str">
        <x:v>editor</x:v>
      </x:c>
      <x:c r="F205" s="245" t="str">
        <x:v>always</x:v>
      </x:c>
      <x:c r="G205" s="245" t="str">
        <x:v>PPIQ_Chapter3_General_Technical_Function_Description_v4.10.3.md §E6</x:v>
      </x:c>
      <x:c r="H205" s="245" t="str">
        <x:v>M3</x:v>
      </x:c>
      <x:c r="I205" s="245" t="str">
        <x:v>T-267</x:v>
      </x:c>
      <x:c r="J205" s="245" t="str">
        <x:v>PENDING SEMANTIC TRACE</x:v>
      </x:c>
      <x:c r="K205" s="245" t="str">
        <x:v>Frame/state/node + action/outcome proof required</x:v>
      </x:c>
    </x:row>
    <x:row r="206" ht="60" customHeight="1">
      <x:c r="A206" s="245" t="str">
        <x:v>E6/CTRL-07</x:v>
      </x:c>
      <x:c r="B206" s="245" t="str">
        <x:v>E6</x:v>
      </x:c>
      <x:c r="C206" s="245" t="str">
        <x:v>Deduplication window</x:v>
      </x:c>
      <x:c r="D206" s="245" t="str">
        <x:v>duration</x:v>
      </x:c>
      <x:c r="E206" s="245" t="str">
        <x:v>editor</x:v>
      </x:c>
      <x:c r="F206" s="245" t="str">
        <x:v>always</x:v>
      </x:c>
      <x:c r="G206" s="245" t="str">
        <x:v>PPIQ_Chapter3_General_Technical_Function_Description_v4.10.3.md §E6</x:v>
      </x:c>
      <x:c r="H206" s="245" t="str">
        <x:v>M3</x:v>
      </x:c>
      <x:c r="I206" s="245" t="str">
        <x:v>T-267</x:v>
      </x:c>
      <x:c r="J206" s="245" t="str">
        <x:v>PENDING SEMANTIC TRACE</x:v>
      </x:c>
      <x:c r="K206" s="245" t="str">
        <x:v>Frame/state/node + action/outcome proof required</x:v>
      </x:c>
    </x:row>
    <x:row r="207" ht="60" customHeight="1">
      <x:c r="A207" s="245" t="str">
        <x:v>E6/CTRL-08</x:v>
      </x:c>
      <x:c r="B207" s="245" t="str">
        <x:v>E6</x:v>
      </x:c>
      <x:c r="C207" s="245" t="str">
        <x:v>Grouping key</x:v>
      </x:c>
      <x:c r="D207" s="245" t="str">
        <x:v>`StandardSelect` from registry</x:v>
      </x:c>
      <x:c r="E207" s="245" t="str">
        <x:v>editor</x:v>
      </x:c>
      <x:c r="F207" s="245" t="str">
        <x:v>always</x:v>
      </x:c>
      <x:c r="G207" s="245" t="str">
        <x:v>PPIQ_Chapter3_General_Technical_Function_Description_v4.10.3.md §E6</x:v>
      </x:c>
      <x:c r="H207" s="245" t="str">
        <x:v>M3</x:v>
      </x:c>
      <x:c r="I207" s="245" t="str">
        <x:v>T-267</x:v>
      </x:c>
      <x:c r="J207" s="245" t="str">
        <x:v>PENDING SEMANTIC TRACE</x:v>
      </x:c>
      <x:c r="K207" s="245" t="str">
        <x:v>Frame/state/node + action/outcome proof required</x:v>
      </x:c>
    </x:row>
    <x:row r="208" ht="60" customHeight="1">
      <x:c r="A208" s="245" t="str">
        <x:v>E6/CTRL-09</x:v>
      </x:c>
      <x:c r="B208" s="245" t="str">
        <x:v>E6</x:v>
      </x:c>
      <x:c r="C208" s="245" t="str">
        <x:v>Rate limit</x:v>
      </x:c>
      <x:c r="D208" s="245" t="str">
        <x:v>count per period</x:v>
      </x:c>
      <x:c r="E208" s="245" t="str">
        <x:v>editor</x:v>
      </x:c>
      <x:c r="F208" s="245" t="str">
        <x:v>always</x:v>
      </x:c>
      <x:c r="G208" s="245" t="str">
        <x:v>PPIQ_Chapter3_General_Technical_Function_Description_v4.10.3.md §E6</x:v>
      </x:c>
      <x:c r="H208" s="245" t="str">
        <x:v>M3</x:v>
      </x:c>
      <x:c r="I208" s="245" t="str">
        <x:v>T-267</x:v>
      </x:c>
      <x:c r="J208" s="245" t="str">
        <x:v>PENDING SEMANTIC TRACE</x:v>
      </x:c>
      <x:c r="K208" s="245" t="str">
        <x:v>Frame/state/node + action/outcome proof required</x:v>
      </x:c>
    </x:row>
    <x:row r="209" ht="60" customHeight="1">
      <x:c r="A209" s="245" t="str">
        <x:v>E6/CTRL-10</x:v>
      </x:c>
      <x:c r="B209" s="245" t="str">
        <x:v>E6</x:v>
      </x:c>
      <x:c r="C209" s="245" t="str">
        <x:v>Suppression rule</x:v>
      </x:c>
      <x:c r="D209" s="245" t="str">
        <x:v>condition rows</x:v>
      </x:c>
      <x:c r="E209" s="245" t="str">
        <x:v>suppression panel</x:v>
      </x:c>
      <x:c r="F209" s="245" t="str">
        <x:v>always</x:v>
      </x:c>
      <x:c r="G209" s="245" t="str">
        <x:v>PPIQ_Chapter3_General_Technical_Function_Description_v4.10.3.md §E6</x:v>
      </x:c>
      <x:c r="H209" s="245" t="str">
        <x:v>M3</x:v>
      </x:c>
      <x:c r="I209" s="245" t="str">
        <x:v>T-267</x:v>
      </x:c>
      <x:c r="J209" s="245" t="str">
        <x:v>PENDING SEMANTIC TRACE</x:v>
      </x:c>
      <x:c r="K209" s="245" t="str">
        <x:v>Frame/state/node + action/outcome proof required</x:v>
      </x:c>
    </x:row>
    <x:row r="210" ht="60" customHeight="1">
      <x:c r="A210" s="245" t="str">
        <x:v>E6/CTRL-11</x:v>
      </x:c>
      <x:c r="B210" s="245" t="str">
        <x:v>E6</x:v>
      </x:c>
      <x:c r="C210" s="245" t="str">
        <x:v>Test delivery</x:v>
      </x:c>
      <x:c r="D210" s="245" t="str">
        <x:v>secondary</x:v>
      </x:c>
      <x:c r="E210" s="245" t="str">
        <x:v>editor footer</x:v>
      </x:c>
      <x:c r="F210" s="245" t="str">
        <x:v>recipients and channel set</x:v>
      </x:c>
      <x:c r="G210" s="245" t="str">
        <x:v>PPIQ_Chapter3_General_Technical_Function_Description_v4.10.3.md §E6</x:v>
      </x:c>
      <x:c r="H210" s="245" t="str">
        <x:v>M3</x:v>
      </x:c>
      <x:c r="I210" s="245" t="str">
        <x:v>T-267</x:v>
      </x:c>
      <x:c r="J210" s="245" t="str">
        <x:v>PENDING SEMANTIC TRACE</x:v>
      </x:c>
      <x:c r="K210" s="245" t="str">
        <x:v>Frame/state/node + action/outcome proof required</x:v>
      </x:c>
    </x:row>
    <x:row r="211" ht="60" customHeight="1">
      <x:c r="A211" s="245" t="str">
        <x:v>E6/CTRL-12</x:v>
      </x:c>
      <x:c r="B211" s="245" t="str">
        <x:v>E6</x:v>
      </x:c>
      <x:c r="C211" s="245" t="str">
        <x:v>Save rule</x:v>
      </x:c>
      <x:c r="D211" s="245" t="str">
        <x:v>primary</x:v>
      </x:c>
      <x:c r="E211" s="245" t="str">
        <x:v>editor footer</x:v>
      </x:c>
      <x:c r="F211" s="245" t="str">
        <x:v>validation passes</x:v>
      </x:c>
      <x:c r="G211" s="245" t="str">
        <x:v>PPIQ_Chapter3_General_Technical_Function_Description_v4.10.3.md §E6</x:v>
      </x:c>
      <x:c r="H211" s="245" t="str">
        <x:v>M3</x:v>
      </x:c>
      <x:c r="I211" s="245" t="str">
        <x:v>T-267</x:v>
      </x:c>
      <x:c r="J211" s="245" t="str">
        <x:v>PENDING SEMANTIC TRACE</x:v>
      </x:c>
      <x:c r="K211" s="245" t="str">
        <x:v>Frame/state/node + action/outcome proof required</x:v>
      </x:c>
    </x:row>
    <x:row r="212" ht="60" customHeight="1">
      <x:c r="A212" s="245" t="str">
        <x:v>E6/CTRL-13</x:v>
      </x:c>
      <x:c r="B212" s="245" t="str">
        <x:v>E6</x:v>
      </x:c>
      <x:c r="C212" s="245" t="str">
        <x:v>Retry delivery</x:v>
      </x:c>
      <x:c r="D212" s="245" t="str">
        <x:v>secondary</x:v>
      </x:c>
      <x:c r="E212" s="245" t="str">
        <x:v>delivery row</x:v>
      </x:c>
      <x:c r="F212" s="245" t="str">
        <x:v>delivery failed and retries remain</x:v>
      </x:c>
      <x:c r="G212" s="245" t="str">
        <x:v>PPIQ_Chapter3_General_Technical_Function_Description_v4.10.3.md §E6</x:v>
      </x:c>
      <x:c r="H212" s="245" t="str">
        <x:v>M3</x:v>
      </x:c>
      <x:c r="I212" s="245" t="str">
        <x:v>T-267</x:v>
      </x:c>
      <x:c r="J212" s="245" t="str">
        <x:v>PENDING SEMANTIC TRACE</x:v>
      </x:c>
      <x:c r="K212" s="245" t="str">
        <x:v>Frame/state/node + action/outcome proof required</x:v>
      </x:c>
    </x:row>
    <x:row r="213" ht="60" customHeight="1">
      <x:c r="A213" s="245" t="str">
        <x:v>E6/CTRL-14</x:v>
      </x:c>
      <x:c r="B213" s="245" t="str">
        <x:v>E6</x:v>
      </x:c>
      <x:c r="C213" s="245" t="str">
        <x:v>Dead-letter list</x:v>
      </x:c>
      <x:c r="D213" s="245" t="str">
        <x:v>table</x:v>
      </x:c>
      <x:c r="E213" s="245" t="str">
        <x:v>delivery panel</x:v>
      </x:c>
      <x:c r="F213" s="245" t="str">
        <x:v>dead letters exist</x:v>
      </x:c>
      <x:c r="G213" s="245" t="str">
        <x:v>PPIQ_Chapter3_General_Technical_Function_Description_v4.10.3.md §E6</x:v>
      </x:c>
      <x:c r="H213" s="245" t="str">
        <x:v>M3</x:v>
      </x:c>
      <x:c r="I213" s="245" t="str">
        <x:v>T-267</x:v>
      </x:c>
      <x:c r="J213" s="245" t="str">
        <x:v>PENDING SEMANTIC TRACE</x:v>
      </x:c>
      <x:c r="K213" s="245" t="str">
        <x:v>Frame/state/node + action/outcome proof required</x:v>
      </x:c>
    </x:row>
    <x:row r="214" ht="60" customHeight="1">
      <x:c r="A214" s="245" t="str">
        <x:v>F1/CTRL-PROSE</x:v>
      </x:c>
      <x:c r="B214" s="245" t="str">
        <x:v>F1</x:v>
      </x:c>
      <x:c r="C214" s="245" t="str">
        <x:v>New user (primary); Role select; permission cells (inherited rendered Muted Steel, overridden rendered Electric Cyan); Reset overrides (secondary); Deactivate (Hot Red, confirmed); Force password reset (secondary); Require second factor (toggle).</x:v>
      </x:c>
      <x:c r="D214" s="245" t="str">
        <x:v>Source prose</x:v>
      </x:c>
      <x:c r="E214" s="245" t="str">
        <x:v>See source</x:v>
      </x:c>
      <x:c r="F214" s="245" t="str">
        <x:v>See source</x:v>
      </x:c>
      <x:c r="G214" s="245" t="str">
        <x:v>PPIQ_Chapter3_General_Technical_Function_Description_v4.10.3.md §F1</x:v>
      </x:c>
      <x:c r="H214" s="245" t="str">
        <x:v>M2 + M3</x:v>
      </x:c>
      <x:c r="I214" s="245" t="str">
        <x:v>T-265; T-267</x:v>
      </x:c>
      <x:c r="J214" s="245" t="str">
        <x:v>PENDING DECOMPOSITION</x:v>
      </x:c>
      <x:c r="K214" s="245" t="str">
        <x:v>Split prose obligations into controls; do not count zero controls.</x:v>
      </x:c>
    </x:row>
    <x:row r="215" ht="60" customHeight="1">
      <x:c r="A215" s="245" t="str">
        <x:v>F2/CTRL-PROSE</x:v>
      </x:c>
      <x:c r="B215" s="245" t="str">
        <x:v>F2</x:v>
      </x:c>
      <x:c r="C215" s="245" t="str">
        <x:v>Paste token (`StandardTextArea`); Apply (primary); Verify (secondary); capability list (read-only, next-tier additions shown Muted Steel); five meter bars each linking to the administration page that would relieve it.</x:v>
      </x:c>
      <x:c r="D215" s="245" t="str">
        <x:v>Source prose</x:v>
      </x:c>
      <x:c r="E215" s="245" t="str">
        <x:v>See source</x:v>
      </x:c>
      <x:c r="F215" s="245" t="str">
        <x:v>See source</x:v>
      </x:c>
      <x:c r="G215" s="245" t="str">
        <x:v>PPIQ_Chapter3_General_Technical_Function_Description_v4.10.3.md §F2</x:v>
      </x:c>
      <x:c r="H215" s="245" t="str">
        <x:v>M2 + M3</x:v>
      </x:c>
      <x:c r="I215" s="245" t="str">
        <x:v>T-265; T-267</x:v>
      </x:c>
      <x:c r="J215" s="245" t="str">
        <x:v>PENDING DECOMPOSITION</x:v>
      </x:c>
      <x:c r="K215" s="245" t="str">
        <x:v>Split prose obligations into controls; do not count zero controls.</x:v>
      </x:c>
    </x:row>
    <x:row r="216" ht="60" customHeight="1">
      <x:c r="A216" s="245" t="str">
        <x:v>F3/CTRL-PROSE</x:v>
      </x:c>
      <x:c r="B216" s="245" t="str">
        <x:v>F3</x:v>
      </x:c>
      <x:c r="C216" s="245" t="str">
        <x:v>Cell limit editor; Add override (secondary); Remove override; Save (primary); Reset role default (secondary, confirmed).</x:v>
      </x:c>
      <x:c r="D216" s="245" t="str">
        <x:v>Source prose</x:v>
      </x:c>
      <x:c r="E216" s="245" t="str">
        <x:v>See source</x:v>
      </x:c>
      <x:c r="F216" s="245" t="str">
        <x:v>See source</x:v>
      </x:c>
      <x:c r="G216" s="245" t="str">
        <x:v>PPIQ_Chapter3_General_Technical_Function_Description_v4.10.3.md §F3</x:v>
      </x:c>
      <x:c r="H216" s="245" t="str">
        <x:v>M2 + M3</x:v>
      </x:c>
      <x:c r="I216" s="245" t="str">
        <x:v>T-265; T-267</x:v>
      </x:c>
      <x:c r="J216" s="245" t="str">
        <x:v>PENDING DECOMPOSITION</x:v>
      </x:c>
      <x:c r="K216" s="245" t="str">
        <x:v>Split prose obligations into controls; do not count zero controls.</x:v>
      </x:c>
    </x:row>
    <x:row r="217" ht="60" customHeight="1">
      <x:c r="A217" s="245" t="str">
        <x:v>F4/CTRL-01</x:v>
      </x:c>
      <x:c r="B217" s="245" t="str">
        <x:v>F4</x:v>
      </x:c>
      <x:c r="C217" s="245" t="str">
        <x:v>New definition</x:v>
      </x:c>
      <x:c r="D217" s="245" t="str">
        <x:v>primary</x:v>
      </x:c>
      <x:c r="E217" s="245" t="str">
        <x:v>header</x:v>
      </x:c>
      <x:c r="F217" s="245" t="str">
        <x:v>**Administrator only**</x:v>
      </x:c>
      <x:c r="G217" s="245" t="str">
        <x:v>PPIQ_Chapter3_General_Technical_Function_Description_v4.10.3.md §F4</x:v>
      </x:c>
      <x:c r="H217" s="245" t="str">
        <x:v>M2 + M3</x:v>
      </x:c>
      <x:c r="I217" s="245" t="str">
        <x:v>T-265; T-267</x:v>
      </x:c>
      <x:c r="J217" s="245" t="str">
        <x:v>PENDING SEMANTIC TRACE</x:v>
      </x:c>
      <x:c r="K217" s="245" t="str">
        <x:v>Frame/state/node + action/outcome proof required</x:v>
      </x:c>
    </x:row>
    <x:row r="218" ht="60" customHeight="1">
      <x:c r="A218" s="245" t="str">
        <x:v>F4/CTRL-02</x:v>
      </x:c>
      <x:c r="B218" s="245" t="str">
        <x:v>F4</x:v>
      </x:c>
      <x:c r="C218" s="245" t="str">
        <x:v>View toggle Table / Graph</x:v>
      </x:c>
      <x:c r="D218" s="245" t="str">
        <x:v>segmented</x:v>
      </x:c>
      <x:c r="E218" s="245" t="str">
        <x:v>header</x:v>
      </x:c>
      <x:c r="F218" s="245" t="str">
        <x:v>always</x:v>
      </x:c>
      <x:c r="G218" s="245" t="str">
        <x:v>PPIQ_Chapter3_General_Technical_Function_Description_v4.10.3.md §F4</x:v>
      </x:c>
      <x:c r="H218" s="245" t="str">
        <x:v>M2 + M3</x:v>
      </x:c>
      <x:c r="I218" s="245" t="str">
        <x:v>T-265; T-267</x:v>
      </x:c>
      <x:c r="J218" s="245" t="str">
        <x:v>PENDING SEMANTIC TRACE</x:v>
      </x:c>
      <x:c r="K218" s="245" t="str">
        <x:v>Frame/state/node + action/outcome proof required</x:v>
      </x:c>
    </x:row>
    <x:row r="219" ht="60" customHeight="1">
      <x:c r="A219" s="245" t="str">
        <x:v>F4/CTRL-03</x:v>
      </x:c>
      <x:c r="B219" s="245" t="str">
        <x:v>F4</x:v>
      </x:c>
      <x:c r="C219" s="245" t="str">
        <x:v>**Target definition**</x:v>
      </x:c>
      <x:c r="D219" s="245" t="str">
        <x:v>`StandardSelect` of published definitions **filtered to the surface the job class requires**</x:v>
      </x:c>
      <x:c r="E219" s="245" t="str">
        <x:v>Schedule tab</x:v>
      </x:c>
      <x:c r="F219" s="245" t="str">
        <x:v>job class requires a target</x:v>
      </x:c>
      <x:c r="G219" s="245" t="str">
        <x:v>PPIQ_Chapter3_General_Technical_Function_Description_v4.10.3.md §F4</x:v>
      </x:c>
      <x:c r="H219" s="245" t="str">
        <x:v>M2 + M3</x:v>
      </x:c>
      <x:c r="I219" s="245" t="str">
        <x:v>T-265; T-267</x:v>
      </x:c>
      <x:c r="J219" s="245" t="str">
        <x:v>PENDING SEMANTIC TRACE</x:v>
      </x:c>
      <x:c r="K219" s="245" t="str">
        <x:v>Frame/state/node + action/outcome proof required</x:v>
      </x:c>
    </x:row>
    <x:row r="220" ht="60" customHeight="1">
      <x:c r="A220" s="245" t="str">
        <x:v>F4/CTRL-04</x:v>
      </x:c>
      <x:c r="B220" s="245" t="str">
        <x:v>F4</x:v>
      </x:c>
      <x:c r="C220" s="245" t="str">
        <x:v>**Version policy**</x:v>
      </x:c>
      <x:c r="D220" s="245" t="str">
        <x:v>segmented: **Current published** or **Pinned**</x:v>
      </x:c>
      <x:c r="E220" s="245" t="str">
        <x:v>Schedule tab</x:v>
      </x:c>
      <x:c r="F220" s="245" t="str">
        <x:v>a target is chosen</x:v>
      </x:c>
      <x:c r="G220" s="245" t="str">
        <x:v>PPIQ_Chapter3_General_Technical_Function_Description_v4.10.3.md §F4</x:v>
      </x:c>
      <x:c r="H220" s="245" t="str">
        <x:v>M2 + M3</x:v>
      </x:c>
      <x:c r="I220" s="245" t="str">
        <x:v>T-265; T-267</x:v>
      </x:c>
      <x:c r="J220" s="245" t="str">
        <x:v>PENDING SEMANTIC TRACE</x:v>
      </x:c>
      <x:c r="K220" s="245" t="str">
        <x:v>Frame/state/node + action/outcome proof required</x:v>
      </x:c>
    </x:row>
    <x:row r="221" ht="60" customHeight="1">
      <x:c r="A221" s="245" t="str">
        <x:v>F4/CTRL-05</x:v>
      </x:c>
      <x:c r="B221" s="245" t="str">
        <x:v>F4</x:v>
      </x:c>
      <x:c r="C221" s="245" t="str">
        <x:v>**Pinned version**</x:v>
      </x:c>
      <x:c r="D221" s="245" t="str">
        <x:v>`StandardSelect` of published version numbers</x:v>
      </x:c>
      <x:c r="E221" s="245" t="str">
        <x:v>Schedule tab</x:v>
      </x:c>
      <x:c r="F221" s="245" t="str">
        <x:v>policy is Pinned</x:v>
      </x:c>
      <x:c r="G221" s="245" t="str">
        <x:v>PPIQ_Chapter3_General_Technical_Function_Description_v4.10.3.md §F4</x:v>
      </x:c>
      <x:c r="H221" s="245" t="str">
        <x:v>M2 + M3</x:v>
      </x:c>
      <x:c r="I221" s="245" t="str">
        <x:v>T-265; T-267</x:v>
      </x:c>
      <x:c r="J221" s="245" t="str">
        <x:v>PENDING SEMANTIC TRACE</x:v>
      </x:c>
      <x:c r="K221" s="245" t="str">
        <x:v>Frame/state/node + action/outcome proof required</x:v>
      </x:c>
    </x:row>
    <x:row r="222" ht="60" customHeight="1">
      <x:c r="A222" s="245" t="str">
        <x:v>F4/CTRL-06</x:v>
      </x:c>
      <x:c r="B222" s="245" t="str">
        <x:v>F4</x:v>
      </x:c>
      <x:c r="C222" s="245" t="str">
        <x:v>**Open the target definition**</x:v>
      </x:c>
      <x:c r="D222" s="245" t="str">
        <x:v>link</x:v>
      </x:c>
      <x:c r="E222" s="245" t="str">
        <x:v>Schedule tab</x:v>
      </x:c>
      <x:c r="F222" s="245" t="str">
        <x:v>a target is chosen</x:v>
      </x:c>
      <x:c r="G222" s="245" t="str">
        <x:v>PPIQ_Chapter3_General_Technical_Function_Description_v4.10.3.md §F4</x:v>
      </x:c>
      <x:c r="H222" s="245" t="str">
        <x:v>M2 + M3</x:v>
      </x:c>
      <x:c r="I222" s="245" t="str">
        <x:v>T-265; T-267</x:v>
      </x:c>
      <x:c r="J222" s="245" t="str">
        <x:v>PENDING SEMANTIC TRACE</x:v>
      </x:c>
      <x:c r="K222" s="245" t="str">
        <x:v>Frame/state/node + action/outcome proof required</x:v>
      </x:c>
    </x:row>
    <x:row r="223" ht="60" customHeight="1">
      <x:c r="A223" s="245" t="str">
        <x:v>F4/CTRL-07</x:v>
      </x:c>
      <x:c r="B223" s="245" t="str">
        <x:v>F4</x:v>
      </x:c>
      <x:c r="C223" s="245" t="str">
        <x:v>Schedule editor</x:v>
      </x:c>
      <x:c r="D223" s="245" t="str">
        <x:v>schedule control in plain language</x:v>
      </x:c>
      <x:c r="E223" s="245" t="str">
        <x:v>Schedule tab</x:v>
      </x:c>
      <x:c r="F223" s="245" t="str">
        <x:v>definition selected</x:v>
      </x:c>
      <x:c r="G223" s="245" t="str">
        <x:v>PPIQ_Chapter3_General_Technical_Function_Description_v4.10.3.md §F4</x:v>
      </x:c>
      <x:c r="H223" s="245" t="str">
        <x:v>M2 + M3</x:v>
      </x:c>
      <x:c r="I223" s="245" t="str">
        <x:v>T-265; T-267</x:v>
      </x:c>
      <x:c r="J223" s="245" t="str">
        <x:v>PENDING SEMANTIC TRACE</x:v>
      </x:c>
      <x:c r="K223" s="245" t="str">
        <x:v>Frame/state/node + action/outcome proof required</x:v>
      </x:c>
    </x:row>
    <x:row r="224" ht="60" customHeight="1">
      <x:c r="A224" s="245" t="str">
        <x:v>F4/CTRL-08</x:v>
      </x:c>
      <x:c r="B224" s="245" t="str">
        <x:v>F4</x:v>
      </x:c>
      <x:c r="C224" s="245" t="str">
        <x:v>Pool select (import, projection, analysis, ml, report, retention)</x:v>
      </x:c>
      <x:c r="D224" s="245" t="str">
        <x:v>`StandardSelect`, **separate confirmed action**</x:v>
      </x:c>
      <x:c r="E224" s="245" t="str">
        <x:v>Schedule tab</x:v>
      </x:c>
      <x:c r="F224" s="245" t="str">
        <x:v>definition selected</x:v>
      </x:c>
      <x:c r="G224" s="245" t="str">
        <x:v>PPIQ_Chapter3_General_Technical_Function_Description_v4.10.3.md §F4</x:v>
      </x:c>
      <x:c r="H224" s="245" t="str">
        <x:v>M2 + M3</x:v>
      </x:c>
      <x:c r="I224" s="245" t="str">
        <x:v>T-265; T-267</x:v>
      </x:c>
      <x:c r="J224" s="245" t="str">
        <x:v>PENDING SEMANTIC TRACE</x:v>
      </x:c>
      <x:c r="K224" s="245" t="str">
        <x:v>Frame/state/node + action/outcome proof required</x:v>
      </x:c>
    </x:row>
    <x:row r="225" ht="60" customHeight="1">
      <x:c r="A225" s="245" t="str">
        <x:v>F4/CTRL-09</x:v>
      </x:c>
      <x:c r="B225" s="245" t="str">
        <x:v>F4</x:v>
      </x:c>
      <x:c r="C225" s="245" t="str">
        <x:v>Compute weight stepper</x:v>
      </x:c>
      <x:c r="D225" s="245" t="str">
        <x:v>stepper, **confirmed**</x:v>
      </x:c>
      <x:c r="E225" s="245" t="str">
        <x:v>Schedule tab</x:v>
      </x:c>
      <x:c r="F225" s="245" t="str">
        <x:v>definition selected</x:v>
      </x:c>
      <x:c r="G225" s="245" t="str">
        <x:v>PPIQ_Chapter3_General_Technical_Function_Description_v4.10.3.md §F4</x:v>
      </x:c>
      <x:c r="H225" s="245" t="str">
        <x:v>M2 + M3</x:v>
      </x:c>
      <x:c r="I225" s="245" t="str">
        <x:v>T-265; T-267</x:v>
      </x:c>
      <x:c r="J225" s="245" t="str">
        <x:v>PENDING SEMANTIC TRACE</x:v>
      </x:c>
      <x:c r="K225" s="245" t="str">
        <x:v>Frame/state/node + action/outcome proof required</x:v>
      </x:c>
    </x:row>
    <x:row r="226" ht="60" customHeight="1">
      <x:c r="A226" s="245" t="str">
        <x:v>F4/CTRL-10</x:v>
      </x:c>
      <x:c r="B226" s="245" t="str">
        <x:v>F4</x:v>
      </x:c>
      <x:c r="C226" s="245" t="str">
        <x:v>**Add dependency**</x:v>
      </x:c>
      <x:c r="D226" s="245" t="str">
        <x:v>primary small</x:v>
      </x:c>
      <x:c r="E226" s="245" t="str">
        <x:v>Dependencies tab</x:v>
      </x:c>
      <x:c r="F226" s="245" t="str">
        <x:v>definition selected</x:v>
      </x:c>
      <x:c r="G226" s="245" t="str">
        <x:v>PPIQ_Chapter3_General_Technical_Function_Description_v4.10.3.md §F4</x:v>
      </x:c>
      <x:c r="H226" s="245" t="str">
        <x:v>M2 + M3</x:v>
      </x:c>
      <x:c r="I226" s="245" t="str">
        <x:v>T-265; T-267</x:v>
      </x:c>
      <x:c r="J226" s="245" t="str">
        <x:v>PENDING SEMANTIC TRACE</x:v>
      </x:c>
      <x:c r="K226" s="245" t="str">
        <x:v>Frame/state/node + action/outcome proof required</x:v>
      </x:c>
    </x:row>
    <x:row r="227" ht="60" customHeight="1">
      <x:c r="A227" s="245" t="str">
        <x:v>F4/CTRL-11</x:v>
      </x:c>
      <x:c r="B227" s="245" t="str">
        <x:v>F4</x:v>
      </x:c>
      <x:c r="C227" s="245" t="str">
        <x:v>**Depends-on job**</x:v>
      </x:c>
      <x:c r="D227" s="245" t="str">
        <x:v>`StandardSelect` of job definitions</x:v>
      </x:c>
      <x:c r="E227" s="245" t="str">
        <x:v>dependency row</x:v>
      </x:c>
      <x:c r="F227" s="245" t="str">
        <x:v>adding or editing</x:v>
      </x:c>
      <x:c r="G227" s="245" t="str">
        <x:v>PPIQ_Chapter3_General_Technical_Function_Description_v4.10.3.md §F4</x:v>
      </x:c>
      <x:c r="H227" s="245" t="str">
        <x:v>M2 + M3</x:v>
      </x:c>
      <x:c r="I227" s="245" t="str">
        <x:v>T-265; T-267</x:v>
      </x:c>
      <x:c r="J227" s="245" t="str">
        <x:v>PENDING SEMANTIC TRACE</x:v>
      </x:c>
      <x:c r="K227" s="245" t="str">
        <x:v>Frame/state/node + action/outcome proof required</x:v>
      </x:c>
    </x:row>
    <x:row r="228" ht="60" customHeight="1">
      <x:c r="A228" s="245" t="str">
        <x:v>F4/CTRL-12</x:v>
      </x:c>
      <x:c r="B228" s="245" t="str">
        <x:v>F4</x:v>
      </x:c>
      <x:c r="C228" s="245" t="str">
        <x:v>**Dependency kind**</x:v>
      </x:c>
      <x:c r="D228" s="245" t="str">
        <x:v>`StandardSelect`: data, schedule, resource</x:v>
      </x:c>
      <x:c r="E228" s="245" t="str">
        <x:v>dependency row</x:v>
      </x:c>
      <x:c r="F228" s="245" t="str">
        <x:v>adding or editing</x:v>
      </x:c>
      <x:c r="G228" s="245" t="str">
        <x:v>PPIQ_Chapter3_General_Technical_Function_Description_v4.10.3.md §F4</x:v>
      </x:c>
      <x:c r="H228" s="245" t="str">
        <x:v>M2 + M3</x:v>
      </x:c>
      <x:c r="I228" s="245" t="str">
        <x:v>T-265; T-267</x:v>
      </x:c>
      <x:c r="J228" s="245" t="str">
        <x:v>PENDING SEMANTIC TRACE</x:v>
      </x:c>
      <x:c r="K228" s="245" t="str">
        <x:v>Frame/state/node + action/outcome proof required</x:v>
      </x:c>
    </x:row>
    <x:row r="229" ht="60" customHeight="1">
      <x:c r="A229" s="245" t="str">
        <x:v>F4/CTRL-13</x:v>
      </x:c>
      <x:c r="B229" s="245" t="str">
        <x:v>F4</x:v>
      </x:c>
      <x:c r="C229" s="245" t="str">
        <x:v>**Required / Optional**</x:v>
      </x:c>
      <x:c r="D229" s="245" t="str">
        <x:v>toggle; required is the default</x:v>
      </x:c>
      <x:c r="E229" s="245" t="str">
        <x:v>dependency row</x:v>
      </x:c>
      <x:c r="F229" s="245" t="str">
        <x:v>adding or editing</x:v>
      </x:c>
      <x:c r="G229" s="245" t="str">
        <x:v>PPIQ_Chapter3_General_Technical_Function_Description_v4.10.3.md §F4</x:v>
      </x:c>
      <x:c r="H229" s="245" t="str">
        <x:v>M2 + M3</x:v>
      </x:c>
      <x:c r="I229" s="245" t="str">
        <x:v>T-265; T-267</x:v>
      </x:c>
      <x:c r="J229" s="245" t="str">
        <x:v>PENDING SEMANTIC TRACE</x:v>
      </x:c>
      <x:c r="K229" s="245" t="str">
        <x:v>Frame/state/node + action/outcome proof required</x:v>
      </x:c>
    </x:row>
    <x:row r="230" ht="60" customHeight="1">
      <x:c r="A230" s="245" t="str">
        <x:v>F4/CTRL-14</x:v>
      </x:c>
      <x:c r="B230" s="245" t="str">
        <x:v>F4</x:v>
      </x:c>
      <x:c r="C230" s="245" t="str">
        <x:v>**Version pin**</x:v>
      </x:c>
      <x:c r="D230" s="245" t="str">
        <x:v>`StandardSelect`: current published, or a specific version number</x:v>
      </x:c>
      <x:c r="E230" s="245" t="str">
        <x:v>dependency row</x:v>
      </x:c>
      <x:c r="F230" s="245" t="str">
        <x:v>dependency kind is data</x:v>
      </x:c>
      <x:c r="G230" s="245" t="str">
        <x:v>PPIQ_Chapter3_General_Technical_Function_Description_v4.10.3.md §F4</x:v>
      </x:c>
      <x:c r="H230" s="245" t="str">
        <x:v>M2 + M3</x:v>
      </x:c>
      <x:c r="I230" s="245" t="str">
        <x:v>T-265; T-267</x:v>
      </x:c>
      <x:c r="J230" s="245" t="str">
        <x:v>PENDING SEMANTIC TRACE</x:v>
      </x:c>
      <x:c r="K230" s="245" t="str">
        <x:v>Frame/state/node + action/outcome proof required</x:v>
      </x:c>
    </x:row>
    <x:row r="231" ht="60" customHeight="1">
      <x:c r="A231" s="245" t="str">
        <x:v>F4/CTRL-15</x:v>
      </x:c>
      <x:c r="B231" s="245" t="str">
        <x:v>F4</x:v>
      </x:c>
      <x:c r="C231" s="245" t="str">
        <x:v>**Staleness tolerance**</x:v>
      </x:c>
      <x:c r="D231" s="245" t="str">
        <x:v>duration stepper in minutes</x:v>
      </x:c>
      <x:c r="E231" s="245" t="str">
        <x:v>dependency row</x:v>
      </x:c>
      <x:c r="F231" s="245" t="str">
        <x:v>dependency kind is data</x:v>
      </x:c>
      <x:c r="G231" s="245" t="str">
        <x:v>PPIQ_Chapter3_General_Technical_Function_Description_v4.10.3.md §F4</x:v>
      </x:c>
      <x:c r="H231" s="245" t="str">
        <x:v>M2 + M3</x:v>
      </x:c>
      <x:c r="I231" s="245" t="str">
        <x:v>T-265; T-267</x:v>
      </x:c>
      <x:c r="J231" s="245" t="str">
        <x:v>PENDING SEMANTIC TRACE</x:v>
      </x:c>
      <x:c r="K231" s="245" t="str">
        <x:v>Frame/state/node + action/outcome proof required</x:v>
      </x:c>
    </x:row>
    <x:row r="232" ht="60" customHeight="1">
      <x:c r="A232" s="245" t="str">
        <x:v>F4/CTRL-16</x:v>
      </x:c>
      <x:c r="B232" s="245" t="str">
        <x:v>F4</x:v>
      </x:c>
      <x:c r="C232" s="245" t="str">
        <x:v>Remove dependency</x:v>
      </x:c>
      <x:c r="D232" s="245" t="str">
        <x:v>destructive small, confirmed</x:v>
      </x:c>
      <x:c r="E232" s="245" t="str">
        <x:v>dependency row</x:v>
      </x:c>
      <x:c r="F232" s="245" t="str">
        <x:v>dependency exists</x:v>
      </x:c>
      <x:c r="G232" s="245" t="str">
        <x:v>PPIQ_Chapter3_General_Technical_Function_Description_v4.10.3.md §F4</x:v>
      </x:c>
      <x:c r="H232" s="245" t="str">
        <x:v>M2 + M3</x:v>
      </x:c>
      <x:c r="I232" s="245" t="str">
        <x:v>T-265; T-267</x:v>
      </x:c>
      <x:c r="J232" s="245" t="str">
        <x:v>PENDING SEMANTIC TRACE</x:v>
      </x:c>
      <x:c r="K232" s="245" t="str">
        <x:v>Frame/state/node + action/outcome proof required</x:v>
      </x:c>
    </x:row>
    <x:row r="233" ht="60" customHeight="1">
      <x:c r="A233" s="245" t="str">
        <x:v>F4/CTRL-17</x:v>
      </x:c>
      <x:c r="B233" s="245" t="str">
        <x:v>F4</x:v>
      </x:c>
      <x:c r="C233" s="245" t="str">
        <x:v>**Validate graph**</x:v>
      </x:c>
      <x:c r="D233" s="245" t="str">
        <x:v>secondary</x:v>
      </x:c>
      <x:c r="E233" s="245" t="str">
        <x:v>Dependencies tab footer</x:v>
      </x:c>
      <x:c r="F233" s="245" t="str">
        <x:v>a dependency changed</x:v>
      </x:c>
      <x:c r="G233" s="245" t="str">
        <x:v>PPIQ_Chapter3_General_Technical_Function_Description_v4.10.3.md §F4</x:v>
      </x:c>
      <x:c r="H233" s="245" t="str">
        <x:v>M2 + M3</x:v>
      </x:c>
      <x:c r="I233" s="245" t="str">
        <x:v>T-265; T-267</x:v>
      </x:c>
      <x:c r="J233" s="245" t="str">
        <x:v>PENDING SEMANTIC TRACE</x:v>
      </x:c>
      <x:c r="K233" s="245" t="str">
        <x:v>Frame/state/node + action/outcome proof required</x:v>
      </x:c>
    </x:row>
    <x:row r="234" ht="60" customHeight="1">
      <x:c r="A234" s="245" t="str">
        <x:v>F4/CTRL-18</x:v>
      </x:c>
      <x:c r="B234" s="245" t="str">
        <x:v>F4</x:v>
      </x:c>
      <x:c r="C234" s="245" t="str">
        <x:v>**Impact preview**</x:v>
      </x:c>
      <x:c r="D234" s="245" t="str">
        <x:v>secondary</x:v>
      </x:c>
      <x:c r="E234" s="245" t="str">
        <x:v>header inline-end</x:v>
      </x:c>
      <x:c r="F234" s="245" t="str">
        <x:v>definition selected</x:v>
      </x:c>
      <x:c r="G234" s="245" t="str">
        <x:v>PPIQ_Chapter3_General_Technical_Function_Description_v4.10.3.md §F4</x:v>
      </x:c>
      <x:c r="H234" s="245" t="str">
        <x:v>M2 + M3</x:v>
      </x:c>
      <x:c r="I234" s="245" t="str">
        <x:v>T-265; T-267</x:v>
      </x:c>
      <x:c r="J234" s="245" t="str">
        <x:v>PENDING SEMANTIC TRACE</x:v>
      </x:c>
      <x:c r="K234" s="245" t="str">
        <x:v>Frame/state/node + action/outcome proof required</x:v>
      </x:c>
    </x:row>
    <x:row r="235" ht="60" customHeight="1">
      <x:c r="A235" s="245" t="str">
        <x:v>F4/CTRL-19</x:v>
      </x:c>
      <x:c r="B235" s="245" t="str">
        <x:v>F4</x:v>
      </x:c>
      <x:c r="C235" s="245" t="str">
        <x:v>Enable / Disable</x:v>
      </x:c>
      <x:c r="D235" s="245" t="str">
        <x:v>secondary</x:v>
      </x:c>
      <x:c r="E235" s="245" t="str">
        <x:v>row or editor</x:v>
      </x:c>
      <x:c r="F235" s="245" t="str">
        <x:v>per state</x:v>
      </x:c>
      <x:c r="G235" s="245" t="str">
        <x:v>PPIQ_Chapter3_General_Technical_Function_Description_v4.10.3.md §F4</x:v>
      </x:c>
      <x:c r="H235" s="245" t="str">
        <x:v>M2 + M3</x:v>
      </x:c>
      <x:c r="I235" s="245" t="str">
        <x:v>T-265; T-267</x:v>
      </x:c>
      <x:c r="J235" s="245" t="str">
        <x:v>PENDING SEMANTIC TRACE</x:v>
      </x:c>
      <x:c r="K235" s="245" t="str">
        <x:v>Frame/state/node + action/outcome proof required</x:v>
      </x:c>
    </x:row>
    <x:row r="236" ht="60" customHeight="1">
      <x:c r="A236" s="245" t="str">
        <x:v>F4/CTRL-20</x:v>
      </x:c>
      <x:c r="B236" s="245" t="str">
        <x:v>F4</x:v>
      </x:c>
      <x:c r="C236" s="245" t="str">
        <x:v>Delete</x:v>
      </x:c>
      <x:c r="D236" s="245" t="str">
        <x:v>destructive, confirmed</x:v>
      </x:c>
      <x:c r="E236" s="245" t="str">
        <x:v>row</x:v>
      </x:c>
      <x:c r="F236" s="245" t="str">
        <x:v>no dependent definition</x:v>
      </x:c>
      <x:c r="G236" s="245" t="str">
        <x:v>PPIQ_Chapter3_General_Technical_Function_Description_v4.10.3.md §F4</x:v>
      </x:c>
      <x:c r="H236" s="245" t="str">
        <x:v>M2 + M3</x:v>
      </x:c>
      <x:c r="I236" s="245" t="str">
        <x:v>T-265; T-267</x:v>
      </x:c>
      <x:c r="J236" s="245" t="str">
        <x:v>PENDING SEMANTIC TRACE</x:v>
      </x:c>
      <x:c r="K236" s="245" t="str">
        <x:v>Frame/state/node + action/outcome proof required</x:v>
      </x:c>
    </x:row>
    <x:row r="237" ht="60" customHeight="1">
      <x:c r="A237" s="245" t="str">
        <x:v>F4/CTRL-21</x:v>
      </x:c>
      <x:c r="B237" s="245" t="str">
        <x:v>F4</x:v>
      </x:c>
      <x:c r="C237" s="245" t="str">
        <x:v>DAG node</x:v>
      </x:c>
      <x:c r="D237" s="245" t="str">
        <x:v>selectable, coloured by last outcome</x:v>
      </x:c>
      <x:c r="E237" s="245" t="str">
        <x:v>Graph view</x:v>
      </x:c>
      <x:c r="F237" s="245" t="str">
        <x:v>Graph view</x:v>
      </x:c>
      <x:c r="G237" s="245" t="str">
        <x:v>PPIQ_Chapter3_General_Technical_Function_Description_v4.10.3.md §F4</x:v>
      </x:c>
      <x:c r="H237" s="245" t="str">
        <x:v>M2 + M3</x:v>
      </x:c>
      <x:c r="I237" s="245" t="str">
        <x:v>T-265; T-267</x:v>
      </x:c>
      <x:c r="J237" s="245" t="str">
        <x:v>PENDING SEMANTIC TRACE</x:v>
      </x:c>
      <x:c r="K237" s="245" t="str">
        <x:v>Frame/state/node + action/outcome proof required</x:v>
      </x:c>
    </x:row>
    <x:row r="238" ht="60" customHeight="1">
      <x:c r="A238" s="245" t="str">
        <x:v>F4/CTRL-22</x:v>
      </x:c>
      <x:c r="B238" s="245" t="str">
        <x:v>F4</x:v>
      </x:c>
      <x:c r="C238" s="245" t="str">
        <x:v>DAG edge</x:v>
      </x:c>
      <x:c r="D238" s="245" t="str">
        <x:v>solid required, dashed optional</x:v>
      </x:c>
      <x:c r="E238" s="245" t="str">
        <x:v>Graph view</x:v>
      </x:c>
      <x:c r="F238" s="245" t="str">
        <x:v>Graph view</x:v>
      </x:c>
      <x:c r="G238" s="245" t="str">
        <x:v>PPIQ_Chapter3_General_Technical_Function_Description_v4.10.3.md §F4</x:v>
      </x:c>
      <x:c r="H238" s="245" t="str">
        <x:v>M2 + M3</x:v>
      </x:c>
      <x:c r="I238" s="245" t="str">
        <x:v>T-265; T-267</x:v>
      </x:c>
      <x:c r="J238" s="245" t="str">
        <x:v>PENDING SEMANTIC TRACE</x:v>
      </x:c>
      <x:c r="K238" s="245" t="str">
        <x:v>Frame/state/node + action/outcome proof required</x:v>
      </x:c>
    </x:row>
    <x:row r="239" ht="60" customHeight="1">
      <x:c r="A239" s="245" t="str">
        <x:v>F4/CTRL-23</x:v>
      </x:c>
      <x:c r="B239" s="245" t="str">
        <x:v>F4</x:v>
      </x:c>
      <x:c r="C239" s="245" t="str">
        <x:v>Highlight critical path</x:v>
      </x:c>
      <x:c r="D239" s="245" t="str">
        <x:v>toggle</x:v>
      </x:c>
      <x:c r="E239" s="245" t="str">
        <x:v>Graph view header</x:v>
      </x:c>
      <x:c r="F239" s="245" t="str">
        <x:v>Graph view</x:v>
      </x:c>
      <x:c r="G239" s="245" t="str">
        <x:v>PPIQ_Chapter3_General_Technical_Function_Description_v4.10.3.md §F4</x:v>
      </x:c>
      <x:c r="H239" s="245" t="str">
        <x:v>M2 + M3</x:v>
      </x:c>
      <x:c r="I239" s="245" t="str">
        <x:v>T-265; T-267</x:v>
      </x:c>
      <x:c r="J239" s="245" t="str">
        <x:v>PENDING SEMANTIC TRACE</x:v>
      </x:c>
      <x:c r="K239" s="245" t="str">
        <x:v>Frame/state/node + action/outcome proof required</x:v>
      </x:c>
    </x:row>
    <x:row r="240" ht="60" customHeight="1">
      <x:c r="A240" s="245" t="str">
        <x:v>F5/CTRL-01</x:v>
      </x:c>
      <x:c r="B240" s="245" t="str">
        <x:v>F5</x:v>
      </x:c>
      <x:c r="C240" s="245" t="str">
        <x:v>Family tabs</x:v>
      </x:c>
      <x:c r="D240" s="245" t="str">
        <x:v>`StandardTabs`</x:v>
      </x:c>
      <x:c r="E240" s="245" t="str">
        <x:v>header</x:v>
      </x:c>
      <x:c r="F240" s="245" t="str">
        <x:v>per readable family</x:v>
      </x:c>
      <x:c r="G240" s="245" t="str">
        <x:v>PPIQ_Chapter3_General_Technical_Function_Description_v4.10.3.md §F5</x:v>
      </x:c>
      <x:c r="H240" s="245" t="str">
        <x:v>M3</x:v>
      </x:c>
      <x:c r="I240" s="245" t="str">
        <x:v>T-267</x:v>
      </x:c>
      <x:c r="J240" s="245" t="str">
        <x:v>PENDING SEMANTIC TRACE</x:v>
      </x:c>
      <x:c r="K240" s="245" t="str">
        <x:v>Frame/state/node + action/outcome proof required</x:v>
      </x:c>
    </x:row>
    <x:row r="241" ht="60" customHeight="1">
      <x:c r="A241" s="245" t="str">
        <x:v>F5/CTRL-02</x:v>
      </x:c>
      <x:c r="B241" s="245" t="str">
        <x:v>F5</x:v>
      </x:c>
      <x:c r="C241" s="245" t="str">
        <x:v>**Live tail**</x:v>
      </x:c>
      <x:c r="D241" s="245" t="str">
        <x:v>toggle with pause</x:v>
      </x:c>
      <x:c r="E241" s="245" t="str">
        <x:v>header inline-end</x:v>
      </x:c>
      <x:c r="F241" s="245" t="str">
        <x:v>a family tab is active</x:v>
      </x:c>
      <x:c r="G241" s="245" t="str">
        <x:v>PPIQ_Chapter3_General_Technical_Function_Description_v4.10.3.md §F5</x:v>
      </x:c>
      <x:c r="H241" s="245" t="str">
        <x:v>M3</x:v>
      </x:c>
      <x:c r="I241" s="245" t="str">
        <x:v>T-267</x:v>
      </x:c>
      <x:c r="J241" s="245" t="str">
        <x:v>PENDING SEMANTIC TRACE</x:v>
      </x:c>
      <x:c r="K241" s="245" t="str">
        <x:v>Frame/state/node + action/outcome proof required</x:v>
      </x:c>
    </x:row>
    <x:row r="242" ht="60" customHeight="1">
      <x:c r="A242" s="245" t="str">
        <x:v>F5/CTRL-03</x:v>
      </x:c>
      <x:c r="B242" s="245" t="str">
        <x:v>F5</x:v>
      </x:c>
      <x:c r="C242" s="245" t="str">
        <x:v>Time range / Severity / Actor / Job family / Channel</x:v>
      </x:c>
      <x:c r="D242" s="245" t="str">
        <x:v>filters</x:v>
      </x:c>
      <x:c r="E242" s="245" t="str">
        <x:v>filter bar</x:v>
      </x:c>
      <x:c r="F242" s="245" t="str">
        <x:v>always</x:v>
      </x:c>
      <x:c r="G242" s="245" t="str">
        <x:v>PPIQ_Chapter3_General_Technical_Function_Description_v4.10.3.md §F5</x:v>
      </x:c>
      <x:c r="H242" s="245" t="str">
        <x:v>M3</x:v>
      </x:c>
      <x:c r="I242" s="245" t="str">
        <x:v>T-267</x:v>
      </x:c>
      <x:c r="J242" s="245" t="str">
        <x:v>PENDING SEMANTIC TRACE</x:v>
      </x:c>
      <x:c r="K242" s="245" t="str">
        <x:v>Frame/state/node + action/outcome proof required</x:v>
      </x:c>
    </x:row>
    <x:row r="243" ht="60" customHeight="1">
      <x:c r="A243" s="245" t="str">
        <x:v>F5/CTRL-04</x:v>
      </x:c>
      <x:c r="B243" s="245" t="str">
        <x:v>F5</x:v>
      </x:c>
      <x:c r="C243" s="245" t="str">
        <x:v>Free-text search</x:v>
      </x:c>
      <x:c r="D243" s="245" t="str">
        <x:v>`StandardInput`</x:v>
      </x:c>
      <x:c r="E243" s="245" t="str">
        <x:v>filter bar</x:v>
      </x:c>
      <x:c r="F243" s="245" t="str">
        <x:v>always</x:v>
      </x:c>
      <x:c r="G243" s="245" t="str">
        <x:v>PPIQ_Chapter3_General_Technical_Function_Description_v4.10.3.md §F5</x:v>
      </x:c>
      <x:c r="H243" s="245" t="str">
        <x:v>M3</x:v>
      </x:c>
      <x:c r="I243" s="245" t="str">
        <x:v>T-267</x:v>
      </x:c>
      <x:c r="J243" s="245" t="str">
        <x:v>PENDING SEMANTIC TRACE</x:v>
      </x:c>
      <x:c r="K243" s="245" t="str">
        <x:v>Frame/state/node + action/outcome proof required</x:v>
      </x:c>
    </x:row>
    <x:row r="244" ht="60" customHeight="1">
      <x:c r="A244" s="245" t="str">
        <x:v>F5/CTRL-05</x:v>
      </x:c>
      <x:c r="B244" s="245" t="str">
        <x:v>F5</x:v>
      </x:c>
      <x:c r="C244" s="245" t="str">
        <x:v>**Correlate by run**</x:v>
      </x:c>
      <x:c r="D244" s="245" t="str">
        <x:v>link on any row carrying a run identifier</x:v>
      </x:c>
      <x:c r="E244" s="245" t="str">
        <x:v>entry row</x:v>
      </x:c>
      <x:c r="F244" s="245" t="str">
        <x:v>`run_id` present</x:v>
      </x:c>
      <x:c r="G244" s="245" t="str">
        <x:v>PPIQ_Chapter3_General_Technical_Function_Description_v4.10.3.md §F5</x:v>
      </x:c>
      <x:c r="H244" s="245" t="str">
        <x:v>M3</x:v>
      </x:c>
      <x:c r="I244" s="245" t="str">
        <x:v>T-267</x:v>
      </x:c>
      <x:c r="J244" s="245" t="str">
        <x:v>PENDING SEMANTIC TRACE</x:v>
      </x:c>
      <x:c r="K244" s="245" t="str">
        <x:v>Frame/state/node + action/outcome proof required</x:v>
      </x:c>
    </x:row>
    <x:row r="245" ht="60" customHeight="1">
      <x:c r="A245" s="245" t="str">
        <x:v>F5/CTRL-06</x:v>
      </x:c>
      <x:c r="B245" s="245" t="str">
        <x:v>F5</x:v>
      </x:c>
      <x:c r="C245" s="245" t="str">
        <x:v>Correlation panel</x:v>
      </x:c>
      <x:c r="D245" s="245" t="str">
        <x:v>cross-family entry list for that run, time-ordered</x:v>
      </x:c>
      <x:c r="E245" s="245" t="str">
        <x:v>inline-end</x:v>
      </x:c>
      <x:c r="F245" s="245" t="str">
        <x:v>a run selected</x:v>
      </x:c>
      <x:c r="G245" s="245" t="str">
        <x:v>PPIQ_Chapter3_General_Technical_Function_Description_v4.10.3.md §F5</x:v>
      </x:c>
      <x:c r="H245" s="245" t="str">
        <x:v>M3</x:v>
      </x:c>
      <x:c r="I245" s="245" t="str">
        <x:v>T-267</x:v>
      </x:c>
      <x:c r="J245" s="245" t="str">
        <x:v>PENDING SEMANTIC TRACE</x:v>
      </x:c>
      <x:c r="K245" s="245" t="str">
        <x:v>Frame/state/node + action/outcome proof required</x:v>
      </x:c>
    </x:row>
    <x:row r="246" ht="60" customHeight="1">
      <x:c r="A246" s="245" t="str">
        <x:v>F5/CTRL-07</x:v>
      </x:c>
      <x:c r="B246" s="245" t="str">
        <x:v>F5</x:v>
      </x:c>
      <x:c r="C246" s="245" t="str">
        <x:v>Open the run in B5</x:v>
      </x:c>
      <x:c r="D246" s="245" t="str">
        <x:v>link</x:v>
      </x:c>
      <x:c r="E246" s="245" t="str">
        <x:v>correlation panel</x:v>
      </x:c>
      <x:c r="F246" s="245" t="str">
        <x:v>run exists</x:v>
      </x:c>
      <x:c r="G246" s="245" t="str">
        <x:v>PPIQ_Chapter3_General_Technical_Function_Description_v4.10.3.md §F5</x:v>
      </x:c>
      <x:c r="H246" s="245" t="str">
        <x:v>M3</x:v>
      </x:c>
      <x:c r="I246" s="245" t="str">
        <x:v>T-267</x:v>
      </x:c>
      <x:c r="J246" s="245" t="str">
        <x:v>PENDING SEMANTIC TRACE</x:v>
      </x:c>
      <x:c r="K246" s="245" t="str">
        <x:v>Frame/state/node + action/outcome proof required</x:v>
      </x:c>
    </x:row>
    <x:row r="247" ht="60" customHeight="1">
      <x:c r="A247" s="245" t="str">
        <x:v>F5/CTRL-08</x:v>
      </x:c>
      <x:c r="B247" s="245" t="str">
        <x:v>F5</x:v>
      </x:c>
      <x:c r="C247" s="245" t="str">
        <x:v>Pin filter</x:v>
      </x:c>
      <x:c r="D247" s="245" t="str">
        <x:v>secondary</x:v>
      </x:c>
      <x:c r="E247" s="245" t="str">
        <x:v>filter bar</x:v>
      </x:c>
      <x:c r="F247" s="245" t="str">
        <x:v>a filter is set</x:v>
      </x:c>
      <x:c r="G247" s="245" t="str">
        <x:v>PPIQ_Chapter3_General_Technical_Function_Description_v4.10.3.md §F5</x:v>
      </x:c>
      <x:c r="H247" s="245" t="str">
        <x:v>M3</x:v>
      </x:c>
      <x:c r="I247" s="245" t="str">
        <x:v>T-267</x:v>
      </x:c>
      <x:c r="J247" s="245" t="str">
        <x:v>PENDING SEMANTIC TRACE</x:v>
      </x:c>
      <x:c r="K247" s="245" t="str">
        <x:v>Frame/state/node + action/outcome proof required</x:v>
      </x:c>
    </x:row>
    <x:row r="248" ht="60" customHeight="1">
      <x:c r="A248" s="245" t="str">
        <x:v>F5/CTRL-09</x:v>
      </x:c>
      <x:c r="B248" s="245" t="str">
        <x:v>F5</x:v>
      </x:c>
      <x:c r="C248" s="245" t="str">
        <x:v>Export</x:v>
      </x:c>
      <x:c r="D248" s="245" t="str">
        <x:v>secondary</x:v>
      </x:c>
      <x:c r="E248" s="245" t="str">
        <x:v>header inline-end</x:v>
      </x:c>
      <x:c r="F248" s="245" t="str">
        <x:v>rows present</x:v>
      </x:c>
      <x:c r="G248" s="245" t="str">
        <x:v>PPIQ_Chapter3_General_Technical_Function_Description_v4.10.3.md §F5</x:v>
      </x:c>
      <x:c r="H248" s="245" t="str">
        <x:v>M3</x:v>
      </x:c>
      <x:c r="I248" s="245" t="str">
        <x:v>T-267</x:v>
      </x:c>
      <x:c r="J248" s="245" t="str">
        <x:v>PENDING SEMANTIC TRACE</x:v>
      </x:c>
      <x:c r="K248" s="245" t="str">
        <x:v>Frame/state/node + action/outcome proof required</x:v>
      </x:c>
    </x:row>
    <x:row r="249" ht="60" customHeight="1">
      <x:c r="A249" s="245" t="str">
        <x:v>F5/CTRL-10</x:v>
      </x:c>
      <x:c r="B249" s="245" t="str">
        <x:v>F5</x:v>
      </x:c>
      <x:c r="C249" s="245" t="str">
        <x:v>Row expander</x:v>
      </x:c>
      <x:c r="D249" s="245" t="str">
        <x:v>disclosure</x:v>
      </x:c>
      <x:c r="E249" s="245" t="str">
        <x:v>entry row</x:v>
      </x:c>
      <x:c r="F249" s="245" t="str">
        <x:v>always</x:v>
      </x:c>
      <x:c r="G249" s="245" t="str">
        <x:v>PPIQ_Chapter3_General_Technical_Function_Description_v4.10.3.md §F5</x:v>
      </x:c>
      <x:c r="H249" s="245" t="str">
        <x:v>M3</x:v>
      </x:c>
      <x:c r="I249" s="245" t="str">
        <x:v>T-267</x:v>
      </x:c>
      <x:c r="J249" s="245" t="str">
        <x:v>PENDING SEMANTIC TRACE</x:v>
      </x:c>
      <x:c r="K249" s="245" t="str">
        <x:v>Frame/state/node + action/outcome proof required</x:v>
      </x:c>
    </x:row>
    <x:row r="250" ht="60" customHeight="1">
      <x:c r="A250" s="245" t="str">
        <x:v>F5/CTRL-11</x:v>
      </x:c>
      <x:c r="B250" s="245" t="str">
        <x:v>F5</x:v>
      </x:c>
      <x:c r="C250" s="245" t="str">
        <x:v>**Retention policy (read-only)**</x:v>
      </x:c>
      <x:c r="D250" s="245" t="str">
        <x:v>text plus link to F9</x:v>
      </x:c>
      <x:c r="E250" s="245" t="str">
        <x:v>header</x:v>
      </x:c>
      <x:c r="F250" s="245" t="str">
        <x:v>always</x:v>
      </x:c>
      <x:c r="G250" s="245" t="str">
        <x:v>PPIQ_Chapter3_General_Technical_Function_Description_v4.10.3.md §F5</x:v>
      </x:c>
      <x:c r="H250" s="245" t="str">
        <x:v>M3</x:v>
      </x:c>
      <x:c r="I250" s="245" t="str">
        <x:v>T-267</x:v>
      </x:c>
      <x:c r="J250" s="245" t="str">
        <x:v>PENDING SEMANTIC TRACE</x:v>
      </x:c>
      <x:c r="K250" s="245" t="str">
        <x:v>Frame/state/node + action/outcome proof required</x:v>
      </x:c>
    </x:row>
    <x:row r="251" ht="60" customHeight="1">
      <x:c r="A251" s="245" t="str">
        <x:v>F6/CTRL-PROSE</x:v>
      </x:c>
      <x:c r="B251" s="245" t="str">
        <x:v>F6</x:v>
      </x:c>
      <x:c r="C251" s="245" t="str">
        <x:v>New channel (primary); Name; Family (fixed for built-ins); Severity mapping rows; Routing and export target select (none, file, syslog, webhook) with its address field; Reading roles multi-select; Save (primary); Disable (secondary).
**Retention is not editable here.** F6 owns channel identity, severity mapping, routing and reading roles. **F9 exclusively owns retention, archival, cleanup, dry-run impact and legal hold**, because those are the only destructive controls and one destructive policy must have one surface. F6 renders the current retention as read-only text with **Manage retention in F9** as a link.</x:v>
      </x:c>
      <x:c r="D251" s="245" t="str">
        <x:v>Source prose</x:v>
      </x:c>
      <x:c r="E251" s="245" t="str">
        <x:v>See source</x:v>
      </x:c>
      <x:c r="F251" s="245" t="str">
        <x:v>See source</x:v>
      </x:c>
      <x:c r="G251" s="245" t="str">
        <x:v>PPIQ_Chapter3_General_Technical_Function_Description_v4.10.3.md §F6</x:v>
      </x:c>
      <x:c r="H251" s="245" t="str">
        <x:v>M3</x:v>
      </x:c>
      <x:c r="I251" s="245" t="str">
        <x:v>T-267</x:v>
      </x:c>
      <x:c r="J251" s="245" t="str">
        <x:v>PENDING DECOMPOSITION</x:v>
      </x:c>
      <x:c r="K251" s="245" t="str">
        <x:v>Split prose obligations into controls; do not count zero controls.</x:v>
      </x:c>
    </x:row>
    <x:row r="252" ht="60" customHeight="1">
      <x:c r="A252" s="245" t="str">
        <x:v>F7/CTRL-PROSE</x:v>
      </x:c>
      <x:c r="B252" s="245" t="str">
        <x:v>F7</x:v>
      </x:c>
      <x:c r="C252" s="245" t="str">
        <x:v>Site name and code; units selects; **plant time zone select - confirmed**; date and number format selects with a live example; retention per stage; per-tenant no-egress toggle; Save (primary).</x:v>
      </x:c>
      <x:c r="D252" s="245" t="str">
        <x:v>Source prose</x:v>
      </x:c>
      <x:c r="E252" s="245" t="str">
        <x:v>See source</x:v>
      </x:c>
      <x:c r="F252" s="245" t="str">
        <x:v>See source</x:v>
      </x:c>
      <x:c r="G252" s="245" t="str">
        <x:v>PPIQ_Chapter3_General_Technical_Function_Description_v4.10.3.md §F7</x:v>
      </x:c>
      <x:c r="H252" s="245" t="str">
        <x:v>M2 + M3</x:v>
      </x:c>
      <x:c r="I252" s="245" t="str">
        <x:v>T-265; T-267</x:v>
      </x:c>
      <x:c r="J252" s="245" t="str">
        <x:v>PENDING DECOMPOSITION</x:v>
      </x:c>
      <x:c r="K252" s="245" t="str">
        <x:v>Split prose obligations into controls; do not count zero controls.</x:v>
      </x:c>
    </x:row>
    <x:row r="253" ht="60" customHeight="1">
      <x:c r="A253" s="245" t="str">
        <x:v>F8/CTRL-PROSE</x:v>
      </x:c>
      <x:c r="B253" s="245" t="str">
        <x:v>F8</x:v>
      </x:c>
      <x:c r="C253" s="245" t="str">
        <x:v>Language add; per-cell text editor; Mark reviewed (secondary); Mark verified in mirror (secondary); Export pack (secondary); Import pack (secondary, confirmed); Fallback language select.</x:v>
      </x:c>
      <x:c r="D253" s="245" t="str">
        <x:v>Source prose</x:v>
      </x:c>
      <x:c r="E253" s="245" t="str">
        <x:v>See source</x:v>
      </x:c>
      <x:c r="F253" s="245" t="str">
        <x:v>See source</x:v>
      </x:c>
      <x:c r="G253" s="245" t="str">
        <x:v>PPIQ_Chapter3_General_Technical_Function_Description_v4.10.3.md §F8</x:v>
      </x:c>
      <x:c r="H253" s="245" t="str">
        <x:v>M3</x:v>
      </x:c>
      <x:c r="I253" s="245" t="str">
        <x:v>T-267</x:v>
      </x:c>
      <x:c r="J253" s="245" t="str">
        <x:v>PENDING DECOMPOSITION</x:v>
      </x:c>
      <x:c r="K253" s="245" t="str">
        <x:v>Split prose obligations into controls; do not count zero controls.</x:v>
      </x:c>
    </x:row>
    <x:row r="254" ht="60" customHeight="1">
      <x:c r="A254" s="245" t="str">
        <x:v>F9/CTRL-01</x:v>
      </x:c>
      <x:c r="B254" s="245" t="str">
        <x:v>F9</x:v>
      </x:c>
      <x:c r="C254" s="245" t="str">
        <x:v>Retention preset: 1, 2, 3, 6, 12 months, Custom</x:v>
      </x:c>
      <x:c r="D254" s="245" t="str">
        <x:v>`StandardSelect`</x:v>
      </x:c>
      <x:c r="E254" s="245" t="str">
        <x:v>editor</x:v>
      </x:c>
      <x:c r="F254" s="245" t="str">
        <x:v>row selected</x:v>
      </x:c>
      <x:c r="G254" s="245" t="str">
        <x:v>PPIQ_Chapter3_General_Technical_Function_Description_v4.10.3.md §F9</x:v>
      </x:c>
      <x:c r="H254" s="245" t="str">
        <x:v>M3</x:v>
      </x:c>
      <x:c r="I254" s="245" t="str">
        <x:v>T-267</x:v>
      </x:c>
      <x:c r="J254" s="245" t="str">
        <x:v>PENDING SEMANTIC TRACE</x:v>
      </x:c>
      <x:c r="K254" s="245" t="str">
        <x:v>Frame/state/node + action/outcome proof required</x:v>
      </x:c>
    </x:row>
    <x:row r="255" ht="60" customHeight="1">
      <x:c r="A255" s="245" t="str">
        <x:v>F9/CTRL-02</x:v>
      </x:c>
      <x:c r="B255" s="245" t="str">
        <x:v>F9</x:v>
      </x:c>
      <x:c r="C255" s="245" t="str">
        <x:v>Custom days</x:v>
      </x:c>
      <x:c r="D255" s="245" t="str">
        <x:v>`StandardInput` numeric</x:v>
      </x:c>
      <x:c r="E255" s="245" t="str">
        <x:v>editor</x:v>
      </x:c>
      <x:c r="F255" s="245" t="str">
        <x:v>preset is Custom</x:v>
      </x:c>
      <x:c r="G255" s="245" t="str">
        <x:v>PPIQ_Chapter3_General_Technical_Function_Description_v4.10.3.md §F9</x:v>
      </x:c>
      <x:c r="H255" s="245" t="str">
        <x:v>M3</x:v>
      </x:c>
      <x:c r="I255" s="245" t="str">
        <x:v>T-267</x:v>
      </x:c>
      <x:c r="J255" s="245" t="str">
        <x:v>PENDING SEMANTIC TRACE</x:v>
      </x:c>
      <x:c r="K255" s="245" t="str">
        <x:v>Frame/state/node + action/outcome proof required</x:v>
      </x:c>
    </x:row>
    <x:row r="256" ht="60" customHeight="1">
      <x:c r="A256" s="245" t="str">
        <x:v>F9/CTRL-03</x:v>
      </x:c>
      <x:c r="B256" s="245" t="str">
        <x:v>F9</x:v>
      </x:c>
      <x:c r="C256" s="245" t="str">
        <x:v>Archive before deletion</x:v>
      </x:c>
      <x:c r="D256" s="245" t="str">
        <x:v>toggle</x:v>
      </x:c>
      <x:c r="E256" s="245" t="str">
        <x:v>editor</x:v>
      </x:c>
      <x:c r="F256" s="245" t="str">
        <x:v>always</x:v>
      </x:c>
      <x:c r="G256" s="245" t="str">
        <x:v>PPIQ_Chapter3_General_Technical_Function_Description_v4.10.3.md §F9</x:v>
      </x:c>
      <x:c r="H256" s="245" t="str">
        <x:v>M3</x:v>
      </x:c>
      <x:c r="I256" s="245" t="str">
        <x:v>T-267</x:v>
      </x:c>
      <x:c r="J256" s="245" t="str">
        <x:v>PENDING SEMANTIC TRACE</x:v>
      </x:c>
      <x:c r="K256" s="245" t="str">
        <x:v>Frame/state/node + action/outcome proof required</x:v>
      </x:c>
    </x:row>
    <x:row r="257" ht="60" customHeight="1">
      <x:c r="A257" s="245" t="str">
        <x:v>F9/CTRL-04</x:v>
      </x:c>
      <x:c r="B257" s="245" t="str">
        <x:v>F9</x:v>
      </x:c>
      <x:c r="C257" s="245" t="str">
        <x:v>Archive destination</x:v>
      </x:c>
      <x:c r="D257" s="245" t="str">
        <x:v>`StandardSelect` plus target field</x:v>
      </x:c>
      <x:c r="E257" s="245" t="str">
        <x:v>editor</x:v>
      </x:c>
      <x:c r="F257" s="245" t="str">
        <x:v>archive on</x:v>
      </x:c>
      <x:c r="G257" s="245" t="str">
        <x:v>PPIQ_Chapter3_General_Technical_Function_Description_v4.10.3.md §F9</x:v>
      </x:c>
      <x:c r="H257" s="245" t="str">
        <x:v>M3</x:v>
      </x:c>
      <x:c r="I257" s="245" t="str">
        <x:v>T-267</x:v>
      </x:c>
      <x:c r="J257" s="245" t="str">
        <x:v>PENDING SEMANTIC TRACE</x:v>
      </x:c>
      <x:c r="K257" s="245" t="str">
        <x:v>Frame/state/node + action/outcome proof required</x:v>
      </x:c>
    </x:row>
    <x:row r="258" ht="60" customHeight="1">
      <x:c r="A258" s="245" t="str">
        <x:v>F9/CTRL-05</x:v>
      </x:c>
      <x:c r="B258" s="245" t="str">
        <x:v>F9</x:v>
      </x:c>
      <x:c r="C258" s="245" t="str">
        <x:v>Cleanup schedule</x:v>
      </x:c>
      <x:c r="D258" s="245" t="str">
        <x:v>schedule editor in plain language</x:v>
      </x:c>
      <x:c r="E258" s="245" t="str">
        <x:v>editor</x:v>
      </x:c>
      <x:c r="F258" s="245" t="str">
        <x:v>always</x:v>
      </x:c>
      <x:c r="G258" s="245" t="str">
        <x:v>PPIQ_Chapter3_General_Technical_Function_Description_v4.10.3.md §F9</x:v>
      </x:c>
      <x:c r="H258" s="245" t="str">
        <x:v>M3</x:v>
      </x:c>
      <x:c r="I258" s="245" t="str">
        <x:v>T-267</x:v>
      </x:c>
      <x:c r="J258" s="245" t="str">
        <x:v>PENDING SEMANTIC TRACE</x:v>
      </x:c>
      <x:c r="K258" s="245" t="str">
        <x:v>Frame/state/node + action/outcome proof required</x:v>
      </x:c>
    </x:row>
    <x:row r="259" ht="60" customHeight="1">
      <x:c r="A259" s="245" t="str">
        <x:v>F9/CTRL-06</x:v>
      </x:c>
      <x:c r="B259" s="245" t="str">
        <x:v>F9</x:v>
      </x:c>
      <x:c r="C259" s="245" t="str">
        <x:v>Maximum rows per cleanup batch</x:v>
      </x:c>
      <x:c r="D259" s="245" t="str">
        <x:v>`StandardInput` numeric</x:v>
      </x:c>
      <x:c r="E259" s="245" t="str">
        <x:v>editor</x:v>
      </x:c>
      <x:c r="F259" s="245" t="str">
        <x:v>always</x:v>
      </x:c>
      <x:c r="G259" s="245" t="str">
        <x:v>PPIQ_Chapter3_General_Technical_Function_Description_v4.10.3.md §F9</x:v>
      </x:c>
      <x:c r="H259" s="245" t="str">
        <x:v>M3</x:v>
      </x:c>
      <x:c r="I259" s="245" t="str">
        <x:v>T-267</x:v>
      </x:c>
      <x:c r="J259" s="245" t="str">
        <x:v>PENDING SEMANTIC TRACE</x:v>
      </x:c>
      <x:c r="K259" s="245" t="str">
        <x:v>Frame/state/node + action/outcome proof required</x:v>
      </x:c>
    </x:row>
    <x:row r="260" ht="60" customHeight="1">
      <x:c r="A260" s="245" t="str">
        <x:v>F9/CTRL-07</x:v>
      </x:c>
      <x:c r="B260" s="245" t="str">
        <x:v>F9</x:v>
      </x:c>
      <x:c r="C260" s="245" t="str">
        <x:v>**Dry-run preview**</x:v>
      </x:c>
      <x:c r="D260" s="245" t="str">
        <x:v>secondary</x:v>
      </x:c>
      <x:c r="E260" s="245" t="str">
        <x:v>editor footer</x:v>
      </x:c>
      <x:c r="F260" s="245" t="str">
        <x:v>policy changed</x:v>
      </x:c>
      <x:c r="G260" s="245" t="str">
        <x:v>PPIQ_Chapter3_General_Technical_Function_Description_v4.10.3.md §F9</x:v>
      </x:c>
      <x:c r="H260" s="245" t="str">
        <x:v>M3</x:v>
      </x:c>
      <x:c r="I260" s="245" t="str">
        <x:v>T-267</x:v>
      </x:c>
      <x:c r="J260" s="245" t="str">
        <x:v>PENDING SEMANTIC TRACE</x:v>
      </x:c>
      <x:c r="K260" s="245" t="str">
        <x:v>Frame/state/node + action/outcome proof required</x:v>
      </x:c>
    </x:row>
    <x:row r="261" ht="60" customHeight="1">
      <x:c r="A261" s="245" t="str">
        <x:v>F9/CTRL-08</x:v>
      </x:c>
      <x:c r="B261" s="245" t="str">
        <x:v>F9</x:v>
      </x:c>
      <x:c r="C261" s="245" t="str">
        <x:v>Save policy</x:v>
      </x:c>
      <x:c r="D261" s="245" t="str">
        <x:v>primary, **confirmed**</x:v>
      </x:c>
      <x:c r="E261" s="245" t="str">
        <x:v>editor footer</x:v>
      </x:c>
      <x:c r="F261" s="245" t="str">
        <x:v>preview run and validation passed</x:v>
      </x:c>
      <x:c r="G261" s="245" t="str">
        <x:v>PPIQ_Chapter3_General_Technical_Function_Description_v4.10.3.md §F9</x:v>
      </x:c>
      <x:c r="H261" s="245" t="str">
        <x:v>M3</x:v>
      </x:c>
      <x:c r="I261" s="245" t="str">
        <x:v>T-267</x:v>
      </x:c>
      <x:c r="J261" s="245" t="str">
        <x:v>PENDING SEMANTIC TRACE</x:v>
      </x:c>
      <x:c r="K261" s="245" t="str">
        <x:v>Frame/state/node + action/outcome proof required</x:v>
      </x:c>
    </x:row>
    <x:row r="262" ht="60" customHeight="1">
      <x:c r="A262" s="245" t="str">
        <x:v>F9/CTRL-09</x:v>
      </x:c>
      <x:c r="B262" s="245" t="str">
        <x:v>F9</x:v>
      </x:c>
      <x:c r="C262" s="245" t="str">
        <x:v>Run cleanup now</x:v>
      </x:c>
      <x:c r="D262" s="245" t="str">
        <x:v>destructive, **confirmed**</x:v>
      </x:c>
      <x:c r="E262" s="245" t="str">
        <x:v>editor footer</x:v>
      </x:c>
      <x:c r="F262" s="245" t="str">
        <x:v>no legal hold</x:v>
      </x:c>
      <x:c r="G262" s="245" t="str">
        <x:v>PPIQ_Chapter3_General_Technical_Function_Description_v4.10.3.md §F9</x:v>
      </x:c>
      <x:c r="H262" s="245" t="str">
        <x:v>M3</x:v>
      </x:c>
      <x:c r="I262" s="245" t="str">
        <x:v>T-267</x:v>
      </x:c>
      <x:c r="J262" s="245" t="str">
        <x:v>PENDING SEMANTIC TRACE</x:v>
      </x:c>
      <x:c r="K262" s="245" t="str">
        <x:v>Frame/state/node + action/outcome proof required</x:v>
      </x:c>
    </x:row>
    <x:row r="263" ht="60" customHeight="1">
      <x:c r="A263" s="245" t="str">
        <x:v>F9/CTRL-10</x:v>
      </x:c>
      <x:c r="B263" s="245" t="str">
        <x:v>F9</x:v>
      </x:c>
      <x:c r="C263" s="245" t="str">
        <x:v>View cleanup history</x:v>
      </x:c>
      <x:c r="D263" s="245" t="str">
        <x:v>link</x:v>
      </x:c>
      <x:c r="E263" s="245" t="str">
        <x:v>block-end</x:v>
      </x:c>
      <x:c r="F263" s="245" t="str">
        <x:v>always</x:v>
      </x:c>
      <x:c r="G263" s="245" t="str">
        <x:v>PPIQ_Chapter3_General_Technical_Function_Description_v4.10.3.md §F9</x:v>
      </x:c>
      <x:c r="H263" s="245" t="str">
        <x:v>M3</x:v>
      </x:c>
      <x:c r="I263" s="245" t="str">
        <x:v>T-267</x:v>
      </x:c>
      <x:c r="J263" s="245" t="str">
        <x:v>PENDING SEMANTIC TRACE</x:v>
      </x:c>
      <x:c r="K263" s="245" t="str">
        <x:v>Frame/state/node + action/outcome proof required</x:v>
      </x:c>
    </x:row>
    <x:row r="264" ht="60" customHeight="1">
      <x:c r="A264" s="245" t="str">
        <x:v>F9/CTRL-11</x:v>
      </x:c>
      <x:c r="B264" s="245" t="str">
        <x:v>F9</x:v>
      </x:c>
      <x:c r="C264" s="245" t="str">
        <x:v>Place legal hold</x:v>
      </x:c>
      <x:c r="D264" s="245" t="str">
        <x:v>secondary, confirmed</x:v>
      </x:c>
      <x:c r="E264" s="245" t="str">
        <x:v>editor</x:v>
      </x:c>
      <x:c r="F264" s="245" t="str">
        <x:v>no hold</x:v>
      </x:c>
      <x:c r="G264" s="245" t="str">
        <x:v>PPIQ_Chapter3_General_Technical_Function_Description_v4.10.3.md §F9</x:v>
      </x:c>
      <x:c r="H264" s="245" t="str">
        <x:v>M3</x:v>
      </x:c>
      <x:c r="I264" s="245" t="str">
        <x:v>T-267</x:v>
      </x:c>
      <x:c r="J264" s="245" t="str">
        <x:v>PENDING SEMANTIC TRACE</x:v>
      </x:c>
      <x:c r="K264" s="245" t="str">
        <x:v>Frame/state/node + action/outcome proof required</x:v>
      </x:c>
    </x:row>
    <x:row r="265" ht="60" customHeight="1">
      <x:c r="A265" s="245" t="str">
        <x:v>F9/CTRL-12</x:v>
      </x:c>
      <x:c r="B265" s="245" t="str">
        <x:v>F9</x:v>
      </x:c>
      <x:c r="C265" s="245" t="str">
        <x:v>Remove legal hold</x:v>
      </x:c>
      <x:c r="D265" s="245" t="str">
        <x:v>destructive, confirmed</x:v>
      </x:c>
      <x:c r="E265" s="245" t="str">
        <x:v>editor</x:v>
      </x:c>
      <x:c r="F265" s="245" t="str">
        <x:v>hold exists</x:v>
      </x:c>
      <x:c r="G265" s="245" t="str">
        <x:v>PPIQ_Chapter3_General_Technical_Function_Description_v4.10.3.md §F9</x:v>
      </x:c>
      <x:c r="H265" s="245" t="str">
        <x:v>M3</x:v>
      </x:c>
      <x:c r="I265" s="245" t="str">
        <x:v>T-267</x:v>
      </x:c>
      <x:c r="J265" s="245" t="str">
        <x:v>PENDING SEMANTIC TRACE</x:v>
      </x:c>
      <x:c r="K265" s="245" t="str">
        <x:v>Frame/state/node + action/outcome proof required</x:v>
      </x:c>
    </x:row>
    <x:row r="266" ht="60" customHeight="1">
      <x:c r="A266" s="245" t="str">
        <x:v>G1/CTRL-PROSE</x:v>
      </x:c>
      <x:c r="B266" s="245" t="str">
        <x:v>G1</x:v>
      </x:c>
      <x:c r="C266" s="245" t="str">
        <x:v>Composer (`StandardTextArea`, auto-growing, Enter sends, Shift-Enter newline); Send (Electric Blue); citation chips (Electric Cyan) beneath each answer; evidence strip sliding from block-end with **Open in page**; expand-width, full-screen, new conversation, copy answer, close; three registry-derived suggested questions on an empty conversation.</x:v>
      </x:c>
      <x:c r="D266" s="245" t="str">
        <x:v>Source prose</x:v>
      </x:c>
      <x:c r="E266" s="245" t="str">
        <x:v>See source</x:v>
      </x:c>
      <x:c r="F266" s="245" t="str">
        <x:v>See source</x:v>
      </x:c>
      <x:c r="G266" s="245" t="str">
        <x:v>PPIQ_Chapter3_General_Technical_Function_Description_v4.10.3.md §G1</x:v>
      </x:c>
      <x:c r="H266" s="245" t="str">
        <x:v>M2</x:v>
      </x:c>
      <x:c r="I266" s="245" t="str">
        <x:v>T-265</x:v>
      </x:c>
      <x:c r="J266" s="245" t="str">
        <x:v>PENDING DECOMPOSITION</x:v>
      </x:c>
      <x:c r="K266" s="245" t="str">
        <x:v>Split prose obligations into controls; do not count zero controls.</x:v>
      </x:c>
    </x:row>
    <x:row r="267" ht="60" customHeight="1">
      <x:c r="A267" s="245" t="str">
        <x:v>G2/CTRL-PROSE</x:v>
      </x:c>
      <x:c r="B267" s="245" t="str">
        <x:v>G2</x:v>
      </x:c>
      <x:c r="C267" s="245" t="str">
        <x:v>Navigation group expanders; navigation items (hidden, not disabled, where the role lacks permission); tier badge (Muted Steel Light, Amber Pro, Electric Blue Pro Plus, Cyan Green Enterprise) linking to F2; user menu with profile, units, time zone, language, sign out; breadcrumb segments as links.</x:v>
      </x:c>
      <x:c r="D267" s="245" t="str">
        <x:v>Source prose</x:v>
      </x:c>
      <x:c r="E267" s="245" t="str">
        <x:v>See source</x:v>
      </x:c>
      <x:c r="F267" s="245" t="str">
        <x:v>See source</x:v>
      </x:c>
      <x:c r="G267" s="245" t="str">
        <x:v>PPIQ_Chapter3_General_Technical_Function_Description_v4.10.3.md §G2</x:v>
      </x:c>
      <x:c r="H267" s="245" t="str">
        <x:v>M2</x:v>
      </x:c>
      <x:c r="I267" s="245" t="str">
        <x:v>T-265</x:v>
      </x:c>
      <x:c r="J267" s="245" t="str">
        <x:v>PENDING DECOMPOSITION</x:v>
      </x:c>
      <x:c r="K267" s="245" t="str">
        <x:v>Split prose obligations into controls; do not count zero controls.</x:v>
      </x:c>
    </x:row>
    <x:row r="268" ht="60" customHeight="1">
      <x:c r="A268" s="245" t="str">
        <x:v>G3/CTRL-PROSE</x:v>
      </x:c>
      <x:c r="B268" s="245" t="str">
        <x:v>G3</x:v>
      </x:c>
      <x:c r="C268" s="245" t="str">
        <x:v>Search input; result groups (Pages, Fields, Measures, Definitions, Findings, Predictions, Log entries, Commands); arrow navigation; Enter to open; Escape to close.</x:v>
      </x:c>
      <x:c r="D268" s="245" t="str">
        <x:v>Source prose</x:v>
      </x:c>
      <x:c r="E268" s="245" t="str">
        <x:v>See source</x:v>
      </x:c>
      <x:c r="F268" s="245" t="str">
        <x:v>See source</x:v>
      </x:c>
      <x:c r="G268" s="245" t="str">
        <x:v>PPIQ_Chapter3_General_Technical_Function_Description_v4.10.3.md §G3</x:v>
      </x:c>
      <x:c r="H268" s="245" t="str">
        <x:v>M3</x:v>
      </x:c>
      <x:c r="I268" s="245" t="str">
        <x:v>T-267</x:v>
      </x:c>
      <x:c r="J268" s="245" t="str">
        <x:v>PENDING DECOMPOSITION</x:v>
      </x:c>
      <x:c r="K268" s="245" t="str">
        <x:v>Split prose obligations into controls; do not count zero controls.</x:v>
      </x:c>
    </x:row>
    <x:row r="269" ht="60" customHeight="1">
      <x:c r="A269" s="245" t="str">
        <x:v>G4/CTRL-PROSE</x:v>
      </x:c>
      <x:c r="B269" s="245" t="str">
        <x:v>G4</x:v>
      </x:c>
      <x:c r="C269" s="245" t="str">
        <x:v>Toast with message, optional action, dismiss; auto-dismiss for success; persistent for warning until dismissed.</x:v>
      </x:c>
      <x:c r="D269" s="245" t="str">
        <x:v>Source prose</x:v>
      </x:c>
      <x:c r="E269" s="245" t="str">
        <x:v>See source</x:v>
      </x:c>
      <x:c r="F269" s="245" t="str">
        <x:v>See source</x:v>
      </x:c>
      <x:c r="G269" s="245" t="str">
        <x:v>PPIQ_Chapter3_General_Technical_Function_Description_v4.10.3.md §G4</x:v>
      </x:c>
      <x:c r="H269" s="245" t="str">
        <x:v>M2</x:v>
      </x:c>
      <x:c r="I269" s="245" t="str">
        <x:v>T-265</x:v>
      </x:c>
      <x:c r="J269" s="245" t="str">
        <x:v>PENDING DECOMPOSITION</x:v>
      </x:c>
      <x:c r="K269" s="245" t="str">
        <x:v>Split prose obligations into controls; do not count zero controls.</x:v>
      </x:c>
    </x:row>
    <x:row r="270" ht="60" customHeight="1">
      <x:c r="A270" s="245" t="str">
        <x:v>G5/CTRL-PROSE</x:v>
      </x:c>
      <x:c r="B270" s="245" t="str">
        <x:v>G5</x:v>
      </x:c>
      <x:c r="C270" s="245" t="str">
        <x:v>Title; the sentence stating **what was refused, why, and what would satisfy it**; the stable error code; the offending fragment echoed where one exists; a Retry where retrying can succeed; a link to the surface that would resolve it; and a copy-diagnostics action carrying the code and the trace identifier.</x:v>
      </x:c>
      <x:c r="D270" s="245" t="str">
        <x:v>Source prose</x:v>
      </x:c>
      <x:c r="E270" s="245" t="str">
        <x:v>See source</x:v>
      </x:c>
      <x:c r="F270" s="245" t="str">
        <x:v>See source</x:v>
      </x:c>
      <x:c r="G270" s="245" t="str">
        <x:v>PPIQ_Chapter3_General_Technical_Function_Description_v4.10.3.md §G5</x:v>
      </x:c>
      <x:c r="H270" s="245" t="str">
        <x:v>M2</x:v>
      </x:c>
      <x:c r="I270" s="245" t="str">
        <x:v>T-265</x:v>
      </x:c>
      <x:c r="J270" s="245" t="str">
        <x:v>PENDING DECOMPOSITION</x:v>
      </x:c>
      <x:c r="K270" s="245" t="str">
        <x:v>Split prose obligations into controls; do not count zero controls.</x:v>
      </x:c>
    </x:row>
    <x:row r="271" ht="60" customHeight="1">
      <x:c r="A271" s="245" t="str">
        <x:v>G6/CTRL-PROSE</x:v>
      </x:c>
      <x:c r="B271" s="245" t="str">
        <x:v>G6</x:v>
      </x:c>
      <x:c r="C271" s="245" t="str">
        <x:v>Run rows with name, stage, rows processed, progress or indeterminate spinner, elapsed time; Cancel where permitted; Open in Jobs Monitor; dismiss a completed row.</x:v>
      </x:c>
      <x:c r="D271" s="245" t="str">
        <x:v>Source prose</x:v>
      </x:c>
      <x:c r="E271" s="245" t="str">
        <x:v>See source</x:v>
      </x:c>
      <x:c r="F271" s="245" t="str">
        <x:v>See source</x:v>
      </x:c>
      <x:c r="G271" s="245" t="str">
        <x:v>PPIQ_Chapter3_General_Technical_Function_Description_v4.10.3.md §G6</x:v>
      </x:c>
      <x:c r="H271" s="245" t="str">
        <x:v>M3</x:v>
      </x:c>
      <x:c r="I271" s="245" t="str">
        <x:v>T-267</x:v>
      </x:c>
      <x:c r="J271" s="245" t="str">
        <x:v>PENDING DECOMPOSITION</x:v>
      </x:c>
      <x:c r="K271" s="245" t="str">
        <x:v>Split prose obligations into controls; do not count zero controls.</x:v>
      </x:c>
    </x:row>
  </x:sheetData>
  <x:pageMargins left="0.7" right="0.7" top="0.75" bottom="0.75" header="0.3" footer="0.3"/>
  <x:tableParts count="1">
    <x:tablePart xmlns:r="http://schemas.openxmlformats.org/officeDocument/2006/relationships" r:id="R4ba487d0064b490b"/>
  </x:tableParts>
</x:worksheet>
</file>

<file path=xl/worksheets/sheet28.xml><?xml version="1.0" encoding="utf-8"?>
<x:worksheet xmlns:x="http://schemas.openxmlformats.org/spreadsheetml/2006/main">
  <x:sheetFormatPr defaultRowHeight="15"/>
  <x:cols>
    <x:col min="1" max="1" width="16" hidden="0" customWidth="1"/>
    <x:col min="2" max="2" width="28" hidden="0" customWidth="1"/>
    <x:col min="3" max="3" width="45" hidden="0" customWidth="1"/>
    <x:col min="4" max="4" width="55" hidden="0" customWidth="1"/>
    <x:col min="5" max="5" width="44" hidden="0" customWidth="1"/>
  </x:cols>
  <x:sheetData>
    <x:row r="1" ht="30" customHeight="1">
      <x:c r="A1" s="244" t="str">
        <x:v>Task ID</x:v>
      </x:c>
      <x:c r="B1" s="244" t="str">
        <x:v>Field</x:v>
      </x:c>
      <x:c r="C1" s="244" t="str">
        <x:v>Before</x:v>
      </x:c>
      <x:c r="D1" s="244" t="str">
        <x:v>After</x:v>
      </x:c>
      <x:c r="E1" s="244" t="str">
        <x:v>Reason</x:v>
      </x:c>
    </x:row>
    <x:row r="2" ht="60" customHeight="1">
      <x:c r="A2" s="245" t="str">
        <x:v>T-265</x:v>
      </x:c>
      <x:c r="B2" s="245" t="str">
        <x:v>NEW TASK</x:v>
      </x:c>
      <x:c r="C2" s="245"/>
      <x:c r="D2" s="245" t="str">
        <x:v>Release-1 UI design depth, workflow and illustrated-companion convergence</x:v>
      </x:c>
      <x:c r="E2" s="245" t="str">
        <x:v>Adopt Fable's proposed ID with bounded release scope, semantic/interaction acceptance and preserved runtime ownership.</x:v>
      </x:c>
    </x:row>
    <x:row r="3" ht="60" customHeight="1">
      <x:c r="A3" s="245" t="str">
        <x:v>T-266</x:v>
      </x:c>
      <x:c r="B3" s="245" t="str">
        <x:v>NEW TASK</x:v>
      </x:c>
      <x:c r="C3" s="245"/>
      <x:c r="D3" s="245" t="str">
        <x:v>Release-1 OPC-UA UI workflows and capability-truth design</x:v>
      </x:c>
      <x:c r="E3" s="245" t="str">
        <x:v>Adopt Fable's proposed ID with bounded release scope, semantic/interaction acceptance and preserved runtime ownership.</x:v>
      </x:c>
    </x:row>
    <x:row r="4" ht="60" customHeight="1">
      <x:c r="A4" s="245" t="str">
        <x:v>T-267</x:v>
      </x:c>
      <x:c r="B4" s="245" t="str">
        <x:v>NEW TASK</x:v>
      </x:c>
      <x:c r="C4" s="245"/>
      <x:c r="D4" s="245" t="str">
        <x:v>Release-2 interface depth and enterprise BI/authoring parity design</x:v>
      </x:c>
      <x:c r="E4" s="245" t="str">
        <x:v>Adopt Fable's proposed ID with bounded release scope, semantic/interaction acceptance and preserved runtime ownership.</x:v>
      </x:c>
    </x:row>
    <x:row r="5" ht="60" customHeight="1">
      <x:c r="A5" s="245" t="str">
        <x:v>T-247</x:v>
      </x:c>
      <x:c r="B5" s="245" t="str">
        <x:v>Depends On (IDs only)</x:v>
      </x:c>
      <x:c r="C5" s="245" t="str">
        <x:v>T-092; T-207; T-212; T-213; T-241; T-242; T-243; T-244; T-245; T-253; T-254; T-256; T-258; T-104; T-108; T-211; T-235; T-262; T-125</x:v>
      </x:c>
      <x:c r="D5" s="245" t="str">
        <x:v>T-092; T-207; T-212; T-213; T-241; T-242; T-243; T-244; T-245; T-253; T-254; T-256; T-258; T-104; T-108; T-211; T-235; T-262; T-125; T-265; T-266</x:v>
      </x:c>
      <x:c r="E5" s="245" t="str">
        <x:v>Require accepted UI delivery at integration acceptance</x:v>
      </x:c>
    </x:row>
    <x:row r="6" ht="60" customHeight="1">
      <x:c r="A6" s="245" t="str">
        <x:v>T-248</x:v>
      </x:c>
      <x:c r="B6" s="245" t="str">
        <x:v>Depends On (IDs only)</x:v>
      </x:c>
      <x:c r="C6" s="245" t="str">
        <x:v>T-148; T-202; T-203; T-204; T-205; T-228; T-241; T-243; T-244; T-245; T-257</x:v>
      </x:c>
      <x:c r="D6" s="245" t="str">
        <x:v>T-148; T-202; T-203; T-204; T-205; T-228; T-241; T-243; T-244; T-245; T-257; T-267</x:v>
      </x:c>
      <x:c r="E6" s="245" t="str">
        <x:v>Require accepted UI delivery at integration acceptance</x:v>
      </x:c>
    </x:row>
    <x:row r="7" ht="60" customHeight="1">
      <x:c r="A7" s="245" t="str">
        <x:v>T-249</x:v>
      </x:c>
      <x:c r="B7" s="245" t="str">
        <x:v>Depends On (IDs only)</x:v>
      </x:c>
      <x:c r="C7" s="245" t="str">
        <x:v>T-153; T-159; T-160; T-161; T-162; T-163; T-164; T-167; T-193; T-230; T-240; T-248; T-263; T-264; T-246; T-110</x:v>
      </x:c>
      <x:c r="D7" s="245" t="str">
        <x:v>T-153; T-159; T-160; T-161; T-162; T-163; T-164; T-167; T-193; T-230; T-240; T-248; T-263; T-264; T-246; T-110; T-267</x:v>
      </x:c>
      <x:c r="E7" s="245" t="str">
        <x:v>Require accepted UI delivery at integration acceptance</x:v>
      </x:c>
    </x:row>
    <x:row r="8" ht="60" customHeight="1">
      <x:c r="A8" s="245" t="str">
        <x:v>T-148</x:v>
      </x:c>
      <x:c r="B8" s="245" t="str">
        <x:v>Contract-ready predecessors (not completion)</x:v>
      </x:c>
      <x:c r="C8" s="245" t="str">
        <x:v>T-196; T-197; T-198; T-199; T-200</x:v>
      </x:c>
      <x:c r="D8" s="245" t="str">
        <x:v>T-196; T-197; T-198; T-199; T-200; T-265; T-266</x:v>
      </x:c>
      <x:c r="E8" s="245" t="str">
        <x:v>Explicit UI handoff, not runtime completion</x:v>
      </x:c>
    </x:row>
    <x:row r="9" ht="60" customHeight="1">
      <x:c r="A9" s="245" t="str">
        <x:v>T-247</x:v>
      </x:c>
      <x:c r="B9" s="245" t="str">
        <x:v>Task Validation</x:v>
      </x:c>
      <x:c r="C9" s="245" t="str">
        <x:v>One end-to-end evidence pack proves zero C# diff, zero TypeScript diff and zero product-SQL diff; configuration/metadata only. The customer-shaped journey completes through product surfaces and replays deterministically. The evidence pack also proves the customer-facing connector availability text comes from executable capability truth, the authored output target is customer-shaped/governed, and no unapproved material-specific/public-schema runtime dependency is required.</x:v>
      </x:c>
      <x:c r="D9" s="245" t="str">
        <x:v>One end-to-end evidence pack proves zero C# diff, zero TypeScript diff and zero product-SQL diff; configuration/metadata only. The customer-shaped journey completes through product surfaces and replays deterministically. The evidence pack also proves the customer-facing connector availability text comes from executable capability truth, the authored output target is customer-shaped/governed, and no unapproved material-specific/public-schema runtime dependency is required.
v2.23.0 — T-265/T-266 designs are accepted before the release walkthrough. Re-run the same-binary customer journey against real governed services after UI integration: source test/cursor/import, authored field map and relationship publish, exact version execution/cancel/failure, quarantine evidence and reprocess, selected/possible/excluded propagation, applicable table navigation/export and grounded Assistant. Screenshots must identify actual runtime versus prototype. Live acceptance cannot be satisfied by a Figma import, label-presence script or template count.</x:v>
      </x:c>
      <x:c r="E9" s="245" t="str">
        <x:v>Close visual-to-runtime acceptance seam, preserving the existing producer prerequisites.</x:v>
      </x:c>
    </x:row>
    <x:row r="10" ht="60" customHeight="1">
      <x:c r="A10" s="245" t="str">
        <x:v>T-248</x:v>
      </x:c>
      <x:c r="B10" s="245" t="str">
        <x:v>Task Validation</x:v>
      </x:c>
      <x:c r="C10" s="245" t="str">
        <x:v>A 75-row acceptance matrix has no Unowned or Missing row. Every row is Implemented or PPIQ-Equivalent, has an automated/visual acceptance or an explicit non-applicability proof, and no proprietary Qlik syntax is required. Comparative acceptance against the defined PPIQ outcomes demonstrates no missing enterprise authoring row for inspector/style, bookmark/selection, pivot/crosstab, formatting, export and accessibility. Server-owned layouts survive a clean browser profile with localStorage cleared. Raw component colour literals are within an explicit design-token allowlist.
A new definition authors arithmetic/logic through expression configuration and schedules repetition/control flow through the Job authority. A persisted legacy T-242 board definition reopens with semantic equivalence and an explicit compatibility marker; save-as-new converges to the current representation without losing history.
v2.22.0 — Search scopes results/actions correctly; keyboard select/escape; tray shows run identity/state/progress with polling fallback and no fake percent; empty/failed/denied variants; existing 75-item authoring/BI acceptance retained.</x:v>
      </x:c>
      <x:c r="D10" s="245" t="str">
        <x:v>A 75-row acceptance matrix has no Unowned or Missing row. Every row is Implemented or PPIQ-Equivalent, has an automated/visual acceptance or an explicit non-applicability proof, and no proprietary Qlik syntax is required. Comparative acceptance against the defined PPIQ outcomes demonstrates no missing enterprise authoring row for inspector/style, bookmark/selection, pivot/crosstab, formatting, export and accessibility. Server-owned layouts survive a clean browser profile with localStorage cleared. Raw component colour literals are within an explicit design-token allowlist.
A new definition authors arithmetic/logic through expression configuration and schedules repetition/control flow through the Job authority. A persisted legacy T-242 board definition reopens with semantic equivalence and an explicit compatibility marker; save-as-new converges to the current representation without losing history.
v2.22.0 — Search scopes results/actions correctly; keyboard select/escape; tray shows run identity/state/progress with polling fallback and no fake percent; empty/failed/denied variants; existing 75-item authoring/BI acceptance retained.
v2.23.0 — Use the accepted T-267 semantic/interaction matrix and per-scene handoffs for the existing 75-item parity contract. Do not reimplement or defer the M2 associative engine/selection behavior already accepted under T-204. A visual omission creates a design obligation, not a reopened product task without regression.</x:v>
      </x:c>
      <x:c r="E10" s="245" t="str">
        <x:v>Keep M2 baseline separate from M3 parity.</x:v>
      </x:c>
    </x:row>
    <x:row r="11" ht="60" customHeight="1">
      <x:c r="A11" s="245" t="str">
        <x:v>T-148</x:v>
      </x:c>
      <x:c r="B11" s="245" t="str">
        <x:v>Task Validation</x:v>
      </x:c>
      <x:c r="C11" s="245" t="str">
        <x:v>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
v2.22.1 —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x:v>
      </x:c>
      <x:c r="D11" s="245" t="str">
        <x:v>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
v2.22.1 —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
v2.23.0 — Consume per-surface approved route/control/state handoffs from T-265/T-266; do not wait for entire backend tasks merely to draft UI. Bind chapter control IDs to actual reachable controls and screen variants. Shared shell/component geometry is required consistency, not a defect. A control-label match alone is not a workflow test. Complete all current M2 route content and record explicitly deferred M3 behavior under its named implementation owner.</x:v>
      </x:c>
      <x:c r="E11" s="245" t="str">
        <x:v>Replace mechanical geometry/text-only notions of UI completeness.</x:v>
      </x:c>
    </x:row>
    <x:row r="12" ht="60" customHeight="1">
      <x:c r="A12" s="245" t="str">
        <x:v>T-101</x:v>
      </x:c>
      <x:c r="B12" s="245" t="str">
        <x:v>UI Companion Reference</x:v>
      </x:c>
      <x:c r="C12" s="245" t="str">
        <x:v>PPIQ_UI_Figma_Design_Spec_v4.10.3.md</x:v>
      </x:c>
      <x:c r="D12" s="245" t="str">
        <x:v>PPIQ_UI_Figma_Design_Spec_v4.10.3.md
v2.23.0 — T-265 owns B4/C2/C3 visual depth. Implement its applicable batch outcome/error/committed cursor and catalogue-driven quarantine list/detail/refusal/reprocess states under the existing T-101 scope; all row actions and counts use canonical tenant-scoped payloads. Do not limit the renderer to eight PV codes.</x:v>
      </x:c>
      <x:c r="E12" s="245" t="str">
        <x:v>Explicit design-to-implementation handoff within existing functional scope.</x:v>
      </x:c>
    </x:row>
    <x:row r="13" ht="60" customHeight="1">
      <x:c r="A13" s="245" t="str">
        <x:v>T-125</x:v>
      </x:c>
      <x:c r="B13" s="245" t="str">
        <x:v>UI Companion Reference</x:v>
      </x:c>
      <x:c r="C13" s="245" t="str">
        <x:v>PPIQ_UI_Figma_Design_Spec_v4.10.3.md</x:v>
      </x:c>
      <x:c r="D13" s="245" t="str">
        <x:v>PPIQ_UI_Figma_Design_Spec_v4.10.3.md
v2.23.0 — T-265 receives the frozen B4/B5 operational payload. Preserve T-101 UI versus T-125 API/metrics ownership already assigned in v2.22.1; prototype figures never replace persisted evidence.</x:v>
      </x:c>
      <x:c r="E13" s="245" t="str">
        <x:v>Explicit design-to-implementation handoff within existing functional scope.</x:v>
      </x:c>
    </x:row>
    <x:row r="14" ht="60" customHeight="1">
      <x:c r="A14" s="245" t="str">
        <x:v>T-243</x:v>
      </x:c>
      <x:c r="B14" s="245" t="str">
        <x:v>UI Companion Reference</x:v>
      </x:c>
      <x:c r="C14" s="245" t="str">
        <x:v>PPIQ_UI_Figma_Design_Spec_v4.10.3.md</x:v>
      </x:c>
      <x:c r="D14" s="245" t="str">
        <x:v>PPIQ_UI_Figma_Design_Spec_v4.10.3.md
v2.23.0 — Use T-265 C1/S1 selected-block, inspector, typed-port, validation/publish/reopen and SQL-mode handoffs. Shared C1/S1 shell is valid; prove semantic mode behavior rather than arbitrary visual differences. No change to canonical definition/relationship authorities.</x:v>
      </x:c>
      <x:c r="E14" s="245" t="str">
        <x:v>Explicit design-to-implementation handoff within existing functional scope.</x:v>
      </x:c>
    </x:row>
    <x:row r="15" ht="60" customHeight="1">
      <x:c r="A15" s="245" t="str">
        <x:v>T-245</x:v>
      </x:c>
      <x:c r="B15" s="245" t="str">
        <x:v>UI Companion Reference</x:v>
      </x:c>
      <x:c r="C15" s="245" t="str">
        <x:v>PPIQ_UI_Figma_Design_Spec_v4.10.3.md</x:v>
      </x:c>
      <x:c r="D15" s="245" t="str">
        <x:v>PPIQ_UI_Figma_Design_Spec_v4.10.3.md
v2.23.0 — Use T-265 run/schedule/cancellation UI handoffs; cancellation acknowledgement is not a terminal Cancelled result until the executor/runtime records it. Render exact resolved version, failure counts and evidence, not a browser-derived success.</x:v>
      </x:c>
      <x:c r="E15" s="245" t="str">
        <x:v>Explicit design-to-implementation handoff within existing functional scope.</x:v>
      </x:c>
    </x:row>
    <x:row r="16" ht="60" customHeight="1">
      <x:c r="A16" s="245" t="str">
        <x:v>T-098</x:v>
      </x:c>
      <x:c r="B16" s="245" t="str">
        <x:v>UI Companion Reference</x:v>
      </x:c>
      <x:c r="C16" s="245" t="str">
        <x:v>PPIQ_UI_Figma_Design_Spec_v4.10.3.md</x:v>
      </x:c>
      <x:c r="D16" s="245" t="str">
        <x:v>PPIQ_UI_Figma_Design_Spec_v4.10.3.md
v2.23.0 — Use T-265 C6 relationship list/detail/member/cardinality/path-validation handoffs. Trace every applicable Chapter 3 control to a reachable UI variant and keep resolver behavior under its existing authority.</x:v>
      </x:c>
      <x:c r="E16" s="245" t="str">
        <x:v>Explicit design-to-implementation handoff within existing functional scope.</x:v>
      </x:c>
    </x:row>
    <x:row r="17" ht="60" customHeight="1">
      <x:c r="A17" s="245" t="str">
        <x:v>T-224</x:v>
      </x:c>
      <x:c r="B17" s="245" t="str">
        <x:v>UI Companion Reference</x:v>
      </x:c>
      <x:c r="C17" s="245" t="str">
        <x:v>PPIQ_UI_Figma_Design_Spec_v4.10.3.md</x:v>
      </x:c>
      <x:c r="D17" s="245" t="str">
        <x:v>PPIQ_UI_Figma_Design_Spec_v4.10.3.md
v2.23.0 — T-266 supplies OPC profile/session/trust target and refusal designs, with Worker 1 technical review. This is a contract handoff, not a full-design completion prerequisite for backend implementation.</x:v>
      </x:c>
      <x:c r="E17" s="245" t="str">
        <x:v>Explicit design-to-implementation handoff within existing functional scope.</x:v>
      </x:c>
    </x:row>
    <x:row r="18" ht="60" customHeight="1">
      <x:c r="A18" s="245" t="str">
        <x:v>T-225</x:v>
      </x:c>
      <x:c r="B18" s="245" t="str">
        <x:v>UI Companion Reference</x:v>
      </x:c>
      <x:c r="C18" s="245" t="str">
        <x:v>PPIQ_UI_Figma_Design_Spec_v4.10.3.md</x:v>
      </x:c>
      <x:c r="D18" s="245" t="str">
        <x:v>PPIQ_UI_Figma_Design_Spec_v4.10.3.md
v2.23.0 — T-266 supplies browse tree, tag registration, bounded-read/subscription and keyboard/validation designs. Backend development follows frozen contracts in parallel; capability flags still require runtime proof.</x:v>
      </x:c>
      <x:c r="E18" s="245" t="str">
        <x:v>Explicit design-to-implementation handoff within existing functional scope.</x:v>
      </x:c>
    </x:row>
    <x:row r="19" ht="60" customHeight="1">
      <x:c r="A19" s="245" t="str">
        <x:v>T-226</x:v>
      </x:c>
      <x:c r="B19" s="245" t="str">
        <x:v>UI Companion Reference</x:v>
      </x:c>
      <x:c r="C19" s="245" t="str">
        <x:v>PPIQ_UI_Figma_Design_Spec_v4.10.3.md</x:v>
      </x:c>
      <x:c r="D19" s="245" t="str">
        <x:v>PPIQ_UI_Figma_Design_Spec_v4.10.3.md
v2.23.0 — T-266 supplies quality/time/spool/reconnect/replay evidence presentation. The source-time and idempotency rules are unchanged; labelled design fixtures are not test-server proof.</x:v>
      </x:c>
      <x:c r="E19" s="245" t="str">
        <x:v>Explicit design-to-implementation handoff within existing functional scope.</x:v>
      </x:c>
    </x:row>
    <x:row r="20" ht="60" customHeight="1">
      <x:c r="A20" s="245" t="str">
        <x:v>T-263</x:v>
      </x:c>
      <x:c r="B20" s="245" t="str">
        <x:v>UI Companion Reference</x:v>
      </x:c>
      <x:c r="C20" s="245" t="str">
        <x:v>PPIQ_UI_Figma_Design_Spec_v4.10.3.md</x:v>
      </x:c>
      <x:c r="D20" s="245" t="str">
        <x:v>PPIQ_UI_Figma_Design_Spec_v4.10.3.md
v2.23.0 — T-267 supplies E5 report-definition/generation/history/delivery interaction design. Generation remains a governed job; preserve period/filter/permission context and the existing source-evidence boundary.</x:v>
      </x:c>
      <x:c r="E20" s="245" t="str">
        <x:v>Explicit design-to-implementation handoff within existing functional scope.</x:v>
      </x:c>
    </x:row>
    <x:row r="21" ht="60" customHeight="1">
      <x:c r="A21" s="245" t="str">
        <x:v>T-264</x:v>
      </x:c>
      <x:c r="B21" s="245" t="str">
        <x:v>UI Companion Reference</x:v>
      </x:c>
      <x:c r="C21" s="245" t="str">
        <x:v>PPIQ_UI_Figma_Design_Spec_v4.10.3.md</x:v>
      </x:c>
      <x:c r="D21" s="245" t="str">
        <x:v>PPIQ_UI_Figma_Design_Spec_v4.10.3.md
v2.23.0 — T-267 supplies D12 comparison/direction/sample-refusal/normalisation design. BM01/BM02 behavior and result evidence remain implementation acceptance, not illustrated proof.</x:v>
      </x:c>
      <x:c r="E21" s="245" t="str">
        <x:v>Explicit design-to-implementation handoff within existing functional scope.</x:v>
      </x:c>
    </x:row>
    <x:row r="22" ht="60" customHeight="1">
      <x:c r="A22" s="245" t="str">
        <x:v>T-120</x:v>
      </x:c>
      <x:c r="B22" s="245" t="str">
        <x:v>UI Companion Reference</x:v>
      </x:c>
      <x:c r="C22" s="245" t="str">
        <x:v>PPIQ_UI_Figma_Design_Spec_v4.10.3.md</x:v>
      </x:c>
      <x:c r="D22" s="245" t="str">
        <x:v>PPIQ_UI_Figma_Design_Spec_v4.10.3.md
v2.23.0 — T-265 covers only the existing M2 user/role safety slice; T-267 covers deferred administration depth. Render permissions/refusals from the current canonical role contract.</x:v>
      </x:c>
      <x:c r="E22" s="245" t="str">
        <x:v>Explicit design-to-implementation handoff within existing functional scope.</x:v>
      </x:c>
    </x:row>
    <x:row r="23" ht="60" customHeight="1">
      <x:c r="A23" s="245" t="str">
        <x:v>T-121</x:v>
      </x:c>
      <x:c r="B23" s="245" t="str">
        <x:v>UI Companion Reference</x:v>
      </x:c>
      <x:c r="C23" s="245" t="str">
        <x:v>PPIQ_UI_Figma_Design_Spec_v4.10.3.md</x:v>
      </x:c>
      <x:c r="D23" s="245" t="str">
        <x:v>PPIQ_UI_Figma_Design_Spec_v4.10.3.md
v2.23.0 — Use T-265 for existing M2 licence/quota states and T-267 for full administration depth. Entitlement, role and runtime capability are different inputs; no drawing enables a capability.</x:v>
      </x:c>
      <x:c r="E23" s="245" t="str">
        <x:v>Explicit design-to-implementation handoff within existing functional scope.</x:v>
      </x:c>
    </x:row>
    <x:row r="24" ht="60" customHeight="1">
      <x:c r="A24" s="245" t="str">
        <x:v>T-215</x:v>
      </x:c>
      <x:c r="B24" s="245" t="str">
        <x:v>UI Companion Reference</x:v>
      </x:c>
      <x:c r="C24" s="245" t="str">
        <x:v>PPIQ_UI_Figma_Design_Spec_v4.10.3.md</x:v>
      </x:c>
      <x:c r="D24" s="245" t="str">
        <x:v>PPIQ_UI_Figma_Design_Spec_v4.10.3.md
v2.23.0 — T-265 provides the active M2 reference/measure direction and bound-result UI; T-267 expands the deferred authoring depth. Do not introduce a second Performance Reference authority.</x:v>
      </x:c>
      <x:c r="E24" s="245" t="str">
        <x:v>Explicit design-to-implementation handoff within existing functional scope.</x:v>
      </x:c>
    </x:row>
    <x:row r="25" ht="60" customHeight="1">
      <x:c r="A25" s="245" t="str">
        <x:v>T-222</x:v>
      </x:c>
      <x:c r="B25" s="245" t="str">
        <x:v>UI Companion Reference</x:v>
      </x:c>
      <x:c r="C25" s="245" t="str">
        <x:v>PPIQ_UI_Figma_Design_Spec_v4.10.3.md</x:v>
      </x:c>
      <x:c r="D25" s="245" t="str">
        <x:v>PPIQ_UI_Figma_Design_Spec_v4.10.3.md
v2.23.0 — T-265 provides the Release-1 reconciliation evidence/result/refusal surfaces. Use the canonical result envelope and citation references, not local display calculations.</x:v>
      </x:c>
      <x:c r="E25" s="245" t="str">
        <x:v>Explicit design-to-implementation handoff within existing functional scope.</x:v>
      </x:c>
    </x:row>
    <x:row r="26" ht="60" customHeight="1">
      <x:c r="A26" s="245" t="str">
        <x:v>T-207</x:v>
      </x:c>
      <x:c r="B26" s="245" t="str">
        <x:v>Must Precede (IDs only)</x:v>
      </x:c>
      <x:c r="C26" s="245" t="str">
        <x:v>T-150; T-224; T-247; T-254</x:v>
      </x:c>
      <x:c r="D26" s="245" t="str">
        <x:v>T-150; T-224; T-247; T-254; T-266</x:v>
      </x:c>
      <x:c r="E26" s="245" t="str">
        <x:v>Derived reciprocal completion dependencies, keyed by Task ID.</x:v>
      </x:c>
    </x:row>
    <x:row r="27" ht="60" customHeight="1">
      <x:c r="A27" s="245" t="str">
        <x:v>T-265</x:v>
      </x:c>
      <x:c r="B27" s="245" t="str">
        <x:v>Must Precede (IDs only)</x:v>
      </x:c>
      <x:c r="C27" s="245"/>
      <x:c r="D27" s="245" t="str">
        <x:v>T-247; T-267</x:v>
      </x:c>
      <x:c r="E27" s="245" t="str">
        <x:v>Derived reciprocal completion dependencies, keyed by Task ID.</x:v>
      </x:c>
    </x:row>
    <x:row r="28" ht="60" customHeight="1">
      <x:c r="A28" s="245" t="str">
        <x:v>T-266</x:v>
      </x:c>
      <x:c r="B28" s="245" t="str">
        <x:v>Must Precede (IDs only)</x:v>
      </x:c>
      <x:c r="C28" s="245"/>
      <x:c r="D28" s="245" t="str">
        <x:v>T-247</x:v>
      </x:c>
      <x:c r="E28" s="245" t="str">
        <x:v>Derived reciprocal completion dependencies, keyed by Task ID.</x:v>
      </x:c>
    </x:row>
    <x:row r="29" ht="60" customHeight="1">
      <x:c r="A29" s="245" t="str">
        <x:v>T-267</x:v>
      </x:c>
      <x:c r="B29" s="245" t="str">
        <x:v>Must Precede (IDs only)</x:v>
      </x:c>
      <x:c r="C29" s="245"/>
      <x:c r="D29" s="245" t="str">
        <x:v>T-248; T-249</x:v>
      </x:c>
      <x:c r="E29" s="245" t="str">
        <x:v>Derived reciprocal completion dependencies, keyed by Task ID.</x:v>
      </x:c>
    </x:row>
  </x:sheetData>
  <x:pageMargins left="0.7" right="0.7" top="0.75" bottom="0.75" header="0.3" footer="0.3"/>
  <x:tableParts count="1">
    <x:tablePart xmlns:r="http://schemas.openxmlformats.org/officeDocument/2006/relationships" r:id="Rb5ad6d70dd5b412b"/>
  </x:tableParts>
</x:worksheet>
</file>

<file path=xl/worksheets/sheet29.xml><?xml version="1.0" encoding="utf-8"?>
<x:worksheet xmlns:x="http://schemas.openxmlformats.org/spreadsheetml/2006/main">
  <x:sheetFormatPr defaultRowHeight="15"/>
  <x:cols>
    <x:col min="1" max="1" width="28" hidden="0" customWidth="1"/>
    <x:col min="2" max="2" width="15" hidden="0" customWidth="1"/>
    <x:col min="3" max="3" width="18" hidden="0" customWidth="1"/>
    <x:col min="4" max="4" width="24" hidden="0" customWidth="1"/>
    <x:col min="5" max="5" width="38" hidden="0" customWidth="1"/>
    <x:col min="6" max="6" width="43" hidden="0" customWidth="1"/>
    <x:col min="7" max="7" width="13" hidden="0" customWidth="1"/>
    <x:col min="8" max="8" width="13" hidden="0" customWidth="1"/>
    <x:col min="9" max="9" width="13" hidden="0" customWidth="1"/>
    <x:col min="10" max="10" width="13" hidden="0" customWidth="1"/>
  </x:cols>
  <x:sheetData>
    <x:row r="1" ht="25" customHeight="1">
      <x:c r="A1" s="256" t="str">
        <x:v>PLANTPROCESS IQ | UI CONVERGENCE • v2.23.0</x:v>
      </x:c>
      <x:c r="B1" s="256"/>
      <x:c r="C1" s="256"/>
      <x:c r="D1" s="256"/>
      <x:c r="E1" s="256"/>
      <x:c r="F1" s="256"/>
      <x:c r="G1" s="257"/>
      <x:c r="H1" s="257"/>
      <x:c r="I1" s="257"/>
      <x:c r="J1" s="257"/>
    </x:row>
    <x:row r="2" ht="25" customHeight="1">
      <x:c r="A2" s="256"/>
      <x:c r="B2" s="256"/>
      <x:c r="C2" s="256"/>
      <x:c r="D2" s="256"/>
      <x:c r="E2" s="256"/>
      <x:c r="F2" s="256"/>
      <x:c r="G2" s="257"/>
      <x:c r="H2" s="257"/>
      <x:c r="I2" s="257"/>
      <x:c r="J2" s="257"/>
    </x:row>
    <x:row r="3" ht="32" customHeight="1">
      <x:c r="A3" s="258" t="str">
        <x:v>Functional Design v4.10.3 unchanged. Design tasks close visual handoffs; product behavior still requires runtime acceptance.</x:v>
      </x:c>
      <x:c r="B3" s="258"/>
      <x:c r="C3" s="258"/>
      <x:c r="D3" s="258"/>
      <x:c r="E3" s="258"/>
      <x:c r="F3" s="258"/>
      <x:c r="G3" s="259"/>
      <x:c r="H3" s="259"/>
      <x:c r="I3" s="259"/>
      <x:c r="J3" s="259"/>
    </x:row>
    <x:row r="4">
      <x:c r="A4" s="260"/>
      <x:c r="B4" s="260"/>
      <x:c r="C4" s="260"/>
      <x:c r="D4" s="260"/>
      <x:c r="E4" s="260"/>
      <x:c r="F4" s="260"/>
      <x:c r="G4" s="261"/>
      <x:c r="H4" s="261"/>
      <x:c r="I4" s="261"/>
      <x:c r="J4" s="261"/>
    </x:row>
    <x:row r="5" ht="30" customHeight="1">
      <x:c r="A5" s="262" t="str">
        <x:v>Metric</x:v>
      </x:c>
      <x:c r="B5" s="262" t="str">
        <x:v>M2</x:v>
      </x:c>
      <x:c r="C5" s="262" t="str">
        <x:v>M3</x:v>
      </x:c>
      <x:c r="D5" s="262" t="str">
        <x:v>Total</x:v>
      </x:c>
      <x:c r="E5" s="262" t="str">
        <x:v>Meaning</x:v>
      </x:c>
      <x:c r="F5" s="260"/>
      <x:c r="G5" s="261"/>
      <x:c r="H5" s="261"/>
      <x:c r="I5" s="261"/>
      <x:c r="J5" s="261"/>
    </x:row>
    <x:row r="6" ht="28" customHeight="1">
      <x:c r="A6" s="263" t="str">
        <x:v>Active tasks</x:v>
      </x:c>
      <x:c r="B6" s="263" t="n">
        <x:f>COUNTIF(Backlog!$B$2:$B$180,"M2")</x:f>
        <x:v>107</x:v>
      </x:c>
      <x:c r="C6" s="263" t="n">
        <x:f>COUNTIF(Backlog!$B$2:$B$180,"M3")</x:f>
        <x:v>72</x:v>
      </x:c>
      <x:c r="D6" s="263" t="n">
        <x:f>SUM(B6:C6)</x:f>
        <x:v>179</x:v>
      </x:c>
      <x:c r="E6" s="263" t="str">
        <x:v>176 repaired + 3 design tasks</x:v>
      </x:c>
      <x:c r="F6" s="260"/>
      <x:c r="G6" s="261"/>
      <x:c r="H6" s="261"/>
      <x:c r="I6" s="261"/>
      <x:c r="J6" s="261"/>
    </x:row>
    <x:row r="7" ht="28" customHeight="1">
      <x:c r="A7" s="263" t="str">
        <x:v>Done</x:v>
      </x:c>
      <x:c r="B7" s="263" t="n">
        <x:f>COUNTIFS(Backlog!$B$2:$B$180,"M2",Backlog!$K$2:$K$180,"Done")</x:f>
        <x:v>58</x:v>
      </x:c>
      <x:c r="C7" s="263" t="n">
        <x:f>COUNTIFS(Backlog!$B$2:$B$180,"M3",Backlog!$K$2:$K$180,"Done")</x:f>
        <x:v>0</x:v>
      </x:c>
      <x:c r="D7" s="263" t="n">
        <x:f>SUM(B7:C7)</x:f>
        <x:v>58</x:v>
      </x:c>
      <x:c r="E7" s="263" t="str">
        <x:v>T-099 closure preserved</x:v>
      </x:c>
      <x:c r="F7" s="260"/>
      <x:c r="G7" s="261"/>
      <x:c r="H7" s="261"/>
      <x:c r="I7" s="261"/>
      <x:c r="J7" s="261"/>
    </x:row>
    <x:row r="8" ht="28" customHeight="1">
      <x:c r="A8" s="263" t="str">
        <x:v>In progress</x:v>
      </x:c>
      <x:c r="B8" s="263" t="n">
        <x:f>COUNTIFS(Backlog!$B$2:$B$180,"M2",Backlog!$K$2:$K$180,"In Progress")</x:f>
        <x:v>4</x:v>
      </x:c>
      <x:c r="C8" s="263" t="n">
        <x:f>COUNTIFS(Backlog!$B$2:$B$180,"M3",Backlog!$K$2:$K$180,"In Progress")</x:f>
        <x:v>0</x:v>
      </x:c>
      <x:c r="D8" s="263" t="n">
        <x:f>SUM(B8:C8)</x:f>
        <x:v>4</x:v>
      </x:c>
      <x:c r="E8" s="263" t="str">
        <x:v>No unearned status change</x:v>
      </x:c>
      <x:c r="F8" s="260"/>
      <x:c r="G8" s="261"/>
      <x:c r="H8" s="261"/>
      <x:c r="I8" s="261"/>
      <x:c r="J8" s="261"/>
    </x:row>
    <x:row r="9" ht="28" customHeight="1">
      <x:c r="A9" s="263" t="str">
        <x:v>Not started</x:v>
      </x:c>
      <x:c r="B9" s="263" t="n">
        <x:f>COUNTIFS(Backlog!$B$2:$B$180,"M2",Backlog!$K$2:$K$180,"Not Started")</x:f>
        <x:v>45</x:v>
      </x:c>
      <x:c r="C9" s="263" t="n">
        <x:f>COUNTIFS(Backlog!$B$2:$B$180,"M3",Backlog!$K$2:$K$180,"Not Started")</x:f>
        <x:v>72</x:v>
      </x:c>
      <x:c r="D9" s="263" t="n">
        <x:f>SUM(B9:C9)</x:f>
        <x:v>117</x:v>
      </x:c>
      <x:c r="E9" s="263" t="str">
        <x:v>Design tasks not completed</x:v>
      </x:c>
      <x:c r="F9" s="260"/>
      <x:c r="G9" s="261"/>
      <x:c r="H9" s="261"/>
      <x:c r="I9" s="261"/>
      <x:c r="J9" s="261"/>
    </x:row>
    <x:row r="10" ht="28" customHeight="1">
      <x:c r="A10" s="263" t="str">
        <x:v>Unknown estimates</x:v>
      </x:c>
      <x:c r="B10" s="263" t="n">
        <x:f>COUNTIFS(Backlog!$B$2:$B$180,"M2",Backlog!$AM$2:$AM$180,0)</x:f>
        <x:v>5</x:v>
      </x:c>
      <x:c r="C10" s="263" t="n">
        <x:f>COUNTIFS(Backlog!$B$2:$B$180,"M3",Backlog!$AM$2:$AM$180,0)</x:f>
        <x:v>3</x:v>
      </x:c>
      <x:c r="D10" s="263" t="n">
        <x:f>SUM(B10:C10)</x:f>
        <x:v>8</x:v>
      </x:c>
      <x:c r="E10" s="263" t="str">
        <x:v>Old/proposed estimates excluded</x:v>
      </x:c>
      <x:c r="F10" s="260"/>
      <x:c r="G10" s="261"/>
      <x:c r="H10" s="261"/>
      <x:c r="I10" s="261"/>
      <x:c r="J10" s="261"/>
    </x:row>
    <x:row r="11">
      <x:c r="A11" s="260"/>
      <x:c r="B11" s="260"/>
      <x:c r="C11" s="260"/>
      <x:c r="D11" s="260"/>
      <x:c r="E11" s="260"/>
      <x:c r="F11" s="260"/>
      <x:c r="G11" s="261"/>
      <x:c r="H11" s="261"/>
      <x:c r="I11" s="261"/>
      <x:c r="J11" s="261"/>
    </x:row>
    <x:row r="12" ht="30" customHeight="1">
      <x:c r="A12" s="262" t="str">
        <x:v>Task</x:v>
      </x:c>
      <x:c r="B12" s="262" t="str">
        <x:v>Release</x:v>
      </x:c>
      <x:c r="C12" s="262" t="str">
        <x:v>Design owner</x:v>
      </x:c>
      <x:c r="D12" s="262" t="str">
        <x:v>Technical review</x:v>
      </x:c>
      <x:c r="E12" s="262" t="str">
        <x:v>Status</x:v>
      </x:c>
      <x:c r="F12" s="262" t="str">
        <x:v>Handoff boundary</x:v>
      </x:c>
      <x:c r="G12" s="261"/>
      <x:c r="H12" s="261"/>
      <x:c r="I12" s="261"/>
      <x:c r="J12" s="261"/>
    </x:row>
    <x:row r="13" ht="55" customHeight="1">
      <x:c r="A13" s="263" t="str">
        <x:v>T-265</x:v>
      </x:c>
      <x:c r="B13" s="263" t="str">
        <x:v>M2</x:v>
      </x:c>
      <x:c r="C13" s="263" t="str">
        <x:v>Worker 2</x:v>
      </x:c>
      <x:c r="D13" s="263" t="str">
        <x:v>Producer owners / CENTRAL</x:v>
      </x:c>
      <x:c r="E13" s="263" t="str">
        <x:f>IF(INDEX(Backlog!$K$2:$K$180,MATCH($A13,Backlog!$A$2:$A$180,0))="","",INDEX(Backlog!$K$2:$K$180,MATCH($A13,Backlog!$A$2:$A$180,0)))</x:f>
        <x:v>Not Started</x:v>
      </x:c>
      <x:c r="F13" s="263" t="str">
        <x:v>Day-1 depth + full citation/Word/atlas correction</x:v>
      </x:c>
      <x:c r="G13" s="261"/>
      <x:c r="H13" s="261"/>
      <x:c r="I13" s="261"/>
      <x:c r="J13" s="261"/>
    </x:row>
    <x:row r="14" ht="55" customHeight="1">
      <x:c r="A14" s="263" t="str">
        <x:v>T-266</x:v>
      </x:c>
      <x:c r="B14" s="263" t="str">
        <x:v>M2</x:v>
      </x:c>
      <x:c r="C14" s="263" t="str">
        <x:v>Worker 2</x:v>
      </x:c>
      <x:c r="D14" s="263" t="str">
        <x:v>Worker 1: OPC contracts</x:v>
      </x:c>
      <x:c r="E14" s="263" t="str">
        <x:f>IF(INDEX(Backlog!$K$2:$K$180,MATCH($A14,Backlog!$A$2:$A$180,0))="","",INDEX(Backlog!$K$2:$K$180,MATCH($A14,Backlog!$A$2:$A$180,0)))</x:f>
        <x:v>Not Started</x:v>
      </x:c>
      <x:c r="F14" s="263" t="str">
        <x:v>Missing OPC states inside canonical B1–B4/B6</x:v>
      </x:c>
      <x:c r="G14" s="261"/>
      <x:c r="H14" s="261"/>
      <x:c r="I14" s="261"/>
      <x:c r="J14" s="261"/>
    </x:row>
    <x:row r="15" ht="55" customHeight="1">
      <x:c r="A15" s="263" t="str">
        <x:v>T-267</x:v>
      </x:c>
      <x:c r="B15" s="263" t="str">
        <x:v>M3</x:v>
      </x:c>
      <x:c r="C15" s="263" t="str">
        <x:v>Worker 2</x:v>
      </x:c>
      <x:c r="D15" s="263" t="str">
        <x:v>Producer owners / CENTRAL</x:v>
      </x:c>
      <x:c r="E15" s="263" t="str">
        <x:f>IF(INDEX(Backlog!$K$2:$K$180,MATCH($A15,Backlog!$A$2:$A$180,0))="","",INDEX(Backlog!$K$2:$K$180,MATCH($A15,Backlog!$A$2:$A$180,0)))</x:f>
        <x:v>Not Started</x:v>
      </x:c>
      <x:c r="F15" s="263" t="str">
        <x:v>All M3 UI remainder + advanced parity</x:v>
      </x:c>
      <x:c r="G15" s="261"/>
      <x:c r="H15" s="261"/>
      <x:c r="I15" s="261"/>
      <x:c r="J15" s="261"/>
    </x:row>
    <x:row r="16">
      <x:c r="A16" s="260"/>
      <x:c r="B16" s="260"/>
      <x:c r="C16" s="260"/>
      <x:c r="D16" s="260"/>
      <x:c r="E16" s="260"/>
      <x:c r="F16" s="260"/>
      <x:c r="G16" s="261"/>
      <x:c r="H16" s="261"/>
      <x:c r="I16" s="261"/>
      <x:c r="J16" s="261"/>
    </x:row>
    <x:row r="17" ht="40" customHeight="1">
      <x:c r="A17" s="264" t="str">
        <x:v>Acceptance: semantic coverage + rendered/prototype walkthrough + implementation ownership; not frame counts or literal label matches.</x:v>
      </x:c>
      <x:c r="B17" s="264"/>
      <x:c r="C17" s="264"/>
      <x:c r="D17" s="264"/>
      <x:c r="E17" s="264"/>
      <x:c r="F17" s="264"/>
      <x:c r="G17" s="265"/>
      <x:c r="H17" s="265"/>
      <x:c r="I17" s="265"/>
      <x:c r="J17" s="265"/>
    </x:row>
    <x:row r="18">
      <x:c r="A18" s="260"/>
      <x:c r="B18" s="260"/>
      <x:c r="C18" s="260"/>
      <x:c r="D18" s="260"/>
      <x:c r="E18" s="260"/>
      <x:c r="F18" s="260"/>
      <x:c r="G18" s="261"/>
      <x:c r="H18" s="261"/>
      <x:c r="I18" s="261"/>
      <x:c r="J18" s="261"/>
    </x:row>
    <x:row r="19" ht="42" customHeight="1">
      <x:c r="A19" s="263" t="str">
        <x:v>START: UI Coverage v223 → UI Controls v223 → Backlog T-265..T-267. All 270 coverage records are pending depth work; this workbook contains no claim of a completed redesign.</x:v>
      </x:c>
      <x:c r="B19" s="263"/>
      <x:c r="C19" s="263"/>
      <x:c r="D19" s="263"/>
      <x:c r="E19" s="263"/>
      <x:c r="F19" s="263"/>
      <x:c r="G19" s="224"/>
      <x:c r="H19" s="224"/>
      <x:c r="I19" s="224"/>
      <x:c r="J19" s="224"/>
    </x:row>
    <x:row r="20">
      <x:c r="A20" s="260"/>
      <x:c r="B20" s="260"/>
      <x:c r="C20" s="260"/>
      <x:c r="D20" s="260"/>
      <x:c r="E20" s="260"/>
      <x:c r="F20" s="260"/>
      <x:c r="G20" s="261"/>
      <x:c r="H20" s="261"/>
      <x:c r="I20" s="261"/>
      <x:c r="J20" s="261"/>
    </x:row>
    <x:row r="21" ht="34" customHeight="1">
      <x:c r="A21" s="263" t="str">
        <x:v>T-099: ca02b40ea1b69050a45cb35a3e1d64f15b1f66af | Task CLOSED GREEN; inherited DefinitionKind RED remains tracked separately.</x:v>
      </x:c>
      <x:c r="B21" s="263"/>
      <x:c r="C21" s="263"/>
      <x:c r="D21" s="263"/>
      <x:c r="E21" s="263"/>
      <x:c r="F21" s="263"/>
      <x:c r="G21" s="224"/>
      <x:c r="H21" s="224"/>
      <x:c r="I21" s="224"/>
      <x:c r="J21" s="224"/>
    </x:row>
    <x:row r="23">
      <x:c r="G23" t="str">
        <x:v>Status</x:v>
      </x:c>
      <x:c r="H23" t="str">
        <x:v>M2</x:v>
      </x:c>
      <x:c r="I23" t="str">
        <x:v>M3</x:v>
      </x:c>
    </x:row>
    <x:row r="24">
      <x:c r="G24" t="str">
        <x:v>Done</x:v>
      </x:c>
      <x:c r="H24" t="n">
        <x:f>B7</x:f>
        <x:v>58</x:v>
      </x:c>
      <x:c r="I24" t="n">
        <x:f>C7</x:f>
        <x:v>0</x:v>
      </x:c>
    </x:row>
    <x:row r="25">
      <x:c r="G25" t="str">
        <x:v>In Progress</x:v>
      </x:c>
      <x:c r="H25" t="n">
        <x:f>B8</x:f>
        <x:v>4</x:v>
      </x:c>
      <x:c r="I25" t="n">
        <x:f>C8</x:f>
        <x:v>0</x:v>
      </x:c>
    </x:row>
    <x:row r="26">
      <x:c r="G26" t="str">
        <x:v>Not Started</x:v>
      </x:c>
      <x:c r="H26" t="n">
        <x:f>B9</x:f>
        <x:v>45</x:v>
      </x:c>
      <x:c r="I26" t="n">
        <x:f>C9</x:f>
        <x:v>72</x:v>
      </x:c>
    </x:row>
  </x:sheetData>
  <x:mergeCells>
    <x:mergeCell ref="A1:J2"/>
    <x:mergeCell ref="A3:J3"/>
    <x:mergeCell ref="A17:J17"/>
    <x:mergeCell ref="A19:J19"/>
    <x:mergeCell ref="A21:J21"/>
  </x:mergeCells>
  <x:conditionalFormatting sqref="E13:E15">
    <x:cfRule type="expression" dxfId="13" priority="1">
      <x:formula>E13="Not Started"</x:formula>
    </x:cfRule>
    <x:cfRule type="expression" dxfId="14" priority="2">
      <x:formula>E13="Done"</x:formula>
    </x:cfRule>
  </x:conditionalFormatting>
  <x:pageMargins left="0.7" right="0.7" top="0.75" bottom="0.75" header="0.3" footer="0.3"/>
  <x:drawing xmlns:r="http://schemas.openxmlformats.org/officeDocument/2006/relationships" r:id="R39f2f5013b07495d"/>
</x:worksheet>
</file>

<file path=xl/worksheets/sheet30.xml><?xml version="1.0" encoding="utf-8"?>
<x:worksheet xmlns:x="http://schemas.openxmlformats.org/spreadsheetml/2006/main">
  <x:sheetFormatPr defaultRowHeight="15"/>
  <x:cols>
    <x:col min="1" max="1" width="16" hidden="0" customWidth="1"/>
    <x:col min="2" max="2" width="42" hidden="0" customWidth="1"/>
    <x:col min="3" max="3" width="64" hidden="0" customWidth="1"/>
    <x:col min="4" max="4" width="62" hidden="0" customWidth="1"/>
  </x:cols>
  <x:sheetData>
    <x:row r="1" ht="30" customHeight="1">
      <x:c r="A1" s="268" t="str">
        <x:v>Record</x:v>
      </x:c>
      <x:c r="B1" s="268" t="str">
        <x:v>Owner / file</x:v>
      </x:c>
      <x:c r="C1" s="268" t="str">
        <x:v>Purpose / result</x:v>
      </x:c>
      <x:c r="D1" s="268" t="str">
        <x:v>Evidence / boundary</x:v>
      </x:c>
    </x:row>
    <x:row r="2" ht="82" customHeight="1">
      <x:c r="A2" s="194" t="str">
        <x:v>CONTROL</x:v>
      </x:c>
      <x:c r="B2" s="194" t="str">
        <x:v>14 files / 12 document families</x:v>
      </x:c>
      <x:c r="C2" s="194" t="str">
        <x:v>Definition + six chapters + two illustrated editions + two DB design docs + identity + evaluation + latest Backlog</x:v>
      </x:c>
      <x:c r="D2" s="194" t="str">
        <x:v>No extra subfolder or standalone deliverable in the book.</x:v>
      </x:c>
    </x:row>
    <x:row r="3" ht="82" customHeight="1">
      <x:c r="A3" s="194" t="str">
        <x:v>VERSIONS</x:v>
      </x:c>
      <x:c r="B3" s="194" t="str">
        <x:v>Design v4.10.3 / Backlog v2.23.0</x:v>
      </x:c>
      <x:c r="C3" s="194" t="str">
        <x:v>No functional design, task scope, release, status or estimate revision in this consolidation.</x:v>
      </x:c>
      <x:c r="D3" s="194" t="str">
        <x:v>Documentation homes/format references only.</x:v>
      </x:c>
    </x:row>
    <x:row r="4" ht="82" customHeight="1">
      <x:c r="A4" s="194" t="str">
        <x:v>SOURCE</x:v>
      </x:c>
      <x:c r="B4" s="194" t="str">
        <x:v>PPIQ_Backlog_v2.23.0_14Sep2026.xlsx</x:v>
      </x:c>
      <x:c r="C4" s="194" t="str">
        <x:v>Actual Library backing file, 464046 bytes</x:v>
      </x:c>
      <x:c r="D4" s="194" t="str">
        <x:v>SHA256 d1e7998d1f6ef382c69925ff8668f334a7a6da883bd3c74fdc52b194f9c9e7e6</x:v>
      </x:c>
    </x:row>
    <x:row r="5" ht="82" customHeight="1">
      <x:c r="A5" s="194" t="str">
        <x:v>DEFINITION</x:v>
      </x:c>
      <x:c r="B5" s="194" t="str">
        <x:v>PPIQ_Definition.md</x:v>
      </x:c>
      <x:c r="C5" s="194" t="str">
        <x:v>Book register + routing rules + preserved original owner brief</x:v>
      </x:c>
      <x:c r="D5" s="194" t="str">
        <x:v>Existing owner definition incorporated verbatim; current chapters govern conflicts.</x:v>
      </x:c>
    </x:row>
    <x:row r="6" ht="82" customHeight="1">
      <x:c r="A6" s="194" t="str">
        <x:v>VISUALS</x:v>
      </x:c>
      <x:c r="B6" s="194" t="str">
        <x:v>Chapter 3 MD + Word</x:v>
      </x:c>
      <x:c r="C6" s="194" t="str">
        <x:v>40 pages, 6 shell components, 87 named dialogs/drawers; figures in Word</x:v>
      </x:c>
      <x:c r="D6" s="194" t="str">
        <x:v>497 existing embedded images; visual depth remains under T-265/T-266.</x:v>
      </x:c>
    </x:row>
    <x:row r="7" ht="82" customHeight="1">
      <x:c r="A7" s="194" t="str">
        <x:v>EDITORS</x:v>
      </x:c>
      <x:c r="B7" s="194" t="str">
        <x:v>Chapter 4 MD + Word</x:v>
      </x:c>
      <x:c r="C7" s="194" t="str">
        <x:v>S1–S5 modes, expression editor, 82 toolbox records, 16 detailed inspectors</x:v>
      </x:c>
      <x:c r="D7" s="194" t="str">
        <x:v>110 existing embedded images; advanced depth remains under T-267.</x:v>
      </x:c>
    </x:row>
    <x:row r="8" ht="82" customHeight="1">
      <x:c r="A8" s="194" t="str">
        <x:v>METHOD</x:v>
      </x:c>
      <x:c r="B8" s="194" t="str">
        <x:v>Product Analysis and Evaluation Standard</x:v>
      </x:c>
      <x:c r="C8" s="194" t="str">
        <x:v>Semantic UI acceptance clarification; withdrawn §C4 allegation remains withdrawn.</x:v>
      </x:c>
      <x:c r="D8" s="194" t="str">
        <x:v>No reassessment or score change is implied.</x:v>
      </x:c>
    </x:row>
    <x:row r="9" ht="82" customHeight="1">
      <x:c r="A9" s="194" t="str">
        <x:v>HANDOFFS</x:v>
      </x:c>
      <x:c r="B9" s="194" t="str">
        <x:v>Contract Handoffs</x:v>
      </x:c>
      <x:c r="C9" s="194" t="str">
        <x:v>T-265 already has T-262 and T-101 producers in the actual v2.23.0 source.</x:v>
      </x:c>
      <x:c r="D9" s="194" t="str">
        <x:v>Verified rows 12 and 13; no new dependency or duplicate handoff added.</x:v>
      </x:c>
    </x:row>
    <x:row r="10" ht="82" customHeight="1">
      <x:c r="A10" s="194" t="str">
        <x:v>PENDING</x:v>
      </x:c>
      <x:c r="B10" s="194" t="str">
        <x:v>T-265 capability-link simplification</x:v>
      </x:c>
      <x:c r="C10" s="194" t="str">
        <x:v>Reviewer proposes reducing secondary links to actual D2 ownership and retaining broader traceability in UI Coverage.</x:v>
      </x:c>
      <x:c r="D10" s="194" t="str">
        <x:v>Proposal recorded, not silently applied in a document-consolidation pass.</x:v>
      </x:c>
    </x:row>
    <x:row r="11" ht="82" customHeight="1">
      <x:c r="A11" s="194" t="str">
        <x:v>BASELINE</x:v>
      </x:c>
      <x:c r="B11" s="194" t="str">
        <x:v>T-099</x:v>
      </x:c>
      <x:c r="C11" s="194" t="str">
        <x:v>CLOSED GREEN / COMMITTED remains unchanged.</x:v>
      </x:c>
      <x:c r="D11" s="194" t="str">
        <x:v>ca02b40ea1b69050a45cb35a3e1d64f15b1f66af; owner-reported, not release-wide GREEN.</x:v>
      </x:c>
    </x:row>
    <x:row r="12" ht="82" customHeight="1">
      <x:c r="A12" s="194" t="str">
        <x:v>ESTIMATES</x:v>
      </x:c>
      <x:c r="B12" s="194" t="str">
        <x:v>T-106/T-108/T-262..T-267</x:v>
      </x:c>
      <x:c r="C12" s="194" t="str">
        <x:v>Eight absent/withdrawn/unconfirmed estimates preserved.</x:v>
      </x:c>
      <x:c r="D12" s="194" t="str">
        <x:v>No estimated hours invented by repackaging.</x:v>
      </x:c>
    </x:row>
    <x:row r="13" ht="82" customHeight="1">
      <x:c r="A13" s="194" t="str">
        <x:v>ARCHIVE</x:v>
      </x:c>
      <x:c r="B13" s="194" t="str">
        <x:v>Historical sheets already in the workbook</x:v>
      </x:c>
      <x:c r="C13" s="194" t="str">
        <x:v>Earlier version references in historical evidence remain historical.</x:v>
      </x:c>
      <x:c r="D13" s="194" t="str">
        <x:v>Current Authority, Governance and Backlog are current; old captions do not restore old authority.</x:v>
      </x:c>
    </x:row>
    <x:row r="14" ht="82" customHeight="1">
      <x:c r="A14" s="194" t="str">
        <x:v>SECURITY</x:v>
      </x:c>
      <x:c r="B14" s="194" t="str">
        <x:v>Identity and Topology file</x:v>
      </x:c>
      <x:c r="C14" s="194" t="str">
        <x:v>Existing file copied unchanged; complete book is confidential.</x:v>
      </x:c>
      <x:c r="D14" s="194" t="str">
        <x:v>Do not publish or distribute unrestricted. No credential values added to workbook/chapter text.</x:v>
      </x:c>
    </x:row>
    <x:row r="15" ht="82" customHeight="1">
      <x:c r="A15" s="194" t="str">
        <x:v>UNCHANGED</x:v>
      </x:c>
      <x:c r="B15" s="194" t="str">
        <x:v>Illustrated Word and DB dictionary</x:v>
      </x:c>
      <x:c r="C15" s="194" t="str">
        <x:v>Byte-identical existing files; do not count as new drawing or live schema work.</x:v>
      </x:c>
      <x:c r="D15" s="194" t="str">
        <x:v>No new native Figma run or browser/product certification.</x:v>
      </x:c>
    </x:row>
    <x:row r="16" ht="82" customHeight="1">
      <x:c r="A16" s="194" t="str">
        <x:v>EXCLUDED</x:v>
      </x:c>
      <x:c r="B16" s="194" t="str">
        <x:v>Standalone atlas / SVG folder / JSON / README / diff / handoff files</x:v>
      </x:c>
      <x:c r="C16" s="194" t="str">
        <x:v>Not part of the controlled book. Useful content is integrated; executable tooling belongs in the repository.</x:v>
      </x:c>
      <x:c r="D16" s="194" t="str">
        <x:v>No original user or Library file is deleted by creating this consolidated copy.</x:v>
      </x:c>
    </x:row>
    <x:row r="19" ht="30" customHeight="1">
      <x:c r="A19" s="267" t="str">
        <x:v>Task reference edit</x:v>
      </x:c>
      <x:c r="B19" s="267" t="str">
        <x:v>Field</x:v>
      </x:c>
      <x:c r="C19" s="267" t="str">
        <x:v>Prior output home</x:v>
      </x:c>
      <x:c r="D19" s="267" t="str">
        <x:v>Current output home</x:v>
      </x:c>
    </x:row>
    <x:row r="20" ht="142" customHeight="1">
      <x:c r="A20" s="101" t="str">
        <x:v>T-265</x:v>
      </x:c>
      <x:c r="B20" s="101" t="str">
        <x:v>H</x:v>
      </x:c>
      <x:c r="C20" s="101" t="str">
        <x:v>Regenerate the derived specification, atlas, editable scene import and illustrated Word chapters from the same revised UI data with source text preserved.</x:v>
      </x:c>
      <x:c r="D20" s="101" t="str">
        <x:v>Update Chapter 3/4 MD and illustrated Word from one maintained visual/interaction specification, with source prose preserved and the coverage register inside this workbook. Keep native Figma/tooling source in its implementation environment; store Figma file/node and acceptance references here, not in additional design-book files.</x:v>
      </x:c>
    </x:row>
    <x:row r="21" ht="142" customHeight="1">
      <x:c r="A21" s="101" t="str">
        <x:v>T-265</x:v>
      </x:c>
      <x:c r="B21" s="101" t="str">
        <x:v>I</x:v>
      </x:c>
      <x:c r="C21" s="101" t="str">
        <x:v>in data, Markdown, atlas and Word</x:v>
      </x:c>
      <x:c r="D21" s="101" t="str">
        <x:v>in this workbook's coverage data and the Chapter 3/4 MD and illustrated Word</x:v>
      </x:c>
    </x:row>
    <x:row r="22" ht="142" customHeight="1">
      <x:c r="A22" s="101" t="str">
        <x:v>T-266</x:v>
      </x:c>
      <x:c r="B22" s="101" t="str">
        <x:v>I</x:v>
      </x:c>
      <x:c r="C22" s="101" t="str">
        <x:v>include OPC scenes in the same atlas/Word citation checks</x:v>
      </x:c>
      <x:c r="D22" s="101" t="str">
        <x:v>include OPC scenes in the same integrated Chapter 3/4 MD and Word citation checks</x:v>
      </x:c>
    </x:row>
    <x:row r="23" ht="142" customHeight="1">
      <x:c r="A23" s="101" t="str">
        <x:v>T-267</x:v>
      </x:c>
      <x:c r="B23" s="101" t="str">
        <x:v>H</x:v>
      </x:c>
      <x:c r="C23" s="101" t="str">
        <x:v>Deliver the revised visual specification, native editable Figma evidence, atlas and both illustrated reading editions with stable traceable captions.</x:v>
      </x:c>
      <x:c r="D23" s="101" t="str">
        <x:v>Deliver the revised visual specification inside Chapter 3/4 MD and both illustrated Word editions with stable traceable captions; retain native editable Figma evidence as file/node references inside this workbook. Do not add a standalone atlas or companion file to the design book.</x:v>
      </x:c>
    </x:row>
    <x:row r="24" ht="142" customHeight="1">
      <x:c r="A24" s="101" t="str">
        <x:v>T-267</x:v>
      </x:c>
      <x:c r="B24" s="101" t="str">
        <x:v>I</x:v>
      </x:c>
      <x:c r="C24" s="101" t="str">
        <x:v>Regenerated Markdown/HTML/Word preserves chapter prose and correct citations.</x:v>
      </x:c>
      <x:c r="D24" s="101" t="str">
        <x:v>Updated Chapter 3/4 Markdown and illustrated Word preserve chapter prose and correct citations; coverage and verification remain in the latest Backlog.</x:v>
      </x:c>
    </x:row>
    <x:row r="26" ht="82" customHeight="1">
      <x:c r="A26" s="101" t="str">
        <x:v>All active tasks</x:v>
      </x:c>
      <x:c r="B26" s="101" t="str">
        <x:v>AL — UI reference</x:v>
      </x:c>
      <x:c r="C26" s="101" t="str">
        <x:v>PPIQ_UI_Figma_Design_Spec_v4.10.3.md</x:v>
      </x:c>
      <x:c r="D26" s="101" t="str">
        <x:v>Chapters 3/4 v4.10.3 — MD + illustrated Word; UI Coverage / UI Controls in this workbook</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43" hidden="0" customWidth="1"/>
    <x:col min="2" max="2" width="12" hidden="0" customWidth="1"/>
    <x:col min="3" max="3" width="16" hidden="0" customWidth="1"/>
    <x:col min="4" max="4" width="95" hidden="0" customWidth="1"/>
    <x:col min="6" max="6" width="30" hidden="0" customWidth="1"/>
    <x:col min="7" max="7" width="15" hidden="0" customWidth="1"/>
    <x:col min="8" max="8" width="15" hidden="0" customWidth="1"/>
    <x:col min="9" max="9" width="15" hidden="0" customWidth="1"/>
  </x:cols>
  <x:sheetData>
    <x:row r="1" ht="32" customHeight="1">
      <x:c r="A1" s="267" t="str">
        <x:v>Check</x:v>
      </x:c>
      <x:c r="B1" s="267" t="str">
        <x:v>Count</x:v>
      </x:c>
      <x:c r="C1" s="267" t="str">
        <x:v>Result</x:v>
      </x:c>
      <x:c r="D1" s="267" t="str">
        <x:v>Basis</x:v>
      </x:c>
      <x:c r="F1" s="268" t="str">
        <x:v>Preserved task totals</x:v>
      </x:c>
      <x:c r="G1" s="268" t="str">
        <x:v>M2</x:v>
      </x:c>
      <x:c r="H1" s="268" t="str">
        <x:v>M3</x:v>
      </x:c>
      <x:c r="I1" s="268" t="str">
        <x:v>Total</x:v>
      </x:c>
    </x:row>
    <x:row r="2" ht="42" customHeight="1">
      <x:c r="A2" s="194" t="str">
        <x:v>Active task IDs</x:v>
      </x:c>
      <x:c r="B2" s="194" t="n">
        <x:v>179</x:v>
      </x:c>
      <x:c r="C2" s="194" t="str">
        <x:v>PASS</x:v>
      </x:c>
      <x:c r="D2" s="194" t="str">
        <x:v>179 unchanged, unique Task IDs from actual Backlog.</x:v>
      </x:c>
      <x:c r="F2" t="str">
        <x:v>Active</x:v>
      </x:c>
      <x:c r="G2" t="n">
        <x:f>COUNTIF(Backlog!$B$2:$B$180,"M2")</x:f>
        <x:v>107</x:v>
      </x:c>
      <x:c r="H2" t="n">
        <x:f>COUNTIF(Backlog!$B$2:$B$180,"M3")</x:f>
        <x:v>72</x:v>
      </x:c>
      <x:c r="I2" t="n">
        <x:f>COUNTA(Backlog!$A$2:$A$180)</x:f>
        <x:v>179</x:v>
      </x:c>
    </x:row>
    <x:row r="3" ht="42" customHeight="1">
      <x:c r="A3" s="194" t="str">
        <x:v>M2 tasks</x:v>
      </x:c>
      <x:c r="B3" s="194" t="n">
        <x:v>107</x:v>
      </x:c>
      <x:c r="C3" s="194" t="str">
        <x:v>PASS</x:v>
      </x:c>
      <x:c r="D3" s="194" t="str">
        <x:v>Preserved source classification.</x:v>
      </x:c>
      <x:c r="F3" t="str">
        <x:v>Done</x:v>
      </x:c>
      <x:c r="G3" t="n">
        <x:f>COUNTIFS(Backlog!$B$2:$B$180,"M2",Backlog!$K$2:$K$180,"Done")</x:f>
        <x:v>58</x:v>
      </x:c>
      <x:c r="H3" t="n">
        <x:f>COUNTIFS(Backlog!$B$2:$B$180,"M3",Backlog!$K$2:$K$180,"Done")</x:f>
        <x:v>0</x:v>
      </x:c>
      <x:c r="I3" t="n">
        <x:f>COUNTIF(Backlog!$K$2:$K$180,"Done")</x:f>
        <x:v>58</x:v>
      </x:c>
    </x:row>
    <x:row r="4" ht="42" customHeight="1">
      <x:c r="A4" s="194" t="str">
        <x:v>M3 tasks</x:v>
      </x:c>
      <x:c r="B4" s="194" t="n">
        <x:v>72</x:v>
      </x:c>
      <x:c r="C4" s="194" t="str">
        <x:v>PASS</x:v>
      </x:c>
      <x:c r="D4" s="194" t="str">
        <x:v>Preserved source classification.</x:v>
      </x:c>
      <x:c r="F4" t="str">
        <x:v>Unconfirmed estimates</x:v>
      </x:c>
      <x:c r="G4" t="n">
        <x:f>COUNTIF(Backlog!$B$2:$B$180,"M2")-SUMIF(Backlog!$B$2:$B$180,"M2",Backlog!$AM$2:$AM$180)</x:f>
        <x:v>5</x:v>
      </x:c>
      <x:c r="H4" t="n">
        <x:f>COUNTIF(Backlog!$B$2:$B$180,"M3")-SUMIF(Backlog!$B$2:$B$180,"M3",Backlog!$AM$2:$AM$180)</x:f>
        <x:v>3</x:v>
      </x:c>
      <x:c r="I4" t="n">
        <x:f>COUNTA(Backlog!$A$2:$A$180)-SUM(Backlog!$AM$2:$AM$180)</x:f>
        <x:v>8</x:v>
      </x:c>
    </x:row>
    <x:row r="5" ht="42" customHeight="1">
      <x:c r="A5" s="194" t="str">
        <x:v>Done</x:v>
      </x:c>
      <x:c r="B5" s="194" t="n">
        <x:v>58</x:v>
      </x:c>
      <x:c r="C5" s="194" t="str">
        <x:v>PASS</x:v>
      </x:c>
      <x:c r="D5" s="194" t="str">
        <x:v>Including T-099, commit and parent unchanged.</x:v>
      </x:c>
    </x:row>
    <x:row r="6" ht="42" customHeight="1">
      <x:c r="A6" s="194" t="str">
        <x:v>In Progress</x:v>
      </x:c>
      <x:c r="B6" s="194" t="n">
        <x:v>4</x:v>
      </x:c>
      <x:c r="C6" s="194" t="str">
        <x:v>PASS</x:v>
      </x:c>
      <x:c r="D6" s="194" t="str">
        <x:v>Preserved.</x:v>
      </x:c>
    </x:row>
    <x:row r="7" ht="42" customHeight="1">
      <x:c r="A7" s="194" t="str">
        <x:v>Not Started</x:v>
      </x:c>
      <x:c r="B7" s="194" t="n">
        <x:v>117</x:v>
      </x:c>
      <x:c r="C7" s="194" t="str">
        <x:v>PASS</x:v>
      </x:c>
      <x:c r="D7" s="194" t="str">
        <x:v>Preserved.</x:v>
      </x:c>
    </x:row>
    <x:row r="8" ht="42" customHeight="1">
      <x:c r="A8" s="194" t="str">
        <x:v>Self-dependencies / self-precede</x:v>
      </x:c>
      <x:c r="B8" s="194" t="n">
        <x:v>0</x:v>
      </x:c>
      <x:c r="C8" s="194" t="str">
        <x:v>PASS</x:v>
      </x:c>
      <x:c r="D8" s="194" t="str">
        <x:v>Both dependency columns checked by Task ID.</x:v>
      </x:c>
    </x:row>
    <x:row r="9" ht="42" customHeight="1">
      <x:c r="A9" s="194" t="str">
        <x:v>M2 completion depends on M3</x:v>
      </x:c>
      <x:c r="B9" s="194" t="n">
        <x:v>0</x:v>
      </x:c>
      <x:c r="C9" s="194" t="str">
        <x:v>PASS</x:v>
      </x:c>
      <x:c r="D9" s="194" t="str">
        <x:v>Completion edges only; contract-ready edges are not completion.</x:v>
      </x:c>
    </x:row>
    <x:row r="10" ht="42" customHeight="1">
      <x:c r="A10" s="194" t="str">
        <x:v>Reciprocal Must Precede</x:v>
      </x:c>
      <x:c r="B10" s="194" t="n">
        <x:v>179</x:v>
      </x:c>
      <x:c r="C10" s="194" t="str">
        <x:v>PASS</x:v>
      </x:c>
      <x:c r="D10" s="194" t="str">
        <x:v>All reverse links equal forward dependency relations.</x:v>
      </x:c>
    </x:row>
    <x:row r="11" ht="42" customHeight="1">
      <x:c r="A11" s="194" t="str">
        <x:v>Acyclic nodes</x:v>
      </x:c>
      <x:c r="B11" s="194" t="n">
        <x:v>179</x:v>
      </x:c>
      <x:c r="C11" s="194" t="str">
        <x:v>PASS</x:v>
      </x:c>
      <x:c r="D11" s="194" t="str">
        <x:v>Topological resolution covers all active tasks.</x:v>
      </x:c>
    </x:row>
    <x:row r="12" ht="42" customHeight="1">
      <x:c r="A12" s="194" t="str">
        <x:v>Declared external predecessors</x:v>
      </x:c>
      <x:c r="B12" s="194" t="n">
        <x:v>5</x:v>
      </x:c>
      <x:c r="C12" s="194" t="str">
        <x:v>PASS</x:v>
      </x:c>
      <x:c r="D12" s="194" t="str">
        <x:v>T-032; T-035; T-036; T-057; T-064. Not silently removed.</x:v>
      </x:c>
    </x:row>
    <x:row r="13" ht="42" customHeight="1">
      <x:c r="A13" s="194" t="str">
        <x:v>T-265 T-262/T-101 handoffs</x:v>
      </x:c>
      <x:c r="B13" s="194" t="n">
        <x:v>2</x:v>
      </x:c>
      <x:c r="C13" s="194" t="str">
        <x:v>PASS</x:v>
      </x:c>
      <x:c r="D13" s="194" t="str">
        <x:v>Already present in Contract Handoffs; retained.</x:v>
      </x:c>
    </x:row>
    <x:row r="14" ht="42" customHeight="1">
      <x:c r="A14" s="194" t="str">
        <x:v>Word images embedded</x:v>
      </x:c>
      <x:c r="B14" s="194" t="n">
        <x:v>607</x:v>
      </x:c>
      <x:c r="C14" s="194" t="str">
        <x:v>PASS</x:v>
      </x:c>
      <x:c r="D14" s="194" t="str">
        <x:v>497 + 110; original DOCX bytes retained.</x:v>
      </x:c>
    </x:row>
    <x:row r="15" ht="42" customHeight="1">
      <x:c r="A15" s="194" t="str">
        <x:v>Named dialog catalogue</x:v>
      </x:c>
      <x:c r="B15" s="194" t="n">
        <x:v>87</x:v>
      </x:c>
      <x:c r="C15" s="194" t="str">
        <x:v>PASS</x:v>
      </x:c>
      <x:c r="D15" s="194" t="str">
        <x:v>Full derived descriptions integrated in Chapter 3 MD.</x:v>
      </x:c>
    </x:row>
    <x:row r="16" ht="42" customHeight="1">
      <x:c r="A16" s="194" t="str">
        <x:v>Toolbox catalogue</x:v>
      </x:c>
      <x:c r="B16" s="194" t="n">
        <x:v>82</x:v>
      </x:c>
      <x:c r="C16" s="194" t="str">
        <x:v>PASS</x:v>
      </x:c>
      <x:c r="D16" s="194" t="str">
        <x:v>Full records integrated in Chapter 4 MD.</x:v>
      </x:c>
    </x:row>
    <x:row r="17" ht="42" customHeight="1">
      <x:c r="A17" s="194" t="str">
        <x:v>Detailed inspectors</x:v>
      </x:c>
      <x:c r="B17" s="194" t="n">
        <x:v>16</x:v>
      </x:c>
      <x:c r="C17" s="194" t="str">
        <x:v>PASS</x:v>
      </x:c>
      <x:c r="D17" s="194" t="str">
        <x:v>Full records integrated in Chapter 4 MD.</x:v>
      </x:c>
    </x:row>
    <x:row r="18" ht="42" customHeight="1">
      <x:c r="A18" s="194" t="str">
        <x:v>Runtime / database certification</x:v>
      </x:c>
      <x:c r="B18" s="194"/>
      <x:c r="C18" s="194" t="str">
        <x:v>NOT RUN</x:v>
      </x:c>
      <x:c r="D18" s="194" t="str">
        <x:v>File consolidation does not execute product gates.</x:v>
      </x:c>
    </x:row>
  </x:sheetData>
  <x:pageMargins left="0.7" right="0.7" top="0.75" bottom="0.75" header="0.3" footer="0.3"/>
</x:worksheet>
</file>