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20001_{2E6E1F26-8C53-457F-A0C5-1A2F5D34CEE1}" xr6:coauthVersionLast="47" xr6:coauthVersionMax="47" xr10:uidLastSave="{00000000-0000-0000-0000-000000000000}"/>
  <bookViews>
    <workbookView xWindow="-120" yWindow="-120" windowWidth="29040" windowHeight="15720" xr2:uid="{00000000-000D-0000-FFFF-FFFF00000000}"/>
  </bookViews>
  <sheets>
    <sheet name="Backlog" sheetId="1" r:id="rId1"/>
    <sheet name="Phase Summary" sheetId="2" r:id="rId2"/>
    <sheet name="Milestone Rollup" sheetId="3" r:id="rId3"/>
    <sheet name="Legend" sheetId="4" r:id="rId4"/>
    <sheet name="Audit Traceability" sheetId="5" r:id="rId5"/>
    <sheet name="Worker 3 Lane" sheetId="6" r:id="rId6"/>
    <sheet name="AI-ML Architecture Coverage" sheetId="7" r:id="rId7"/>
    <sheet name="v2.10 Change Log" sheetId="8" r:id="rId8"/>
  </sheets>
  <definedNames>
    <definedName name="_xlnm._FilterDatabase" localSheetId="0" hidden="1">Backlog!$A$1:$P$194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B5" i="6"/>
  <c r="F5" i="3"/>
  <c r="E5" i="3"/>
  <c r="D5" i="3"/>
  <c r="C5" i="3"/>
  <c r="F4" i="3"/>
  <c r="E4" i="3"/>
  <c r="D4" i="3"/>
  <c r="C4" i="3"/>
  <c r="F3" i="3"/>
  <c r="E3" i="3"/>
  <c r="D3" i="3"/>
  <c r="C3" i="3"/>
  <c r="F2" i="3"/>
  <c r="E2" i="3"/>
  <c r="D2" i="3"/>
  <c r="C2" i="3"/>
  <c r="F20" i="2"/>
  <c r="E20" i="2"/>
  <c r="F19" i="2"/>
  <c r="E19" i="2"/>
  <c r="F18" i="2"/>
  <c r="E18" i="2"/>
  <c r="F17" i="2"/>
  <c r="E17" i="2"/>
  <c r="F16" i="2"/>
  <c r="E16" i="2"/>
  <c r="F15" i="2"/>
  <c r="E15" i="2"/>
  <c r="F14" i="2"/>
  <c r="E14" i="2"/>
  <c r="F13" i="2"/>
  <c r="E13" i="2"/>
  <c r="F12" i="2"/>
  <c r="E12" i="2"/>
  <c r="F11" i="2"/>
  <c r="E11" i="2"/>
  <c r="F10" i="2"/>
  <c r="E10" i="2"/>
  <c r="F9" i="2"/>
  <c r="E9" i="2"/>
  <c r="F8" i="2"/>
  <c r="E8" i="2"/>
  <c r="F7" i="2"/>
  <c r="E7" i="2"/>
  <c r="F6" i="2"/>
  <c r="E6" i="2"/>
  <c r="I5" i="2"/>
  <c r="F5" i="2"/>
  <c r="E5" i="2"/>
  <c r="I4" i="2"/>
  <c r="F4" i="2"/>
  <c r="E4" i="2"/>
  <c r="F3" i="2"/>
  <c r="E3" i="2"/>
  <c r="F2" i="2"/>
  <c r="E2" i="2"/>
  <c r="D6" i="3" l="1"/>
  <c r="I7" i="2"/>
  <c r="C6" i="3"/>
  <c r="I6" i="2"/>
</calcChain>
</file>

<file path=xl/sharedStrings.xml><?xml version="1.0" encoding="utf-8"?>
<sst xmlns="http://schemas.openxmlformats.org/spreadsheetml/2006/main" count="4068" uniqueCount="1549">
  <si>
    <t>Task Id</t>
  </si>
  <si>
    <t>Milestone Id</t>
  </si>
  <si>
    <t>Phase Id</t>
  </si>
  <si>
    <t>Task Name</t>
  </si>
  <si>
    <t>Module</t>
  </si>
  <si>
    <t>Sub-module</t>
  </si>
  <si>
    <t>Priority</t>
  </si>
  <si>
    <t>Task Description</t>
  </si>
  <si>
    <t>Task Validation</t>
  </si>
  <si>
    <t>Hours</t>
  </si>
  <si>
    <t>Status</t>
  </si>
  <si>
    <t>Recommended Owner</t>
  </si>
  <si>
    <t>Worker 3 Parallel Label</t>
  </si>
  <si>
    <t>Worker 3 Boundary / Scope</t>
  </si>
  <si>
    <t>Depends On / Release Gate</t>
  </si>
  <si>
    <t>v2.10.1 Change</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</si>
  <si>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</si>
  <si>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</si>
  <si>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</si>
  <si>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</si>
  <si>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</si>
  <si>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</si>
  <si>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</si>
  <si>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</si>
  <si>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</si>
  <si>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</si>
  <si>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Completed / no assignment</t>
  </si>
  <si>
    <t>CLOSED</t>
  </si>
  <si>
    <t>No new work. Preserve evidence and do not reopen unless a regression proves it.</t>
  </si>
  <si>
    <t>—</t>
  </si>
  <si>
    <t>CARRIED v2.9.2</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</si>
  <si>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</si>
  <si>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</si>
  <si>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</si>
  <si>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</si>
  <si>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</si>
  <si>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</si>
  <si>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</si>
  <si>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</si>
  <si>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</si>
  <si>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</si>
  <si>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</si>
  <si>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</si>
  <si>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</si>
  <si>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</si>
  <si>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</si>
  <si>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</si>
  <si>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</si>
  <si>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</si>
  <si>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</si>
  <si>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</si>
  <si>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</si>
  <si>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</si>
  <si>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</si>
  <si>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</si>
  <si>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</si>
  <si>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</si>
  <si>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</si>
  <si>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</si>
  <si>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</si>
  <si>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</si>
  <si>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</si>
  <si>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</si>
  <si>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</si>
  <si>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</si>
  <si>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</si>
  <si>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</si>
  <si>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</si>
  <si>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</si>
  <si>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</si>
  <si>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</si>
  <si>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</si>
  <si>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</si>
  <si>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</si>
  <si>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</si>
  <si>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</si>
  <si>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</si>
  <si>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</si>
  <si>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</si>
  <si>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</si>
  <si>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</si>
  <si>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</si>
  <si>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</si>
  <si>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</si>
  <si>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</si>
  <si>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</si>
  <si>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</si>
  <si>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</si>
  <si>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</si>
  <si>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</si>
  <si>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</si>
  <si>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</si>
  <si>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</si>
  <si>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</si>
  <si>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</si>
  <si>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</si>
  <si>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</si>
  <si>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</si>
  <si>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</si>
  <si>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</si>
  <si>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</si>
  <si>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</si>
  <si>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</si>
  <si>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</si>
  <si>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</si>
  <si>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</si>
  <si>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</si>
  <si>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</si>
  <si>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</si>
  <si>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</si>
  <si>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</si>
  <si>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</si>
  <si>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</si>
  <si>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</si>
  <si>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</si>
  <si>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</si>
  <si>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</si>
  <si>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</si>
  <si>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</si>
  <si>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</si>
  <si>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</si>
  <si>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</si>
  <si>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</si>
  <si>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</si>
  <si>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</si>
  <si>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</si>
  <si>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</si>
  <si>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</si>
  <si>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</si>
  <si>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</si>
  <si>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</si>
  <si>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</si>
  <si>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</si>
  <si>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</si>
  <si>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</si>
  <si>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</si>
  <si>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</si>
  <si>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</si>
  <si>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</si>
  <si>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</si>
  <si>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</si>
  <si>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</si>
  <si>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</si>
  <si>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</si>
  <si>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</si>
  <si>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</si>
  <si>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</si>
  <si>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</si>
  <si>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</si>
  <si>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</si>
  <si>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</si>
  <si>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</si>
  <si>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</si>
  <si>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</si>
  <si>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</si>
  <si>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</si>
  <si>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</si>
  <si>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</si>
  <si>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</si>
  <si>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</si>
  <si>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</si>
  <si>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</si>
  <si>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</si>
  <si>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</si>
  <si>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</si>
  <si>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</si>
  <si>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</si>
  <si>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</si>
  <si>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</si>
  <si>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</si>
  <si>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</si>
  <si>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</si>
  <si>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</si>
  <si>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</si>
  <si>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</si>
  <si>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</si>
  <si>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</si>
  <si>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</si>
  <si>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</si>
  <si>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</si>
  <si>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</si>
  <si>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</si>
  <si>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</si>
  <si>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</si>
  <si>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</si>
  <si>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</si>
  <si>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</si>
  <si>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</si>
  <si>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</si>
  <si>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</si>
  <si>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</si>
  <si>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</si>
  <si>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</si>
  <si>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</si>
  <si>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</si>
  <si>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</si>
  <si>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</si>
  <si>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</si>
  <si>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</si>
  <si>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</si>
  <si>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</si>
  <si>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</si>
  <si>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</si>
  <si>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</si>
  <si>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</si>
  <si>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</si>
  <si>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</si>
  <si>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</si>
  <si>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</si>
  <si>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</si>
  <si>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</si>
  <si>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</si>
  <si>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</si>
  <si>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</si>
  <si>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</si>
  <si>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</si>
  <si>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</si>
  <si>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</si>
  <si>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</si>
  <si>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</si>
  <si>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</si>
  <si>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</si>
  <si>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</si>
  <si>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</si>
  <si>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 AUDIT HARDENING IN v2.9.2. Treat presentation semantics as part of the binding contract. A widget is not certified merely because it returns rows: do not present raw GUIDs/technical identifiers when a registry/customer label exists, do not promote `unknown` into a meaningful business category unless the source genuinely carries an unknown bucket, and do not use a dimension whose usable cardinality makes the chart analytically degenerate. Fix the reusable binding/relationship/label path rather than Fleet-v2 screenshot-patching.</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</si>
  <si>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 For every presented widget, record dimension cardinality and the human-readable label source. No raw UUID/GUID is visible where a registry label is resolvable. A Pie/Donut with one effective category, a Heatmap with only one meaningful axis, or a trend whose x-axis is merely an arbitrary date bucket for a non-temporal question fails acceptance even if it renders.</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</si>
  <si>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</si>
  <si>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</si>
  <si>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 AUDIT HARDENING IN v2.9.2. A technically rendered but information-free visual is not an insight. A flat-zero series, single-slice donut or constant risk-class chart must be rebound to a meaningful supported question, or replaced by the honest readiness/coverage/refusal state that explains why no analytical variation exists. Prefer measured readiness, population, evidence coverage and contributor/refusal semantics over decorative empty charts.</t>
  </si>
  <si>
    <t>Every widget on these four pages returns rows. Confirm Model Insights makes no claim a live model has predicted anything unless one has. Record the primary six, the backup, and the reason for each choice, in the demonstration script. The six customer-facing pages contain no chart whose visible distribution is constant or single-category unless the visual is intentionally and explicitly a readiness/refusal/coverage statement. Model Insights and Risk must communicate measured state and evidence, not create the appearance of intelligence from a constant series.</t>
  </si>
  <si>
    <t>In Progress</t>
  </si>
  <si>
    <t>Presentation lane (Workers 1/2)</t>
  </si>
  <si>
    <t>DO NOT ASSIGN W3</t>
  </si>
  <si>
    <t>Presentation target is active. Worker 3 must not edit M1 pages, presentation DB/seeds, current assistant wiring or runtime behaviour.</t>
  </si>
  <si>
    <t>Current M1 sequence / presentation owner hand-off</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</si>
  <si>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</si>
  <si>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</si>
  <si>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</si>
  <si>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 AUDIT HARDENING IN v2.9.2. Compatibility is semantic, not only renderer-capability metadata. Encode and test at minimum: temporal+numeric -&gt; Line/Area or appropriate Bar; categorical+numeric -&gt; Bar/Pareto; two meaningful categorical axes plus a measure -&gt; Heatmap; numeric×numeric -&gt; Scatter; numeric distribution -&gt; Histogram/Box; low-cardinality categorical share -&gt; Pie/Donut. Do not offer Pie/Donut-by-date, a Heatmap without two meaningful axes and an intensity, or a one-value categorical Pie merely because the renderer can draw it.</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</si>
  <si>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 Add known-compatible and known-incompatible binding tests for those pairings. A switcher must explain why an incompatible type is unavailable. Deliberately pass Date+measure to Pie/Donut and one-axis data to Heatmap and prove both are refused before rendering.</t>
  </si>
  <si>
    <t>Not Started</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</si>
  <si>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</si>
  <si>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</si>
  <si>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 AUDIT HARDENING IN v2.9.2. Distinct analytical grammars must still look like one product. Every page uses the same application typography, spacing scale, control primitives, card anatomy, state colours, focus language and motion rules; variation comes from the analytical story and chart grammar, not from page-local design systems.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</si>
  <si>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 In the seven-page screenshot comparison, reject any page that introduces a different font scale, card language, control styling or motion vocabulary. The pages must be recognisably different in analytical purpose and recognisably identical in product identity.</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</si>
  <si>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</si>
  <si>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</si>
  <si>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</si>
  <si>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</si>
  <si>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</si>
  <si>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</si>
  <si>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</si>
  <si>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</si>
  <si>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</si>
  <si>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</si>
  <si>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</si>
  <si>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</si>
  <si>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</si>
  <si>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</si>
  <si>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</si>
  <si>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</si>
  <si>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</si>
  <si>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</si>
  <si>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</si>
  <si>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</si>
  <si>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</si>
  <si>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</si>
  <si>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</si>
  <si>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</si>
  <si>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</si>
  <si>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</si>
  <si>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</si>
  <si>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</si>
  <si>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</si>
  <si>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</si>
  <si>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</si>
  <si>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</si>
  <si>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</si>
  <si>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</si>
  <si>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</si>
  <si>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</si>
  <si>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</si>
  <si>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</si>
  <si>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</si>
  <si>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</si>
  <si>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</si>
  <si>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</si>
  <si>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</si>
  <si>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</si>
  <si>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</si>
  <si>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</si>
  <si>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</si>
  <si>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</si>
  <si>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</si>
  <si>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</si>
  <si>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</si>
  <si>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</si>
  <si>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</si>
  <si>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</si>
  <si>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</si>
  <si>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</si>
  <si>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</si>
  <si>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</si>
  <si>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</si>
  <si>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</si>
  <si>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</si>
  <si>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</si>
  <si>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</si>
  <si>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</si>
  <si>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</si>
  <si>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</si>
  <si>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</si>
  <si>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</si>
  <si>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</si>
  <si>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</si>
  <si>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</si>
  <si>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</si>
  <si>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</si>
  <si>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</si>
  <si>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</si>
  <si>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</si>
  <si>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</si>
  <si>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</si>
  <si>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</si>
  <si>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</si>
  <si>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</si>
  <si>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</si>
  <si>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</si>
  <si>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</si>
  <si>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</si>
  <si>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</si>
  <si>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</si>
  <si>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</si>
  <si>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</si>
  <si>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</si>
  <si>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</si>
  <si>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</si>
  <si>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</si>
  <si>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</si>
  <si>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</si>
  <si>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</si>
  <si>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</si>
  <si>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</si>
  <si>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</si>
  <si>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</si>
  <si>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 AUDIT HARDENING IN v2.9.2. The strongest existing polished website section is the minimum visual authority for every route touched here. Preserve one premium industrial/high-tech system across typography, spacing, node/card geometry, border radius, glow depth, cyan/green accent behaviour, graphical connector language and motion. Fix visible mojibake or HTML entities on the presented routes rather than carrying them into the meeting. New sections may extend the design system but never introduce a weaker second visual language.</t>
  </si>
  <si>
    <t>Click every link on every route you will open and confirm none is dead. Check desktop, mobile and keyboard navigation on those routes. Confirm no page shows a blocker, an unfinished item or a failed test, per the standing website honesty rule. Add a side-by-side visual comparison against the strongest existing website section at desktop and mobile. No text overflow, low-contrast text, disconnected graphical wires, raw HTML entities or encoding damage. Motion communicates data/system flow and respects `prefers-reduced-motion`. If a new section makes the company look less sophisticated than the reference section, T-070 is not done.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</si>
  <si>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</si>
  <si>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</si>
  <si>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</si>
  <si>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 AUDIT HARDENING IN v2.9.2. The dock's configuration/provider path is authentication-aware. Do not fire a protected assistant-configuration request before the authenticated token/session is available; lazy-load or gate it through the authenticated layout lifecycle so the first open does not produce a transient 401 that disappears only after retry.</t>
  </si>
  <si>
    <t>Open the dock on at least five different pages and confirm the conversation persists across navigation. Confirm the collapsed state does not obscure any control. Add a vitest asserting the dock renders inside the authenticated layout and not as a route element. From a fresh browser session, log in and open the assistant for the first time. The network log contains no assistant/configuration 401, the dock reaches its ready state without manual retry, and the same remains true after hard reload.</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</si>
  <si>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</si>
  <si>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</si>
  <si>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</si>
  <si>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</si>
  <si>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</si>
  <si>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</si>
  <si>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</si>
  <si>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</si>
  <si>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</si>
  <si>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</si>
  <si>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</si>
  <si>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</si>
  <si>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</si>
  <si>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</si>
  <si>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</si>
  <si>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</si>
  <si>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</si>
  <si>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</si>
  <si>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</si>
  <si>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</si>
  <si>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</si>
  <si>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</si>
  <si>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</si>
  <si>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</si>
  <si>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</si>
  <si>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</si>
  <si>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</si>
  <si>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</si>
  <si>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</si>
  <si>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</si>
  <si>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</si>
  <si>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</si>
  <si>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</si>
  <si>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</si>
  <si>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</si>
  <si>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</si>
  <si>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</si>
  <si>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</si>
  <si>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</si>
  <si>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</si>
  <si>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</si>
  <si>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</si>
  <si>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</si>
  <si>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</si>
  <si>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</si>
  <si>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</si>
  <si>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</si>
  <si>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</si>
  <si>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</si>
  <si>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</si>
  <si>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</si>
  <si>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</si>
  <si>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</si>
  <si>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</si>
  <si>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</si>
  <si>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</si>
  <si>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</si>
  <si>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</si>
  <si>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</si>
  <si>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Core platform / presentation-core lane</t>
  </si>
  <si>
    <t>NOT W3 PRIMARY</t>
  </si>
  <si>
    <t>Do not assign to Worker 3 unless a specific AI/ML integration hand-off is requested.</t>
  </si>
  <si>
    <t>M2a dependency order</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</si>
  <si>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</si>
  <si>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</si>
  <si>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</si>
  <si>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</si>
  <si>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</si>
  <si>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</si>
  <si>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</si>
  <si>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</si>
  <si>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</si>
  <si>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</si>
  <si>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</si>
  <si>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</si>
  <si>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</si>
  <si>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</si>
  <si>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</si>
  <si>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</si>
  <si>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</si>
  <si>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</si>
  <si>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</si>
  <si>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</si>
  <si>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</si>
  <si>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</si>
  <si>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</si>
  <si>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 v2.10.1 OUTCOME SEMANTICS BINDING. As part of canonical definition convergence, bind the already-frozen SM-06 OutcomeDefinition to the canonical immutable versioned definition authority; do not design a second outcome authority. The canonical binding preserves outcome_code, outcome_type, class_taxonomy_ref, ordinal_rank_map, grain_code, detection_position_code, detection_timestamp_field, direction, unit_code, censoring_policy and definition/version identity. Any legacy ml_outcome_definitions representation may remain only as a compatibility projection during convergence and must not remain an independent semantic authority.</t>
  </si>
  <si>
    <t>The M1 integration test written against IDefinitionService must pass unchanged, since it references no table name. That is the proof that the visible contract did not move. Publish an SM-06 OutcomeDefinition and resolve it back by exact immutable version. Changing detection_position_code, detection_timestamp_field, grain, taxonomy, ordinal map, direction, unit or censoring policy creates a new definition version rather than silently mutating published meaning. If a compatibility outcome representation remains during convergence, prove it resolves to the same canonical definition/version and cannot diverge into a second authority.</t>
  </si>
  <si>
    <t>v2.10.1 — canonical SM-06 OutcomeDefinition binding/versioning made explicit; no new design authority.</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</si>
  <si>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</si>
  <si>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</si>
  <si>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</si>
  <si>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</si>
  <si>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</si>
  <si>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</si>
  <si>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</si>
  <si>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</si>
  <si>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</si>
  <si>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</si>
  <si>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</si>
  <si>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</si>
  <si>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</si>
  <si>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</si>
  <si>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</si>
  <si>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</si>
  <si>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</si>
  <si>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</si>
  <si>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</si>
  <si>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</si>
  <si>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</si>
  <si>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</si>
  <si>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</si>
  <si>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</si>
  <si>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</si>
  <si>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</si>
  <si>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</si>
  <si>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</si>
  <si>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</si>
  <si>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</si>
  <si>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</si>
  <si>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</si>
  <si>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</si>
  <si>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</si>
  <si>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</si>
  <si>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</si>
  <si>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</si>
  <si>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</si>
  <si>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</si>
  <si>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</si>
  <si>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</si>
  <si>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</si>
  <si>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</si>
  <si>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</si>
  <si>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</si>
  <si>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</si>
  <si>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</si>
  <si>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</si>
  <si>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</si>
  <si>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</si>
  <si>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</si>
  <si>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</si>
  <si>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</si>
  <si>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</si>
  <si>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</si>
  <si>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</si>
  <si>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</si>
  <si>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</si>
  <si>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</si>
  <si>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</si>
  <si>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</si>
  <si>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</si>
  <si>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</si>
  <si>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</si>
  <si>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</si>
  <si>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</si>
  <si>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</si>
  <si>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</si>
  <si>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</si>
  <si>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Dual-predicate admission control and the three ML execution lanes</t>
  </si>
  <si>
    <t>Replace the old single weighted-pool assumption with the frozen resource contract. Each lane has max_concurrency and resource_capacity; admission requires both running_count &lt; max_concurrency and sum(compute_weight)+candidate &lt;= resource_capacity. The logical ml class resolves to ml.training, ml.batch_scoring and ml.online_scoring. Online capacity is hard-reserved and unavailable to training or batch. Keep this platform-level scheduler generic; Worker 3 supplies the ML job classes and later integration tests, but this task must not wire any new AI runtime into the M1 presentation path.</t>
  </si>
  <si>
    <t>Prove a declared job can be admitted under a satisfiable configuration and a too-heavy job is refused by name. Saturate training and batch and prove an online-scoring job still admits inside its reservation. Prove batch never enters the online lane and the same compute_weight is never used as a concurrency count. Existing import/projection/analysis/report behaviour remains green.</t>
  </si>
  <si>
    <t>Shared: Core Platform + Worker 3</t>
  </si>
  <si>
    <t>SHARED — AFTER M2a-P2</t>
  </si>
  <si>
    <t>Platform scheduler owns generic admission. Worker 3 owns ML lane job classes/tests only after schema/relationship hand-off; no M1 wiring.</t>
  </si>
  <si>
    <t>T-095..T-105 complete; coordinate with platform scheduler owner</t>
  </si>
  <si>
    <t>EXPANDED / REWRITTEN v2.10</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</si>
  <si>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</si>
  <si>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</si>
  <si>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</si>
  <si>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</si>
  <si>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</si>
  <si>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</si>
  <si>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 and ML hand-off</t>
  </si>
  <si>
    <t>Extend the stage-watermark mechanism into the canonical feature refresh and analysis path. The task owns delta discovery, dirty-feature identification and telemetry only; training must never read feature_store directly. Expose a bounded changed-population contract that Worker 3's Snapshot Materialiser consumes later. Do not add temporary M1/presentation schema dependencies.</t>
  </si>
  <si>
    <t>Insert one bounded delta and prove only affected feature rows and analyses are recomputed. Record rows scanned, rows changed and Scan Amplification. Assert no training/encoding component is reachable from this task and the output contract contains no customer table name.</t>
  </si>
  <si>
    <t>Worker 3</t>
  </si>
  <si>
    <t>W3 AFTER M2a-P2</t>
  </si>
  <si>
    <t>Implement only against final canonical feature/delta contracts. Never read presentation compatibility tables or wire training.</t>
  </si>
  <si>
    <t>T-095..T-105; T-108</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</si>
  <si>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</si>
  <si>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</si>
  <si>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</si>
  <si>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</si>
  <si>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</si>
  <si>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</si>
  <si>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</si>
  <si>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</si>
  <si>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</si>
  <si>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</si>
  <si>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</si>
  <si>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</si>
  <si>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</si>
  <si>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</si>
  <si>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</si>
  <si>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</si>
  <si>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</si>
  <si>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</si>
  <si>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</si>
  <si>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</si>
  <si>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</si>
  <si>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</si>
  <si>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</si>
  <si>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</si>
  <si>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</si>
  <si>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</si>
  <si>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</si>
  <si>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</si>
  <si>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</si>
  <si>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</si>
  <si>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</si>
  <si>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</si>
  <si>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</si>
  <si>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</si>
  <si>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</si>
  <si>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</si>
  <si>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</si>
  <si>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</si>
  <si>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</si>
  <si>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</si>
  <si>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</si>
  <si>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</si>
  <si>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</si>
  <si>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</si>
  <si>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</si>
  <si>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</si>
  <si>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</si>
  <si>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</si>
  <si>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</si>
  <si>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</si>
  <si>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</si>
  <si>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</si>
  <si>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</si>
  <si>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</si>
  <si>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</si>
  <si>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</si>
  <si>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 including isolated ML runtimes</t>
  </si>
  <si>
    <t>Deployment</t>
  </si>
  <si>
    <t>Implement the Chapter 6 container/profile architecture and include the frozen AI runtime split: ppiq-worker for ordinary batch work including ml.batch_scoring, ppiq-ml-train for ml.training, and ppiq-ml-online for hard-reserved online scoring only. Keep assistant serving behind ModelServingRuntime/model gateway. No training module may be imported by the online container. Preserve the same signed application artifact and profile-driven deployment.</t>
  </si>
  <si>
    <t>Bring up each profile from a clean machine. Prove ppiq-ml-online admits online scoring only, has a warm-model readiness check, and fails a dependency test if a trainer module is imported. Prove training/batch saturation cannot consume the online reservation. All existing non-ML containers remain healthy.</t>
  </si>
  <si>
    <t>Shared: Infrastructure + Worker 3</t>
  </si>
  <si>
    <t>SHARED — AFTER M2a-P3</t>
  </si>
  <si>
    <t>Infrastructure owns containers/profiles; Worker 3 owns ML runtime readiness/dependency tests. No presentation-profile changes.</t>
  </si>
  <si>
    <t>T-106..T-117; T-137/T-168 contracts available</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</si>
  <si>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</si>
  <si>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</si>
  <si>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</si>
  <si>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</si>
  <si>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</si>
  <si>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</si>
  <si>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</si>
  <si>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</si>
  <si>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</si>
  <si>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</si>
  <si>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</si>
  <si>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</si>
  <si>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</si>
  <si>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</si>
  <si>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</si>
  <si>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</si>
  <si>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</si>
  <si>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</si>
  <si>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</si>
  <si>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</si>
  <si>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</si>
  <si>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</si>
  <si>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</si>
  <si>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</si>
  <si>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</si>
  <si>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immutable snapshot metadata</t>
  </si>
  <si>
    <t>Intelligence store</t>
  </si>
  <si>
    <t>Build the canonical versioned feature and outcome stores plus feature_snapshots metadata. feature_store is governed current state, not the training read path. feature_snapshots records semantic_manifest_id, storage_uri, artifact_format, artifact_content_hash, artifact_byte_size, row_count, feature-set/outcome versions and retention. The actual seal/write implementation is T-184 and the schema-independent artifact library is T-169. v2.10.1 AUTHORITY CLARIFICATION. The outcome store holds observed outcome values/history that reference a canonical published SM-06 OutcomeDefinition/version. It does not define or reinterpret outcome semantics, grain, class taxonomy, ordinal ranking, detection/leakage anchors, units, direction or censoring policy.</t>
  </si>
  <si>
    <t>Persist a feature/outcome population and a snapshot metadata row without copying the full training population into JSONB rows. Change the live feature state and prove the snapshot metadata still names the original immutable content hash. A new governed snapshot without semantic_manifest_id is refused after T-183 lands. Every governed outcome population resolves to one canonical published OutcomeDefinition/version. An unknown or unpublished definition is refused. A later definition version does not silently reinterpret historical outcome values or existing snapshots/runs.</t>
  </si>
  <si>
    <t>Use only final ppiq_meta/ppiq_plant authority and published relationship model. Do not depend on M1 compatibility/presentation tables.</t>
  </si>
  <si>
    <t>T-087..T-105</t>
  </si>
  <si>
    <t>v2.10.1 — outcome values/history explicitly separated from SM-06 semantic authority.</t>
  </si>
  <si>
    <t>T-129</t>
  </si>
  <si>
    <t>Compute runs, findings and common evidence persistence</t>
  </si>
  <si>
    <t>Unify compute run records, terminal refusal states, gate state/evidence, correlation/findings persistence and evidence handles on the common intelligence substrate. Every new governed run carries semantic_manifest_id once T-183 is present. A refusal is a persisted result state, never an exception-shaped blank screen.</t>
  </si>
  <si>
    <t>For FINDING and each refusal class, resolve the row to run, manifest, gate evidence and source evidence. Break an evidence handle and prove the result is rejected. Break manifest coverage and prove G-55 refuses the new governed run.</t>
  </si>
  <si>
    <t>T-128 + T-183</t>
  </si>
  <si>
    <t>T-130</t>
  </si>
  <si>
    <t>Model registry, serving identity, activation and fallback</t>
  </si>
  <si>
    <t>Model lifecycle</t>
  </si>
  <si>
    <t>Implement ppiq_plant.model_registry per serving identity (tenant_id, model_code, outcome_code, grain_code) plus model_version. status and serving_role are independent; at most one active and one approved fallback exist per serving identity, and one version can never be both. There is no ModelBundle. Store artifact identity, semantic_manifest_id, acceptance floors, quality/serving/training metrics and drift observations. Promotion policy itself is implemented by T-176 and wired by T-187.</t>
  </si>
  <si>
    <t>Create two serving identities with identical model_code but different outcome/grain and prove independent activation. Attempt duplicate active/fallback rows and primary=fallback and prove the database refuses them. Activate, retire and fall back atomically with every transition audited and manifest-resolvable.</t>
  </si>
  <si>
    <t>T-131</t>
  </si>
  <si>
    <t>Practice signature, windowing, context and cohorts</t>
  </si>
  <si>
    <t>Practice learning</t>
  </si>
  <si>
    <t>Implement the production practice-learning core: canonical signature construction, parameter windowing, declared context and comparison cohort. The engine consumes governed data-product contracts only and contains no source table/industry vocabulary. Persistence and the D10 surface remain T-133.</t>
  </si>
  <si>
    <t>Against the certified M2 reference dataset, recover the planted good-practice band and refuse/avoid the null control. Run a genericity test showing the kernel receives only semantic codes/data-product fields, never source identifiers.</t>
  </si>
  <si>
    <t>T-086 + T-128 + T-171</t>
  </si>
  <si>
    <t>T-132</t>
  </si>
  <si>
    <t>Support, confidence, back-off ladder and tolerance sensitivity</t>
  </si>
  <si>
    <t>Add support/confidence ranking, sparse-cohort back-off, resampling stability and tolerance sensitivity to practice learning. A result that changes materially under reasonable tolerance changes is explicitly marked sensitive rather than promoted as stable.</t>
  </si>
  <si>
    <t>A stable practice survives resampling and is ranked with support. A sparse cohort walks the declared back-off ladder. Widen tolerance and prove a flipping practice is marked sensitive with the tested settings persisted.</t>
  </si>
  <si>
    <t>T-133</t>
  </si>
  <si>
    <t>M2b-P2</t>
  </si>
  <si>
    <t>Practice persistence, drift and canonical D10 Practice Insights</t>
  </si>
  <si>
    <t>Persist practice_statistics/signatures with semantic_manifest_id and evidence, implement practice drift against the plant's own demonstrated best, and replace the M1 presentation adapter behind D10 with canonical sources without changing the frozen D10 visible contract.</t>
  </si>
  <si>
    <t>Move operating data away from the learned band and prove drift is detected, persisted and surfaced with evidence. Run the M1 continuity snapshot for D10 and prove no route, control, wording or state-semantics regression.</t>
  </si>
  <si>
    <t>W3 AFTER M2b-P1</t>
  </si>
  <si>
    <t>Canonical integration/cutover only. Preserve M1 visible contract; remove presentation backing only after continuity evidence exists.</t>
  </si>
  <si>
    <t>T-131 + T-132 + T-183</t>
  </si>
  <si>
    <t>T-134</t>
  </si>
  <si>
    <t>Bindable intelligence registry and evidence handles</t>
  </si>
  <si>
    <t>Make intelligence a first-class bindable source through registry_intelligence_sources. Fact-shaped measures may project through WidgetFact; native-grain rich sources retain declared columns. Predictions, findings, practice, readiness and model-state sources appear in the normal authoring shell with resolvable evidence.</t>
  </si>
  <si>
    <t>Bind one fact-shaped and one native-rich intelligence source through the standard authoring shell, filter/drill both and open evidence. Break an evidence handle and prove the widget refuses rather than rendering an uncited number. No ML-specific widget branch exists.</t>
  </si>
  <si>
    <t>T-128..T-135 + M2a definition store</t>
  </si>
  <si>
    <t>T-135</t>
  </si>
  <si>
    <t>Tenant-aware uniqueness across the intelligence tables</t>
  </si>
  <si>
    <t>Apply tenant ownership, tenant-first uniqueness and RLS to every new intelligence table in the frozen design, including model, prediction, practice, index-generation, capability/readiness and run/evidence tables. Semantic manifests use manifest_id PK plus UNIQUE(tenant_id, manifest_hash).</t>
  </si>
  <si>
    <t>Insert identical natural keys for two tenants and prove both persist. Prove cross-tenant reads fail from the database alone. The architecture test fails when any new tenant-owned intelligence table lacks forced RLS or tenant-first uniqueness.</t>
  </si>
  <si>
    <t>T-087..T-105 + new intelligence tables</t>
  </si>
  <si>
    <t>T-136</t>
  </si>
  <si>
    <t>Incremental practice recomputation</t>
  </si>
  <si>
    <t>Make practice recomputation incremental using M2a stage watermarks and changed-population contracts. Recompute only affected cohorts/signatures and preserve prior immutable evidence for unaffected historical results.</t>
  </si>
  <si>
    <t>Add one day of data and prove recomputation scans a bounded delta, Scan Amplification stays inside the declared baseline, and unaffected practice rows/evidence hashes do not change.</t>
  </si>
  <si>
    <t>T-109 + T-131..T-133</t>
  </si>
  <si>
    <t>T-137</t>
  </si>
  <si>
    <t>M2b-P0B</t>
  </si>
  <si>
    <t>ModelServingRuntime and model-gateway adapter, isolated from the presentation dock</t>
  </si>
  <si>
    <t>LLM runtime</t>
  </si>
  <si>
    <t>Replace the obsolete provider-specific POST assumption with a replaceable ModelServingRuntime plus model-gateway adapter. Support self-hosted/private/BYOM endpoints, minimum-scoped evidence payloads, provider/model release identity, timeout/cancellation and no-unapproved-fallback. IMPLEMENT NOW ONLY AS AN ISOLATED MODULE: do not register it into the current assistant DI or change the M1 dock/runtime. Canonical wiring happens in T-138.</t>
  </si>
  <si>
    <t>Standalone contract tests run against a deterministic fake runtime and an HTTP translating stub. They prove minimum-scoped payload, timeout/cancel, governed provider/model identity, and refusal on unapproved fallback. A repository dependency test proves no production assistant registration or M1 route/file changed in this task.</t>
  </si>
  <si>
    <t>W3 SAFE NOW</t>
  </si>
  <si>
    <t>Isolated implementation only: new module/files/tests; NO production DI registration, DB migration, route/page edit, presentation schema/data edit or M1 runtime cutover.</t>
  </si>
  <si>
    <t>None beyond current repository/build; exact-file staging only</t>
  </si>
  <si>
    <t>T-138</t>
  </si>
  <si>
    <t>M2b-P4</t>
  </si>
  <si>
    <t>Canonical Assistant runtime cutover: planner, retrieval, evidence packing, serving and verifier</t>
  </si>
  <si>
    <t>After M1 continuity is frozen and canonical intelligence is available, replace the M1 retrieval/prepared-state internals behind the unchanged dock. Wire T-179 deterministic tool planner, T-180 permission-first hybrid retrieval/evidence packer, T-137 ModelServingRuntime and T-181 deterministic verifier. Structured Layer A/B tools take precedence for facts; LLM phrasing never replaces an engine refusal or upgrades claim class.</t>
  </si>
  <si>
    <t>Re-run the certified M1 question pack and continuity snapshot. Every numeric claim resolves to a supplied handle, permission filtering occurs before ranking, truncation is disclosed, an engine refusal stays a refusal, and a fabricated/unsupported claim is blocked before display. No prepared presentation corpus is required.</t>
  </si>
  <si>
    <t>W3 AFTER M2b-P2</t>
  </si>
  <si>
    <t>Cut over internals only; G1 dock route/layout/wording remain frozen. No presentation corpus fallback after canonical cutover.</t>
  </si>
  <si>
    <t>T-137 + T-179..T-181 + T-134 + T-188</t>
  </si>
  <si>
    <t>T-139</t>
  </si>
  <si>
    <t>M2b-P3</t>
  </si>
  <si>
    <t>prediction_runs, predictions and prediction_current</t>
  </si>
  <si>
    <t>Prediction</t>
  </si>
  <si>
    <t>Build prediction_runs, predictions and prediction_current as the canonical operational read model. Every run is tied to semantic_manifest_id, serving identity and active/fallback model version, and prediction_current is latest-only per operational identity.</t>
  </si>
  <si>
    <t>Score a live bounded population and prove prediction_current contains only the latest applicable prediction, with model/manifest identity resolvable. Activate a newer model and prove old historical predictions remain immutable while current rows update correctly.</t>
  </si>
  <si>
    <t>Use canonical model/prediction/remediation stores only; preserve M1 UI contract on frontend cutovers.</t>
  </si>
  <si>
    <t>T-130 + T-187</t>
  </si>
  <si>
    <t>T-140</t>
  </si>
  <si>
    <t>Prediction drivers and comparables, persisted</t>
  </si>
  <si>
    <t>Persist prediction drivers, explanation metadata and comparable historical cases as evidence-grade rows. Drivers come from the governed explanation artifact and comparables from the served similarity generation; the UI never computes or narrates them from scratch.</t>
  </si>
  <si>
    <t>Open a prediction and resolve every driver/comparable to persisted model/index/evidence identity. Delete/deny the rows and prove the consuming surface refuses rather than inventing an explanation.</t>
  </si>
  <si>
    <t>T-139 + T-173/T-176</t>
  </si>
  <si>
    <t>T-141</t>
  </si>
  <si>
    <t>Actionable deadline and latency health</t>
  </si>
  <si>
    <t>Implement actionable_deadline_utc, delivery_latency_seconds, scoring_mode and met_actionable_deadline. Tie online scoring to the hard-reserved ml.online_scoring lane. A late prediction is historical evidence, never actionable.</t>
  </si>
  <si>
    <t>Saturate training and batch, submit online scoring and measure that the reserved lane still serves. Force a prediction past its actionable deadline and prove it is persisted as late and excluded from actionable presentation.</t>
  </si>
  <si>
    <t>W3 AFTER M2a-P4</t>
  </si>
  <si>
    <t>Deadline proof requires the final online-scoring deployment/reservation. No promise based only on priority ordering.</t>
  </si>
  <si>
    <t>T-107 + T-122 + T-139 + T-187</t>
  </si>
  <si>
    <t>T-142</t>
  </si>
  <si>
    <t>Remediation candidate generation from the customer's own history</t>
  </si>
  <si>
    <t>Remediation</t>
  </si>
  <si>
    <t>Generate remediation candidates from the customer's own governed history by finding comparable early conditions with better later outcomes and the later-stage practices that differed. Persist support, effect range, limitations, evidence and the semantic/model/index identities used. No candidate is a control instruction.</t>
  </si>
  <si>
    <t>On the certified M2 reference dataset, every emitted candidate meets the declared support threshold, has a bounded effect range and resolvable comparable evidence. Insufficient-support candidates do not emit. No source-system write API is reachable.</t>
  </si>
  <si>
    <t>T-131/T-132 + T-139/T-140</t>
  </si>
  <si>
    <t>T-143</t>
  </si>
  <si>
    <t>Integrate the nine-check remediation gate, can_accept and suppression</t>
  </si>
  <si>
    <t>Wire the pure decision kernel from T-178 into prediction/remediation persistence and API contracts. Eligibility is per prediction. can_accept is the complete server authority and the client never re-derives it. Outcomes are actionable, evidence_only, exploratory or suppressed; suppressed rows are audited and never shown.</t>
  </si>
  <si>
    <t>Run one persisted/API case per nine-check failure and per can_accept condition. Prove the same template can be suppressed for one prediction and actionable for another. Search every consuming API/UI payload and prove a suppressed candidate is absent.</t>
  </si>
  <si>
    <t>T-178 + T-142</t>
  </si>
  <si>
    <t>T-144</t>
  </si>
  <si>
    <t>Accept, Reject and Defer with action recording</t>
  </si>
  <si>
    <t>Feedback loop</t>
  </si>
  <si>
    <t>Implement Accept, Reject and Defer behind the server-authoritative can_accept boundary, with actor, timestamp and reason. Each decision creates the governed action/decision state only when allowed. PPIQ records human action and never issues a plant control command.</t>
  </si>
  <si>
    <t>Exercise all three decisions with can_accept true and false. Allowed actions persist actor/reason/state; disallowed actions fail server-side even if a client is modified. A dependency/network test proves no customer-source write/control client is reachable.</t>
  </si>
  <si>
    <t>T-145</t>
  </si>
  <si>
    <t>Outcome capture, evaluation and escalation</t>
  </si>
  <si>
    <t>Capture observed outcomes, prediction/remediation evaluation and escalation records. Intervened instances are reported separately from ordinary prediction-accuracy metrics. Escalation is a record, never an automatic decision.</t>
  </si>
  <si>
    <t>Accept a candidate, let the outcome arrive and prove evaluation closes the loop with intervention state preserved. Confirm intervened instances are excluded from ordinary accuracy calculation and an escalation creates no action automatically.</t>
  </si>
  <si>
    <t>T-146</t>
  </si>
  <si>
    <t>Converge the production statistical engine onto the certified method kernel</t>
  </si>
  <si>
    <t>Consolidation</t>
  </si>
  <si>
    <t>Use the schema-independent statistical kernel from T-177 to converge the runtime onto one readiness-gated engine and retire the direct-SQL/superseded compute paths. Persist method, aligned population/group sizes, effect size, p-value, FDR/q-value, gate evidence and truthful exclusion reason. This is the production wiring/cutover task; do not perform it before M1 presentation continuity is frozen.</t>
  </si>
  <si>
    <t>Only one production correlation engine is reachable. Known-answer fixtures cover Numeric×Numeric, Binary×Numeric, Categorical×Categorical and Numeric×Categorical. Numeric×Categorical selects ANOVA when assumptions hold and Kruskal-Wallis otherwise. Constant, unsupported and insufficient-sample cases retain distinct reasons. Re-run the M1 analysis continuity checks and prove no visible regression.</t>
  </si>
  <si>
    <t>W3 AFTER M1 FREEZE + M2b-P1</t>
  </si>
  <si>
    <t>Do not change the current presentation engine while Worker 2 certifies T-045/T-046. Production cutover only after continuity freeze.</t>
  </si>
  <si>
    <t>T-177 + T-128/T-129; T-147 precedes final T-146 cutover</t>
  </si>
  <si>
    <t>T-147</t>
  </si>
  <si>
    <t>Fix the outcome namespace, grain assignment and ordinal loader</t>
  </si>
  <si>
    <t>Converge outcome namespace, grain ownership and ordinal/categorical loading on the canonical outcome store. Refresh must never silently reassign grain, and ordinal/categorical labels/classes are preserved as real outcomes rather than coerced to fake numeric targets. v2.10.1 SM-06 CONSUMPTION. Converge Engine-side outcome consumption on the canonical published SM-06 OutcomeDefinition and canonical outcome store. Consume — never redefine — outcome_type, class taxonomy, ordinal rank map, outcome-specific grain, detection_position_code, detection_timestamp_field, direction, unit and censoring policy. The two detection fields are the leakage anchors consumed by G-06. Refresh may not silently reassign grain, classes or outcome semantics, and categorical/ordinal outcomes remain real classes rather than fake numeric targets.</t>
  </si>
  <si>
    <t>One namespace across registry, store and engines. Grain survives refresh. Load ordinal/multiclass outcomes and prove class labels/counts seen by T-177/T-146 exactly match the store without manual repair. For a published SM-06 definition, prove the Engine receives exactly the canonical grain, classes/ranks, direction/unit/censoring semantics and detection_position_code/detection_timestamp_field. Inject a feature that becomes available only after the declared detection anchor and prove G-06 blocks it fail-closed. Publish a new outcome-definition version and prove an older run/snapshot continues to resolve the old semantics rather than being silently reinterpreted.</t>
  </si>
  <si>
    <t>Canonical SM-06 binding from T-090 + T-128/T-129 + T-177. Final production correlation/analysis cutover still waits the M1 presentation hand-off/continuity gate.</t>
  </si>
  <si>
    <t>v2.10.1 — full SM-06 consumption and G-06 leakage-anchor propagation made explicit.</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</si>
  <si>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</si>
  <si>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</si>
  <si>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</si>
  <si>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</si>
  <si>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Frontend/core platform lane</t>
  </si>
  <si>
    <t>Namespace/route cleanup is not AI/ML implementation and risks overlap with presentation/frontend ownership.</t>
  </si>
  <si>
    <t>M1 continuity frozen</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</si>
  <si>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</si>
  <si>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</si>
  <si>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</si>
  <si>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</si>
  <si>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</si>
  <si>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</si>
  <si>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Complete the canonical twenty-two-stage pipeline and wire every mandatory validator as executed truth. In addition to the existing golden journey, visual/a11y and pipeline-truth gates, wire the target-architecture G-48..G-55 pack from T-192 and the Assistant Q-01..Q-11 evaluation where applicable. No --list/enumeration, failure-swallowing wrapper or orphan validator can satisfy a gate.</t>
  </si>
  <si>
    <t>Deliberately fail one unit/integration gate, one visual/a11y gate, one golden-journey gate, one G-48..G-55 gate and one Assistant quality probe; each makes the canonical pipeline non-green. Restore each and prove green. A mechanical scan reports zero mandatory validators not reachable from the canonical pipeline.</t>
  </si>
  <si>
    <t>Shared: CI owner + Worker 3</t>
  </si>
  <si>
    <t>SHARED — FINAL GATE</t>
  </si>
  <si>
    <t>Worker 3 supplies AI/ML/LLM gate tests; canonical pipeline owner performs final wiring. No duplicate pipeline.</t>
  </si>
  <si>
    <t>T-192 + all mandatory gate owners</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</si>
  <si>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</si>
  <si>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</si>
  <si>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</si>
  <si>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</si>
  <si>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</si>
  <si>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</si>
  <si>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</si>
  <si>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M3 site/production owner</t>
  </si>
  <si>
    <t>Outside Worker 3 engine/AI/ML/LLM ownership unless explicitly handed off.</t>
  </si>
  <si>
    <t>M3 sequence</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</si>
  <si>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</si>
  <si>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</si>
  <si>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</si>
  <si>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</si>
  <si>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</si>
  <si>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</si>
  <si>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</si>
  <si>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</si>
  <si>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</si>
  <si>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</si>
  <si>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</si>
  <si>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</si>
  <si>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</si>
  <si>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</si>
  <si>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</si>
  <si>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B-01/B-02 capacity tuning, scan amplification and model-serving memory</t>
  </si>
  <si>
    <t>On site hardware, jointly execute resource measurements for lane max_concurrency/resource_capacity/compute_weight and the hard online reservation, plus scan-amplification and warm-model/assistant memory. This task supplies measured capacity values; it does not redesign the architecture.</t>
  </si>
  <si>
    <t>Record hardware, commit and load profile. Saturate training/batch and prove online p95 remains inside the actionable budget. Publish measured lane values and before/after Scan Amplification with no starvation.</t>
  </si>
  <si>
    <t>SHARED — SITE BENCHMARK</t>
  </si>
  <si>
    <t>Worker 3 owns AI/ML benchmark execution/evidence; infrastructure owns capacity certification/topology.</t>
  </si>
  <si>
    <t>M2b accepted + site hardware</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</si>
  <si>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</si>
  <si>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</si>
  <si>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</si>
  <si>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</si>
  <si>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</si>
  <si>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</si>
  <si>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prediction and model calibration on real data</t>
  </si>
  <si>
    <t>Calibration</t>
  </si>
  <si>
    <t>With a longer real-data window, execute governed retraining/calibration, OOT/subgroup/missingness/explanation-stability checks, drift review and the site portions of B-05/B-06. Tune only benchmark-open parameters; no gate threshold is weakened to make a model pass.</t>
  </si>
  <si>
    <t>Each served model has a governed retraining/evaluation record, calibration evidence, drift decision and reproducible manifest. Any encoder/ANN choice is supported by the recorded benchmark against its simpler/exact baseline.</t>
  </si>
  <si>
    <t>W3 SITE / M3</t>
  </si>
  <si>
    <t>Real-data calibration/validation only; architecture is frozen. Tune benchmark-open values, never lower governance gates.</t>
  </si>
  <si>
    <t>M2b accepted + customer data window</t>
  </si>
  <si>
    <t>T-158</t>
  </si>
  <si>
    <t>Remediation validation against real process constraints</t>
  </si>
  <si>
    <t>Validate remediation actionability, support thresholds, controllability and process-stage timing against the customer's real constraints. The human approval/read-only boundary remains absolute.</t>
  </si>
  <si>
    <t>Validate all nine checks against real constraints and replay at least one allowed and one refused case. No path permits automatic plant control and all refusal evidence is retained.</t>
  </si>
  <si>
    <t>T-159</t>
  </si>
  <si>
    <t>M3-P2</t>
  </si>
  <si>
    <t>C1 to C4 capacity certification</t>
  </si>
  <si>
    <t>Certification</t>
  </si>
  <si>
    <t>Run the four Chapter 6 capacity profiles and site certification, consuming the measured benchmark outputs from B-01..B-09 where they affect sizing. Replace only CALIBRATION_REQUIRED/REFERENCE_ASSUMPTION constants with measured values and freeze Chapter 6 when all certification gates pass.</t>
  </si>
  <si>
    <t>Every worked sizing example recomputes from measured constants; C1-C4 profiles pass their promised envelope. The certification bundle records hardware, commit, dataset, benchmark outputs and sign-off.</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</si>
  <si>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</si>
  <si>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</si>
  <si>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</si>
  <si>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</si>
  <si>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</si>
  <si>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</si>
  <si>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</si>
  <si>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</si>
  <si>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</si>
  <si>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</si>
  <si>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</si>
  <si>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</si>
  <si>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</si>
  <si>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</si>
  <si>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</si>
  <si>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</si>
  <si>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</si>
  <si>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</si>
  <si>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</si>
  <si>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</si>
  <si>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</si>
  <si>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</si>
  <si>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</si>
  <si>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</si>
  <si>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</si>
  <si>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</si>
  <si>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</si>
  <si>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</si>
  <si>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</si>
  <si>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</si>
  <si>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</si>
  <si>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</si>
  <si>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</si>
  <si>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</si>
  <si>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</si>
  <si>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T-168</t>
  </si>
  <si>
    <t>M2b-P0A</t>
  </si>
  <si>
    <t>Versioned C#↔Python ML job protocol and isolated runtime harness</t>
  </si>
  <si>
    <t>ML runtime</t>
  </si>
  <si>
    <t>Build the schema-independent execution protocol between the .NET job runner and Python ML processes. A versioned job spec carries job/tenant/site identity, model family, semantic manifest handle when available, snapshot/artifact URI+hash, seed, code identity, resource/cancellation/checkpoint settings and output location. Python returns a versioned result manifest with terminal state, metrics, artifact hashes, warnings/refusal and checkpoint identity. This task is deliberately NOT registered into production DI, scheduler or presentation runtime.</t>
  </si>
  <si>
    <t>Run deterministic fake trainers through success, honest refusal, crash, timeout, cancellation and checkpoint/resume. C# must preserve stdout/stderr and exit identity without parsing free-form text as truth. Re-running the same seeded fixture yields the same result-manifest content hashes. A dependency test proves no current M1 runtime registration changed.</t>
  </si>
  <si>
    <t>NEW v2.10</t>
  </si>
  <si>
    <t>T-169</t>
  </si>
  <si>
    <t>Typed columnar training-artifact library and B-03 harness</t>
  </si>
  <si>
    <t>Data artifacts</t>
  </si>
  <si>
    <t>Implement a typed columnar artifact abstraction used by sealed feature snapshots. Parquet/Arrow/equivalent remain implementation candidates behind the contract. Own schema/type mapping, column projection, content hash, byte/row counts, deterministic read order, corruption detection and a benchmark hook for B-03. No database table is the training read path and this task does not create final persistence.</t>
  </si>
  <si>
    <t>Write and read the same representative fixture through each enabled candidate. Assert stable row/schema/content identity, projected-column reads, bounded memory and explicit refusal for unsupported/corrupt schemas. Produce B-03 benchmark output format without choosing a winner or guessing a production threshold.</t>
  </si>
  <si>
    <t>T-170</t>
  </si>
  <si>
    <t>Chunked sequence-artifact library and bounded loader</t>
  </si>
  <si>
    <t>Implement the schema-independent sequence payload contract: immutable chunked typed numeric arrays, compression seam, chunk index, content hashes and bounded streaming/memory-mapped reads where supported. PostgreSQL array payloads are forbidden; final sequence_manifests persistence is T-185. Include the B-04 benchmark hook.</t>
  </si>
  <si>
    <t>Generate a large synthetic multi-channel sequence fixture, read it without whole-payload materialisation, verify chunk order/content hash and detect a corrupted/missing chunk. Compare at least two chunk/compression settings and emit B-04 measurements without hardcoding the selected values.</t>
  </si>
  <si>
    <t>T-171</t>
  </si>
  <si>
    <t>Capability Profiler and eligibility/refusal kernel</t>
  </si>
  <si>
    <t>Readiness</t>
  </si>
  <si>
    <t>Implement a pure, industry-neutral Capability Profiler that converts declared semantic/data-product facts into measured capability states for statistics, similarity, novelty, supervised prediction, practice and remediation. Include collapsed-dimension handling, genealogy strength, outcome/label availability, population sufficiency and the canonical terminal/refusal taxonomy. No database access or presentation wiring.</t>
  </si>
  <si>
    <t>Table-driven fixtures cover a rich plant, a sparse plant, no-genealogy, single-level context, missing labels and unsupported method cases. The same input produces the same capability profile; a collapsed single-level dimension is removed rather than treated as an error; method absence is NOT_APPLICABLE rather than a false zero-variance claim.</t>
  </si>
  <si>
    <t>T-172</t>
  </si>
  <si>
    <t>MF-01 Process Encoder runtime behind a replaceable contract</t>
  </si>
  <si>
    <t>MF-01 Encoder</t>
  </si>
  <si>
    <t>Implement ProcessEncoder as a replaceable runtime with a PyTorch candidate, channel_set_version, deterministic seed/environment manifest, train/encode/artifact contracts and serving-cost telemetry. The encoder is optional and no production promotion decision is made here. It consumes only sealed typed sequence/snapshot artifacts and never live feature_store.</t>
  </si>
  <si>
    <t>Train/encode a deterministic fixture twice and compare artifact/embedding reproducibility within declared tolerance. Change channel_set_version and prove the prior encoder is incompatible. Measure metric-lift input hooks, p95 cost and artifact size for B-05; no task declares the encoder deployable merely because it trains.</t>
  </si>
  <si>
    <t>T-173</t>
  </si>
  <si>
    <t>MF-02 VectorSimilarityIndex with exact-Flat recall baseline</t>
  </si>
  <si>
    <t>MF-02 Similarity</t>
  </si>
  <si>
    <t>Implement the VectorSimilarityIndex product contract: build, seal, extend/new-generation, search and recall_probe. Exact Flat remains the permanent benchmark on a representative sample; ANN families such as HNSW/IVF/PQ/FAISS are candidates only. Index generations are immutable and identified by content/generation manifest.</t>
  </si>
  <si>
    <t>Build Exact Flat and at least one approximate candidate on synthetic vectors. Measure recall@k, p95 search, build time and memory; deliberately degrade the ANN and prove a build below recall_floor is not eligible to serve. Repeating a sealed generation yields stable identity and search evidence handles.</t>
  </si>
  <si>
    <t>T-174</t>
  </si>
  <si>
    <t>MF-03 novelty-model runtime and honest refusal semantics</t>
  </si>
  <si>
    <t>MF-03 Novelty</t>
  </si>
  <si>
    <t>Implement the novelty/anomaly family behind a replaceable contract with a simple baseline first and an isolation/density candidate only where eligible. Persistable outputs must separate score, threshold/calibration identity, population context and refusal state. No source-schema or industry vocabulary is allowed.</t>
  </si>
  <si>
    <t>Known synthetic normal/outlier populations produce expected ranking; a too-small or degenerate population returns the correct refusal instead of a fabricated score. Run deterministic seed/environment checks and export artifact/metrics in the common T-168 result-manifest shape.</t>
  </si>
  <si>
    <t>T-175</t>
  </si>
  <si>
    <t>MF-04 supervised-outcome training runtime and mandatory simple baseline</t>
  </si>
  <si>
    <t>MF-04 Supervised</t>
  </si>
  <si>
    <t>Implement SupervisedOutcomeModel behind the common runtime: train a mandatory simple baseline first, then a LightGBM tabular candidate for supported binary/multiclass/ordinal/continuous outcomes. Enforce prediction_cutoff/feature availability before training and emit reproducible artifact, holdout and performance metadata. Do not wire registry activation in this task. v2.10.1 SAFE-NOW OUTCOME RULE. During SAFE-NOW work, outcome definitions, prediction points and detection cutoffs are fixture-declared typed contracts only. Do not bind this task to ppiq_app tables, current ml_outcome_definitions rows, presentation outcomes or any physical production schema. Production supervised training consumes the canonical published SM-06 OutcomeDefinition only after its M2a binding is certified.</t>
  </si>
  <si>
    <t>Known-answer fixtures cover at least binary and multiclass/ordinal outcomes. Inject a post-cutoff feature and prove training is blocked. The candidate and baseline train on the same sealed snapshot and report comparable metrics plus environment/artifact hashes; no candidate is called champion here. Leakage tests derive cutoff/detection semantics from the typed fixture OutcomeDefinition contract rather than hardcoded product/plant constants. No SAFE-NOW model code contains a production outcome code, canonical grain literal or production detection anchor. The runtime executes completely against sealed in-memory/file fixtures.</t>
  </si>
  <si>
    <t>Isolated implementation only: new module/files/tests; NO production DI registration, DB migration, route/page edit, presentation schema/data edit or M1 runtime cutover. Outcome semantics are fixture-declared in SAFE-NOW; no ppiq_app/current outcome-table binding until canonical SM-06 is certified.</t>
  </si>
  <si>
    <t>T-168 + T-169 for the common runtime and sealed typed artifact contracts. Canonical SM-06 binding is NOT required for fixture-only SAFE-NOW work; it is required before production supervised-training integration.</t>
  </si>
  <si>
    <t>v2.10.1 — fixture-only outcome semantics clarified; T-168/T-169 dependencies made explicit without blocking SAFE-NOW.</t>
  </si>
  <si>
    <t>T-176</t>
  </si>
  <si>
    <t>Calibration, explanation stability and three-dimensional promotion kernel</t>
  </si>
  <si>
    <t>Model governance</t>
  </si>
  <si>
    <t>Implement the pure evaluation/promotion decision used by learned models. QUALITY covers discrimination/error, calibration, out-of-time, subgroup/regime stability, missingness robustness and explanation stability. SERVING covers p50/p95/p99, throughput, artifact size, RAM/VRAM and warm-up. TRAINING covers duration, peak memory and snapshot throughput. Include the encoder promotion inequality and TreeSHAP as an initial explanation candidate, not a product contract.</t>
  </si>
  <si>
    <t>A better-discriminating but worse-calibrated challenger is rejected. A model with unstable explanations is rejected. A simpler baseline that falls within the declared lift threshold defeats a costly encoder. Every promotion decision is reproducible from a frozen metrics document and names the failed dimension.</t>
  </si>
  <si>
    <t>T-177</t>
  </si>
  <si>
    <t>Production statistical-method kernel, including Numeric×Categorical</t>
  </si>
  <si>
    <t>Statistics</t>
  </si>
  <si>
    <t>Build the schema-independent statistical kernel that T-146 will later wire into production. Preserve the proven Numeric×Numeric, Binary×Numeric and Categorical×Categorical paths and implement Numeric×Categorical with assumption-aware one-way ANOVA and Kruskal-Wallis fallback. Produce aligned population/group counts, effect size, p-value, q/FDR and explicit exclusion taxonomy. v2.10.1 TRACEABILITY TIGHTENING. Before replacing, retiring or reimplementing any existing statistical path, inspect the current reachable statistical implementations and their behavioural tests/source trace and record the proven behaviour that must be preserved. Known-answer fixtures may be authored first because they are mathematics-only and database-independent; fixture construction does not authorise replacement of an existing path before that source/test trace is available.</t>
  </si>
  <si>
    <t>Known-answer fixtures select the expected method and effect-size family. Assumption violation switches ANOVA to Kruskal-Wallis. Constant input, unsupported pairing and insufficient groups/sample are three distinct terminal reasons. The kernel has no DI registration, DB write or M1 presentation dependency. Existing proven Numeric×Numeric, Binary×Numeric and Categorical×Categorical behaviours are regression-compared against the new kernel after the current implementation/test trace is inspected. Known-answer fixtures independently certify the mathematics. T-177 may begin with fixture construction before source trace is available, but may not close, retire or replace an existing reachable statistical path until the source/test trace has been inspected and parity is evidenced.</t>
  </si>
  <si>
    <t>Isolated implementation only: new module/files/tests; NO production DI registration, DB migration, route/page edit, presentation schema/data edit or M1 runtime cutover. Do not replace or retire an existing proven statistical implementation before its source/test trace has been inspected; fixture-only work may proceed immediately.</t>
  </si>
  <si>
    <t>Fixture subpack: none. Kernel completion/closure: current statistical implementation plus corresponding tests/source trace available. Production cutover remains T-146/T-147 after presentation hand-off.</t>
  </si>
  <si>
    <t>v2.10.1 — source/test parity gate added; fixture-first work remains SAFE NOW.</t>
  </si>
  <si>
    <t>T-178</t>
  </si>
  <si>
    <t>Pure remediation eligibility and can_accept decision kernel</t>
  </si>
  <si>
    <t>Implement the nine-check remediation eligibility logic and the complete seven-condition can_accept authority as a pure, table-driven domain service. Return actionable, evidence_only, exploratory or suppressed plus named failed checks. No persistence, UI wiring or plant-control client in this task.</t>
  </si>
  <si>
    <t>One deterministic case fails each check by name; combinations produce the correct final class. can_accept cannot be reconstructed from fewer fields. A safety-check failure always produces suppressed. Static/dependency tests prove the kernel has no customer-source write/control dependency.</t>
  </si>
  <si>
    <t>T-179</t>
  </si>
  <si>
    <t>Deterministic Assistant tool planner</t>
  </si>
  <si>
    <t>LLM orchestration</t>
  </si>
  <si>
    <t>Implement the deterministic planner between resolved intent/entity context and declared Layer A/Layer B tools. The LLM never chooses tools. The planner is tenant/permission aware, asks on ambiguity, prioritises structured tools for facts and emits an auditable plan object. Build in a new isolated namespace with no current dock wiring.</t>
  </si>
  <si>
    <t>A fixed probe set covers paraphrases, ambiguous entities, permission differences and unsupported intents. Equivalent intents select the same tool set; ambiguity asks rather than guesses; a forbidden tool is never planned. No LLM call occurs during planning.</t>
  </si>
  <si>
    <t>T-180</t>
  </si>
  <si>
    <t>Permission-first hybrid retrieval and evidence packer</t>
  </si>
  <si>
    <t>LLM grounding</t>
  </si>
  <si>
    <t>Implement hybrid lexical+semantic retrieval/fusion with permission filtering BEFORE ranking, deduplication, tool-result priority, evidence-handle retention and a hard token budget with reserved answer allowance. Truncation is recorded/disclosed. Re-ranking stays behind an optional benchmarked seam for B-08. Isolated module only; no current presentation corpus cutover.</t>
  </si>
  <si>
    <t>A forbidden high-scoring chunk cannot displace an allowed chunk. Duplicate evidence is collapsed without losing handles. A token-overflow fixture records truncation and still preserves higher-priority structured evidence. Run with and without the reranker seam and emit B-07/B-08 measurements.</t>
  </si>
  <si>
    <t>T-181</t>
  </si>
  <si>
    <t>Deterministic answer verifier and Q-01..Q-11 evaluation harness</t>
  </si>
  <si>
    <t>LLM verification</t>
  </si>
  <si>
    <t>Implement the post-LLM deterministic verifier plus a fixed Assistant quality harness. Verify numeric claims against supplied evidence handles, forbid claim-class upgrade, preserve engine refusal, distinguish transport failure from abstention and reject unsupported claims without another LLM call. Encode Q-01..Q-11 measurements including tool selection, groundedness, citation correctness, refusal and causal-overreach.</t>
  </si>
  <si>
    <t>Probe answers deliberately contain an uncited number, upgraded causal wording, erased refusal, fabricated handle and transport failure; each is blocked or classified correctly. A valid cited answer passes. Q-01..Q-11 results are machine-readable and reproducible on the fixed probe set.</t>
  </si>
  <si>
    <t>T-182</t>
  </si>
  <si>
    <t>Benchmark harness and result manifest for B-01..B-09</t>
  </si>
  <si>
    <t>AI/ML benchmarks</t>
  </si>
  <si>
    <t>Create the common benchmark runner/result schema for B-01 through B-09. Record hardware/runtime identity, commit, dataset/snapshot hash, parameters, warm-up, repetitions and p50/p95/p99/throughput/memory metrics as applicable. This task creates measurement machinery only; it must not guess production values.</t>
  </si>
  <si>
    <t>Run at least one synthetic smoke benchmark for each B-ID and produce a complete machine-readable result manifest. The harness refuses to publish a 'selected' value without the benchmark inputs/results that justify it. Re-running the same fixture preserves experiment identity and traceability.</t>
  </si>
  <si>
    <t>T-183</t>
  </si>
  <si>
    <t>Semantic Contract Manifest persistence, resolver and G-55 coverage</t>
  </si>
  <si>
    <t>Semantic reproducibility</t>
  </si>
  <si>
    <t>After M2a-P1/P2 establish final definition/relationship authority, implement ppiq_meta.semantic_manifests as immutable tenant-owned reproducibility pins: manifest_id UUID PK, tenant_id, manifest_hash, referenced definition versions, relationship publication, registry/configuration hashes and UNIQUE(tenant_id, manifest_hash). Build ManifestResolver and semantic_manifest_id references on governed run/artifact/evidence tables. Legacy rows may be null; every new governed AI/ML execution must resolve a manifest.</t>
  </si>
  <si>
    <t>Create identical content in two tenants and prove separate rows; identical content twice in one tenant reuses the same manifest. Attempt mutation and refuse it. Start a new governed AI/ML run without a resolvable manifest and prove G-55 refuses before output persistence. A changed answer can be traced to a manifest diff.</t>
  </si>
  <si>
    <t>T-089..T-105</t>
  </si>
  <si>
    <t>T-184</t>
  </si>
  <si>
    <t>Snapshot Materialiser: seal feature state into typed artifacts and enforce G-48</t>
  </si>
  <si>
    <t>Training data path</t>
  </si>
  <si>
    <t>Wire T-169 into production as the Snapshot Materialiser. It is the sole component permitted to read feature_store for sealing; training/encoding consume only the immutable typed artifact. Persist hash/format/size/row-count/semantic_manifest_id and optional declared audit sample. No full duplicate JSONB training population.</t>
  </si>
  <si>
    <t>Seal a snapshot, mutate live feature_store, then train/read through the artifact and reproduce the original input. Architecture gate G-48 fails if any trainer/encoder queries feature_store directly. Corrupt the artifact and prove hash verification refuses it before training.</t>
  </si>
  <si>
    <t>T-128 + T-169 + T-183</t>
  </si>
  <si>
    <t>T-185</t>
  </si>
  <si>
    <t>sequence_manifests persistence and object-storage sequence path</t>
  </si>
  <si>
    <t>Wire T-170 into production: ppiq_plant.sequence_manifests stores subject/channel/time/count/hash/storage/chunk metadata while object storage holds immutable numeric payload chunks. Integrate retention/backup identity and bounded loader access. PostgreSQL stores no numeric sequence arrays.</t>
  </si>
  <si>
    <t>Persist and reload a large multi-chunk sequence with manifest/content verification and bounded memory. Search the canonical schema and prove no numeric sequence payload array column exists. Restore the artifact/DB pair and reproduce the sequence; a missing chunk produces a typed refusal.</t>
  </si>
  <si>
    <t>T-170 + T-183 + final object storage</t>
  </si>
  <si>
    <t>T-186</t>
  </si>
  <si>
    <t>Persist capability profiles, prediction points and the model-count governor</t>
  </si>
  <si>
    <t>Persist the T-171 capability profile per outcome/grain/manifest and implement governed prediction-point candidates plus the model-count governor. Only capabilities supported by measured data become eligible; collapsed dimensions and refusal reasons remain visible. Prediction points are activated under policy rather than multiplying models blindly.</t>
  </si>
  <si>
    <t>On one rich and one sparse reference population, persist different capability states with their measured basis. Generate prediction-point candidates and prove the governor caps/chooses them deterministically. An unsupported model family remains MODEL_NOT_READY/NOT_APPLICABLE rather than creating a placeholder model.</t>
  </si>
  <si>
    <t>T-171 + T-183 + T-128/T-129</t>
  </si>
  <si>
    <t>T-187</t>
  </si>
  <si>
    <t>Production training/index integration: snapshots → ML lanes → registry activation</t>
  </si>
  <si>
    <t>ML integration</t>
  </si>
  <si>
    <t>Integrate T-168 runtime, T-172/T-174/T-175 learned families, T-173 index builder, T-176 promotion, T-183 manifests and T-184/T-185 artifacts with the M2a scheduler lanes. Training/index jobs consume sealed artifacts, checkpoint where declared, write governed result manifests and register candidates; only gate-approved versions activate. No daytime request enters training.</t>
  </si>
  <si>
    <t>Run a full candidate job from sealed snapshot through training/evaluation/registry. Prove direct feature_store access is absent, a failed gate cannot activate, a passed candidate activates atomically per serving identity, and online serving remains available while training/batch are saturated. MF-02 recall floor blocks an inadequate index.</t>
  </si>
  <si>
    <t>W3 AFTER M2a-P3</t>
  </si>
  <si>
    <t>Production ML job wiring may begin only after scheduler/delta/RLS contracts are stable. No daytime request may enter training.</t>
  </si>
  <si>
    <t>T-107 + T-109 + T-168..T-176 + T-183..T-186</t>
  </si>
  <si>
    <t>T-188</t>
  </si>
  <si>
    <t>Canonical D4 Findings and D8 ML Readiness/Models cutover</t>
  </si>
  <si>
    <t>Intelligence surfaces</t>
  </si>
  <si>
    <t>Replace the M1 presentation adapters behind D4 Findings and D8 ML Readiness/Models with canonical run/finding/capability/model-registry sources. Preserve the frozen route, layout, labels, controls and refusal semantics; only the hidden data authority changes. Expose method/population/q-value/effect evidence and real readiness/model lifecycle state.</t>
  </si>
  <si>
    <t>Run the M1 continuity snapshots for both pages and record no visible-contract regression. Kill a canonical source and prove the page shows the same bounded failure/refusal state rather than presentation fallback data. Every displayed model/finding resolves to manifest/run/evidence.</t>
  </si>
  <si>
    <t>T-129 + T-130 + T-186 + M1 continuity snapshots</t>
  </si>
  <si>
    <t>T-189</t>
  </si>
  <si>
    <t>Canonical D5 Risk and D9 Early Warning cutover</t>
  </si>
  <si>
    <t>Prediction surfaces</t>
  </si>
  <si>
    <t>Bind D5 Risk and D9 Early Warning to prediction_current/prediction evidence. D5 remains aggregate current risk; D9 remains the per-unit actionable queue with deadline, drivers, fallback state, comparables and can_accept/remediation status. Preserve the M1 visual contract and remove presentation-only backing data.</t>
  </si>
  <si>
    <t>Continuity snapshots remain stable. Force a late prediction, fallback use, missing driver evidence and suppressed remediation; each renders the designed canonical state. No row appears actionable after its deadline and no client re-derives can_accept.</t>
  </si>
  <si>
    <t>T-139..T-143 + M1 continuity snapshots</t>
  </si>
  <si>
    <t>T-190</t>
  </si>
  <si>
    <t>Canonical D6 Suggestions and decision-action cutover</t>
  </si>
  <si>
    <t>Remediation surfaces</t>
  </si>
  <si>
    <t>Bind D6 Suggestions to canonical remediation candidates/eligibility/decision records. Suppressed candidates never render. Accept/Reject/Defer controls obey server can_accept and preserve the human/read-only boundary. Preserve the M1 visual contract while deleting presentation-only decision data paths.</t>
  </si>
  <si>
    <t>Run continuity snapshots. Attempt client-side manipulation to enable a forbidden decision and prove the server refuses it. Exercise actionable/evidence_only/exploratory/suppressed cases and confirm only allowed states appear with evidence and actor/reason history.</t>
  </si>
  <si>
    <t>T-142..T-145 + M1 continuity snapshots</t>
  </si>
  <si>
    <t>T-191</t>
  </si>
  <si>
    <t>D11 Scenario Simulation: governed read-only modelled comparison</t>
  </si>
  <si>
    <t>Scenario simulation</t>
  </si>
  <si>
    <t>Implement the already-designed D11 scenario path as decision support, not plant control: choose declared variables within valid ranges, hold the rest fixed, run against a named active model version/semantic manifest, compare with baseline and persist scenario_runs with uncertainty/disclaimer/evidence. It never writes to a customer system and never masquerades as an observed prediction.</t>
  </si>
  <si>
    <t>Run a bounded scenario and resolve baseline/model/manifest/evidence. An out-of-range or non-controllable variable is refused. The result is labelled simulation, includes uncertainty, and no source-system write/control endpoint is reachable from the path.</t>
  </si>
  <si>
    <t>T-130 + T-176 + T-187</t>
  </si>
  <si>
    <t>T-192</t>
  </si>
  <si>
    <t>Target-architecture gate pack G-48..G-55</t>
  </si>
  <si>
    <t>Architecture gates</t>
  </si>
  <si>
    <t>Implement the eight target-architecture gates as executable tests: G-48 materialiser-only feature_store read; G-49 ML lane isolation; G-50 admission satisfiable; G-51 ANN recall floor; G-52 evidence-budget/truncation integrity; G-53 deterministic answer verification; G-54 governed-model-only learned multimodal output; G-55 semantic-manifest coverage. Keep them standalone and fail-closed; T-150 owns final pipeline wiring.</t>
  </si>
  <si>
    <t>Falsify every gate once. Each deliberate violation fails for the named reason and passes only after the defect is removed. A missing test input/dependency is a failure, not a skip/pass. Produce one machine-readable gate report consumable by T-150.</t>
  </si>
  <si>
    <t>W3 AFTER COMPONENT INTEGRATION</t>
  </si>
  <si>
    <t>Implement/falsify gates against final components; standalone gate files first, canonical pipeline wiring belongs to T-150.</t>
  </si>
  <si>
    <t>T-183..T-191 + T-107/T-122 as applicable</t>
  </si>
  <si>
    <t>T-193</t>
  </si>
  <si>
    <t>Drift Supervisor and governed model-action proposals</t>
  </si>
  <si>
    <t>Implement the Drift Supervisor over served model/index/practice state. Detect declared distribution/performance/calibration/explanation drift, propose bounded actions, shadow-run where applicable and require human approval before applying. It may never lower readiness thresholds, refusal rules, evidence requirements, leakage gates, tenant isolation or semantic contracts, and it never performs continuous online weight updates.</t>
  </si>
  <si>
    <t>Trigger each supported drift class on fixtures and prove a proposal is recorded with evidence. Attempt to propose a forbidden threshold/gate weakening and prove it is rejected structurally. Approve one allowed bounded action and confirm atomic application plus rollback pointer; reject one and confirm no state change.</t>
  </si>
  <si>
    <t>W3 AFTER MODEL/PREDICTION INTEGRATION</t>
  </si>
  <si>
    <t>Supervisor may propose only governed bounded actions; never modify architecture gates/thresholds or auto-update plant/model weights.</t>
  </si>
  <si>
    <t>T-130 + T-187 + T-139/T-145</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</si>
  <si>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</si>
  <si>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</si>
  <si>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</si>
  <si>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</si>
  <si>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</si>
  <si>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</si>
  <si>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</si>
  <si>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chart plan, extend the generator, scale, materialise presentation canonical operational entities, compute analytical rows with real engines, and prove every phenomenon. Native fixtures/full path converge in M2a.</t>
  </si>
  <si>
    <t>No-Code Authoring Shell - wiring, SQL and widget authoring</t>
  </si>
  <si>
    <t>Presentation authoring contract. Visible behaviour is final; hidden persistence may be adapted later without changing the customer contract.</t>
  </si>
  <si>
    <t>Total required till Presentation</t>
  </si>
  <si>
    <t>BI Workspace and the Seven Showcase Pages</t>
  </si>
  <si>
    <t>Presentation dashboards: certification, analytical meaning, differentiation and interaction quality, not production ML implementation.</t>
  </si>
  <si>
    <t>Strict Done hours</t>
  </si>
  <si>
    <t>Journey J4 to J15 and the Engine Slice</t>
  </si>
  <si>
    <t>Presentation journey and engine slice. Every visible transition is credible; hidden production intelligence may still be readiness-blocked or compatibility-backed.</t>
  </si>
  <si>
    <t>Not-yet-Done hours</t>
  </si>
  <si>
    <t>Assistant Dock and Presentation Certification</t>
  </si>
  <si>
    <t>Freeze the customer-visible assistant and presentation contract; absorb final presentation slippage without inviting production AI refactors.</t>
  </si>
  <si>
    <t>Strict Done %</t>
  </si>
  <si>
    <t>Canonical Schema Authority and the Unified Definition Store</t>
  </si>
  <si>
    <t>Replace M1 compatibility persistence with the final three-schema authority and unified definition store. Worker 3 does not touch these schemas before hand-off.</t>
  </si>
  <si>
    <t>Permanent Relationship Model and Projection Quarantine</t>
  </si>
  <si>
    <t>Build the permanent relationship/resolver/quarantine authority. This is the schema/relationship hand-off gate for Worker 3 persistence work.</t>
  </si>
  <si>
    <t>Job Runtime, Delta Propagation and Security Hardening</t>
  </si>
  <si>
    <t>Bounded execution, delta propagation, tenant/security hardening and the final generic scheduler contracts used later by ML lanes.</t>
  </si>
  <si>
    <t>Commissioning, Roles, Licence and the On-Site Package</t>
  </si>
  <si>
    <t>Installability and operational package. Includes physical ML container/profile support but does not change the M1 visible contract.</t>
  </si>
  <si>
    <t>Parallel ML Runtime and Data-Artifact Foundations</t>
  </si>
  <si>
    <t>Worker 3 SAFE-NOW lane. Pure/isolated runtime, artifact, capability and index/model foundations. No DB migrations, production DI, routes, presentation data or runtime cutover.</t>
  </si>
  <si>
    <t>Parallel Model, Statistical and Assistant Kernels</t>
  </si>
  <si>
    <t>Worker 3 SAFE-NOW lane. Schema-independent supervised/promotion/statistical/remediation/Assistant kernels plus isolated ModelServingRuntime. Zero presentation interference.</t>
  </si>
  <si>
    <t>Canonical Intelligence Persistence and Practice Core</t>
  </si>
  <si>
    <t>After M2a-P2 hand-off: manifests, stores, registry, snapshot sealing and practice core on final schema authority.</t>
  </si>
  <si>
    <t>Model Integration, Intelligence Binding and Canonical Readiness</t>
  </si>
  <si>
    <t>Integrate isolated kernels into production jobs/stores, capability/readiness and bindable intelligence; cut D4/D8 to canonical data with continuity preserved.</t>
  </si>
  <si>
    <t>Prediction, Remediation and Canonical Intelligence Surfaces</t>
  </si>
  <si>
    <t>Production prediction/remediation pipeline plus D5/D6/D9/D11 canonical surfaces. Human/read-only boundary remains absolute.</t>
  </si>
  <si>
    <t>Assistant Cutover, Engine Convergence and Gate Closure</t>
  </si>
  <si>
    <t>Canonical Assistant internals, statistical/outcome convergence, drift supervisor, G48-G55 and final pipeline closure. Route namespace cleanup remains outside Worker 3.</t>
  </si>
  <si>
    <t>Site Stabilisation and Real-Data Performance</t>
  </si>
  <si>
    <t>Reserved customer/site work. Includes real-data model calibration and remediation validation without reopening architecture.</t>
  </si>
  <si>
    <t>Production Certification, Enterprise Operations and Commercial Completion</t>
  </si>
  <si>
    <t>Production/site certification. Execute measured capacity/benchmark evidence and freeze Chapter 6 when certification passes.</t>
  </si>
  <si>
    <t>TOTAL</t>
  </si>
  <si>
    <t>Definition</t>
  </si>
  <si>
    <t>Customer presentation. BASELINE SCOPE remains exactly 574 h. Freeze what the customer sees; Worker 3 must not interfere with this lane.</t>
  </si>
  <si>
    <t>Deployable canonical core. Remains exactly 432 h. Final schema/relationship/job-runtime hand-offs precede Worker 3 persistence integration.</t>
  </si>
  <si>
    <t>Engine + AI/ML/LLM implementation. Expanded after the 11-12 Aug architecture freeze to include previously orphaned production contracts and an isolated SAFE-NOW Worker 3 lane.</t>
  </si>
  <si>
    <t>Site stabilisation, real-data calibration, capacity certification and production completion.</t>
  </si>
  <si>
    <t>PPIQ EXECUTABLE BACKLOG v2.10.0 - LEGEND</t>
  </si>
  <si>
    <t>Edit only these columns</t>
  </si>
  <si>
    <t>Status (column K). Ownership/safety/dependencies are generated plan controls and should change only through a backlog revision.</t>
  </si>
  <si>
    <t>Stable identity. Existing T-001..T-167 are preserved; v2.10 adds T-168..T-193. Parallel Worker-3 order is governed by the Worker 3 Lane sheet, not by numeric ID alone.</t>
  </si>
  <si>
    <t>M1 presentation / M2a deployable canonical core / M2b engine+AI/ML/LLM completion / M3 site and production.</t>
  </si>
  <si>
    <t>A coherent pushable group of 80 to 120 hours. v2.10 adds M2b-P0A/P0B and expands M2b to six phases.</t>
  </si>
  <si>
    <t>Critical / Very Important / Important / Optional. Severity, not execution sequence.</t>
  </si>
  <si>
    <t>No task exceeds 12 hours. A partial task is rewritten as its executable remainder with a fresh estimate.</t>
  </si>
  <si>
    <t>Status values</t>
  </si>
  <si>
    <t>Not Started / In Progress / Blocked / Done.</t>
  </si>
  <si>
    <t>Definition of Done</t>
  </si>
  <si>
    <t>The Task Validation column passes against an executed system/kernel/runtime. Compilation or presence of a test file is not Done.</t>
  </si>
  <si>
    <t>Worker 3 may execute immediately, but ONLY in isolated new modules/files/tests: no DB migration, production DI registration, route/page change, presentation schema/data edit or current runtime cutover.</t>
  </si>
  <si>
    <t>Final definition-store + relationship-model hand-off is required before Worker 3 touches production persistence.</t>
  </si>
  <si>
    <t>W3 AFTER M2b-P1/P2</t>
  </si>
  <si>
    <t>Canonical integration/cutover task. Preserve M1 continuity snapshots; data authority may change but the visible contract may not.</t>
  </si>
  <si>
    <t>Presentation/frontend namespace/core-platform work owned by Workers 1/2 or the platform lane.</t>
  </si>
  <si>
    <t>SHARED</t>
  </si>
  <si>
    <t>Worker 3 supplies the AI/ML contract/tests; the named platform/infra/CI owner owns the generic subsystem or final pipeline.</t>
  </si>
  <si>
    <t>Presentation protection law</t>
  </si>
  <si>
    <t>M1 remains 574 hours. No v2.10 AI/ML task is allowed to move the presentation deadline or force a rewrite of the presentation DB, pages, routes, assistant dock or current T-045/T-046 runtime.</t>
  </si>
  <si>
    <t>Canonical-schema protection law</t>
  </si>
  <si>
    <t>M2a remains 432 hours. Worker 3 must not implement production DB persistence against temporary/presentation schemas; M2a-P1/P2 own the final authority.</t>
  </si>
  <si>
    <t>Fake-data law</t>
  </si>
  <si>
    <t>Temporary presentation data/compatibility is allowed where already governed. A fake hardcoded product answer or fake production intelligence is never allowed.</t>
  </si>
  <si>
    <t>No cutover while presentation is active</t>
  </si>
  <si>
    <t>Worker 3 may build kernels/runtimes now but production wiring to current analysis/assistant pages waits for the stated hand-off label.</t>
  </si>
  <si>
    <t>Repository isolation</t>
  </si>
  <si>
    <t>Exact owned-file staging only. No git add . / git add -A. Inspect git status and cached diff; never reset/overwrite another worker's dirty path.</t>
  </si>
  <si>
    <t>Database semantic durability</t>
  </si>
  <si>
    <t>A production DB semantic change is not complete until its migration/definition is tracked and in the authoritative rebuild/deploy replay path.</t>
  </si>
  <si>
    <t>Fail-closed mutation tooling</t>
  </si>
  <si>
    <t>Mutating scripts/packs preflight exact targets and match counts, back up/transact, self-check, validate and rollback on failure.</t>
  </si>
  <si>
    <t>Audit-finding traceability</t>
  </si>
  <si>
    <t>Before freeze every architecture finding is CLOSED, OWNED BY T-xxx, CONTROLLED BY GLOBAL LAW, or NEW TASK REQUIRED. Zero orphan findings.</t>
  </si>
  <si>
    <t>v2.10 scope result</t>
  </si>
  <si>
    <t>M1 = 574 h unchanged; M2a = 432 h unchanged; M2b = 528 h; M3 = 204 h; programme = 1,738 h. Worker 3 has 16 SAFE-NOW tasks / 172 h.</t>
  </si>
  <si>
    <t>Source</t>
  </si>
  <si>
    <t>v2.10 is based on Backlog v2.9.2 plus Layer B Architecture Pack Rev7.1, Layer B Rule Rev7, revised Chapters 2/3/4/6, Final Synchronisation Ledger and fail-closed Convergence Scan V4 dated 11-12 Aug 2026.</t>
  </si>
  <si>
    <t>PPIQ v2.10.1 — Audit Finding → Executable Owner Traceability</t>
  </si>
  <si>
    <t>TRACEABILITY KPI</t>
  </si>
  <si>
    <t>VALUE</t>
  </si>
  <si>
    <t>Freeze gate updated after the SM-06 implementation-ownership review. The frozen architecture is unchanged; canonical outcome-definition binding, observed values/history and Engine consumption/leakage-anchor ownership are now explicit. M1 and M2a programme hours remain unchanged.</t>
  </si>
  <si>
    <t>Architecture findings</t>
  </si>
  <si>
    <t>New-task orphans</t>
  </si>
  <si>
    <t>New tasks added</t>
  </si>
  <si>
    <t>Worker 3 SAFE-NOW tasks</t>
  </si>
  <si>
    <t>Worker 3 SAFE-NOW hours</t>
  </si>
  <si>
    <t>M1 hours changed</t>
  </si>
  <si>
    <t>M2a hours changed</t>
  </si>
  <si>
    <t>Finding ID</t>
  </si>
  <si>
    <t>Finding</t>
  </si>
  <si>
    <t>Executable Owner</t>
  </si>
  <si>
    <t>Phase</t>
  </si>
  <si>
    <t>Disposition</t>
  </si>
  <si>
    <t>Rationale / Scope Decision</t>
  </si>
  <si>
    <t>F-001</t>
  </si>
  <si>
    <t>Numeric×Categorical correlation method missing</t>
  </si>
  <si>
    <t>T-177 / T-146</t>
  </si>
  <si>
    <t>M2b-P0B / P4</t>
  </si>
  <si>
    <t>EXPANDED</t>
  </si>
  <si>
    <t>Kernel split from production cutover; safe-now computation no longer touches presentation runtime.</t>
  </si>
  <si>
    <t>F-002</t>
  </si>
  <si>
    <t>Unsupported Numeric×Categorical mislabeled zero-variance</t>
  </si>
  <si>
    <t>Truthful exclusion taxonomy is tested in the isolated kernel and production cutover.</t>
  </si>
  <si>
    <t>F-003</t>
  </si>
  <si>
    <t>Outcome namespace / grain / ordinal loader defects</t>
  </si>
  <si>
    <t>EXISTING</t>
  </si>
  <si>
    <t>Canonical outcome integration owner retained.</t>
  </si>
  <si>
    <t>F-004</t>
  </si>
  <si>
    <t>Page Builder demo-shaped widget/source assumptions</t>
  </si>
  <si>
    <t>T-041 / T-042</t>
  </si>
  <si>
    <t>Presentation owner; Worker 3 excluded.</t>
  </si>
  <si>
    <t>F-005</t>
  </si>
  <si>
    <t>Operational dashboard weak bindings, raw IDs and degenerate dimensions</t>
  </si>
  <si>
    <t>Presentation owner; unchanged.</t>
  </si>
  <si>
    <t>F-006</t>
  </si>
  <si>
    <t>Analysis/Model pages show flat or information-free charts</t>
  </si>
  <si>
    <t>Worker 2 presentation owner; production AI cutovers wait.</t>
  </si>
  <si>
    <t>F-007</t>
  </si>
  <si>
    <t>Chart renderer compatibility without analytical compatibility</t>
  </si>
  <si>
    <t>Worker 2 presentation owner; Worker 3 must not cut over engine during certification.</t>
  </si>
  <si>
    <t>F-008</t>
  </si>
  <si>
    <t>Seven pages need distinct stories but one product design language</t>
  </si>
  <si>
    <t>Presentation lane.</t>
  </si>
  <si>
    <t>F-009</t>
  </si>
  <si>
    <t>Assistant first-open protected-config 401 risk</t>
  </si>
  <si>
    <t>Completed presentation contract.</t>
  </si>
  <si>
    <t>F-010</t>
  </si>
  <si>
    <t>Assistant page/widget context</t>
  </si>
  <si>
    <t>Completed.</t>
  </si>
  <si>
    <t>F-011</t>
  </si>
  <si>
    <t>Assistant page/widget evidence corpus</t>
  </si>
  <si>
    <t>Completed presentation corpus; canonical cutover later T-138.</t>
  </si>
  <si>
    <t>F-012</t>
  </si>
  <si>
    <t>Typed quantity safety</t>
  </si>
  <si>
    <t>F-013</t>
  </si>
  <si>
    <t>Citation/evidence UX</t>
  </si>
  <si>
    <t>Completed visible contract.</t>
  </si>
  <si>
    <t>F-014</t>
  </si>
  <si>
    <t>Certified live questions and offline fallback</t>
  </si>
  <si>
    <t>Presentation certification owner.</t>
  </si>
  <si>
    <t>F-015</t>
  </si>
  <si>
    <t>Website visual regression/inconsistent presentation</t>
  </si>
  <si>
    <t>T-070 / T-166</t>
  </si>
  <si>
    <t>M1-P5 / M3-P2</t>
  </si>
  <si>
    <t>Outside Worker 3.</t>
  </si>
  <si>
    <t>F-016</t>
  </si>
  <si>
    <t>Mojibake / visible HTML entities</t>
  </si>
  <si>
    <t>F-017</t>
  </si>
  <si>
    <t>Visual/a11y tests invoked with --list</t>
  </si>
  <si>
    <t>T-078 / T-150</t>
  </si>
  <si>
    <t>M1-P5 / M2b-P4</t>
  </si>
  <si>
    <t>Immediate M1 owner + final pipeline owner.</t>
  </si>
  <si>
    <t>F-018</t>
  </si>
  <si>
    <t>CI can swallow failures or leave validators orphaned</t>
  </si>
  <si>
    <t>Final pipeline now also consumes T-192 and Assistant quality probes.</t>
  </si>
  <si>
    <t>F-019</t>
  </si>
  <si>
    <t>Demo/local/bootstrap/secrets/hardcoded-host leakage into Production</t>
  </si>
  <si>
    <t>Core platform owner.</t>
  </si>
  <si>
    <t>F-020</t>
  </si>
  <si>
    <t>Incomplete RLS coverage</t>
  </si>
  <si>
    <t>T-112 / T-135</t>
  </si>
  <si>
    <t>M2a-P3 / M2b-P1</t>
  </si>
  <si>
    <t>M2a owns generic RLS; T-135 covers new intelligence tables.</t>
  </si>
  <si>
    <t>F-021</t>
  </si>
  <si>
    <t>src_* retirement/dependency proof/backup restore</t>
  </si>
  <si>
    <t>Unchanged.</t>
  </si>
  <si>
    <t>F-022</t>
  </si>
  <si>
    <t>Final ppiq_staging / ppiq_plant / ppiq_meta authority</t>
  </si>
  <si>
    <t>T-087 / T-088</t>
  </si>
  <si>
    <t>Worker 3 persistence explicitly waits for this authority.</t>
  </si>
  <si>
    <t>F-023</t>
  </si>
  <si>
    <t>Unified definition authority</t>
  </si>
  <si>
    <t>T-089–T-094</t>
  </si>
  <si>
    <t>Manifest resolver depends on it.</t>
  </si>
  <si>
    <t>F-024</t>
  </si>
  <si>
    <t>Permanent relationship model and projection quarantine</t>
  </si>
  <si>
    <t>T-095–T-105</t>
  </si>
  <si>
    <t>Worker 3 production persistence hand-off gate.</t>
  </si>
  <si>
    <t>F-025</t>
  </si>
  <si>
    <t>Production feature/outcome snapshots and intelligence substrate</t>
  </si>
  <si>
    <t>T-128–T-136 / T-169 / T-183–T-186</t>
  </si>
  <si>
    <t>Original owner retained and split to cover manifest, columnar and sequence contracts.</t>
  </si>
  <si>
    <t>F-026</t>
  </si>
  <si>
    <t>Prediction/remediation/feedback loop</t>
  </si>
  <si>
    <t>T-139–T-145 / T-178 / T-189 / T-190</t>
  </si>
  <si>
    <t>Pure eligibility kernel + canonical surfaces added.</t>
  </si>
  <si>
    <t>F-027</t>
  </si>
  <si>
    <t>Economic Value Engine / auditable ROI</t>
  </si>
  <si>
    <t>F-028</t>
  </si>
  <si>
    <t>Product-semantic DB fix can exist only live/ignored</t>
  </si>
  <si>
    <t>Global Law</t>
  </si>
  <si>
    <t>All</t>
  </si>
  <si>
    <t>GLOBAL LAW</t>
  </si>
  <si>
    <t>Permanent durability rule.</t>
  </si>
  <si>
    <t>F-029</t>
  </si>
  <si>
    <t>Mutating pack can silently miss anchor/fail after mutation</t>
  </si>
  <si>
    <t>Fail-closed mutation rule.</t>
  </si>
  <si>
    <t>F-030</t>
  </si>
  <si>
    <t>Parallel workers can stage/commit each other's dirty files</t>
  </si>
  <si>
    <t>Exact-file staging rule; restated in Worker 3 Lane.</t>
  </si>
  <si>
    <t>F-031</t>
  </si>
  <si>
    <t>Future audit finding can freeze without executable owner</t>
  </si>
  <si>
    <t>Zero-orphan freeze rule.</t>
  </si>
  <si>
    <t>F-032</t>
  </si>
  <si>
    <t>Semantic Contract Manifest has no executable owner</t>
  </si>
  <si>
    <t>NEW TASK</t>
  </si>
  <si>
    <t>Tenant-safe manifest persistence/resolver/G-55.</t>
  </si>
  <si>
    <t>F-033</t>
  </si>
  <si>
    <t>Training path could read JSONB/live feature_store</t>
  </si>
  <si>
    <t>T-169 / T-184</t>
  </si>
  <si>
    <t>M2b-P0A / P1</t>
  </si>
  <si>
    <t>Columnar library + sole production Snapshot Materialiser.</t>
  </si>
  <si>
    <t>F-034</t>
  </si>
  <si>
    <t>Sequence payload stored as PostgreSQL arrays</t>
  </si>
  <si>
    <t>T-170 / T-185</t>
  </si>
  <si>
    <t>M2b-P0A / P2</t>
  </si>
  <si>
    <t>Chunked object payload + DB manifest only.</t>
  </si>
  <si>
    <t>F-035</t>
  </si>
  <si>
    <t>C#↔Python ML execution protocol unspecified in backlog</t>
  </si>
  <si>
    <t>T-168 / T-187</t>
  </si>
  <si>
    <t>Versioned job/result manifest and production integration.</t>
  </si>
  <si>
    <t>F-036</t>
  </si>
  <si>
    <t>Capability Profiler/model eligibility not owned</t>
  </si>
  <si>
    <t>T-171 / T-186</t>
  </si>
  <si>
    <t>Pure profiler now, canonical persistence later.</t>
  </si>
  <si>
    <t>F-037</t>
  </si>
  <si>
    <t>MF-01 Process Encoder implementation missing</t>
  </si>
  <si>
    <t>Optional encoder behind contract and B-05.</t>
  </si>
  <si>
    <t>F-038</t>
  </si>
  <si>
    <t>MF-02 VectorSimilarityIndex/Exact Flat baseline missing</t>
  </si>
  <si>
    <t>ANN policy measured against Exact Flat.</t>
  </si>
  <si>
    <t>F-039</t>
  </si>
  <si>
    <t>MF-03 novelty implementation missing</t>
  </si>
  <si>
    <t>Baseline-first novelty runtime.</t>
  </si>
  <si>
    <t>F-040</t>
  </si>
  <si>
    <t>MF-04 supervised training implementation missing</t>
  </si>
  <si>
    <t>T-175 / T-176 / T-187</t>
  </si>
  <si>
    <t>M2b-P0B / P2</t>
  </si>
  <si>
    <t>Baseline, LightGBM candidate, promotion and integration.</t>
  </si>
  <si>
    <t>F-041</t>
  </si>
  <si>
    <t>Three-dimensional model promotion not executable</t>
  </si>
  <si>
    <t>T-176 / T-130</t>
  </si>
  <si>
    <t>M2b-P0B / P1</t>
  </si>
  <si>
    <t>Quality + serving + training decision.</t>
  </si>
  <si>
    <t>F-042</t>
  </si>
  <si>
    <t>Three ML lanes/hard reservation not explicit in old scheduler task</t>
  </si>
  <si>
    <t>T-107 / T-122 / T-187</t>
  </si>
  <si>
    <t>M2a / M2b-P2</t>
  </si>
  <si>
    <t>Shared platform/ML ownership without M1 interference.</t>
  </si>
  <si>
    <t>F-043</t>
  </si>
  <si>
    <t>LLM could choose tools / planner unspecified</t>
  </si>
  <si>
    <t>T-179 / T-138</t>
  </si>
  <si>
    <t>Deterministic planner; LLM never selects tools.</t>
  </si>
  <si>
    <t>F-044</t>
  </si>
  <si>
    <t>Permission-before-ranking/evidence budget not owned</t>
  </si>
  <si>
    <t>T-180 / T-138</t>
  </si>
  <si>
    <t>Hybrid retrieval + evidence packer.</t>
  </si>
  <si>
    <t>F-045</t>
  </si>
  <si>
    <t>Deterministic answer verifier/Q-01..Q-11 not owned</t>
  </si>
  <si>
    <t>T-181 / T-138</t>
  </si>
  <si>
    <t>Non-LLM verifier + fixed quality probes.</t>
  </si>
  <si>
    <t>F-046</t>
  </si>
  <si>
    <t>G-48..G-55 only documented, not backlog-owned</t>
  </si>
  <si>
    <t>T-192 / T-150</t>
  </si>
  <si>
    <t>Fail-closed target-architecture gate pack + pipeline wiring.</t>
  </si>
  <si>
    <t>F-047</t>
  </si>
  <si>
    <t>B-01..B-09 benchmark programme lacks executable harness</t>
  </si>
  <si>
    <t>T-182 / T-155 / T-157 / T-159</t>
  </si>
  <si>
    <t>M2b / M3</t>
  </si>
  <si>
    <t>Harness now; production/site values measured later.</t>
  </si>
  <si>
    <t>F-048</t>
  </si>
  <si>
    <t>M1 fake/presentation intelligence surfaces lack canonical cutover owners</t>
  </si>
  <si>
    <t>T-133 / T-188 / T-189 / T-190 / T-138</t>
  </si>
  <si>
    <t>Replace hidden data authority without visible-contract change.</t>
  </si>
  <si>
    <t>F-049</t>
  </si>
  <si>
    <t>D11 Scenario Simulation has design but no backlog owner</t>
  </si>
  <si>
    <t>Governed read-only simulation, not control.</t>
  </si>
  <si>
    <t>F-050</t>
  </si>
  <si>
    <t>Drift Supervisor target contract lacks executable owner</t>
  </si>
  <si>
    <t>Governed proposals, shadow/human approval, no gate weakening.</t>
  </si>
  <si>
    <t>F-051</t>
  </si>
  <si>
    <t>Frozen SM-06 OutcomeDefinition canonical binding and G-06 leakage-anchor execution ownership was implicit in the backlog</t>
  </si>
  <si>
    <t>T-090 / T-128 / T-147</t>
  </si>
  <si>
    <t>M2a-P1 / M2b-P1 / M2b-P4</t>
  </si>
  <si>
    <t>No architecture gap. T-090 owns canonical immutable SM-06 binding/versioning; T-128 stores observed outcome values/history by definition version; T-147 owns Engine-side semantic consumption and detection-position/time leakage-anchor enforcement.</t>
  </si>
  <si>
    <t>WORKER 3 — ENGINE + AI/ML + LLM PARALLEL IMPLEMENTATION LANE</t>
  </si>
  <si>
    <t>Goal: keep Worker 3 productive immediately without touching the active presentation target or the temporary/future-canonical schema work owned by other lanes.</t>
  </si>
  <si>
    <t>KPI</t>
  </si>
  <si>
    <t>NON-INTERFERENCE RULES — APPLY TO EVERY SAFE-NOW TASK</t>
  </si>
  <si>
    <t>SAFE NOW tasks</t>
  </si>
  <si>
    <t>1. No production DB migration or write against presentation/compatibility schemas.</t>
  </si>
  <si>
    <t>SAFE NOW hours</t>
  </si>
  <si>
    <t>2. No edit to M1 routes/pages, presentation DB/seeds, current Assistant DI, T-045/T-046 production engine wiring or visible UI contract.</t>
  </si>
  <si>
    <t>Worker 3 total planned hours</t>
  </si>
  <si>
    <t>3. New isolated modules/files/tests only; integration happens in the later task that owns the cutover.</t>
  </si>
  <si>
    <t>4. No fake ML result, hardcoded production answer or seeded intelligence presented as real.</t>
  </si>
  <si>
    <t>5. Exact-file staging only; never git add . / git add -A and never reset another worker's dirty path.</t>
  </si>
  <si>
    <t>Seq</t>
  </si>
  <si>
    <t>Wave</t>
  </si>
  <si>
    <t>Parallel Label</t>
  </si>
  <si>
    <t>Start Condition</t>
  </si>
  <si>
    <t>Boundary / Scope</t>
  </si>
  <si>
    <t>Primary Deliverable</t>
  </si>
  <si>
    <t>0 — SAFE NOW</t>
  </si>
  <si>
    <t>Fixture subpack: none. Closure: current statistical implementation + corresponding tests/source trace available; exact-file staging only</t>
  </si>
  <si>
    <t>Isolated implementation only: new module/files/tests; NO production DI registration, DB migration, route/page edit, presentation schema/data edit or M1 runtime cutover. Do not replace an existing proven statistical path before inspecting its source/test trace.</t>
  </si>
  <si>
    <t>Certified statistical kernel</t>
  </si>
  <si>
    <t>Capability-profile/refusal kernel</t>
  </si>
  <si>
    <t>Versioned ML job spec/result manifest</t>
  </si>
  <si>
    <t>Typed columnar artifact library</t>
  </si>
  <si>
    <t>T-168 + T-169; canonical SM-06 not required for fixture-only SAFE-NOW</t>
  </si>
  <si>
    <t>Isolated implementation only: new module/files/tests; NO production DI registration, DB migration, route/page edit, presentation schema/data edit or M1 runtime cutover. Outcome semantics are typed fixtures only; no ppiq_app/outcome-table binding.</t>
  </si>
  <si>
    <t>Supervised baseline + LightGBM candidate runtime</t>
  </si>
  <si>
    <t>3D evaluation/promotion decision</t>
  </si>
  <si>
    <t>VectorSimilarityIndex + exact recall baseline</t>
  </si>
  <si>
    <t>Novelty runtime</t>
  </si>
  <si>
    <t>Chunked sequence artifact library</t>
  </si>
  <si>
    <t>Optional process encoder runtime</t>
  </si>
  <si>
    <t>Nine-check/can_accept domain kernel</t>
  </si>
  <si>
    <t>Deterministic tool planner</t>
  </si>
  <si>
    <t>Permission-first retrieval + evidence packer</t>
  </si>
  <si>
    <t>Deterministic verifier + Q harness</t>
  </si>
  <si>
    <t>ModelServingRuntime/gateway adapter</t>
  </si>
  <si>
    <t>B01-B09 benchmark result harness</t>
  </si>
  <si>
    <t>1 — after M2a-P2</t>
  </si>
  <si>
    <t>2 — canonical integration</t>
  </si>
  <si>
    <t>3 — prediction/remediation</t>
  </si>
  <si>
    <t>4 — convergence/gates</t>
  </si>
  <si>
    <t>5 — site/M3</t>
  </si>
  <si>
    <t>FROZEN AI/ML/LLM ARCHITECTURE → EXECUTABLE BACKLOG COVERAGE</t>
  </si>
  <si>
    <t>Architecture contract</t>
  </si>
  <si>
    <t>Primary task owner(s)</t>
  </si>
  <si>
    <t>Implementation type</t>
  </si>
  <si>
    <t>Worker 3 timing</t>
  </si>
  <si>
    <t>Presentation interference</t>
  </si>
  <si>
    <t>Final evidence/gate</t>
  </si>
  <si>
    <t>Backlog state</t>
  </si>
  <si>
    <t>Notes</t>
  </si>
  <si>
    <t>Semantic Contract Manifest</t>
  </si>
  <si>
    <t>NEW production persistence</t>
  </si>
  <si>
    <t>After M2a-P2</t>
  </si>
  <si>
    <t>None if hand-off respected</t>
  </si>
  <si>
    <t>G-55 / Scan V4 contract</t>
  </si>
  <si>
    <t>COVERED</t>
  </si>
  <si>
    <t>Tenant-safe manifest_id PK; UNIQUE(tenant_id, manifest_hash).</t>
  </si>
  <si>
    <t>Columnar training snapshots</t>
  </si>
  <si>
    <t>T-169 + T-184 + T-128</t>
  </si>
  <si>
    <t>NEW library + production integration</t>
  </si>
  <si>
    <t>T-169 now; T-184 after M2a-P2</t>
  </si>
  <si>
    <t>None in safe-now library</t>
  </si>
  <si>
    <t>G-48 + B-03</t>
  </si>
  <si>
    <t>feature_store is current state, never training read path.</t>
  </si>
  <si>
    <t>Sequence manifests/object payload</t>
  </si>
  <si>
    <t>T-170 + T-185</t>
  </si>
  <si>
    <t>T-170 now; T-185 later</t>
  </si>
  <si>
    <t>B-04 + restore proof</t>
  </si>
  <si>
    <t>No numeric sequence arrays in PostgreSQL.</t>
  </si>
  <si>
    <t>C#↔Python ML execution</t>
  </si>
  <si>
    <t>T-168 + T-187</t>
  </si>
  <si>
    <t>NEW runtime + integration</t>
  </si>
  <si>
    <t>T-168 now; T-187 after M2a-P3</t>
  </si>
  <si>
    <t>No production wiring now</t>
  </si>
  <si>
    <t>Job-result manifest + lane tests</t>
  </si>
  <si>
    <t>Decision/governance remains in .NET; computation in Python.</t>
  </si>
  <si>
    <t>Capability Profiler</t>
  </si>
  <si>
    <t>T-171 + T-186</t>
  </si>
  <si>
    <t>NEW kernel + persistence</t>
  </si>
  <si>
    <t>Kernel now; persistence later</t>
  </si>
  <si>
    <t>None now</t>
  </si>
  <si>
    <t>Readiness/refusal tests</t>
  </si>
  <si>
    <t>Includes collapsed dimensions and capability truth.</t>
  </si>
  <si>
    <t>MF-01 Process Encoder</t>
  </si>
  <si>
    <t>T-172 + T-176 + T-187</t>
  </si>
  <si>
    <t>NEW</t>
  </si>
  <si>
    <t>Now isolated</t>
  </si>
  <si>
    <t>B-05 + promotion gate</t>
  </si>
  <si>
    <t>Optional; ships only if earned.</t>
  </si>
  <si>
    <t>MF-02 Similarity Index</t>
  </si>
  <si>
    <t>T-173 + T-187</t>
  </si>
  <si>
    <t>G-51 + B-06</t>
  </si>
  <si>
    <t>VectorSimilarityIndex contract; Exact Flat baseline.</t>
  </si>
  <si>
    <t>T-174 + T-187</t>
  </si>
  <si>
    <t>Model validation/refusal</t>
  </si>
  <si>
    <t>Simple baseline first.</t>
  </si>
  <si>
    <t>MF-04 Supervised outcome</t>
  </si>
  <si>
    <t>T-175 + T-176 + T-187</t>
  </si>
  <si>
    <t>Leakage + 3D promotion</t>
  </si>
  <si>
    <t>LightGBM candidate behind contract.</t>
  </si>
  <si>
    <t>MF-05 / MF-06 statistical engines</t>
  </si>
  <si>
    <t>T-177 + T-146 + T-147</t>
  </si>
  <si>
    <t>Expanded existing owner</t>
  </si>
  <si>
    <t>Kernel now; cutover after M1 freeze</t>
  </si>
  <si>
    <t>Cutover waits for Worker 2</t>
  </si>
  <si>
    <t>Known-answer matrix + CI</t>
  </si>
  <si>
    <t>Numeric×Categorical gap explicitly closed.</t>
  </si>
  <si>
    <t>MF-07 Practice Engine</t>
  </si>
  <si>
    <t>T-131..T-133 + T-136</t>
  </si>
  <si>
    <t>No M1 cutover until canonical</t>
  </si>
  <si>
    <t>Practice evidence/drift</t>
  </si>
  <si>
    <t>D10 cutover preserves continuity.</t>
  </si>
  <si>
    <t>Model registry/fallback</t>
  </si>
  <si>
    <t>None</t>
  </si>
  <si>
    <t>Serving identity constraints</t>
  </si>
  <si>
    <t>No ModelBundle.</t>
  </si>
  <si>
    <t>Three ML lanes / hard reservation</t>
  </si>
  <si>
    <t>T-107 + T-122 + T-187</t>
  </si>
  <si>
    <t>Shared platform/ML</t>
  </si>
  <si>
    <t>After platform hand-off</t>
  </si>
  <si>
    <t>None to presentation</t>
  </si>
  <si>
    <t>G-49/G-50 + B-01/B-02</t>
  </si>
  <si>
    <t>Online lane never admits batch/training.</t>
  </si>
  <si>
    <t>Prediction/remediation</t>
  </si>
  <si>
    <t>T-139..T-145 + T-178</t>
  </si>
  <si>
    <t>Expanded existing + new kernel</t>
  </si>
  <si>
    <t>After model integration</t>
  </si>
  <si>
    <t>Canonical only</t>
  </si>
  <si>
    <t>Deadline + nine-check evidence</t>
  </si>
  <si>
    <t>Human/read-only boundary preserved.</t>
  </si>
  <si>
    <t>Canonical intelligence frontend</t>
  </si>
  <si>
    <t>T-188 + T-189 + T-190 + T-133</t>
  </si>
  <si>
    <t>NEW cutover tasks</t>
  </si>
  <si>
    <t>After canonical sources</t>
  </si>
  <si>
    <t>Visible contract frozen</t>
  </si>
  <si>
    <t>Continuity snapshots</t>
  </si>
  <si>
    <t>D4/D5/D6/D8/D9/D10 real data authority.</t>
  </si>
  <si>
    <t>Scenario Simulation D11</t>
  </si>
  <si>
    <t>No current presentation change</t>
  </si>
  <si>
    <t>Scenario evidence/refusal</t>
  </si>
  <si>
    <t>Simulation, not prediction/control.</t>
  </si>
  <si>
    <t>Assistant deterministic planner</t>
  </si>
  <si>
    <t>T-179 + T-138</t>
  </si>
  <si>
    <t>NEW kernel + cutover</t>
  </si>
  <si>
    <t>Planner now; cutover later</t>
  </si>
  <si>
    <t>No dock change now</t>
  </si>
  <si>
    <t>Q-01</t>
  </si>
  <si>
    <t>LLM does not choose tools.</t>
  </si>
  <si>
    <t>Hybrid retrieval/evidence packing</t>
  </si>
  <si>
    <t>T-180 + T-138</t>
  </si>
  <si>
    <t>No corpus cutover now</t>
  </si>
  <si>
    <t>B-07/B-08 + Q gates</t>
  </si>
  <si>
    <t>Permission before ranking.</t>
  </si>
  <si>
    <t>ModelServingRuntime</t>
  </si>
  <si>
    <t>T-137 + T-138</t>
  </si>
  <si>
    <t>Rewritten existing owner</t>
  </si>
  <si>
    <t>No DI registration now</t>
  </si>
  <si>
    <t>B-09</t>
  </si>
  <si>
    <t>Provider/model change governed.</t>
  </si>
  <si>
    <t>Deterministic answer verifier</t>
  </si>
  <si>
    <t>T-181 + T-138</t>
  </si>
  <si>
    <t>G-53 + Q-01..Q-11</t>
  </si>
  <si>
    <t>No LLM self-verification.</t>
  </si>
  <si>
    <t>G-48..G-55</t>
  </si>
  <si>
    <t>T-192 + T-150</t>
  </si>
  <si>
    <t>NEW gate pack + final CI</t>
  </si>
  <si>
    <t>After components</t>
  </si>
  <si>
    <t>Fail-closed falsification</t>
  </si>
  <si>
    <t>Each gate falsified once before trusted.</t>
  </si>
  <si>
    <t>B-01..B-09</t>
  </si>
  <si>
    <t>T-182 + T-155/T-157/T-159</t>
  </si>
  <si>
    <t>NEW harness + site execution</t>
  </si>
  <si>
    <t>Harness now; values later</t>
  </si>
  <si>
    <t>Measured result manifests</t>
  </si>
  <si>
    <t>No guessed values.</t>
  </si>
  <si>
    <t>Drift Supervisor</t>
  </si>
  <si>
    <t>Governed proposal/rollback tests</t>
  </si>
  <si>
    <t>Cannot weaken gates or auto-update weights.</t>
  </si>
  <si>
    <t>SM-06 OutcomeDefinition semantics and leakage anchors</t>
  </si>
  <si>
    <t>T-090 + T-128 + T-147</t>
  </si>
  <si>
    <t>Frozen semantic contract → canonical binding → values/history → Engine consumption</t>
  </si>
  <si>
    <t>T-090 in M2a; T-128/T-147 after canonical hand-off</t>
  </si>
  <si>
    <t>None if hand-offs respected</t>
  </si>
  <si>
    <t>Immutable definition version + G-06 leakage falsification</t>
  </si>
  <si>
    <t>Design already frozen. T-090 binds/version-controls SM-06; T-128 stores observed values by definition version; T-147 consumes grain/classes/detection anchors without redefining them.</t>
  </si>
  <si>
    <t>PPIQ BACKLOG v2.10.1 — AI/ML/LLM IMPLEMENTATION DECOMPOSITION + SM-06 TRACEABILITY TIGHTENING</t>
  </si>
  <si>
    <t>Control</t>
  </si>
  <si>
    <t>Result</t>
  </si>
  <si>
    <t>DECISION</t>
  </si>
  <si>
    <t>M1 presentation hours</t>
  </si>
  <si>
    <t>574 — UNCHANGED</t>
  </si>
  <si>
    <t>Worker 3 starts immediately on the SAFE-NOW isolated kernels/runtimes. He does NOT touch active M1 presentation code/data or final production persistence before the specified M2a hand-off. The added M2b scope is the implementation decomposition of the frozen Rev7/7.1 architecture, not a new architecture round.</t>
  </si>
  <si>
    <t>M2a canonical-core hours</t>
  </si>
  <si>
    <t>432 — UNCHANGED</t>
  </si>
  <si>
    <t>M2b old → new</t>
  </si>
  <si>
    <t>233 h → 528 h</t>
  </si>
  <si>
    <t>Programme old → new</t>
  </si>
  <si>
    <t>1,443 h → 1,738 h</t>
  </si>
  <si>
    <t>New tasks</t>
  </si>
  <si>
    <t>26 (T-168..T-193)</t>
  </si>
  <si>
    <t>Worker 3 SAFE NOW</t>
  </si>
  <si>
    <t>16 tasks / 172 h</t>
  </si>
  <si>
    <t>Change Class</t>
  </si>
  <si>
    <t>Task IDs</t>
  </si>
  <si>
    <t>What changed</t>
  </si>
  <si>
    <t>Why</t>
  </si>
  <si>
    <t>Presentation impact</t>
  </si>
  <si>
    <t>Worker 3 rule</t>
  </si>
  <si>
    <t>Rewritten existing</t>
  </si>
  <si>
    <t>T-107, T-109, T-122</t>
  </si>
  <si>
    <t>Scheduler/delta/container contracts aligned to ML lanes and final training path.</t>
  </si>
  <si>
    <t>Rev7 resource/runtime architecture.</t>
  </si>
  <si>
    <t>NONE — M1 untouched.</t>
  </si>
  <si>
    <t>Shared/later hand-off.</t>
  </si>
  <si>
    <t>Expanded M2b existing</t>
  </si>
  <si>
    <t>T-128..T-150</t>
  </si>
  <si>
    <t>Persistence, registry, prediction/remediation, assistant and engine cutovers updated to final contracts.</t>
  </si>
  <si>
    <t>Old backlog predates 11-12 Aug architecture freeze.</t>
  </si>
  <si>
    <t>NONE until canonical cutover.</t>
  </si>
  <si>
    <t>Worker 3 owns AI scope except T-148/T-149 and shared T-150.</t>
  </si>
  <si>
    <t>New SAFE-NOW</t>
  </si>
  <si>
    <t>T-168..T-182</t>
  </si>
  <si>
    <t>Schema-independent runtime, artifact, model, statistical, remediation and Assistant kernels.</t>
  </si>
  <si>
    <t>Keep Worker 3 productive without merge/runtime conflicts.</t>
  </si>
  <si>
    <t>ZERO by construction.</t>
  </si>
  <si>
    <t>Isolated files/tests only; no production wiring.</t>
  </si>
  <si>
    <t>New canonical integration</t>
  </si>
  <si>
    <t>T-183..T-193</t>
  </si>
  <si>
    <t>Manifest, snapshot/sequence integration, capability/model integration, real AI surfaces, gates and drift.</t>
  </si>
  <si>
    <t>Close architecture-to-backlog orphans.</t>
  </si>
  <si>
    <t>Only after M1 continuity and M2a hand-offs.</t>
  </si>
  <si>
    <t>Canonical-only integration.</t>
  </si>
  <si>
    <t>M3 alignment</t>
  </si>
  <si>
    <t>T-155, T-157..T-159</t>
  </si>
  <si>
    <t>Benchmark-open values measured on site; architecture stays frozen.</t>
  </si>
  <si>
    <t>B01-B09 are measurements, not design questions.</t>
  </si>
  <si>
    <t>NONE.</t>
  </si>
  <si>
    <t>Worker 3 + infrastructure/site owners.</t>
  </si>
  <si>
    <t>v2.10.1 tightening</t>
  </si>
  <si>
    <t>T-090, T-128, T-147, T-175, T-177</t>
  </si>
  <si>
    <t>Made SM-06 OutcomeDefinition binding/consumption ownership explicit; added statistical source/test parity gate; clarified fixture-only supervised SAFE-NOW.</t>
  </si>
  <si>
    <t>Close an implementation-ownership ambiguity without reopening the frozen Rev7/7.1 architecture.</t>
  </si>
  <si>
    <t>NONE — M1/Workers 1–2 untouched.</t>
  </si>
  <si>
    <t>Owners and parallel labels unchanged; only descriptions, validation, boundaries and dependencies tightened.</t>
  </si>
  <si>
    <t>Column1</t>
  </si>
  <si>
    <t>Column2</t>
  </si>
  <si>
    <t>Column3</t>
  </si>
  <si>
    <t>Column4</t>
  </si>
  <si>
    <t>Column5</t>
  </si>
  <si>
    <t>Column6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</si>
</sst>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Calibri"/>
    </font>
    <font>
      <b/>
      <sz val="10"/>
      <color rgb="FFEAF6FF"/>
      <name val="Arial"/>
    </font>
    <font>
      <sz val="9"/>
      <name val="Arial"/>
    </font>
    <font>
      <b/>
      <sz val="9"/>
      <name val="Arial"/>
    </font>
    <font>
      <b/>
      <sz val="10"/>
      <name val="Arial"/>
    </font>
    <font>
      <b/>
      <sz val="11"/>
      <name val="Arial"/>
    </font>
    <font>
      <b/>
      <sz val="11"/>
      <color theme="1"/>
      <name val="Calibri"/>
    </font>
    <font>
      <i/>
      <sz val="11"/>
      <color rgb="FF1F2937"/>
      <name val="Calibri"/>
    </font>
    <font>
      <b/>
      <sz val="11"/>
      <color rgb="FFFFFFFF"/>
      <name val="Calibri"/>
    </font>
    <font>
      <sz val="11"/>
      <color theme="1"/>
      <name val="Calibri"/>
    </font>
    <font>
      <b/>
      <sz val="10"/>
      <color rgb="FFFFFFFF"/>
      <name val="Calibri"/>
    </font>
    <font>
      <b/>
      <sz val="10"/>
      <color rgb="FFFFFFFF"/>
      <name val="Arial"/>
    </font>
    <font>
      <b/>
      <sz val="14"/>
      <color rgb="FFFFFFFF"/>
      <name val="Calibri"/>
    </font>
    <font>
      <b/>
      <sz val="11"/>
      <color rgb="FF075985"/>
      <name val="Calibri"/>
    </font>
    <font>
      <sz val="11"/>
      <color rgb="FF7F1D1D"/>
      <name val="Calibri"/>
    </font>
    <font>
      <b/>
      <sz val="11"/>
      <color rgb="FF065F46"/>
      <name val="Calibri"/>
    </font>
    <font>
      <sz val="10"/>
      <color rgb="FF111827"/>
      <name val="Arial"/>
    </font>
    <font>
      <sz val="10"/>
      <color rgb="FF111827"/>
      <name val="Calibri"/>
    </font>
    <font>
      <b/>
      <sz val="10"/>
      <color rgb="FF06233F"/>
      <name val="Arial"/>
    </font>
    <font>
      <b/>
      <sz val="10"/>
      <color rgb="FF06233F"/>
      <name val="Calibri"/>
    </font>
    <font>
      <b/>
      <sz val="10"/>
      <color rgb="FF111827"/>
      <name val="Calibri"/>
    </font>
  </fonts>
  <fills count="23">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patternFill>
    </fill>
    <fill>
      <patternFill patternType="solid">
        <fgColor rgb="FF0B1F33"/>
      </patternFill>
    </fill>
    <fill>
      <patternFill patternType="solid">
        <fgColor rgb="FFD9EAF7"/>
      </patternFill>
    </fill>
    <fill>
      <patternFill patternType="solid">
        <fgColor rgb="FF92D050"/>
      </patternFill>
    </fill>
    <fill>
      <patternFill patternType="solid">
        <fgColor rgb="FF0B1730"/>
      </patternFill>
    </fill>
    <fill>
      <patternFill patternType="solid">
        <fgColor rgb="FF13C5E8"/>
      </patternFill>
    </fill>
    <fill>
      <patternFill patternType="solid">
        <fgColor rgb="FF2483E6"/>
      </patternFill>
    </fill>
    <fill>
      <patternFill patternType="solid">
        <fgColor rgb="FF34D6A1"/>
      </patternFill>
    </fill>
    <fill>
      <patternFill patternType="solid">
        <fgColor rgb="FF8EA7C1"/>
      </patternFill>
    </fill>
    <fill>
      <patternFill patternType="solid">
        <fgColor rgb="FFE0F2FE"/>
      </patternFill>
    </fill>
    <fill>
      <patternFill patternType="solid">
        <fgColor rgb="FF7F1D1D"/>
      </patternFill>
    </fill>
    <fill>
      <patternFill patternType="solid">
        <fgColor rgb="FFFEE2E2"/>
      </patternFill>
    </fill>
    <fill>
      <patternFill patternType="solid">
        <fgColor rgb="FF065F46"/>
      </patternFill>
    </fill>
    <fill>
      <patternFill patternType="solid">
        <fgColor rgb="FFD1FAE5"/>
      </patternFill>
    </fill>
    <fill>
      <patternFill patternType="solid">
        <fgColor rgb="FF92D050"/>
        <bgColor indexed="64"/>
      </patternFill>
    </fill>
    <fill>
      <patternFill patternType="solid">
        <fgColor rgb="FFFFFF00"/>
        <bgColor indexed="64"/>
      </patternFill>
    </fill>
  </fills>
  <borders count="26">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
      <left/>
      <right/>
      <top/>
      <bottom/>
      <diagonal/>
    </border>
    <border>
      <left style="thin">
        <color indexed="64"/>
      </left>
      <right style="thin">
        <color indexed="64"/>
      </right>
      <top style="thin">
        <color indexed="64"/>
      </top>
      <bottom style="thin">
        <color indexed="64"/>
      </bottom>
      <diagonal/>
    </border>
    <border>
      <left style="thin">
        <color rgb="FF294A7A"/>
      </left>
      <right/>
      <top style="thin">
        <color rgb="FF294A7A"/>
      </top>
      <bottom/>
      <diagonal/>
    </border>
    <border>
      <left/>
      <right/>
      <top style="thin">
        <color rgb="FF294A7A"/>
      </top>
      <bottom/>
      <diagonal/>
    </border>
    <border>
      <left/>
      <right style="thin">
        <color rgb="FF294A7A"/>
      </right>
      <top style="thin">
        <color rgb="FF294A7A"/>
      </top>
      <bottom/>
      <diagonal/>
    </border>
    <border>
      <left style="thin">
        <color rgb="FF294A7A"/>
      </left>
      <right/>
      <top/>
      <bottom/>
      <diagonal/>
    </border>
    <border>
      <left/>
      <right style="thin">
        <color rgb="FF294A7A"/>
      </right>
      <top/>
      <bottom/>
      <diagonal/>
    </border>
    <border>
      <left style="thin">
        <color rgb="FF294A7A"/>
      </left>
      <right/>
      <top/>
      <bottom style="thin">
        <color rgb="FF294A7A"/>
      </bottom>
      <diagonal/>
    </border>
    <border>
      <left/>
      <right/>
      <top/>
      <bottom style="thin">
        <color rgb="FF294A7A"/>
      </bottom>
      <diagonal/>
    </border>
    <border>
      <left/>
      <right style="thin">
        <color rgb="FF294A7A"/>
      </right>
      <top/>
      <bottom style="thin">
        <color rgb="FF294A7A"/>
      </bottom>
      <diagonal/>
    </border>
    <border>
      <left/>
      <right/>
      <top style="thin">
        <color rgb="FF294A7A"/>
      </top>
      <bottom/>
      <diagonal/>
    </border>
    <border>
      <left/>
      <right/>
      <top/>
      <bottom style="thin">
        <color rgb="FF294A7A"/>
      </bottom>
      <diagonal/>
    </border>
    <border>
      <left style="thin">
        <color rgb="FF294A7A"/>
      </left>
      <right style="thin">
        <color rgb="FF1D3A63"/>
      </right>
      <top style="thin">
        <color rgb="FF294A7A"/>
      </top>
      <bottom style="thin">
        <color rgb="FF1D3A63"/>
      </bottom>
      <diagonal/>
    </border>
    <border>
      <left style="thin">
        <color rgb="FF1D3A63"/>
      </left>
      <right style="thin">
        <color rgb="FF1D3A63"/>
      </right>
      <top style="thin">
        <color rgb="FF294A7A"/>
      </top>
      <bottom style="thin">
        <color rgb="FF1D3A63"/>
      </bottom>
      <diagonal/>
    </border>
    <border>
      <left style="thin">
        <color rgb="FF1D3A63"/>
      </left>
      <right style="thin">
        <color rgb="FF294A7A"/>
      </right>
      <top style="thin">
        <color rgb="FF294A7A"/>
      </top>
      <bottom style="thin">
        <color rgb="FF1D3A63"/>
      </bottom>
      <diagonal/>
    </border>
    <border>
      <left style="thin">
        <color rgb="FF294A7A"/>
      </left>
      <right style="thin">
        <color rgb="FF1D3A63"/>
      </right>
      <top style="thin">
        <color rgb="FF1D3A63"/>
      </top>
      <bottom style="thin">
        <color rgb="FF1D3A63"/>
      </bottom>
      <diagonal/>
    </border>
    <border>
      <left style="thin">
        <color rgb="FF1D3A63"/>
      </left>
      <right style="thin">
        <color rgb="FF294A7A"/>
      </right>
      <top style="thin">
        <color rgb="FF1D3A63"/>
      </top>
      <bottom style="thin">
        <color rgb="FF1D3A63"/>
      </bottom>
      <diagonal/>
    </border>
    <border>
      <left style="thin">
        <color rgb="FF294A7A"/>
      </left>
      <right style="thin">
        <color indexed="64"/>
      </right>
      <top style="thin">
        <color rgb="FF294A7A"/>
      </top>
      <bottom style="thin">
        <color indexed="64"/>
      </bottom>
      <diagonal/>
    </border>
    <border>
      <left style="thin">
        <color indexed="64"/>
      </left>
      <right style="thin">
        <color rgb="FF294A7A"/>
      </right>
      <top style="thin">
        <color rgb="FF294A7A"/>
      </top>
      <bottom style="thin">
        <color indexed="64"/>
      </bottom>
      <diagonal/>
    </border>
    <border>
      <left style="thin">
        <color rgb="FF294A7A"/>
      </left>
      <right style="thin">
        <color indexed="64"/>
      </right>
      <top style="thin">
        <color indexed="64"/>
      </top>
      <bottom style="thin">
        <color indexed="64"/>
      </bottom>
      <diagonal/>
    </border>
    <border>
      <left style="thin">
        <color indexed="64"/>
      </left>
      <right style="thin">
        <color rgb="FF294A7A"/>
      </right>
      <top style="thin">
        <color indexed="64"/>
      </top>
      <bottom style="thin">
        <color indexed="64"/>
      </bottom>
      <diagonal/>
    </border>
    <border>
      <left style="thin">
        <color rgb="FF294A7A"/>
      </left>
      <right style="thin">
        <color indexed="64"/>
      </right>
      <top style="thin">
        <color indexed="64"/>
      </top>
      <bottom style="thin">
        <color rgb="FF294A7A"/>
      </bottom>
      <diagonal/>
    </border>
    <border>
      <left style="thin">
        <color indexed="64"/>
      </left>
      <right style="thin">
        <color rgb="FF294A7A"/>
      </right>
      <top style="thin">
        <color indexed="64"/>
      </top>
      <bottom style="thin">
        <color rgb="FF294A7A"/>
      </bottom>
      <diagonal/>
    </border>
  </borders>
  <cellStyleXfs count="1">
    <xf numFmtId="0" fontId="0" fillId="0" borderId="0"/>
  </cellStyleXfs>
  <cellXfs count="111">
    <xf numFmtId="0" fontId="0" fillId="0" borderId="0" xfId="0"/>
    <xf numFmtId="0" fontId="2" fillId="0" borderId="1" xfId="0" applyFont="1" applyBorder="1" applyAlignment="1">
      <alignment vertical="top" wrapText="1"/>
    </xf>
    <xf numFmtId="0" fontId="1" fillId="2" borderId="2" xfId="0" applyFont="1" applyFill="1" applyBorder="1" applyAlignment="1">
      <alignment horizontal="left" vertical="center" wrapText="1"/>
    </xf>
    <xf numFmtId="0" fontId="0" fillId="0" borderId="0" xfId="0" applyAlignment="1">
      <alignment wrapText="1"/>
    </xf>
    <xf numFmtId="0" fontId="0" fillId="0" borderId="2" xfId="0" applyBorder="1" applyAlignment="1">
      <alignment horizontal="center" vertical="center"/>
    </xf>
    <xf numFmtId="0" fontId="8" fillId="8" borderId="0" xfId="0" applyFont="1" applyFill="1" applyAlignment="1">
      <alignment horizontal="center" vertical="center"/>
    </xf>
    <xf numFmtId="0" fontId="1" fillId="2" borderId="2" xfId="0" applyFont="1" applyFill="1" applyBorder="1" applyAlignment="1">
      <alignment horizontal="center" vertical="center" wrapText="1"/>
    </xf>
    <xf numFmtId="0" fontId="0" fillId="0" borderId="0" xfId="0" applyAlignment="1">
      <alignment vertical="center"/>
    </xf>
    <xf numFmtId="0" fontId="0" fillId="7" borderId="2" xfId="0" applyFill="1" applyBorder="1" applyAlignment="1">
      <alignment horizontal="center" vertical="center"/>
    </xf>
    <xf numFmtId="0" fontId="0" fillId="0" borderId="0" xfId="0" applyAlignment="1">
      <alignment horizontal="left" vertical="center"/>
    </xf>
    <xf numFmtId="0" fontId="0" fillId="7" borderId="2" xfId="0" applyFill="1" applyBorder="1" applyAlignment="1">
      <alignment horizontal="left" vertical="center" wrapText="1"/>
    </xf>
    <xf numFmtId="0" fontId="0" fillId="0" borderId="2" xfId="0" applyBorder="1" applyAlignment="1">
      <alignment horizontal="left" vertical="center" wrapText="1"/>
    </xf>
    <xf numFmtId="0" fontId="0" fillId="0" borderId="0" xfId="0" applyAlignment="1">
      <alignment horizontal="left" vertical="center" wrapText="1"/>
    </xf>
    <xf numFmtId="0" fontId="0" fillId="10" borderId="2" xfId="0" applyFill="1" applyBorder="1" applyAlignment="1">
      <alignment horizontal="center" vertical="center"/>
    </xf>
    <xf numFmtId="0" fontId="10" fillId="11" borderId="0" xfId="0" applyFont="1" applyFill="1" applyAlignment="1">
      <alignment horizontal="center" vertical="center"/>
    </xf>
    <xf numFmtId="0" fontId="0" fillId="0" borderId="0" xfId="0" applyAlignment="1">
      <alignment vertical="top" wrapText="1"/>
    </xf>
    <xf numFmtId="0" fontId="0" fillId="0" borderId="3"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2" fillId="0" borderId="19" xfId="0" applyFont="1" applyBorder="1" applyAlignment="1">
      <alignment vertical="top" wrapText="1"/>
    </xf>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1" fillId="11" borderId="15" xfId="0" applyFont="1" applyFill="1" applyBorder="1" applyAlignment="1">
      <alignment horizontal="center" vertical="top" wrapText="1"/>
    </xf>
    <xf numFmtId="0" fontId="11" fillId="11" borderId="16" xfId="0" applyFont="1" applyFill="1" applyBorder="1" applyAlignment="1">
      <alignment horizontal="center" vertical="top" wrapText="1"/>
    </xf>
    <xf numFmtId="0" fontId="11" fillId="11" borderId="17" xfId="0" applyFont="1" applyFill="1" applyBorder="1" applyAlignment="1">
      <alignment horizontal="center" vertical="top" wrapText="1"/>
    </xf>
    <xf numFmtId="0" fontId="0" fillId="0" borderId="8" xfId="0" applyBorder="1" applyAlignment="1">
      <alignment vertical="top"/>
    </xf>
    <xf numFmtId="0" fontId="0" fillId="0" borderId="0" xfId="0" applyAlignment="1">
      <alignment vertical="top"/>
    </xf>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applyAlignment="1">
      <alignment vertical="top"/>
    </xf>
    <xf numFmtId="0" fontId="3" fillId="0" borderId="20" xfId="0" applyFont="1" applyBorder="1" applyAlignment="1">
      <alignment horizontal="center" vertical="center" wrapText="1"/>
    </xf>
    <xf numFmtId="0" fontId="0" fillId="0" borderId="21" xfId="0" applyBorder="1" applyAlignment="1">
      <alignment horizontal="center" vertical="center" wrapText="1"/>
    </xf>
    <xf numFmtId="0" fontId="6" fillId="0" borderId="22" xfId="0" applyFont="1" applyBorder="1" applyAlignment="1">
      <alignment horizontal="center" vertical="center" wrapText="1"/>
    </xf>
    <xf numFmtId="0" fontId="0" fillId="0" borderId="23" xfId="0" applyBorder="1" applyAlignment="1">
      <alignment horizontal="center" vertical="center" wrapText="1"/>
    </xf>
    <xf numFmtId="0" fontId="6" fillId="0" borderId="24" xfId="0" applyFont="1" applyBorder="1" applyAlignment="1">
      <alignment horizontal="center" vertical="center" wrapText="1"/>
    </xf>
    <xf numFmtId="164" fontId="0" fillId="0" borderId="25" xfId="0" applyNumberFormat="1" applyBorder="1" applyAlignment="1">
      <alignment horizontal="center" vertical="center" wrapText="1"/>
    </xf>
    <xf numFmtId="0" fontId="11" fillId="11" borderId="15" xfId="0" applyFont="1" applyFill="1" applyBorder="1" applyAlignment="1">
      <alignment horizontal="center" vertical="center"/>
    </xf>
    <xf numFmtId="0" fontId="11" fillId="11" borderId="16" xfId="0" applyFont="1" applyFill="1" applyBorder="1" applyAlignment="1">
      <alignment horizontal="center" vertical="center"/>
    </xf>
    <xf numFmtId="0" fontId="11" fillId="11" borderId="17" xfId="0" applyFont="1" applyFill="1" applyBorder="1" applyAlignment="1">
      <alignment horizontal="center" vertical="center"/>
    </xf>
    <xf numFmtId="0" fontId="4" fillId="3" borderId="18" xfId="0" applyFont="1" applyFill="1" applyBorder="1" applyAlignment="1">
      <alignment vertical="top" wrapText="1"/>
    </xf>
    <xf numFmtId="0" fontId="4" fillId="4" borderId="18" xfId="0" applyFont="1" applyFill="1" applyBorder="1" applyAlignment="1">
      <alignment vertical="top" wrapText="1"/>
    </xf>
    <xf numFmtId="0" fontId="4" fillId="5" borderId="18" xfId="0" applyFont="1" applyFill="1" applyBorder="1" applyAlignment="1">
      <alignment vertical="top" wrapText="1"/>
    </xf>
    <xf numFmtId="0" fontId="4" fillId="6" borderId="18" xfId="0" applyFont="1" applyFill="1" applyBorder="1" applyAlignment="1">
      <alignment vertical="top" wrapText="1"/>
    </xf>
    <xf numFmtId="0" fontId="5" fillId="0" borderId="11" xfId="0" applyFont="1" applyBorder="1"/>
    <xf numFmtId="0" fontId="4" fillId="0" borderId="11" xfId="0" applyFont="1" applyBorder="1" applyAlignment="1">
      <alignment wrapText="1"/>
    </xf>
    <xf numFmtId="0" fontId="11" fillId="11" borderId="5" xfId="0" applyFont="1" applyFill="1" applyBorder="1" applyAlignment="1">
      <alignment horizontal="center" vertical="top" wrapText="1"/>
    </xf>
    <xf numFmtId="0" fontId="10" fillId="11" borderId="7" xfId="0" applyFont="1" applyFill="1" applyBorder="1" applyAlignment="1">
      <alignment horizontal="center" vertical="top" wrapText="1"/>
    </xf>
    <xf numFmtId="0" fontId="3" fillId="0" borderId="8" xfId="0" applyFont="1" applyBorder="1" applyAlignment="1">
      <alignment vertical="top" wrapText="1"/>
    </xf>
    <xf numFmtId="0" fontId="2" fillId="0" borderId="9" xfId="0" applyFont="1" applyBorder="1" applyAlignment="1">
      <alignment vertical="top" wrapText="1"/>
    </xf>
    <xf numFmtId="0" fontId="6" fillId="0" borderId="8" xfId="0" applyFont="1" applyBorder="1" applyAlignment="1">
      <alignment vertical="top" wrapText="1"/>
    </xf>
    <xf numFmtId="0" fontId="10" fillId="11" borderId="5" xfId="0" applyFont="1" applyFill="1" applyBorder="1" applyAlignment="1">
      <alignment horizontal="center" vertical="center"/>
    </xf>
    <xf numFmtId="0" fontId="10" fillId="11" borderId="7" xfId="0" applyFont="1" applyFill="1" applyBorder="1" applyAlignment="1">
      <alignment horizontal="center" vertical="center"/>
    </xf>
    <xf numFmtId="0" fontId="10" fillId="11" borderId="6" xfId="0" applyFont="1" applyFill="1" applyBorder="1" applyAlignment="1">
      <alignment horizontal="center" vertical="center"/>
    </xf>
    <xf numFmtId="0" fontId="0" fillId="0" borderId="11" xfId="0" applyBorder="1" applyAlignment="1">
      <alignment wrapText="1"/>
    </xf>
    <xf numFmtId="0" fontId="10" fillId="11" borderId="5" xfId="0" applyFont="1" applyFill="1" applyBorder="1" applyAlignment="1">
      <alignment horizontal="center" vertical="top"/>
    </xf>
    <xf numFmtId="0" fontId="10" fillId="11" borderId="6" xfId="0" applyFont="1" applyFill="1" applyBorder="1" applyAlignment="1">
      <alignment horizontal="center" vertical="top"/>
    </xf>
    <xf numFmtId="0" fontId="10" fillId="11" borderId="7" xfId="0" applyFont="1" applyFill="1" applyBorder="1" applyAlignment="1">
      <alignment horizontal="center" vertical="top"/>
    </xf>
    <xf numFmtId="0" fontId="0" fillId="0" borderId="8" xfId="0" applyBorder="1" applyAlignment="1">
      <alignment wrapText="1"/>
    </xf>
    <xf numFmtId="0" fontId="0" fillId="0" borderId="9" xfId="0" applyBorder="1" applyAlignment="1">
      <alignment wrapText="1"/>
    </xf>
    <xf numFmtId="0" fontId="0" fillId="0" borderId="10" xfId="0" applyBorder="1" applyAlignment="1">
      <alignment wrapText="1"/>
    </xf>
    <xf numFmtId="0" fontId="0" fillId="0" borderId="12" xfId="0" applyBorder="1" applyAlignment="1">
      <alignment wrapText="1"/>
    </xf>
    <xf numFmtId="0" fontId="10" fillId="11" borderId="5" xfId="0" applyFont="1" applyFill="1" applyBorder="1" applyAlignment="1">
      <alignment horizontal="center" vertical="center" wrapText="1"/>
    </xf>
    <xf numFmtId="0" fontId="10" fillId="11" borderId="6" xfId="0" applyFont="1" applyFill="1" applyBorder="1" applyAlignment="1">
      <alignment horizontal="center" vertical="center" wrapText="1"/>
    </xf>
    <xf numFmtId="0" fontId="10" fillId="11" borderId="7" xfId="0" applyFont="1" applyFill="1" applyBorder="1" applyAlignment="1">
      <alignment horizontal="center" vertical="center" wrapText="1"/>
    </xf>
    <xf numFmtId="0" fontId="6" fillId="9" borderId="8" xfId="0" applyFont="1" applyFill="1" applyBorder="1"/>
    <xf numFmtId="0" fontId="6" fillId="7" borderId="9" xfId="0" applyFont="1" applyFill="1" applyBorder="1" applyAlignment="1">
      <alignment horizontal="center"/>
    </xf>
    <xf numFmtId="0" fontId="16" fillId="0" borderId="18" xfId="0" applyFont="1" applyBorder="1" applyAlignment="1">
      <alignment vertical="top" wrapText="1"/>
    </xf>
    <xf numFmtId="0" fontId="16" fillId="0" borderId="1" xfId="0" applyFont="1" applyBorder="1" applyAlignment="1">
      <alignment vertical="top" wrapText="1"/>
    </xf>
    <xf numFmtId="0" fontId="16" fillId="0" borderId="19" xfId="0" applyFont="1" applyBorder="1" applyAlignment="1">
      <alignment vertical="top" wrapText="1"/>
    </xf>
    <xf numFmtId="0" fontId="17" fillId="0" borderId="8" xfId="0" applyFont="1" applyBorder="1" applyAlignment="1">
      <alignment vertical="top"/>
    </xf>
    <xf numFmtId="0" fontId="16" fillId="0" borderId="0" xfId="0" applyFont="1" applyAlignment="1">
      <alignment vertical="top" wrapText="1"/>
    </xf>
    <xf numFmtId="0" fontId="17" fillId="0" borderId="0" xfId="0" applyFont="1" applyAlignment="1">
      <alignment vertical="top" wrapText="1"/>
    </xf>
    <xf numFmtId="0" fontId="16" fillId="0" borderId="0" xfId="0" applyFont="1" applyAlignment="1">
      <alignment vertical="top"/>
    </xf>
    <xf numFmtId="0" fontId="16" fillId="0" borderId="9" xfId="0" applyFont="1" applyBorder="1" applyAlignment="1">
      <alignment vertical="top"/>
    </xf>
    <xf numFmtId="0" fontId="17" fillId="0" borderId="0" xfId="0" applyFont="1" applyAlignment="1">
      <alignment vertical="top"/>
    </xf>
    <xf numFmtId="0" fontId="17" fillId="0" borderId="9" xfId="0" applyFont="1" applyBorder="1" applyAlignment="1">
      <alignment vertical="top"/>
    </xf>
    <xf numFmtId="0" fontId="18" fillId="12" borderId="1" xfId="0" applyFont="1" applyFill="1" applyBorder="1" applyAlignment="1">
      <alignment vertical="top" wrapText="1"/>
    </xf>
    <xf numFmtId="0" fontId="18" fillId="13" borderId="1" xfId="0" applyFont="1" applyFill="1" applyBorder="1" applyAlignment="1">
      <alignment vertical="top" wrapText="1"/>
    </xf>
    <xf numFmtId="0" fontId="18" fillId="14" borderId="1" xfId="0" applyFont="1" applyFill="1" applyBorder="1" applyAlignment="1">
      <alignment vertical="top" wrapText="1"/>
    </xf>
    <xf numFmtId="0" fontId="19" fillId="14" borderId="0" xfId="0" applyFont="1" applyFill="1" applyAlignment="1">
      <alignment vertical="top"/>
    </xf>
    <xf numFmtId="0" fontId="19" fillId="15" borderId="0" xfId="0" applyFont="1" applyFill="1" applyAlignment="1">
      <alignment vertical="top"/>
    </xf>
    <xf numFmtId="0" fontId="20" fillId="0" borderId="11" xfId="0" applyFont="1" applyBorder="1" applyAlignment="1">
      <alignment vertical="top" wrapText="1"/>
    </xf>
    <xf numFmtId="0" fontId="20" fillId="0" borderId="11" xfId="0" applyFont="1" applyBorder="1" applyAlignment="1">
      <alignment vertical="top"/>
    </xf>
    <xf numFmtId="0" fontId="20" fillId="0" borderId="12" xfId="0" applyFont="1" applyBorder="1" applyAlignment="1">
      <alignment vertical="top"/>
    </xf>
    <xf numFmtId="0" fontId="10" fillId="11" borderId="0" xfId="0" applyFont="1" applyFill="1" applyAlignment="1">
      <alignment horizontal="center" vertical="center"/>
    </xf>
    <xf numFmtId="0" fontId="7" fillId="9" borderId="0" xfId="0" applyFont="1" applyFill="1" applyAlignment="1">
      <alignment wrapText="1"/>
    </xf>
    <xf numFmtId="0" fontId="12" fillId="11" borderId="0" xfId="0" applyFont="1" applyFill="1" applyAlignment="1">
      <alignment horizontal="center" vertical="center"/>
    </xf>
    <xf numFmtId="0" fontId="13" fillId="16" borderId="0" xfId="0" applyFont="1" applyFill="1" applyAlignment="1">
      <alignment wrapText="1"/>
    </xf>
    <xf numFmtId="0" fontId="8" fillId="17" borderId="0" xfId="0" applyFont="1" applyFill="1" applyAlignment="1">
      <alignment horizontal="center"/>
    </xf>
    <xf numFmtId="0" fontId="14" fillId="18" borderId="0" xfId="0" applyFont="1" applyFill="1" applyAlignment="1">
      <alignment wrapText="1"/>
    </xf>
    <xf numFmtId="0" fontId="12" fillId="11" borderId="0" xfId="0" applyFont="1" applyFill="1" applyAlignment="1">
      <alignment horizontal="center"/>
    </xf>
    <xf numFmtId="0" fontId="8" fillId="19" borderId="0" xfId="0" applyFont="1" applyFill="1" applyAlignment="1">
      <alignment horizontal="center"/>
    </xf>
    <xf numFmtId="0" fontId="15" fillId="20" borderId="0" xfId="0" applyFont="1" applyFill="1" applyAlignment="1">
      <alignment vertical="top" wrapText="1"/>
    </xf>
    <xf numFmtId="0" fontId="9" fillId="21" borderId="2" xfId="0" applyFont="1" applyFill="1" applyBorder="1" applyAlignment="1">
      <alignment horizontal="center" vertical="center"/>
    </xf>
    <xf numFmtId="0" fontId="0" fillId="21" borderId="2" xfId="0" applyFill="1" applyBorder="1" applyAlignment="1">
      <alignment horizontal="center" vertical="center"/>
    </xf>
    <xf numFmtId="0" fontId="0" fillId="21" borderId="2" xfId="0" applyFill="1" applyBorder="1" applyAlignment="1">
      <alignment horizontal="left" vertical="center" wrapText="1"/>
    </xf>
    <xf numFmtId="0" fontId="0" fillId="0" borderId="4" xfId="0" applyBorder="1" applyAlignment="1">
      <alignment vertical="top" wrapText="1"/>
    </xf>
    <xf numFmtId="0" fontId="0" fillId="22" borderId="4" xfId="0" applyFill="1" applyBorder="1" applyAlignment="1">
      <alignment vertical="top" wrapText="1"/>
    </xf>
    <xf numFmtId="0" fontId="0" fillId="21" borderId="4" xfId="0" applyFill="1" applyBorder="1" applyAlignment="1">
      <alignment vertical="top" wrapText="1"/>
    </xf>
  </cellXfs>
  <cellStyles count="1">
    <cellStyle name="Normal" xfId="0" builtinId="0"/>
  </cellStyles>
  <dxfs count="14">
    <dxf>
      <font>
        <b/>
        <color rgb="FF065F46"/>
      </font>
      <fill>
        <patternFill>
          <bgColor rgb="FFD1FAE5"/>
        </patternFill>
      </fill>
    </dxf>
    <dxf>
      <font>
        <b/>
        <color rgb="FF065F46"/>
      </font>
      <fill>
        <patternFill>
          <bgColor rgb="FFD1FAE5"/>
        </patternFill>
      </fill>
    </dxf>
    <dxf>
      <font>
        <b/>
        <color rgb="FF9C0006"/>
      </font>
      <fill>
        <patternFill>
          <bgColor rgb="FFFFC7CE"/>
        </patternFill>
      </fill>
    </dxf>
    <dxf>
      <font>
        <b/>
        <color rgb="FF006100"/>
      </font>
      <fill>
        <patternFill>
          <bgColor rgb="FFC6EFCE"/>
        </patternFill>
      </fill>
    </dxf>
    <dxf>
      <fill>
        <patternFill>
          <bgColor rgb="FFE2F0D9"/>
        </patternFill>
      </fill>
    </dxf>
    <dxf>
      <font>
        <b/>
      </font>
      <fill>
        <patternFill>
          <bgColor rgb="FFDDEBF7"/>
        </patternFill>
      </fill>
    </dxf>
    <dxf>
      <font>
        <b/>
      </font>
      <fill>
        <patternFill>
          <bgColor rgb="FFFFF2CC"/>
        </patternFill>
      </fill>
    </dxf>
    <dxf>
      <font>
        <b/>
        <color rgb="FF6B21A8"/>
      </font>
      <fill>
        <patternFill>
          <bgColor rgb="FFF3E8FF"/>
        </patternFill>
      </fill>
    </dxf>
    <dxf>
      <font>
        <b/>
        <color rgb="FF075985"/>
      </font>
      <fill>
        <patternFill>
          <bgColor rgb="FFE0F2FE"/>
        </patternFill>
      </fill>
    </dxf>
    <dxf>
      <font>
        <color rgb="FF4B5563"/>
      </font>
      <fill>
        <patternFill>
          <bgColor rgb="FFE5E7EB"/>
        </patternFill>
      </fill>
    </dxf>
    <dxf>
      <font>
        <b/>
        <color rgb="FF1E40AF"/>
      </font>
      <fill>
        <patternFill>
          <bgColor rgb="FFDBEAFE"/>
        </patternFill>
      </fill>
    </dxf>
    <dxf>
      <font>
        <b/>
        <color rgb="FF92400E"/>
      </font>
      <fill>
        <patternFill>
          <bgColor rgb="FFFEF3C7"/>
        </patternFill>
      </fill>
    </dxf>
    <dxf>
      <font>
        <b/>
        <color rgb="FF991B1B"/>
      </font>
      <fill>
        <patternFill>
          <bgColor rgb="FFFEE2E2"/>
        </patternFill>
      </fill>
    </dxf>
    <dxf>
      <font>
        <b/>
        <color rgb="FF065F46"/>
      </font>
      <fill>
        <patternFill>
          <bgColor rgb="FFD1FA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uditTraceabilityTable" displayName="AuditTraceabilityTable" ref="A7:F38" totalsRowShown="0">
  <tableColumns count="6">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94"/>
  <sheetViews>
    <sheetView tabSelected="1" topLeftCell="A167" zoomScale="85" zoomScaleNormal="85" workbookViewId="0">
      <selection activeCell="L170" sqref="L170"/>
    </sheetView>
  </sheetViews>
  <sheetFormatPr defaultRowHeight="15" x14ac:dyDescent="0.25"/>
  <cols>
    <col min="1" max="1" width="10" style="7" customWidth="1"/>
    <col min="2" max="2" width="9" style="7" customWidth="1"/>
    <col min="3" max="3" width="11" style="7" customWidth="1"/>
    <col min="4" max="4" width="38" style="9" customWidth="1"/>
    <col min="5" max="5" width="16" style="7" customWidth="1"/>
    <col min="6" max="6" width="20" style="7" customWidth="1"/>
    <col min="7" max="7" width="16" style="7" customWidth="1"/>
    <col min="8" max="8" width="72" style="9" customWidth="1"/>
    <col min="9" max="9" width="64" style="12" customWidth="1"/>
    <col min="10" max="10" width="8" style="7" customWidth="1"/>
    <col min="11" max="11" width="13" style="7" customWidth="1"/>
    <col min="12" max="12" width="28" customWidth="1"/>
    <col min="13" max="13" width="24" customWidth="1"/>
    <col min="14" max="14" width="58" customWidth="1"/>
    <col min="15" max="15" width="38" customWidth="1"/>
    <col min="16" max="16" width="24" customWidth="1"/>
    <col min="17" max="16384" width="9.140625" style="7"/>
  </cols>
  <sheetData>
    <row r="1" spans="1:16" ht="24" customHeight="1" x14ac:dyDescent="0.25">
      <c r="A1" s="6" t="s">
        <v>0</v>
      </c>
      <c r="B1" s="6" t="s">
        <v>1</v>
      </c>
      <c r="C1" s="6" t="s">
        <v>2</v>
      </c>
      <c r="D1" s="2" t="s">
        <v>3</v>
      </c>
      <c r="E1" s="6" t="s">
        <v>4</v>
      </c>
      <c r="F1" s="6" t="s">
        <v>5</v>
      </c>
      <c r="G1" s="6" t="s">
        <v>6</v>
      </c>
      <c r="H1" s="2" t="s">
        <v>7</v>
      </c>
      <c r="I1" s="2" t="s">
        <v>8</v>
      </c>
      <c r="J1" s="6" t="s">
        <v>9</v>
      </c>
      <c r="K1" s="6" t="s">
        <v>10</v>
      </c>
      <c r="L1" s="14" t="s">
        <v>11</v>
      </c>
      <c r="M1" s="14" t="s">
        <v>12</v>
      </c>
      <c r="N1" s="14" t="s">
        <v>13</v>
      </c>
      <c r="O1" s="14" t="s">
        <v>14</v>
      </c>
      <c r="P1" s="14" t="s">
        <v>15</v>
      </c>
    </row>
    <row r="2" spans="1:16" ht="150" x14ac:dyDescent="0.25">
      <c r="A2" s="8" t="s">
        <v>16</v>
      </c>
      <c r="B2" s="8" t="s">
        <v>17</v>
      </c>
      <c r="C2" s="8" t="s">
        <v>18</v>
      </c>
      <c r="D2" s="10" t="s">
        <v>19</v>
      </c>
      <c r="E2" s="8" t="s">
        <v>20</v>
      </c>
      <c r="F2" s="8" t="s">
        <v>21</v>
      </c>
      <c r="G2" s="8" t="s">
        <v>22</v>
      </c>
      <c r="H2" s="10" t="s">
        <v>23</v>
      </c>
      <c r="I2" s="10" t="s">
        <v>24</v>
      </c>
      <c r="J2" s="8">
        <v>8</v>
      </c>
      <c r="K2" s="8" t="s">
        <v>25</v>
      </c>
      <c r="L2" s="17" t="s">
        <v>26</v>
      </c>
      <c r="M2" s="18" t="s">
        <v>27</v>
      </c>
      <c r="N2" s="18" t="s">
        <v>28</v>
      </c>
      <c r="O2" s="18" t="s">
        <v>29</v>
      </c>
      <c r="P2" s="19" t="s">
        <v>30</v>
      </c>
    </row>
    <row r="3" spans="1:16" ht="180" x14ac:dyDescent="0.25">
      <c r="A3" s="8" t="s">
        <v>31</v>
      </c>
      <c r="B3" s="8" t="s">
        <v>17</v>
      </c>
      <c r="C3" s="8" t="s">
        <v>18</v>
      </c>
      <c r="D3" s="10" t="s">
        <v>32</v>
      </c>
      <c r="E3" s="8" t="s">
        <v>33</v>
      </c>
      <c r="F3" s="8" t="s">
        <v>21</v>
      </c>
      <c r="G3" s="8" t="s">
        <v>22</v>
      </c>
      <c r="H3" s="10" t="s">
        <v>34</v>
      </c>
      <c r="I3" s="10" t="s">
        <v>35</v>
      </c>
      <c r="J3" s="8">
        <v>8</v>
      </c>
      <c r="K3" s="8" t="s">
        <v>25</v>
      </c>
      <c r="L3" s="20" t="s">
        <v>26</v>
      </c>
      <c r="M3" s="15" t="s">
        <v>27</v>
      </c>
      <c r="N3" s="15" t="s">
        <v>28</v>
      </c>
      <c r="O3" s="15" t="s">
        <v>29</v>
      </c>
      <c r="P3" s="21" t="s">
        <v>30</v>
      </c>
    </row>
    <row r="4" spans="1:16" ht="120" x14ac:dyDescent="0.25">
      <c r="A4" s="8" t="s">
        <v>36</v>
      </c>
      <c r="B4" s="8" t="s">
        <v>17</v>
      </c>
      <c r="C4" s="8" t="s">
        <v>18</v>
      </c>
      <c r="D4" s="10" t="s">
        <v>37</v>
      </c>
      <c r="E4" s="8" t="s">
        <v>38</v>
      </c>
      <c r="F4" s="8" t="s">
        <v>39</v>
      </c>
      <c r="G4" s="8" t="s">
        <v>22</v>
      </c>
      <c r="H4" s="10" t="s">
        <v>40</v>
      </c>
      <c r="I4" s="10" t="s">
        <v>41</v>
      </c>
      <c r="J4" s="8">
        <v>4</v>
      </c>
      <c r="K4" s="8" t="s">
        <v>25</v>
      </c>
      <c r="L4" s="20" t="s">
        <v>26</v>
      </c>
      <c r="M4" s="15" t="s">
        <v>27</v>
      </c>
      <c r="N4" s="15" t="s">
        <v>28</v>
      </c>
      <c r="O4" s="15" t="s">
        <v>29</v>
      </c>
      <c r="P4" s="21" t="s">
        <v>30</v>
      </c>
    </row>
    <row r="5" spans="1:16" ht="135" x14ac:dyDescent="0.25">
      <c r="A5" s="8" t="s">
        <v>42</v>
      </c>
      <c r="B5" s="8" t="s">
        <v>17</v>
      </c>
      <c r="C5" s="8" t="s">
        <v>18</v>
      </c>
      <c r="D5" s="10" t="s">
        <v>43</v>
      </c>
      <c r="E5" s="8" t="s">
        <v>20</v>
      </c>
      <c r="F5" s="8" t="s">
        <v>44</v>
      </c>
      <c r="G5" s="8" t="s">
        <v>45</v>
      </c>
      <c r="H5" s="10" t="s">
        <v>46</v>
      </c>
      <c r="I5" s="10" t="s">
        <v>47</v>
      </c>
      <c r="J5" s="8">
        <v>4</v>
      </c>
      <c r="K5" s="8" t="s">
        <v>25</v>
      </c>
      <c r="L5" s="20" t="s">
        <v>26</v>
      </c>
      <c r="M5" s="15" t="s">
        <v>27</v>
      </c>
      <c r="N5" s="15" t="s">
        <v>28</v>
      </c>
      <c r="O5" s="15" t="s">
        <v>29</v>
      </c>
      <c r="P5" s="21" t="s">
        <v>30</v>
      </c>
    </row>
    <row r="6" spans="1:16" ht="135" x14ac:dyDescent="0.25">
      <c r="A6" s="8" t="s">
        <v>48</v>
      </c>
      <c r="B6" s="8" t="s">
        <v>17</v>
      </c>
      <c r="C6" s="8" t="s">
        <v>18</v>
      </c>
      <c r="D6" s="10" t="s">
        <v>49</v>
      </c>
      <c r="E6" s="8" t="s">
        <v>50</v>
      </c>
      <c r="F6" s="8" t="s">
        <v>51</v>
      </c>
      <c r="G6" s="8" t="s">
        <v>22</v>
      </c>
      <c r="H6" s="10" t="s">
        <v>52</v>
      </c>
      <c r="I6" s="10" t="s">
        <v>53</v>
      </c>
      <c r="J6" s="8">
        <v>6</v>
      </c>
      <c r="K6" s="8" t="s">
        <v>25</v>
      </c>
      <c r="L6" s="20" t="s">
        <v>26</v>
      </c>
      <c r="M6" s="15" t="s">
        <v>27</v>
      </c>
      <c r="N6" s="15" t="s">
        <v>28</v>
      </c>
      <c r="O6" s="15" t="s">
        <v>29</v>
      </c>
      <c r="P6" s="21" t="s">
        <v>30</v>
      </c>
    </row>
    <row r="7" spans="1:16" ht="75" x14ac:dyDescent="0.25">
      <c r="A7" s="8" t="s">
        <v>54</v>
      </c>
      <c r="B7" s="8" t="s">
        <v>17</v>
      </c>
      <c r="C7" s="8" t="s">
        <v>18</v>
      </c>
      <c r="D7" s="10" t="s">
        <v>55</v>
      </c>
      <c r="E7" s="8" t="s">
        <v>50</v>
      </c>
      <c r="F7" s="8" t="s">
        <v>51</v>
      </c>
      <c r="G7" s="8" t="s">
        <v>22</v>
      </c>
      <c r="H7" s="10" t="s">
        <v>56</v>
      </c>
      <c r="I7" s="10" t="s">
        <v>57</v>
      </c>
      <c r="J7" s="8">
        <v>8</v>
      </c>
      <c r="K7" s="8" t="s">
        <v>25</v>
      </c>
      <c r="L7" s="20" t="s">
        <v>26</v>
      </c>
      <c r="M7" s="15" t="s">
        <v>27</v>
      </c>
      <c r="N7" s="15" t="s">
        <v>28</v>
      </c>
      <c r="O7" s="15" t="s">
        <v>29</v>
      </c>
      <c r="P7" s="21" t="s">
        <v>30</v>
      </c>
    </row>
    <row r="8" spans="1:16" ht="409.5" x14ac:dyDescent="0.25">
      <c r="A8" s="8" t="s">
        <v>58</v>
      </c>
      <c r="B8" s="8" t="s">
        <v>17</v>
      </c>
      <c r="C8" s="8" t="s">
        <v>18</v>
      </c>
      <c r="D8" s="10" t="s">
        <v>59</v>
      </c>
      <c r="E8" s="8" t="s">
        <v>20</v>
      </c>
      <c r="F8" s="8" t="s">
        <v>51</v>
      </c>
      <c r="G8" s="8" t="s">
        <v>22</v>
      </c>
      <c r="H8" s="10" t="s">
        <v>60</v>
      </c>
      <c r="I8" s="10" t="s">
        <v>61</v>
      </c>
      <c r="J8" s="8">
        <v>10</v>
      </c>
      <c r="K8" s="8" t="s">
        <v>25</v>
      </c>
      <c r="L8" s="20" t="s">
        <v>26</v>
      </c>
      <c r="M8" s="15" t="s">
        <v>27</v>
      </c>
      <c r="N8" s="15" t="s">
        <v>28</v>
      </c>
      <c r="O8" s="15" t="s">
        <v>29</v>
      </c>
      <c r="P8" s="21" t="s">
        <v>30</v>
      </c>
    </row>
    <row r="9" spans="1:16" ht="405" x14ac:dyDescent="0.25">
      <c r="A9" s="8" t="s">
        <v>62</v>
      </c>
      <c r="B9" s="8" t="s">
        <v>17</v>
      </c>
      <c r="C9" s="8" t="s">
        <v>18</v>
      </c>
      <c r="D9" s="10" t="s">
        <v>63</v>
      </c>
      <c r="E9" s="8" t="s">
        <v>64</v>
      </c>
      <c r="F9" s="8" t="s">
        <v>65</v>
      </c>
      <c r="G9" s="8" t="s">
        <v>22</v>
      </c>
      <c r="H9" s="10" t="s">
        <v>66</v>
      </c>
      <c r="I9" s="10" t="s">
        <v>67</v>
      </c>
      <c r="J9" s="8">
        <v>10</v>
      </c>
      <c r="K9" s="8" t="s">
        <v>25</v>
      </c>
      <c r="L9" s="20" t="s">
        <v>26</v>
      </c>
      <c r="M9" s="15" t="s">
        <v>27</v>
      </c>
      <c r="N9" s="15" t="s">
        <v>28</v>
      </c>
      <c r="O9" s="15" t="s">
        <v>29</v>
      </c>
      <c r="P9" s="21" t="s">
        <v>30</v>
      </c>
    </row>
    <row r="10" spans="1:16" ht="180" x14ac:dyDescent="0.25">
      <c r="A10" s="8" t="s">
        <v>68</v>
      </c>
      <c r="B10" s="8" t="s">
        <v>17</v>
      </c>
      <c r="C10" s="8" t="s">
        <v>18</v>
      </c>
      <c r="D10" s="10" t="s">
        <v>69</v>
      </c>
      <c r="E10" s="8" t="s">
        <v>70</v>
      </c>
      <c r="F10" s="8" t="s">
        <v>71</v>
      </c>
      <c r="G10" s="8" t="s">
        <v>22</v>
      </c>
      <c r="H10" s="10" t="s">
        <v>72</v>
      </c>
      <c r="I10" s="10" t="s">
        <v>73</v>
      </c>
      <c r="J10" s="8">
        <v>6</v>
      </c>
      <c r="K10" s="8" t="s">
        <v>25</v>
      </c>
      <c r="L10" s="20" t="s">
        <v>26</v>
      </c>
      <c r="M10" s="15" t="s">
        <v>27</v>
      </c>
      <c r="N10" s="15" t="s">
        <v>28</v>
      </c>
      <c r="O10" s="15" t="s">
        <v>29</v>
      </c>
      <c r="P10" s="21" t="s">
        <v>30</v>
      </c>
    </row>
    <row r="11" spans="1:16" ht="150" x14ac:dyDescent="0.25">
      <c r="A11" s="8" t="s">
        <v>74</v>
      </c>
      <c r="B11" s="8" t="s">
        <v>17</v>
      </c>
      <c r="C11" s="8" t="s">
        <v>18</v>
      </c>
      <c r="D11" s="10" t="s">
        <v>75</v>
      </c>
      <c r="E11" s="8" t="s">
        <v>76</v>
      </c>
      <c r="F11" s="8" t="s">
        <v>51</v>
      </c>
      <c r="G11" s="8" t="s">
        <v>22</v>
      </c>
      <c r="H11" s="10" t="s">
        <v>77</v>
      </c>
      <c r="I11" s="10" t="s">
        <v>78</v>
      </c>
      <c r="J11" s="8">
        <v>8</v>
      </c>
      <c r="K11" s="8" t="s">
        <v>25</v>
      </c>
      <c r="L11" s="20" t="s">
        <v>26</v>
      </c>
      <c r="M11" s="15" t="s">
        <v>27</v>
      </c>
      <c r="N11" s="15" t="s">
        <v>28</v>
      </c>
      <c r="O11" s="15" t="s">
        <v>29</v>
      </c>
      <c r="P11" s="21" t="s">
        <v>30</v>
      </c>
    </row>
    <row r="12" spans="1:16" ht="195" x14ac:dyDescent="0.25">
      <c r="A12" s="8" t="s">
        <v>79</v>
      </c>
      <c r="B12" s="8" t="s">
        <v>17</v>
      </c>
      <c r="C12" s="8" t="s">
        <v>18</v>
      </c>
      <c r="D12" s="10" t="s">
        <v>80</v>
      </c>
      <c r="E12" s="8" t="s">
        <v>64</v>
      </c>
      <c r="F12" s="8" t="s">
        <v>81</v>
      </c>
      <c r="G12" s="8" t="s">
        <v>82</v>
      </c>
      <c r="H12" s="10" t="s">
        <v>83</v>
      </c>
      <c r="I12" s="10" t="s">
        <v>84</v>
      </c>
      <c r="J12" s="8">
        <v>6</v>
      </c>
      <c r="K12" s="8" t="s">
        <v>25</v>
      </c>
      <c r="L12" s="20" t="s">
        <v>26</v>
      </c>
      <c r="M12" s="15" t="s">
        <v>27</v>
      </c>
      <c r="N12" s="15" t="s">
        <v>28</v>
      </c>
      <c r="O12" s="15" t="s">
        <v>29</v>
      </c>
      <c r="P12" s="21" t="s">
        <v>30</v>
      </c>
    </row>
    <row r="13" spans="1:16" ht="240" x14ac:dyDescent="0.25">
      <c r="A13" s="8" t="s">
        <v>85</v>
      </c>
      <c r="B13" s="8" t="s">
        <v>17</v>
      </c>
      <c r="C13" s="8" t="s">
        <v>18</v>
      </c>
      <c r="D13" s="10" t="s">
        <v>86</v>
      </c>
      <c r="E13" s="8" t="s">
        <v>33</v>
      </c>
      <c r="F13" s="8" t="s">
        <v>87</v>
      </c>
      <c r="G13" s="8" t="s">
        <v>22</v>
      </c>
      <c r="H13" s="10" t="s">
        <v>88</v>
      </c>
      <c r="I13" s="10" t="s">
        <v>89</v>
      </c>
      <c r="J13" s="8">
        <v>6</v>
      </c>
      <c r="K13" s="8" t="s">
        <v>25</v>
      </c>
      <c r="L13" s="20" t="s">
        <v>26</v>
      </c>
      <c r="M13" s="15" t="s">
        <v>27</v>
      </c>
      <c r="N13" s="15" t="s">
        <v>28</v>
      </c>
      <c r="O13" s="15" t="s">
        <v>29</v>
      </c>
      <c r="P13" s="21" t="s">
        <v>30</v>
      </c>
    </row>
    <row r="14" spans="1:16" ht="255" x14ac:dyDescent="0.25">
      <c r="A14" s="8" t="s">
        <v>90</v>
      </c>
      <c r="B14" s="8" t="s">
        <v>17</v>
      </c>
      <c r="C14" s="8" t="s">
        <v>91</v>
      </c>
      <c r="D14" s="10" t="s">
        <v>92</v>
      </c>
      <c r="E14" s="8" t="s">
        <v>50</v>
      </c>
      <c r="F14" s="8" t="s">
        <v>93</v>
      </c>
      <c r="G14" s="8" t="s">
        <v>22</v>
      </c>
      <c r="H14" s="10" t="s">
        <v>94</v>
      </c>
      <c r="I14" s="10" t="s">
        <v>95</v>
      </c>
      <c r="J14" s="8">
        <v>8</v>
      </c>
      <c r="K14" s="8" t="s">
        <v>25</v>
      </c>
      <c r="L14" s="20" t="s">
        <v>26</v>
      </c>
      <c r="M14" s="15" t="s">
        <v>27</v>
      </c>
      <c r="N14" s="15" t="s">
        <v>28</v>
      </c>
      <c r="O14" s="15" t="s">
        <v>29</v>
      </c>
      <c r="P14" s="21" t="s">
        <v>30</v>
      </c>
    </row>
    <row r="15" spans="1:16" ht="360" x14ac:dyDescent="0.25">
      <c r="A15" s="8" t="s">
        <v>96</v>
      </c>
      <c r="B15" s="8" t="s">
        <v>17</v>
      </c>
      <c r="C15" s="8" t="s">
        <v>91</v>
      </c>
      <c r="D15" s="10" t="s">
        <v>97</v>
      </c>
      <c r="E15" s="8" t="s">
        <v>50</v>
      </c>
      <c r="F15" s="8" t="s">
        <v>93</v>
      </c>
      <c r="G15" s="8" t="s">
        <v>22</v>
      </c>
      <c r="H15" s="10" t="s">
        <v>98</v>
      </c>
      <c r="I15" s="10" t="s">
        <v>99</v>
      </c>
      <c r="J15" s="8">
        <v>8</v>
      </c>
      <c r="K15" s="8" t="s">
        <v>25</v>
      </c>
      <c r="L15" s="20" t="s">
        <v>26</v>
      </c>
      <c r="M15" s="15" t="s">
        <v>27</v>
      </c>
      <c r="N15" s="15" t="s">
        <v>28</v>
      </c>
      <c r="O15" s="15" t="s">
        <v>29</v>
      </c>
      <c r="P15" s="21" t="s">
        <v>30</v>
      </c>
    </row>
    <row r="16" spans="1:16" ht="225" x14ac:dyDescent="0.25">
      <c r="A16" s="8" t="s">
        <v>100</v>
      </c>
      <c r="B16" s="8" t="s">
        <v>17</v>
      </c>
      <c r="C16" s="8" t="s">
        <v>91</v>
      </c>
      <c r="D16" s="10" t="s">
        <v>101</v>
      </c>
      <c r="E16" s="8" t="s">
        <v>20</v>
      </c>
      <c r="F16" s="8" t="s">
        <v>93</v>
      </c>
      <c r="G16" s="8" t="s">
        <v>22</v>
      </c>
      <c r="H16" s="10" t="s">
        <v>102</v>
      </c>
      <c r="I16" s="10" t="s">
        <v>103</v>
      </c>
      <c r="J16" s="8">
        <v>8</v>
      </c>
      <c r="K16" s="8" t="s">
        <v>25</v>
      </c>
      <c r="L16" s="20" t="s">
        <v>26</v>
      </c>
      <c r="M16" s="15" t="s">
        <v>27</v>
      </c>
      <c r="N16" s="15" t="s">
        <v>28</v>
      </c>
      <c r="O16" s="15" t="s">
        <v>29</v>
      </c>
      <c r="P16" s="21" t="s">
        <v>30</v>
      </c>
    </row>
    <row r="17" spans="1:16" ht="105" x14ac:dyDescent="0.25">
      <c r="A17" s="8" t="s">
        <v>104</v>
      </c>
      <c r="B17" s="8" t="s">
        <v>17</v>
      </c>
      <c r="C17" s="8" t="s">
        <v>91</v>
      </c>
      <c r="D17" s="10" t="s">
        <v>105</v>
      </c>
      <c r="E17" s="8" t="s">
        <v>50</v>
      </c>
      <c r="F17" s="8" t="s">
        <v>93</v>
      </c>
      <c r="G17" s="8" t="s">
        <v>22</v>
      </c>
      <c r="H17" s="10" t="s">
        <v>106</v>
      </c>
      <c r="I17" s="10" t="s">
        <v>107</v>
      </c>
      <c r="J17" s="8">
        <v>10</v>
      </c>
      <c r="K17" s="8" t="s">
        <v>25</v>
      </c>
      <c r="L17" s="20" t="s">
        <v>26</v>
      </c>
      <c r="M17" s="15" t="s">
        <v>27</v>
      </c>
      <c r="N17" s="15" t="s">
        <v>28</v>
      </c>
      <c r="O17" s="15" t="s">
        <v>29</v>
      </c>
      <c r="P17" s="21" t="s">
        <v>30</v>
      </c>
    </row>
    <row r="18" spans="1:16" ht="360" x14ac:dyDescent="0.25">
      <c r="A18" s="8" t="s">
        <v>108</v>
      </c>
      <c r="B18" s="8" t="s">
        <v>17</v>
      </c>
      <c r="C18" s="8" t="s">
        <v>91</v>
      </c>
      <c r="D18" s="10" t="s">
        <v>109</v>
      </c>
      <c r="E18" s="8" t="s">
        <v>50</v>
      </c>
      <c r="F18" s="8" t="s">
        <v>93</v>
      </c>
      <c r="G18" s="8" t="s">
        <v>22</v>
      </c>
      <c r="H18" s="10" t="s">
        <v>110</v>
      </c>
      <c r="I18" s="10" t="s">
        <v>111</v>
      </c>
      <c r="J18" s="8">
        <v>8</v>
      </c>
      <c r="K18" s="8" t="s">
        <v>25</v>
      </c>
      <c r="L18" s="20" t="s">
        <v>26</v>
      </c>
      <c r="M18" s="15" t="s">
        <v>27</v>
      </c>
      <c r="N18" s="15" t="s">
        <v>28</v>
      </c>
      <c r="O18" s="15" t="s">
        <v>29</v>
      </c>
      <c r="P18" s="21" t="s">
        <v>30</v>
      </c>
    </row>
    <row r="19" spans="1:16" ht="240" x14ac:dyDescent="0.25">
      <c r="A19" s="8" t="s">
        <v>112</v>
      </c>
      <c r="B19" s="8" t="s">
        <v>17</v>
      </c>
      <c r="C19" s="8" t="s">
        <v>91</v>
      </c>
      <c r="D19" s="10" t="s">
        <v>113</v>
      </c>
      <c r="E19" s="8" t="s">
        <v>50</v>
      </c>
      <c r="F19" s="8" t="s">
        <v>93</v>
      </c>
      <c r="G19" s="8" t="s">
        <v>22</v>
      </c>
      <c r="H19" s="10" t="s">
        <v>114</v>
      </c>
      <c r="I19" s="10" t="s">
        <v>115</v>
      </c>
      <c r="J19" s="8">
        <v>6</v>
      </c>
      <c r="K19" s="8" t="s">
        <v>25</v>
      </c>
      <c r="L19" s="20" t="s">
        <v>26</v>
      </c>
      <c r="M19" s="15" t="s">
        <v>27</v>
      </c>
      <c r="N19" s="15" t="s">
        <v>28</v>
      </c>
      <c r="O19" s="15" t="s">
        <v>29</v>
      </c>
      <c r="P19" s="21" t="s">
        <v>30</v>
      </c>
    </row>
    <row r="20" spans="1:16" ht="255" x14ac:dyDescent="0.25">
      <c r="A20" s="8" t="s">
        <v>116</v>
      </c>
      <c r="B20" s="8" t="s">
        <v>17</v>
      </c>
      <c r="C20" s="8" t="s">
        <v>91</v>
      </c>
      <c r="D20" s="10" t="s">
        <v>117</v>
      </c>
      <c r="E20" s="8" t="s">
        <v>50</v>
      </c>
      <c r="F20" s="8" t="s">
        <v>93</v>
      </c>
      <c r="G20" s="8" t="s">
        <v>82</v>
      </c>
      <c r="H20" s="10" t="s">
        <v>118</v>
      </c>
      <c r="I20" s="10" t="s">
        <v>119</v>
      </c>
      <c r="J20" s="8">
        <v>6</v>
      </c>
      <c r="K20" s="8" t="s">
        <v>25</v>
      </c>
      <c r="L20" s="20" t="s">
        <v>26</v>
      </c>
      <c r="M20" s="15" t="s">
        <v>27</v>
      </c>
      <c r="N20" s="15" t="s">
        <v>28</v>
      </c>
      <c r="O20" s="15" t="s">
        <v>29</v>
      </c>
      <c r="P20" s="21" t="s">
        <v>30</v>
      </c>
    </row>
    <row r="21" spans="1:16" ht="285" x14ac:dyDescent="0.25">
      <c r="A21" s="8" t="s">
        <v>120</v>
      </c>
      <c r="B21" s="8" t="s">
        <v>17</v>
      </c>
      <c r="C21" s="8" t="s">
        <v>91</v>
      </c>
      <c r="D21" s="10" t="s">
        <v>121</v>
      </c>
      <c r="E21" s="8" t="s">
        <v>50</v>
      </c>
      <c r="F21" s="8" t="s">
        <v>93</v>
      </c>
      <c r="G21" s="8" t="s">
        <v>82</v>
      </c>
      <c r="H21" s="10" t="s">
        <v>122</v>
      </c>
      <c r="I21" s="10" t="s">
        <v>123</v>
      </c>
      <c r="J21" s="8">
        <v>6</v>
      </c>
      <c r="K21" s="8" t="s">
        <v>25</v>
      </c>
      <c r="L21" s="20" t="s">
        <v>26</v>
      </c>
      <c r="M21" s="15" t="s">
        <v>27</v>
      </c>
      <c r="N21" s="15" t="s">
        <v>28</v>
      </c>
      <c r="O21" s="15" t="s">
        <v>29</v>
      </c>
      <c r="P21" s="21" t="s">
        <v>30</v>
      </c>
    </row>
    <row r="22" spans="1:16" ht="195" x14ac:dyDescent="0.25">
      <c r="A22" s="8" t="s">
        <v>124</v>
      </c>
      <c r="B22" s="8" t="s">
        <v>17</v>
      </c>
      <c r="C22" s="8" t="s">
        <v>91</v>
      </c>
      <c r="D22" s="10" t="s">
        <v>125</v>
      </c>
      <c r="E22" s="8" t="s">
        <v>50</v>
      </c>
      <c r="F22" s="8" t="s">
        <v>93</v>
      </c>
      <c r="G22" s="8" t="s">
        <v>45</v>
      </c>
      <c r="H22" s="10" t="s">
        <v>126</v>
      </c>
      <c r="I22" s="10" t="s">
        <v>127</v>
      </c>
      <c r="J22" s="8">
        <v>6</v>
      </c>
      <c r="K22" s="8" t="s">
        <v>25</v>
      </c>
      <c r="L22" s="20" t="s">
        <v>26</v>
      </c>
      <c r="M22" s="15" t="s">
        <v>27</v>
      </c>
      <c r="N22" s="15" t="s">
        <v>28</v>
      </c>
      <c r="O22" s="15" t="s">
        <v>29</v>
      </c>
      <c r="P22" s="21" t="s">
        <v>30</v>
      </c>
    </row>
    <row r="23" spans="1:16" ht="240" x14ac:dyDescent="0.25">
      <c r="A23" s="8" t="s">
        <v>128</v>
      </c>
      <c r="B23" s="8" t="s">
        <v>17</v>
      </c>
      <c r="C23" s="8" t="s">
        <v>91</v>
      </c>
      <c r="D23" s="10" t="s">
        <v>129</v>
      </c>
      <c r="E23" s="8" t="s">
        <v>50</v>
      </c>
      <c r="F23" s="8" t="s">
        <v>93</v>
      </c>
      <c r="G23" s="8" t="s">
        <v>22</v>
      </c>
      <c r="H23" s="10" t="s">
        <v>130</v>
      </c>
      <c r="I23" s="10" t="s">
        <v>131</v>
      </c>
      <c r="J23" s="8">
        <v>8</v>
      </c>
      <c r="K23" s="8" t="s">
        <v>25</v>
      </c>
      <c r="L23" s="20" t="s">
        <v>26</v>
      </c>
      <c r="M23" s="15" t="s">
        <v>27</v>
      </c>
      <c r="N23" s="15" t="s">
        <v>28</v>
      </c>
      <c r="O23" s="15" t="s">
        <v>29</v>
      </c>
      <c r="P23" s="21" t="s">
        <v>30</v>
      </c>
    </row>
    <row r="24" spans="1:16" ht="135" x14ac:dyDescent="0.25">
      <c r="A24" s="8" t="s">
        <v>132</v>
      </c>
      <c r="B24" s="8" t="s">
        <v>17</v>
      </c>
      <c r="C24" s="8" t="s">
        <v>91</v>
      </c>
      <c r="D24" s="10" t="s">
        <v>133</v>
      </c>
      <c r="E24" s="8" t="s">
        <v>50</v>
      </c>
      <c r="F24" s="8" t="s">
        <v>93</v>
      </c>
      <c r="G24" s="8" t="s">
        <v>22</v>
      </c>
      <c r="H24" s="10" t="s">
        <v>134</v>
      </c>
      <c r="I24" s="10" t="s">
        <v>135</v>
      </c>
      <c r="J24" s="8">
        <v>6</v>
      </c>
      <c r="K24" s="8" t="s">
        <v>25</v>
      </c>
      <c r="L24" s="20" t="s">
        <v>26</v>
      </c>
      <c r="M24" s="15" t="s">
        <v>27</v>
      </c>
      <c r="N24" s="15" t="s">
        <v>28</v>
      </c>
      <c r="O24" s="15" t="s">
        <v>29</v>
      </c>
      <c r="P24" s="21" t="s">
        <v>30</v>
      </c>
    </row>
    <row r="25" spans="1:16" ht="225" x14ac:dyDescent="0.25">
      <c r="A25" s="8" t="s">
        <v>136</v>
      </c>
      <c r="B25" s="8" t="s">
        <v>17</v>
      </c>
      <c r="C25" s="8" t="s">
        <v>91</v>
      </c>
      <c r="D25" s="10" t="s">
        <v>137</v>
      </c>
      <c r="E25" s="8" t="s">
        <v>50</v>
      </c>
      <c r="F25" s="8" t="s">
        <v>51</v>
      </c>
      <c r="G25" s="8" t="s">
        <v>22</v>
      </c>
      <c r="H25" s="10" t="s">
        <v>138</v>
      </c>
      <c r="I25" s="10" t="s">
        <v>139</v>
      </c>
      <c r="J25" s="8">
        <v>8</v>
      </c>
      <c r="K25" s="8" t="s">
        <v>25</v>
      </c>
      <c r="L25" s="20" t="s">
        <v>26</v>
      </c>
      <c r="M25" s="15" t="s">
        <v>27</v>
      </c>
      <c r="N25" s="15" t="s">
        <v>28</v>
      </c>
      <c r="O25" s="15" t="s">
        <v>29</v>
      </c>
      <c r="P25" s="21" t="s">
        <v>30</v>
      </c>
    </row>
    <row r="26" spans="1:16" ht="180" x14ac:dyDescent="0.25">
      <c r="A26" s="8" t="s">
        <v>140</v>
      </c>
      <c r="B26" s="8" t="s">
        <v>17</v>
      </c>
      <c r="C26" s="8" t="s">
        <v>91</v>
      </c>
      <c r="D26" s="10" t="s">
        <v>141</v>
      </c>
      <c r="E26" s="8" t="s">
        <v>142</v>
      </c>
      <c r="F26" s="8" t="s">
        <v>51</v>
      </c>
      <c r="G26" s="8" t="s">
        <v>22</v>
      </c>
      <c r="H26" s="10" t="s">
        <v>143</v>
      </c>
      <c r="I26" s="10" t="s">
        <v>144</v>
      </c>
      <c r="J26" s="8">
        <v>8</v>
      </c>
      <c r="K26" s="8" t="s">
        <v>25</v>
      </c>
      <c r="L26" s="20" t="s">
        <v>26</v>
      </c>
      <c r="M26" s="15" t="s">
        <v>27</v>
      </c>
      <c r="N26" s="15" t="s">
        <v>28</v>
      </c>
      <c r="O26" s="15" t="s">
        <v>29</v>
      </c>
      <c r="P26" s="21" t="s">
        <v>30</v>
      </c>
    </row>
    <row r="27" spans="1:16" ht="165" x14ac:dyDescent="0.25">
      <c r="A27" s="8" t="s">
        <v>145</v>
      </c>
      <c r="B27" s="8" t="s">
        <v>17</v>
      </c>
      <c r="C27" s="8" t="s">
        <v>91</v>
      </c>
      <c r="D27" s="10" t="s">
        <v>146</v>
      </c>
      <c r="E27" s="8" t="s">
        <v>64</v>
      </c>
      <c r="F27" s="8" t="s">
        <v>51</v>
      </c>
      <c r="G27" s="8" t="s">
        <v>22</v>
      </c>
      <c r="H27" s="10" t="s">
        <v>147</v>
      </c>
      <c r="I27" s="10" t="s">
        <v>148</v>
      </c>
      <c r="J27" s="8">
        <v>6</v>
      </c>
      <c r="K27" s="8" t="s">
        <v>25</v>
      </c>
      <c r="L27" s="20" t="s">
        <v>26</v>
      </c>
      <c r="M27" s="15" t="s">
        <v>27</v>
      </c>
      <c r="N27" s="15" t="s">
        <v>28</v>
      </c>
      <c r="O27" s="15" t="s">
        <v>29</v>
      </c>
      <c r="P27" s="21" t="s">
        <v>30</v>
      </c>
    </row>
    <row r="28" spans="1:16" ht="255" x14ac:dyDescent="0.25">
      <c r="A28" s="8" t="s">
        <v>149</v>
      </c>
      <c r="B28" s="8" t="s">
        <v>17</v>
      </c>
      <c r="C28" s="8" t="s">
        <v>91</v>
      </c>
      <c r="D28" s="10" t="s">
        <v>150</v>
      </c>
      <c r="E28" s="8" t="s">
        <v>64</v>
      </c>
      <c r="F28" s="8" t="s">
        <v>51</v>
      </c>
      <c r="G28" s="8" t="s">
        <v>22</v>
      </c>
      <c r="H28" s="10" t="s">
        <v>151</v>
      </c>
      <c r="I28" s="10" t="s">
        <v>152</v>
      </c>
      <c r="J28" s="8">
        <v>6</v>
      </c>
      <c r="K28" s="8" t="s">
        <v>25</v>
      </c>
      <c r="L28" s="20" t="s">
        <v>26</v>
      </c>
      <c r="M28" s="15" t="s">
        <v>27</v>
      </c>
      <c r="N28" s="15" t="s">
        <v>28</v>
      </c>
      <c r="O28" s="15" t="s">
        <v>29</v>
      </c>
      <c r="P28" s="21" t="s">
        <v>30</v>
      </c>
    </row>
    <row r="29" spans="1:16" ht="165" x14ac:dyDescent="0.25">
      <c r="A29" s="8" t="s">
        <v>153</v>
      </c>
      <c r="B29" s="8" t="s">
        <v>17</v>
      </c>
      <c r="C29" s="8" t="s">
        <v>91</v>
      </c>
      <c r="D29" s="10" t="s">
        <v>154</v>
      </c>
      <c r="E29" s="8" t="s">
        <v>50</v>
      </c>
      <c r="F29" s="8" t="s">
        <v>93</v>
      </c>
      <c r="G29" s="8" t="s">
        <v>22</v>
      </c>
      <c r="H29" s="10" t="s">
        <v>155</v>
      </c>
      <c r="I29" s="10" t="s">
        <v>156</v>
      </c>
      <c r="J29" s="8">
        <v>2</v>
      </c>
      <c r="K29" s="8" t="s">
        <v>25</v>
      </c>
      <c r="L29" s="20" t="s">
        <v>26</v>
      </c>
      <c r="M29" s="15" t="s">
        <v>27</v>
      </c>
      <c r="N29" s="15" t="s">
        <v>28</v>
      </c>
      <c r="O29" s="15" t="s">
        <v>29</v>
      </c>
      <c r="P29" s="21" t="s">
        <v>30</v>
      </c>
    </row>
    <row r="30" spans="1:16" ht="195" x14ac:dyDescent="0.25">
      <c r="A30" s="8" t="s">
        <v>157</v>
      </c>
      <c r="B30" s="8" t="s">
        <v>17</v>
      </c>
      <c r="C30" s="8" t="s">
        <v>91</v>
      </c>
      <c r="D30" s="10" t="s">
        <v>158</v>
      </c>
      <c r="E30" s="8" t="s">
        <v>50</v>
      </c>
      <c r="F30" s="8" t="s">
        <v>51</v>
      </c>
      <c r="G30" s="8" t="s">
        <v>82</v>
      </c>
      <c r="H30" s="10" t="s">
        <v>159</v>
      </c>
      <c r="I30" s="10" t="s">
        <v>160</v>
      </c>
      <c r="J30" s="8">
        <v>4</v>
      </c>
      <c r="K30" s="8" t="s">
        <v>25</v>
      </c>
      <c r="L30" s="20" t="s">
        <v>26</v>
      </c>
      <c r="M30" s="15" t="s">
        <v>27</v>
      </c>
      <c r="N30" s="15" t="s">
        <v>28</v>
      </c>
      <c r="O30" s="15" t="s">
        <v>29</v>
      </c>
      <c r="P30" s="21" t="s">
        <v>30</v>
      </c>
    </row>
    <row r="31" spans="1:16" ht="195" x14ac:dyDescent="0.25">
      <c r="A31" s="8" t="s">
        <v>161</v>
      </c>
      <c r="B31" s="8" t="s">
        <v>17</v>
      </c>
      <c r="C31" s="8" t="s">
        <v>162</v>
      </c>
      <c r="D31" s="10" t="s">
        <v>163</v>
      </c>
      <c r="E31" s="8" t="s">
        <v>50</v>
      </c>
      <c r="F31" s="8" t="s">
        <v>51</v>
      </c>
      <c r="G31" s="8" t="s">
        <v>22</v>
      </c>
      <c r="H31" s="10" t="s">
        <v>164</v>
      </c>
      <c r="I31" s="10" t="s">
        <v>165</v>
      </c>
      <c r="J31" s="8">
        <v>8</v>
      </c>
      <c r="K31" s="8" t="s">
        <v>25</v>
      </c>
      <c r="L31" s="20" t="s">
        <v>26</v>
      </c>
      <c r="M31" s="15" t="s">
        <v>27</v>
      </c>
      <c r="N31" s="15" t="s">
        <v>28</v>
      </c>
      <c r="O31" s="15" t="s">
        <v>29</v>
      </c>
      <c r="P31" s="21" t="s">
        <v>30</v>
      </c>
    </row>
    <row r="32" spans="1:16" ht="270" x14ac:dyDescent="0.25">
      <c r="A32" s="8" t="s">
        <v>166</v>
      </c>
      <c r="B32" s="8" t="s">
        <v>17</v>
      </c>
      <c r="C32" s="8" t="s">
        <v>162</v>
      </c>
      <c r="D32" s="10" t="s">
        <v>167</v>
      </c>
      <c r="E32" s="8" t="s">
        <v>50</v>
      </c>
      <c r="F32" s="8" t="s">
        <v>51</v>
      </c>
      <c r="G32" s="8" t="s">
        <v>22</v>
      </c>
      <c r="H32" s="10" t="s">
        <v>168</v>
      </c>
      <c r="I32" s="10" t="s">
        <v>169</v>
      </c>
      <c r="J32" s="8">
        <v>10</v>
      </c>
      <c r="K32" s="8" t="s">
        <v>25</v>
      </c>
      <c r="L32" s="20" t="s">
        <v>26</v>
      </c>
      <c r="M32" s="15" t="s">
        <v>27</v>
      </c>
      <c r="N32" s="15" t="s">
        <v>28</v>
      </c>
      <c r="O32" s="15" t="s">
        <v>29</v>
      </c>
      <c r="P32" s="21" t="s">
        <v>30</v>
      </c>
    </row>
    <row r="33" spans="1:16" s="9" customFormat="1" ht="210" x14ac:dyDescent="0.25">
      <c r="A33" s="8" t="s">
        <v>170</v>
      </c>
      <c r="B33" s="8" t="s">
        <v>17</v>
      </c>
      <c r="C33" s="8" t="s">
        <v>162</v>
      </c>
      <c r="D33" s="10" t="s">
        <v>171</v>
      </c>
      <c r="E33" s="8" t="s">
        <v>33</v>
      </c>
      <c r="F33" s="8" t="s">
        <v>172</v>
      </c>
      <c r="G33" s="8" t="s">
        <v>22</v>
      </c>
      <c r="H33" s="10" t="s">
        <v>173</v>
      </c>
      <c r="I33" s="10" t="s">
        <v>174</v>
      </c>
      <c r="J33" s="8">
        <v>12</v>
      </c>
      <c r="K33" s="8" t="s">
        <v>25</v>
      </c>
      <c r="L33" s="20" t="s">
        <v>26</v>
      </c>
      <c r="M33" s="15" t="s">
        <v>27</v>
      </c>
      <c r="N33" s="15" t="s">
        <v>28</v>
      </c>
      <c r="O33" s="15" t="s">
        <v>29</v>
      </c>
      <c r="P33" s="21" t="s">
        <v>30</v>
      </c>
    </row>
    <row r="34" spans="1:16" ht="195" x14ac:dyDescent="0.25">
      <c r="A34" s="8" t="s">
        <v>175</v>
      </c>
      <c r="B34" s="8" t="s">
        <v>17</v>
      </c>
      <c r="C34" s="8" t="s">
        <v>162</v>
      </c>
      <c r="D34" s="10" t="s">
        <v>176</v>
      </c>
      <c r="E34" s="8" t="s">
        <v>33</v>
      </c>
      <c r="F34" s="8" t="s">
        <v>172</v>
      </c>
      <c r="G34" s="8" t="s">
        <v>22</v>
      </c>
      <c r="H34" s="10" t="s">
        <v>177</v>
      </c>
      <c r="I34" s="10" t="s">
        <v>178</v>
      </c>
      <c r="J34" s="8">
        <v>12</v>
      </c>
      <c r="K34" s="8" t="s">
        <v>25</v>
      </c>
      <c r="L34" s="20" t="s">
        <v>26</v>
      </c>
      <c r="M34" s="15" t="s">
        <v>27</v>
      </c>
      <c r="N34" s="15" t="s">
        <v>28</v>
      </c>
      <c r="O34" s="15" t="s">
        <v>29</v>
      </c>
      <c r="P34" s="21" t="s">
        <v>30</v>
      </c>
    </row>
    <row r="35" spans="1:16" ht="105" x14ac:dyDescent="0.25">
      <c r="A35" s="8" t="s">
        <v>179</v>
      </c>
      <c r="B35" s="8" t="s">
        <v>17</v>
      </c>
      <c r="C35" s="8" t="s">
        <v>162</v>
      </c>
      <c r="D35" s="10" t="s">
        <v>180</v>
      </c>
      <c r="E35" s="8" t="s">
        <v>33</v>
      </c>
      <c r="F35" s="8" t="s">
        <v>172</v>
      </c>
      <c r="G35" s="8" t="s">
        <v>82</v>
      </c>
      <c r="H35" s="10" t="s">
        <v>181</v>
      </c>
      <c r="I35" s="10" t="s">
        <v>182</v>
      </c>
      <c r="J35" s="8">
        <v>10</v>
      </c>
      <c r="K35" s="8" t="s">
        <v>25</v>
      </c>
      <c r="L35" s="20" t="s">
        <v>26</v>
      </c>
      <c r="M35" s="15" t="s">
        <v>27</v>
      </c>
      <c r="N35" s="15" t="s">
        <v>28</v>
      </c>
      <c r="O35" s="15" t="s">
        <v>29</v>
      </c>
      <c r="P35" s="21" t="s">
        <v>30</v>
      </c>
    </row>
    <row r="36" spans="1:16" ht="90" x14ac:dyDescent="0.25">
      <c r="A36" s="8" t="s">
        <v>183</v>
      </c>
      <c r="B36" s="8" t="s">
        <v>17</v>
      </c>
      <c r="C36" s="8" t="s">
        <v>162</v>
      </c>
      <c r="D36" s="10" t="s">
        <v>184</v>
      </c>
      <c r="E36" s="8" t="s">
        <v>33</v>
      </c>
      <c r="F36" s="8" t="s">
        <v>185</v>
      </c>
      <c r="G36" s="8" t="s">
        <v>82</v>
      </c>
      <c r="H36" s="10" t="s">
        <v>186</v>
      </c>
      <c r="I36" s="10" t="s">
        <v>187</v>
      </c>
      <c r="J36" s="8">
        <v>8</v>
      </c>
      <c r="K36" s="8" t="s">
        <v>25</v>
      </c>
      <c r="L36" s="20" t="s">
        <v>26</v>
      </c>
      <c r="M36" s="15" t="s">
        <v>27</v>
      </c>
      <c r="N36" s="15" t="s">
        <v>28</v>
      </c>
      <c r="O36" s="15" t="s">
        <v>29</v>
      </c>
      <c r="P36" s="21" t="s">
        <v>30</v>
      </c>
    </row>
    <row r="37" spans="1:16" ht="165" x14ac:dyDescent="0.25">
      <c r="A37" s="8" t="s">
        <v>188</v>
      </c>
      <c r="B37" s="8" t="s">
        <v>17</v>
      </c>
      <c r="C37" s="8" t="s">
        <v>162</v>
      </c>
      <c r="D37" s="10" t="s">
        <v>189</v>
      </c>
      <c r="E37" s="8" t="s">
        <v>33</v>
      </c>
      <c r="F37" s="8" t="s">
        <v>185</v>
      </c>
      <c r="G37" s="8" t="s">
        <v>22</v>
      </c>
      <c r="H37" s="10" t="s">
        <v>190</v>
      </c>
      <c r="I37" s="10" t="s">
        <v>191</v>
      </c>
      <c r="J37" s="8">
        <v>12</v>
      </c>
      <c r="K37" s="8" t="s">
        <v>25</v>
      </c>
      <c r="L37" s="20" t="s">
        <v>26</v>
      </c>
      <c r="M37" s="15" t="s">
        <v>27</v>
      </c>
      <c r="N37" s="15" t="s">
        <v>28</v>
      </c>
      <c r="O37" s="15" t="s">
        <v>29</v>
      </c>
      <c r="P37" s="21" t="s">
        <v>30</v>
      </c>
    </row>
    <row r="38" spans="1:16" ht="75" x14ac:dyDescent="0.25">
      <c r="A38" s="8" t="s">
        <v>192</v>
      </c>
      <c r="B38" s="8" t="s">
        <v>17</v>
      </c>
      <c r="C38" s="8" t="s">
        <v>162</v>
      </c>
      <c r="D38" s="10" t="s">
        <v>193</v>
      </c>
      <c r="E38" s="8" t="s">
        <v>33</v>
      </c>
      <c r="F38" s="8" t="s">
        <v>172</v>
      </c>
      <c r="G38" s="8" t="s">
        <v>45</v>
      </c>
      <c r="H38" s="10" t="s">
        <v>194</v>
      </c>
      <c r="I38" s="10" t="s">
        <v>195</v>
      </c>
      <c r="J38" s="8">
        <v>3</v>
      </c>
      <c r="K38" s="8" t="s">
        <v>25</v>
      </c>
      <c r="L38" s="20" t="s">
        <v>26</v>
      </c>
      <c r="M38" s="15" t="s">
        <v>27</v>
      </c>
      <c r="N38" s="15" t="s">
        <v>28</v>
      </c>
      <c r="O38" s="15" t="s">
        <v>29</v>
      </c>
      <c r="P38" s="21" t="s">
        <v>30</v>
      </c>
    </row>
    <row r="39" spans="1:16" ht="165" x14ac:dyDescent="0.25">
      <c r="A39" s="8" t="s">
        <v>196</v>
      </c>
      <c r="B39" s="8" t="s">
        <v>17</v>
      </c>
      <c r="C39" s="8" t="s">
        <v>162</v>
      </c>
      <c r="D39" s="10" t="s">
        <v>197</v>
      </c>
      <c r="E39" s="8" t="s">
        <v>33</v>
      </c>
      <c r="F39" s="8" t="s">
        <v>65</v>
      </c>
      <c r="G39" s="8" t="s">
        <v>22</v>
      </c>
      <c r="H39" s="10" t="s">
        <v>198</v>
      </c>
      <c r="I39" s="10" t="s">
        <v>199</v>
      </c>
      <c r="J39" s="8">
        <v>12</v>
      </c>
      <c r="K39" s="8" t="s">
        <v>25</v>
      </c>
      <c r="L39" s="20" t="s">
        <v>26</v>
      </c>
      <c r="M39" s="15" t="s">
        <v>27</v>
      </c>
      <c r="N39" s="15" t="s">
        <v>28</v>
      </c>
      <c r="O39" s="15" t="s">
        <v>29</v>
      </c>
      <c r="P39" s="21" t="s">
        <v>30</v>
      </c>
    </row>
    <row r="40" spans="1:16" ht="180" x14ac:dyDescent="0.25">
      <c r="A40" s="8" t="s">
        <v>200</v>
      </c>
      <c r="B40" s="8" t="s">
        <v>17</v>
      </c>
      <c r="C40" s="8" t="s">
        <v>162</v>
      </c>
      <c r="D40" s="10" t="s">
        <v>201</v>
      </c>
      <c r="E40" s="8" t="s">
        <v>70</v>
      </c>
      <c r="F40" s="8" t="s">
        <v>202</v>
      </c>
      <c r="G40" s="8" t="s">
        <v>22</v>
      </c>
      <c r="H40" s="10" t="s">
        <v>203</v>
      </c>
      <c r="I40" s="10" t="s">
        <v>204</v>
      </c>
      <c r="J40" s="8">
        <v>12</v>
      </c>
      <c r="K40" s="8" t="s">
        <v>25</v>
      </c>
      <c r="L40" s="20" t="s">
        <v>26</v>
      </c>
      <c r="M40" s="15" t="s">
        <v>27</v>
      </c>
      <c r="N40" s="15" t="s">
        <v>28</v>
      </c>
      <c r="O40" s="15" t="s">
        <v>29</v>
      </c>
      <c r="P40" s="21" t="s">
        <v>30</v>
      </c>
    </row>
    <row r="41" spans="1:16" ht="120" x14ac:dyDescent="0.25">
      <c r="A41" s="13" t="s">
        <v>205</v>
      </c>
      <c r="B41" s="13" t="s">
        <v>17</v>
      </c>
      <c r="C41" s="13" t="s">
        <v>162</v>
      </c>
      <c r="D41" s="10" t="s">
        <v>206</v>
      </c>
      <c r="E41" s="13" t="s">
        <v>33</v>
      </c>
      <c r="F41" s="13" t="s">
        <v>172</v>
      </c>
      <c r="G41" s="13" t="s">
        <v>82</v>
      </c>
      <c r="H41" s="10" t="s">
        <v>207</v>
      </c>
      <c r="I41" s="10" t="s">
        <v>208</v>
      </c>
      <c r="J41" s="13">
        <v>8</v>
      </c>
      <c r="K41" s="8" t="s">
        <v>25</v>
      </c>
      <c r="L41" s="20" t="s">
        <v>26</v>
      </c>
      <c r="M41" s="15" t="s">
        <v>27</v>
      </c>
      <c r="N41" s="15" t="s">
        <v>28</v>
      </c>
      <c r="O41" s="15" t="s">
        <v>29</v>
      </c>
      <c r="P41" s="21" t="s">
        <v>30</v>
      </c>
    </row>
    <row r="42" spans="1:16" ht="240" x14ac:dyDescent="0.25">
      <c r="A42" s="13" t="s">
        <v>209</v>
      </c>
      <c r="B42" s="13" t="s">
        <v>17</v>
      </c>
      <c r="C42" s="13" t="s">
        <v>210</v>
      </c>
      <c r="D42" s="10" t="s">
        <v>211</v>
      </c>
      <c r="E42" s="13" t="s">
        <v>33</v>
      </c>
      <c r="F42" s="13" t="s">
        <v>65</v>
      </c>
      <c r="G42" s="13" t="s">
        <v>22</v>
      </c>
      <c r="H42" s="10" t="s">
        <v>212</v>
      </c>
      <c r="I42" s="10" t="s">
        <v>213</v>
      </c>
      <c r="J42" s="13">
        <v>6</v>
      </c>
      <c r="K42" s="8" t="s">
        <v>25</v>
      </c>
      <c r="L42" s="20" t="s">
        <v>26</v>
      </c>
      <c r="M42" s="15" t="s">
        <v>27</v>
      </c>
      <c r="N42" s="15" t="s">
        <v>28</v>
      </c>
      <c r="O42" s="15" t="s">
        <v>29</v>
      </c>
      <c r="P42" s="21" t="s">
        <v>30</v>
      </c>
    </row>
    <row r="43" spans="1:16" ht="75" x14ac:dyDescent="0.25">
      <c r="A43" s="13" t="s">
        <v>214</v>
      </c>
      <c r="B43" s="13" t="s">
        <v>17</v>
      </c>
      <c r="C43" s="13" t="s">
        <v>210</v>
      </c>
      <c r="D43" s="10" t="s">
        <v>215</v>
      </c>
      <c r="E43" s="13" t="s">
        <v>33</v>
      </c>
      <c r="F43" s="13" t="s">
        <v>65</v>
      </c>
      <c r="G43" s="13" t="s">
        <v>22</v>
      </c>
      <c r="H43" s="10" t="s">
        <v>216</v>
      </c>
      <c r="I43" s="10" t="s">
        <v>217</v>
      </c>
      <c r="J43" s="13">
        <v>6</v>
      </c>
      <c r="K43" s="8" t="s">
        <v>25</v>
      </c>
      <c r="L43" s="20" t="s">
        <v>26</v>
      </c>
      <c r="M43" s="15" t="s">
        <v>27</v>
      </c>
      <c r="N43" s="15" t="s">
        <v>28</v>
      </c>
      <c r="O43" s="15" t="s">
        <v>29</v>
      </c>
      <c r="P43" s="21" t="s">
        <v>30</v>
      </c>
    </row>
    <row r="44" spans="1:16" ht="120" x14ac:dyDescent="0.25">
      <c r="A44" s="13" t="s">
        <v>218</v>
      </c>
      <c r="B44" s="13" t="s">
        <v>17</v>
      </c>
      <c r="C44" s="13" t="s">
        <v>210</v>
      </c>
      <c r="D44" s="10" t="s">
        <v>219</v>
      </c>
      <c r="E44" s="13" t="s">
        <v>33</v>
      </c>
      <c r="F44" s="13" t="s">
        <v>65</v>
      </c>
      <c r="G44" s="13" t="s">
        <v>22</v>
      </c>
      <c r="H44" s="10" t="s">
        <v>220</v>
      </c>
      <c r="I44" s="10" t="s">
        <v>221</v>
      </c>
      <c r="J44" s="13">
        <v>12</v>
      </c>
      <c r="K44" s="8" t="s">
        <v>25</v>
      </c>
      <c r="L44" s="20" t="s">
        <v>26</v>
      </c>
      <c r="M44" s="15" t="s">
        <v>27</v>
      </c>
      <c r="N44" s="15" t="s">
        <v>28</v>
      </c>
      <c r="O44" s="15" t="s">
        <v>29</v>
      </c>
      <c r="P44" s="21" t="s">
        <v>30</v>
      </c>
    </row>
    <row r="45" spans="1:16" ht="255" x14ac:dyDescent="0.25">
      <c r="A45" s="13" t="s">
        <v>222</v>
      </c>
      <c r="B45" s="13" t="s">
        <v>17</v>
      </c>
      <c r="C45" s="13" t="s">
        <v>210</v>
      </c>
      <c r="D45" s="10" t="s">
        <v>223</v>
      </c>
      <c r="E45" s="13" t="s">
        <v>33</v>
      </c>
      <c r="F45" s="13" t="s">
        <v>65</v>
      </c>
      <c r="G45" s="13" t="s">
        <v>22</v>
      </c>
      <c r="H45" s="10" t="s">
        <v>224</v>
      </c>
      <c r="I45" s="10" t="s">
        <v>225</v>
      </c>
      <c r="J45" s="13">
        <v>8</v>
      </c>
      <c r="K45" s="8" t="s">
        <v>25</v>
      </c>
      <c r="L45" s="20" t="s">
        <v>26</v>
      </c>
      <c r="M45" s="15" t="s">
        <v>27</v>
      </c>
      <c r="N45" s="15" t="s">
        <v>28</v>
      </c>
      <c r="O45" s="15" t="s">
        <v>29</v>
      </c>
      <c r="P45" s="21" t="s">
        <v>30</v>
      </c>
    </row>
    <row r="46" spans="1:16" ht="255" x14ac:dyDescent="0.25">
      <c r="A46" s="105" t="s">
        <v>226</v>
      </c>
      <c r="B46" s="106" t="s">
        <v>17</v>
      </c>
      <c r="C46" s="106" t="s">
        <v>210</v>
      </c>
      <c r="D46" s="107" t="s">
        <v>227</v>
      </c>
      <c r="E46" s="106" t="s">
        <v>33</v>
      </c>
      <c r="F46" s="106" t="s">
        <v>65</v>
      </c>
      <c r="G46" s="106" t="s">
        <v>22</v>
      </c>
      <c r="H46" s="107" t="s">
        <v>228</v>
      </c>
      <c r="I46" s="107" t="s">
        <v>229</v>
      </c>
      <c r="J46" s="106">
        <v>6</v>
      </c>
      <c r="K46" s="8" t="s">
        <v>25</v>
      </c>
      <c r="L46" s="20" t="s">
        <v>231</v>
      </c>
      <c r="M46" s="15" t="s">
        <v>27</v>
      </c>
      <c r="N46" s="15" t="s">
        <v>233</v>
      </c>
      <c r="O46" s="15" t="s">
        <v>234</v>
      </c>
      <c r="P46" s="21" t="s">
        <v>30</v>
      </c>
    </row>
    <row r="47" spans="1:16" ht="285" x14ac:dyDescent="0.25">
      <c r="A47" s="106" t="s">
        <v>235</v>
      </c>
      <c r="B47" s="106" t="s">
        <v>17</v>
      </c>
      <c r="C47" s="106" t="s">
        <v>210</v>
      </c>
      <c r="D47" s="107" t="s">
        <v>236</v>
      </c>
      <c r="E47" s="106" t="s">
        <v>70</v>
      </c>
      <c r="F47" s="106" t="s">
        <v>237</v>
      </c>
      <c r="G47" s="106" t="s">
        <v>22</v>
      </c>
      <c r="H47" s="107" t="s">
        <v>238</v>
      </c>
      <c r="I47" s="107" t="s">
        <v>239</v>
      </c>
      <c r="J47" s="106">
        <v>8</v>
      </c>
      <c r="K47" s="8" t="s">
        <v>25</v>
      </c>
      <c r="L47" s="20" t="s">
        <v>231</v>
      </c>
      <c r="M47" s="15" t="s">
        <v>232</v>
      </c>
      <c r="N47" s="15" t="s">
        <v>233</v>
      </c>
      <c r="O47" s="15" t="s">
        <v>234</v>
      </c>
      <c r="P47" s="21" t="s">
        <v>30</v>
      </c>
    </row>
    <row r="48" spans="1:16" ht="285" x14ac:dyDescent="0.25">
      <c r="A48" s="4" t="s">
        <v>241</v>
      </c>
      <c r="B48" s="4" t="s">
        <v>17</v>
      </c>
      <c r="C48" s="4" t="s">
        <v>210</v>
      </c>
      <c r="D48" s="11" t="s">
        <v>242</v>
      </c>
      <c r="E48" s="4" t="s">
        <v>33</v>
      </c>
      <c r="F48" s="4" t="s">
        <v>65</v>
      </c>
      <c r="G48" s="4" t="s">
        <v>82</v>
      </c>
      <c r="H48" s="11" t="s">
        <v>243</v>
      </c>
      <c r="I48" s="11" t="s">
        <v>244</v>
      </c>
      <c r="J48" s="4">
        <v>10</v>
      </c>
      <c r="K48" s="4" t="s">
        <v>240</v>
      </c>
      <c r="L48" s="20" t="s">
        <v>231</v>
      </c>
      <c r="M48" s="15" t="s">
        <v>232</v>
      </c>
      <c r="N48" s="15" t="s">
        <v>233</v>
      </c>
      <c r="O48" s="15" t="s">
        <v>234</v>
      </c>
      <c r="P48" s="21" t="s">
        <v>30</v>
      </c>
    </row>
    <row r="49" spans="1:16" ht="105" x14ac:dyDescent="0.25">
      <c r="A49" s="4" t="s">
        <v>245</v>
      </c>
      <c r="B49" s="4" t="s">
        <v>17</v>
      </c>
      <c r="C49" s="4" t="s">
        <v>210</v>
      </c>
      <c r="D49" s="11" t="s">
        <v>246</v>
      </c>
      <c r="E49" s="4" t="s">
        <v>33</v>
      </c>
      <c r="F49" s="4" t="s">
        <v>65</v>
      </c>
      <c r="G49" s="4" t="s">
        <v>82</v>
      </c>
      <c r="H49" s="11" t="s">
        <v>247</v>
      </c>
      <c r="I49" s="11" t="s">
        <v>248</v>
      </c>
      <c r="J49" s="4">
        <v>4</v>
      </c>
      <c r="K49" s="4" t="s">
        <v>240</v>
      </c>
      <c r="L49" s="20" t="s">
        <v>231</v>
      </c>
      <c r="M49" s="15" t="s">
        <v>232</v>
      </c>
      <c r="N49" s="15" t="s">
        <v>233</v>
      </c>
      <c r="O49" s="15" t="s">
        <v>234</v>
      </c>
      <c r="P49" s="21" t="s">
        <v>30</v>
      </c>
    </row>
    <row r="50" spans="1:16" ht="90" x14ac:dyDescent="0.25">
      <c r="A50" s="4" t="s">
        <v>249</v>
      </c>
      <c r="B50" s="4" t="s">
        <v>17</v>
      </c>
      <c r="C50" s="4" t="s">
        <v>210</v>
      </c>
      <c r="D50" s="11" t="s">
        <v>250</v>
      </c>
      <c r="E50" s="4" t="s">
        <v>33</v>
      </c>
      <c r="F50" s="4" t="s">
        <v>65</v>
      </c>
      <c r="G50" s="4" t="s">
        <v>45</v>
      </c>
      <c r="H50" s="11" t="s">
        <v>251</v>
      </c>
      <c r="I50" s="11" t="s">
        <v>252</v>
      </c>
      <c r="J50" s="4">
        <v>4</v>
      </c>
      <c r="K50" s="4" t="s">
        <v>240</v>
      </c>
      <c r="L50" s="20" t="s">
        <v>231</v>
      </c>
      <c r="M50" s="15" t="s">
        <v>232</v>
      </c>
      <c r="N50" s="15" t="s">
        <v>233</v>
      </c>
      <c r="O50" s="15" t="s">
        <v>234</v>
      </c>
      <c r="P50" s="21" t="s">
        <v>30</v>
      </c>
    </row>
    <row r="51" spans="1:16" ht="105" x14ac:dyDescent="0.25">
      <c r="A51" s="4" t="s">
        <v>253</v>
      </c>
      <c r="B51" s="4" t="s">
        <v>17</v>
      </c>
      <c r="C51" s="4" t="s">
        <v>210</v>
      </c>
      <c r="D51" s="11" t="s">
        <v>254</v>
      </c>
      <c r="E51" s="4" t="s">
        <v>33</v>
      </c>
      <c r="F51" s="4" t="s">
        <v>65</v>
      </c>
      <c r="G51" s="4" t="s">
        <v>82</v>
      </c>
      <c r="H51" s="11" t="s">
        <v>255</v>
      </c>
      <c r="I51" s="11" t="s">
        <v>256</v>
      </c>
      <c r="J51" s="4">
        <v>6</v>
      </c>
      <c r="K51" s="4" t="s">
        <v>240</v>
      </c>
      <c r="L51" s="20" t="s">
        <v>231</v>
      </c>
      <c r="M51" s="15" t="s">
        <v>232</v>
      </c>
      <c r="N51" s="15" t="s">
        <v>233</v>
      </c>
      <c r="O51" s="15" t="s">
        <v>234</v>
      </c>
      <c r="P51" s="21" t="s">
        <v>30</v>
      </c>
    </row>
    <row r="52" spans="1:16" ht="75" x14ac:dyDescent="0.25">
      <c r="A52" s="4" t="s">
        <v>257</v>
      </c>
      <c r="B52" s="4" t="s">
        <v>17</v>
      </c>
      <c r="C52" s="4" t="s">
        <v>210</v>
      </c>
      <c r="D52" s="11" t="s">
        <v>258</v>
      </c>
      <c r="E52" s="4" t="s">
        <v>33</v>
      </c>
      <c r="F52" s="4" t="s">
        <v>65</v>
      </c>
      <c r="G52" s="4" t="s">
        <v>22</v>
      </c>
      <c r="H52" s="11" t="s">
        <v>259</v>
      </c>
      <c r="I52" s="11" t="s">
        <v>260</v>
      </c>
      <c r="J52" s="4">
        <v>6</v>
      </c>
      <c r="K52" s="4" t="s">
        <v>240</v>
      </c>
      <c r="L52" s="20" t="s">
        <v>231</v>
      </c>
      <c r="M52" s="15" t="s">
        <v>232</v>
      </c>
      <c r="N52" s="15" t="s">
        <v>233</v>
      </c>
      <c r="O52" s="15" t="s">
        <v>234</v>
      </c>
      <c r="P52" s="21" t="s">
        <v>30</v>
      </c>
    </row>
    <row r="53" spans="1:16" ht="90" x14ac:dyDescent="0.25">
      <c r="A53" s="4" t="s">
        <v>261</v>
      </c>
      <c r="B53" s="4" t="s">
        <v>17</v>
      </c>
      <c r="C53" s="4" t="s">
        <v>210</v>
      </c>
      <c r="D53" s="11" t="s">
        <v>262</v>
      </c>
      <c r="E53" s="4" t="s">
        <v>33</v>
      </c>
      <c r="F53" s="4" t="s">
        <v>65</v>
      </c>
      <c r="G53" s="4" t="s">
        <v>22</v>
      </c>
      <c r="H53" s="11" t="s">
        <v>263</v>
      </c>
      <c r="I53" s="11" t="s">
        <v>264</v>
      </c>
      <c r="J53" s="4">
        <v>4</v>
      </c>
      <c r="K53" s="4" t="s">
        <v>240</v>
      </c>
      <c r="L53" s="20" t="s">
        <v>231</v>
      </c>
      <c r="M53" s="15" t="s">
        <v>232</v>
      </c>
      <c r="N53" s="15" t="s">
        <v>233</v>
      </c>
      <c r="O53" s="15" t="s">
        <v>234</v>
      </c>
      <c r="P53" s="21" t="s">
        <v>30</v>
      </c>
    </row>
    <row r="54" spans="1:16" ht="180" x14ac:dyDescent="0.25">
      <c r="A54" s="4" t="s">
        <v>265</v>
      </c>
      <c r="B54" s="4" t="s">
        <v>17</v>
      </c>
      <c r="C54" s="4" t="s">
        <v>266</v>
      </c>
      <c r="D54" s="11" t="s">
        <v>267</v>
      </c>
      <c r="E54" s="4" t="s">
        <v>33</v>
      </c>
      <c r="F54" s="4" t="s">
        <v>21</v>
      </c>
      <c r="G54" s="4" t="s">
        <v>22</v>
      </c>
      <c r="H54" s="11" t="s">
        <v>268</v>
      </c>
      <c r="I54" s="11" t="s">
        <v>269</v>
      </c>
      <c r="J54" s="4">
        <v>4</v>
      </c>
      <c r="K54" s="4" t="s">
        <v>240</v>
      </c>
      <c r="L54" s="20" t="s">
        <v>231</v>
      </c>
      <c r="M54" s="15" t="s">
        <v>232</v>
      </c>
      <c r="N54" s="15" t="s">
        <v>233</v>
      </c>
      <c r="O54" s="15" t="s">
        <v>234</v>
      </c>
      <c r="P54" s="21" t="s">
        <v>30</v>
      </c>
    </row>
    <row r="55" spans="1:16" ht="90" x14ac:dyDescent="0.25">
      <c r="A55" s="4" t="s">
        <v>270</v>
      </c>
      <c r="B55" s="4" t="s">
        <v>17</v>
      </c>
      <c r="C55" s="4" t="s">
        <v>266</v>
      </c>
      <c r="D55" s="11" t="s">
        <v>271</v>
      </c>
      <c r="E55" s="4" t="s">
        <v>33</v>
      </c>
      <c r="F55" s="4" t="s">
        <v>272</v>
      </c>
      <c r="G55" s="4" t="s">
        <v>82</v>
      </c>
      <c r="H55" s="11" t="s">
        <v>273</v>
      </c>
      <c r="I55" s="11" t="s">
        <v>274</v>
      </c>
      <c r="J55" s="4">
        <v>4</v>
      </c>
      <c r="K55" s="4" t="s">
        <v>240</v>
      </c>
      <c r="L55" s="20" t="s">
        <v>231</v>
      </c>
      <c r="M55" s="15" t="s">
        <v>232</v>
      </c>
      <c r="N55" s="15" t="s">
        <v>233</v>
      </c>
      <c r="O55" s="15" t="s">
        <v>234</v>
      </c>
      <c r="P55" s="21" t="s">
        <v>30</v>
      </c>
    </row>
    <row r="56" spans="1:16" ht="135" x14ac:dyDescent="0.25">
      <c r="A56" s="4" t="s">
        <v>275</v>
      </c>
      <c r="B56" s="4" t="s">
        <v>17</v>
      </c>
      <c r="C56" s="4" t="s">
        <v>266</v>
      </c>
      <c r="D56" s="11" t="s">
        <v>276</v>
      </c>
      <c r="E56" s="4" t="s">
        <v>33</v>
      </c>
      <c r="F56" s="4" t="s">
        <v>277</v>
      </c>
      <c r="G56" s="4" t="s">
        <v>82</v>
      </c>
      <c r="H56" s="11" t="s">
        <v>278</v>
      </c>
      <c r="I56" s="11" t="s">
        <v>279</v>
      </c>
      <c r="J56" s="4">
        <v>6</v>
      </c>
      <c r="K56" s="4" t="s">
        <v>240</v>
      </c>
      <c r="L56" s="20" t="s">
        <v>231</v>
      </c>
      <c r="M56" s="15" t="s">
        <v>232</v>
      </c>
      <c r="N56" s="15" t="s">
        <v>233</v>
      </c>
      <c r="O56" s="15" t="s">
        <v>234</v>
      </c>
      <c r="P56" s="21" t="s">
        <v>30</v>
      </c>
    </row>
    <row r="57" spans="1:16" ht="60" x14ac:dyDescent="0.25">
      <c r="A57" s="4" t="s">
        <v>280</v>
      </c>
      <c r="B57" s="4" t="s">
        <v>17</v>
      </c>
      <c r="C57" s="4" t="s">
        <v>266</v>
      </c>
      <c r="D57" s="11" t="s">
        <v>281</v>
      </c>
      <c r="E57" s="4" t="s">
        <v>33</v>
      </c>
      <c r="F57" s="4" t="s">
        <v>277</v>
      </c>
      <c r="G57" s="4" t="s">
        <v>45</v>
      </c>
      <c r="H57" s="11" t="s">
        <v>282</v>
      </c>
      <c r="I57" s="11" t="s">
        <v>283</v>
      </c>
      <c r="J57" s="4">
        <v>4</v>
      </c>
      <c r="K57" s="4" t="s">
        <v>240</v>
      </c>
      <c r="L57" s="20" t="s">
        <v>231</v>
      </c>
      <c r="M57" s="15" t="s">
        <v>232</v>
      </c>
      <c r="N57" s="15" t="s">
        <v>233</v>
      </c>
      <c r="O57" s="15" t="s">
        <v>234</v>
      </c>
      <c r="P57" s="21" t="s">
        <v>30</v>
      </c>
    </row>
    <row r="58" spans="1:16" ht="105" x14ac:dyDescent="0.25">
      <c r="A58" s="4" t="s">
        <v>284</v>
      </c>
      <c r="B58" s="4" t="s">
        <v>17</v>
      </c>
      <c r="C58" s="4" t="s">
        <v>266</v>
      </c>
      <c r="D58" s="11" t="s">
        <v>285</v>
      </c>
      <c r="E58" s="4" t="s">
        <v>70</v>
      </c>
      <c r="F58" s="4" t="s">
        <v>286</v>
      </c>
      <c r="G58" s="4" t="s">
        <v>22</v>
      </c>
      <c r="H58" s="11" t="s">
        <v>287</v>
      </c>
      <c r="I58" s="11" t="s">
        <v>288</v>
      </c>
      <c r="J58" s="4">
        <v>10</v>
      </c>
      <c r="K58" s="4" t="s">
        <v>240</v>
      </c>
      <c r="L58" s="20" t="s">
        <v>231</v>
      </c>
      <c r="M58" s="15" t="s">
        <v>232</v>
      </c>
      <c r="N58" s="15" t="s">
        <v>233</v>
      </c>
      <c r="O58" s="15" t="s">
        <v>234</v>
      </c>
      <c r="P58" s="21" t="s">
        <v>30</v>
      </c>
    </row>
    <row r="59" spans="1:16" ht="105" x14ac:dyDescent="0.25">
      <c r="A59" s="4" t="s">
        <v>289</v>
      </c>
      <c r="B59" s="4" t="s">
        <v>17</v>
      </c>
      <c r="C59" s="4" t="s">
        <v>266</v>
      </c>
      <c r="D59" s="11" t="s">
        <v>290</v>
      </c>
      <c r="E59" s="4" t="s">
        <v>70</v>
      </c>
      <c r="F59" s="4" t="s">
        <v>286</v>
      </c>
      <c r="G59" s="4" t="s">
        <v>22</v>
      </c>
      <c r="H59" s="11" t="s">
        <v>291</v>
      </c>
      <c r="I59" s="11" t="s">
        <v>292</v>
      </c>
      <c r="J59" s="4">
        <v>10</v>
      </c>
      <c r="K59" s="4" t="s">
        <v>240</v>
      </c>
      <c r="L59" s="20" t="s">
        <v>231</v>
      </c>
      <c r="M59" s="15" t="s">
        <v>232</v>
      </c>
      <c r="N59" s="15" t="s">
        <v>233</v>
      </c>
      <c r="O59" s="15" t="s">
        <v>234</v>
      </c>
      <c r="P59" s="21" t="s">
        <v>30</v>
      </c>
    </row>
    <row r="60" spans="1:16" ht="105" x14ac:dyDescent="0.25">
      <c r="A60" s="4" t="s">
        <v>293</v>
      </c>
      <c r="B60" s="4" t="s">
        <v>17</v>
      </c>
      <c r="C60" s="4" t="s">
        <v>266</v>
      </c>
      <c r="D60" s="11" t="s">
        <v>294</v>
      </c>
      <c r="E60" s="4" t="s">
        <v>33</v>
      </c>
      <c r="F60" s="4" t="s">
        <v>65</v>
      </c>
      <c r="G60" s="4" t="s">
        <v>82</v>
      </c>
      <c r="H60" s="11" t="s">
        <v>295</v>
      </c>
      <c r="I60" s="11" t="s">
        <v>296</v>
      </c>
      <c r="J60" s="4">
        <v>4</v>
      </c>
      <c r="K60" s="4" t="s">
        <v>240</v>
      </c>
      <c r="L60" s="20" t="s">
        <v>231</v>
      </c>
      <c r="M60" s="15" t="s">
        <v>232</v>
      </c>
      <c r="N60" s="15" t="s">
        <v>233</v>
      </c>
      <c r="O60" s="15" t="s">
        <v>234</v>
      </c>
      <c r="P60" s="21" t="s">
        <v>30</v>
      </c>
    </row>
    <row r="61" spans="1:16" ht="135" x14ac:dyDescent="0.25">
      <c r="A61" s="4" t="s">
        <v>297</v>
      </c>
      <c r="B61" s="4" t="s">
        <v>17</v>
      </c>
      <c r="C61" s="4" t="s">
        <v>266</v>
      </c>
      <c r="D61" s="11" t="s">
        <v>298</v>
      </c>
      <c r="E61" s="4" t="s">
        <v>33</v>
      </c>
      <c r="F61" s="4" t="s">
        <v>286</v>
      </c>
      <c r="G61" s="4" t="s">
        <v>82</v>
      </c>
      <c r="H61" s="11" t="s">
        <v>299</v>
      </c>
      <c r="I61" s="11" t="s">
        <v>300</v>
      </c>
      <c r="J61" s="4">
        <v>4</v>
      </c>
      <c r="K61" s="4" t="s">
        <v>240</v>
      </c>
      <c r="L61" s="20" t="s">
        <v>231</v>
      </c>
      <c r="M61" s="15" t="s">
        <v>232</v>
      </c>
      <c r="N61" s="15" t="s">
        <v>233</v>
      </c>
      <c r="O61" s="15" t="s">
        <v>234</v>
      </c>
      <c r="P61" s="21" t="s">
        <v>30</v>
      </c>
    </row>
    <row r="62" spans="1:16" ht="135" x14ac:dyDescent="0.25">
      <c r="A62" s="4" t="s">
        <v>301</v>
      </c>
      <c r="B62" s="4" t="s">
        <v>17</v>
      </c>
      <c r="C62" s="4" t="s">
        <v>266</v>
      </c>
      <c r="D62" s="11" t="s">
        <v>302</v>
      </c>
      <c r="E62" s="4" t="s">
        <v>70</v>
      </c>
      <c r="F62" s="4" t="s">
        <v>303</v>
      </c>
      <c r="G62" s="4" t="s">
        <v>22</v>
      </c>
      <c r="H62" s="11" t="s">
        <v>304</v>
      </c>
      <c r="I62" s="11" t="s">
        <v>305</v>
      </c>
      <c r="J62" s="4">
        <v>6</v>
      </c>
      <c r="K62" s="4" t="s">
        <v>240</v>
      </c>
      <c r="L62" s="20" t="s">
        <v>231</v>
      </c>
      <c r="M62" s="15" t="s">
        <v>232</v>
      </c>
      <c r="N62" s="15" t="s">
        <v>233</v>
      </c>
      <c r="O62" s="15" t="s">
        <v>234</v>
      </c>
      <c r="P62" s="21" t="s">
        <v>30</v>
      </c>
    </row>
    <row r="63" spans="1:16" ht="75" x14ac:dyDescent="0.25">
      <c r="A63" s="4" t="s">
        <v>306</v>
      </c>
      <c r="B63" s="4" t="s">
        <v>17</v>
      </c>
      <c r="C63" s="4" t="s">
        <v>266</v>
      </c>
      <c r="D63" s="11" t="s">
        <v>307</v>
      </c>
      <c r="E63" s="4" t="s">
        <v>33</v>
      </c>
      <c r="F63" s="4" t="s">
        <v>303</v>
      </c>
      <c r="G63" s="4" t="s">
        <v>22</v>
      </c>
      <c r="H63" s="11" t="s">
        <v>308</v>
      </c>
      <c r="I63" s="11" t="s">
        <v>309</v>
      </c>
      <c r="J63" s="4">
        <v>4</v>
      </c>
      <c r="K63" s="4" t="s">
        <v>240</v>
      </c>
      <c r="L63" s="20" t="s">
        <v>231</v>
      </c>
      <c r="M63" s="15" t="s">
        <v>232</v>
      </c>
      <c r="N63" s="15" t="s">
        <v>233</v>
      </c>
      <c r="O63" s="15" t="s">
        <v>234</v>
      </c>
      <c r="P63" s="21" t="s">
        <v>30</v>
      </c>
    </row>
    <row r="64" spans="1:16" ht="120" x14ac:dyDescent="0.25">
      <c r="A64" s="4" t="s">
        <v>310</v>
      </c>
      <c r="B64" s="4" t="s">
        <v>17</v>
      </c>
      <c r="C64" s="4" t="s">
        <v>266</v>
      </c>
      <c r="D64" s="11" t="s">
        <v>311</v>
      </c>
      <c r="E64" s="4" t="s">
        <v>33</v>
      </c>
      <c r="F64" s="4" t="s">
        <v>312</v>
      </c>
      <c r="G64" s="4" t="s">
        <v>82</v>
      </c>
      <c r="H64" s="11" t="s">
        <v>313</v>
      </c>
      <c r="I64" s="11" t="s">
        <v>314</v>
      </c>
      <c r="J64" s="4">
        <v>10</v>
      </c>
      <c r="K64" s="4" t="s">
        <v>240</v>
      </c>
      <c r="L64" s="20" t="s">
        <v>231</v>
      </c>
      <c r="M64" s="15" t="s">
        <v>232</v>
      </c>
      <c r="N64" s="15" t="s">
        <v>233</v>
      </c>
      <c r="O64" s="15" t="s">
        <v>234</v>
      </c>
      <c r="P64" s="21" t="s">
        <v>30</v>
      </c>
    </row>
    <row r="65" spans="1:16" ht="105" x14ac:dyDescent="0.25">
      <c r="A65" s="4" t="s">
        <v>315</v>
      </c>
      <c r="B65" s="4" t="s">
        <v>17</v>
      </c>
      <c r="C65" s="4" t="s">
        <v>266</v>
      </c>
      <c r="D65" s="11" t="s">
        <v>316</v>
      </c>
      <c r="E65" s="4" t="s">
        <v>70</v>
      </c>
      <c r="F65" s="4" t="s">
        <v>317</v>
      </c>
      <c r="G65" s="4" t="s">
        <v>22</v>
      </c>
      <c r="H65" s="11" t="s">
        <v>318</v>
      </c>
      <c r="I65" s="11" t="s">
        <v>319</v>
      </c>
      <c r="J65" s="4">
        <v>8</v>
      </c>
      <c r="K65" s="4" t="s">
        <v>240</v>
      </c>
      <c r="L65" s="20" t="s">
        <v>231</v>
      </c>
      <c r="M65" s="15" t="s">
        <v>232</v>
      </c>
      <c r="N65" s="15" t="s">
        <v>233</v>
      </c>
      <c r="O65" s="15" t="s">
        <v>234</v>
      </c>
      <c r="P65" s="21" t="s">
        <v>30</v>
      </c>
    </row>
    <row r="66" spans="1:16" ht="180" x14ac:dyDescent="0.25">
      <c r="A66" s="4" t="s">
        <v>320</v>
      </c>
      <c r="B66" s="4" t="s">
        <v>17</v>
      </c>
      <c r="C66" s="4" t="s">
        <v>266</v>
      </c>
      <c r="D66" s="11" t="s">
        <v>321</v>
      </c>
      <c r="E66" s="4" t="s">
        <v>33</v>
      </c>
      <c r="F66" s="4" t="s">
        <v>76</v>
      </c>
      <c r="G66" s="4" t="s">
        <v>22</v>
      </c>
      <c r="H66" s="11" t="s">
        <v>322</v>
      </c>
      <c r="I66" s="11" t="s">
        <v>323</v>
      </c>
      <c r="J66" s="4">
        <v>12</v>
      </c>
      <c r="K66" s="4" t="s">
        <v>240</v>
      </c>
      <c r="L66" s="20" t="s">
        <v>231</v>
      </c>
      <c r="M66" s="15" t="s">
        <v>232</v>
      </c>
      <c r="N66" s="15" t="s">
        <v>233</v>
      </c>
      <c r="O66" s="15" t="s">
        <v>234</v>
      </c>
      <c r="P66" s="21" t="s">
        <v>30</v>
      </c>
    </row>
    <row r="67" spans="1:16" ht="105" x14ac:dyDescent="0.25">
      <c r="A67" s="4" t="s">
        <v>324</v>
      </c>
      <c r="B67" s="4" t="s">
        <v>17</v>
      </c>
      <c r="C67" s="4" t="s">
        <v>266</v>
      </c>
      <c r="D67" s="11" t="s">
        <v>325</v>
      </c>
      <c r="E67" s="4" t="s">
        <v>33</v>
      </c>
      <c r="F67" s="4" t="s">
        <v>76</v>
      </c>
      <c r="G67" s="4" t="s">
        <v>22</v>
      </c>
      <c r="H67" s="11" t="s">
        <v>326</v>
      </c>
      <c r="I67" s="11" t="s">
        <v>327</v>
      </c>
      <c r="J67" s="4">
        <v>6</v>
      </c>
      <c r="K67" s="4" t="s">
        <v>240</v>
      </c>
      <c r="L67" s="20" t="s">
        <v>231</v>
      </c>
      <c r="M67" s="15" t="s">
        <v>232</v>
      </c>
      <c r="N67" s="15" t="s">
        <v>233</v>
      </c>
      <c r="O67" s="15" t="s">
        <v>234</v>
      </c>
      <c r="P67" s="21" t="s">
        <v>30</v>
      </c>
    </row>
    <row r="68" spans="1:16" ht="120" x14ac:dyDescent="0.25">
      <c r="A68" s="4" t="s">
        <v>328</v>
      </c>
      <c r="B68" s="4" t="s">
        <v>17</v>
      </c>
      <c r="C68" s="4" t="s">
        <v>266</v>
      </c>
      <c r="D68" s="11" t="s">
        <v>329</v>
      </c>
      <c r="E68" s="4" t="s">
        <v>33</v>
      </c>
      <c r="F68" s="4" t="s">
        <v>76</v>
      </c>
      <c r="G68" s="4" t="s">
        <v>82</v>
      </c>
      <c r="H68" s="11" t="s">
        <v>330</v>
      </c>
      <c r="I68" s="11" t="s">
        <v>331</v>
      </c>
      <c r="J68" s="4">
        <v>8</v>
      </c>
      <c r="K68" s="4" t="s">
        <v>240</v>
      </c>
      <c r="L68" s="20" t="s">
        <v>231</v>
      </c>
      <c r="M68" s="15" t="s">
        <v>232</v>
      </c>
      <c r="N68" s="15" t="s">
        <v>233</v>
      </c>
      <c r="O68" s="15" t="s">
        <v>234</v>
      </c>
      <c r="P68" s="21" t="s">
        <v>30</v>
      </c>
    </row>
    <row r="69" spans="1:16" ht="120" x14ac:dyDescent="0.25">
      <c r="A69" s="4" t="s">
        <v>332</v>
      </c>
      <c r="B69" s="4" t="s">
        <v>17</v>
      </c>
      <c r="C69" s="4" t="s">
        <v>266</v>
      </c>
      <c r="D69" s="11" t="s">
        <v>333</v>
      </c>
      <c r="E69" s="4" t="s">
        <v>33</v>
      </c>
      <c r="F69" s="4" t="s">
        <v>76</v>
      </c>
      <c r="G69" s="4" t="s">
        <v>22</v>
      </c>
      <c r="H69" s="11" t="s">
        <v>334</v>
      </c>
      <c r="I69" s="11" t="s">
        <v>335</v>
      </c>
      <c r="J69" s="4">
        <v>6</v>
      </c>
      <c r="K69" s="4" t="s">
        <v>240</v>
      </c>
      <c r="L69" s="20" t="s">
        <v>231</v>
      </c>
      <c r="M69" s="15" t="s">
        <v>232</v>
      </c>
      <c r="N69" s="15" t="s">
        <v>233</v>
      </c>
      <c r="O69" s="15" t="s">
        <v>234</v>
      </c>
      <c r="P69" s="21" t="s">
        <v>30</v>
      </c>
    </row>
    <row r="70" spans="1:16" ht="210" x14ac:dyDescent="0.25">
      <c r="A70" s="8" t="s">
        <v>336</v>
      </c>
      <c r="B70" s="8" t="s">
        <v>17</v>
      </c>
      <c r="C70" s="8" t="s">
        <v>337</v>
      </c>
      <c r="D70" s="10" t="s">
        <v>338</v>
      </c>
      <c r="E70" s="8" t="s">
        <v>339</v>
      </c>
      <c r="F70" s="8" t="s">
        <v>340</v>
      </c>
      <c r="G70" s="8" t="s">
        <v>22</v>
      </c>
      <c r="H70" s="10" t="s">
        <v>341</v>
      </c>
      <c r="I70" s="10" t="s">
        <v>342</v>
      </c>
      <c r="J70" s="8">
        <v>8</v>
      </c>
      <c r="K70" s="8" t="s">
        <v>25</v>
      </c>
      <c r="L70" s="20" t="s">
        <v>26</v>
      </c>
      <c r="M70" s="15" t="s">
        <v>27</v>
      </c>
      <c r="N70" s="15" t="s">
        <v>28</v>
      </c>
      <c r="O70" s="15" t="s">
        <v>29</v>
      </c>
      <c r="P70" s="21" t="s">
        <v>30</v>
      </c>
    </row>
    <row r="71" spans="1:16" ht="195" x14ac:dyDescent="0.25">
      <c r="A71" s="8" t="s">
        <v>343</v>
      </c>
      <c r="B71" s="8" t="s">
        <v>17</v>
      </c>
      <c r="C71" s="8" t="s">
        <v>337</v>
      </c>
      <c r="D71" s="10" t="s">
        <v>344</v>
      </c>
      <c r="E71" s="8" t="s">
        <v>339</v>
      </c>
      <c r="F71" s="8" t="s">
        <v>340</v>
      </c>
      <c r="G71" s="8" t="s">
        <v>45</v>
      </c>
      <c r="H71" s="10" t="s">
        <v>345</v>
      </c>
      <c r="I71" s="10" t="s">
        <v>346</v>
      </c>
      <c r="J71" s="8">
        <v>6</v>
      </c>
      <c r="K71" s="8" t="s">
        <v>25</v>
      </c>
      <c r="L71" s="20" t="s">
        <v>26</v>
      </c>
      <c r="M71" s="15" t="s">
        <v>27</v>
      </c>
      <c r="N71" s="15" t="s">
        <v>28</v>
      </c>
      <c r="O71" s="15" t="s">
        <v>29</v>
      </c>
      <c r="P71" s="21" t="s">
        <v>30</v>
      </c>
    </row>
    <row r="72" spans="1:16" ht="195" x14ac:dyDescent="0.25">
      <c r="A72" s="13" t="s">
        <v>347</v>
      </c>
      <c r="B72" s="13" t="s">
        <v>17</v>
      </c>
      <c r="C72" s="13" t="s">
        <v>337</v>
      </c>
      <c r="D72" s="10" t="s">
        <v>348</v>
      </c>
      <c r="E72" s="13" t="s">
        <v>33</v>
      </c>
      <c r="F72" s="13" t="s">
        <v>349</v>
      </c>
      <c r="G72" s="13" t="s">
        <v>22</v>
      </c>
      <c r="H72" s="10" t="s">
        <v>350</v>
      </c>
      <c r="I72" s="10" t="s">
        <v>351</v>
      </c>
      <c r="J72" s="13">
        <v>8</v>
      </c>
      <c r="K72" s="8" t="s">
        <v>25</v>
      </c>
      <c r="L72" s="20" t="s">
        <v>26</v>
      </c>
      <c r="M72" s="15" t="s">
        <v>27</v>
      </c>
      <c r="N72" s="15" t="s">
        <v>28</v>
      </c>
      <c r="O72" s="15" t="s">
        <v>29</v>
      </c>
      <c r="P72" s="21" t="s">
        <v>30</v>
      </c>
    </row>
    <row r="73" spans="1:16" ht="105" x14ac:dyDescent="0.25">
      <c r="A73" s="13" t="s">
        <v>352</v>
      </c>
      <c r="B73" s="13" t="s">
        <v>17</v>
      </c>
      <c r="C73" s="13" t="s">
        <v>337</v>
      </c>
      <c r="D73" s="10" t="s">
        <v>353</v>
      </c>
      <c r="E73" s="13" t="s">
        <v>70</v>
      </c>
      <c r="F73" s="13" t="s">
        <v>349</v>
      </c>
      <c r="G73" s="13" t="s">
        <v>22</v>
      </c>
      <c r="H73" s="10" t="s">
        <v>354</v>
      </c>
      <c r="I73" s="10" t="s">
        <v>355</v>
      </c>
      <c r="J73" s="13">
        <v>8</v>
      </c>
      <c r="K73" s="8" t="s">
        <v>25</v>
      </c>
      <c r="L73" s="20" t="s">
        <v>26</v>
      </c>
      <c r="M73" s="15" t="s">
        <v>27</v>
      </c>
      <c r="N73" s="15" t="s">
        <v>28</v>
      </c>
      <c r="O73" s="15" t="s">
        <v>29</v>
      </c>
      <c r="P73" s="21" t="s">
        <v>30</v>
      </c>
    </row>
    <row r="74" spans="1:16" ht="210" x14ac:dyDescent="0.25">
      <c r="A74" s="13" t="s">
        <v>356</v>
      </c>
      <c r="B74" s="13" t="s">
        <v>17</v>
      </c>
      <c r="C74" s="13" t="s">
        <v>337</v>
      </c>
      <c r="D74" s="10" t="s">
        <v>357</v>
      </c>
      <c r="E74" s="13" t="s">
        <v>358</v>
      </c>
      <c r="F74" s="13" t="s">
        <v>349</v>
      </c>
      <c r="G74" s="13" t="s">
        <v>22</v>
      </c>
      <c r="H74" s="10" t="s">
        <v>359</v>
      </c>
      <c r="I74" s="10" t="s">
        <v>360</v>
      </c>
      <c r="J74" s="13">
        <v>8</v>
      </c>
      <c r="K74" s="8" t="s">
        <v>25</v>
      </c>
      <c r="L74" s="20" t="s">
        <v>26</v>
      </c>
      <c r="M74" s="15" t="s">
        <v>27</v>
      </c>
      <c r="N74" s="15" t="s">
        <v>28</v>
      </c>
      <c r="O74" s="15" t="s">
        <v>29</v>
      </c>
      <c r="P74" s="21" t="s">
        <v>30</v>
      </c>
    </row>
    <row r="75" spans="1:16" ht="105" x14ac:dyDescent="0.25">
      <c r="A75" s="13" t="s">
        <v>361</v>
      </c>
      <c r="B75" s="13" t="s">
        <v>17</v>
      </c>
      <c r="C75" s="13" t="s">
        <v>337</v>
      </c>
      <c r="D75" s="10" t="s">
        <v>362</v>
      </c>
      <c r="E75" s="13" t="s">
        <v>70</v>
      </c>
      <c r="F75" s="13" t="s">
        <v>349</v>
      </c>
      <c r="G75" s="13" t="s">
        <v>82</v>
      </c>
      <c r="H75" s="10" t="s">
        <v>363</v>
      </c>
      <c r="I75" s="10" t="s">
        <v>364</v>
      </c>
      <c r="J75" s="13">
        <v>4</v>
      </c>
      <c r="K75" s="8" t="s">
        <v>25</v>
      </c>
      <c r="L75" s="20" t="s">
        <v>26</v>
      </c>
      <c r="M75" s="15" t="s">
        <v>27</v>
      </c>
      <c r="N75" s="15" t="s">
        <v>28</v>
      </c>
      <c r="O75" s="15" t="s">
        <v>29</v>
      </c>
      <c r="P75" s="21" t="s">
        <v>30</v>
      </c>
    </row>
    <row r="76" spans="1:16" ht="75" x14ac:dyDescent="0.25">
      <c r="A76" s="13" t="s">
        <v>365</v>
      </c>
      <c r="B76" s="13" t="s">
        <v>17</v>
      </c>
      <c r="C76" s="13" t="s">
        <v>337</v>
      </c>
      <c r="D76" s="10" t="s">
        <v>366</v>
      </c>
      <c r="E76" s="13" t="s">
        <v>33</v>
      </c>
      <c r="F76" s="13" t="s">
        <v>349</v>
      </c>
      <c r="G76" s="13" t="s">
        <v>82</v>
      </c>
      <c r="H76" s="10" t="s">
        <v>367</v>
      </c>
      <c r="I76" s="10" t="s">
        <v>368</v>
      </c>
      <c r="J76" s="13">
        <v>4</v>
      </c>
      <c r="K76" s="8" t="s">
        <v>25</v>
      </c>
      <c r="L76" s="20" t="s">
        <v>26</v>
      </c>
      <c r="M76" s="15" t="s">
        <v>27</v>
      </c>
      <c r="N76" s="15" t="s">
        <v>28</v>
      </c>
      <c r="O76" s="15" t="s">
        <v>29</v>
      </c>
      <c r="P76" s="21" t="s">
        <v>30</v>
      </c>
    </row>
    <row r="77" spans="1:16" ht="105" x14ac:dyDescent="0.25">
      <c r="A77" s="4" t="s">
        <v>369</v>
      </c>
      <c r="B77" s="4" t="s">
        <v>17</v>
      </c>
      <c r="C77" s="4" t="s">
        <v>337</v>
      </c>
      <c r="D77" s="11" t="s">
        <v>370</v>
      </c>
      <c r="E77" s="4" t="s">
        <v>20</v>
      </c>
      <c r="F77" s="4" t="s">
        <v>349</v>
      </c>
      <c r="G77" s="4" t="s">
        <v>82</v>
      </c>
      <c r="H77" s="11" t="s">
        <v>371</v>
      </c>
      <c r="I77" s="11" t="s">
        <v>372</v>
      </c>
      <c r="J77" s="4">
        <v>4</v>
      </c>
      <c r="K77" s="4" t="s">
        <v>240</v>
      </c>
      <c r="L77" s="20" t="s">
        <v>231</v>
      </c>
      <c r="M77" s="15" t="s">
        <v>232</v>
      </c>
      <c r="N77" s="15" t="s">
        <v>233</v>
      </c>
      <c r="O77" s="15" t="s">
        <v>234</v>
      </c>
      <c r="P77" s="21" t="s">
        <v>30</v>
      </c>
    </row>
    <row r="78" spans="1:16" ht="120" x14ac:dyDescent="0.25">
      <c r="A78" s="4" t="s">
        <v>373</v>
      </c>
      <c r="B78" s="4" t="s">
        <v>17</v>
      </c>
      <c r="C78" s="4" t="s">
        <v>337</v>
      </c>
      <c r="D78" s="11" t="s">
        <v>374</v>
      </c>
      <c r="E78" s="4" t="s">
        <v>64</v>
      </c>
      <c r="F78" s="4" t="s">
        <v>375</v>
      </c>
      <c r="G78" s="4" t="s">
        <v>22</v>
      </c>
      <c r="H78" s="11" t="s">
        <v>376</v>
      </c>
      <c r="I78" s="11" t="s">
        <v>377</v>
      </c>
      <c r="J78" s="4">
        <v>6</v>
      </c>
      <c r="K78" s="4" t="s">
        <v>240</v>
      </c>
      <c r="L78" s="20" t="s">
        <v>231</v>
      </c>
      <c r="M78" s="15" t="s">
        <v>232</v>
      </c>
      <c r="N78" s="15" t="s">
        <v>233</v>
      </c>
      <c r="O78" s="15" t="s">
        <v>234</v>
      </c>
      <c r="P78" s="21" t="s">
        <v>30</v>
      </c>
    </row>
    <row r="79" spans="1:16" ht="90" x14ac:dyDescent="0.25">
      <c r="A79" s="4" t="s">
        <v>378</v>
      </c>
      <c r="B79" s="4" t="s">
        <v>17</v>
      </c>
      <c r="C79" s="4" t="s">
        <v>337</v>
      </c>
      <c r="D79" s="11" t="s">
        <v>379</v>
      </c>
      <c r="E79" s="4" t="s">
        <v>64</v>
      </c>
      <c r="F79" s="4" t="s">
        <v>380</v>
      </c>
      <c r="G79" s="4" t="s">
        <v>82</v>
      </c>
      <c r="H79" s="11" t="s">
        <v>381</v>
      </c>
      <c r="I79" s="11" t="s">
        <v>382</v>
      </c>
      <c r="J79" s="4">
        <v>4</v>
      </c>
      <c r="K79" s="4" t="s">
        <v>240</v>
      </c>
      <c r="L79" s="20" t="s">
        <v>231</v>
      </c>
      <c r="M79" s="15" t="s">
        <v>232</v>
      </c>
      <c r="N79" s="15" t="s">
        <v>233</v>
      </c>
      <c r="O79" s="15" t="s">
        <v>234</v>
      </c>
      <c r="P79" s="21" t="s">
        <v>30</v>
      </c>
    </row>
    <row r="80" spans="1:16" ht="75" x14ac:dyDescent="0.25">
      <c r="A80" s="4" t="s">
        <v>383</v>
      </c>
      <c r="B80" s="4" t="s">
        <v>17</v>
      </c>
      <c r="C80" s="4" t="s">
        <v>337</v>
      </c>
      <c r="D80" s="11" t="s">
        <v>384</v>
      </c>
      <c r="E80" s="4" t="s">
        <v>64</v>
      </c>
      <c r="F80" s="4" t="s">
        <v>375</v>
      </c>
      <c r="G80" s="4" t="s">
        <v>82</v>
      </c>
      <c r="H80" s="11" t="s">
        <v>385</v>
      </c>
      <c r="I80" s="11" t="s">
        <v>386</v>
      </c>
      <c r="J80" s="4">
        <v>3</v>
      </c>
      <c r="K80" s="4" t="s">
        <v>240</v>
      </c>
      <c r="L80" s="20" t="s">
        <v>231</v>
      </c>
      <c r="M80" s="15" t="s">
        <v>232</v>
      </c>
      <c r="N80" s="15" t="s">
        <v>233</v>
      </c>
      <c r="O80" s="15" t="s">
        <v>234</v>
      </c>
      <c r="P80" s="21" t="s">
        <v>30</v>
      </c>
    </row>
    <row r="81" spans="1:16" ht="90" x14ac:dyDescent="0.25">
      <c r="A81" s="4" t="s">
        <v>387</v>
      </c>
      <c r="B81" s="4" t="s">
        <v>17</v>
      </c>
      <c r="C81" s="4" t="s">
        <v>337</v>
      </c>
      <c r="D81" s="11" t="s">
        <v>388</v>
      </c>
      <c r="E81" s="4" t="s">
        <v>64</v>
      </c>
      <c r="F81" s="4" t="s">
        <v>389</v>
      </c>
      <c r="G81" s="4" t="s">
        <v>22</v>
      </c>
      <c r="H81" s="11" t="s">
        <v>390</v>
      </c>
      <c r="I81" s="11" t="s">
        <v>391</v>
      </c>
      <c r="J81" s="4">
        <v>4</v>
      </c>
      <c r="K81" s="4" t="s">
        <v>240</v>
      </c>
      <c r="L81" s="20" t="s">
        <v>231</v>
      </c>
      <c r="M81" s="15" t="s">
        <v>232</v>
      </c>
      <c r="N81" s="15" t="s">
        <v>233</v>
      </c>
      <c r="O81" s="15" t="s">
        <v>234</v>
      </c>
      <c r="P81" s="21" t="s">
        <v>30</v>
      </c>
    </row>
    <row r="82" spans="1:16" ht="210" x14ac:dyDescent="0.25">
      <c r="A82" s="4" t="s">
        <v>392</v>
      </c>
      <c r="B82" s="4" t="s">
        <v>17</v>
      </c>
      <c r="C82" s="4" t="s">
        <v>337</v>
      </c>
      <c r="D82" s="11" t="s">
        <v>393</v>
      </c>
      <c r="E82" s="4" t="s">
        <v>20</v>
      </c>
      <c r="F82" s="4" t="s">
        <v>394</v>
      </c>
      <c r="G82" s="4" t="s">
        <v>22</v>
      </c>
      <c r="H82" s="11" t="s">
        <v>395</v>
      </c>
      <c r="I82" s="11" t="s">
        <v>396</v>
      </c>
      <c r="J82" s="4">
        <v>6</v>
      </c>
      <c r="K82" s="4" t="s">
        <v>240</v>
      </c>
      <c r="L82" s="20" t="s">
        <v>231</v>
      </c>
      <c r="M82" s="15" t="s">
        <v>232</v>
      </c>
      <c r="N82" s="15" t="s">
        <v>233</v>
      </c>
      <c r="O82" s="15" t="s">
        <v>234</v>
      </c>
      <c r="P82" s="21" t="s">
        <v>30</v>
      </c>
    </row>
    <row r="83" spans="1:16" ht="135" x14ac:dyDescent="0.25">
      <c r="A83" s="4" t="s">
        <v>397</v>
      </c>
      <c r="B83" s="4" t="s">
        <v>17</v>
      </c>
      <c r="C83" s="4" t="s">
        <v>337</v>
      </c>
      <c r="D83" s="11" t="s">
        <v>398</v>
      </c>
      <c r="E83" s="4" t="s">
        <v>38</v>
      </c>
      <c r="F83" s="4" t="s">
        <v>394</v>
      </c>
      <c r="G83" s="4" t="s">
        <v>82</v>
      </c>
      <c r="H83" s="11" t="s">
        <v>399</v>
      </c>
      <c r="I83" s="11" t="s">
        <v>400</v>
      </c>
      <c r="J83" s="4">
        <v>4</v>
      </c>
      <c r="K83" s="4" t="s">
        <v>240</v>
      </c>
      <c r="L83" s="20" t="s">
        <v>231</v>
      </c>
      <c r="M83" s="15" t="s">
        <v>232</v>
      </c>
      <c r="N83" s="15" t="s">
        <v>233</v>
      </c>
      <c r="O83" s="15" t="s">
        <v>234</v>
      </c>
      <c r="P83" s="21" t="s">
        <v>30</v>
      </c>
    </row>
    <row r="84" spans="1:16" ht="105" x14ac:dyDescent="0.25">
      <c r="A84" s="4" t="s">
        <v>401</v>
      </c>
      <c r="B84" s="4" t="s">
        <v>17</v>
      </c>
      <c r="C84" s="4" t="s">
        <v>337</v>
      </c>
      <c r="D84" s="11" t="s">
        <v>402</v>
      </c>
      <c r="E84" s="4" t="s">
        <v>20</v>
      </c>
      <c r="F84" s="4" t="s">
        <v>394</v>
      </c>
      <c r="G84" s="4" t="s">
        <v>22</v>
      </c>
      <c r="H84" s="11" t="s">
        <v>403</v>
      </c>
      <c r="I84" s="11" t="s">
        <v>404</v>
      </c>
      <c r="J84" s="4">
        <v>6</v>
      </c>
      <c r="K84" s="4" t="s">
        <v>240</v>
      </c>
      <c r="L84" s="20" t="s">
        <v>231</v>
      </c>
      <c r="M84" s="15" t="s">
        <v>232</v>
      </c>
      <c r="N84" s="15" t="s">
        <v>233</v>
      </c>
      <c r="O84" s="15" t="s">
        <v>234</v>
      </c>
      <c r="P84" s="21" t="s">
        <v>30</v>
      </c>
    </row>
    <row r="85" spans="1:16" ht="165" x14ac:dyDescent="0.25">
      <c r="A85" s="4" t="s">
        <v>405</v>
      </c>
      <c r="B85" s="4" t="s">
        <v>406</v>
      </c>
      <c r="C85" s="4" t="s">
        <v>407</v>
      </c>
      <c r="D85" s="11" t="s">
        <v>408</v>
      </c>
      <c r="E85" s="4" t="s">
        <v>38</v>
      </c>
      <c r="F85" s="4" t="s">
        <v>93</v>
      </c>
      <c r="G85" s="4" t="s">
        <v>22</v>
      </c>
      <c r="H85" s="11" t="s">
        <v>409</v>
      </c>
      <c r="I85" s="11" t="s">
        <v>410</v>
      </c>
      <c r="J85" s="4">
        <v>10</v>
      </c>
      <c r="K85" s="4" t="s">
        <v>240</v>
      </c>
      <c r="L85" s="20" t="s">
        <v>411</v>
      </c>
      <c r="M85" s="15" t="s">
        <v>412</v>
      </c>
      <c r="N85" s="15" t="s">
        <v>413</v>
      </c>
      <c r="O85" s="15" t="s">
        <v>414</v>
      </c>
      <c r="P85" s="21" t="s">
        <v>30</v>
      </c>
    </row>
    <row r="86" spans="1:16" ht="315" x14ac:dyDescent="0.25">
      <c r="A86" s="4" t="s">
        <v>415</v>
      </c>
      <c r="B86" s="4" t="s">
        <v>406</v>
      </c>
      <c r="C86" s="4" t="s">
        <v>407</v>
      </c>
      <c r="D86" s="11" t="s">
        <v>416</v>
      </c>
      <c r="E86" s="4" t="s">
        <v>50</v>
      </c>
      <c r="F86" s="4" t="s">
        <v>93</v>
      </c>
      <c r="G86" s="4" t="s">
        <v>22</v>
      </c>
      <c r="H86" s="11" t="s">
        <v>417</v>
      </c>
      <c r="I86" s="11" t="s">
        <v>418</v>
      </c>
      <c r="J86" s="4">
        <v>10</v>
      </c>
      <c r="K86" s="4" t="s">
        <v>240</v>
      </c>
      <c r="L86" s="20" t="s">
        <v>411</v>
      </c>
      <c r="M86" s="15" t="s">
        <v>412</v>
      </c>
      <c r="N86" s="15" t="s">
        <v>413</v>
      </c>
      <c r="O86" s="15" t="s">
        <v>414</v>
      </c>
      <c r="P86" s="21" t="s">
        <v>30</v>
      </c>
    </row>
    <row r="87" spans="1:16" ht="345" x14ac:dyDescent="0.25">
      <c r="A87" s="4" t="s">
        <v>419</v>
      </c>
      <c r="B87" s="4" t="s">
        <v>406</v>
      </c>
      <c r="C87" s="4" t="s">
        <v>407</v>
      </c>
      <c r="D87" s="11" t="s">
        <v>420</v>
      </c>
      <c r="E87" s="4" t="s">
        <v>64</v>
      </c>
      <c r="F87" s="4" t="s">
        <v>93</v>
      </c>
      <c r="G87" s="4" t="s">
        <v>22</v>
      </c>
      <c r="H87" s="11" t="s">
        <v>421</v>
      </c>
      <c r="I87" s="11" t="s">
        <v>422</v>
      </c>
      <c r="J87" s="4">
        <v>8</v>
      </c>
      <c r="K87" s="4" t="s">
        <v>240</v>
      </c>
      <c r="L87" s="20" t="s">
        <v>411</v>
      </c>
      <c r="M87" s="15" t="s">
        <v>412</v>
      </c>
      <c r="N87" s="15" t="s">
        <v>413</v>
      </c>
      <c r="O87" s="15" t="s">
        <v>414</v>
      </c>
      <c r="P87" s="21" t="s">
        <v>30</v>
      </c>
    </row>
    <row r="88" spans="1:16" ht="105" x14ac:dyDescent="0.25">
      <c r="A88" s="4" t="s">
        <v>423</v>
      </c>
      <c r="B88" s="4" t="s">
        <v>406</v>
      </c>
      <c r="C88" s="4" t="s">
        <v>407</v>
      </c>
      <c r="D88" s="11" t="s">
        <v>424</v>
      </c>
      <c r="E88" s="4" t="s">
        <v>50</v>
      </c>
      <c r="F88" s="4" t="s">
        <v>425</v>
      </c>
      <c r="G88" s="4" t="s">
        <v>22</v>
      </c>
      <c r="H88" s="11" t="s">
        <v>426</v>
      </c>
      <c r="I88" s="11" t="s">
        <v>427</v>
      </c>
      <c r="J88" s="4">
        <v>12</v>
      </c>
      <c r="K88" s="4" t="s">
        <v>240</v>
      </c>
      <c r="L88" s="20" t="s">
        <v>411</v>
      </c>
      <c r="M88" s="15" t="s">
        <v>412</v>
      </c>
      <c r="N88" s="15" t="s">
        <v>413</v>
      </c>
      <c r="O88" s="15" t="s">
        <v>414</v>
      </c>
      <c r="P88" s="21" t="s">
        <v>30</v>
      </c>
    </row>
    <row r="89" spans="1:16" ht="75" x14ac:dyDescent="0.25">
      <c r="A89" s="4" t="s">
        <v>428</v>
      </c>
      <c r="B89" s="4" t="s">
        <v>406</v>
      </c>
      <c r="C89" s="4" t="s">
        <v>407</v>
      </c>
      <c r="D89" s="11" t="s">
        <v>429</v>
      </c>
      <c r="E89" s="4" t="s">
        <v>50</v>
      </c>
      <c r="F89" s="4" t="s">
        <v>425</v>
      </c>
      <c r="G89" s="4" t="s">
        <v>82</v>
      </c>
      <c r="H89" s="11" t="s">
        <v>430</v>
      </c>
      <c r="I89" s="11" t="s">
        <v>431</v>
      </c>
      <c r="J89" s="4">
        <v>12</v>
      </c>
      <c r="K89" s="4" t="s">
        <v>240</v>
      </c>
      <c r="L89" s="20" t="s">
        <v>411</v>
      </c>
      <c r="M89" s="15" t="s">
        <v>412</v>
      </c>
      <c r="N89" s="15" t="s">
        <v>413</v>
      </c>
      <c r="O89" s="15" t="s">
        <v>414</v>
      </c>
      <c r="P89" s="21" t="s">
        <v>30</v>
      </c>
    </row>
    <row r="90" spans="1:16" ht="30" x14ac:dyDescent="0.25">
      <c r="A90" s="4" t="s">
        <v>432</v>
      </c>
      <c r="B90" s="4" t="s">
        <v>406</v>
      </c>
      <c r="C90" s="4" t="s">
        <v>407</v>
      </c>
      <c r="D90" s="11" t="s">
        <v>433</v>
      </c>
      <c r="E90" s="4" t="s">
        <v>50</v>
      </c>
      <c r="F90" s="4" t="s">
        <v>202</v>
      </c>
      <c r="G90" s="4" t="s">
        <v>22</v>
      </c>
      <c r="H90" s="11" t="s">
        <v>434</v>
      </c>
      <c r="I90" s="11" t="s">
        <v>435</v>
      </c>
      <c r="J90" s="4">
        <v>12</v>
      </c>
      <c r="K90" s="4" t="s">
        <v>240</v>
      </c>
      <c r="L90" s="20" t="s">
        <v>411</v>
      </c>
      <c r="M90" s="15" t="s">
        <v>412</v>
      </c>
      <c r="N90" s="15" t="s">
        <v>413</v>
      </c>
      <c r="O90" s="15" t="s">
        <v>414</v>
      </c>
      <c r="P90" s="21" t="s">
        <v>30</v>
      </c>
    </row>
    <row r="91" spans="1:16" ht="210" x14ac:dyDescent="0.25">
      <c r="A91" s="4" t="s">
        <v>436</v>
      </c>
      <c r="B91" s="4" t="s">
        <v>406</v>
      </c>
      <c r="C91" s="4" t="s">
        <v>407</v>
      </c>
      <c r="D91" s="11" t="s">
        <v>437</v>
      </c>
      <c r="E91" s="4" t="s">
        <v>70</v>
      </c>
      <c r="F91" s="4" t="s">
        <v>202</v>
      </c>
      <c r="G91" s="4" t="s">
        <v>22</v>
      </c>
      <c r="H91" s="11" t="s">
        <v>438</v>
      </c>
      <c r="I91" s="11" t="s">
        <v>439</v>
      </c>
      <c r="J91" s="4">
        <v>12</v>
      </c>
      <c r="K91" s="4" t="s">
        <v>240</v>
      </c>
      <c r="L91" s="20" t="s">
        <v>411</v>
      </c>
      <c r="M91" s="15" t="s">
        <v>412</v>
      </c>
      <c r="N91" s="15" t="s">
        <v>413</v>
      </c>
      <c r="O91" s="15" t="s">
        <v>414</v>
      </c>
      <c r="P91" s="21" t="s">
        <v>440</v>
      </c>
    </row>
    <row r="92" spans="1:16" ht="45" x14ac:dyDescent="0.25">
      <c r="A92" s="4" t="s">
        <v>441</v>
      </c>
      <c r="B92" s="4" t="s">
        <v>406</v>
      </c>
      <c r="C92" s="4" t="s">
        <v>407</v>
      </c>
      <c r="D92" s="11" t="s">
        <v>442</v>
      </c>
      <c r="E92" s="4" t="s">
        <v>70</v>
      </c>
      <c r="F92" s="4" t="s">
        <v>202</v>
      </c>
      <c r="G92" s="4" t="s">
        <v>82</v>
      </c>
      <c r="H92" s="11" t="s">
        <v>443</v>
      </c>
      <c r="I92" s="11" t="s">
        <v>444</v>
      </c>
      <c r="J92" s="4">
        <v>12</v>
      </c>
      <c r="K92" s="4" t="s">
        <v>240</v>
      </c>
      <c r="L92" s="20" t="s">
        <v>411</v>
      </c>
      <c r="M92" s="15" t="s">
        <v>412</v>
      </c>
      <c r="N92" s="15" t="s">
        <v>413</v>
      </c>
      <c r="O92" s="15" t="s">
        <v>414</v>
      </c>
      <c r="P92" s="21" t="s">
        <v>30</v>
      </c>
    </row>
    <row r="93" spans="1:16" ht="105" x14ac:dyDescent="0.25">
      <c r="A93" s="4" t="s">
        <v>445</v>
      </c>
      <c r="B93" s="4" t="s">
        <v>406</v>
      </c>
      <c r="C93" s="4" t="s">
        <v>407</v>
      </c>
      <c r="D93" s="11" t="s">
        <v>446</v>
      </c>
      <c r="E93" s="4" t="s">
        <v>70</v>
      </c>
      <c r="F93" s="4" t="s">
        <v>237</v>
      </c>
      <c r="G93" s="4" t="s">
        <v>22</v>
      </c>
      <c r="H93" s="11" t="s">
        <v>447</v>
      </c>
      <c r="I93" s="11" t="s">
        <v>448</v>
      </c>
      <c r="J93" s="4">
        <v>12</v>
      </c>
      <c r="K93" s="4" t="s">
        <v>240</v>
      </c>
      <c r="L93" s="20" t="s">
        <v>411</v>
      </c>
      <c r="M93" s="15" t="s">
        <v>412</v>
      </c>
      <c r="N93" s="15" t="s">
        <v>413</v>
      </c>
      <c r="O93" s="15" t="s">
        <v>414</v>
      </c>
      <c r="P93" s="21" t="s">
        <v>30</v>
      </c>
    </row>
    <row r="94" spans="1:16" ht="105" x14ac:dyDescent="0.25">
      <c r="A94" s="4" t="s">
        <v>449</v>
      </c>
      <c r="B94" s="4" t="s">
        <v>406</v>
      </c>
      <c r="C94" s="4" t="s">
        <v>407</v>
      </c>
      <c r="D94" s="11" t="s">
        <v>450</v>
      </c>
      <c r="E94" s="4" t="s">
        <v>70</v>
      </c>
      <c r="F94" s="4" t="s">
        <v>237</v>
      </c>
      <c r="G94" s="4" t="s">
        <v>82</v>
      </c>
      <c r="H94" s="11" t="s">
        <v>451</v>
      </c>
      <c r="I94" s="11" t="s">
        <v>452</v>
      </c>
      <c r="J94" s="4">
        <v>6</v>
      </c>
      <c r="K94" s="4" t="s">
        <v>240</v>
      </c>
      <c r="L94" s="20" t="s">
        <v>411</v>
      </c>
      <c r="M94" s="15" t="s">
        <v>412</v>
      </c>
      <c r="N94" s="15" t="s">
        <v>413</v>
      </c>
      <c r="O94" s="15" t="s">
        <v>414</v>
      </c>
      <c r="P94" s="21" t="s">
        <v>30</v>
      </c>
    </row>
    <row r="95" spans="1:16" ht="90" x14ac:dyDescent="0.25">
      <c r="A95" s="4" t="s">
        <v>453</v>
      </c>
      <c r="B95" s="4" t="s">
        <v>406</v>
      </c>
      <c r="C95" s="4" t="s">
        <v>407</v>
      </c>
      <c r="D95" s="11" t="s">
        <v>454</v>
      </c>
      <c r="E95" s="4" t="s">
        <v>70</v>
      </c>
      <c r="F95" s="4" t="s">
        <v>237</v>
      </c>
      <c r="G95" s="4" t="s">
        <v>82</v>
      </c>
      <c r="H95" s="11" t="s">
        <v>455</v>
      </c>
      <c r="I95" s="11" t="s">
        <v>456</v>
      </c>
      <c r="J95" s="4">
        <v>8</v>
      </c>
      <c r="K95" s="4" t="s">
        <v>240</v>
      </c>
      <c r="L95" s="20" t="s">
        <v>411</v>
      </c>
      <c r="M95" s="15" t="s">
        <v>412</v>
      </c>
      <c r="N95" s="15" t="s">
        <v>413</v>
      </c>
      <c r="O95" s="15" t="s">
        <v>414</v>
      </c>
      <c r="P95" s="21" t="s">
        <v>30</v>
      </c>
    </row>
    <row r="96" spans="1:16" ht="45" x14ac:dyDescent="0.25">
      <c r="A96" s="4" t="s">
        <v>457</v>
      </c>
      <c r="B96" s="4" t="s">
        <v>406</v>
      </c>
      <c r="C96" s="4" t="s">
        <v>458</v>
      </c>
      <c r="D96" s="11" t="s">
        <v>459</v>
      </c>
      <c r="E96" s="4" t="s">
        <v>70</v>
      </c>
      <c r="F96" s="4" t="s">
        <v>286</v>
      </c>
      <c r="G96" s="4" t="s">
        <v>22</v>
      </c>
      <c r="H96" s="11" t="s">
        <v>460</v>
      </c>
      <c r="I96" s="11" t="s">
        <v>461</v>
      </c>
      <c r="J96" s="4">
        <v>12</v>
      </c>
      <c r="K96" s="4" t="s">
        <v>240</v>
      </c>
      <c r="L96" s="20" t="s">
        <v>411</v>
      </c>
      <c r="M96" s="15" t="s">
        <v>412</v>
      </c>
      <c r="N96" s="15" t="s">
        <v>413</v>
      </c>
      <c r="O96" s="15" t="s">
        <v>414</v>
      </c>
      <c r="P96" s="21" t="s">
        <v>30</v>
      </c>
    </row>
    <row r="97" spans="1:16" ht="60" x14ac:dyDescent="0.25">
      <c r="A97" s="4" t="s">
        <v>462</v>
      </c>
      <c r="B97" s="4" t="s">
        <v>406</v>
      </c>
      <c r="C97" s="4" t="s">
        <v>458</v>
      </c>
      <c r="D97" s="11" t="s">
        <v>463</v>
      </c>
      <c r="E97" s="4" t="s">
        <v>70</v>
      </c>
      <c r="F97" s="4" t="s">
        <v>286</v>
      </c>
      <c r="G97" s="4" t="s">
        <v>22</v>
      </c>
      <c r="H97" s="11" t="s">
        <v>464</v>
      </c>
      <c r="I97" s="11" t="s">
        <v>465</v>
      </c>
      <c r="J97" s="4">
        <v>8</v>
      </c>
      <c r="K97" s="4" t="s">
        <v>240</v>
      </c>
      <c r="L97" s="20" t="s">
        <v>411</v>
      </c>
      <c r="M97" s="15" t="s">
        <v>412</v>
      </c>
      <c r="N97" s="15" t="s">
        <v>413</v>
      </c>
      <c r="O97" s="15" t="s">
        <v>414</v>
      </c>
      <c r="P97" s="21" t="s">
        <v>30</v>
      </c>
    </row>
    <row r="98" spans="1:16" ht="60" x14ac:dyDescent="0.25">
      <c r="A98" s="4" t="s">
        <v>466</v>
      </c>
      <c r="B98" s="4" t="s">
        <v>406</v>
      </c>
      <c r="C98" s="4" t="s">
        <v>458</v>
      </c>
      <c r="D98" s="11" t="s">
        <v>467</v>
      </c>
      <c r="E98" s="4" t="s">
        <v>70</v>
      </c>
      <c r="F98" s="4" t="s">
        <v>286</v>
      </c>
      <c r="G98" s="4" t="s">
        <v>22</v>
      </c>
      <c r="H98" s="11" t="s">
        <v>468</v>
      </c>
      <c r="I98" s="11" t="s">
        <v>469</v>
      </c>
      <c r="J98" s="4">
        <v>6</v>
      </c>
      <c r="K98" s="4" t="s">
        <v>240</v>
      </c>
      <c r="L98" s="20" t="s">
        <v>411</v>
      </c>
      <c r="M98" s="15" t="s">
        <v>412</v>
      </c>
      <c r="N98" s="15" t="s">
        <v>413</v>
      </c>
      <c r="O98" s="15" t="s">
        <v>414</v>
      </c>
      <c r="P98" s="21" t="s">
        <v>30</v>
      </c>
    </row>
    <row r="99" spans="1:16" ht="45" x14ac:dyDescent="0.25">
      <c r="A99" s="4" t="s">
        <v>470</v>
      </c>
      <c r="B99" s="4" t="s">
        <v>406</v>
      </c>
      <c r="C99" s="4" t="s">
        <v>458</v>
      </c>
      <c r="D99" s="11" t="s">
        <v>471</v>
      </c>
      <c r="E99" s="4" t="s">
        <v>33</v>
      </c>
      <c r="F99" s="4" t="s">
        <v>286</v>
      </c>
      <c r="G99" s="4" t="s">
        <v>82</v>
      </c>
      <c r="H99" s="11" t="s">
        <v>472</v>
      </c>
      <c r="I99" s="11" t="s">
        <v>473</v>
      </c>
      <c r="J99" s="4">
        <v>12</v>
      </c>
      <c r="K99" s="4" t="s">
        <v>240</v>
      </c>
      <c r="L99" s="20" t="s">
        <v>411</v>
      </c>
      <c r="M99" s="15" t="s">
        <v>412</v>
      </c>
      <c r="N99" s="15" t="s">
        <v>413</v>
      </c>
      <c r="O99" s="15" t="s">
        <v>414</v>
      </c>
      <c r="P99" s="21" t="s">
        <v>30</v>
      </c>
    </row>
    <row r="100" spans="1:16" ht="75" x14ac:dyDescent="0.25">
      <c r="A100" s="4" t="s">
        <v>474</v>
      </c>
      <c r="B100" s="4" t="s">
        <v>406</v>
      </c>
      <c r="C100" s="4" t="s">
        <v>458</v>
      </c>
      <c r="D100" s="11" t="s">
        <v>475</v>
      </c>
      <c r="E100" s="4" t="s">
        <v>70</v>
      </c>
      <c r="F100" s="4" t="s">
        <v>476</v>
      </c>
      <c r="G100" s="4" t="s">
        <v>22</v>
      </c>
      <c r="H100" s="11" t="s">
        <v>477</v>
      </c>
      <c r="I100" s="11" t="s">
        <v>478</v>
      </c>
      <c r="J100" s="4">
        <v>8</v>
      </c>
      <c r="K100" s="4" t="s">
        <v>240</v>
      </c>
      <c r="L100" s="20" t="s">
        <v>411</v>
      </c>
      <c r="M100" s="15" t="s">
        <v>412</v>
      </c>
      <c r="N100" s="15" t="s">
        <v>413</v>
      </c>
      <c r="O100" s="15" t="s">
        <v>414</v>
      </c>
      <c r="P100" s="21" t="s">
        <v>30</v>
      </c>
    </row>
    <row r="101" spans="1:16" ht="45" x14ac:dyDescent="0.25">
      <c r="A101" s="4" t="s">
        <v>479</v>
      </c>
      <c r="B101" s="4" t="s">
        <v>406</v>
      </c>
      <c r="C101" s="4" t="s">
        <v>458</v>
      </c>
      <c r="D101" s="11" t="s">
        <v>480</v>
      </c>
      <c r="E101" s="4" t="s">
        <v>70</v>
      </c>
      <c r="F101" s="4" t="s">
        <v>476</v>
      </c>
      <c r="G101" s="4" t="s">
        <v>22</v>
      </c>
      <c r="H101" s="11" t="s">
        <v>481</v>
      </c>
      <c r="I101" s="11" t="s">
        <v>482</v>
      </c>
      <c r="J101" s="4">
        <v>6</v>
      </c>
      <c r="K101" s="4" t="s">
        <v>240</v>
      </c>
      <c r="L101" s="20" t="s">
        <v>411</v>
      </c>
      <c r="M101" s="15" t="s">
        <v>412</v>
      </c>
      <c r="N101" s="15" t="s">
        <v>413</v>
      </c>
      <c r="O101" s="15" t="s">
        <v>414</v>
      </c>
      <c r="P101" s="21" t="s">
        <v>30</v>
      </c>
    </row>
    <row r="102" spans="1:16" ht="60" x14ac:dyDescent="0.25">
      <c r="A102" s="4" t="s">
        <v>483</v>
      </c>
      <c r="B102" s="4" t="s">
        <v>406</v>
      </c>
      <c r="C102" s="4" t="s">
        <v>458</v>
      </c>
      <c r="D102" s="11" t="s">
        <v>484</v>
      </c>
      <c r="E102" s="4" t="s">
        <v>33</v>
      </c>
      <c r="F102" s="4" t="s">
        <v>476</v>
      </c>
      <c r="G102" s="4" t="s">
        <v>82</v>
      </c>
      <c r="H102" s="11" t="s">
        <v>485</v>
      </c>
      <c r="I102" s="11" t="s">
        <v>486</v>
      </c>
      <c r="J102" s="4">
        <v>12</v>
      </c>
      <c r="K102" s="4" t="s">
        <v>240</v>
      </c>
      <c r="L102" s="20" t="s">
        <v>411</v>
      </c>
      <c r="M102" s="15" t="s">
        <v>412</v>
      </c>
      <c r="N102" s="15" t="s">
        <v>413</v>
      </c>
      <c r="O102" s="15" t="s">
        <v>414</v>
      </c>
      <c r="P102" s="21" t="s">
        <v>30</v>
      </c>
    </row>
    <row r="103" spans="1:16" ht="90" x14ac:dyDescent="0.25">
      <c r="A103" s="4" t="s">
        <v>487</v>
      </c>
      <c r="B103" s="4" t="s">
        <v>406</v>
      </c>
      <c r="C103" s="4" t="s">
        <v>458</v>
      </c>
      <c r="D103" s="11" t="s">
        <v>488</v>
      </c>
      <c r="E103" s="4" t="s">
        <v>70</v>
      </c>
      <c r="F103" s="4" t="s">
        <v>312</v>
      </c>
      <c r="G103" s="4" t="s">
        <v>82</v>
      </c>
      <c r="H103" s="11" t="s">
        <v>489</v>
      </c>
      <c r="I103" s="11" t="s">
        <v>490</v>
      </c>
      <c r="J103" s="4">
        <v>8</v>
      </c>
      <c r="K103" s="4" t="s">
        <v>240</v>
      </c>
      <c r="L103" s="20" t="s">
        <v>411</v>
      </c>
      <c r="M103" s="15" t="s">
        <v>412</v>
      </c>
      <c r="N103" s="15" t="s">
        <v>413</v>
      </c>
      <c r="O103" s="15" t="s">
        <v>414</v>
      </c>
      <c r="P103" s="21" t="s">
        <v>30</v>
      </c>
    </row>
    <row r="104" spans="1:16" ht="60" x14ac:dyDescent="0.25">
      <c r="A104" s="4" t="s">
        <v>491</v>
      </c>
      <c r="B104" s="4" t="s">
        <v>406</v>
      </c>
      <c r="C104" s="4" t="s">
        <v>458</v>
      </c>
      <c r="D104" s="11" t="s">
        <v>492</v>
      </c>
      <c r="E104" s="4" t="s">
        <v>70</v>
      </c>
      <c r="F104" s="4" t="s">
        <v>312</v>
      </c>
      <c r="G104" s="4" t="s">
        <v>82</v>
      </c>
      <c r="H104" s="11" t="s">
        <v>493</v>
      </c>
      <c r="I104" s="11" t="s">
        <v>494</v>
      </c>
      <c r="J104" s="4">
        <v>6</v>
      </c>
      <c r="K104" s="4" t="s">
        <v>240</v>
      </c>
      <c r="L104" s="20" t="s">
        <v>411</v>
      </c>
      <c r="M104" s="15" t="s">
        <v>412</v>
      </c>
      <c r="N104" s="15" t="s">
        <v>413</v>
      </c>
      <c r="O104" s="15" t="s">
        <v>414</v>
      </c>
      <c r="P104" s="21" t="s">
        <v>30</v>
      </c>
    </row>
    <row r="105" spans="1:16" ht="45" x14ac:dyDescent="0.25">
      <c r="A105" s="4" t="s">
        <v>495</v>
      </c>
      <c r="B105" s="4" t="s">
        <v>406</v>
      </c>
      <c r="C105" s="4" t="s">
        <v>458</v>
      </c>
      <c r="D105" s="11" t="s">
        <v>496</v>
      </c>
      <c r="E105" s="4" t="s">
        <v>70</v>
      </c>
      <c r="F105" s="4" t="s">
        <v>497</v>
      </c>
      <c r="G105" s="4" t="s">
        <v>22</v>
      </c>
      <c r="H105" s="11" t="s">
        <v>498</v>
      </c>
      <c r="I105" s="11" t="s">
        <v>499</v>
      </c>
      <c r="J105" s="4">
        <v>8</v>
      </c>
      <c r="K105" s="4" t="s">
        <v>240</v>
      </c>
      <c r="L105" s="20" t="s">
        <v>411</v>
      </c>
      <c r="M105" s="15" t="s">
        <v>412</v>
      </c>
      <c r="N105" s="15" t="s">
        <v>413</v>
      </c>
      <c r="O105" s="15" t="s">
        <v>414</v>
      </c>
      <c r="P105" s="21" t="s">
        <v>30</v>
      </c>
    </row>
    <row r="106" spans="1:16" ht="45" x14ac:dyDescent="0.25">
      <c r="A106" s="4" t="s">
        <v>500</v>
      </c>
      <c r="B106" s="4" t="s">
        <v>406</v>
      </c>
      <c r="C106" s="4" t="s">
        <v>458</v>
      </c>
      <c r="D106" s="11" t="s">
        <v>501</v>
      </c>
      <c r="E106" s="4" t="s">
        <v>70</v>
      </c>
      <c r="F106" s="4" t="s">
        <v>497</v>
      </c>
      <c r="G106" s="4" t="s">
        <v>22</v>
      </c>
      <c r="H106" s="11" t="s">
        <v>502</v>
      </c>
      <c r="I106" s="11" t="s">
        <v>503</v>
      </c>
      <c r="J106" s="4">
        <v>6</v>
      </c>
      <c r="K106" s="4" t="s">
        <v>240</v>
      </c>
      <c r="L106" s="20" t="s">
        <v>411</v>
      </c>
      <c r="M106" s="15" t="s">
        <v>412</v>
      </c>
      <c r="N106" s="15" t="s">
        <v>413</v>
      </c>
      <c r="O106" s="15" t="s">
        <v>414</v>
      </c>
      <c r="P106" s="21" t="s">
        <v>30</v>
      </c>
    </row>
    <row r="107" spans="1:16" ht="30" x14ac:dyDescent="0.25">
      <c r="A107" s="4" t="s">
        <v>504</v>
      </c>
      <c r="B107" s="4" t="s">
        <v>406</v>
      </c>
      <c r="C107" s="4" t="s">
        <v>505</v>
      </c>
      <c r="D107" s="11" t="s">
        <v>506</v>
      </c>
      <c r="E107" s="4" t="s">
        <v>70</v>
      </c>
      <c r="F107" s="4" t="s">
        <v>317</v>
      </c>
      <c r="G107" s="4" t="s">
        <v>22</v>
      </c>
      <c r="H107" s="11" t="s">
        <v>507</v>
      </c>
      <c r="I107" s="11" t="s">
        <v>508</v>
      </c>
      <c r="J107" s="4">
        <v>12</v>
      </c>
      <c r="K107" s="4" t="s">
        <v>240</v>
      </c>
      <c r="L107" s="20" t="s">
        <v>411</v>
      </c>
      <c r="M107" s="15" t="s">
        <v>412</v>
      </c>
      <c r="N107" s="15" t="s">
        <v>413</v>
      </c>
      <c r="O107" s="15" t="s">
        <v>414</v>
      </c>
      <c r="P107" s="21" t="s">
        <v>30</v>
      </c>
    </row>
    <row r="108" spans="1:16" ht="135" x14ac:dyDescent="0.25">
      <c r="A108" s="4" t="s">
        <v>509</v>
      </c>
      <c r="B108" s="4" t="s">
        <v>406</v>
      </c>
      <c r="C108" s="4" t="s">
        <v>505</v>
      </c>
      <c r="D108" s="11" t="s">
        <v>510</v>
      </c>
      <c r="E108" s="4" t="s">
        <v>70</v>
      </c>
      <c r="F108" s="4" t="s">
        <v>317</v>
      </c>
      <c r="G108" s="4" t="s">
        <v>22</v>
      </c>
      <c r="H108" s="11" t="s">
        <v>511</v>
      </c>
      <c r="I108" s="11" t="s">
        <v>512</v>
      </c>
      <c r="J108" s="4">
        <v>12</v>
      </c>
      <c r="K108" s="4" t="s">
        <v>240</v>
      </c>
      <c r="L108" s="20" t="s">
        <v>513</v>
      </c>
      <c r="M108" s="15" t="s">
        <v>514</v>
      </c>
      <c r="N108" s="15" t="s">
        <v>515</v>
      </c>
      <c r="O108" s="15" t="s">
        <v>516</v>
      </c>
      <c r="P108" s="21" t="s">
        <v>517</v>
      </c>
    </row>
    <row r="109" spans="1:16" ht="75" x14ac:dyDescent="0.25">
      <c r="A109" s="4" t="s">
        <v>518</v>
      </c>
      <c r="B109" s="4" t="s">
        <v>406</v>
      </c>
      <c r="C109" s="4" t="s">
        <v>505</v>
      </c>
      <c r="D109" s="11" t="s">
        <v>519</v>
      </c>
      <c r="E109" s="4" t="s">
        <v>70</v>
      </c>
      <c r="F109" s="4" t="s">
        <v>520</v>
      </c>
      <c r="G109" s="4" t="s">
        <v>22</v>
      </c>
      <c r="H109" s="11" t="s">
        <v>521</v>
      </c>
      <c r="I109" s="11" t="s">
        <v>522</v>
      </c>
      <c r="J109" s="4">
        <v>8</v>
      </c>
      <c r="K109" s="4" t="s">
        <v>240</v>
      </c>
      <c r="L109" s="20" t="s">
        <v>411</v>
      </c>
      <c r="M109" s="15" t="s">
        <v>412</v>
      </c>
      <c r="N109" s="15" t="s">
        <v>413</v>
      </c>
      <c r="O109" s="15" t="s">
        <v>414</v>
      </c>
      <c r="P109" s="21" t="s">
        <v>30</v>
      </c>
    </row>
    <row r="110" spans="1:16" ht="90" x14ac:dyDescent="0.25">
      <c r="A110" s="4" t="s">
        <v>523</v>
      </c>
      <c r="B110" s="4" t="s">
        <v>406</v>
      </c>
      <c r="C110" s="4" t="s">
        <v>505</v>
      </c>
      <c r="D110" s="11" t="s">
        <v>524</v>
      </c>
      <c r="E110" s="4" t="s">
        <v>70</v>
      </c>
      <c r="F110" s="4" t="s">
        <v>520</v>
      </c>
      <c r="G110" s="4" t="s">
        <v>22</v>
      </c>
      <c r="H110" s="11" t="s">
        <v>525</v>
      </c>
      <c r="I110" s="11" t="s">
        <v>526</v>
      </c>
      <c r="J110" s="4">
        <v>6</v>
      </c>
      <c r="K110" s="4" t="s">
        <v>240</v>
      </c>
      <c r="L110" s="20" t="s">
        <v>527</v>
      </c>
      <c r="M110" s="15" t="s">
        <v>528</v>
      </c>
      <c r="N110" s="15" t="s">
        <v>529</v>
      </c>
      <c r="O110" s="15" t="s">
        <v>530</v>
      </c>
      <c r="P110" s="21" t="s">
        <v>517</v>
      </c>
    </row>
    <row r="111" spans="1:16" ht="45" x14ac:dyDescent="0.25">
      <c r="A111" s="4" t="s">
        <v>531</v>
      </c>
      <c r="B111" s="4" t="s">
        <v>406</v>
      </c>
      <c r="C111" s="4" t="s">
        <v>505</v>
      </c>
      <c r="D111" s="11" t="s">
        <v>532</v>
      </c>
      <c r="E111" s="4" t="s">
        <v>70</v>
      </c>
      <c r="F111" s="4" t="s">
        <v>520</v>
      </c>
      <c r="G111" s="4" t="s">
        <v>22</v>
      </c>
      <c r="H111" s="11" t="s">
        <v>533</v>
      </c>
      <c r="I111" s="11" t="s">
        <v>534</v>
      </c>
      <c r="J111" s="4">
        <v>12</v>
      </c>
      <c r="K111" s="4" t="s">
        <v>240</v>
      </c>
      <c r="L111" s="20" t="s">
        <v>411</v>
      </c>
      <c r="M111" s="15" t="s">
        <v>412</v>
      </c>
      <c r="N111" s="15" t="s">
        <v>413</v>
      </c>
      <c r="O111" s="15" t="s">
        <v>414</v>
      </c>
      <c r="P111" s="21" t="s">
        <v>30</v>
      </c>
    </row>
    <row r="112" spans="1:16" ht="45" x14ac:dyDescent="0.25">
      <c r="A112" s="4" t="s">
        <v>535</v>
      </c>
      <c r="B112" s="4" t="s">
        <v>406</v>
      </c>
      <c r="C112" s="4" t="s">
        <v>505</v>
      </c>
      <c r="D112" s="11" t="s">
        <v>536</v>
      </c>
      <c r="E112" s="4" t="s">
        <v>38</v>
      </c>
      <c r="F112" s="4" t="s">
        <v>537</v>
      </c>
      <c r="G112" s="4" t="s">
        <v>82</v>
      </c>
      <c r="H112" s="11" t="s">
        <v>538</v>
      </c>
      <c r="I112" s="11" t="s">
        <v>539</v>
      </c>
      <c r="J112" s="4">
        <v>12</v>
      </c>
      <c r="K112" s="4" t="s">
        <v>240</v>
      </c>
      <c r="L112" s="20" t="s">
        <v>411</v>
      </c>
      <c r="M112" s="15" t="s">
        <v>412</v>
      </c>
      <c r="N112" s="15" t="s">
        <v>413</v>
      </c>
      <c r="O112" s="15" t="s">
        <v>414</v>
      </c>
      <c r="P112" s="21" t="s">
        <v>30</v>
      </c>
    </row>
    <row r="113" spans="1:16" ht="75" x14ac:dyDescent="0.25">
      <c r="A113" s="4" t="s">
        <v>540</v>
      </c>
      <c r="B113" s="4" t="s">
        <v>406</v>
      </c>
      <c r="C113" s="4" t="s">
        <v>505</v>
      </c>
      <c r="D113" s="11" t="s">
        <v>541</v>
      </c>
      <c r="E113" s="4" t="s">
        <v>50</v>
      </c>
      <c r="F113" s="4" t="s">
        <v>542</v>
      </c>
      <c r="G113" s="4" t="s">
        <v>22</v>
      </c>
      <c r="H113" s="11" t="s">
        <v>543</v>
      </c>
      <c r="I113" s="11" t="s">
        <v>544</v>
      </c>
      <c r="J113" s="4">
        <v>12</v>
      </c>
      <c r="K113" s="4" t="s">
        <v>240</v>
      </c>
      <c r="L113" s="20" t="s">
        <v>411</v>
      </c>
      <c r="M113" s="15" t="s">
        <v>412</v>
      </c>
      <c r="N113" s="15" t="s">
        <v>413</v>
      </c>
      <c r="O113" s="15" t="s">
        <v>414</v>
      </c>
      <c r="P113" s="21" t="s">
        <v>30</v>
      </c>
    </row>
    <row r="114" spans="1:16" ht="195" x14ac:dyDescent="0.25">
      <c r="A114" s="4" t="s">
        <v>545</v>
      </c>
      <c r="B114" s="4" t="s">
        <v>406</v>
      </c>
      <c r="C114" s="4" t="s">
        <v>505</v>
      </c>
      <c r="D114" s="11" t="s">
        <v>546</v>
      </c>
      <c r="E114" s="4" t="s">
        <v>70</v>
      </c>
      <c r="F114" s="4" t="s">
        <v>542</v>
      </c>
      <c r="G114" s="4" t="s">
        <v>82</v>
      </c>
      <c r="H114" s="11" t="s">
        <v>547</v>
      </c>
      <c r="I114" s="11" t="s">
        <v>548</v>
      </c>
      <c r="J114" s="4">
        <v>8</v>
      </c>
      <c r="K114" s="4" t="s">
        <v>240</v>
      </c>
      <c r="L114" s="20" t="s">
        <v>411</v>
      </c>
      <c r="M114" s="15" t="s">
        <v>412</v>
      </c>
      <c r="N114" s="15" t="s">
        <v>413</v>
      </c>
      <c r="O114" s="15" t="s">
        <v>414</v>
      </c>
      <c r="P114" s="21" t="s">
        <v>30</v>
      </c>
    </row>
    <row r="115" spans="1:16" ht="45" x14ac:dyDescent="0.25">
      <c r="A115" s="4" t="s">
        <v>549</v>
      </c>
      <c r="B115" s="4" t="s">
        <v>406</v>
      </c>
      <c r="C115" s="4" t="s">
        <v>505</v>
      </c>
      <c r="D115" s="11" t="s">
        <v>550</v>
      </c>
      <c r="E115" s="4" t="s">
        <v>70</v>
      </c>
      <c r="F115" s="4" t="s">
        <v>542</v>
      </c>
      <c r="G115" s="4" t="s">
        <v>82</v>
      </c>
      <c r="H115" s="11" t="s">
        <v>551</v>
      </c>
      <c r="I115" s="11" t="s">
        <v>552</v>
      </c>
      <c r="J115" s="4">
        <v>6</v>
      </c>
      <c r="K115" s="4" t="s">
        <v>240</v>
      </c>
      <c r="L115" s="20" t="s">
        <v>411</v>
      </c>
      <c r="M115" s="15" t="s">
        <v>412</v>
      </c>
      <c r="N115" s="15" t="s">
        <v>413</v>
      </c>
      <c r="O115" s="15" t="s">
        <v>414</v>
      </c>
      <c r="P115" s="21" t="s">
        <v>30</v>
      </c>
    </row>
    <row r="116" spans="1:16" ht="240" x14ac:dyDescent="0.25">
      <c r="A116" s="4" t="s">
        <v>553</v>
      </c>
      <c r="B116" s="4" t="s">
        <v>406</v>
      </c>
      <c r="C116" s="4" t="s">
        <v>505</v>
      </c>
      <c r="D116" s="11" t="s">
        <v>554</v>
      </c>
      <c r="E116" s="4" t="s">
        <v>50</v>
      </c>
      <c r="F116" s="4" t="s">
        <v>425</v>
      </c>
      <c r="G116" s="4" t="s">
        <v>82</v>
      </c>
      <c r="H116" s="11" t="s">
        <v>555</v>
      </c>
      <c r="I116" s="11" t="s">
        <v>556</v>
      </c>
      <c r="J116" s="4">
        <v>4</v>
      </c>
      <c r="K116" s="4" t="s">
        <v>240</v>
      </c>
      <c r="L116" s="20" t="s">
        <v>411</v>
      </c>
      <c r="M116" s="15" t="s">
        <v>412</v>
      </c>
      <c r="N116" s="15" t="s">
        <v>413</v>
      </c>
      <c r="O116" s="15" t="s">
        <v>414</v>
      </c>
      <c r="P116" s="21" t="s">
        <v>30</v>
      </c>
    </row>
    <row r="117" spans="1:16" ht="75" x14ac:dyDescent="0.25">
      <c r="A117" s="4" t="s">
        <v>557</v>
      </c>
      <c r="B117" s="4" t="s">
        <v>406</v>
      </c>
      <c r="C117" s="4" t="s">
        <v>505</v>
      </c>
      <c r="D117" s="11" t="s">
        <v>558</v>
      </c>
      <c r="E117" s="4" t="s">
        <v>70</v>
      </c>
      <c r="F117" s="4" t="s">
        <v>559</v>
      </c>
      <c r="G117" s="4" t="s">
        <v>82</v>
      </c>
      <c r="H117" s="11" t="s">
        <v>560</v>
      </c>
      <c r="I117" s="11" t="s">
        <v>561</v>
      </c>
      <c r="J117" s="4">
        <v>8</v>
      </c>
      <c r="K117" s="4" t="s">
        <v>240</v>
      </c>
      <c r="L117" s="20" t="s">
        <v>411</v>
      </c>
      <c r="M117" s="15" t="s">
        <v>412</v>
      </c>
      <c r="N117" s="15" t="s">
        <v>413</v>
      </c>
      <c r="O117" s="15" t="s">
        <v>414</v>
      </c>
      <c r="P117" s="21" t="s">
        <v>30</v>
      </c>
    </row>
    <row r="118" spans="1:16" ht="75" x14ac:dyDescent="0.25">
      <c r="A118" s="4" t="s">
        <v>562</v>
      </c>
      <c r="B118" s="4" t="s">
        <v>406</v>
      </c>
      <c r="C118" s="4" t="s">
        <v>505</v>
      </c>
      <c r="D118" s="11" t="s">
        <v>563</v>
      </c>
      <c r="E118" s="4" t="s">
        <v>70</v>
      </c>
      <c r="F118" s="4" t="s">
        <v>559</v>
      </c>
      <c r="G118" s="4" t="s">
        <v>82</v>
      </c>
      <c r="H118" s="11" t="s">
        <v>564</v>
      </c>
      <c r="I118" s="11" t="s">
        <v>565</v>
      </c>
      <c r="J118" s="4">
        <v>6</v>
      </c>
      <c r="K118" s="4" t="s">
        <v>240</v>
      </c>
      <c r="L118" s="20" t="s">
        <v>411</v>
      </c>
      <c r="M118" s="15" t="s">
        <v>412</v>
      </c>
      <c r="N118" s="15" t="s">
        <v>413</v>
      </c>
      <c r="O118" s="15" t="s">
        <v>414</v>
      </c>
      <c r="P118" s="21" t="s">
        <v>30</v>
      </c>
    </row>
    <row r="119" spans="1:16" ht="105" x14ac:dyDescent="0.25">
      <c r="A119" s="4" t="s">
        <v>566</v>
      </c>
      <c r="B119" s="4" t="s">
        <v>406</v>
      </c>
      <c r="C119" s="4" t="s">
        <v>567</v>
      </c>
      <c r="D119" s="11" t="s">
        <v>568</v>
      </c>
      <c r="E119" s="4" t="s">
        <v>70</v>
      </c>
      <c r="F119" s="4" t="s">
        <v>569</v>
      </c>
      <c r="G119" s="4" t="s">
        <v>22</v>
      </c>
      <c r="H119" s="11" t="s">
        <v>570</v>
      </c>
      <c r="I119" s="11" t="s">
        <v>571</v>
      </c>
      <c r="J119" s="4">
        <v>12</v>
      </c>
      <c r="K119" s="4" t="s">
        <v>240</v>
      </c>
      <c r="L119" s="20" t="s">
        <v>411</v>
      </c>
      <c r="M119" s="15" t="s">
        <v>412</v>
      </c>
      <c r="N119" s="15" t="s">
        <v>413</v>
      </c>
      <c r="O119" s="15" t="s">
        <v>414</v>
      </c>
      <c r="P119" s="21" t="s">
        <v>30</v>
      </c>
    </row>
    <row r="120" spans="1:16" ht="60" x14ac:dyDescent="0.25">
      <c r="A120" s="4" t="s">
        <v>572</v>
      </c>
      <c r="B120" s="4" t="s">
        <v>406</v>
      </c>
      <c r="C120" s="4" t="s">
        <v>567</v>
      </c>
      <c r="D120" s="11" t="s">
        <v>573</v>
      </c>
      <c r="E120" s="4" t="s">
        <v>70</v>
      </c>
      <c r="F120" s="4" t="s">
        <v>574</v>
      </c>
      <c r="G120" s="4" t="s">
        <v>22</v>
      </c>
      <c r="H120" s="11" t="s">
        <v>575</v>
      </c>
      <c r="I120" s="11" t="s">
        <v>576</v>
      </c>
      <c r="J120" s="4">
        <v>12</v>
      </c>
      <c r="K120" s="4" t="s">
        <v>240</v>
      </c>
      <c r="L120" s="20" t="s">
        <v>411</v>
      </c>
      <c r="M120" s="15" t="s">
        <v>412</v>
      </c>
      <c r="N120" s="15" t="s">
        <v>413</v>
      </c>
      <c r="O120" s="15" t="s">
        <v>414</v>
      </c>
      <c r="P120" s="21" t="s">
        <v>30</v>
      </c>
    </row>
    <row r="121" spans="1:16" ht="45" x14ac:dyDescent="0.25">
      <c r="A121" s="4" t="s">
        <v>577</v>
      </c>
      <c r="B121" s="4" t="s">
        <v>406</v>
      </c>
      <c r="C121" s="4" t="s">
        <v>567</v>
      </c>
      <c r="D121" s="11" t="s">
        <v>578</v>
      </c>
      <c r="E121" s="4" t="s">
        <v>33</v>
      </c>
      <c r="F121" s="4" t="s">
        <v>574</v>
      </c>
      <c r="G121" s="4" t="s">
        <v>82</v>
      </c>
      <c r="H121" s="11" t="s">
        <v>579</v>
      </c>
      <c r="I121" s="11" t="s">
        <v>580</v>
      </c>
      <c r="J121" s="4">
        <v>12</v>
      </c>
      <c r="K121" s="4" t="s">
        <v>240</v>
      </c>
      <c r="L121" s="20" t="s">
        <v>411</v>
      </c>
      <c r="M121" s="15" t="s">
        <v>412</v>
      </c>
      <c r="N121" s="15" t="s">
        <v>413</v>
      </c>
      <c r="O121" s="15" t="s">
        <v>414</v>
      </c>
      <c r="P121" s="21" t="s">
        <v>30</v>
      </c>
    </row>
    <row r="122" spans="1:16" ht="105" x14ac:dyDescent="0.25">
      <c r="A122" s="4" t="s">
        <v>581</v>
      </c>
      <c r="B122" s="4" t="s">
        <v>406</v>
      </c>
      <c r="C122" s="4" t="s">
        <v>567</v>
      </c>
      <c r="D122" s="11" t="s">
        <v>582</v>
      </c>
      <c r="E122" s="4" t="s">
        <v>70</v>
      </c>
      <c r="F122" s="4" t="s">
        <v>583</v>
      </c>
      <c r="G122" s="4" t="s">
        <v>22</v>
      </c>
      <c r="H122" s="11" t="s">
        <v>584</v>
      </c>
      <c r="I122" s="11" t="s">
        <v>585</v>
      </c>
      <c r="J122" s="4">
        <v>12</v>
      </c>
      <c r="K122" s="4" t="s">
        <v>240</v>
      </c>
      <c r="L122" s="20" t="s">
        <v>411</v>
      </c>
      <c r="M122" s="15" t="s">
        <v>412</v>
      </c>
      <c r="N122" s="15" t="s">
        <v>413</v>
      </c>
      <c r="O122" s="15" t="s">
        <v>414</v>
      </c>
      <c r="P122" s="21" t="s">
        <v>30</v>
      </c>
    </row>
    <row r="123" spans="1:16" ht="105" x14ac:dyDescent="0.25">
      <c r="A123" s="4" t="s">
        <v>586</v>
      </c>
      <c r="B123" s="4" t="s">
        <v>406</v>
      </c>
      <c r="C123" s="4" t="s">
        <v>567</v>
      </c>
      <c r="D123" s="11" t="s">
        <v>587</v>
      </c>
      <c r="E123" s="4" t="s">
        <v>38</v>
      </c>
      <c r="F123" s="4" t="s">
        <v>588</v>
      </c>
      <c r="G123" s="4" t="s">
        <v>22</v>
      </c>
      <c r="H123" s="11" t="s">
        <v>589</v>
      </c>
      <c r="I123" s="11" t="s">
        <v>590</v>
      </c>
      <c r="J123" s="4">
        <v>12</v>
      </c>
      <c r="K123" s="4" t="s">
        <v>240</v>
      </c>
      <c r="L123" s="20" t="s">
        <v>591</v>
      </c>
      <c r="M123" s="15" t="s">
        <v>592</v>
      </c>
      <c r="N123" s="15" t="s">
        <v>593</v>
      </c>
      <c r="O123" s="15" t="s">
        <v>594</v>
      </c>
      <c r="P123" s="21" t="s">
        <v>517</v>
      </c>
    </row>
    <row r="124" spans="1:16" ht="45" x14ac:dyDescent="0.25">
      <c r="A124" s="4" t="s">
        <v>595</v>
      </c>
      <c r="B124" s="4" t="s">
        <v>406</v>
      </c>
      <c r="C124" s="4" t="s">
        <v>567</v>
      </c>
      <c r="D124" s="11" t="s">
        <v>596</v>
      </c>
      <c r="E124" s="4" t="s">
        <v>38</v>
      </c>
      <c r="F124" s="4" t="s">
        <v>588</v>
      </c>
      <c r="G124" s="4" t="s">
        <v>22</v>
      </c>
      <c r="H124" s="11" t="s">
        <v>597</v>
      </c>
      <c r="I124" s="11" t="s">
        <v>598</v>
      </c>
      <c r="J124" s="4">
        <v>12</v>
      </c>
      <c r="K124" s="4" t="s">
        <v>240</v>
      </c>
      <c r="L124" s="20" t="s">
        <v>411</v>
      </c>
      <c r="M124" s="15" t="s">
        <v>412</v>
      </c>
      <c r="N124" s="15" t="s">
        <v>413</v>
      </c>
      <c r="O124" s="15" t="s">
        <v>414</v>
      </c>
      <c r="P124" s="21" t="s">
        <v>30</v>
      </c>
    </row>
    <row r="125" spans="1:16" ht="45" x14ac:dyDescent="0.25">
      <c r="A125" s="4" t="s">
        <v>599</v>
      </c>
      <c r="B125" s="4" t="s">
        <v>406</v>
      </c>
      <c r="C125" s="4" t="s">
        <v>567</v>
      </c>
      <c r="D125" s="11" t="s">
        <v>600</v>
      </c>
      <c r="E125" s="4" t="s">
        <v>38</v>
      </c>
      <c r="F125" s="4" t="s">
        <v>601</v>
      </c>
      <c r="G125" s="4" t="s">
        <v>22</v>
      </c>
      <c r="H125" s="11" t="s">
        <v>602</v>
      </c>
      <c r="I125" s="11" t="s">
        <v>603</v>
      </c>
      <c r="J125" s="4">
        <v>12</v>
      </c>
      <c r="K125" s="4" t="s">
        <v>240</v>
      </c>
      <c r="L125" s="20" t="s">
        <v>411</v>
      </c>
      <c r="M125" s="15" t="s">
        <v>412</v>
      </c>
      <c r="N125" s="15" t="s">
        <v>413</v>
      </c>
      <c r="O125" s="15" t="s">
        <v>414</v>
      </c>
      <c r="P125" s="21" t="s">
        <v>30</v>
      </c>
    </row>
    <row r="126" spans="1:16" ht="45" x14ac:dyDescent="0.25">
      <c r="A126" s="4" t="s">
        <v>604</v>
      </c>
      <c r="B126" s="4" t="s">
        <v>406</v>
      </c>
      <c r="C126" s="4" t="s">
        <v>567</v>
      </c>
      <c r="D126" s="11" t="s">
        <v>605</v>
      </c>
      <c r="E126" s="4" t="s">
        <v>38</v>
      </c>
      <c r="F126" s="4" t="s">
        <v>537</v>
      </c>
      <c r="G126" s="4" t="s">
        <v>82</v>
      </c>
      <c r="H126" s="11" t="s">
        <v>606</v>
      </c>
      <c r="I126" s="11" t="s">
        <v>607</v>
      </c>
      <c r="J126" s="4">
        <v>12</v>
      </c>
      <c r="K126" s="4" t="s">
        <v>240</v>
      </c>
      <c r="L126" s="20" t="s">
        <v>411</v>
      </c>
      <c r="M126" s="15" t="s">
        <v>412</v>
      </c>
      <c r="N126" s="15" t="s">
        <v>413</v>
      </c>
      <c r="O126" s="15" t="s">
        <v>414</v>
      </c>
      <c r="P126" s="21" t="s">
        <v>30</v>
      </c>
    </row>
    <row r="127" spans="1:16" ht="45" x14ac:dyDescent="0.25">
      <c r="A127" s="4" t="s">
        <v>608</v>
      </c>
      <c r="B127" s="4" t="s">
        <v>406</v>
      </c>
      <c r="C127" s="4" t="s">
        <v>567</v>
      </c>
      <c r="D127" s="11" t="s">
        <v>609</v>
      </c>
      <c r="E127" s="4" t="s">
        <v>20</v>
      </c>
      <c r="F127" s="4" t="s">
        <v>610</v>
      </c>
      <c r="G127" s="4" t="s">
        <v>82</v>
      </c>
      <c r="H127" s="11" t="s">
        <v>611</v>
      </c>
      <c r="I127" s="11" t="s">
        <v>612</v>
      </c>
      <c r="J127" s="4">
        <v>12</v>
      </c>
      <c r="K127" s="4" t="s">
        <v>240</v>
      </c>
      <c r="L127" s="20" t="s">
        <v>411</v>
      </c>
      <c r="M127" s="15" t="s">
        <v>412</v>
      </c>
      <c r="N127" s="15" t="s">
        <v>413</v>
      </c>
      <c r="O127" s="15" t="s">
        <v>414</v>
      </c>
      <c r="P127" s="21" t="s">
        <v>30</v>
      </c>
    </row>
    <row r="128" spans="1:16" ht="60" x14ac:dyDescent="0.25">
      <c r="A128" s="4" t="s">
        <v>613</v>
      </c>
      <c r="B128" s="4" t="s">
        <v>406</v>
      </c>
      <c r="C128" s="4" t="s">
        <v>567</v>
      </c>
      <c r="D128" s="11" t="s">
        <v>614</v>
      </c>
      <c r="E128" s="4" t="s">
        <v>64</v>
      </c>
      <c r="F128" s="4" t="s">
        <v>389</v>
      </c>
      <c r="G128" s="4" t="s">
        <v>22</v>
      </c>
      <c r="H128" s="11" t="s">
        <v>615</v>
      </c>
      <c r="I128" s="11" t="s">
        <v>616</v>
      </c>
      <c r="J128" s="4">
        <v>12</v>
      </c>
      <c r="K128" s="4" t="s">
        <v>240</v>
      </c>
      <c r="L128" s="20" t="s">
        <v>411</v>
      </c>
      <c r="M128" s="15" t="s">
        <v>412</v>
      </c>
      <c r="N128" s="15" t="s">
        <v>413</v>
      </c>
      <c r="O128" s="15" t="s">
        <v>414</v>
      </c>
      <c r="P128" s="21" t="s">
        <v>30</v>
      </c>
    </row>
    <row r="129" spans="1:16" ht="165" x14ac:dyDescent="0.25">
      <c r="A129" s="4" t="s">
        <v>617</v>
      </c>
      <c r="B129" s="4" t="s">
        <v>618</v>
      </c>
      <c r="C129" s="4" t="s">
        <v>619</v>
      </c>
      <c r="D129" s="11" t="s">
        <v>620</v>
      </c>
      <c r="E129" s="4" t="s">
        <v>358</v>
      </c>
      <c r="F129" s="4" t="s">
        <v>621</v>
      </c>
      <c r="G129" s="4" t="s">
        <v>22</v>
      </c>
      <c r="H129" s="11" t="s">
        <v>622</v>
      </c>
      <c r="I129" s="11" t="s">
        <v>623</v>
      </c>
      <c r="J129" s="4">
        <v>10</v>
      </c>
      <c r="K129" s="4" t="s">
        <v>240</v>
      </c>
      <c r="L129" s="20" t="s">
        <v>527</v>
      </c>
      <c r="M129" s="15" t="s">
        <v>528</v>
      </c>
      <c r="N129" s="15" t="s">
        <v>624</v>
      </c>
      <c r="O129" s="15" t="s">
        <v>625</v>
      </c>
      <c r="P129" s="21" t="s">
        <v>626</v>
      </c>
    </row>
    <row r="130" spans="1:16" ht="75" x14ac:dyDescent="0.25">
      <c r="A130" s="4" t="s">
        <v>627</v>
      </c>
      <c r="B130" s="4" t="s">
        <v>618</v>
      </c>
      <c r="C130" s="4" t="s">
        <v>619</v>
      </c>
      <c r="D130" s="11" t="s">
        <v>628</v>
      </c>
      <c r="E130" s="4" t="s">
        <v>358</v>
      </c>
      <c r="F130" s="4" t="s">
        <v>621</v>
      </c>
      <c r="G130" s="4" t="s">
        <v>22</v>
      </c>
      <c r="H130" s="11" t="s">
        <v>629</v>
      </c>
      <c r="I130" s="11" t="s">
        <v>630</v>
      </c>
      <c r="J130" s="4">
        <v>12</v>
      </c>
      <c r="K130" s="4" t="s">
        <v>240</v>
      </c>
      <c r="L130" s="20" t="s">
        <v>527</v>
      </c>
      <c r="M130" s="15" t="s">
        <v>528</v>
      </c>
      <c r="N130" s="15" t="s">
        <v>624</v>
      </c>
      <c r="O130" s="15" t="s">
        <v>631</v>
      </c>
      <c r="P130" s="21" t="s">
        <v>517</v>
      </c>
    </row>
    <row r="131" spans="1:16" ht="105" x14ac:dyDescent="0.25">
      <c r="A131" s="4" t="s">
        <v>632</v>
      </c>
      <c r="B131" s="4" t="s">
        <v>618</v>
      </c>
      <c r="C131" s="4" t="s">
        <v>619</v>
      </c>
      <c r="D131" s="11" t="s">
        <v>633</v>
      </c>
      <c r="E131" s="4" t="s">
        <v>358</v>
      </c>
      <c r="F131" s="4" t="s">
        <v>634</v>
      </c>
      <c r="G131" s="4" t="s">
        <v>22</v>
      </c>
      <c r="H131" s="11" t="s">
        <v>635</v>
      </c>
      <c r="I131" s="11" t="s">
        <v>636</v>
      </c>
      <c r="J131" s="4">
        <v>12</v>
      </c>
      <c r="K131" s="4" t="s">
        <v>240</v>
      </c>
      <c r="L131" s="20" t="s">
        <v>527</v>
      </c>
      <c r="M131" s="15" t="s">
        <v>528</v>
      </c>
      <c r="N131" s="15" t="s">
        <v>624</v>
      </c>
      <c r="O131" s="15" t="s">
        <v>631</v>
      </c>
      <c r="P131" s="21" t="s">
        <v>517</v>
      </c>
    </row>
    <row r="132" spans="1:16" ht="75" x14ac:dyDescent="0.25">
      <c r="A132" s="4" t="s">
        <v>637</v>
      </c>
      <c r="B132" s="4" t="s">
        <v>618</v>
      </c>
      <c r="C132" s="4" t="s">
        <v>619</v>
      </c>
      <c r="D132" s="11" t="s">
        <v>638</v>
      </c>
      <c r="E132" s="4" t="s">
        <v>358</v>
      </c>
      <c r="F132" s="4" t="s">
        <v>639</v>
      </c>
      <c r="G132" s="4" t="s">
        <v>22</v>
      </c>
      <c r="H132" s="11" t="s">
        <v>640</v>
      </c>
      <c r="I132" s="11" t="s">
        <v>641</v>
      </c>
      <c r="J132" s="4">
        <v>12</v>
      </c>
      <c r="K132" s="4" t="s">
        <v>240</v>
      </c>
      <c r="L132" s="20" t="s">
        <v>527</v>
      </c>
      <c r="M132" s="15" t="s">
        <v>528</v>
      </c>
      <c r="N132" s="15" t="s">
        <v>624</v>
      </c>
      <c r="O132" s="15" t="s">
        <v>642</v>
      </c>
      <c r="P132" s="21" t="s">
        <v>517</v>
      </c>
    </row>
    <row r="133" spans="1:16" ht="60" x14ac:dyDescent="0.25">
      <c r="A133" s="4" t="s">
        <v>643</v>
      </c>
      <c r="B133" s="4" t="s">
        <v>618</v>
      </c>
      <c r="C133" s="4" t="s">
        <v>619</v>
      </c>
      <c r="D133" s="11" t="s">
        <v>644</v>
      </c>
      <c r="E133" s="4" t="s">
        <v>358</v>
      </c>
      <c r="F133" s="4" t="s">
        <v>639</v>
      </c>
      <c r="G133" s="4" t="s">
        <v>22</v>
      </c>
      <c r="H133" s="11" t="s">
        <v>645</v>
      </c>
      <c r="I133" s="11" t="s">
        <v>646</v>
      </c>
      <c r="J133" s="4">
        <v>12</v>
      </c>
      <c r="K133" s="4" t="s">
        <v>240</v>
      </c>
      <c r="L133" s="20" t="s">
        <v>527</v>
      </c>
      <c r="M133" s="15" t="s">
        <v>528</v>
      </c>
      <c r="N133" s="15" t="s">
        <v>624</v>
      </c>
      <c r="O133" s="15" t="s">
        <v>637</v>
      </c>
      <c r="P133" s="21" t="s">
        <v>517</v>
      </c>
    </row>
    <row r="134" spans="1:16" ht="60" x14ac:dyDescent="0.25">
      <c r="A134" s="4" t="s">
        <v>647</v>
      </c>
      <c r="B134" s="4" t="s">
        <v>618</v>
      </c>
      <c r="C134" s="4" t="s">
        <v>648</v>
      </c>
      <c r="D134" s="11" t="s">
        <v>649</v>
      </c>
      <c r="E134" s="4" t="s">
        <v>358</v>
      </c>
      <c r="F134" s="4" t="s">
        <v>639</v>
      </c>
      <c r="G134" s="4" t="s">
        <v>82</v>
      </c>
      <c r="H134" s="11" t="s">
        <v>650</v>
      </c>
      <c r="I134" s="11" t="s">
        <v>651</v>
      </c>
      <c r="J134" s="4">
        <v>12</v>
      </c>
      <c r="K134" s="4" t="s">
        <v>240</v>
      </c>
      <c r="L134" s="20" t="s">
        <v>527</v>
      </c>
      <c r="M134" s="15" t="s">
        <v>652</v>
      </c>
      <c r="N134" s="15" t="s">
        <v>653</v>
      </c>
      <c r="O134" s="15" t="s">
        <v>654</v>
      </c>
      <c r="P134" s="21" t="s">
        <v>517</v>
      </c>
    </row>
    <row r="135" spans="1:16" ht="75" x14ac:dyDescent="0.25">
      <c r="A135" s="4" t="s">
        <v>655</v>
      </c>
      <c r="B135" s="4" t="s">
        <v>618</v>
      </c>
      <c r="C135" s="4" t="s">
        <v>648</v>
      </c>
      <c r="D135" s="11" t="s">
        <v>656</v>
      </c>
      <c r="E135" s="4" t="s">
        <v>358</v>
      </c>
      <c r="F135" s="4" t="s">
        <v>621</v>
      </c>
      <c r="G135" s="4" t="s">
        <v>22</v>
      </c>
      <c r="H135" s="11" t="s">
        <v>657</v>
      </c>
      <c r="I135" s="11" t="s">
        <v>658</v>
      </c>
      <c r="J135" s="4">
        <v>12</v>
      </c>
      <c r="K135" s="4" t="s">
        <v>240</v>
      </c>
      <c r="L135" s="20" t="s">
        <v>527</v>
      </c>
      <c r="M135" s="15" t="s">
        <v>652</v>
      </c>
      <c r="N135" s="15" t="s">
        <v>653</v>
      </c>
      <c r="O135" s="15" t="s">
        <v>659</v>
      </c>
      <c r="P135" s="21" t="s">
        <v>517</v>
      </c>
    </row>
    <row r="136" spans="1:16" ht="60" x14ac:dyDescent="0.25">
      <c r="A136" s="4" t="s">
        <v>660</v>
      </c>
      <c r="B136" s="4" t="s">
        <v>618</v>
      </c>
      <c r="C136" s="4" t="s">
        <v>619</v>
      </c>
      <c r="D136" s="11" t="s">
        <v>661</v>
      </c>
      <c r="E136" s="4" t="s">
        <v>50</v>
      </c>
      <c r="F136" s="4" t="s">
        <v>621</v>
      </c>
      <c r="G136" s="4" t="s">
        <v>82</v>
      </c>
      <c r="H136" s="11" t="s">
        <v>662</v>
      </c>
      <c r="I136" s="11" t="s">
        <v>663</v>
      </c>
      <c r="J136" s="4">
        <v>10</v>
      </c>
      <c r="K136" s="4" t="s">
        <v>240</v>
      </c>
      <c r="L136" s="20" t="s">
        <v>527</v>
      </c>
      <c r="M136" s="15" t="s">
        <v>528</v>
      </c>
      <c r="N136" s="15" t="s">
        <v>624</v>
      </c>
      <c r="O136" s="15" t="s">
        <v>664</v>
      </c>
      <c r="P136" s="21" t="s">
        <v>517</v>
      </c>
    </row>
    <row r="137" spans="1:16" ht="45" x14ac:dyDescent="0.25">
      <c r="A137" s="4" t="s">
        <v>665</v>
      </c>
      <c r="B137" s="4" t="s">
        <v>618</v>
      </c>
      <c r="C137" s="4" t="s">
        <v>648</v>
      </c>
      <c r="D137" s="11" t="s">
        <v>666</v>
      </c>
      <c r="E137" s="4" t="s">
        <v>358</v>
      </c>
      <c r="F137" s="4" t="s">
        <v>639</v>
      </c>
      <c r="G137" s="4" t="s">
        <v>45</v>
      </c>
      <c r="H137" s="11" t="s">
        <v>667</v>
      </c>
      <c r="I137" s="11" t="s">
        <v>668</v>
      </c>
      <c r="J137" s="4">
        <v>10</v>
      </c>
      <c r="K137" s="4" t="s">
        <v>240</v>
      </c>
      <c r="L137" s="20" t="s">
        <v>527</v>
      </c>
      <c r="M137" s="15" t="s">
        <v>652</v>
      </c>
      <c r="N137" s="15" t="s">
        <v>653</v>
      </c>
      <c r="O137" s="15" t="s">
        <v>669</v>
      </c>
      <c r="P137" s="21" t="s">
        <v>517</v>
      </c>
    </row>
    <row r="138" spans="1:16" ht="105" x14ac:dyDescent="0.25">
      <c r="A138" s="4" t="s">
        <v>670</v>
      </c>
      <c r="B138" s="4" t="s">
        <v>618</v>
      </c>
      <c r="C138" s="4" t="s">
        <v>671</v>
      </c>
      <c r="D138" s="11" t="s">
        <v>672</v>
      </c>
      <c r="E138" s="4" t="s">
        <v>358</v>
      </c>
      <c r="F138" s="4" t="s">
        <v>673</v>
      </c>
      <c r="G138" s="4" t="s">
        <v>82</v>
      </c>
      <c r="H138" s="11" t="s">
        <v>674</v>
      </c>
      <c r="I138" s="11" t="s">
        <v>675</v>
      </c>
      <c r="J138" s="4">
        <v>10</v>
      </c>
      <c r="K138" s="4" t="s">
        <v>240</v>
      </c>
      <c r="L138" s="20" t="s">
        <v>527</v>
      </c>
      <c r="M138" s="15" t="s">
        <v>676</v>
      </c>
      <c r="N138" s="15" t="s">
        <v>677</v>
      </c>
      <c r="O138" s="15" t="s">
        <v>678</v>
      </c>
      <c r="P138" s="21" t="s">
        <v>517</v>
      </c>
    </row>
    <row r="139" spans="1:16" ht="90" x14ac:dyDescent="0.25">
      <c r="A139" s="4" t="s">
        <v>679</v>
      </c>
      <c r="B139" s="4" t="s">
        <v>618</v>
      </c>
      <c r="C139" s="4" t="s">
        <v>680</v>
      </c>
      <c r="D139" s="11" t="s">
        <v>681</v>
      </c>
      <c r="E139" s="4" t="s">
        <v>358</v>
      </c>
      <c r="F139" s="4" t="s">
        <v>349</v>
      </c>
      <c r="G139" s="4" t="s">
        <v>22</v>
      </c>
      <c r="H139" s="11" t="s">
        <v>682</v>
      </c>
      <c r="I139" s="11" t="s">
        <v>683</v>
      </c>
      <c r="J139" s="4">
        <v>12</v>
      </c>
      <c r="K139" s="4" t="s">
        <v>240</v>
      </c>
      <c r="L139" s="20" t="s">
        <v>527</v>
      </c>
      <c r="M139" s="15" t="s">
        <v>684</v>
      </c>
      <c r="N139" s="15" t="s">
        <v>685</v>
      </c>
      <c r="O139" s="15" t="s">
        <v>686</v>
      </c>
      <c r="P139" s="21" t="s">
        <v>517</v>
      </c>
    </row>
    <row r="140" spans="1:16" ht="60" x14ac:dyDescent="0.25">
      <c r="A140" s="4" t="s">
        <v>687</v>
      </c>
      <c r="B140" s="4" t="s">
        <v>618</v>
      </c>
      <c r="C140" s="4" t="s">
        <v>688</v>
      </c>
      <c r="D140" s="11" t="s">
        <v>689</v>
      </c>
      <c r="E140" s="4" t="s">
        <v>358</v>
      </c>
      <c r="F140" s="4" t="s">
        <v>690</v>
      </c>
      <c r="G140" s="4" t="s">
        <v>22</v>
      </c>
      <c r="H140" s="11" t="s">
        <v>691</v>
      </c>
      <c r="I140" s="11" t="s">
        <v>692</v>
      </c>
      <c r="J140" s="4">
        <v>12</v>
      </c>
      <c r="K140" s="4" t="s">
        <v>240</v>
      </c>
      <c r="L140" s="20" t="s">
        <v>527</v>
      </c>
      <c r="M140" s="15" t="s">
        <v>684</v>
      </c>
      <c r="N140" s="15" t="s">
        <v>693</v>
      </c>
      <c r="O140" s="15" t="s">
        <v>694</v>
      </c>
      <c r="P140" s="21" t="s">
        <v>517</v>
      </c>
    </row>
    <row r="141" spans="1:16" ht="60" x14ac:dyDescent="0.25">
      <c r="A141" s="4" t="s">
        <v>695</v>
      </c>
      <c r="B141" s="4" t="s">
        <v>618</v>
      </c>
      <c r="C141" s="4" t="s">
        <v>688</v>
      </c>
      <c r="D141" s="11" t="s">
        <v>696</v>
      </c>
      <c r="E141" s="4" t="s">
        <v>358</v>
      </c>
      <c r="F141" s="4" t="s">
        <v>690</v>
      </c>
      <c r="G141" s="4" t="s">
        <v>22</v>
      </c>
      <c r="H141" s="11" t="s">
        <v>697</v>
      </c>
      <c r="I141" s="11" t="s">
        <v>698</v>
      </c>
      <c r="J141" s="4">
        <v>12</v>
      </c>
      <c r="K141" s="4" t="s">
        <v>240</v>
      </c>
      <c r="L141" s="20" t="s">
        <v>527</v>
      </c>
      <c r="M141" s="15" t="s">
        <v>684</v>
      </c>
      <c r="N141" s="15" t="s">
        <v>693</v>
      </c>
      <c r="O141" s="15" t="s">
        <v>699</v>
      </c>
      <c r="P141" s="21" t="s">
        <v>517</v>
      </c>
    </row>
    <row r="142" spans="1:16" ht="60" x14ac:dyDescent="0.25">
      <c r="A142" s="4" t="s">
        <v>700</v>
      </c>
      <c r="B142" s="4" t="s">
        <v>618</v>
      </c>
      <c r="C142" s="4" t="s">
        <v>688</v>
      </c>
      <c r="D142" s="11" t="s">
        <v>701</v>
      </c>
      <c r="E142" s="4" t="s">
        <v>358</v>
      </c>
      <c r="F142" s="4" t="s">
        <v>690</v>
      </c>
      <c r="G142" s="4" t="s">
        <v>82</v>
      </c>
      <c r="H142" s="11" t="s">
        <v>702</v>
      </c>
      <c r="I142" s="11" t="s">
        <v>703</v>
      </c>
      <c r="J142" s="4">
        <v>12</v>
      </c>
      <c r="K142" s="4" t="s">
        <v>240</v>
      </c>
      <c r="L142" s="20" t="s">
        <v>527</v>
      </c>
      <c r="M142" s="15" t="s">
        <v>704</v>
      </c>
      <c r="N142" s="15" t="s">
        <v>705</v>
      </c>
      <c r="O142" s="15" t="s">
        <v>706</v>
      </c>
      <c r="P142" s="21" t="s">
        <v>517</v>
      </c>
    </row>
    <row r="143" spans="1:16" ht="75" x14ac:dyDescent="0.25">
      <c r="A143" s="4" t="s">
        <v>707</v>
      </c>
      <c r="B143" s="4" t="s">
        <v>618</v>
      </c>
      <c r="C143" s="4" t="s">
        <v>688</v>
      </c>
      <c r="D143" s="11" t="s">
        <v>708</v>
      </c>
      <c r="E143" s="4" t="s">
        <v>358</v>
      </c>
      <c r="F143" s="4" t="s">
        <v>709</v>
      </c>
      <c r="G143" s="4" t="s">
        <v>22</v>
      </c>
      <c r="H143" s="11" t="s">
        <v>710</v>
      </c>
      <c r="I143" s="11" t="s">
        <v>711</v>
      </c>
      <c r="J143" s="4">
        <v>8</v>
      </c>
      <c r="K143" s="4" t="s">
        <v>240</v>
      </c>
      <c r="L143" s="20" t="s">
        <v>527</v>
      </c>
      <c r="M143" s="15" t="s">
        <v>684</v>
      </c>
      <c r="N143" s="15" t="s">
        <v>693</v>
      </c>
      <c r="O143" s="15" t="s">
        <v>712</v>
      </c>
      <c r="P143" s="21" t="s">
        <v>517</v>
      </c>
    </row>
    <row r="144" spans="1:16" ht="75" x14ac:dyDescent="0.25">
      <c r="A144" s="4" t="s">
        <v>713</v>
      </c>
      <c r="B144" s="4" t="s">
        <v>618</v>
      </c>
      <c r="C144" s="4" t="s">
        <v>688</v>
      </c>
      <c r="D144" s="11" t="s">
        <v>714</v>
      </c>
      <c r="E144" s="4" t="s">
        <v>358</v>
      </c>
      <c r="F144" s="4" t="s">
        <v>709</v>
      </c>
      <c r="G144" s="4" t="s">
        <v>22</v>
      </c>
      <c r="H144" s="11" t="s">
        <v>715</v>
      </c>
      <c r="I144" s="11" t="s">
        <v>716</v>
      </c>
      <c r="J144" s="4">
        <v>8</v>
      </c>
      <c r="K144" s="4" t="s">
        <v>240</v>
      </c>
      <c r="L144" s="20" t="s">
        <v>527</v>
      </c>
      <c r="M144" s="15" t="s">
        <v>684</v>
      </c>
      <c r="N144" s="15" t="s">
        <v>693</v>
      </c>
      <c r="O144" s="15" t="s">
        <v>717</v>
      </c>
      <c r="P144" s="21" t="s">
        <v>517</v>
      </c>
    </row>
    <row r="145" spans="1:16" ht="60" x14ac:dyDescent="0.25">
      <c r="A145" s="4" t="s">
        <v>718</v>
      </c>
      <c r="B145" s="4" t="s">
        <v>618</v>
      </c>
      <c r="C145" s="4" t="s">
        <v>688</v>
      </c>
      <c r="D145" s="11" t="s">
        <v>719</v>
      </c>
      <c r="E145" s="4" t="s">
        <v>358</v>
      </c>
      <c r="F145" s="4" t="s">
        <v>720</v>
      </c>
      <c r="G145" s="4" t="s">
        <v>22</v>
      </c>
      <c r="H145" s="11" t="s">
        <v>721</v>
      </c>
      <c r="I145" s="11" t="s">
        <v>722</v>
      </c>
      <c r="J145" s="4">
        <v>8</v>
      </c>
      <c r="K145" s="4" t="s">
        <v>240</v>
      </c>
      <c r="L145" s="20" t="s">
        <v>527</v>
      </c>
      <c r="M145" s="15" t="s">
        <v>684</v>
      </c>
      <c r="N145" s="15" t="s">
        <v>693</v>
      </c>
      <c r="O145" s="15" t="s">
        <v>713</v>
      </c>
      <c r="P145" s="21" t="s">
        <v>517</v>
      </c>
    </row>
    <row r="146" spans="1:16" ht="60" x14ac:dyDescent="0.25">
      <c r="A146" s="4" t="s">
        <v>723</v>
      </c>
      <c r="B146" s="4" t="s">
        <v>618</v>
      </c>
      <c r="C146" s="4" t="s">
        <v>688</v>
      </c>
      <c r="D146" s="11" t="s">
        <v>724</v>
      </c>
      <c r="E146" s="4" t="s">
        <v>358</v>
      </c>
      <c r="F146" s="4" t="s">
        <v>720</v>
      </c>
      <c r="G146" s="4" t="s">
        <v>22</v>
      </c>
      <c r="H146" s="11" t="s">
        <v>725</v>
      </c>
      <c r="I146" s="11" t="s">
        <v>726</v>
      </c>
      <c r="J146" s="4">
        <v>8</v>
      </c>
      <c r="K146" s="4" t="s">
        <v>240</v>
      </c>
      <c r="L146" s="20" t="s">
        <v>527</v>
      </c>
      <c r="M146" s="15" t="s">
        <v>684</v>
      </c>
      <c r="N146" s="15" t="s">
        <v>693</v>
      </c>
      <c r="O146" s="15" t="s">
        <v>718</v>
      </c>
      <c r="P146" s="21" t="s">
        <v>517</v>
      </c>
    </row>
    <row r="147" spans="1:16" ht="105" x14ac:dyDescent="0.25">
      <c r="A147" s="4" t="s">
        <v>727</v>
      </c>
      <c r="B147" s="4" t="s">
        <v>618</v>
      </c>
      <c r="C147" s="4" t="s">
        <v>680</v>
      </c>
      <c r="D147" s="11" t="s">
        <v>728</v>
      </c>
      <c r="E147" s="4" t="s">
        <v>76</v>
      </c>
      <c r="F147" s="4" t="s">
        <v>729</v>
      </c>
      <c r="G147" s="4" t="s">
        <v>82</v>
      </c>
      <c r="H147" s="11" t="s">
        <v>730</v>
      </c>
      <c r="I147" s="11" t="s">
        <v>731</v>
      </c>
      <c r="J147" s="4">
        <v>10</v>
      </c>
      <c r="K147" s="4" t="s">
        <v>240</v>
      </c>
      <c r="L147" s="20" t="s">
        <v>527</v>
      </c>
      <c r="M147" s="15" t="s">
        <v>732</v>
      </c>
      <c r="N147" s="15" t="s">
        <v>733</v>
      </c>
      <c r="O147" s="15" t="s">
        <v>734</v>
      </c>
      <c r="P147" s="21" t="s">
        <v>517</v>
      </c>
    </row>
    <row r="148" spans="1:16" ht="180" x14ac:dyDescent="0.25">
      <c r="A148" s="4" t="s">
        <v>735</v>
      </c>
      <c r="B148" s="4" t="s">
        <v>618</v>
      </c>
      <c r="C148" s="4" t="s">
        <v>680</v>
      </c>
      <c r="D148" s="11" t="s">
        <v>736</v>
      </c>
      <c r="E148" s="4" t="s">
        <v>76</v>
      </c>
      <c r="F148" s="4" t="s">
        <v>729</v>
      </c>
      <c r="G148" s="4" t="s">
        <v>22</v>
      </c>
      <c r="H148" s="11" t="s">
        <v>737</v>
      </c>
      <c r="I148" s="11" t="s">
        <v>738</v>
      </c>
      <c r="J148" s="4">
        <v>12</v>
      </c>
      <c r="K148" s="4" t="s">
        <v>240</v>
      </c>
      <c r="L148" s="20" t="s">
        <v>527</v>
      </c>
      <c r="M148" s="15" t="s">
        <v>732</v>
      </c>
      <c r="N148" s="15" t="s">
        <v>733</v>
      </c>
      <c r="O148" s="15" t="s">
        <v>739</v>
      </c>
      <c r="P148" s="21" t="s">
        <v>740</v>
      </c>
    </row>
    <row r="149" spans="1:16" ht="75" x14ac:dyDescent="0.25">
      <c r="A149" s="4" t="s">
        <v>741</v>
      </c>
      <c r="B149" s="4" t="s">
        <v>618</v>
      </c>
      <c r="C149" s="4" t="s">
        <v>680</v>
      </c>
      <c r="D149" s="11" t="s">
        <v>742</v>
      </c>
      <c r="E149" s="4" t="s">
        <v>33</v>
      </c>
      <c r="F149" s="4" t="s">
        <v>559</v>
      </c>
      <c r="G149" s="4" t="s">
        <v>82</v>
      </c>
      <c r="H149" s="11" t="s">
        <v>743</v>
      </c>
      <c r="I149" s="11" t="s">
        <v>744</v>
      </c>
      <c r="J149" s="4">
        <v>8</v>
      </c>
      <c r="K149" s="4" t="s">
        <v>240</v>
      </c>
      <c r="L149" s="20" t="s">
        <v>745</v>
      </c>
      <c r="M149" s="15" t="s">
        <v>232</v>
      </c>
      <c r="N149" s="15" t="s">
        <v>746</v>
      </c>
      <c r="O149" s="15" t="s">
        <v>747</v>
      </c>
      <c r="P149" s="21" t="s">
        <v>517</v>
      </c>
    </row>
    <row r="150" spans="1:16" ht="45" x14ac:dyDescent="0.25">
      <c r="A150" s="4" t="s">
        <v>748</v>
      </c>
      <c r="B150" s="4" t="s">
        <v>618</v>
      </c>
      <c r="C150" s="4" t="s">
        <v>680</v>
      </c>
      <c r="D150" s="11" t="s">
        <v>749</v>
      </c>
      <c r="E150" s="4" t="s">
        <v>33</v>
      </c>
      <c r="F150" s="4" t="s">
        <v>559</v>
      </c>
      <c r="G150" s="4" t="s">
        <v>82</v>
      </c>
      <c r="H150" s="11" t="s">
        <v>750</v>
      </c>
      <c r="I150" s="11" t="s">
        <v>751</v>
      </c>
      <c r="J150" s="4">
        <v>6</v>
      </c>
      <c r="K150" s="4" t="s">
        <v>240</v>
      </c>
      <c r="L150" s="20" t="s">
        <v>745</v>
      </c>
      <c r="M150" s="15" t="s">
        <v>232</v>
      </c>
      <c r="N150" s="15" t="s">
        <v>746</v>
      </c>
      <c r="O150" s="15" t="s">
        <v>747</v>
      </c>
      <c r="P150" s="21" t="s">
        <v>517</v>
      </c>
    </row>
    <row r="151" spans="1:16" ht="90" x14ac:dyDescent="0.25">
      <c r="A151" s="4" t="s">
        <v>752</v>
      </c>
      <c r="B151" s="4" t="s">
        <v>618</v>
      </c>
      <c r="C151" s="4" t="s">
        <v>680</v>
      </c>
      <c r="D151" s="11" t="s">
        <v>753</v>
      </c>
      <c r="E151" s="4" t="s">
        <v>64</v>
      </c>
      <c r="F151" s="4" t="s">
        <v>81</v>
      </c>
      <c r="G151" s="4" t="s">
        <v>22</v>
      </c>
      <c r="H151" s="11" t="s">
        <v>754</v>
      </c>
      <c r="I151" s="11" t="s">
        <v>755</v>
      </c>
      <c r="J151" s="4">
        <v>12</v>
      </c>
      <c r="K151" s="4" t="s">
        <v>240</v>
      </c>
      <c r="L151" s="20" t="s">
        <v>756</v>
      </c>
      <c r="M151" s="15" t="s">
        <v>757</v>
      </c>
      <c r="N151" s="15" t="s">
        <v>758</v>
      </c>
      <c r="O151" s="15" t="s">
        <v>759</v>
      </c>
      <c r="P151" s="21" t="s">
        <v>517</v>
      </c>
    </row>
    <row r="152" spans="1:16" ht="30" x14ac:dyDescent="0.25">
      <c r="A152" s="4" t="s">
        <v>760</v>
      </c>
      <c r="B152" s="4" t="s">
        <v>761</v>
      </c>
      <c r="C152" s="4" t="s">
        <v>762</v>
      </c>
      <c r="D152" s="11" t="s">
        <v>763</v>
      </c>
      <c r="E152" s="4" t="s">
        <v>70</v>
      </c>
      <c r="F152" s="4" t="s">
        <v>764</v>
      </c>
      <c r="G152" s="4" t="s">
        <v>22</v>
      </c>
      <c r="H152" s="11" t="s">
        <v>765</v>
      </c>
      <c r="I152" s="11" t="s">
        <v>766</v>
      </c>
      <c r="J152" s="4">
        <v>12</v>
      </c>
      <c r="K152" s="4" t="s">
        <v>240</v>
      </c>
      <c r="L152" s="20" t="s">
        <v>767</v>
      </c>
      <c r="M152" s="15" t="s">
        <v>412</v>
      </c>
      <c r="N152" s="15" t="s">
        <v>768</v>
      </c>
      <c r="O152" s="15" t="s">
        <v>769</v>
      </c>
      <c r="P152" s="21" t="s">
        <v>30</v>
      </c>
    </row>
    <row r="153" spans="1:16" ht="45" x14ac:dyDescent="0.25">
      <c r="A153" s="4" t="s">
        <v>770</v>
      </c>
      <c r="B153" s="4" t="s">
        <v>761</v>
      </c>
      <c r="C153" s="4" t="s">
        <v>762</v>
      </c>
      <c r="D153" s="11" t="s">
        <v>771</v>
      </c>
      <c r="E153" s="4" t="s">
        <v>50</v>
      </c>
      <c r="F153" s="4" t="s">
        <v>764</v>
      </c>
      <c r="G153" s="4" t="s">
        <v>22</v>
      </c>
      <c r="H153" s="11" t="s">
        <v>772</v>
      </c>
      <c r="I153" s="11" t="s">
        <v>773</v>
      </c>
      <c r="J153" s="4">
        <v>12</v>
      </c>
      <c r="K153" s="4" t="s">
        <v>240</v>
      </c>
      <c r="L153" s="20" t="s">
        <v>767</v>
      </c>
      <c r="M153" s="15" t="s">
        <v>412</v>
      </c>
      <c r="N153" s="15" t="s">
        <v>768</v>
      </c>
      <c r="O153" s="15" t="s">
        <v>769</v>
      </c>
      <c r="P153" s="21" t="s">
        <v>30</v>
      </c>
    </row>
    <row r="154" spans="1:16" ht="30" x14ac:dyDescent="0.25">
      <c r="A154" s="4" t="s">
        <v>774</v>
      </c>
      <c r="B154" s="4" t="s">
        <v>761</v>
      </c>
      <c r="C154" s="4" t="s">
        <v>762</v>
      </c>
      <c r="D154" s="11" t="s">
        <v>775</v>
      </c>
      <c r="E154" s="4" t="s">
        <v>70</v>
      </c>
      <c r="F154" s="4" t="s">
        <v>776</v>
      </c>
      <c r="G154" s="4" t="s">
        <v>22</v>
      </c>
      <c r="H154" s="11" t="s">
        <v>777</v>
      </c>
      <c r="I154" s="11" t="s">
        <v>778</v>
      </c>
      <c r="J154" s="4">
        <v>12</v>
      </c>
      <c r="K154" s="4" t="s">
        <v>240</v>
      </c>
      <c r="L154" s="20" t="s">
        <v>767</v>
      </c>
      <c r="M154" s="15" t="s">
        <v>412</v>
      </c>
      <c r="N154" s="15" t="s">
        <v>768</v>
      </c>
      <c r="O154" s="15" t="s">
        <v>769</v>
      </c>
      <c r="P154" s="21" t="s">
        <v>30</v>
      </c>
    </row>
    <row r="155" spans="1:16" ht="30" x14ac:dyDescent="0.25">
      <c r="A155" s="4" t="s">
        <v>779</v>
      </c>
      <c r="B155" s="4" t="s">
        <v>761</v>
      </c>
      <c r="C155" s="4" t="s">
        <v>762</v>
      </c>
      <c r="D155" s="11" t="s">
        <v>780</v>
      </c>
      <c r="E155" s="4" t="s">
        <v>50</v>
      </c>
      <c r="F155" s="4" t="s">
        <v>781</v>
      </c>
      <c r="G155" s="4" t="s">
        <v>82</v>
      </c>
      <c r="H155" s="11" t="s">
        <v>782</v>
      </c>
      <c r="I155" s="11" t="s">
        <v>783</v>
      </c>
      <c r="J155" s="4">
        <v>12</v>
      </c>
      <c r="K155" s="4" t="s">
        <v>240</v>
      </c>
      <c r="L155" s="20" t="s">
        <v>767</v>
      </c>
      <c r="M155" s="15" t="s">
        <v>412</v>
      </c>
      <c r="N155" s="15" t="s">
        <v>768</v>
      </c>
      <c r="O155" s="15" t="s">
        <v>769</v>
      </c>
      <c r="P155" s="21" t="s">
        <v>30</v>
      </c>
    </row>
    <row r="156" spans="1:16" ht="60" x14ac:dyDescent="0.25">
      <c r="A156" s="4" t="s">
        <v>784</v>
      </c>
      <c r="B156" s="4" t="s">
        <v>761</v>
      </c>
      <c r="C156" s="4" t="s">
        <v>762</v>
      </c>
      <c r="D156" s="11" t="s">
        <v>785</v>
      </c>
      <c r="E156" s="4" t="s">
        <v>38</v>
      </c>
      <c r="F156" s="4" t="s">
        <v>781</v>
      </c>
      <c r="G156" s="4" t="s">
        <v>82</v>
      </c>
      <c r="H156" s="11" t="s">
        <v>786</v>
      </c>
      <c r="I156" s="11" t="s">
        <v>787</v>
      </c>
      <c r="J156" s="4">
        <v>12</v>
      </c>
      <c r="K156" s="4" t="s">
        <v>240</v>
      </c>
      <c r="L156" s="20" t="s">
        <v>591</v>
      </c>
      <c r="M156" s="15" t="s">
        <v>788</v>
      </c>
      <c r="N156" s="15" t="s">
        <v>789</v>
      </c>
      <c r="O156" s="15" t="s">
        <v>790</v>
      </c>
      <c r="P156" s="21" t="s">
        <v>517</v>
      </c>
    </row>
    <row r="157" spans="1:16" ht="30" x14ac:dyDescent="0.25">
      <c r="A157" s="4" t="s">
        <v>791</v>
      </c>
      <c r="B157" s="4" t="s">
        <v>761</v>
      </c>
      <c r="C157" s="4" t="s">
        <v>762</v>
      </c>
      <c r="D157" s="11" t="s">
        <v>792</v>
      </c>
      <c r="E157" s="4" t="s">
        <v>33</v>
      </c>
      <c r="F157" s="4" t="s">
        <v>793</v>
      </c>
      <c r="G157" s="4" t="s">
        <v>82</v>
      </c>
      <c r="H157" s="11" t="s">
        <v>794</v>
      </c>
      <c r="I157" s="11" t="s">
        <v>795</v>
      </c>
      <c r="J157" s="4">
        <v>12</v>
      </c>
      <c r="K157" s="4" t="s">
        <v>240</v>
      </c>
      <c r="L157" s="20" t="s">
        <v>767</v>
      </c>
      <c r="M157" s="15" t="s">
        <v>412</v>
      </c>
      <c r="N157" s="15" t="s">
        <v>768</v>
      </c>
      <c r="O157" s="15" t="s">
        <v>769</v>
      </c>
      <c r="P157" s="21" t="s">
        <v>30</v>
      </c>
    </row>
    <row r="158" spans="1:16" ht="60" x14ac:dyDescent="0.25">
      <c r="A158" s="4" t="s">
        <v>796</v>
      </c>
      <c r="B158" s="4" t="s">
        <v>761</v>
      </c>
      <c r="C158" s="4" t="s">
        <v>762</v>
      </c>
      <c r="D158" s="11" t="s">
        <v>797</v>
      </c>
      <c r="E158" s="4" t="s">
        <v>358</v>
      </c>
      <c r="F158" s="4" t="s">
        <v>798</v>
      </c>
      <c r="G158" s="4" t="s">
        <v>82</v>
      </c>
      <c r="H158" s="11" t="s">
        <v>799</v>
      </c>
      <c r="I158" s="11" t="s">
        <v>800</v>
      </c>
      <c r="J158" s="4">
        <v>12</v>
      </c>
      <c r="K158" s="4" t="s">
        <v>240</v>
      </c>
      <c r="L158" s="20" t="s">
        <v>527</v>
      </c>
      <c r="M158" s="15" t="s">
        <v>801</v>
      </c>
      <c r="N158" s="15" t="s">
        <v>802</v>
      </c>
      <c r="O158" s="15" t="s">
        <v>803</v>
      </c>
      <c r="P158" s="21" t="s">
        <v>517</v>
      </c>
    </row>
    <row r="159" spans="1:16" ht="45" x14ac:dyDescent="0.25">
      <c r="A159" s="4" t="s">
        <v>804</v>
      </c>
      <c r="B159" s="4" t="s">
        <v>761</v>
      </c>
      <c r="C159" s="4" t="s">
        <v>762</v>
      </c>
      <c r="D159" s="11" t="s">
        <v>805</v>
      </c>
      <c r="E159" s="4" t="s">
        <v>358</v>
      </c>
      <c r="F159" s="4" t="s">
        <v>709</v>
      </c>
      <c r="G159" s="4" t="s">
        <v>82</v>
      </c>
      <c r="H159" s="11" t="s">
        <v>806</v>
      </c>
      <c r="I159" s="11" t="s">
        <v>807</v>
      </c>
      <c r="J159" s="4">
        <v>12</v>
      </c>
      <c r="K159" s="4" t="s">
        <v>240</v>
      </c>
      <c r="L159" s="20" t="s">
        <v>527</v>
      </c>
      <c r="M159" s="15" t="s">
        <v>801</v>
      </c>
      <c r="N159" s="15" t="s">
        <v>802</v>
      </c>
      <c r="O159" s="15" t="s">
        <v>803</v>
      </c>
      <c r="P159" s="21" t="s">
        <v>517</v>
      </c>
    </row>
    <row r="160" spans="1:16" ht="60" x14ac:dyDescent="0.25">
      <c r="A160" s="4" t="s">
        <v>808</v>
      </c>
      <c r="B160" s="4" t="s">
        <v>761</v>
      </c>
      <c r="C160" s="4" t="s">
        <v>809</v>
      </c>
      <c r="D160" s="11" t="s">
        <v>810</v>
      </c>
      <c r="E160" s="4" t="s">
        <v>38</v>
      </c>
      <c r="F160" s="4" t="s">
        <v>811</v>
      </c>
      <c r="G160" s="4" t="s">
        <v>22</v>
      </c>
      <c r="H160" s="11" t="s">
        <v>812</v>
      </c>
      <c r="I160" s="11" t="s">
        <v>813</v>
      </c>
      <c r="J160" s="4">
        <v>12</v>
      </c>
      <c r="K160" s="4" t="s">
        <v>240</v>
      </c>
      <c r="L160" s="20" t="s">
        <v>591</v>
      </c>
      <c r="M160" s="15" t="s">
        <v>788</v>
      </c>
      <c r="N160" s="15" t="s">
        <v>789</v>
      </c>
      <c r="O160" s="15" t="s">
        <v>790</v>
      </c>
      <c r="P160" s="21" t="s">
        <v>517</v>
      </c>
    </row>
    <row r="161" spans="1:16" ht="30" x14ac:dyDescent="0.25">
      <c r="A161" s="4" t="s">
        <v>814</v>
      </c>
      <c r="B161" s="4" t="s">
        <v>761</v>
      </c>
      <c r="C161" s="4" t="s">
        <v>809</v>
      </c>
      <c r="D161" s="11" t="s">
        <v>815</v>
      </c>
      <c r="E161" s="4" t="s">
        <v>38</v>
      </c>
      <c r="F161" s="4" t="s">
        <v>816</v>
      </c>
      <c r="G161" s="4" t="s">
        <v>22</v>
      </c>
      <c r="H161" s="11" t="s">
        <v>817</v>
      </c>
      <c r="I161" s="11" t="s">
        <v>818</v>
      </c>
      <c r="J161" s="4">
        <v>12</v>
      </c>
      <c r="K161" s="4" t="s">
        <v>240</v>
      </c>
      <c r="L161" s="20" t="s">
        <v>767</v>
      </c>
      <c r="M161" s="15" t="s">
        <v>412</v>
      </c>
      <c r="N161" s="15" t="s">
        <v>768</v>
      </c>
      <c r="O161" s="15" t="s">
        <v>769</v>
      </c>
      <c r="P161" s="21" t="s">
        <v>30</v>
      </c>
    </row>
    <row r="162" spans="1:16" ht="30" x14ac:dyDescent="0.25">
      <c r="A162" s="4" t="s">
        <v>819</v>
      </c>
      <c r="B162" s="4" t="s">
        <v>761</v>
      </c>
      <c r="C162" s="4" t="s">
        <v>809</v>
      </c>
      <c r="D162" s="11" t="s">
        <v>820</v>
      </c>
      <c r="E162" s="4" t="s">
        <v>70</v>
      </c>
      <c r="F162" s="4" t="s">
        <v>542</v>
      </c>
      <c r="G162" s="4" t="s">
        <v>82</v>
      </c>
      <c r="H162" s="11" t="s">
        <v>821</v>
      </c>
      <c r="I162" s="11" t="s">
        <v>822</v>
      </c>
      <c r="J162" s="4">
        <v>12</v>
      </c>
      <c r="K162" s="4" t="s">
        <v>240</v>
      </c>
      <c r="L162" s="20" t="s">
        <v>767</v>
      </c>
      <c r="M162" s="15" t="s">
        <v>412</v>
      </c>
      <c r="N162" s="15" t="s">
        <v>768</v>
      </c>
      <c r="O162" s="15" t="s">
        <v>769</v>
      </c>
      <c r="P162" s="21" t="s">
        <v>30</v>
      </c>
    </row>
    <row r="163" spans="1:16" ht="30" x14ac:dyDescent="0.25">
      <c r="A163" s="4" t="s">
        <v>823</v>
      </c>
      <c r="B163" s="4" t="s">
        <v>761</v>
      </c>
      <c r="C163" s="4" t="s">
        <v>809</v>
      </c>
      <c r="D163" s="11" t="s">
        <v>824</v>
      </c>
      <c r="E163" s="4" t="s">
        <v>38</v>
      </c>
      <c r="F163" s="4" t="s">
        <v>542</v>
      </c>
      <c r="G163" s="4" t="s">
        <v>22</v>
      </c>
      <c r="H163" s="11" t="s">
        <v>825</v>
      </c>
      <c r="I163" s="11" t="s">
        <v>826</v>
      </c>
      <c r="J163" s="4">
        <v>12</v>
      </c>
      <c r="K163" s="4" t="s">
        <v>240</v>
      </c>
      <c r="L163" s="20" t="s">
        <v>767</v>
      </c>
      <c r="M163" s="15" t="s">
        <v>412</v>
      </c>
      <c r="N163" s="15" t="s">
        <v>768</v>
      </c>
      <c r="O163" s="15" t="s">
        <v>769</v>
      </c>
      <c r="P163" s="21" t="s">
        <v>30</v>
      </c>
    </row>
    <row r="164" spans="1:16" ht="30" x14ac:dyDescent="0.25">
      <c r="A164" s="4" t="s">
        <v>827</v>
      </c>
      <c r="B164" s="4" t="s">
        <v>761</v>
      </c>
      <c r="C164" s="4" t="s">
        <v>809</v>
      </c>
      <c r="D164" s="11" t="s">
        <v>828</v>
      </c>
      <c r="E164" s="4" t="s">
        <v>38</v>
      </c>
      <c r="F164" s="4" t="s">
        <v>537</v>
      </c>
      <c r="G164" s="4" t="s">
        <v>82</v>
      </c>
      <c r="H164" s="11" t="s">
        <v>829</v>
      </c>
      <c r="I164" s="11" t="s">
        <v>830</v>
      </c>
      <c r="J164" s="4">
        <v>12</v>
      </c>
      <c r="K164" s="4" t="s">
        <v>240</v>
      </c>
      <c r="L164" s="20" t="s">
        <v>767</v>
      </c>
      <c r="M164" s="15" t="s">
        <v>412</v>
      </c>
      <c r="N164" s="15" t="s">
        <v>768</v>
      </c>
      <c r="O164" s="15" t="s">
        <v>769</v>
      </c>
      <c r="P164" s="21" t="s">
        <v>30</v>
      </c>
    </row>
    <row r="165" spans="1:16" ht="60" x14ac:dyDescent="0.25">
      <c r="A165" s="4" t="s">
        <v>831</v>
      </c>
      <c r="B165" s="4" t="s">
        <v>761</v>
      </c>
      <c r="C165" s="4" t="s">
        <v>809</v>
      </c>
      <c r="D165" s="11" t="s">
        <v>832</v>
      </c>
      <c r="E165" s="4" t="s">
        <v>70</v>
      </c>
      <c r="F165" s="4" t="s">
        <v>833</v>
      </c>
      <c r="G165" s="4" t="s">
        <v>22</v>
      </c>
      <c r="H165" s="11" t="s">
        <v>834</v>
      </c>
      <c r="I165" s="11" t="s">
        <v>835</v>
      </c>
      <c r="J165" s="4">
        <v>12</v>
      </c>
      <c r="K165" s="4" t="s">
        <v>240</v>
      </c>
      <c r="L165" s="20" t="s">
        <v>767</v>
      </c>
      <c r="M165" s="15" t="s">
        <v>412</v>
      </c>
      <c r="N165" s="15" t="s">
        <v>768</v>
      </c>
      <c r="O165" s="15" t="s">
        <v>769</v>
      </c>
      <c r="P165" s="21" t="s">
        <v>30</v>
      </c>
    </row>
    <row r="166" spans="1:16" ht="45" x14ac:dyDescent="0.25">
      <c r="A166" s="4" t="s">
        <v>836</v>
      </c>
      <c r="B166" s="4" t="s">
        <v>761</v>
      </c>
      <c r="C166" s="4" t="s">
        <v>809</v>
      </c>
      <c r="D166" s="11" t="s">
        <v>837</v>
      </c>
      <c r="E166" s="4" t="s">
        <v>70</v>
      </c>
      <c r="F166" s="4" t="s">
        <v>838</v>
      </c>
      <c r="G166" s="4" t="s">
        <v>82</v>
      </c>
      <c r="H166" s="11" t="s">
        <v>839</v>
      </c>
      <c r="I166" s="11" t="s">
        <v>840</v>
      </c>
      <c r="J166" s="4">
        <v>12</v>
      </c>
      <c r="K166" s="4" t="s">
        <v>240</v>
      </c>
      <c r="L166" s="20" t="s">
        <v>767</v>
      </c>
      <c r="M166" s="15" t="s">
        <v>412</v>
      </c>
      <c r="N166" s="15" t="s">
        <v>768</v>
      </c>
      <c r="O166" s="15" t="s">
        <v>769</v>
      </c>
      <c r="P166" s="21" t="s">
        <v>30</v>
      </c>
    </row>
    <row r="167" spans="1:16" ht="180" x14ac:dyDescent="0.25">
      <c r="A167" s="4" t="s">
        <v>841</v>
      </c>
      <c r="B167" s="4" t="s">
        <v>761</v>
      </c>
      <c r="C167" s="4" t="s">
        <v>809</v>
      </c>
      <c r="D167" s="11" t="s">
        <v>842</v>
      </c>
      <c r="E167" s="4" t="s">
        <v>339</v>
      </c>
      <c r="F167" s="4" t="s">
        <v>340</v>
      </c>
      <c r="G167" s="4" t="s">
        <v>45</v>
      </c>
      <c r="H167" s="11" t="s">
        <v>843</v>
      </c>
      <c r="I167" s="11" t="s">
        <v>844</v>
      </c>
      <c r="J167" s="4">
        <v>12</v>
      </c>
      <c r="K167" s="4" t="s">
        <v>240</v>
      </c>
      <c r="L167" s="20" t="s">
        <v>767</v>
      </c>
      <c r="M167" s="15" t="s">
        <v>412</v>
      </c>
      <c r="N167" s="15" t="s">
        <v>768</v>
      </c>
      <c r="O167" s="15" t="s">
        <v>769</v>
      </c>
      <c r="P167" s="21" t="s">
        <v>30</v>
      </c>
    </row>
    <row r="168" spans="1:16" ht="30" x14ac:dyDescent="0.25">
      <c r="A168" s="4" t="s">
        <v>845</v>
      </c>
      <c r="B168" s="4" t="s">
        <v>761</v>
      </c>
      <c r="C168" s="4" t="s">
        <v>809</v>
      </c>
      <c r="D168" s="11" t="s">
        <v>846</v>
      </c>
      <c r="E168" s="4" t="s">
        <v>20</v>
      </c>
      <c r="F168" s="4" t="s">
        <v>610</v>
      </c>
      <c r="G168" s="4" t="s">
        <v>22</v>
      </c>
      <c r="H168" s="11" t="s">
        <v>847</v>
      </c>
      <c r="I168" s="11" t="s">
        <v>848</v>
      </c>
      <c r="J168" s="4">
        <v>12</v>
      </c>
      <c r="K168" s="4" t="s">
        <v>240</v>
      </c>
      <c r="L168" s="20" t="s">
        <v>767</v>
      </c>
      <c r="M168" s="15" t="s">
        <v>412</v>
      </c>
      <c r="N168" s="15" t="s">
        <v>768</v>
      </c>
      <c r="O168" s="15" t="s">
        <v>769</v>
      </c>
      <c r="P168" s="21" t="s">
        <v>30</v>
      </c>
    </row>
    <row r="169" spans="1:16" ht="120" x14ac:dyDescent="0.25">
      <c r="A169" s="110" t="s">
        <v>849</v>
      </c>
      <c r="B169" s="110" t="s">
        <v>618</v>
      </c>
      <c r="C169" s="110" t="s">
        <v>850</v>
      </c>
      <c r="D169" s="110" t="s">
        <v>851</v>
      </c>
      <c r="E169" s="110" t="s">
        <v>358</v>
      </c>
      <c r="F169" s="110" t="s">
        <v>852</v>
      </c>
      <c r="G169" s="110" t="s">
        <v>22</v>
      </c>
      <c r="H169" s="110" t="s">
        <v>853</v>
      </c>
      <c r="I169" s="110" t="s">
        <v>854</v>
      </c>
      <c r="J169" s="110">
        <v>12</v>
      </c>
      <c r="K169" s="8" t="s">
        <v>25</v>
      </c>
      <c r="L169" s="25" t="s">
        <v>527</v>
      </c>
      <c r="M169" s="18" t="s">
        <v>676</v>
      </c>
      <c r="N169" s="18" t="s">
        <v>677</v>
      </c>
      <c r="O169" s="18" t="s">
        <v>678</v>
      </c>
      <c r="P169" s="19" t="s">
        <v>855</v>
      </c>
    </row>
    <row r="170" spans="1:16" ht="90" x14ac:dyDescent="0.25">
      <c r="A170" s="109" t="s">
        <v>856</v>
      </c>
      <c r="B170" s="109" t="s">
        <v>618</v>
      </c>
      <c r="C170" s="109" t="s">
        <v>850</v>
      </c>
      <c r="D170" s="109" t="s">
        <v>857</v>
      </c>
      <c r="E170" s="109" t="s">
        <v>358</v>
      </c>
      <c r="F170" s="109" t="s">
        <v>858</v>
      </c>
      <c r="G170" s="109" t="s">
        <v>22</v>
      </c>
      <c r="H170" s="109" t="s">
        <v>859</v>
      </c>
      <c r="I170" s="109" t="s">
        <v>860</v>
      </c>
      <c r="J170" s="109">
        <v>10</v>
      </c>
      <c r="K170" s="109" t="s">
        <v>230</v>
      </c>
      <c r="L170" s="16" t="s">
        <v>527</v>
      </c>
      <c r="M170" s="15" t="s">
        <v>676</v>
      </c>
      <c r="N170" s="15" t="s">
        <v>677</v>
      </c>
      <c r="O170" s="15" t="s">
        <v>678</v>
      </c>
      <c r="P170" s="21" t="s">
        <v>855</v>
      </c>
    </row>
    <row r="171" spans="1:16" ht="75" x14ac:dyDescent="0.25">
      <c r="A171" s="108" t="s">
        <v>861</v>
      </c>
      <c r="B171" s="108" t="s">
        <v>618</v>
      </c>
      <c r="C171" s="108" t="s">
        <v>850</v>
      </c>
      <c r="D171" s="108" t="s">
        <v>862</v>
      </c>
      <c r="E171" s="108" t="s">
        <v>358</v>
      </c>
      <c r="F171" s="108" t="s">
        <v>858</v>
      </c>
      <c r="G171" s="108" t="s">
        <v>22</v>
      </c>
      <c r="H171" s="108" t="s">
        <v>863</v>
      </c>
      <c r="I171" s="108" t="s">
        <v>864</v>
      </c>
      <c r="J171" s="108">
        <v>10</v>
      </c>
      <c r="K171" s="108" t="s">
        <v>240</v>
      </c>
      <c r="L171" s="16" t="s">
        <v>527</v>
      </c>
      <c r="M171" s="15" t="s">
        <v>676</v>
      </c>
      <c r="N171" s="15" t="s">
        <v>677</v>
      </c>
      <c r="O171" s="15" t="s">
        <v>678</v>
      </c>
      <c r="P171" s="21" t="s">
        <v>855</v>
      </c>
    </row>
    <row r="172" spans="1:16" ht="90" x14ac:dyDescent="0.25">
      <c r="A172" s="110" t="s">
        <v>865</v>
      </c>
      <c r="B172" s="110" t="s">
        <v>618</v>
      </c>
      <c r="C172" s="110" t="s">
        <v>850</v>
      </c>
      <c r="D172" s="110" t="s">
        <v>866</v>
      </c>
      <c r="E172" s="110" t="s">
        <v>76</v>
      </c>
      <c r="F172" s="110" t="s">
        <v>867</v>
      </c>
      <c r="G172" s="110" t="s">
        <v>22</v>
      </c>
      <c r="H172" s="110" t="s">
        <v>868</v>
      </c>
      <c r="I172" s="110" t="s">
        <v>869</v>
      </c>
      <c r="J172" s="110">
        <v>10</v>
      </c>
      <c r="K172" s="8" t="s">
        <v>25</v>
      </c>
      <c r="L172" s="16" t="s">
        <v>527</v>
      </c>
      <c r="M172" s="15" t="s">
        <v>676</v>
      </c>
      <c r="N172" s="15" t="s">
        <v>677</v>
      </c>
      <c r="O172" s="15" t="s">
        <v>678</v>
      </c>
      <c r="P172" s="21" t="s">
        <v>855</v>
      </c>
    </row>
    <row r="173" spans="1:16" ht="90" x14ac:dyDescent="0.25">
      <c r="A173" s="108" t="s">
        <v>870</v>
      </c>
      <c r="B173" s="108" t="s">
        <v>618</v>
      </c>
      <c r="C173" s="108" t="s">
        <v>850</v>
      </c>
      <c r="D173" s="108" t="s">
        <v>871</v>
      </c>
      <c r="E173" s="108" t="s">
        <v>358</v>
      </c>
      <c r="F173" s="108" t="s">
        <v>872</v>
      </c>
      <c r="G173" s="108" t="s">
        <v>82</v>
      </c>
      <c r="H173" s="108" t="s">
        <v>873</v>
      </c>
      <c r="I173" s="108" t="s">
        <v>874</v>
      </c>
      <c r="J173" s="108">
        <v>12</v>
      </c>
      <c r="K173" s="108" t="s">
        <v>240</v>
      </c>
      <c r="L173" s="16" t="s">
        <v>527</v>
      </c>
      <c r="M173" s="15" t="s">
        <v>676</v>
      </c>
      <c r="N173" s="15" t="s">
        <v>677</v>
      </c>
      <c r="O173" s="15" t="s">
        <v>678</v>
      </c>
      <c r="P173" s="21" t="s">
        <v>855</v>
      </c>
    </row>
    <row r="174" spans="1:16" ht="75" x14ac:dyDescent="0.25">
      <c r="A174" s="108" t="s">
        <v>875</v>
      </c>
      <c r="B174" s="108" t="s">
        <v>618</v>
      </c>
      <c r="C174" s="108" t="s">
        <v>850</v>
      </c>
      <c r="D174" s="108" t="s">
        <v>876</v>
      </c>
      <c r="E174" s="108" t="s">
        <v>358</v>
      </c>
      <c r="F174" s="108" t="s">
        <v>877</v>
      </c>
      <c r="G174" s="108" t="s">
        <v>22</v>
      </c>
      <c r="H174" s="108" t="s">
        <v>878</v>
      </c>
      <c r="I174" s="108" t="s">
        <v>879</v>
      </c>
      <c r="J174" s="108">
        <v>12</v>
      </c>
      <c r="K174" s="108" t="s">
        <v>240</v>
      </c>
      <c r="L174" s="16" t="s">
        <v>527</v>
      </c>
      <c r="M174" s="15" t="s">
        <v>676</v>
      </c>
      <c r="N174" s="15" t="s">
        <v>677</v>
      </c>
      <c r="O174" s="15" t="s">
        <v>678</v>
      </c>
      <c r="P174" s="21" t="s">
        <v>855</v>
      </c>
    </row>
    <row r="175" spans="1:16" ht="75" x14ac:dyDescent="0.25">
      <c r="A175" s="108" t="s">
        <v>880</v>
      </c>
      <c r="B175" s="108" t="s">
        <v>618</v>
      </c>
      <c r="C175" s="108" t="s">
        <v>850</v>
      </c>
      <c r="D175" s="108" t="s">
        <v>881</v>
      </c>
      <c r="E175" s="108" t="s">
        <v>358</v>
      </c>
      <c r="F175" s="108" t="s">
        <v>882</v>
      </c>
      <c r="G175" s="108" t="s">
        <v>82</v>
      </c>
      <c r="H175" s="108" t="s">
        <v>883</v>
      </c>
      <c r="I175" s="108" t="s">
        <v>884</v>
      </c>
      <c r="J175" s="108">
        <v>10</v>
      </c>
      <c r="K175" s="108" t="s">
        <v>240</v>
      </c>
      <c r="L175" s="16" t="s">
        <v>527</v>
      </c>
      <c r="M175" s="15" t="s">
        <v>676</v>
      </c>
      <c r="N175" s="15" t="s">
        <v>677</v>
      </c>
      <c r="O175" s="15" t="s">
        <v>678</v>
      </c>
      <c r="P175" s="21" t="s">
        <v>855</v>
      </c>
    </row>
    <row r="176" spans="1:16" ht="165" x14ac:dyDescent="0.25">
      <c r="A176" s="108" t="s">
        <v>885</v>
      </c>
      <c r="B176" s="108" t="s">
        <v>618</v>
      </c>
      <c r="C176" s="108" t="s">
        <v>671</v>
      </c>
      <c r="D176" s="108" t="s">
        <v>886</v>
      </c>
      <c r="E176" s="108" t="s">
        <v>358</v>
      </c>
      <c r="F176" s="108" t="s">
        <v>887</v>
      </c>
      <c r="G176" s="108" t="s">
        <v>22</v>
      </c>
      <c r="H176" s="108" t="s">
        <v>888</v>
      </c>
      <c r="I176" s="108" t="s">
        <v>889</v>
      </c>
      <c r="J176" s="108">
        <v>12</v>
      </c>
      <c r="K176" s="108" t="s">
        <v>240</v>
      </c>
      <c r="L176" s="16" t="s">
        <v>527</v>
      </c>
      <c r="M176" s="15" t="s">
        <v>676</v>
      </c>
      <c r="N176" s="15" t="s">
        <v>890</v>
      </c>
      <c r="O176" s="15" t="s">
        <v>891</v>
      </c>
      <c r="P176" s="21" t="s">
        <v>892</v>
      </c>
    </row>
    <row r="177" spans="1:16" ht="105" x14ac:dyDescent="0.25">
      <c r="A177" s="108" t="s">
        <v>893</v>
      </c>
      <c r="B177" s="108" t="s">
        <v>618</v>
      </c>
      <c r="C177" s="108" t="s">
        <v>671</v>
      </c>
      <c r="D177" s="108" t="s">
        <v>894</v>
      </c>
      <c r="E177" s="108" t="s">
        <v>358</v>
      </c>
      <c r="F177" s="108" t="s">
        <v>895</v>
      </c>
      <c r="G177" s="108" t="s">
        <v>22</v>
      </c>
      <c r="H177" s="108" t="s">
        <v>896</v>
      </c>
      <c r="I177" s="108" t="s">
        <v>897</v>
      </c>
      <c r="J177" s="108">
        <v>12</v>
      </c>
      <c r="K177" s="108" t="s">
        <v>240</v>
      </c>
      <c r="L177" s="16" t="s">
        <v>527</v>
      </c>
      <c r="M177" s="15" t="s">
        <v>676</v>
      </c>
      <c r="N177" s="15" t="s">
        <v>677</v>
      </c>
      <c r="O177" s="15" t="s">
        <v>678</v>
      </c>
      <c r="P177" s="21" t="s">
        <v>855</v>
      </c>
    </row>
    <row r="178" spans="1:16" ht="180" x14ac:dyDescent="0.25">
      <c r="A178" s="110" t="s">
        <v>898</v>
      </c>
      <c r="B178" s="110" t="s">
        <v>618</v>
      </c>
      <c r="C178" s="110" t="s">
        <v>671</v>
      </c>
      <c r="D178" s="110" t="s">
        <v>899</v>
      </c>
      <c r="E178" s="110" t="s">
        <v>76</v>
      </c>
      <c r="F178" s="110" t="s">
        <v>900</v>
      </c>
      <c r="G178" s="110" t="s">
        <v>22</v>
      </c>
      <c r="H178" s="110" t="s">
        <v>901</v>
      </c>
      <c r="I178" s="110" t="s">
        <v>902</v>
      </c>
      <c r="J178" s="110">
        <v>10</v>
      </c>
      <c r="K178" s="8" t="s">
        <v>25</v>
      </c>
      <c r="L178" s="16" t="s">
        <v>527</v>
      </c>
      <c r="M178" s="15" t="s">
        <v>676</v>
      </c>
      <c r="N178" s="15" t="s">
        <v>903</v>
      </c>
      <c r="O178" s="15" t="s">
        <v>904</v>
      </c>
      <c r="P178" s="21" t="s">
        <v>905</v>
      </c>
    </row>
    <row r="179" spans="1:16" ht="75" x14ac:dyDescent="0.25">
      <c r="A179" s="108" t="s">
        <v>906</v>
      </c>
      <c r="B179" s="108" t="s">
        <v>618</v>
      </c>
      <c r="C179" s="108" t="s">
        <v>671</v>
      </c>
      <c r="D179" s="108" t="s">
        <v>907</v>
      </c>
      <c r="E179" s="108" t="s">
        <v>358</v>
      </c>
      <c r="F179" s="108" t="s">
        <v>709</v>
      </c>
      <c r="G179" s="108" t="s">
        <v>22</v>
      </c>
      <c r="H179" s="108" t="s">
        <v>908</v>
      </c>
      <c r="I179" s="108" t="s">
        <v>909</v>
      </c>
      <c r="J179" s="108">
        <v>8</v>
      </c>
      <c r="K179" s="108" t="s">
        <v>240</v>
      </c>
      <c r="L179" s="16" t="s">
        <v>527</v>
      </c>
      <c r="M179" s="15" t="s">
        <v>676</v>
      </c>
      <c r="N179" s="15" t="s">
        <v>677</v>
      </c>
      <c r="O179" s="15" t="s">
        <v>678</v>
      </c>
      <c r="P179" s="21" t="s">
        <v>855</v>
      </c>
    </row>
    <row r="180" spans="1:16" ht="75" x14ac:dyDescent="0.25">
      <c r="A180" s="108" t="s">
        <v>910</v>
      </c>
      <c r="B180" s="108" t="s">
        <v>618</v>
      </c>
      <c r="C180" s="108" t="s">
        <v>671</v>
      </c>
      <c r="D180" s="108" t="s">
        <v>911</v>
      </c>
      <c r="E180" s="108" t="s">
        <v>358</v>
      </c>
      <c r="F180" s="108" t="s">
        <v>912</v>
      </c>
      <c r="G180" s="108" t="s">
        <v>22</v>
      </c>
      <c r="H180" s="108" t="s">
        <v>913</v>
      </c>
      <c r="I180" s="108" t="s">
        <v>914</v>
      </c>
      <c r="J180" s="108">
        <v>10</v>
      </c>
      <c r="K180" s="108" t="s">
        <v>240</v>
      </c>
      <c r="L180" s="16" t="s">
        <v>527</v>
      </c>
      <c r="M180" s="15" t="s">
        <v>676</v>
      </c>
      <c r="N180" s="15" t="s">
        <v>677</v>
      </c>
      <c r="O180" s="15" t="s">
        <v>678</v>
      </c>
      <c r="P180" s="21" t="s">
        <v>855</v>
      </c>
    </row>
    <row r="181" spans="1:16" ht="90" x14ac:dyDescent="0.25">
      <c r="A181" s="108" t="s">
        <v>915</v>
      </c>
      <c r="B181" s="108" t="s">
        <v>618</v>
      </c>
      <c r="C181" s="108" t="s">
        <v>671</v>
      </c>
      <c r="D181" s="108" t="s">
        <v>916</v>
      </c>
      <c r="E181" s="108" t="s">
        <v>358</v>
      </c>
      <c r="F181" s="108" t="s">
        <v>917</v>
      </c>
      <c r="G181" s="108" t="s">
        <v>22</v>
      </c>
      <c r="H181" s="108" t="s">
        <v>918</v>
      </c>
      <c r="I181" s="108" t="s">
        <v>919</v>
      </c>
      <c r="J181" s="108">
        <v>12</v>
      </c>
      <c r="K181" s="108" t="s">
        <v>240</v>
      </c>
      <c r="L181" s="16" t="s">
        <v>527</v>
      </c>
      <c r="M181" s="15" t="s">
        <v>676</v>
      </c>
      <c r="N181" s="15" t="s">
        <v>677</v>
      </c>
      <c r="O181" s="15" t="s">
        <v>678</v>
      </c>
      <c r="P181" s="21" t="s">
        <v>855</v>
      </c>
    </row>
    <row r="182" spans="1:16" ht="90" x14ac:dyDescent="0.25">
      <c r="A182" s="108" t="s">
        <v>920</v>
      </c>
      <c r="B182" s="108" t="s">
        <v>618</v>
      </c>
      <c r="C182" s="108" t="s">
        <v>671</v>
      </c>
      <c r="D182" s="108" t="s">
        <v>921</v>
      </c>
      <c r="E182" s="108" t="s">
        <v>358</v>
      </c>
      <c r="F182" s="108" t="s">
        <v>922</v>
      </c>
      <c r="G182" s="108" t="s">
        <v>22</v>
      </c>
      <c r="H182" s="108" t="s">
        <v>923</v>
      </c>
      <c r="I182" s="108" t="s">
        <v>924</v>
      </c>
      <c r="J182" s="108">
        <v>12</v>
      </c>
      <c r="K182" s="108" t="s">
        <v>240</v>
      </c>
      <c r="L182" s="16" t="s">
        <v>527</v>
      </c>
      <c r="M182" s="15" t="s">
        <v>676</v>
      </c>
      <c r="N182" s="15" t="s">
        <v>677</v>
      </c>
      <c r="O182" s="15" t="s">
        <v>678</v>
      </c>
      <c r="P182" s="21" t="s">
        <v>855</v>
      </c>
    </row>
    <row r="183" spans="1:16" ht="75" x14ac:dyDescent="0.25">
      <c r="A183" s="108" t="s">
        <v>925</v>
      </c>
      <c r="B183" s="108" t="s">
        <v>618</v>
      </c>
      <c r="C183" s="108" t="s">
        <v>850</v>
      </c>
      <c r="D183" s="108" t="s">
        <v>926</v>
      </c>
      <c r="E183" s="108" t="s">
        <v>64</v>
      </c>
      <c r="F183" s="108" t="s">
        <v>927</v>
      </c>
      <c r="G183" s="108" t="s">
        <v>82</v>
      </c>
      <c r="H183" s="108" t="s">
        <v>928</v>
      </c>
      <c r="I183" s="108" t="s">
        <v>929</v>
      </c>
      <c r="J183" s="108">
        <v>10</v>
      </c>
      <c r="K183" s="108" t="s">
        <v>240</v>
      </c>
      <c r="L183" s="16" t="s">
        <v>527</v>
      </c>
      <c r="M183" s="15" t="s">
        <v>676</v>
      </c>
      <c r="N183" s="15" t="s">
        <v>677</v>
      </c>
      <c r="O183" s="15" t="s">
        <v>678</v>
      </c>
      <c r="P183" s="21" t="s">
        <v>855</v>
      </c>
    </row>
    <row r="184" spans="1:16" ht="120" x14ac:dyDescent="0.25">
      <c r="A184" s="108" t="s">
        <v>930</v>
      </c>
      <c r="B184" s="108" t="s">
        <v>618</v>
      </c>
      <c r="C184" s="108" t="s">
        <v>619</v>
      </c>
      <c r="D184" s="108" t="s">
        <v>931</v>
      </c>
      <c r="E184" s="108" t="s">
        <v>70</v>
      </c>
      <c r="F184" s="108" t="s">
        <v>932</v>
      </c>
      <c r="G184" s="108" t="s">
        <v>22</v>
      </c>
      <c r="H184" s="108" t="s">
        <v>933</v>
      </c>
      <c r="I184" s="108" t="s">
        <v>934</v>
      </c>
      <c r="J184" s="108">
        <v>12</v>
      </c>
      <c r="K184" s="108" t="s">
        <v>240</v>
      </c>
      <c r="L184" s="16" t="s">
        <v>527</v>
      </c>
      <c r="M184" s="15" t="s">
        <v>528</v>
      </c>
      <c r="N184" s="15" t="s">
        <v>624</v>
      </c>
      <c r="O184" s="15" t="s">
        <v>935</v>
      </c>
      <c r="P184" s="21" t="s">
        <v>855</v>
      </c>
    </row>
    <row r="185" spans="1:16" ht="75" x14ac:dyDescent="0.25">
      <c r="A185" s="108" t="s">
        <v>936</v>
      </c>
      <c r="B185" s="108" t="s">
        <v>618</v>
      </c>
      <c r="C185" s="108" t="s">
        <v>619</v>
      </c>
      <c r="D185" s="108" t="s">
        <v>937</v>
      </c>
      <c r="E185" s="108" t="s">
        <v>358</v>
      </c>
      <c r="F185" s="108" t="s">
        <v>938</v>
      </c>
      <c r="G185" s="108" t="s">
        <v>22</v>
      </c>
      <c r="H185" s="108" t="s">
        <v>939</v>
      </c>
      <c r="I185" s="108" t="s">
        <v>940</v>
      </c>
      <c r="J185" s="108">
        <v>12</v>
      </c>
      <c r="K185" s="108" t="s">
        <v>240</v>
      </c>
      <c r="L185" s="16" t="s">
        <v>527</v>
      </c>
      <c r="M185" s="15" t="s">
        <v>528</v>
      </c>
      <c r="N185" s="15" t="s">
        <v>624</v>
      </c>
      <c r="O185" s="15" t="s">
        <v>941</v>
      </c>
      <c r="P185" s="21" t="s">
        <v>855</v>
      </c>
    </row>
    <row r="186" spans="1:16" ht="75" x14ac:dyDescent="0.25">
      <c r="A186" s="108" t="s">
        <v>942</v>
      </c>
      <c r="B186" s="108" t="s">
        <v>618</v>
      </c>
      <c r="C186" s="108" t="s">
        <v>648</v>
      </c>
      <c r="D186" s="108" t="s">
        <v>943</v>
      </c>
      <c r="E186" s="108" t="s">
        <v>358</v>
      </c>
      <c r="F186" s="108" t="s">
        <v>938</v>
      </c>
      <c r="G186" s="108" t="s">
        <v>22</v>
      </c>
      <c r="H186" s="108" t="s">
        <v>944</v>
      </c>
      <c r="I186" s="108" t="s">
        <v>945</v>
      </c>
      <c r="J186" s="108">
        <v>12</v>
      </c>
      <c r="K186" s="108" t="s">
        <v>240</v>
      </c>
      <c r="L186" s="16" t="s">
        <v>527</v>
      </c>
      <c r="M186" s="15" t="s">
        <v>652</v>
      </c>
      <c r="N186" s="15" t="s">
        <v>653</v>
      </c>
      <c r="O186" s="15" t="s">
        <v>946</v>
      </c>
      <c r="P186" s="21" t="s">
        <v>855</v>
      </c>
    </row>
    <row r="187" spans="1:16" ht="90" x14ac:dyDescent="0.25">
      <c r="A187" s="108" t="s">
        <v>947</v>
      </c>
      <c r="B187" s="108" t="s">
        <v>618</v>
      </c>
      <c r="C187" s="108" t="s">
        <v>648</v>
      </c>
      <c r="D187" s="108" t="s">
        <v>948</v>
      </c>
      <c r="E187" s="108" t="s">
        <v>76</v>
      </c>
      <c r="F187" s="108" t="s">
        <v>867</v>
      </c>
      <c r="G187" s="108" t="s">
        <v>22</v>
      </c>
      <c r="H187" s="108" t="s">
        <v>949</v>
      </c>
      <c r="I187" s="108" t="s">
        <v>950</v>
      </c>
      <c r="J187" s="108">
        <v>12</v>
      </c>
      <c r="K187" s="108" t="s">
        <v>240</v>
      </c>
      <c r="L187" s="16" t="s">
        <v>527</v>
      </c>
      <c r="M187" s="15" t="s">
        <v>652</v>
      </c>
      <c r="N187" s="15" t="s">
        <v>653</v>
      </c>
      <c r="O187" s="15" t="s">
        <v>951</v>
      </c>
      <c r="P187" s="21" t="s">
        <v>855</v>
      </c>
    </row>
    <row r="188" spans="1:16" ht="90" x14ac:dyDescent="0.25">
      <c r="A188" s="108" t="s">
        <v>952</v>
      </c>
      <c r="B188" s="108" t="s">
        <v>618</v>
      </c>
      <c r="C188" s="108" t="s">
        <v>648</v>
      </c>
      <c r="D188" s="108" t="s">
        <v>953</v>
      </c>
      <c r="E188" s="108" t="s">
        <v>358</v>
      </c>
      <c r="F188" s="108" t="s">
        <v>954</v>
      </c>
      <c r="G188" s="108" t="s">
        <v>22</v>
      </c>
      <c r="H188" s="108" t="s">
        <v>955</v>
      </c>
      <c r="I188" s="108" t="s">
        <v>956</v>
      </c>
      <c r="J188" s="108">
        <v>12</v>
      </c>
      <c r="K188" s="108" t="s">
        <v>240</v>
      </c>
      <c r="L188" s="16" t="s">
        <v>527</v>
      </c>
      <c r="M188" s="15" t="s">
        <v>957</v>
      </c>
      <c r="N188" s="15" t="s">
        <v>958</v>
      </c>
      <c r="O188" s="15" t="s">
        <v>959</v>
      </c>
      <c r="P188" s="21" t="s">
        <v>855</v>
      </c>
    </row>
    <row r="189" spans="1:16" ht="90" x14ac:dyDescent="0.25">
      <c r="A189" s="108" t="s">
        <v>960</v>
      </c>
      <c r="B189" s="108" t="s">
        <v>618</v>
      </c>
      <c r="C189" s="108" t="s">
        <v>648</v>
      </c>
      <c r="D189" s="108" t="s">
        <v>961</v>
      </c>
      <c r="E189" s="108" t="s">
        <v>33</v>
      </c>
      <c r="F189" s="108" t="s">
        <v>962</v>
      </c>
      <c r="G189" s="108" t="s">
        <v>22</v>
      </c>
      <c r="H189" s="108" t="s">
        <v>963</v>
      </c>
      <c r="I189" s="108" t="s">
        <v>964</v>
      </c>
      <c r="J189" s="108">
        <v>10</v>
      </c>
      <c r="K189" s="108" t="s">
        <v>240</v>
      </c>
      <c r="L189" s="16" t="s">
        <v>527</v>
      </c>
      <c r="M189" s="15" t="s">
        <v>652</v>
      </c>
      <c r="N189" s="15" t="s">
        <v>653</v>
      </c>
      <c r="O189" s="15" t="s">
        <v>965</v>
      </c>
      <c r="P189" s="21" t="s">
        <v>855</v>
      </c>
    </row>
    <row r="190" spans="1:16" ht="75" x14ac:dyDescent="0.25">
      <c r="A190" s="108" t="s">
        <v>966</v>
      </c>
      <c r="B190" s="108" t="s">
        <v>618</v>
      </c>
      <c r="C190" s="108" t="s">
        <v>688</v>
      </c>
      <c r="D190" s="108" t="s">
        <v>967</v>
      </c>
      <c r="E190" s="108" t="s">
        <v>33</v>
      </c>
      <c r="F190" s="108" t="s">
        <v>968</v>
      </c>
      <c r="G190" s="108" t="s">
        <v>22</v>
      </c>
      <c r="H190" s="108" t="s">
        <v>969</v>
      </c>
      <c r="I190" s="108" t="s">
        <v>970</v>
      </c>
      <c r="J190" s="108">
        <v>12</v>
      </c>
      <c r="K190" s="108" t="s">
        <v>240</v>
      </c>
      <c r="L190" s="16" t="s">
        <v>527</v>
      </c>
      <c r="M190" s="15" t="s">
        <v>684</v>
      </c>
      <c r="N190" s="15" t="s">
        <v>693</v>
      </c>
      <c r="O190" s="15" t="s">
        <v>971</v>
      </c>
      <c r="P190" s="21" t="s">
        <v>855</v>
      </c>
    </row>
    <row r="191" spans="1:16" ht="75" x14ac:dyDescent="0.25">
      <c r="A191" s="108" t="s">
        <v>972</v>
      </c>
      <c r="B191" s="108" t="s">
        <v>618</v>
      </c>
      <c r="C191" s="108" t="s">
        <v>688</v>
      </c>
      <c r="D191" s="108" t="s">
        <v>973</v>
      </c>
      <c r="E191" s="108" t="s">
        <v>33</v>
      </c>
      <c r="F191" s="108" t="s">
        <v>974</v>
      </c>
      <c r="G191" s="108" t="s">
        <v>22</v>
      </c>
      <c r="H191" s="108" t="s">
        <v>975</v>
      </c>
      <c r="I191" s="108" t="s">
        <v>976</v>
      </c>
      <c r="J191" s="108">
        <v>12</v>
      </c>
      <c r="K191" s="108" t="s">
        <v>240</v>
      </c>
      <c r="L191" s="16" t="s">
        <v>527</v>
      </c>
      <c r="M191" s="15" t="s">
        <v>684</v>
      </c>
      <c r="N191" s="15" t="s">
        <v>693</v>
      </c>
      <c r="O191" s="15" t="s">
        <v>977</v>
      </c>
      <c r="P191" s="21" t="s">
        <v>855</v>
      </c>
    </row>
    <row r="192" spans="1:16" ht="90" x14ac:dyDescent="0.25">
      <c r="A192" s="108" t="s">
        <v>978</v>
      </c>
      <c r="B192" s="108" t="s">
        <v>618</v>
      </c>
      <c r="C192" s="108" t="s">
        <v>688</v>
      </c>
      <c r="D192" s="108" t="s">
        <v>979</v>
      </c>
      <c r="E192" s="108" t="s">
        <v>358</v>
      </c>
      <c r="F192" s="108" t="s">
        <v>980</v>
      </c>
      <c r="G192" s="108" t="s">
        <v>82</v>
      </c>
      <c r="H192" s="108" t="s">
        <v>981</v>
      </c>
      <c r="I192" s="108" t="s">
        <v>982</v>
      </c>
      <c r="J192" s="108">
        <v>12</v>
      </c>
      <c r="K192" s="108" t="s">
        <v>240</v>
      </c>
      <c r="L192" s="16" t="s">
        <v>527</v>
      </c>
      <c r="M192" s="15" t="s">
        <v>684</v>
      </c>
      <c r="N192" s="15" t="s">
        <v>693</v>
      </c>
      <c r="O192" s="15" t="s">
        <v>983</v>
      </c>
      <c r="P192" s="21" t="s">
        <v>855</v>
      </c>
    </row>
    <row r="193" spans="1:16" ht="90" x14ac:dyDescent="0.25">
      <c r="A193" s="108" t="s">
        <v>984</v>
      </c>
      <c r="B193" s="108" t="s">
        <v>618</v>
      </c>
      <c r="C193" s="108" t="s">
        <v>680</v>
      </c>
      <c r="D193" s="108" t="s">
        <v>985</v>
      </c>
      <c r="E193" s="108" t="s">
        <v>64</v>
      </c>
      <c r="F193" s="108" t="s">
        <v>986</v>
      </c>
      <c r="G193" s="108" t="s">
        <v>22</v>
      </c>
      <c r="H193" s="108" t="s">
        <v>987</v>
      </c>
      <c r="I193" s="108" t="s">
        <v>988</v>
      </c>
      <c r="J193" s="108">
        <v>10</v>
      </c>
      <c r="K193" s="108" t="s">
        <v>240</v>
      </c>
      <c r="L193" s="16" t="s">
        <v>527</v>
      </c>
      <c r="M193" s="15" t="s">
        <v>989</v>
      </c>
      <c r="N193" s="15" t="s">
        <v>990</v>
      </c>
      <c r="O193" s="15" t="s">
        <v>991</v>
      </c>
      <c r="P193" s="21" t="s">
        <v>855</v>
      </c>
    </row>
    <row r="194" spans="1:16" ht="90" x14ac:dyDescent="0.25">
      <c r="A194" s="108" t="s">
        <v>992</v>
      </c>
      <c r="B194" s="108" t="s">
        <v>618</v>
      </c>
      <c r="C194" s="108" t="s">
        <v>680</v>
      </c>
      <c r="D194" s="108" t="s">
        <v>993</v>
      </c>
      <c r="E194" s="108" t="s">
        <v>358</v>
      </c>
      <c r="F194" s="108" t="s">
        <v>895</v>
      </c>
      <c r="G194" s="108" t="s">
        <v>82</v>
      </c>
      <c r="H194" s="108" t="s">
        <v>994</v>
      </c>
      <c r="I194" s="108" t="s">
        <v>995</v>
      </c>
      <c r="J194" s="108">
        <v>10</v>
      </c>
      <c r="K194" s="108" t="s">
        <v>240</v>
      </c>
      <c r="L194" s="26" t="s">
        <v>527</v>
      </c>
      <c r="M194" s="23" t="s">
        <v>996</v>
      </c>
      <c r="N194" s="23" t="s">
        <v>997</v>
      </c>
      <c r="O194" s="23" t="s">
        <v>998</v>
      </c>
      <c r="P194" s="24" t="s">
        <v>855</v>
      </c>
    </row>
  </sheetData>
  <autoFilter ref="A1:P194" xr:uid="{00000000-0001-0000-0000-000000000000}"/>
  <conditionalFormatting sqref="M2:M194">
    <cfRule type="expression" dxfId="13" priority="1">
      <formula>M2="W3 SAFE NOW"</formula>
    </cfRule>
    <cfRule type="expression" dxfId="12" priority="2">
      <formula>ISNUMBER(SEARCH("DO NOT",M2))</formula>
    </cfRule>
    <cfRule type="expression" dxfId="11" priority="3">
      <formula>ISNUMBER(SEARCH("AFTER",M2))</formula>
    </cfRule>
    <cfRule type="expression" dxfId="10" priority="4">
      <formula>ISNUMBER(SEARCH("SHARED",M2))</formula>
    </cfRule>
    <cfRule type="expression" dxfId="9" priority="5">
      <formula>M2="CLOSED"</formula>
    </cfRule>
  </conditionalFormatting>
  <conditionalFormatting sqref="P2:P194">
    <cfRule type="expression" dxfId="8" priority="6">
      <formula>ISNUMBER(SEARCH("NEW",P2))</formula>
    </cfRule>
    <cfRule type="expression" dxfId="7" priority="7">
      <formula>ISNUMBER(SEARCH("EXPANDED",P2))</formula>
    </cfRule>
  </conditionalFormatting>
  <dataValidations count="1">
    <dataValidation type="list" sqref="K2:K194" xr:uid="{00000000-0002-0000-0000-000000000000}">
      <formula1>"Not Started,In Progress,Blocked,Done"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
  <sheetViews>
    <sheetView topLeftCell="A11" workbookViewId="0"/>
  </sheetViews>
  <sheetFormatPr defaultRowHeight="15" x14ac:dyDescent="0.25"/>
  <cols>
    <col min="1" max="1" width="12" customWidth="1"/>
    <col min="2" max="2" width="10" customWidth="1"/>
    <col min="3" max="3" width="46" customWidth="1"/>
    <col min="4" max="4" width="82" customWidth="1"/>
    <col min="5" max="6" width="10" customWidth="1"/>
    <col min="7" max="7" width="12.5703125" customWidth="1"/>
    <col min="8" max="8" width="28" customWidth="1"/>
    <col min="9" max="9" width="12" customWidth="1"/>
  </cols>
  <sheetData>
    <row r="1" spans="1:9" x14ac:dyDescent="0.25">
      <c r="A1" s="33" t="s">
        <v>2</v>
      </c>
      <c r="B1" s="34" t="s">
        <v>999</v>
      </c>
      <c r="C1" s="34" t="s">
        <v>1000</v>
      </c>
      <c r="D1" s="34" t="s">
        <v>1001</v>
      </c>
      <c r="E1" s="34" t="s">
        <v>1002</v>
      </c>
      <c r="F1" s="35" t="s">
        <v>9</v>
      </c>
    </row>
    <row r="2" spans="1:9" ht="60" customHeight="1" x14ac:dyDescent="0.25">
      <c r="A2" s="78" t="s">
        <v>18</v>
      </c>
      <c r="B2" s="88" t="s">
        <v>17</v>
      </c>
      <c r="C2" s="79" t="s">
        <v>1003</v>
      </c>
      <c r="D2" s="79" t="s">
        <v>1004</v>
      </c>
      <c r="E2" s="79">
        <f>COUNTIF(Backlog!$C:$C,A2)</f>
        <v>12</v>
      </c>
      <c r="F2" s="80">
        <f>SUMIF(Backlog!$C:$C,A2,Backlog!$J:$J)</f>
        <v>84</v>
      </c>
    </row>
    <row r="3" spans="1:9" ht="60" customHeight="1" x14ac:dyDescent="0.25">
      <c r="A3" s="78" t="s">
        <v>91</v>
      </c>
      <c r="B3" s="88" t="s">
        <v>17</v>
      </c>
      <c r="C3" s="79" t="s">
        <v>1005</v>
      </c>
      <c r="D3" s="79" t="s">
        <v>1006</v>
      </c>
      <c r="E3" s="79">
        <f>COUNTIF(Backlog!$C:$C,A3)</f>
        <v>17</v>
      </c>
      <c r="F3" s="80">
        <f>SUMIF(Backlog!$C:$C,A3,Backlog!$J:$J)</f>
        <v>114</v>
      </c>
    </row>
    <row r="4" spans="1:9" ht="60" customHeight="1" x14ac:dyDescent="0.25">
      <c r="A4" s="78" t="s">
        <v>162</v>
      </c>
      <c r="B4" s="88" t="s">
        <v>17</v>
      </c>
      <c r="C4" s="79" t="s">
        <v>1007</v>
      </c>
      <c r="D4" s="79" t="s">
        <v>1008</v>
      </c>
      <c r="E4" s="79">
        <f>COUNTIF(Backlog!$C:$C,A4)</f>
        <v>11</v>
      </c>
      <c r="F4" s="80">
        <f>SUMIF(Backlog!$C:$C,A4,Backlog!$J:$J)</f>
        <v>107</v>
      </c>
      <c r="H4" s="42" t="s">
        <v>1009</v>
      </c>
      <c r="I4" s="43">
        <f>SUMIF(Backlog!$B:$B,"M1",Backlog!$J:$J)</f>
        <v>574</v>
      </c>
    </row>
    <row r="5" spans="1:9" ht="60" customHeight="1" x14ac:dyDescent="0.25">
      <c r="A5" s="78" t="s">
        <v>210</v>
      </c>
      <c r="B5" s="88" t="s">
        <v>17</v>
      </c>
      <c r="C5" s="79" t="s">
        <v>1010</v>
      </c>
      <c r="D5" s="79" t="s">
        <v>1011</v>
      </c>
      <c r="E5" s="79">
        <f>COUNTIF(Backlog!$C:$C,A5)</f>
        <v>12</v>
      </c>
      <c r="F5" s="80">
        <f>SUMIF(Backlog!$C:$C,A5,Backlog!$J:$J)</f>
        <v>80</v>
      </c>
      <c r="H5" s="44" t="s">
        <v>1012</v>
      </c>
      <c r="I5" s="45">
        <f>SUMIFS(Backlog!$J:$J,Backlog!$B:$B,"M1",Backlog!$K:$K,"Done")</f>
        <v>397</v>
      </c>
    </row>
    <row r="6" spans="1:9" ht="60" customHeight="1" x14ac:dyDescent="0.25">
      <c r="A6" s="78" t="s">
        <v>266</v>
      </c>
      <c r="B6" s="88" t="s">
        <v>17</v>
      </c>
      <c r="C6" s="79" t="s">
        <v>1013</v>
      </c>
      <c r="D6" s="79" t="s">
        <v>1014</v>
      </c>
      <c r="E6" s="79">
        <f>COUNTIF(Backlog!$C:$C,A6)</f>
        <v>16</v>
      </c>
      <c r="F6" s="80">
        <f>SUMIF(Backlog!$C:$C,A6,Backlog!$J:$J)</f>
        <v>106</v>
      </c>
      <c r="H6" s="44" t="s">
        <v>1015</v>
      </c>
      <c r="I6" s="45">
        <f>I4-I5</f>
        <v>177</v>
      </c>
    </row>
    <row r="7" spans="1:9" ht="60" customHeight="1" x14ac:dyDescent="0.25">
      <c r="A7" s="78" t="s">
        <v>337</v>
      </c>
      <c r="B7" s="88" t="s">
        <v>17</v>
      </c>
      <c r="C7" s="79" t="s">
        <v>1016</v>
      </c>
      <c r="D7" s="79" t="s">
        <v>1017</v>
      </c>
      <c r="E7" s="79">
        <f>COUNTIF(Backlog!$C:$C,A7)</f>
        <v>15</v>
      </c>
      <c r="F7" s="80">
        <f>SUMIF(Backlog!$C:$C,A7,Backlog!$J:$J)</f>
        <v>83</v>
      </c>
      <c r="H7" s="46" t="s">
        <v>1018</v>
      </c>
      <c r="I7" s="47">
        <f>IFERROR(I5/I4,0)</f>
        <v>0.69163763066202089</v>
      </c>
    </row>
    <row r="8" spans="1:9" ht="60" customHeight="1" x14ac:dyDescent="0.25">
      <c r="A8" s="78" t="s">
        <v>407</v>
      </c>
      <c r="B8" s="89" t="s">
        <v>406</v>
      </c>
      <c r="C8" s="79" t="s">
        <v>1019</v>
      </c>
      <c r="D8" s="79" t="s">
        <v>1020</v>
      </c>
      <c r="E8" s="79">
        <f>COUNTIF(Backlog!$C:$C,A8)</f>
        <v>11</v>
      </c>
      <c r="F8" s="80">
        <f>SUMIF(Backlog!$C:$C,A8,Backlog!$J:$J)</f>
        <v>114</v>
      </c>
    </row>
    <row r="9" spans="1:9" ht="60" customHeight="1" x14ac:dyDescent="0.25">
      <c r="A9" s="78" t="s">
        <v>458</v>
      </c>
      <c r="B9" s="89" t="s">
        <v>406</v>
      </c>
      <c r="C9" s="79" t="s">
        <v>1021</v>
      </c>
      <c r="D9" s="79" t="s">
        <v>1022</v>
      </c>
      <c r="E9" s="79">
        <f>COUNTIF(Backlog!$C:$C,A9)</f>
        <v>11</v>
      </c>
      <c r="F9" s="80">
        <f>SUMIF(Backlog!$C:$C,A9,Backlog!$J:$J)</f>
        <v>92</v>
      </c>
    </row>
    <row r="10" spans="1:9" ht="60" customHeight="1" x14ac:dyDescent="0.25">
      <c r="A10" s="78" t="s">
        <v>505</v>
      </c>
      <c r="B10" s="89" t="s">
        <v>406</v>
      </c>
      <c r="C10" s="79" t="s">
        <v>1023</v>
      </c>
      <c r="D10" s="79" t="s">
        <v>1024</v>
      </c>
      <c r="E10" s="79">
        <f>COUNTIF(Backlog!$C:$C,A10)</f>
        <v>12</v>
      </c>
      <c r="F10" s="80">
        <f>SUMIF(Backlog!$C:$C,A10,Backlog!$J:$J)</f>
        <v>106</v>
      </c>
    </row>
    <row r="11" spans="1:9" ht="60" customHeight="1" x14ac:dyDescent="0.25">
      <c r="A11" s="78" t="s">
        <v>567</v>
      </c>
      <c r="B11" s="89" t="s">
        <v>406</v>
      </c>
      <c r="C11" s="79" t="s">
        <v>1025</v>
      </c>
      <c r="D11" s="79" t="s">
        <v>1026</v>
      </c>
      <c r="E11" s="79">
        <f>COUNTIF(Backlog!$C:$C,A11)</f>
        <v>10</v>
      </c>
      <c r="F11" s="80">
        <f>SUMIF(Backlog!$C:$C,A11,Backlog!$J:$J)</f>
        <v>120</v>
      </c>
    </row>
    <row r="12" spans="1:9" ht="60" customHeight="1" x14ac:dyDescent="0.25">
      <c r="A12" s="78" t="s">
        <v>850</v>
      </c>
      <c r="B12" s="90" t="s">
        <v>618</v>
      </c>
      <c r="C12" s="79" t="s">
        <v>1027</v>
      </c>
      <c r="D12" s="79" t="s">
        <v>1028</v>
      </c>
      <c r="E12" s="79">
        <f>COUNTIF(Backlog!$C:$C,A12)</f>
        <v>8</v>
      </c>
      <c r="F12" s="80">
        <f>SUMIF(Backlog!$C:$C,A12,Backlog!$J:$J)</f>
        <v>86</v>
      </c>
    </row>
    <row r="13" spans="1:9" ht="60" customHeight="1" x14ac:dyDescent="0.25">
      <c r="A13" s="78" t="s">
        <v>671</v>
      </c>
      <c r="B13" s="90" t="s">
        <v>618</v>
      </c>
      <c r="C13" s="79" t="s">
        <v>1029</v>
      </c>
      <c r="D13" s="79" t="s">
        <v>1030</v>
      </c>
      <c r="E13" s="79">
        <f>COUNTIF(Backlog!$C:$C,A13)</f>
        <v>8</v>
      </c>
      <c r="F13" s="80">
        <f>SUMIF(Backlog!$C:$C,A13,Backlog!$J:$J)</f>
        <v>86</v>
      </c>
    </row>
    <row r="14" spans="1:9" ht="60" customHeight="1" x14ac:dyDescent="0.25">
      <c r="A14" s="78" t="s">
        <v>619</v>
      </c>
      <c r="B14" s="90" t="s">
        <v>618</v>
      </c>
      <c r="C14" s="79" t="s">
        <v>1031</v>
      </c>
      <c r="D14" s="79" t="s">
        <v>1032</v>
      </c>
      <c r="E14" s="79">
        <f>COUNTIF(Backlog!$C:$C,A14)</f>
        <v>8</v>
      </c>
      <c r="F14" s="80">
        <f>SUMIF(Backlog!$C:$C,A14,Backlog!$J:$J)</f>
        <v>92</v>
      </c>
    </row>
    <row r="15" spans="1:9" ht="60" customHeight="1" x14ac:dyDescent="0.25">
      <c r="A15" s="78" t="s">
        <v>648</v>
      </c>
      <c r="B15" s="90" t="s">
        <v>618</v>
      </c>
      <c r="C15" s="79" t="s">
        <v>1033</v>
      </c>
      <c r="D15" s="79" t="s">
        <v>1034</v>
      </c>
      <c r="E15" s="79">
        <f>COUNTIF(Backlog!$C:$C,A15)</f>
        <v>7</v>
      </c>
      <c r="F15" s="80">
        <f>SUMIF(Backlog!$C:$C,A15,Backlog!$J:$J)</f>
        <v>80</v>
      </c>
    </row>
    <row r="16" spans="1:9" ht="25.5" x14ac:dyDescent="0.25">
      <c r="A16" s="81" t="s">
        <v>688</v>
      </c>
      <c r="B16" s="91" t="s">
        <v>618</v>
      </c>
      <c r="C16" s="82" t="s">
        <v>1035</v>
      </c>
      <c r="D16" s="83" t="s">
        <v>1036</v>
      </c>
      <c r="E16" s="84">
        <f>COUNTIF(Backlog!$C:$C,A16)</f>
        <v>10</v>
      </c>
      <c r="F16" s="85">
        <f>SUMIF(Backlog!$C:$C,A16,Backlog!$J:$J)</f>
        <v>104</v>
      </c>
    </row>
    <row r="17" spans="1:6" ht="25.5" x14ac:dyDescent="0.25">
      <c r="A17" s="81" t="s">
        <v>680</v>
      </c>
      <c r="B17" s="91" t="s">
        <v>618</v>
      </c>
      <c r="C17" s="83" t="s">
        <v>1037</v>
      </c>
      <c r="D17" s="83" t="s">
        <v>1038</v>
      </c>
      <c r="E17" s="86">
        <f>COUNTIF(Backlog!$C:$C,A17)</f>
        <v>8</v>
      </c>
      <c r="F17" s="87">
        <f>SUMIF(Backlog!$C:$C,A17,Backlog!$J:$J)</f>
        <v>80</v>
      </c>
    </row>
    <row r="18" spans="1:6" ht="25.5" x14ac:dyDescent="0.25">
      <c r="A18" s="81" t="s">
        <v>762</v>
      </c>
      <c r="B18" s="92" t="s">
        <v>761</v>
      </c>
      <c r="C18" s="83" t="s">
        <v>1039</v>
      </c>
      <c r="D18" s="83" t="s">
        <v>1040</v>
      </c>
      <c r="E18" s="86">
        <f>COUNTIF(Backlog!$C:$C,A18)</f>
        <v>8</v>
      </c>
      <c r="F18" s="87">
        <f>SUMIF(Backlog!$C:$C,A18,Backlog!$J:$J)</f>
        <v>96</v>
      </c>
    </row>
    <row r="19" spans="1:6" ht="25.5" x14ac:dyDescent="0.25">
      <c r="A19" s="81" t="s">
        <v>809</v>
      </c>
      <c r="B19" s="92" t="s">
        <v>761</v>
      </c>
      <c r="C19" s="83" t="s">
        <v>1041</v>
      </c>
      <c r="D19" s="83" t="s">
        <v>1042</v>
      </c>
      <c r="E19" s="86">
        <f>COUNTIF(Backlog!$C:$C,A19)</f>
        <v>9</v>
      </c>
      <c r="F19" s="87">
        <f>SUMIF(Backlog!$C:$C,A19,Backlog!$J:$J)</f>
        <v>108</v>
      </c>
    </row>
    <row r="20" spans="1:6" x14ac:dyDescent="0.25">
      <c r="A20" s="39"/>
      <c r="B20" s="40"/>
      <c r="C20" s="93" t="s">
        <v>1043</v>
      </c>
      <c r="D20" s="93"/>
      <c r="E20" s="94">
        <f>COUNTA(Backlog!$A:$A)-1</f>
        <v>193</v>
      </c>
      <c r="F20" s="95">
        <f>SUM(Backlog!$J:$J)</f>
        <v>1738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heetViews>
  <sheetFormatPr defaultRowHeight="15" x14ac:dyDescent="0.25"/>
  <cols>
    <col min="1" max="1" width="12" customWidth="1"/>
    <col min="2" max="2" width="88" customWidth="1"/>
    <col min="3" max="6" width="14" customWidth="1"/>
  </cols>
  <sheetData>
    <row r="1" spans="1:6" x14ac:dyDescent="0.25">
      <c r="A1" s="48" t="s">
        <v>999</v>
      </c>
      <c r="B1" s="49" t="s">
        <v>1044</v>
      </c>
      <c r="C1" s="49" t="s">
        <v>1002</v>
      </c>
      <c r="D1" s="49" t="s">
        <v>9</v>
      </c>
      <c r="E1" s="49" t="s">
        <v>22</v>
      </c>
      <c r="F1" s="50" t="s">
        <v>82</v>
      </c>
    </row>
    <row r="2" spans="1:6" ht="33.950000000000003" customHeight="1" x14ac:dyDescent="0.25">
      <c r="A2" s="51" t="s">
        <v>17</v>
      </c>
      <c r="B2" s="1" t="s">
        <v>1045</v>
      </c>
      <c r="C2" s="1">
        <f>COUNTIF(Backlog!$B:$B,A2)</f>
        <v>83</v>
      </c>
      <c r="D2" s="1">
        <f>SUMIF(Backlog!$B:$B,A2,Backlog!$J:$J)</f>
        <v>574</v>
      </c>
      <c r="E2" s="1">
        <f>COUNTIFS(Backlog!$B:$B,A2,Backlog!$G:$G,"Critical")</f>
        <v>55</v>
      </c>
      <c r="F2" s="27">
        <f>COUNTIFS(Backlog!$B:$B,A2,Backlog!$G:$G,"Very Important")</f>
        <v>22</v>
      </c>
    </row>
    <row r="3" spans="1:6" ht="33.950000000000003" customHeight="1" x14ac:dyDescent="0.25">
      <c r="A3" s="52" t="s">
        <v>406</v>
      </c>
      <c r="B3" s="1" t="s">
        <v>1046</v>
      </c>
      <c r="C3" s="1">
        <f>COUNTIF(Backlog!$B:$B,A3)</f>
        <v>44</v>
      </c>
      <c r="D3" s="1">
        <f>SUMIF(Backlog!$B:$B,A3,Backlog!$J:$J)</f>
        <v>432</v>
      </c>
      <c r="E3" s="1">
        <f>COUNTIFS(Backlog!$B:$B,A3,Backlog!$G:$G,"Critical")</f>
        <v>27</v>
      </c>
      <c r="F3" s="27">
        <f>COUNTIFS(Backlog!$B:$B,A3,Backlog!$G:$G,"Very Important")</f>
        <v>17</v>
      </c>
    </row>
    <row r="4" spans="1:6" ht="33.950000000000003" customHeight="1" x14ac:dyDescent="0.25">
      <c r="A4" s="53" t="s">
        <v>618</v>
      </c>
      <c r="B4" s="1" t="s">
        <v>1047</v>
      </c>
      <c r="C4" s="1">
        <f>COUNTIF(Backlog!$B:$B,A4)</f>
        <v>49</v>
      </c>
      <c r="D4" s="1">
        <f>SUMIF(Backlog!$B:$B,A4,Backlog!$J:$J)</f>
        <v>528</v>
      </c>
      <c r="E4" s="1">
        <f>COUNTIFS(Backlog!$B:$B,A4,Backlog!$G:$G,"Critical")</f>
        <v>36</v>
      </c>
      <c r="F4" s="27">
        <f>COUNTIFS(Backlog!$B:$B,A4,Backlog!$G:$G,"Very Important")</f>
        <v>12</v>
      </c>
    </row>
    <row r="5" spans="1:6" ht="33.950000000000003" customHeight="1" x14ac:dyDescent="0.25">
      <c r="A5" s="54" t="s">
        <v>761</v>
      </c>
      <c r="B5" s="1" t="s">
        <v>1048</v>
      </c>
      <c r="C5" s="1">
        <f>COUNTIF(Backlog!$B:$B,A5)</f>
        <v>17</v>
      </c>
      <c r="D5" s="1">
        <f>SUMIF(Backlog!$B:$B,A5,Backlog!$J:$J)</f>
        <v>204</v>
      </c>
      <c r="E5" s="1">
        <f>COUNTIFS(Backlog!$B:$B,A5,Backlog!$G:$G,"Critical")</f>
        <v>8</v>
      </c>
      <c r="F5" s="27">
        <f>COUNTIFS(Backlog!$B:$B,A5,Backlog!$G:$G,"Very Important")</f>
        <v>8</v>
      </c>
    </row>
    <row r="6" spans="1:6" x14ac:dyDescent="0.25">
      <c r="A6" s="30"/>
      <c r="B6" s="56" t="s">
        <v>1043</v>
      </c>
      <c r="C6" s="55">
        <f>SUM(C2:C5)</f>
        <v>193</v>
      </c>
      <c r="D6" s="55">
        <f>SUM(D2:D5)</f>
        <v>1738</v>
      </c>
      <c r="E6" s="31"/>
      <c r="F6" s="3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8"/>
  <sheetViews>
    <sheetView workbookViewId="0"/>
  </sheetViews>
  <sheetFormatPr defaultRowHeight="15" x14ac:dyDescent="0.25"/>
  <cols>
    <col min="1" max="1" width="34" customWidth="1"/>
    <col min="2" max="2" width="105" customWidth="1"/>
  </cols>
  <sheetData>
    <row r="1" spans="1:2" ht="15.6" customHeight="1" x14ac:dyDescent="0.25">
      <c r="A1" s="57" t="s">
        <v>1049</v>
      </c>
      <c r="B1" s="58"/>
    </row>
    <row r="2" spans="1:2" x14ac:dyDescent="0.25">
      <c r="A2" s="20"/>
      <c r="B2" s="21"/>
    </row>
    <row r="3" spans="1:2" ht="15" customHeight="1" x14ac:dyDescent="0.25">
      <c r="A3" s="59" t="s">
        <v>1050</v>
      </c>
      <c r="B3" s="60" t="s">
        <v>1051</v>
      </c>
    </row>
    <row r="4" spans="1:2" ht="15" customHeight="1" x14ac:dyDescent="0.25">
      <c r="A4" s="59" t="s">
        <v>0</v>
      </c>
      <c r="B4" s="60" t="s">
        <v>1052</v>
      </c>
    </row>
    <row r="5" spans="1:2" ht="15" customHeight="1" x14ac:dyDescent="0.25">
      <c r="A5" s="59" t="s">
        <v>1</v>
      </c>
      <c r="B5" s="60" t="s">
        <v>1053</v>
      </c>
    </row>
    <row r="6" spans="1:2" ht="15" customHeight="1" x14ac:dyDescent="0.25">
      <c r="A6" s="59" t="s">
        <v>2</v>
      </c>
      <c r="B6" s="60" t="s">
        <v>1054</v>
      </c>
    </row>
    <row r="7" spans="1:2" ht="15" customHeight="1" x14ac:dyDescent="0.25">
      <c r="A7" s="59" t="s">
        <v>6</v>
      </c>
      <c r="B7" s="60" t="s">
        <v>1055</v>
      </c>
    </row>
    <row r="8" spans="1:2" ht="15" customHeight="1" x14ac:dyDescent="0.25">
      <c r="A8" s="59" t="s">
        <v>9</v>
      </c>
      <c r="B8" s="60" t="s">
        <v>1056</v>
      </c>
    </row>
    <row r="9" spans="1:2" ht="21.6" customHeight="1" x14ac:dyDescent="0.25">
      <c r="A9" s="59" t="s">
        <v>1057</v>
      </c>
      <c r="B9" s="60" t="s">
        <v>1058</v>
      </c>
    </row>
    <row r="10" spans="1:2" ht="15" customHeight="1" x14ac:dyDescent="0.25">
      <c r="A10" s="59" t="s">
        <v>1059</v>
      </c>
      <c r="B10" s="60" t="s">
        <v>1060</v>
      </c>
    </row>
    <row r="11" spans="1:2" ht="15" customHeight="1" x14ac:dyDescent="0.25">
      <c r="A11" s="59"/>
      <c r="B11" s="60"/>
    </row>
    <row r="12" spans="1:2" ht="15" customHeight="1" x14ac:dyDescent="0.25">
      <c r="A12" s="59" t="s">
        <v>676</v>
      </c>
      <c r="B12" s="60" t="s">
        <v>1061</v>
      </c>
    </row>
    <row r="13" spans="1:2" ht="15" customHeight="1" x14ac:dyDescent="0.25">
      <c r="A13" s="59" t="s">
        <v>528</v>
      </c>
      <c r="B13" s="60" t="s">
        <v>1062</v>
      </c>
    </row>
    <row r="14" spans="1:2" ht="15" customHeight="1" x14ac:dyDescent="0.25">
      <c r="A14" s="59" t="s">
        <v>1063</v>
      </c>
      <c r="B14" s="60" t="s">
        <v>1064</v>
      </c>
    </row>
    <row r="15" spans="1:2" ht="15" customHeight="1" x14ac:dyDescent="0.25">
      <c r="A15" s="59" t="s">
        <v>232</v>
      </c>
      <c r="B15" s="60" t="s">
        <v>1065</v>
      </c>
    </row>
    <row r="16" spans="1:2" ht="15" customHeight="1" x14ac:dyDescent="0.25">
      <c r="A16" s="59" t="s">
        <v>1066</v>
      </c>
      <c r="B16" s="60" t="s">
        <v>1067</v>
      </c>
    </row>
    <row r="17" spans="1:2" ht="15" customHeight="1" x14ac:dyDescent="0.25">
      <c r="A17" s="59"/>
      <c r="B17" s="60"/>
    </row>
    <row r="18" spans="1:2" ht="21.6" customHeight="1" x14ac:dyDescent="0.25">
      <c r="A18" s="59" t="s">
        <v>1068</v>
      </c>
      <c r="B18" s="60" t="s">
        <v>1069</v>
      </c>
    </row>
    <row r="19" spans="1:2" ht="26.45" customHeight="1" x14ac:dyDescent="0.25">
      <c r="A19" s="61" t="s">
        <v>1070</v>
      </c>
      <c r="B19" s="21" t="s">
        <v>1071</v>
      </c>
    </row>
    <row r="20" spans="1:2" ht="26.45" customHeight="1" x14ac:dyDescent="0.25">
      <c r="A20" s="61" t="s">
        <v>1072</v>
      </c>
      <c r="B20" s="21" t="s">
        <v>1073</v>
      </c>
    </row>
    <row r="21" spans="1:2" ht="26.45" customHeight="1" x14ac:dyDescent="0.25">
      <c r="A21" s="61" t="s">
        <v>1074</v>
      </c>
      <c r="B21" s="21" t="s">
        <v>1075</v>
      </c>
    </row>
    <row r="22" spans="1:2" ht="26.45" customHeight="1" x14ac:dyDescent="0.25">
      <c r="A22" s="61" t="s">
        <v>1076</v>
      </c>
      <c r="B22" s="21" t="s">
        <v>1077</v>
      </c>
    </row>
    <row r="23" spans="1:2" ht="30" x14ac:dyDescent="0.25">
      <c r="A23" s="20" t="s">
        <v>1078</v>
      </c>
      <c r="B23" s="21" t="s">
        <v>1079</v>
      </c>
    </row>
    <row r="24" spans="1:2" ht="30" x14ac:dyDescent="0.25">
      <c r="A24" s="20" t="s">
        <v>1080</v>
      </c>
      <c r="B24" s="21" t="s">
        <v>1081</v>
      </c>
    </row>
    <row r="25" spans="1:2" ht="30" x14ac:dyDescent="0.25">
      <c r="A25" s="20" t="s">
        <v>1082</v>
      </c>
      <c r="B25" s="21" t="s">
        <v>1083</v>
      </c>
    </row>
    <row r="26" spans="1:2" x14ac:dyDescent="0.25">
      <c r="A26" s="20"/>
      <c r="B26" s="21"/>
    </row>
    <row r="27" spans="1:2" ht="30" x14ac:dyDescent="0.25">
      <c r="A27" s="20" t="s">
        <v>1084</v>
      </c>
      <c r="B27" s="21" t="s">
        <v>1085</v>
      </c>
    </row>
    <row r="28" spans="1:2" ht="30" x14ac:dyDescent="0.25">
      <c r="A28" s="22" t="s">
        <v>1086</v>
      </c>
      <c r="B28" s="24" t="s">
        <v>1087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heetViews>
  <sheetFormatPr defaultRowHeight="15" x14ac:dyDescent="0.25"/>
  <cols>
    <col min="1" max="1" width="12" customWidth="1"/>
    <col min="2" max="2" width="54" customWidth="1"/>
    <col min="3" max="3" width="28" customWidth="1"/>
    <col min="4" max="4" width="22" customWidth="1"/>
    <col min="5" max="5" width="16" customWidth="1"/>
    <col min="6" max="6" width="60" customWidth="1"/>
    <col min="8" max="8" width="28" customWidth="1"/>
    <col min="9" max="9" width="14" customWidth="1"/>
  </cols>
  <sheetData>
    <row r="1" spans="1:9" ht="19.149999999999999" customHeight="1" x14ac:dyDescent="0.25">
      <c r="A1" s="96" t="s">
        <v>1088</v>
      </c>
      <c r="B1" s="96"/>
      <c r="C1" s="96"/>
      <c r="D1" s="96"/>
      <c r="E1" s="96"/>
      <c r="F1" s="96"/>
      <c r="G1" s="14"/>
      <c r="H1" s="62" t="s">
        <v>1089</v>
      </c>
      <c r="I1" s="63" t="s">
        <v>1090</v>
      </c>
    </row>
    <row r="2" spans="1:9" ht="15" customHeight="1" x14ac:dyDescent="0.25">
      <c r="A2" s="97" t="s">
        <v>1091</v>
      </c>
      <c r="B2" s="97"/>
      <c r="C2" s="97"/>
      <c r="D2" s="97"/>
      <c r="E2" s="97"/>
      <c r="F2" s="97"/>
      <c r="H2" s="76" t="s">
        <v>1092</v>
      </c>
      <c r="I2" s="77">
        <v>51</v>
      </c>
    </row>
    <row r="3" spans="1:9" ht="15" customHeight="1" x14ac:dyDescent="0.25">
      <c r="H3" s="76" t="s">
        <v>1093</v>
      </c>
      <c r="I3" s="77">
        <v>0</v>
      </c>
    </row>
    <row r="4" spans="1:9" ht="15" customHeight="1" x14ac:dyDescent="0.25">
      <c r="H4" s="76" t="s">
        <v>1094</v>
      </c>
      <c r="I4" s="77">
        <v>26</v>
      </c>
    </row>
    <row r="5" spans="1:9" ht="15" customHeight="1" x14ac:dyDescent="0.25">
      <c r="H5" s="76" t="s">
        <v>1095</v>
      </c>
      <c r="I5" s="77">
        <v>16</v>
      </c>
    </row>
    <row r="6" spans="1:9" ht="15" customHeight="1" x14ac:dyDescent="0.25">
      <c r="H6" s="76" t="s">
        <v>1096</v>
      </c>
      <c r="I6" s="77">
        <v>172</v>
      </c>
    </row>
    <row r="7" spans="1:9" ht="15" customHeight="1" x14ac:dyDescent="0.25">
      <c r="A7" s="5" t="s">
        <v>1543</v>
      </c>
      <c r="B7" s="5" t="s">
        <v>1544</v>
      </c>
      <c r="C7" s="5" t="s">
        <v>1545</v>
      </c>
      <c r="D7" s="5" t="s">
        <v>1546</v>
      </c>
      <c r="E7" s="5" t="s">
        <v>1547</v>
      </c>
      <c r="F7" s="5" t="s">
        <v>1548</v>
      </c>
      <c r="H7" s="28" t="s">
        <v>1097</v>
      </c>
      <c r="I7" s="29">
        <v>0</v>
      </c>
    </row>
    <row r="8" spans="1:9" ht="15" customHeight="1" x14ac:dyDescent="0.25">
      <c r="A8" s="3"/>
      <c r="B8" s="3"/>
      <c r="C8" s="3"/>
      <c r="D8" s="3"/>
      <c r="E8" s="3"/>
      <c r="F8" s="3"/>
      <c r="H8" s="30" t="s">
        <v>1098</v>
      </c>
      <c r="I8" s="32">
        <v>0</v>
      </c>
    </row>
    <row r="9" spans="1:9" ht="15" customHeight="1" x14ac:dyDescent="0.25">
      <c r="A9" s="3"/>
      <c r="B9" s="3"/>
      <c r="C9" s="3"/>
      <c r="D9" s="3"/>
      <c r="E9" s="3"/>
      <c r="F9" s="3"/>
    </row>
    <row r="10" spans="1:9" ht="15" customHeight="1" x14ac:dyDescent="0.25">
      <c r="A10" s="73" t="s">
        <v>1099</v>
      </c>
      <c r="B10" s="74" t="s">
        <v>1100</v>
      </c>
      <c r="C10" s="74" t="s">
        <v>1101</v>
      </c>
      <c r="D10" s="74" t="s">
        <v>1102</v>
      </c>
      <c r="E10" s="74" t="s">
        <v>1103</v>
      </c>
      <c r="F10" s="75" t="s">
        <v>1104</v>
      </c>
    </row>
    <row r="11" spans="1:9" ht="15" customHeight="1" x14ac:dyDescent="0.25">
      <c r="A11" s="69" t="s">
        <v>1105</v>
      </c>
      <c r="B11" s="3" t="s">
        <v>1106</v>
      </c>
      <c r="C11" s="3" t="s">
        <v>1107</v>
      </c>
      <c r="D11" s="3" t="s">
        <v>1108</v>
      </c>
      <c r="E11" s="3" t="s">
        <v>1109</v>
      </c>
      <c r="F11" s="70" t="s">
        <v>1110</v>
      </c>
    </row>
    <row r="12" spans="1:9" ht="26.45" customHeight="1" x14ac:dyDescent="0.25">
      <c r="A12" s="69" t="s">
        <v>1111</v>
      </c>
      <c r="B12" s="3" t="s">
        <v>1112</v>
      </c>
      <c r="C12" s="3" t="s">
        <v>1107</v>
      </c>
      <c r="D12" s="3" t="s">
        <v>1108</v>
      </c>
      <c r="E12" s="3" t="s">
        <v>1109</v>
      </c>
      <c r="F12" s="70" t="s">
        <v>1113</v>
      </c>
    </row>
    <row r="13" spans="1:9" ht="15" customHeight="1" x14ac:dyDescent="0.25">
      <c r="A13" s="69" t="s">
        <v>1114</v>
      </c>
      <c r="B13" s="3" t="s">
        <v>1115</v>
      </c>
      <c r="C13" s="3" t="s">
        <v>735</v>
      </c>
      <c r="D13" s="3" t="s">
        <v>680</v>
      </c>
      <c r="E13" s="3" t="s">
        <v>1116</v>
      </c>
      <c r="F13" s="70" t="s">
        <v>1117</v>
      </c>
    </row>
    <row r="14" spans="1:9" ht="15" customHeight="1" x14ac:dyDescent="0.25">
      <c r="A14" s="69" t="s">
        <v>1118</v>
      </c>
      <c r="B14" s="3" t="s">
        <v>1119</v>
      </c>
      <c r="C14" s="3" t="s">
        <v>1120</v>
      </c>
      <c r="D14" s="3" t="s">
        <v>210</v>
      </c>
      <c r="E14" s="3" t="s">
        <v>1116</v>
      </c>
      <c r="F14" s="70" t="s">
        <v>1121</v>
      </c>
    </row>
    <row r="15" spans="1:9" ht="26.45" customHeight="1" x14ac:dyDescent="0.25">
      <c r="A15" s="69" t="s">
        <v>1122</v>
      </c>
      <c r="B15" s="3" t="s">
        <v>1123</v>
      </c>
      <c r="C15" s="3" t="s">
        <v>222</v>
      </c>
      <c r="D15" s="3" t="s">
        <v>210</v>
      </c>
      <c r="E15" s="3" t="s">
        <v>1116</v>
      </c>
      <c r="F15" s="70" t="s">
        <v>1124</v>
      </c>
    </row>
    <row r="16" spans="1:9" ht="15" customHeight="1" x14ac:dyDescent="0.25">
      <c r="A16" s="69" t="s">
        <v>1125</v>
      </c>
      <c r="B16" s="3" t="s">
        <v>1126</v>
      </c>
      <c r="C16" s="3" t="s">
        <v>226</v>
      </c>
      <c r="D16" s="3" t="s">
        <v>210</v>
      </c>
      <c r="E16" s="3" t="s">
        <v>1116</v>
      </c>
      <c r="F16" s="70" t="s">
        <v>1127</v>
      </c>
    </row>
    <row r="17" spans="1:6" ht="15" customHeight="1" x14ac:dyDescent="0.25">
      <c r="A17" s="69" t="s">
        <v>1128</v>
      </c>
      <c r="B17" s="3" t="s">
        <v>1129</v>
      </c>
      <c r="C17" s="3" t="s">
        <v>235</v>
      </c>
      <c r="D17" s="3" t="s">
        <v>210</v>
      </c>
      <c r="E17" s="3" t="s">
        <v>1116</v>
      </c>
      <c r="F17" s="70" t="s">
        <v>1130</v>
      </c>
    </row>
    <row r="18" spans="1:6" ht="15" customHeight="1" x14ac:dyDescent="0.25">
      <c r="A18" s="69" t="s">
        <v>1131</v>
      </c>
      <c r="B18" s="3" t="s">
        <v>1132</v>
      </c>
      <c r="C18" s="3" t="s">
        <v>241</v>
      </c>
      <c r="D18" s="3" t="s">
        <v>210</v>
      </c>
      <c r="E18" s="3" t="s">
        <v>1116</v>
      </c>
      <c r="F18" s="70" t="s">
        <v>1133</v>
      </c>
    </row>
    <row r="19" spans="1:6" ht="15" customHeight="1" x14ac:dyDescent="0.25">
      <c r="A19" s="69" t="s">
        <v>1134</v>
      </c>
      <c r="B19" s="3" t="s">
        <v>1135</v>
      </c>
      <c r="C19" s="3" t="s">
        <v>347</v>
      </c>
      <c r="D19" s="3" t="s">
        <v>337</v>
      </c>
      <c r="E19" s="3" t="s">
        <v>27</v>
      </c>
      <c r="F19" s="70" t="s">
        <v>1136</v>
      </c>
    </row>
    <row r="20" spans="1:6" ht="15" customHeight="1" x14ac:dyDescent="0.25">
      <c r="A20" s="69" t="s">
        <v>1137</v>
      </c>
      <c r="B20" s="3" t="s">
        <v>1138</v>
      </c>
      <c r="C20" s="3" t="s">
        <v>352</v>
      </c>
      <c r="D20" s="3" t="s">
        <v>337</v>
      </c>
      <c r="E20" s="3" t="s">
        <v>27</v>
      </c>
      <c r="F20" s="70" t="s">
        <v>1139</v>
      </c>
    </row>
    <row r="21" spans="1:6" ht="15" customHeight="1" x14ac:dyDescent="0.25">
      <c r="A21" s="69" t="s">
        <v>1140</v>
      </c>
      <c r="B21" s="3" t="s">
        <v>1141</v>
      </c>
      <c r="C21" s="3" t="s">
        <v>356</v>
      </c>
      <c r="D21" s="3" t="s">
        <v>337</v>
      </c>
      <c r="E21" s="3" t="s">
        <v>27</v>
      </c>
      <c r="F21" s="70" t="s">
        <v>1142</v>
      </c>
    </row>
    <row r="22" spans="1:6" ht="26.45" customHeight="1" x14ac:dyDescent="0.25">
      <c r="A22" s="69" t="s">
        <v>1143</v>
      </c>
      <c r="B22" s="3" t="s">
        <v>1144</v>
      </c>
      <c r="C22" s="3" t="s">
        <v>361</v>
      </c>
      <c r="D22" s="3" t="s">
        <v>337</v>
      </c>
      <c r="E22" s="3" t="s">
        <v>27</v>
      </c>
      <c r="F22" s="70" t="s">
        <v>1139</v>
      </c>
    </row>
    <row r="23" spans="1:6" ht="15" customHeight="1" x14ac:dyDescent="0.25">
      <c r="A23" s="69" t="s">
        <v>1145</v>
      </c>
      <c r="B23" s="3" t="s">
        <v>1146</v>
      </c>
      <c r="C23" s="3" t="s">
        <v>365</v>
      </c>
      <c r="D23" s="3" t="s">
        <v>337</v>
      </c>
      <c r="E23" s="3" t="s">
        <v>27</v>
      </c>
      <c r="F23" s="70" t="s">
        <v>1147</v>
      </c>
    </row>
    <row r="24" spans="1:6" ht="15" customHeight="1" x14ac:dyDescent="0.25">
      <c r="A24" s="69" t="s">
        <v>1148</v>
      </c>
      <c r="B24" s="3" t="s">
        <v>1149</v>
      </c>
      <c r="C24" s="3" t="s">
        <v>369</v>
      </c>
      <c r="D24" s="3" t="s">
        <v>337</v>
      </c>
      <c r="E24" s="3" t="s">
        <v>1116</v>
      </c>
      <c r="F24" s="70" t="s">
        <v>1150</v>
      </c>
    </row>
    <row r="25" spans="1:6" ht="15" customHeight="1" x14ac:dyDescent="0.25">
      <c r="A25" s="69" t="s">
        <v>1151</v>
      </c>
      <c r="B25" s="3" t="s">
        <v>1152</v>
      </c>
      <c r="C25" s="3" t="s">
        <v>1153</v>
      </c>
      <c r="D25" s="3" t="s">
        <v>1154</v>
      </c>
      <c r="E25" s="3" t="s">
        <v>1116</v>
      </c>
      <c r="F25" s="70" t="s">
        <v>1155</v>
      </c>
    </row>
    <row r="26" spans="1:6" ht="26.45" customHeight="1" x14ac:dyDescent="0.25">
      <c r="A26" s="69" t="s">
        <v>1156</v>
      </c>
      <c r="B26" s="3" t="s">
        <v>1157</v>
      </c>
      <c r="C26" s="3" t="s">
        <v>1153</v>
      </c>
      <c r="D26" s="3" t="s">
        <v>1154</v>
      </c>
      <c r="E26" s="3" t="s">
        <v>1116</v>
      </c>
      <c r="F26" s="70" t="s">
        <v>1155</v>
      </c>
    </row>
    <row r="27" spans="1:6" ht="15" customHeight="1" x14ac:dyDescent="0.25">
      <c r="A27" s="69" t="s">
        <v>1158</v>
      </c>
      <c r="B27" s="3" t="s">
        <v>1159</v>
      </c>
      <c r="C27" s="3" t="s">
        <v>1160</v>
      </c>
      <c r="D27" s="3" t="s">
        <v>1161</v>
      </c>
      <c r="E27" s="3" t="s">
        <v>1116</v>
      </c>
      <c r="F27" s="70" t="s">
        <v>1162</v>
      </c>
    </row>
    <row r="28" spans="1:6" ht="15" customHeight="1" x14ac:dyDescent="0.25">
      <c r="A28" s="69" t="s">
        <v>1163</v>
      </c>
      <c r="B28" s="3" t="s">
        <v>1164</v>
      </c>
      <c r="C28" s="3" t="s">
        <v>752</v>
      </c>
      <c r="D28" s="3" t="s">
        <v>680</v>
      </c>
      <c r="E28" s="3" t="s">
        <v>1109</v>
      </c>
      <c r="F28" s="70" t="s">
        <v>1165</v>
      </c>
    </row>
    <row r="29" spans="1:6" ht="15" customHeight="1" x14ac:dyDescent="0.25">
      <c r="A29" s="69" t="s">
        <v>1166</v>
      </c>
      <c r="B29" s="3" t="s">
        <v>1167</v>
      </c>
      <c r="C29" s="3" t="s">
        <v>545</v>
      </c>
      <c r="D29" s="3" t="s">
        <v>505</v>
      </c>
      <c r="E29" s="3" t="s">
        <v>1116</v>
      </c>
      <c r="F29" s="70" t="s">
        <v>1168</v>
      </c>
    </row>
    <row r="30" spans="1:6" ht="15" customHeight="1" x14ac:dyDescent="0.25">
      <c r="A30" s="69" t="s">
        <v>1169</v>
      </c>
      <c r="B30" s="3" t="s">
        <v>1170</v>
      </c>
      <c r="C30" s="3" t="s">
        <v>1171</v>
      </c>
      <c r="D30" s="3" t="s">
        <v>1172</v>
      </c>
      <c r="E30" s="3" t="s">
        <v>1109</v>
      </c>
      <c r="F30" s="70" t="s">
        <v>1173</v>
      </c>
    </row>
    <row r="31" spans="1:6" ht="15" customHeight="1" x14ac:dyDescent="0.25">
      <c r="A31" s="69" t="s">
        <v>1174</v>
      </c>
      <c r="B31" s="3" t="s">
        <v>1175</v>
      </c>
      <c r="C31" s="3" t="s">
        <v>166</v>
      </c>
      <c r="D31" s="3" t="s">
        <v>162</v>
      </c>
      <c r="E31" s="3" t="s">
        <v>1116</v>
      </c>
      <c r="F31" s="70" t="s">
        <v>1176</v>
      </c>
    </row>
    <row r="32" spans="1:6" ht="26.45" customHeight="1" x14ac:dyDescent="0.25">
      <c r="A32" s="69" t="s">
        <v>1177</v>
      </c>
      <c r="B32" s="3" t="s">
        <v>1178</v>
      </c>
      <c r="C32" s="3" t="s">
        <v>1179</v>
      </c>
      <c r="D32" s="3" t="s">
        <v>407</v>
      </c>
      <c r="E32" s="3" t="s">
        <v>1116</v>
      </c>
      <c r="F32" s="70" t="s">
        <v>1180</v>
      </c>
    </row>
    <row r="33" spans="1:6" ht="15" customHeight="1" x14ac:dyDescent="0.25">
      <c r="A33" s="69" t="s">
        <v>1181</v>
      </c>
      <c r="B33" s="3" t="s">
        <v>1182</v>
      </c>
      <c r="C33" s="3" t="s">
        <v>1183</v>
      </c>
      <c r="D33" s="3" t="s">
        <v>407</v>
      </c>
      <c r="E33" s="3" t="s">
        <v>1116</v>
      </c>
      <c r="F33" s="70" t="s">
        <v>1184</v>
      </c>
    </row>
    <row r="34" spans="1:6" ht="15" customHeight="1" x14ac:dyDescent="0.25">
      <c r="A34" s="69" t="s">
        <v>1185</v>
      </c>
      <c r="B34" s="3" t="s">
        <v>1186</v>
      </c>
      <c r="C34" s="3" t="s">
        <v>1187</v>
      </c>
      <c r="D34" s="3" t="s">
        <v>458</v>
      </c>
      <c r="E34" s="3" t="s">
        <v>1116</v>
      </c>
      <c r="F34" s="70" t="s">
        <v>1188</v>
      </c>
    </row>
    <row r="35" spans="1:6" ht="15" customHeight="1" x14ac:dyDescent="0.25">
      <c r="A35" s="69" t="s">
        <v>1189</v>
      </c>
      <c r="B35" s="3" t="s">
        <v>1190</v>
      </c>
      <c r="C35" s="3" t="s">
        <v>1191</v>
      </c>
      <c r="D35" s="3" t="s">
        <v>618</v>
      </c>
      <c r="E35" s="3" t="s">
        <v>1109</v>
      </c>
      <c r="F35" s="70" t="s">
        <v>1192</v>
      </c>
    </row>
    <row r="36" spans="1:6" ht="15" customHeight="1" x14ac:dyDescent="0.25">
      <c r="A36" s="69" t="s">
        <v>1193</v>
      </c>
      <c r="B36" s="3" t="s">
        <v>1194</v>
      </c>
      <c r="C36" s="3" t="s">
        <v>1195</v>
      </c>
      <c r="D36" s="3" t="s">
        <v>618</v>
      </c>
      <c r="E36" s="3" t="s">
        <v>1109</v>
      </c>
      <c r="F36" s="70" t="s">
        <v>1196</v>
      </c>
    </row>
    <row r="37" spans="1:6" ht="15" customHeight="1" x14ac:dyDescent="0.25">
      <c r="A37" s="69" t="s">
        <v>1197</v>
      </c>
      <c r="B37" s="3" t="s">
        <v>1198</v>
      </c>
      <c r="C37" s="3" t="s">
        <v>831</v>
      </c>
      <c r="D37" s="3" t="s">
        <v>809</v>
      </c>
      <c r="E37" s="3" t="s">
        <v>1116</v>
      </c>
      <c r="F37" s="70" t="s">
        <v>1155</v>
      </c>
    </row>
    <row r="38" spans="1:6" ht="15" customHeight="1" x14ac:dyDescent="0.25">
      <c r="A38" s="69" t="s">
        <v>1199</v>
      </c>
      <c r="B38" s="3" t="s">
        <v>1200</v>
      </c>
      <c r="C38" s="3" t="s">
        <v>1201</v>
      </c>
      <c r="D38" s="3" t="s">
        <v>1202</v>
      </c>
      <c r="E38" s="3" t="s">
        <v>1203</v>
      </c>
      <c r="F38" s="70" t="s">
        <v>1204</v>
      </c>
    </row>
    <row r="39" spans="1:6" x14ac:dyDescent="0.25">
      <c r="A39" s="69" t="s">
        <v>1205</v>
      </c>
      <c r="B39" s="3" t="s">
        <v>1206</v>
      </c>
      <c r="C39" s="3" t="s">
        <v>1201</v>
      </c>
      <c r="D39" s="3" t="s">
        <v>1202</v>
      </c>
      <c r="E39" s="3" t="s">
        <v>1203</v>
      </c>
      <c r="F39" s="70" t="s">
        <v>1207</v>
      </c>
    </row>
    <row r="40" spans="1:6" x14ac:dyDescent="0.25">
      <c r="A40" s="69" t="s">
        <v>1208</v>
      </c>
      <c r="B40" s="3" t="s">
        <v>1209</v>
      </c>
      <c r="C40" s="3" t="s">
        <v>1201</v>
      </c>
      <c r="D40" s="3" t="s">
        <v>1202</v>
      </c>
      <c r="E40" s="3" t="s">
        <v>1203</v>
      </c>
      <c r="F40" s="70" t="s">
        <v>1210</v>
      </c>
    </row>
    <row r="41" spans="1:6" x14ac:dyDescent="0.25">
      <c r="A41" s="69" t="s">
        <v>1211</v>
      </c>
      <c r="B41" s="3" t="s">
        <v>1212</v>
      </c>
      <c r="C41" s="3" t="s">
        <v>1201</v>
      </c>
      <c r="D41" s="3" t="s">
        <v>1202</v>
      </c>
      <c r="E41" s="3" t="s">
        <v>1203</v>
      </c>
      <c r="F41" s="70" t="s">
        <v>1213</v>
      </c>
    </row>
    <row r="42" spans="1:6" x14ac:dyDescent="0.25">
      <c r="A42" s="69" t="s">
        <v>1214</v>
      </c>
      <c r="B42" s="3" t="s">
        <v>1215</v>
      </c>
      <c r="C42" s="3" t="s">
        <v>930</v>
      </c>
      <c r="D42" s="3" t="s">
        <v>619</v>
      </c>
      <c r="E42" s="3" t="s">
        <v>1216</v>
      </c>
      <c r="F42" s="70" t="s">
        <v>1217</v>
      </c>
    </row>
    <row r="43" spans="1:6" x14ac:dyDescent="0.25">
      <c r="A43" s="69" t="s">
        <v>1218</v>
      </c>
      <c r="B43" s="3" t="s">
        <v>1219</v>
      </c>
      <c r="C43" s="3" t="s">
        <v>1220</v>
      </c>
      <c r="D43" s="3" t="s">
        <v>1221</v>
      </c>
      <c r="E43" s="3" t="s">
        <v>1216</v>
      </c>
      <c r="F43" s="70" t="s">
        <v>1222</v>
      </c>
    </row>
    <row r="44" spans="1:6" x14ac:dyDescent="0.25">
      <c r="A44" s="69" t="s">
        <v>1223</v>
      </c>
      <c r="B44" s="3" t="s">
        <v>1224</v>
      </c>
      <c r="C44" s="3" t="s">
        <v>1225</v>
      </c>
      <c r="D44" s="3" t="s">
        <v>1226</v>
      </c>
      <c r="E44" s="3" t="s">
        <v>1216</v>
      </c>
      <c r="F44" s="70" t="s">
        <v>1227</v>
      </c>
    </row>
    <row r="45" spans="1:6" x14ac:dyDescent="0.25">
      <c r="A45" s="69" t="s">
        <v>1228</v>
      </c>
      <c r="B45" s="3" t="s">
        <v>1229</v>
      </c>
      <c r="C45" s="3" t="s">
        <v>1230</v>
      </c>
      <c r="D45" s="3" t="s">
        <v>1226</v>
      </c>
      <c r="E45" s="3" t="s">
        <v>1216</v>
      </c>
      <c r="F45" s="70" t="s">
        <v>1231</v>
      </c>
    </row>
    <row r="46" spans="1:6" x14ac:dyDescent="0.25">
      <c r="A46" s="69" t="s">
        <v>1232</v>
      </c>
      <c r="B46" s="3" t="s">
        <v>1233</v>
      </c>
      <c r="C46" s="3" t="s">
        <v>1234</v>
      </c>
      <c r="D46" s="3" t="s">
        <v>1226</v>
      </c>
      <c r="E46" s="3" t="s">
        <v>1216</v>
      </c>
      <c r="F46" s="70" t="s">
        <v>1235</v>
      </c>
    </row>
    <row r="47" spans="1:6" x14ac:dyDescent="0.25">
      <c r="A47" s="69" t="s">
        <v>1236</v>
      </c>
      <c r="B47" s="3" t="s">
        <v>1237</v>
      </c>
      <c r="C47" s="3" t="s">
        <v>870</v>
      </c>
      <c r="D47" s="3" t="s">
        <v>850</v>
      </c>
      <c r="E47" s="3" t="s">
        <v>1216</v>
      </c>
      <c r="F47" s="70" t="s">
        <v>1238</v>
      </c>
    </row>
    <row r="48" spans="1:6" x14ac:dyDescent="0.25">
      <c r="A48" s="69" t="s">
        <v>1239</v>
      </c>
      <c r="B48" s="3" t="s">
        <v>1240</v>
      </c>
      <c r="C48" s="3" t="s">
        <v>875</v>
      </c>
      <c r="D48" s="3" t="s">
        <v>850</v>
      </c>
      <c r="E48" s="3" t="s">
        <v>1216</v>
      </c>
      <c r="F48" s="70" t="s">
        <v>1241</v>
      </c>
    </row>
    <row r="49" spans="1:6" x14ac:dyDescent="0.25">
      <c r="A49" s="69" t="s">
        <v>1242</v>
      </c>
      <c r="B49" s="3" t="s">
        <v>1243</v>
      </c>
      <c r="C49" s="3" t="s">
        <v>880</v>
      </c>
      <c r="D49" s="3" t="s">
        <v>850</v>
      </c>
      <c r="E49" s="3" t="s">
        <v>1216</v>
      </c>
      <c r="F49" s="70" t="s">
        <v>1244</v>
      </c>
    </row>
    <row r="50" spans="1:6" x14ac:dyDescent="0.25">
      <c r="A50" s="69" t="s">
        <v>1245</v>
      </c>
      <c r="B50" s="3" t="s">
        <v>1246</v>
      </c>
      <c r="C50" s="3" t="s">
        <v>1247</v>
      </c>
      <c r="D50" s="3" t="s">
        <v>1248</v>
      </c>
      <c r="E50" s="3" t="s">
        <v>1216</v>
      </c>
      <c r="F50" s="70" t="s">
        <v>1249</v>
      </c>
    </row>
    <row r="51" spans="1:6" x14ac:dyDescent="0.25">
      <c r="A51" s="69" t="s">
        <v>1250</v>
      </c>
      <c r="B51" s="3" t="s">
        <v>1251</v>
      </c>
      <c r="C51" s="3" t="s">
        <v>1252</v>
      </c>
      <c r="D51" s="3" t="s">
        <v>1253</v>
      </c>
      <c r="E51" s="3" t="s">
        <v>1216</v>
      </c>
      <c r="F51" s="70" t="s">
        <v>1254</v>
      </c>
    </row>
    <row r="52" spans="1:6" ht="30" x14ac:dyDescent="0.25">
      <c r="A52" s="69" t="s">
        <v>1255</v>
      </c>
      <c r="B52" s="3" t="s">
        <v>1256</v>
      </c>
      <c r="C52" s="3" t="s">
        <v>1257</v>
      </c>
      <c r="D52" s="3" t="s">
        <v>1258</v>
      </c>
      <c r="E52" s="3" t="s">
        <v>1109</v>
      </c>
      <c r="F52" s="70" t="s">
        <v>1259</v>
      </c>
    </row>
    <row r="53" spans="1:6" x14ac:dyDescent="0.25">
      <c r="A53" s="69" t="s">
        <v>1260</v>
      </c>
      <c r="B53" s="3" t="s">
        <v>1261</v>
      </c>
      <c r="C53" s="3" t="s">
        <v>1262</v>
      </c>
      <c r="D53" s="3" t="s">
        <v>1108</v>
      </c>
      <c r="E53" s="3" t="s">
        <v>1216</v>
      </c>
      <c r="F53" s="70" t="s">
        <v>1263</v>
      </c>
    </row>
    <row r="54" spans="1:6" x14ac:dyDescent="0.25">
      <c r="A54" s="69" t="s">
        <v>1264</v>
      </c>
      <c r="B54" s="3" t="s">
        <v>1265</v>
      </c>
      <c r="C54" s="3" t="s">
        <v>1266</v>
      </c>
      <c r="D54" s="3" t="s">
        <v>1108</v>
      </c>
      <c r="E54" s="3" t="s">
        <v>1216</v>
      </c>
      <c r="F54" s="70" t="s">
        <v>1267</v>
      </c>
    </row>
    <row r="55" spans="1:6" x14ac:dyDescent="0.25">
      <c r="A55" s="69" t="s">
        <v>1268</v>
      </c>
      <c r="B55" s="3" t="s">
        <v>1269</v>
      </c>
      <c r="C55" s="3" t="s">
        <v>1270</v>
      </c>
      <c r="D55" s="3" t="s">
        <v>1108</v>
      </c>
      <c r="E55" s="3" t="s">
        <v>1216</v>
      </c>
      <c r="F55" s="70" t="s">
        <v>1271</v>
      </c>
    </row>
    <row r="56" spans="1:6" x14ac:dyDescent="0.25">
      <c r="A56" s="69" t="s">
        <v>1272</v>
      </c>
      <c r="B56" s="3" t="s">
        <v>1273</v>
      </c>
      <c r="C56" s="3" t="s">
        <v>1274</v>
      </c>
      <c r="D56" s="3" t="s">
        <v>680</v>
      </c>
      <c r="E56" s="3" t="s">
        <v>1216</v>
      </c>
      <c r="F56" s="70" t="s">
        <v>1275</v>
      </c>
    </row>
    <row r="57" spans="1:6" ht="30" x14ac:dyDescent="0.25">
      <c r="A57" s="69" t="s">
        <v>1276</v>
      </c>
      <c r="B57" s="3" t="s">
        <v>1277</v>
      </c>
      <c r="C57" s="3" t="s">
        <v>1278</v>
      </c>
      <c r="D57" s="3" t="s">
        <v>1279</v>
      </c>
      <c r="E57" s="3" t="s">
        <v>1216</v>
      </c>
      <c r="F57" s="70" t="s">
        <v>1280</v>
      </c>
    </row>
    <row r="58" spans="1:6" ht="30" x14ac:dyDescent="0.25">
      <c r="A58" s="69" t="s">
        <v>1281</v>
      </c>
      <c r="B58" s="3" t="s">
        <v>1282</v>
      </c>
      <c r="C58" s="3" t="s">
        <v>1283</v>
      </c>
      <c r="D58" s="3" t="s">
        <v>618</v>
      </c>
      <c r="E58" s="3" t="s">
        <v>1216</v>
      </c>
      <c r="F58" s="70" t="s">
        <v>1284</v>
      </c>
    </row>
    <row r="59" spans="1:6" x14ac:dyDescent="0.25">
      <c r="A59" s="69" t="s">
        <v>1285</v>
      </c>
      <c r="B59" s="3" t="s">
        <v>1286</v>
      </c>
      <c r="C59" s="3" t="s">
        <v>978</v>
      </c>
      <c r="D59" s="3" t="s">
        <v>688</v>
      </c>
      <c r="E59" s="3" t="s">
        <v>1216</v>
      </c>
      <c r="F59" s="70" t="s">
        <v>1287</v>
      </c>
    </row>
    <row r="60" spans="1:6" ht="30" x14ac:dyDescent="0.25">
      <c r="A60" s="71" t="s">
        <v>1288</v>
      </c>
      <c r="B60" s="65" t="s">
        <v>1289</v>
      </c>
      <c r="C60" s="65" t="s">
        <v>992</v>
      </c>
      <c r="D60" s="65" t="s">
        <v>680</v>
      </c>
      <c r="E60" s="65" t="s">
        <v>1216</v>
      </c>
      <c r="F60" s="72" t="s">
        <v>1290</v>
      </c>
    </row>
    <row r="61" spans="1:6" x14ac:dyDescent="0.25">
      <c r="A61" t="s">
        <v>1291</v>
      </c>
      <c r="B61" t="s">
        <v>1292</v>
      </c>
      <c r="C61" t="s">
        <v>1293</v>
      </c>
      <c r="D61" t="s">
        <v>1294</v>
      </c>
      <c r="E61" t="s">
        <v>1109</v>
      </c>
      <c r="F61" t="s">
        <v>1295</v>
      </c>
    </row>
  </sheetData>
  <mergeCells count="2">
    <mergeCell ref="A1:F1"/>
    <mergeCell ref="A2:F2"/>
  </mergeCells>
  <conditionalFormatting sqref="E8:E38">
    <cfRule type="expression" dxfId="6" priority="1">
      <formula>E8="EXPANDED"</formula>
    </cfRule>
    <cfRule type="expression" dxfId="5" priority="2">
      <formula>E8="GLOBAL LAW"</formula>
    </cfRule>
    <cfRule type="expression" dxfId="4" priority="3">
      <formula>E8="EXISTING"</formula>
    </cfRule>
  </conditionalFormatting>
  <conditionalFormatting sqref="I3">
    <cfRule type="expression" dxfId="3" priority="4">
      <formula>I3=0</formula>
    </cfRule>
    <cfRule type="expression" dxfId="2" priority="5">
      <formula>I3&gt;0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2"/>
  <sheetViews>
    <sheetView workbookViewId="0"/>
  </sheetViews>
  <sheetFormatPr defaultRowHeight="15" x14ac:dyDescent="0.25"/>
  <cols>
    <col min="1" max="1" width="26" customWidth="1"/>
    <col min="2" max="2" width="14" customWidth="1"/>
    <col min="3" max="3" width="10" customWidth="1"/>
    <col min="4" max="4" width="42" customWidth="1"/>
    <col min="5" max="5" width="8" customWidth="1"/>
    <col min="6" max="6" width="24" customWidth="1"/>
    <col min="7" max="7" width="34" customWidth="1"/>
    <col min="8" max="8" width="60" customWidth="1"/>
    <col min="9" max="9" width="38" customWidth="1"/>
    <col min="10" max="10" width="13" customWidth="1"/>
  </cols>
  <sheetData>
    <row r="1" spans="1:10" ht="18.75" x14ac:dyDescent="0.25">
      <c r="A1" s="98" t="s">
        <v>1296</v>
      </c>
      <c r="B1" s="98"/>
      <c r="C1" s="98"/>
      <c r="D1" s="98"/>
      <c r="E1" s="98"/>
      <c r="F1" s="98"/>
      <c r="G1" s="98"/>
      <c r="H1" s="98"/>
      <c r="I1" s="98"/>
      <c r="J1" s="98"/>
    </row>
    <row r="2" spans="1:10" x14ac:dyDescent="0.25">
      <c r="A2" s="99" t="s">
        <v>1297</v>
      </c>
      <c r="B2" s="99"/>
      <c r="C2" s="99"/>
      <c r="D2" s="99"/>
      <c r="E2" s="99"/>
      <c r="F2" s="99"/>
      <c r="G2" s="99"/>
      <c r="H2" s="99"/>
      <c r="I2" s="99"/>
      <c r="J2" s="99"/>
    </row>
    <row r="4" spans="1:10" x14ac:dyDescent="0.25">
      <c r="A4" s="73" t="s">
        <v>1298</v>
      </c>
      <c r="B4" s="75" t="s">
        <v>833</v>
      </c>
      <c r="D4" s="100" t="s">
        <v>1299</v>
      </c>
      <c r="E4" s="100"/>
      <c r="F4" s="100"/>
      <c r="G4" s="100"/>
      <c r="H4" s="100"/>
      <c r="I4" s="100"/>
      <c r="J4" s="100"/>
    </row>
    <row r="5" spans="1:10" x14ac:dyDescent="0.25">
      <c r="A5" s="69" t="s">
        <v>1300</v>
      </c>
      <c r="B5" s="70">
        <f>COUNTIF(Backlog!$M:$M,"W3 SAFE NOW")</f>
        <v>16</v>
      </c>
      <c r="D5" s="101" t="s">
        <v>1301</v>
      </c>
      <c r="E5" s="101"/>
      <c r="F5" s="101"/>
      <c r="G5" s="101"/>
      <c r="H5" s="101"/>
      <c r="I5" s="101"/>
      <c r="J5" s="101"/>
    </row>
    <row r="6" spans="1:10" x14ac:dyDescent="0.25">
      <c r="A6" s="69" t="s">
        <v>1302</v>
      </c>
      <c r="B6" s="70">
        <f>SUMIF(Backlog!$M:$M,"W3 SAFE NOW",Backlog!$J:$J)</f>
        <v>172</v>
      </c>
      <c r="D6" s="101" t="s">
        <v>1303</v>
      </c>
      <c r="E6" s="101"/>
      <c r="F6" s="101"/>
      <c r="G6" s="101"/>
      <c r="H6" s="101"/>
      <c r="I6" s="101"/>
      <c r="J6" s="101"/>
    </row>
    <row r="7" spans="1:10" ht="30" x14ac:dyDescent="0.25">
      <c r="A7" s="71" t="s">
        <v>1304</v>
      </c>
      <c r="B7" s="72">
        <f>SUMIF(Backlog!$L:$L,"Worker 3",Backlog!$J:$J)+SUMIF(Backlog!$L:$L,"Shared: Core Platform + Worker 3",Backlog!$J:$J)+SUMIF(Backlog!$L:$L,"Shared: Infrastructure + Worker 3",Backlog!$J:$J)</f>
        <v>580</v>
      </c>
      <c r="D7" s="101" t="s">
        <v>1305</v>
      </c>
      <c r="E7" s="101"/>
      <c r="F7" s="101"/>
      <c r="G7" s="101"/>
      <c r="H7" s="101"/>
      <c r="I7" s="101"/>
      <c r="J7" s="101"/>
    </row>
    <row r="8" spans="1:10" x14ac:dyDescent="0.25">
      <c r="D8" s="101" t="s">
        <v>1306</v>
      </c>
      <c r="E8" s="101"/>
      <c r="F8" s="101"/>
      <c r="G8" s="101"/>
      <c r="H8" s="101"/>
      <c r="I8" s="101"/>
      <c r="J8" s="101"/>
    </row>
    <row r="9" spans="1:10" x14ac:dyDescent="0.25">
      <c r="D9" s="101" t="s">
        <v>1307</v>
      </c>
      <c r="E9" s="101"/>
      <c r="F9" s="101"/>
      <c r="G9" s="101"/>
      <c r="H9" s="101"/>
      <c r="I9" s="101"/>
      <c r="J9" s="101"/>
    </row>
    <row r="12" spans="1:10" x14ac:dyDescent="0.25">
      <c r="A12" s="66" t="s">
        <v>1308</v>
      </c>
      <c r="B12" s="67" t="s">
        <v>1309</v>
      </c>
      <c r="C12" s="67" t="s">
        <v>0</v>
      </c>
      <c r="D12" s="67" t="s">
        <v>3</v>
      </c>
      <c r="E12" s="67" t="s">
        <v>9</v>
      </c>
      <c r="F12" s="67" t="s">
        <v>1310</v>
      </c>
      <c r="G12" s="67" t="s">
        <v>1311</v>
      </c>
      <c r="H12" s="67" t="s">
        <v>1312</v>
      </c>
      <c r="I12" s="67" t="s">
        <v>1313</v>
      </c>
      <c r="J12" s="68" t="s">
        <v>10</v>
      </c>
    </row>
    <row r="13" spans="1:10" ht="75" x14ac:dyDescent="0.25">
      <c r="A13" s="36">
        <v>1</v>
      </c>
      <c r="B13" s="37" t="s">
        <v>1314</v>
      </c>
      <c r="C13" s="37" t="s">
        <v>898</v>
      </c>
      <c r="D13" s="15" t="s">
        <v>899</v>
      </c>
      <c r="E13" s="15">
        <v>10</v>
      </c>
      <c r="F13" s="15" t="s">
        <v>676</v>
      </c>
      <c r="G13" s="15" t="s">
        <v>1315</v>
      </c>
      <c r="H13" s="15" t="s">
        <v>1316</v>
      </c>
      <c r="I13" s="15" t="s">
        <v>1317</v>
      </c>
      <c r="J13" s="38" t="s">
        <v>240</v>
      </c>
    </row>
    <row r="14" spans="1:10" ht="45" x14ac:dyDescent="0.25">
      <c r="A14" s="36">
        <v>2</v>
      </c>
      <c r="B14" s="37" t="s">
        <v>1314</v>
      </c>
      <c r="C14" s="37" t="s">
        <v>865</v>
      </c>
      <c r="D14" s="15" t="s">
        <v>866</v>
      </c>
      <c r="E14" s="15">
        <v>10</v>
      </c>
      <c r="F14" s="15" t="s">
        <v>676</v>
      </c>
      <c r="G14" s="15" t="s">
        <v>678</v>
      </c>
      <c r="H14" s="15" t="s">
        <v>677</v>
      </c>
      <c r="I14" s="15" t="s">
        <v>1318</v>
      </c>
      <c r="J14" s="38" t="s">
        <v>240</v>
      </c>
    </row>
    <row r="15" spans="1:10" ht="45" x14ac:dyDescent="0.25">
      <c r="A15" s="36">
        <v>3</v>
      </c>
      <c r="B15" s="37" t="s">
        <v>1314</v>
      </c>
      <c r="C15" s="37" t="s">
        <v>849</v>
      </c>
      <c r="D15" s="15" t="s">
        <v>851</v>
      </c>
      <c r="E15" s="15">
        <v>12</v>
      </c>
      <c r="F15" s="15" t="s">
        <v>676</v>
      </c>
      <c r="G15" s="15" t="s">
        <v>678</v>
      </c>
      <c r="H15" s="15" t="s">
        <v>677</v>
      </c>
      <c r="I15" s="15" t="s">
        <v>1319</v>
      </c>
      <c r="J15" s="38" t="s">
        <v>240</v>
      </c>
    </row>
    <row r="16" spans="1:10" ht="45" x14ac:dyDescent="0.25">
      <c r="A16" s="36">
        <v>4</v>
      </c>
      <c r="B16" s="37" t="s">
        <v>1314</v>
      </c>
      <c r="C16" s="37" t="s">
        <v>856</v>
      </c>
      <c r="D16" s="15" t="s">
        <v>857</v>
      </c>
      <c r="E16" s="15">
        <v>10</v>
      </c>
      <c r="F16" s="15" t="s">
        <v>676</v>
      </c>
      <c r="G16" s="15" t="s">
        <v>678</v>
      </c>
      <c r="H16" s="15" t="s">
        <v>677</v>
      </c>
      <c r="I16" s="15" t="s">
        <v>1320</v>
      </c>
      <c r="J16" s="38" t="s">
        <v>240</v>
      </c>
    </row>
    <row r="17" spans="1:10" ht="75" x14ac:dyDescent="0.25">
      <c r="A17" s="36">
        <v>5</v>
      </c>
      <c r="B17" s="37" t="s">
        <v>1314</v>
      </c>
      <c r="C17" s="37" t="s">
        <v>885</v>
      </c>
      <c r="D17" s="15" t="s">
        <v>886</v>
      </c>
      <c r="E17" s="15">
        <v>12</v>
      </c>
      <c r="F17" s="15" t="s">
        <v>676</v>
      </c>
      <c r="G17" s="15" t="s">
        <v>1321</v>
      </c>
      <c r="H17" s="15" t="s">
        <v>1322</v>
      </c>
      <c r="I17" s="15" t="s">
        <v>1323</v>
      </c>
      <c r="J17" s="38" t="s">
        <v>240</v>
      </c>
    </row>
    <row r="18" spans="1:10" ht="45" x14ac:dyDescent="0.25">
      <c r="A18" s="36">
        <v>6</v>
      </c>
      <c r="B18" s="37" t="s">
        <v>1314</v>
      </c>
      <c r="C18" s="37" t="s">
        <v>893</v>
      </c>
      <c r="D18" s="15" t="s">
        <v>894</v>
      </c>
      <c r="E18" s="15">
        <v>12</v>
      </c>
      <c r="F18" s="15" t="s">
        <v>676</v>
      </c>
      <c r="G18" s="15" t="s">
        <v>678</v>
      </c>
      <c r="H18" s="15" t="s">
        <v>677</v>
      </c>
      <c r="I18" s="15" t="s">
        <v>1324</v>
      </c>
      <c r="J18" s="38" t="s">
        <v>240</v>
      </c>
    </row>
    <row r="19" spans="1:10" ht="45" x14ac:dyDescent="0.25">
      <c r="A19" s="36">
        <v>7</v>
      </c>
      <c r="B19" s="37" t="s">
        <v>1314</v>
      </c>
      <c r="C19" s="37" t="s">
        <v>875</v>
      </c>
      <c r="D19" s="15" t="s">
        <v>876</v>
      </c>
      <c r="E19" s="15">
        <v>12</v>
      </c>
      <c r="F19" s="15" t="s">
        <v>676</v>
      </c>
      <c r="G19" s="15" t="s">
        <v>678</v>
      </c>
      <c r="H19" s="15" t="s">
        <v>677</v>
      </c>
      <c r="I19" s="15" t="s">
        <v>1325</v>
      </c>
      <c r="J19" s="38" t="s">
        <v>240</v>
      </c>
    </row>
    <row r="20" spans="1:10" ht="45" x14ac:dyDescent="0.25">
      <c r="A20" s="36">
        <v>8</v>
      </c>
      <c r="B20" s="37" t="s">
        <v>1314</v>
      </c>
      <c r="C20" s="37" t="s">
        <v>880</v>
      </c>
      <c r="D20" s="15" t="s">
        <v>881</v>
      </c>
      <c r="E20" s="15">
        <v>10</v>
      </c>
      <c r="F20" s="15" t="s">
        <v>676</v>
      </c>
      <c r="G20" s="15" t="s">
        <v>678</v>
      </c>
      <c r="H20" s="15" t="s">
        <v>677</v>
      </c>
      <c r="I20" s="15" t="s">
        <v>1326</v>
      </c>
      <c r="J20" s="38" t="s">
        <v>240</v>
      </c>
    </row>
    <row r="21" spans="1:10" ht="45" x14ac:dyDescent="0.25">
      <c r="A21" s="36">
        <v>9</v>
      </c>
      <c r="B21" s="37" t="s">
        <v>1314</v>
      </c>
      <c r="C21" s="37" t="s">
        <v>861</v>
      </c>
      <c r="D21" s="15" t="s">
        <v>862</v>
      </c>
      <c r="E21" s="15">
        <v>10</v>
      </c>
      <c r="F21" s="15" t="s">
        <v>676</v>
      </c>
      <c r="G21" s="15" t="s">
        <v>678</v>
      </c>
      <c r="H21" s="15" t="s">
        <v>677</v>
      </c>
      <c r="I21" s="15" t="s">
        <v>1327</v>
      </c>
      <c r="J21" s="38" t="s">
        <v>240</v>
      </c>
    </row>
    <row r="22" spans="1:10" ht="45" x14ac:dyDescent="0.25">
      <c r="A22" s="36">
        <v>10</v>
      </c>
      <c r="B22" s="37" t="s">
        <v>1314</v>
      </c>
      <c r="C22" s="37" t="s">
        <v>870</v>
      </c>
      <c r="D22" s="15" t="s">
        <v>871</v>
      </c>
      <c r="E22" s="15">
        <v>12</v>
      </c>
      <c r="F22" s="15" t="s">
        <v>676</v>
      </c>
      <c r="G22" s="15" t="s">
        <v>678</v>
      </c>
      <c r="H22" s="15" t="s">
        <v>677</v>
      </c>
      <c r="I22" s="15" t="s">
        <v>1328</v>
      </c>
      <c r="J22" s="38" t="s">
        <v>240</v>
      </c>
    </row>
    <row r="23" spans="1:10" ht="45" x14ac:dyDescent="0.25">
      <c r="A23" s="36">
        <v>11</v>
      </c>
      <c r="B23" s="37" t="s">
        <v>1314</v>
      </c>
      <c r="C23" s="37" t="s">
        <v>906</v>
      </c>
      <c r="D23" s="15" t="s">
        <v>907</v>
      </c>
      <c r="E23" s="15">
        <v>8</v>
      </c>
      <c r="F23" s="15" t="s">
        <v>676</v>
      </c>
      <c r="G23" s="15" t="s">
        <v>678</v>
      </c>
      <c r="H23" s="15" t="s">
        <v>677</v>
      </c>
      <c r="I23" s="15" t="s">
        <v>1329</v>
      </c>
      <c r="J23" s="38" t="s">
        <v>240</v>
      </c>
    </row>
    <row r="24" spans="1:10" ht="45" x14ac:dyDescent="0.25">
      <c r="A24" s="36">
        <v>12</v>
      </c>
      <c r="B24" s="37" t="s">
        <v>1314</v>
      </c>
      <c r="C24" s="37" t="s">
        <v>910</v>
      </c>
      <c r="D24" s="15" t="s">
        <v>911</v>
      </c>
      <c r="E24" s="15">
        <v>10</v>
      </c>
      <c r="F24" s="15" t="s">
        <v>676</v>
      </c>
      <c r="G24" s="15" t="s">
        <v>678</v>
      </c>
      <c r="H24" s="15" t="s">
        <v>677</v>
      </c>
      <c r="I24" s="15" t="s">
        <v>1330</v>
      </c>
      <c r="J24" s="38" t="s">
        <v>240</v>
      </c>
    </row>
    <row r="25" spans="1:10" ht="45" x14ac:dyDescent="0.25">
      <c r="A25" s="36">
        <v>13</v>
      </c>
      <c r="B25" s="37" t="s">
        <v>1314</v>
      </c>
      <c r="C25" s="37" t="s">
        <v>915</v>
      </c>
      <c r="D25" s="15" t="s">
        <v>916</v>
      </c>
      <c r="E25" s="15">
        <v>12</v>
      </c>
      <c r="F25" s="15" t="s">
        <v>676</v>
      </c>
      <c r="G25" s="15" t="s">
        <v>678</v>
      </c>
      <c r="H25" s="15" t="s">
        <v>677</v>
      </c>
      <c r="I25" s="15" t="s">
        <v>1331</v>
      </c>
      <c r="J25" s="38" t="s">
        <v>240</v>
      </c>
    </row>
    <row r="26" spans="1:10" ht="45" x14ac:dyDescent="0.25">
      <c r="A26" s="36">
        <v>14</v>
      </c>
      <c r="B26" s="37" t="s">
        <v>1314</v>
      </c>
      <c r="C26" s="37" t="s">
        <v>920</v>
      </c>
      <c r="D26" s="15" t="s">
        <v>921</v>
      </c>
      <c r="E26" s="15">
        <v>12</v>
      </c>
      <c r="F26" s="15" t="s">
        <v>676</v>
      </c>
      <c r="G26" s="15" t="s">
        <v>678</v>
      </c>
      <c r="H26" s="15" t="s">
        <v>677</v>
      </c>
      <c r="I26" s="15" t="s">
        <v>1332</v>
      </c>
      <c r="J26" s="38" t="s">
        <v>240</v>
      </c>
    </row>
    <row r="27" spans="1:10" ht="45" x14ac:dyDescent="0.25">
      <c r="A27" s="36">
        <v>15</v>
      </c>
      <c r="B27" s="37" t="s">
        <v>1314</v>
      </c>
      <c r="C27" s="37" t="s">
        <v>670</v>
      </c>
      <c r="D27" s="15" t="s">
        <v>672</v>
      </c>
      <c r="E27" s="15">
        <v>10</v>
      </c>
      <c r="F27" s="15" t="s">
        <v>676</v>
      </c>
      <c r="G27" s="15" t="s">
        <v>678</v>
      </c>
      <c r="H27" s="15" t="s">
        <v>677</v>
      </c>
      <c r="I27" s="15" t="s">
        <v>1333</v>
      </c>
      <c r="J27" s="38" t="s">
        <v>240</v>
      </c>
    </row>
    <row r="28" spans="1:10" ht="45" x14ac:dyDescent="0.25">
      <c r="A28" s="36">
        <v>16</v>
      </c>
      <c r="B28" s="37" t="s">
        <v>1314</v>
      </c>
      <c r="C28" s="37" t="s">
        <v>925</v>
      </c>
      <c r="D28" s="15" t="s">
        <v>926</v>
      </c>
      <c r="E28" s="15">
        <v>10</v>
      </c>
      <c r="F28" s="15" t="s">
        <v>676</v>
      </c>
      <c r="G28" s="15" t="s">
        <v>678</v>
      </c>
      <c r="H28" s="15" t="s">
        <v>677</v>
      </c>
      <c r="I28" s="15" t="s">
        <v>1334</v>
      </c>
      <c r="J28" s="38" t="s">
        <v>240</v>
      </c>
    </row>
    <row r="29" spans="1:10" ht="45" x14ac:dyDescent="0.25">
      <c r="A29" s="36">
        <v>17</v>
      </c>
      <c r="B29" s="37" t="s">
        <v>1335</v>
      </c>
      <c r="C29" s="37" t="s">
        <v>930</v>
      </c>
      <c r="D29" s="15" t="s">
        <v>931</v>
      </c>
      <c r="E29" s="15">
        <v>12</v>
      </c>
      <c r="F29" s="15" t="s">
        <v>528</v>
      </c>
      <c r="G29" s="15" t="s">
        <v>935</v>
      </c>
      <c r="H29" s="15" t="s">
        <v>624</v>
      </c>
      <c r="I29" s="15" t="s">
        <v>931</v>
      </c>
      <c r="J29" s="38" t="s">
        <v>240</v>
      </c>
    </row>
    <row r="30" spans="1:10" ht="45" x14ac:dyDescent="0.25">
      <c r="A30" s="36">
        <v>18</v>
      </c>
      <c r="B30" s="37" t="s">
        <v>1335</v>
      </c>
      <c r="C30" s="37" t="s">
        <v>617</v>
      </c>
      <c r="D30" s="15" t="s">
        <v>620</v>
      </c>
      <c r="E30" s="15">
        <v>10</v>
      </c>
      <c r="F30" s="15" t="s">
        <v>528</v>
      </c>
      <c r="G30" s="15" t="s">
        <v>625</v>
      </c>
      <c r="H30" s="15" t="s">
        <v>624</v>
      </c>
      <c r="I30" s="15" t="s">
        <v>620</v>
      </c>
      <c r="J30" s="38" t="s">
        <v>240</v>
      </c>
    </row>
    <row r="31" spans="1:10" ht="45" x14ac:dyDescent="0.25">
      <c r="A31" s="36">
        <v>19</v>
      </c>
      <c r="B31" s="37" t="s">
        <v>1335</v>
      </c>
      <c r="C31" s="37" t="s">
        <v>660</v>
      </c>
      <c r="D31" s="15" t="s">
        <v>661</v>
      </c>
      <c r="E31" s="15">
        <v>10</v>
      </c>
      <c r="F31" s="15" t="s">
        <v>528</v>
      </c>
      <c r="G31" s="15" t="s">
        <v>664</v>
      </c>
      <c r="H31" s="15" t="s">
        <v>624</v>
      </c>
      <c r="I31" s="15" t="s">
        <v>661</v>
      </c>
      <c r="J31" s="38" t="s">
        <v>240</v>
      </c>
    </row>
    <row r="32" spans="1:10" ht="45" x14ac:dyDescent="0.25">
      <c r="A32" s="36">
        <v>20</v>
      </c>
      <c r="B32" s="37" t="s">
        <v>1335</v>
      </c>
      <c r="C32" s="37" t="s">
        <v>936</v>
      </c>
      <c r="D32" s="15" t="s">
        <v>937</v>
      </c>
      <c r="E32" s="15">
        <v>12</v>
      </c>
      <c r="F32" s="15" t="s">
        <v>528</v>
      </c>
      <c r="G32" s="15" t="s">
        <v>941</v>
      </c>
      <c r="H32" s="15" t="s">
        <v>624</v>
      </c>
      <c r="I32" s="15" t="s">
        <v>937</v>
      </c>
      <c r="J32" s="38" t="s">
        <v>240</v>
      </c>
    </row>
    <row r="33" spans="1:10" ht="45" x14ac:dyDescent="0.25">
      <c r="A33" s="36">
        <v>21</v>
      </c>
      <c r="B33" s="37" t="s">
        <v>1335</v>
      </c>
      <c r="C33" s="37" t="s">
        <v>627</v>
      </c>
      <c r="D33" s="15" t="s">
        <v>628</v>
      </c>
      <c r="E33" s="15">
        <v>12</v>
      </c>
      <c r="F33" s="15" t="s">
        <v>528</v>
      </c>
      <c r="G33" s="15" t="s">
        <v>631</v>
      </c>
      <c r="H33" s="15" t="s">
        <v>624</v>
      </c>
      <c r="I33" s="15" t="s">
        <v>628</v>
      </c>
      <c r="J33" s="38" t="s">
        <v>240</v>
      </c>
    </row>
    <row r="34" spans="1:10" ht="45" x14ac:dyDescent="0.25">
      <c r="A34" s="36">
        <v>22</v>
      </c>
      <c r="B34" s="37" t="s">
        <v>1335</v>
      </c>
      <c r="C34" s="37" t="s">
        <v>632</v>
      </c>
      <c r="D34" s="15" t="s">
        <v>633</v>
      </c>
      <c r="E34" s="15">
        <v>12</v>
      </c>
      <c r="F34" s="15" t="s">
        <v>528</v>
      </c>
      <c r="G34" s="15" t="s">
        <v>631</v>
      </c>
      <c r="H34" s="15" t="s">
        <v>624</v>
      </c>
      <c r="I34" s="15" t="s">
        <v>633</v>
      </c>
      <c r="J34" s="38" t="s">
        <v>240</v>
      </c>
    </row>
    <row r="35" spans="1:10" ht="45" x14ac:dyDescent="0.25">
      <c r="A35" s="36">
        <v>23</v>
      </c>
      <c r="B35" s="37" t="s">
        <v>1335</v>
      </c>
      <c r="C35" s="37" t="s">
        <v>637</v>
      </c>
      <c r="D35" s="15" t="s">
        <v>638</v>
      </c>
      <c r="E35" s="15">
        <v>12</v>
      </c>
      <c r="F35" s="15" t="s">
        <v>528</v>
      </c>
      <c r="G35" s="15" t="s">
        <v>642</v>
      </c>
      <c r="H35" s="15" t="s">
        <v>624</v>
      </c>
      <c r="I35" s="15" t="s">
        <v>638</v>
      </c>
      <c r="J35" s="38" t="s">
        <v>240</v>
      </c>
    </row>
    <row r="36" spans="1:10" ht="45" x14ac:dyDescent="0.25">
      <c r="A36" s="36">
        <v>24</v>
      </c>
      <c r="B36" s="37" t="s">
        <v>1335</v>
      </c>
      <c r="C36" s="37" t="s">
        <v>643</v>
      </c>
      <c r="D36" s="15" t="s">
        <v>644</v>
      </c>
      <c r="E36" s="15">
        <v>12</v>
      </c>
      <c r="F36" s="15" t="s">
        <v>528</v>
      </c>
      <c r="G36" s="15" t="s">
        <v>637</v>
      </c>
      <c r="H36" s="15" t="s">
        <v>624</v>
      </c>
      <c r="I36" s="15" t="s">
        <v>644</v>
      </c>
      <c r="J36" s="38" t="s">
        <v>240</v>
      </c>
    </row>
    <row r="37" spans="1:10" ht="45" x14ac:dyDescent="0.25">
      <c r="A37" s="36">
        <v>25</v>
      </c>
      <c r="B37" s="37" t="s">
        <v>1336</v>
      </c>
      <c r="C37" s="37" t="s">
        <v>942</v>
      </c>
      <c r="D37" s="15" t="s">
        <v>943</v>
      </c>
      <c r="E37" s="15">
        <v>12</v>
      </c>
      <c r="F37" s="15" t="s">
        <v>652</v>
      </c>
      <c r="G37" s="15" t="s">
        <v>946</v>
      </c>
      <c r="H37" s="15" t="s">
        <v>653</v>
      </c>
      <c r="I37" s="15" t="s">
        <v>943</v>
      </c>
      <c r="J37" s="38" t="s">
        <v>240</v>
      </c>
    </row>
    <row r="38" spans="1:10" ht="45" x14ac:dyDescent="0.25">
      <c r="A38" s="36">
        <v>26</v>
      </c>
      <c r="B38" s="37" t="s">
        <v>1336</v>
      </c>
      <c r="C38" s="37" t="s">
        <v>947</v>
      </c>
      <c r="D38" s="15" t="s">
        <v>948</v>
      </c>
      <c r="E38" s="15">
        <v>12</v>
      </c>
      <c r="F38" s="15" t="s">
        <v>652</v>
      </c>
      <c r="G38" s="15" t="s">
        <v>951</v>
      </c>
      <c r="H38" s="15" t="s">
        <v>653</v>
      </c>
      <c r="I38" s="15" t="s">
        <v>948</v>
      </c>
      <c r="J38" s="38" t="s">
        <v>240</v>
      </c>
    </row>
    <row r="39" spans="1:10" ht="45" x14ac:dyDescent="0.25">
      <c r="A39" s="36">
        <v>27</v>
      </c>
      <c r="B39" s="37" t="s">
        <v>1336</v>
      </c>
      <c r="C39" s="37" t="s">
        <v>647</v>
      </c>
      <c r="D39" s="15" t="s">
        <v>649</v>
      </c>
      <c r="E39" s="15">
        <v>12</v>
      </c>
      <c r="F39" s="15" t="s">
        <v>652</v>
      </c>
      <c r="G39" s="15" t="s">
        <v>654</v>
      </c>
      <c r="H39" s="15" t="s">
        <v>653</v>
      </c>
      <c r="I39" s="15" t="s">
        <v>649</v>
      </c>
      <c r="J39" s="38" t="s">
        <v>240</v>
      </c>
    </row>
    <row r="40" spans="1:10" ht="45" x14ac:dyDescent="0.25">
      <c r="A40" s="36">
        <v>28</v>
      </c>
      <c r="B40" s="37" t="s">
        <v>1336</v>
      </c>
      <c r="C40" s="37" t="s">
        <v>655</v>
      </c>
      <c r="D40" s="15" t="s">
        <v>656</v>
      </c>
      <c r="E40" s="15">
        <v>12</v>
      </c>
      <c r="F40" s="15" t="s">
        <v>652</v>
      </c>
      <c r="G40" s="15" t="s">
        <v>659</v>
      </c>
      <c r="H40" s="15" t="s">
        <v>653</v>
      </c>
      <c r="I40" s="15" t="s">
        <v>656</v>
      </c>
      <c r="J40" s="38" t="s">
        <v>240</v>
      </c>
    </row>
    <row r="41" spans="1:10" ht="45" x14ac:dyDescent="0.25">
      <c r="A41" s="36">
        <v>29</v>
      </c>
      <c r="B41" s="37" t="s">
        <v>1336</v>
      </c>
      <c r="C41" s="37" t="s">
        <v>665</v>
      </c>
      <c r="D41" s="15" t="s">
        <v>666</v>
      </c>
      <c r="E41" s="15">
        <v>10</v>
      </c>
      <c r="F41" s="15" t="s">
        <v>652</v>
      </c>
      <c r="G41" s="15" t="s">
        <v>669</v>
      </c>
      <c r="H41" s="15" t="s">
        <v>653</v>
      </c>
      <c r="I41" s="15" t="s">
        <v>666</v>
      </c>
      <c r="J41" s="38" t="s">
        <v>240</v>
      </c>
    </row>
    <row r="42" spans="1:10" ht="45" x14ac:dyDescent="0.25">
      <c r="A42" s="36">
        <v>30</v>
      </c>
      <c r="B42" s="37" t="s">
        <v>1336</v>
      </c>
      <c r="C42" s="37" t="s">
        <v>960</v>
      </c>
      <c r="D42" s="15" t="s">
        <v>961</v>
      </c>
      <c r="E42" s="15">
        <v>10</v>
      </c>
      <c r="F42" s="15" t="s">
        <v>652</v>
      </c>
      <c r="G42" s="15" t="s">
        <v>965</v>
      </c>
      <c r="H42" s="15" t="s">
        <v>653</v>
      </c>
      <c r="I42" s="15" t="s">
        <v>961</v>
      </c>
      <c r="J42" s="38" t="s">
        <v>240</v>
      </c>
    </row>
    <row r="43" spans="1:10" ht="45" x14ac:dyDescent="0.25">
      <c r="A43" s="36">
        <v>31</v>
      </c>
      <c r="B43" s="37" t="s">
        <v>1336</v>
      </c>
      <c r="C43" s="37" t="s">
        <v>952</v>
      </c>
      <c r="D43" s="15" t="s">
        <v>953</v>
      </c>
      <c r="E43" s="15">
        <v>12</v>
      </c>
      <c r="F43" s="15" t="s">
        <v>957</v>
      </c>
      <c r="G43" s="15" t="s">
        <v>959</v>
      </c>
      <c r="H43" s="15" t="s">
        <v>958</v>
      </c>
      <c r="I43" s="15" t="s">
        <v>953</v>
      </c>
      <c r="J43" s="38" t="s">
        <v>240</v>
      </c>
    </row>
    <row r="44" spans="1:10" ht="30" x14ac:dyDescent="0.25">
      <c r="A44" s="36">
        <v>32</v>
      </c>
      <c r="B44" s="37" t="s">
        <v>1337</v>
      </c>
      <c r="C44" s="37" t="s">
        <v>687</v>
      </c>
      <c r="D44" s="15" t="s">
        <v>689</v>
      </c>
      <c r="E44" s="15">
        <v>12</v>
      </c>
      <c r="F44" s="15" t="s">
        <v>684</v>
      </c>
      <c r="G44" s="15" t="s">
        <v>694</v>
      </c>
      <c r="H44" s="15" t="s">
        <v>693</v>
      </c>
      <c r="I44" s="15" t="s">
        <v>689</v>
      </c>
      <c r="J44" s="38" t="s">
        <v>240</v>
      </c>
    </row>
    <row r="45" spans="1:10" ht="30" x14ac:dyDescent="0.25">
      <c r="A45" s="36">
        <v>33</v>
      </c>
      <c r="B45" s="37" t="s">
        <v>1337</v>
      </c>
      <c r="C45" s="37" t="s">
        <v>695</v>
      </c>
      <c r="D45" s="15" t="s">
        <v>696</v>
      </c>
      <c r="E45" s="15">
        <v>12</v>
      </c>
      <c r="F45" s="15" t="s">
        <v>684</v>
      </c>
      <c r="G45" s="15" t="s">
        <v>699</v>
      </c>
      <c r="H45" s="15" t="s">
        <v>693</v>
      </c>
      <c r="I45" s="15" t="s">
        <v>696</v>
      </c>
      <c r="J45" s="38" t="s">
        <v>240</v>
      </c>
    </row>
    <row r="46" spans="1:10" ht="45" x14ac:dyDescent="0.25">
      <c r="A46" s="36">
        <v>34</v>
      </c>
      <c r="B46" s="37" t="s">
        <v>1337</v>
      </c>
      <c r="C46" s="37" t="s">
        <v>700</v>
      </c>
      <c r="D46" s="15" t="s">
        <v>701</v>
      </c>
      <c r="E46" s="15">
        <v>12</v>
      </c>
      <c r="F46" s="15" t="s">
        <v>704</v>
      </c>
      <c r="G46" s="15" t="s">
        <v>706</v>
      </c>
      <c r="H46" s="15" t="s">
        <v>705</v>
      </c>
      <c r="I46" s="15" t="s">
        <v>701</v>
      </c>
      <c r="J46" s="38" t="s">
        <v>240</v>
      </c>
    </row>
    <row r="47" spans="1:10" ht="30" x14ac:dyDescent="0.25">
      <c r="A47" s="36">
        <v>35</v>
      </c>
      <c r="B47" s="37" t="s">
        <v>1337</v>
      </c>
      <c r="C47" s="37" t="s">
        <v>707</v>
      </c>
      <c r="D47" s="15" t="s">
        <v>708</v>
      </c>
      <c r="E47" s="15">
        <v>8</v>
      </c>
      <c r="F47" s="15" t="s">
        <v>684</v>
      </c>
      <c r="G47" s="15" t="s">
        <v>712</v>
      </c>
      <c r="H47" s="15" t="s">
        <v>693</v>
      </c>
      <c r="I47" s="15" t="s">
        <v>708</v>
      </c>
      <c r="J47" s="38" t="s">
        <v>240</v>
      </c>
    </row>
    <row r="48" spans="1:10" ht="30" x14ac:dyDescent="0.25">
      <c r="A48" s="36">
        <v>36</v>
      </c>
      <c r="B48" s="37" t="s">
        <v>1337</v>
      </c>
      <c r="C48" s="37" t="s">
        <v>713</v>
      </c>
      <c r="D48" s="15" t="s">
        <v>714</v>
      </c>
      <c r="E48" s="15">
        <v>8</v>
      </c>
      <c r="F48" s="15" t="s">
        <v>684</v>
      </c>
      <c r="G48" s="15" t="s">
        <v>717</v>
      </c>
      <c r="H48" s="15" t="s">
        <v>693</v>
      </c>
      <c r="I48" s="15" t="s">
        <v>714</v>
      </c>
      <c r="J48" s="38" t="s">
        <v>240</v>
      </c>
    </row>
    <row r="49" spans="1:10" ht="30" x14ac:dyDescent="0.25">
      <c r="A49" s="36">
        <v>37</v>
      </c>
      <c r="B49" s="37" t="s">
        <v>1337</v>
      </c>
      <c r="C49" s="37" t="s">
        <v>718</v>
      </c>
      <c r="D49" s="15" t="s">
        <v>719</v>
      </c>
      <c r="E49" s="15">
        <v>8</v>
      </c>
      <c r="F49" s="15" t="s">
        <v>684</v>
      </c>
      <c r="G49" s="15" t="s">
        <v>713</v>
      </c>
      <c r="H49" s="15" t="s">
        <v>693</v>
      </c>
      <c r="I49" s="15" t="s">
        <v>719</v>
      </c>
      <c r="J49" s="38" t="s">
        <v>240</v>
      </c>
    </row>
    <row r="50" spans="1:10" ht="30" x14ac:dyDescent="0.25">
      <c r="A50" s="36">
        <v>38</v>
      </c>
      <c r="B50" s="37" t="s">
        <v>1337</v>
      </c>
      <c r="C50" s="37" t="s">
        <v>723</v>
      </c>
      <c r="D50" s="15" t="s">
        <v>724</v>
      </c>
      <c r="E50" s="15">
        <v>8</v>
      </c>
      <c r="F50" s="15" t="s">
        <v>684</v>
      </c>
      <c r="G50" s="15" t="s">
        <v>718</v>
      </c>
      <c r="H50" s="15" t="s">
        <v>693</v>
      </c>
      <c r="I50" s="15" t="s">
        <v>724</v>
      </c>
      <c r="J50" s="38" t="s">
        <v>240</v>
      </c>
    </row>
    <row r="51" spans="1:10" ht="30" x14ac:dyDescent="0.25">
      <c r="A51" s="36">
        <v>39</v>
      </c>
      <c r="B51" s="37" t="s">
        <v>1337</v>
      </c>
      <c r="C51" s="37" t="s">
        <v>966</v>
      </c>
      <c r="D51" s="15" t="s">
        <v>967</v>
      </c>
      <c r="E51" s="15">
        <v>12</v>
      </c>
      <c r="F51" s="15" t="s">
        <v>684</v>
      </c>
      <c r="G51" s="15" t="s">
        <v>971</v>
      </c>
      <c r="H51" s="15" t="s">
        <v>693</v>
      </c>
      <c r="I51" s="15" t="s">
        <v>967</v>
      </c>
      <c r="J51" s="38" t="s">
        <v>240</v>
      </c>
    </row>
    <row r="52" spans="1:10" ht="30" x14ac:dyDescent="0.25">
      <c r="A52" s="36">
        <v>40</v>
      </c>
      <c r="B52" s="37" t="s">
        <v>1337</v>
      </c>
      <c r="C52" s="37" t="s">
        <v>972</v>
      </c>
      <c r="D52" s="15" t="s">
        <v>973</v>
      </c>
      <c r="E52" s="15">
        <v>12</v>
      </c>
      <c r="F52" s="15" t="s">
        <v>684</v>
      </c>
      <c r="G52" s="15" t="s">
        <v>977</v>
      </c>
      <c r="H52" s="15" t="s">
        <v>693</v>
      </c>
      <c r="I52" s="15" t="s">
        <v>973</v>
      </c>
      <c r="J52" s="38" t="s">
        <v>240</v>
      </c>
    </row>
    <row r="53" spans="1:10" ht="30" x14ac:dyDescent="0.25">
      <c r="A53" s="36">
        <v>41</v>
      </c>
      <c r="B53" s="37" t="s">
        <v>1337</v>
      </c>
      <c r="C53" s="37" t="s">
        <v>978</v>
      </c>
      <c r="D53" s="15" t="s">
        <v>979</v>
      </c>
      <c r="E53" s="15">
        <v>12</v>
      </c>
      <c r="F53" s="15" t="s">
        <v>684</v>
      </c>
      <c r="G53" s="15" t="s">
        <v>983</v>
      </c>
      <c r="H53" s="15" t="s">
        <v>693</v>
      </c>
      <c r="I53" s="15" t="s">
        <v>979</v>
      </c>
      <c r="J53" s="38" t="s">
        <v>240</v>
      </c>
    </row>
    <row r="54" spans="1:10" ht="45" x14ac:dyDescent="0.25">
      <c r="A54" s="36">
        <v>42</v>
      </c>
      <c r="B54" s="37" t="s">
        <v>1338</v>
      </c>
      <c r="C54" s="37" t="s">
        <v>735</v>
      </c>
      <c r="D54" s="15" t="s">
        <v>736</v>
      </c>
      <c r="E54" s="15">
        <v>12</v>
      </c>
      <c r="F54" s="15" t="s">
        <v>732</v>
      </c>
      <c r="G54" s="15" t="s">
        <v>734</v>
      </c>
      <c r="H54" s="15" t="s">
        <v>733</v>
      </c>
      <c r="I54" s="15" t="s">
        <v>736</v>
      </c>
      <c r="J54" s="38" t="s">
        <v>240</v>
      </c>
    </row>
    <row r="55" spans="1:10" ht="45" x14ac:dyDescent="0.25">
      <c r="A55" s="36">
        <v>43</v>
      </c>
      <c r="B55" s="37" t="s">
        <v>1338</v>
      </c>
      <c r="C55" s="37" t="s">
        <v>727</v>
      </c>
      <c r="D55" s="15" t="s">
        <v>728</v>
      </c>
      <c r="E55" s="15">
        <v>10</v>
      </c>
      <c r="F55" s="15" t="s">
        <v>732</v>
      </c>
      <c r="G55" s="15" t="s">
        <v>734</v>
      </c>
      <c r="H55" s="15" t="s">
        <v>733</v>
      </c>
      <c r="I55" s="15" t="s">
        <v>728</v>
      </c>
      <c r="J55" s="38" t="s">
        <v>240</v>
      </c>
    </row>
    <row r="56" spans="1:10" ht="45" x14ac:dyDescent="0.25">
      <c r="A56" s="36">
        <v>44</v>
      </c>
      <c r="B56" s="37" t="s">
        <v>1338</v>
      </c>
      <c r="C56" s="37" t="s">
        <v>679</v>
      </c>
      <c r="D56" s="15" t="s">
        <v>681</v>
      </c>
      <c r="E56" s="15">
        <v>12</v>
      </c>
      <c r="F56" s="15" t="s">
        <v>684</v>
      </c>
      <c r="G56" s="15" t="s">
        <v>686</v>
      </c>
      <c r="H56" s="15" t="s">
        <v>685</v>
      </c>
      <c r="I56" s="15" t="s">
        <v>681</v>
      </c>
      <c r="J56" s="38" t="s">
        <v>240</v>
      </c>
    </row>
    <row r="57" spans="1:10" ht="45" x14ac:dyDescent="0.25">
      <c r="A57" s="36">
        <v>45</v>
      </c>
      <c r="B57" s="37" t="s">
        <v>1338</v>
      </c>
      <c r="C57" s="37" t="s">
        <v>992</v>
      </c>
      <c r="D57" s="15" t="s">
        <v>993</v>
      </c>
      <c r="E57" s="15">
        <v>10</v>
      </c>
      <c r="F57" s="15" t="s">
        <v>996</v>
      </c>
      <c r="G57" s="15" t="s">
        <v>998</v>
      </c>
      <c r="H57" s="15" t="s">
        <v>997</v>
      </c>
      <c r="I57" s="15" t="s">
        <v>993</v>
      </c>
      <c r="J57" s="38" t="s">
        <v>240</v>
      </c>
    </row>
    <row r="58" spans="1:10" ht="30" x14ac:dyDescent="0.25">
      <c r="A58" s="36">
        <v>46</v>
      </c>
      <c r="B58" s="37" t="s">
        <v>1338</v>
      </c>
      <c r="C58" s="37" t="s">
        <v>984</v>
      </c>
      <c r="D58" s="15" t="s">
        <v>985</v>
      </c>
      <c r="E58" s="15">
        <v>10</v>
      </c>
      <c r="F58" s="15" t="s">
        <v>989</v>
      </c>
      <c r="G58" s="15" t="s">
        <v>991</v>
      </c>
      <c r="H58" s="15" t="s">
        <v>990</v>
      </c>
      <c r="I58" s="15" t="s">
        <v>985</v>
      </c>
      <c r="J58" s="38" t="s">
        <v>240</v>
      </c>
    </row>
    <row r="59" spans="1:10" ht="30" x14ac:dyDescent="0.25">
      <c r="A59" s="36">
        <v>47</v>
      </c>
      <c r="B59" s="37" t="s">
        <v>1339</v>
      </c>
      <c r="C59" s="37" t="s">
        <v>796</v>
      </c>
      <c r="D59" s="15" t="s">
        <v>797</v>
      </c>
      <c r="E59" s="15">
        <v>12</v>
      </c>
      <c r="F59" s="15" t="s">
        <v>801</v>
      </c>
      <c r="G59" s="15" t="s">
        <v>803</v>
      </c>
      <c r="H59" s="15" t="s">
        <v>802</v>
      </c>
      <c r="I59" s="15" t="s">
        <v>797</v>
      </c>
      <c r="J59" s="38" t="s">
        <v>240</v>
      </c>
    </row>
    <row r="60" spans="1:10" ht="30" x14ac:dyDescent="0.25">
      <c r="A60" s="36">
        <v>48</v>
      </c>
      <c r="B60" s="37" t="s">
        <v>1339</v>
      </c>
      <c r="C60" s="37" t="s">
        <v>804</v>
      </c>
      <c r="D60" s="15" t="s">
        <v>805</v>
      </c>
      <c r="E60" s="15">
        <v>12</v>
      </c>
      <c r="F60" s="15" t="s">
        <v>801</v>
      </c>
      <c r="G60" s="15" t="s">
        <v>803</v>
      </c>
      <c r="H60" s="15" t="s">
        <v>802</v>
      </c>
      <c r="I60" s="15" t="s">
        <v>805</v>
      </c>
      <c r="J60" s="38" t="s">
        <v>240</v>
      </c>
    </row>
    <row r="61" spans="1:10" ht="45" x14ac:dyDescent="0.25">
      <c r="A61" s="36">
        <v>49</v>
      </c>
      <c r="B61" s="37" t="s">
        <v>1339</v>
      </c>
      <c r="C61" s="37" t="s">
        <v>784</v>
      </c>
      <c r="D61" s="15" t="s">
        <v>785</v>
      </c>
      <c r="E61" s="15">
        <v>12</v>
      </c>
      <c r="F61" s="15" t="s">
        <v>788</v>
      </c>
      <c r="G61" s="15" t="s">
        <v>790</v>
      </c>
      <c r="H61" s="15" t="s">
        <v>789</v>
      </c>
      <c r="I61" s="15" t="s">
        <v>785</v>
      </c>
      <c r="J61" s="38" t="s">
        <v>240</v>
      </c>
    </row>
    <row r="62" spans="1:10" ht="30" x14ac:dyDescent="0.25">
      <c r="A62" s="39">
        <v>50</v>
      </c>
      <c r="B62" s="40" t="s">
        <v>1339</v>
      </c>
      <c r="C62" s="40" t="s">
        <v>808</v>
      </c>
      <c r="D62" s="23" t="s">
        <v>810</v>
      </c>
      <c r="E62" s="23">
        <v>12</v>
      </c>
      <c r="F62" s="23" t="s">
        <v>788</v>
      </c>
      <c r="G62" s="23" t="s">
        <v>790</v>
      </c>
      <c r="H62" s="23" t="s">
        <v>789</v>
      </c>
      <c r="I62" s="23" t="s">
        <v>810</v>
      </c>
      <c r="J62" s="41" t="s">
        <v>240</v>
      </c>
    </row>
  </sheetData>
  <mergeCells count="8">
    <mergeCell ref="D7:J7"/>
    <mergeCell ref="D8:J8"/>
    <mergeCell ref="D9:J9"/>
    <mergeCell ref="A1:J1"/>
    <mergeCell ref="A2:J2"/>
    <mergeCell ref="D4:J4"/>
    <mergeCell ref="D5:J5"/>
    <mergeCell ref="D6:J6"/>
  </mergeCells>
  <conditionalFormatting sqref="F13:F62">
    <cfRule type="expression" dxfId="1" priority="1">
      <formula>F13="W3 SAFE NOW"</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7"/>
  <sheetViews>
    <sheetView workbookViewId="0"/>
  </sheetViews>
  <sheetFormatPr defaultRowHeight="15" x14ac:dyDescent="0.25"/>
  <cols>
    <col min="1" max="1" width="34" customWidth="1"/>
    <col min="2" max="2" width="28" customWidth="1"/>
    <col min="3" max="3" width="24" customWidth="1"/>
    <col min="4" max="4" width="26" customWidth="1"/>
    <col min="5" max="5" width="28" customWidth="1"/>
    <col min="6" max="6" width="26" customWidth="1"/>
    <col min="7" max="7" width="14" customWidth="1"/>
    <col min="8" max="8" width="52" customWidth="1"/>
  </cols>
  <sheetData>
    <row r="1" spans="1:8" ht="18.75" x14ac:dyDescent="0.3">
      <c r="A1" s="102" t="s">
        <v>1340</v>
      </c>
      <c r="B1" s="102"/>
      <c r="C1" s="102"/>
      <c r="D1" s="102"/>
      <c r="E1" s="102"/>
      <c r="F1" s="102"/>
      <c r="G1" s="102"/>
      <c r="H1" s="102"/>
    </row>
    <row r="3" spans="1:8" x14ac:dyDescent="0.25">
      <c r="A3" s="66" t="s">
        <v>1341</v>
      </c>
      <c r="B3" s="67" t="s">
        <v>1342</v>
      </c>
      <c r="C3" s="67" t="s">
        <v>1343</v>
      </c>
      <c r="D3" s="67" t="s">
        <v>1344</v>
      </c>
      <c r="E3" s="67" t="s">
        <v>1345</v>
      </c>
      <c r="F3" s="67" t="s">
        <v>1346</v>
      </c>
      <c r="G3" s="67" t="s">
        <v>1347</v>
      </c>
      <c r="H3" s="68" t="s">
        <v>1348</v>
      </c>
    </row>
    <row r="4" spans="1:8" ht="30" x14ac:dyDescent="0.25">
      <c r="A4" s="20" t="s">
        <v>1349</v>
      </c>
      <c r="B4" s="15" t="s">
        <v>930</v>
      </c>
      <c r="C4" s="15" t="s">
        <v>1350</v>
      </c>
      <c r="D4" s="15" t="s">
        <v>1351</v>
      </c>
      <c r="E4" s="15" t="s">
        <v>1352</v>
      </c>
      <c r="F4" s="15" t="s">
        <v>1353</v>
      </c>
      <c r="G4" s="15" t="s">
        <v>1354</v>
      </c>
      <c r="H4" s="21" t="s">
        <v>1355</v>
      </c>
    </row>
    <row r="5" spans="1:8" ht="30" x14ac:dyDescent="0.25">
      <c r="A5" s="20" t="s">
        <v>1356</v>
      </c>
      <c r="B5" s="15" t="s">
        <v>1357</v>
      </c>
      <c r="C5" s="15" t="s">
        <v>1358</v>
      </c>
      <c r="D5" s="15" t="s">
        <v>1359</v>
      </c>
      <c r="E5" s="15" t="s">
        <v>1360</v>
      </c>
      <c r="F5" s="15" t="s">
        <v>1361</v>
      </c>
      <c r="G5" s="15" t="s">
        <v>1354</v>
      </c>
      <c r="H5" s="21" t="s">
        <v>1362</v>
      </c>
    </row>
    <row r="6" spans="1:8" ht="30" x14ac:dyDescent="0.25">
      <c r="A6" s="20" t="s">
        <v>1363</v>
      </c>
      <c r="B6" s="15" t="s">
        <v>1364</v>
      </c>
      <c r="C6" s="15" t="s">
        <v>1358</v>
      </c>
      <c r="D6" s="15" t="s">
        <v>1365</v>
      </c>
      <c r="E6" s="15" t="s">
        <v>1360</v>
      </c>
      <c r="F6" s="15" t="s">
        <v>1366</v>
      </c>
      <c r="G6" s="15" t="s">
        <v>1354</v>
      </c>
      <c r="H6" s="21" t="s">
        <v>1367</v>
      </c>
    </row>
    <row r="7" spans="1:8" ht="30" x14ac:dyDescent="0.25">
      <c r="A7" s="20" t="s">
        <v>1368</v>
      </c>
      <c r="B7" s="15" t="s">
        <v>1369</v>
      </c>
      <c r="C7" s="15" t="s">
        <v>1370</v>
      </c>
      <c r="D7" s="15" t="s">
        <v>1371</v>
      </c>
      <c r="E7" s="15" t="s">
        <v>1372</v>
      </c>
      <c r="F7" s="15" t="s">
        <v>1373</v>
      </c>
      <c r="G7" s="15" t="s">
        <v>1354</v>
      </c>
      <c r="H7" s="21" t="s">
        <v>1374</v>
      </c>
    </row>
    <row r="8" spans="1:8" ht="30" x14ac:dyDescent="0.25">
      <c r="A8" s="20" t="s">
        <v>1375</v>
      </c>
      <c r="B8" s="15" t="s">
        <v>1376</v>
      </c>
      <c r="C8" s="15" t="s">
        <v>1377</v>
      </c>
      <c r="D8" s="15" t="s">
        <v>1378</v>
      </c>
      <c r="E8" s="15" t="s">
        <v>1379</v>
      </c>
      <c r="F8" s="15" t="s">
        <v>1380</v>
      </c>
      <c r="G8" s="15" t="s">
        <v>1354</v>
      </c>
      <c r="H8" s="21" t="s">
        <v>1381</v>
      </c>
    </row>
    <row r="9" spans="1:8" x14ac:dyDescent="0.25">
      <c r="A9" s="20" t="s">
        <v>1382</v>
      </c>
      <c r="B9" s="15" t="s">
        <v>1383</v>
      </c>
      <c r="C9" s="15" t="s">
        <v>1384</v>
      </c>
      <c r="D9" s="15" t="s">
        <v>1385</v>
      </c>
      <c r="E9" s="15" t="s">
        <v>1379</v>
      </c>
      <c r="F9" s="15" t="s">
        <v>1386</v>
      </c>
      <c r="G9" s="15" t="s">
        <v>1354</v>
      </c>
      <c r="H9" s="21" t="s">
        <v>1387</v>
      </c>
    </row>
    <row r="10" spans="1:8" x14ac:dyDescent="0.25">
      <c r="A10" s="20" t="s">
        <v>1388</v>
      </c>
      <c r="B10" s="15" t="s">
        <v>1389</v>
      </c>
      <c r="C10" s="15" t="s">
        <v>1384</v>
      </c>
      <c r="D10" s="15" t="s">
        <v>1385</v>
      </c>
      <c r="E10" s="15" t="s">
        <v>1379</v>
      </c>
      <c r="F10" s="15" t="s">
        <v>1390</v>
      </c>
      <c r="G10" s="15" t="s">
        <v>1354</v>
      </c>
      <c r="H10" s="21" t="s">
        <v>1391</v>
      </c>
    </row>
    <row r="11" spans="1:8" x14ac:dyDescent="0.25">
      <c r="A11" s="20" t="s">
        <v>882</v>
      </c>
      <c r="B11" s="15" t="s">
        <v>1392</v>
      </c>
      <c r="C11" s="15" t="s">
        <v>1384</v>
      </c>
      <c r="D11" s="15" t="s">
        <v>1385</v>
      </c>
      <c r="E11" s="15" t="s">
        <v>1379</v>
      </c>
      <c r="F11" s="15" t="s">
        <v>1393</v>
      </c>
      <c r="G11" s="15" t="s">
        <v>1354</v>
      </c>
      <c r="H11" s="21" t="s">
        <v>1394</v>
      </c>
    </row>
    <row r="12" spans="1:8" x14ac:dyDescent="0.25">
      <c r="A12" s="20" t="s">
        <v>1395</v>
      </c>
      <c r="B12" s="15" t="s">
        <v>1396</v>
      </c>
      <c r="C12" s="15" t="s">
        <v>1384</v>
      </c>
      <c r="D12" s="15" t="s">
        <v>1385</v>
      </c>
      <c r="E12" s="15" t="s">
        <v>1379</v>
      </c>
      <c r="F12" s="15" t="s">
        <v>1397</v>
      </c>
      <c r="G12" s="15" t="s">
        <v>1354</v>
      </c>
      <c r="H12" s="21" t="s">
        <v>1398</v>
      </c>
    </row>
    <row r="13" spans="1:8" ht="30" x14ac:dyDescent="0.25">
      <c r="A13" s="20" t="s">
        <v>1399</v>
      </c>
      <c r="B13" s="15" t="s">
        <v>1400</v>
      </c>
      <c r="C13" s="15" t="s">
        <v>1401</v>
      </c>
      <c r="D13" s="15" t="s">
        <v>1402</v>
      </c>
      <c r="E13" s="15" t="s">
        <v>1403</v>
      </c>
      <c r="F13" s="15" t="s">
        <v>1404</v>
      </c>
      <c r="G13" s="15" t="s">
        <v>1354</v>
      </c>
      <c r="H13" s="21" t="s">
        <v>1405</v>
      </c>
    </row>
    <row r="14" spans="1:8" x14ac:dyDescent="0.25">
      <c r="A14" s="20" t="s">
        <v>1406</v>
      </c>
      <c r="B14" s="15" t="s">
        <v>1407</v>
      </c>
      <c r="C14" s="15" t="s">
        <v>1401</v>
      </c>
      <c r="D14" s="15" t="s">
        <v>1351</v>
      </c>
      <c r="E14" s="15" t="s">
        <v>1408</v>
      </c>
      <c r="F14" s="15" t="s">
        <v>1409</v>
      </c>
      <c r="G14" s="15" t="s">
        <v>1354</v>
      </c>
      <c r="H14" s="21" t="s">
        <v>1410</v>
      </c>
    </row>
    <row r="15" spans="1:8" x14ac:dyDescent="0.25">
      <c r="A15" s="20" t="s">
        <v>1411</v>
      </c>
      <c r="B15" s="15" t="s">
        <v>983</v>
      </c>
      <c r="C15" s="15" t="s">
        <v>1401</v>
      </c>
      <c r="D15" s="15" t="s">
        <v>1351</v>
      </c>
      <c r="E15" s="15" t="s">
        <v>1412</v>
      </c>
      <c r="F15" s="15" t="s">
        <v>1413</v>
      </c>
      <c r="G15" s="15" t="s">
        <v>1354</v>
      </c>
      <c r="H15" s="21" t="s">
        <v>1414</v>
      </c>
    </row>
    <row r="16" spans="1:8" x14ac:dyDescent="0.25">
      <c r="A16" s="20" t="s">
        <v>1415</v>
      </c>
      <c r="B16" s="15" t="s">
        <v>1416</v>
      </c>
      <c r="C16" s="15" t="s">
        <v>1417</v>
      </c>
      <c r="D16" s="15" t="s">
        <v>1418</v>
      </c>
      <c r="E16" s="15" t="s">
        <v>1419</v>
      </c>
      <c r="F16" s="15" t="s">
        <v>1420</v>
      </c>
      <c r="G16" s="15" t="s">
        <v>1354</v>
      </c>
      <c r="H16" s="21" t="s">
        <v>1421</v>
      </c>
    </row>
    <row r="17" spans="1:8" ht="30" x14ac:dyDescent="0.25">
      <c r="A17" s="20" t="s">
        <v>1422</v>
      </c>
      <c r="B17" s="15" t="s">
        <v>1423</v>
      </c>
      <c r="C17" s="15" t="s">
        <v>1424</v>
      </c>
      <c r="D17" s="15" t="s">
        <v>1425</v>
      </c>
      <c r="E17" s="15" t="s">
        <v>1426</v>
      </c>
      <c r="F17" s="15" t="s">
        <v>1427</v>
      </c>
      <c r="G17" s="15" t="s">
        <v>1354</v>
      </c>
      <c r="H17" s="21" t="s">
        <v>1428</v>
      </c>
    </row>
    <row r="18" spans="1:8" x14ac:dyDescent="0.25">
      <c r="A18" s="20" t="s">
        <v>1429</v>
      </c>
      <c r="B18" s="15" t="s">
        <v>1430</v>
      </c>
      <c r="C18" s="15" t="s">
        <v>1431</v>
      </c>
      <c r="D18" s="15" t="s">
        <v>1432</v>
      </c>
      <c r="E18" s="15" t="s">
        <v>1433</v>
      </c>
      <c r="F18" s="15" t="s">
        <v>1434</v>
      </c>
      <c r="G18" s="15" t="s">
        <v>1354</v>
      </c>
      <c r="H18" s="21" t="s">
        <v>1435</v>
      </c>
    </row>
    <row r="19" spans="1:8" ht="30" x14ac:dyDescent="0.25">
      <c r="A19" s="20" t="s">
        <v>1436</v>
      </c>
      <c r="B19" s="15" t="s">
        <v>978</v>
      </c>
      <c r="C19" s="15" t="s">
        <v>1384</v>
      </c>
      <c r="D19" s="15" t="s">
        <v>1425</v>
      </c>
      <c r="E19" s="15" t="s">
        <v>1437</v>
      </c>
      <c r="F19" s="15" t="s">
        <v>1438</v>
      </c>
      <c r="G19" s="15" t="s">
        <v>1354</v>
      </c>
      <c r="H19" s="21" t="s">
        <v>1439</v>
      </c>
    </row>
    <row r="20" spans="1:8" x14ac:dyDescent="0.25">
      <c r="A20" s="20" t="s">
        <v>1440</v>
      </c>
      <c r="B20" s="15" t="s">
        <v>1441</v>
      </c>
      <c r="C20" s="15" t="s">
        <v>1442</v>
      </c>
      <c r="D20" s="15" t="s">
        <v>1443</v>
      </c>
      <c r="E20" s="15" t="s">
        <v>1444</v>
      </c>
      <c r="F20" s="15" t="s">
        <v>1445</v>
      </c>
      <c r="G20" s="15" t="s">
        <v>1354</v>
      </c>
      <c r="H20" s="21" t="s">
        <v>1446</v>
      </c>
    </row>
    <row r="21" spans="1:8" x14ac:dyDescent="0.25">
      <c r="A21" s="20" t="s">
        <v>1447</v>
      </c>
      <c r="B21" s="15" t="s">
        <v>1448</v>
      </c>
      <c r="C21" s="15" t="s">
        <v>1442</v>
      </c>
      <c r="D21" s="15" t="s">
        <v>1385</v>
      </c>
      <c r="E21" s="15" t="s">
        <v>1449</v>
      </c>
      <c r="F21" s="15" t="s">
        <v>1450</v>
      </c>
      <c r="G21" s="15" t="s">
        <v>1354</v>
      </c>
      <c r="H21" s="21" t="s">
        <v>1451</v>
      </c>
    </row>
    <row r="22" spans="1:8" x14ac:dyDescent="0.25">
      <c r="A22" s="20" t="s">
        <v>1452</v>
      </c>
      <c r="B22" s="15" t="s">
        <v>1453</v>
      </c>
      <c r="C22" s="15" t="s">
        <v>1454</v>
      </c>
      <c r="D22" s="15" t="s">
        <v>1385</v>
      </c>
      <c r="E22" s="15" t="s">
        <v>1455</v>
      </c>
      <c r="F22" s="15" t="s">
        <v>1456</v>
      </c>
      <c r="G22" s="15" t="s">
        <v>1354</v>
      </c>
      <c r="H22" s="21" t="s">
        <v>1457</v>
      </c>
    </row>
    <row r="23" spans="1:8" x14ac:dyDescent="0.25">
      <c r="A23" s="20" t="s">
        <v>1458</v>
      </c>
      <c r="B23" s="15" t="s">
        <v>1459</v>
      </c>
      <c r="C23" s="15" t="s">
        <v>1384</v>
      </c>
      <c r="D23" s="15" t="s">
        <v>1385</v>
      </c>
      <c r="E23" s="15" t="s">
        <v>1444</v>
      </c>
      <c r="F23" s="15" t="s">
        <v>1460</v>
      </c>
      <c r="G23" s="15" t="s">
        <v>1354</v>
      </c>
      <c r="H23" s="21" t="s">
        <v>1461</v>
      </c>
    </row>
    <row r="24" spans="1:8" x14ac:dyDescent="0.25">
      <c r="A24" s="20" t="s">
        <v>1462</v>
      </c>
      <c r="B24" s="15" t="s">
        <v>1463</v>
      </c>
      <c r="C24" s="15" t="s">
        <v>1464</v>
      </c>
      <c r="D24" s="15" t="s">
        <v>1465</v>
      </c>
      <c r="E24" s="15" t="s">
        <v>1412</v>
      </c>
      <c r="F24" s="15" t="s">
        <v>1466</v>
      </c>
      <c r="G24" s="15" t="s">
        <v>1354</v>
      </c>
      <c r="H24" s="21" t="s">
        <v>1467</v>
      </c>
    </row>
    <row r="25" spans="1:8" ht="30" x14ac:dyDescent="0.25">
      <c r="A25" s="20" t="s">
        <v>1468</v>
      </c>
      <c r="B25" s="15" t="s">
        <v>1469</v>
      </c>
      <c r="C25" s="15" t="s">
        <v>1470</v>
      </c>
      <c r="D25" s="15" t="s">
        <v>1471</v>
      </c>
      <c r="E25" s="15" t="s">
        <v>1412</v>
      </c>
      <c r="F25" s="15" t="s">
        <v>1472</v>
      </c>
      <c r="G25" s="15" t="s">
        <v>1354</v>
      </c>
      <c r="H25" s="21" t="s">
        <v>1473</v>
      </c>
    </row>
    <row r="26" spans="1:8" ht="30" x14ac:dyDescent="0.25">
      <c r="A26" s="22" t="s">
        <v>1474</v>
      </c>
      <c r="B26" s="23" t="s">
        <v>992</v>
      </c>
      <c r="C26" s="23" t="s">
        <v>1384</v>
      </c>
      <c r="D26" s="23" t="s">
        <v>1425</v>
      </c>
      <c r="E26" s="23" t="s">
        <v>1412</v>
      </c>
      <c r="F26" s="23" t="s">
        <v>1475</v>
      </c>
      <c r="G26" s="23" t="s">
        <v>1354</v>
      </c>
      <c r="H26" s="24" t="s">
        <v>1476</v>
      </c>
    </row>
    <row r="27" spans="1:8" x14ac:dyDescent="0.25">
      <c r="A27" t="s">
        <v>1477</v>
      </c>
      <c r="B27" t="s">
        <v>1478</v>
      </c>
      <c r="C27" t="s">
        <v>1479</v>
      </c>
      <c r="D27" t="s">
        <v>1480</v>
      </c>
      <c r="E27" t="s">
        <v>1481</v>
      </c>
      <c r="F27" t="s">
        <v>1482</v>
      </c>
      <c r="G27" t="s">
        <v>1354</v>
      </c>
      <c r="H27" t="s">
        <v>1483</v>
      </c>
    </row>
  </sheetData>
  <mergeCells count="1">
    <mergeCell ref="A1:H1"/>
  </mergeCells>
  <conditionalFormatting sqref="G4:G26">
    <cfRule type="expression" dxfId="0" priority="1">
      <formula>G4="COVERED"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workbookViewId="0"/>
  </sheetViews>
  <sheetFormatPr defaultRowHeight="15" x14ac:dyDescent="0.25"/>
  <cols>
    <col min="1" max="2" width="24" customWidth="1"/>
    <col min="3" max="4" width="48" customWidth="1"/>
    <col min="5" max="5" width="30" customWidth="1"/>
    <col min="6" max="6" width="42" customWidth="1"/>
  </cols>
  <sheetData>
    <row r="1" spans="1:6" ht="18.75" x14ac:dyDescent="0.3">
      <c r="A1" s="102" t="s">
        <v>1484</v>
      </c>
      <c r="B1" s="102"/>
      <c r="C1" s="102"/>
      <c r="D1" s="102"/>
      <c r="E1" s="102"/>
      <c r="F1" s="102"/>
    </row>
    <row r="3" spans="1:6" x14ac:dyDescent="0.25">
      <c r="A3" s="62" t="s">
        <v>1485</v>
      </c>
      <c r="B3" s="63" t="s">
        <v>1486</v>
      </c>
      <c r="D3" s="103" t="s">
        <v>1487</v>
      </c>
      <c r="E3" s="103"/>
      <c r="F3" s="103"/>
    </row>
    <row r="4" spans="1:6" x14ac:dyDescent="0.25">
      <c r="A4" s="28" t="s">
        <v>1488</v>
      </c>
      <c r="B4" s="29" t="s">
        <v>1489</v>
      </c>
      <c r="D4" s="104" t="s">
        <v>1490</v>
      </c>
      <c r="E4" s="104"/>
      <c r="F4" s="104"/>
    </row>
    <row r="5" spans="1:6" x14ac:dyDescent="0.25">
      <c r="A5" s="28" t="s">
        <v>1491</v>
      </c>
      <c r="B5" s="29" t="s">
        <v>1492</v>
      </c>
      <c r="D5" s="104"/>
      <c r="E5" s="104"/>
      <c r="F5" s="104"/>
    </row>
    <row r="6" spans="1:6" x14ac:dyDescent="0.25">
      <c r="A6" s="28" t="s">
        <v>1493</v>
      </c>
      <c r="B6" s="29" t="s">
        <v>1494</v>
      </c>
      <c r="D6" s="104"/>
      <c r="E6" s="104"/>
      <c r="F6" s="104"/>
    </row>
    <row r="7" spans="1:6" x14ac:dyDescent="0.25">
      <c r="A7" s="28" t="s">
        <v>1495</v>
      </c>
      <c r="B7" s="29" t="s">
        <v>1496</v>
      </c>
      <c r="D7" s="104"/>
      <c r="E7" s="104"/>
      <c r="F7" s="104"/>
    </row>
    <row r="8" spans="1:6" x14ac:dyDescent="0.25">
      <c r="A8" s="28" t="s">
        <v>1497</v>
      </c>
      <c r="B8" s="29" t="s">
        <v>1498</v>
      </c>
      <c r="D8" s="104"/>
      <c r="E8" s="104"/>
      <c r="F8" s="104"/>
    </row>
    <row r="9" spans="1:6" x14ac:dyDescent="0.25">
      <c r="A9" s="30" t="s">
        <v>1499</v>
      </c>
      <c r="B9" s="32" t="s">
        <v>1500</v>
      </c>
    </row>
    <row r="12" spans="1:6" x14ac:dyDescent="0.25">
      <c r="A12" s="62" t="s">
        <v>1501</v>
      </c>
      <c r="B12" s="64" t="s">
        <v>1502</v>
      </c>
      <c r="C12" s="64" t="s">
        <v>1503</v>
      </c>
      <c r="D12" s="64" t="s">
        <v>1504</v>
      </c>
      <c r="E12" s="64" t="s">
        <v>1505</v>
      </c>
      <c r="F12" s="63" t="s">
        <v>1506</v>
      </c>
    </row>
    <row r="13" spans="1:6" ht="30" x14ac:dyDescent="0.25">
      <c r="A13" s="69" t="s">
        <v>1507</v>
      </c>
      <c r="B13" s="3" t="s">
        <v>1508</v>
      </c>
      <c r="C13" s="3" t="s">
        <v>1509</v>
      </c>
      <c r="D13" s="3" t="s">
        <v>1510</v>
      </c>
      <c r="E13" s="3" t="s">
        <v>1511</v>
      </c>
      <c r="F13" s="70" t="s">
        <v>1512</v>
      </c>
    </row>
    <row r="14" spans="1:6" ht="45" x14ac:dyDescent="0.25">
      <c r="A14" s="69" t="s">
        <v>1513</v>
      </c>
      <c r="B14" s="3" t="s">
        <v>1514</v>
      </c>
      <c r="C14" s="3" t="s">
        <v>1515</v>
      </c>
      <c r="D14" s="3" t="s">
        <v>1516</v>
      </c>
      <c r="E14" s="3" t="s">
        <v>1517</v>
      </c>
      <c r="F14" s="70" t="s">
        <v>1518</v>
      </c>
    </row>
    <row r="15" spans="1:6" ht="30" x14ac:dyDescent="0.25">
      <c r="A15" s="69" t="s">
        <v>1519</v>
      </c>
      <c r="B15" s="3" t="s">
        <v>1520</v>
      </c>
      <c r="C15" s="3" t="s">
        <v>1521</v>
      </c>
      <c r="D15" s="3" t="s">
        <v>1522</v>
      </c>
      <c r="E15" s="3" t="s">
        <v>1523</v>
      </c>
      <c r="F15" s="70" t="s">
        <v>1524</v>
      </c>
    </row>
    <row r="16" spans="1:6" ht="45" x14ac:dyDescent="0.25">
      <c r="A16" s="69" t="s">
        <v>1525</v>
      </c>
      <c r="B16" s="3" t="s">
        <v>1526</v>
      </c>
      <c r="C16" s="3" t="s">
        <v>1527</v>
      </c>
      <c r="D16" s="3" t="s">
        <v>1528</v>
      </c>
      <c r="E16" s="3" t="s">
        <v>1529</v>
      </c>
      <c r="F16" s="70" t="s">
        <v>1530</v>
      </c>
    </row>
    <row r="17" spans="1:6" ht="30" x14ac:dyDescent="0.25">
      <c r="A17" s="71" t="s">
        <v>1531</v>
      </c>
      <c r="B17" s="65" t="s">
        <v>1532</v>
      </c>
      <c r="C17" s="65" t="s">
        <v>1533</v>
      </c>
      <c r="D17" s="65" t="s">
        <v>1534</v>
      </c>
      <c r="E17" s="65" t="s">
        <v>1535</v>
      </c>
      <c r="F17" s="72" t="s">
        <v>1536</v>
      </c>
    </row>
    <row r="18" spans="1:6" x14ac:dyDescent="0.25">
      <c r="A18" t="s">
        <v>1537</v>
      </c>
      <c r="B18" t="s">
        <v>1538</v>
      </c>
      <c r="C18" t="s">
        <v>1539</v>
      </c>
      <c r="D18" t="s">
        <v>1540</v>
      </c>
      <c r="E18" t="s">
        <v>1541</v>
      </c>
      <c r="F18" t="s">
        <v>1542</v>
      </c>
    </row>
  </sheetData>
  <mergeCells count="3">
    <mergeCell ref="A1:F1"/>
    <mergeCell ref="D3:F3"/>
    <mergeCell ref="D4: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Backlog</vt:lpstr>
      <vt:lpstr>Phase Summary</vt:lpstr>
      <vt:lpstr>Milestone Rollup</vt:lpstr>
      <vt:lpstr>Legend</vt:lpstr>
      <vt:lpstr>Audit Traceability</vt:lpstr>
      <vt:lpstr>Worker 3 Lane</vt:lpstr>
      <vt:lpstr>AI-ML Architecture Coverage</vt:lpstr>
      <vt:lpstr>v2.10 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Elsayed, Karim (SMS group GmbH)</dc:creator>
  <cp:lastModifiedBy>Elsayed, Karim (SMS group GmbH)</cp:lastModifiedBy>
  <dcterms:created xsi:type="dcterms:W3CDTF">2026-08-12T09:34:52Z</dcterms:created>
  <dcterms:modified xsi:type="dcterms:W3CDTF">2026-08-13T10:01:27Z</dcterms:modified>
</cp:coreProperties>
</file>