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Workspace\PlantProcess-IQ\Documentation\docs\Product Book\"/>
    </mc:Choice>
  </mc:AlternateContent>
  <xr:revisionPtr revIDLastSave="0" documentId="13_ncr:1_{BEF339CF-1939-40C0-9E06-32E35EE8A776}" xr6:coauthVersionLast="47" xr6:coauthVersionMax="47" xr10:uidLastSave="{00000000-0000-0000-0000-000000000000}"/>
  <bookViews>
    <workbookView xWindow="-120" yWindow="-120" windowWidth="29040" windowHeight="15720" tabRatio="394" xr2:uid="{00000000-000D-0000-FFFF-FFFF00000000}"/>
  </bookViews>
  <sheets>
    <sheet name="Backlog" sheetId="1" r:id="rId1"/>
    <sheet name="Phase Summary" sheetId="2" r:id="rId2"/>
    <sheet name="Milestone Rollup" sheetId="3" r:id="rId3"/>
    <sheet name="Legend" sheetId="4" r:id="rId4"/>
  </sheets>
  <definedNames>
    <definedName name="_xlnm._FilterDatabase" localSheetId="0" hidden="1">Backlog!$A$1:$K$168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5" i="3"/>
  <c r="E5" i="3"/>
  <c r="D5" i="3"/>
  <c r="C5" i="3"/>
  <c r="F4" i="3"/>
  <c r="E4" i="3"/>
  <c r="D4" i="3"/>
  <c r="C4" i="3"/>
  <c r="F3" i="3"/>
  <c r="E3" i="3"/>
  <c r="D3" i="3"/>
  <c r="C3" i="3"/>
  <c r="F2" i="3"/>
  <c r="E2" i="3"/>
  <c r="D2" i="3"/>
  <c r="C2" i="3"/>
  <c r="F15" i="2"/>
  <c r="E15" i="2"/>
  <c r="F14" i="2"/>
  <c r="E14" i="2"/>
  <c r="F13" i="2"/>
  <c r="E13" i="2"/>
  <c r="F12" i="2"/>
  <c r="E12" i="2"/>
  <c r="F11" i="2"/>
  <c r="E11" i="2"/>
  <c r="F10" i="2"/>
  <c r="E10" i="2"/>
  <c r="F9" i="2"/>
  <c r="E9" i="2"/>
  <c r="F8" i="2"/>
  <c r="E8" i="2"/>
  <c r="F7" i="2"/>
  <c r="E7" i="2"/>
  <c r="F6" i="2"/>
  <c r="E6" i="2"/>
  <c r="F5" i="2"/>
  <c r="E5" i="2"/>
  <c r="F4" i="2"/>
  <c r="E4" i="2"/>
  <c r="F3" i="2"/>
  <c r="E3" i="2"/>
  <c r="E2" i="2"/>
  <c r="I4" i="2" l="1"/>
  <c r="I7" i="2"/>
  <c r="I6" i="2"/>
  <c r="C6" i="3"/>
  <c r="D6" i="3"/>
  <c r="E16" i="2"/>
  <c r="F16" i="2"/>
</calcChain>
</file>

<file path=xl/sharedStrings.xml><?xml version="1.0" encoding="utf-8"?>
<sst xmlns="http://schemas.openxmlformats.org/spreadsheetml/2006/main" count="1792" uniqueCount="834">
  <si>
    <t>Task Id</t>
  </si>
  <si>
    <t>Milestone Id</t>
  </si>
  <si>
    <t>Phase Id</t>
  </si>
  <si>
    <t>Task Name</t>
  </si>
  <si>
    <t>Module</t>
  </si>
  <si>
    <t>Sub-module</t>
  </si>
  <si>
    <t>Priority</t>
  </si>
  <si>
    <t>Task Description</t>
  </si>
  <si>
    <t>Task Validation</t>
  </si>
  <si>
    <t>Hours</t>
  </si>
  <si>
    <t>Status</t>
  </si>
  <si>
    <t>T-001</t>
  </si>
  <si>
    <t>M1</t>
  </si>
  <si>
    <t>M1-P1</t>
  </si>
  <si>
    <t>Build the six-beat Design Traceability Matrix</t>
  </si>
  <si>
    <t>Documentation</t>
  </si>
  <si>
    <t>Design contract</t>
  </si>
  <si>
    <t>Critical</t>
  </si>
  <si>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</si>
  <si>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</si>
  <si>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Done</t>
  </si>
  <si>
    <t>T-002</t>
  </si>
  <si>
    <t>Audit every presented route and control against the Chapter 3 page inventory</t>
  </si>
  <si>
    <t>Frontend</t>
  </si>
  <si>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</si>
  <si>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</si>
  <si>
    <t>T-003</t>
  </si>
  <si>
    <t>Lock the presentation profile as a data profile, not a branch</t>
  </si>
  <si>
    <t>Infrastructure</t>
  </si>
  <si>
    <t>Environments</t>
  </si>
  <si>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</si>
  <si>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</si>
  <si>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T-004</t>
  </si>
  <si>
    <t>Create the M1 acceptance checklist and evidence folder</t>
  </si>
  <si>
    <t>Quality</t>
  </si>
  <si>
    <t>Important</t>
  </si>
  <si>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</si>
  <si>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Every screen in the traceability matrix has a checklist instance in the folder. A screen is not Green until every line is ticked with an evidence file name beside it.</t>
  </si>
  <si>
    <t>T-005</t>
  </si>
  <si>
    <t>Rebuild ppiq_presentation into scratch and diff against live</t>
  </si>
  <si>
    <t>Database</t>
  </si>
  <si>
    <t>Presentation data</t>
  </si>
  <si>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</si>
  <si>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Produce docs/m1/evidence/presentation_db_diff.txt. Acceptance is either an empty diff, or a written list of every difference. Do not proceed to the next task until that list exists, and never run the rebuild against the live database before it does.</t>
  </si>
  <si>
    <t>T-006</t>
  </si>
  <si>
    <t>Convert every diff finding into a seed or migration script</t>
  </si>
  <si>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</si>
  <si>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Re-run Rebuild-PresentationDb.ps1 into a fresh scratch database and re-run the diff. It must now be empty. That output is the proof that no fix exists only as data.</t>
  </si>
  <si>
    <t>T-007</t>
  </si>
  <si>
    <t>Presentation Phenomena and Widget Coverage Matrix, part 1: inventory and the 36-chart blueprint</t>
  </si>
  <si>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</si>
  <si>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</si>
  <si>
    <t>T-008</t>
  </si>
  <si>
    <t>Presentation Phenomena and Widget Coverage Matrix, part 2: map, classify, close</t>
  </si>
  <si>
    <t>Testing</t>
  </si>
  <si>
    <t>Dashboard</t>
  </si>
  <si>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</si>
  <si>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</si>
  <si>
    <t>T-009</t>
  </si>
  <si>
    <t>Downtime two-quantity contract: final schema and domain slice</t>
  </si>
  <si>
    <t>Backend</t>
  </si>
  <si>
    <t>Canonical model</t>
  </si>
  <si>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</si>
  <si>
    <t>Project a downtime batch and assert every row has both columns populated and non-negative. Attempt an insert with a null production_impact_minutes and confirm the database rejects it. Confirm no code path derives one quantity from the other.</t>
  </si>
  <si>
    <t>T-010</t>
  </si>
  <si>
    <t>Run the canonical semantic path end to end through the M1 compatibility boundaries</t>
  </si>
  <si>
    <t>Engine</t>
  </si>
  <si>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</si>
  <si>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</si>
  <si>
    <t>T-011</t>
  </si>
  <si>
    <t>Establish and fix the architecture test pool reliability</t>
  </si>
  <si>
    <t>CI/CD</t>
  </si>
  <si>
    <t>Very Important</t>
  </si>
  <si>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</si>
  <si>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</si>
  <si>
    <t>T-012</t>
  </si>
  <si>
    <t>Canonicalise the JourneyRail to J1 to J15</t>
  </si>
  <si>
    <t>Journey</t>
  </si>
  <si>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</si>
  <si>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</si>
  <si>
    <t>T-013</t>
  </si>
  <si>
    <t>M1-P1b</t>
  </si>
  <si>
    <t>Three-way source reconciliation: KEEP, EXTEND or ADD</t>
  </si>
  <si>
    <t>Emulated sources</t>
  </si>
  <si>
    <t>NEW IN v2.5, and it exists because the runtime measurement proved the source-shaped donor schemas are not the plant the documents describe. Reconcile THREE things against each other, one row per source structure: what the running source-shaped donor schemas and their data actually contain, measured; what the committed generator and fixtures produce - Backend/tools/generate_demo_dataset.py is 372 lines, deterministic, and emits all eight sources - but MEASUREMENT DURING THIS TASK PROVED IT PRODUCES A DIFFERENT PLANT from the donor schemas, sharing two of six defect codes and none of the downtime reason codes, so it is a THIRD GENERATION to reconcile rather than a starting point;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</si>
  <si>
    <t>CLOSED 03-Aug-2026. docs/m1/evidence/source_reconciliation.csv, 13 rows and 15 columns, zero blank cells, one row per source structure. THREE DECISION AXES rather than one, because two findings fit none of the original buckets: structural `decision` KEEP 7 / EXTEND 3 / ADD 3; `data_action` VARY 3 / FIX_DISTRIBUTION 2 / NONE 8, for columns that are populated but carry a single value; and `binding_action` BIND 7 / REBIND 6 / NONE 0, for structures that are complete but reach no chart. Every EXTEND and ADD names the exact field or table; every KEEP names the chart it serves. Supporting evidence: docs/m1/evidence/T-013_source_measurement_20260803_132228.txt.</t>
  </si>
  <si>
    <t>T-014</t>
  </si>
  <si>
    <t>Capture the current source-shaped donor schemas in a committed generator</t>
  </si>
  <si>
    <t>NEW IN v2.8, and it exists because the emulation the whole presentation reads has no producer in source control. Backend/database/scripts/110_phase1_demo_source_shapes.sql creates the ten source-shaped donor tables EMPTY and nothing in the repository fills them - the only INSERT INTO src_ anywhere is a single one-row probe in scripts/run/Invoke-PpiqJourneyWalk.ps1. Those rows exist solely inside deploy/.ppiq-snapshots/ppiq_app_20260713_203359.dump, a 29.4 MB binary that scripts/demo/Rebuild-PresentationDb.ps1 restores. Backend/tools/generate_demo_dataset.py DOES have a producer, but it emits the CONTAINER fixtures under deploy/fixtures/demo, and those carry a DIFFERENT plant: five defect codes against the staged six with only SCALE and EDGE_CRACK shared, five downtime reason codes with NONE shared, carbon only against carbon-manganese-silicon, no lf_treatment table at all, and a QA CSV of 1,868 rows against 17,010 staged lab results. The source-shaped donor schemas received several manual enhancement passes during the run-up to the presentation and is therefore AHEAD of the committed generator, not behind it. Extending the committed generator before capturing the staged state would regress the dataset. Write ONE deterministic generator, in source control, that reproduces the CURRENT source-shaped donor schemas exactly - every table, every column, every distribution, every catalogue - from a fixed seed. DO NOT IMPROVE ANYTHING HERE. Improvement belongs to the target specification and to the generator-extension tasks that follow it. This task only makes what already exists reproducible from code rather than from a binary snapshot, which is also what the M2a clean-room rebuild depends on.</t>
  </si>
  <si>
    <t>Generate into an empty database and diff against the live source-shaped donor schemas with the same tool that closed the presentation reproducibility diff. All ten source-shaped donor tables match on ALL NINE DIMENSIONS the Chapter 3 section 4.5.2a retirement gate requires, because three are not enough to delete an irreplaceable dataset against: schema; row counts; key and cardinality checks including the DISTRIBUTION of children per parent rather than its average; null and population profiles; categorical distributions covering defect_code, reason_code, downtime_category, equipment_code, steel_grade and test_code; numeric ranges and declared quantiles; timestamp ranges and per-unit ordering; genealogy and conservation checks; and identifier shapes, without which a later cross-layer identity check cannot hold. TOTAL DIFFERENCES must read 0. The generator, its seed and its outputs are committed. A second run with the same seed is byte-identical to the first. No figure in the generator is hand-copied from a document: every one derives from the measurement evidence produced by T-013.</t>
  </si>
  <si>
    <t>Not Started</t>
  </si>
  <si>
    <t>T-015</t>
  </si>
  <si>
    <t>Presentation Fleet v2 target specification</t>
  </si>
  <si>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</si>
  <si>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</si>
  <si>
    <t>T-016</t>
  </si>
  <si>
    <t>Extend the generator: defect catalogue and chemistry elements</t>
  </si>
  <si>
    <t>NEW IN v2.5. EXTEND T-015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</si>
  <si>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</si>
  <si>
    <t>T-017</t>
  </si>
  <si>
    <t>Extend the generator: grade specification, and shift as BEHAVIOUR</t>
  </si>
  <si>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</si>
  <si>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</si>
  <si>
    <t>T-018</t>
  </si>
  <si>
    <t>Extend the generator: downtime two quantities and buffer posture</t>
  </si>
  <si>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</si>
  <si>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</si>
  <si>
    <t>T-019</t>
  </si>
  <si>
    <t>Shift and crew operating-practice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</si>
  <si>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</si>
  <si>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</si>
  <si>
    <t>T-020</t>
  </si>
  <si>
    <t>Post-maintenance recovery and campaign-ageing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</si>
  <si>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</si>
  <si>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</si>
  <si>
    <t>T-021</t>
  </si>
  <si>
    <t>Equipment personality and temporal regime changes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</si>
  <si>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</si>
  <si>
    <t>Filtering by equipment changes the shape of at least two charts materially. A trend chart shows a visible regime boundary whose date matches a recorded event in the downtime or maintenance source, so the boundary is explainable rather than decorative.</t>
  </si>
  <si>
    <t>T-022</t>
  </si>
  <si>
    <t>Merge the best existing material into one Fleet v2 truth</t>
  </si>
  <si>
    <t>NEW IN v2.9. Chapter 3 section 4.5.2a fixes the M1 fast path: the presentation database is materialised from one frozen Fleet v2 generator, Docker is connection-test only during M1, and the full external path returns as the sole authority at M2a. This is the ONE controlled merge, and it happens once. The T-013 measurement found the presentation database carrying three generations of the same plant: the enhanced source-shaped donor schemas captured by T-014, an older and roughly three times larger dump population, and canonical rows matching that older generation exactly. Take the SEMANTICS from the captured baseline - the six defect codes, the three chemistry elements, the ladle furnace stage, casting speed, superheat, the richer downtime vocabulary - and take the SCALE LESSONS from the older larger generation. Produce one reconciled Fleet v2 definition in the generator, with a written decision per conflict. DO NOT copy rows between layers to achieve this. Copying a piece here and fixing a piece there is what produced three generations in the first place; the merge is expressed in the generator or it is not expressed.</t>
  </si>
  <si>
    <t>One reconciled Fleet v2 definition exists in the committed generator with a recorded decision for every conflict between the captured baseline and the older generation. No row was copied between layers to reach it. The captured baseline of T-014 still regenerates byte-identically from its own seed, proving the merge added a definition rather than overwriting the capture. Every semantic element named in the source reconciliation survives the merge or carries a written reason for being dropped.</t>
  </si>
  <si>
    <t>T-023</t>
  </si>
  <si>
    <t>Scale Fleet v2 to the target plant size</t>
  </si>
  <si>
    <t>NEW IN v2.9. The captured baseline is 630 heats and 5,670 coils. That is the size the manual enhancement work happened at, and T-014 deliberately captured it unchanged so that captured existing work stays distinguishable from newly designed enhancement. Scale is a SEPARATE, LATER and VISIBLE step for that reason. Raise the generated plant to the target size - about 2,400 heats and about 17,000 coils - carrying the full enhanced field set. Scale is a generator parameter, never a copy of the older generation's rows. A phenomenon that only appears at one size was an artefact of that size, so every planted behaviour is re-proved after scaling.</t>
  </si>
  <si>
    <t>The generator produces the target size from a parameter, deterministically, from the same seed family. Every planted phenomenon declared so far still holds after scaling, measured rather than assumed, and any that does not is recorded as a finding before the phase continues. Row counts, cardinalities and categorical distributions are reported at both sizes side by side. The smaller captured baseline remains reproducible, so the two sizes are two outputs of one generator rather than two datasets.</t>
  </si>
  <si>
    <t>T-024</t>
  </si>
  <si>
    <t>Emit and populate the presentation canonical operational entities</t>
  </si>
  <si>
    <t>NEW IN v2.9, replacing the import-and-project contracts that assumed a live M1 pipeline. Chapter 3 section 4.5.2a fixes the M1 fast path: the presentation database is materialised from one frozen Fleet v2 generator, Docker is connection-test only during M1, and the full external path returns as the sole authority at M2a. Materialise the canonical operational entities of the presentation database - material units, parameter observations, quality events, downtime events, genealogy edges and their identity resolution - directly from the frozen Fleet v2 generator. PREPARED ROWS ARE PERMITTED; PRESENTATION-ONLY PRODUCT BEHAVIOUR IS NOT. A surface that would refuse on real customer data refuses here too, and no code path may exist that only runs because this is the presentation database. The older canonical population and its provenance residue - the un-neutralised source system label, the unexplained baseline rows, the stale import batches and the validation-fixture and DEMO-vocabulary mappings - are replaced, not merged with, the new population, and only after the replacement rows exist.</t>
  </si>
  <si>
    <t>Every canonical operational entity is populated from the generator and from nothing else. No row of the older generation survives, proved by a provenance query returning zero rows outside the Fleet v2 label. Genealogy is complete and conserved: every coil resolves to a slab, a sequence and a heat, with no orphan and no cycle. The downtime two-quantity contract closed in T-009 is populated from a real source field rather than defaulted. No widget bound before this task is left pointing at a deleted row.</t>
  </si>
  <si>
    <t>T-025</t>
  </si>
  <si>
    <t>Compute and populate the presentation analysis entities with the real engines</t>
  </si>
  <si>
    <t>Analytics</t>
  </si>
  <si>
    <t>NEW IN v2.9. The analysis surfaces need correlation results, feature values, outcome values, readiness states and findings present in the presentation database before the customer meeting. THESE ARE COMPUTED, NEVER AUTHORED. Run the product's own statistical, correlation, feature and readiness engines over the canonical operational entities and persist what they return. Writing plausible-looking analysis rows by hand would make every intelligence surface in the demonstration theatre, and would break the design law that prepared data is permitted while presentation-only behaviour is not. Where an engine legitimately refuses - insufficient support, readiness not met - THE REFUSAL IS THE RESULT AND IS PERSISTED AS SUCH, because a readiness gate reporting a measured value beside its threshold is the product working rather than the product missing.</t>
  </si>
  <si>
    <t>Every analysis entity row carries a compute run identity that names the engine, its inputs and its version. No analysis row exists without one. Re-running the engines over the same canonical data reproduces the same results, so the analysis layer is derived rather than stored opinion. At least one genuine refusal is present and rendered honestly on its surface. No hand-authored row is present anywhere in the analysis entities, proved by the compute-run coverage query returning full coverage.</t>
  </si>
  <si>
    <t>T-026</t>
  </si>
  <si>
    <t>Phenomenon test harness: manifest schema and runner</t>
  </si>
  <si>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</si>
  <si>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</si>
  <si>
    <t>T-027</t>
  </si>
  <si>
    <t>Populate the manifest and prove every phenomenon</t>
  </si>
  <si>
    <t>NEW IN v2.6, and it CLOSES the reopened matrix. Fill T-026 from the phenomena matrix declared in T-008, whose parts one and two closed as PRE-GENERATION SPECIFICATIONS before any generator work, one manifest row per phenomenon, and run it against the prepared presentation canonical operational and analysis entities, which under the M1 fast path of Chapter 3 section 4.5.2a are materialised from the frozen Fleet v2 generator rather than imported during M1. THE BANDS ARE NOT WRITTEN FROM THIS DATA. Expected direction, acceptable band and negative control were PREDECLARED in T-008 and refined in T-015,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</si>
  <si>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T-024 and everything downstream of it; that rerun is recorded as a correction, never treated as routine.</t>
  </si>
  <si>
    <t>T-028</t>
  </si>
  <si>
    <t>Verify the confounded correlation and the insufficient-support refusal</t>
  </si>
  <si>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</si>
  <si>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</si>
  <si>
    <t>T-029</t>
  </si>
  <si>
    <t>Five-layer realism audit of the emulated plant</t>
  </si>
  <si>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</si>
  <si>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</si>
  <si>
    <t>T-030</t>
  </si>
  <si>
    <t>M1-P2</t>
  </si>
  <si>
    <t>Emit and populate the presentation staging representation, source-shaped</t>
  </si>
  <si>
    <t>NEW IN v2.9, and it opens M1-P2 because it is the direct prerequisite of the authoring shell. Chapter 3 section 4.5.2a fixes the M1 fast path: the presentation database is materialised from one frozen Fleet v2 generator, Docker is connection-test only during M1, and the full external path returns as the sole authority at M2a. Materialise the staging representation of the presentation database from the same frozen Fleet v2 generator, SOURCE-SHAPED AND UNPREPARED: the selected tables and the selected columns as a customer system would expose them, before any join, derivation or linking. This is what the schema tree, the no-code canvas, the wiring surface, the SQL editor and the preview read, so it must look like customer data rather than like a finished model. Its row counts are NOT expected to equal the canonical layer, because one is source-shaped and one is canonical, and a test asserting equality would be wrong.</t>
  </si>
  <si>
    <t>The staging representation is populated from the generator alone and is genuinely unprepared: no derived column, no pre-joined view, no canonical vocabulary leaking into a source-shaped table. The schema tree, canvas, SQL editor and preview all read it successfully. Identities match the canonical layer exactly - a coil visible here is the same coil there - while row counts differ as expected and the difference is recorded rather than treated as a defect.</t>
  </si>
  <si>
    <t>T-031</t>
  </si>
  <si>
    <t>Certify cross-layer consistency and retire the obsolete donor state</t>
  </si>
  <si>
    <t>NEW IN v2.9, and it is the gate that makes the fast path safe rather than merely fast. THE CUSTOMER MUST NEVER SEE ONE PLANT IN THE CANVAS AND ANOTHER PLANT IN THE DASHBOARD. Certify that the staging, canonical operational and analysis layers describe one Fleet v2 plant: same grades, same equipment identities, same defect vocabulary, same downtime semantics, same chemistry vocabulary, same QA definitions and units, same genealogy, same time horizon where both layers carry one, and the same planted phenomena. The certification is a TEST that fails the build, not a document. AND ONLY AFTER IT PASSES, THIS TASK EXECUTES THE RETIREMENT GATE, because Chapter 3 section 4.5.2a defines that gate and no task carried it out: back up the pre-retirement state, RESTORE THAT BACKUP SUCCESSFULLY AT LEAST ONCE, dependency-check the obsolete artifacts, then delete the `src_*` donor schemas and remove the stale registered datasets, dead import batches and validation-fixture and DEMO-vocabulary mappings that now have replacements. Nothing is deleted whose replacement is not already generated and certified. Row counts across layers are explicitly NOT compared, because the layers are shaped differently by design; what is compared is the plant universe.</t>
  </si>
  <si>
    <t>A named test asserts every consistency dimension above and fails the build on any divergence. A deliberate injected divergence - one defect code present in one layer only - makes it fail, proving the gate is switched on. The generator version and seed behind all three layers are identical and recorded. The certification runs in CI rather than by hand, so a later change that breaks consistency is caught by the pipeline rather than in the room. All four retirement-gate conditions are then evidenced in order: the generator reproduces the captured baseline on all nine dimensions; both presentation representations were regenerated from it; this certification passed; and one backup was taken AND RESTORED SUCCESSFULLY. Only then is `src_*` gone, proved by a query returning zero matching schemas, and no obsolete parallel data world remains active anywhere in the presentation database.</t>
  </si>
  <si>
    <t>T-032</t>
  </si>
  <si>
    <t>Shared Authoring Shell, part 1: the shell contract and the four regions</t>
  </si>
  <si>
    <t>UI/UX no-code frontend</t>
  </si>
  <si>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</si>
  <si>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</si>
  <si>
    <t>T-033</t>
  </si>
  <si>
    <t>Shared Authoring Shell, part 2: relational block grammar on the board</t>
  </si>
  <si>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</si>
  <si>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</si>
  <si>
    <t>T-034</t>
  </si>
  <si>
    <t>Registry-driven schema, table and attribute tree</t>
  </si>
  <si>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</si>
  <si>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</si>
  <si>
    <t>T-035</t>
  </si>
  <si>
    <t>Compiled-SQL pane and debug log with rows and cost</t>
  </si>
  <si>
    <t>SQL Editor</t>
  </si>
  <si>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</si>
  <si>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</si>
  <si>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T-036</t>
  </si>
  <si>
    <t>SQL mode: safe editor, run test, returned columns and the reconstructability rule</t>
  </si>
  <si>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</si>
  <si>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</si>
  <si>
    <t>T-037</t>
  </si>
  <si>
    <t>Certify returned-column role mapping inside the S2 shell</t>
  </si>
  <si>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</si>
  <si>
    <t>Assign roles inside the shell, re-run the query unchanged, confirm roles persist. Edit the query to drop a mapped column, re-run, and confirm the stale-role warning names the missing column.</t>
  </si>
  <si>
    <t>T-038</t>
  </si>
  <si>
    <t>Add Widget and Edit Widget open the shared shell in S2 mode</t>
  </si>
  <si>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</si>
  <si>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</si>
  <si>
    <t>T-039</t>
  </si>
  <si>
    <t>Final definition service interface with a compatibility adapter</t>
  </si>
  <si>
    <t>Definition store</t>
  </si>
  <si>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</si>
  <si>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</si>
  <si>
    <t>T-040</t>
  </si>
  <si>
    <t>Authoring states, keyboard path, RTL and error wording</t>
  </si>
  <si>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</si>
  <si>
    <t>Run npm run test and the architecture suite; both green. Complete one full authoring scenario using only the keyboard. Switch the document direction to rtl and screenshot both modes.</t>
  </si>
  <si>
    <t>T-041</t>
  </si>
  <si>
    <t>M1-P3</t>
  </si>
  <si>
    <t>D2 Page Builder, part 1: create a page and reach the shared shell</t>
  </si>
  <si>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T-039 carries the persistence.</t>
  </si>
  <si>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</si>
  <si>
    <t>T-042</t>
  </si>
  <si>
    <t>D2 Page Builder, part 2: arrange, save layout and publish</t>
  </si>
  <si>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</si>
  <si>
    <t>Create a page, add two widgets through the shell, arrange them, save the layout, hard-reload, and confirm the arrangement is identical. Publish it and confirm it appears in the Workspaces navigation group. Delete the draft and confirm it does not.</t>
  </si>
  <si>
    <t>T-043</t>
  </si>
  <si>
    <t>Bring the workspace to the final D1 anatomy</t>
  </si>
  <si>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</si>
  <si>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</si>
  <si>
    <t>T-044</t>
  </si>
  <si>
    <t>Certify the three operational dashboards and fix their bindings</t>
  </si>
  <si>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t>
  </si>
  <si>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t>
  </si>
  <si>
    <t>T-045</t>
  </si>
  <si>
    <t>Certify the analysis and model dashboards and choose the six shown</t>
  </si>
  <si>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t>
  </si>
  <si>
    <t>Every widget on these four pages returns rows. Confirm Model Insights makes no claim a live model has predicted anything unless one has. Record the primary six, the backup, and the reason for each choice, in the demonstration script.</t>
  </si>
  <si>
    <t>T-046</t>
  </si>
  <si>
    <t>Register the final chart grammar and implement the presentation subset</t>
  </si>
  <si>
    <t>Registry</t>
  </si>
  <si>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t>
  </si>
  <si>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</si>
  <si>
    <t>T-047</t>
  </si>
  <si>
    <t>Give the seven pages distinct visual grammars from the registered grammar</t>
  </si>
  <si>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t>
  </si>
  <si>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t>
  </si>
  <si>
    <t>T-048</t>
  </si>
  <si>
    <t>Associative model, part 1: the alternative state and registry-driven fields</t>
  </si>
  <si>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</si>
  <si>
    <t>All four states render distinctly - selected, possible, excluded, alternative - on the token colours, selection Electric Cyan and excluded Muted Steel. Add a dimension through the registry and confirm it appears in the strip with no code change.</t>
  </si>
  <si>
    <t>T-049</t>
  </si>
  <si>
    <t>Certify layout drag, resize, save, reload and responsive behaviour</t>
  </si>
  <si>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</si>
  <si>
    <t>Move and resize three widgets, save, hard-reload, and confirm the layout is identical. Repeat at each of the three widths. Record a short screen capture into the evidence folder.</t>
  </si>
  <si>
    <t>T-050</t>
  </si>
  <si>
    <t>Drill to population, provenance and evidence</t>
  </si>
  <si>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</si>
  <si>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</si>
  <si>
    <t>T-051</t>
  </si>
  <si>
    <t>Widget failure isolation and the seven states</t>
  </si>
  <si>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</si>
  <si>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Inject a failure into one widget query and confirm the other widgets on the page continue to render and interact. Apply a filter that returns no rows and confirm the widget says the selection returned nothing, not that there is no data.</t>
  </si>
  <si>
    <t>T-052</t>
  </si>
  <si>
    <t>Remove the hardcoded parameter default from the API client</t>
  </si>
  <si>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</si>
  <si>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</si>
  <si>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T-053</t>
  </si>
  <si>
    <t>M1-P4</t>
  </si>
  <si>
    <t>Reduce the demonstration navigation and add the inventory ratchet</t>
  </si>
  <si>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</si>
  <si>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</si>
  <si>
    <t>T-054</t>
  </si>
  <si>
    <t>J4 Connections: read-only proof and load budget made visible</t>
  </si>
  <si>
    <t>Connections</t>
  </si>
  <si>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</si>
  <si>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</si>
  <si>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T-055</t>
  </si>
  <si>
    <t>J5 and J6 Dataset registry browse and watermark suggestion</t>
  </si>
  <si>
    <t>Data integration</t>
  </si>
  <si>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the generated presentation-staging display name for cast pieces (NOT the donor schema name - `src_*` is retired by then and Chapter 3 forbids calling it staging). Decide deliberately whether to show them with an honest sentence or to present display names; do not discover this live in front of the customer.</t>
  </si>
  <si>
    <t>Register one dataset end to end and confirm the suggested business key and watermark are shown with reasons and can be overridden. Record which naming decision was taken in the traceability matrix.</t>
  </si>
  <si>
    <t>T-056</t>
  </si>
  <si>
    <t>J6 Import progress visibility</t>
  </si>
  <si>
    <t>An import that runs with no visible progress reads as a hang. Add a named progress indication driven by the existing import batch records: batch started, rows staged, batch completed, with the dataset name. Use the activity tray pattern rather than a modal.</t>
  </si>
  <si>
    <t>Start an incremental import of at least 100k rows and confirm progress updates at least every few seconds and ends in a completed state with a row count that matches the staging table delta.</t>
  </si>
  <si>
    <t>T-057</t>
  </si>
  <si>
    <t>J7 Relationship model vertical slice, part 1: publish one relationship</t>
  </si>
  <si>
    <t>Relationship model</t>
  </si>
  <si>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</si>
  <si>
    <t>An integration test that publishes one relationship, reads it back, and asserts it is versioned and marked published. A second test asserting an unpublished relationship is not returned to consumers.</t>
  </si>
  <si>
    <t>T-058</t>
  </si>
  <si>
    <t>J7 Relationship model vertical slice, part 2: one resolver consumer</t>
  </si>
  <si>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</si>
  <si>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Point one widget at data spanning two sources, confirm it renders, then unpublish the relationship and confirm the widget refuses with a named reason instead of silently returning a partial result. Restore and confirm it renders again.</t>
  </si>
  <si>
    <t>T-059</t>
  </si>
  <si>
    <t>Associative model, part 2: cross-source state through the published relationship</t>
  </si>
  <si>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</si>
  <si>
    <t>Apply a selection that spans two sources and confirm the strip and every widget narrow consistently. Unpublish the relationship and confirm the cross-source state refuses with a named reason rather than silently narrowing to one source.</t>
  </si>
  <si>
    <t>T-060</t>
  </si>
  <si>
    <t>C6 Relationship Browser, minimal read-only slice</t>
  </si>
  <si>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</si>
  <si>
    <t>Open a published relationship and confirm its members, cardinality and path render with evidence. Confirm an unpublished relationship is visibly distinct from a published one. Confirm the page is read-only - no control on it can modify a relationship.</t>
  </si>
  <si>
    <t>T-061</t>
  </si>
  <si>
    <t>C2 Mapping Health, part 1: the typed issue contract and the reprocess API</t>
  </si>
  <si>
    <t>Mapping health</t>
  </si>
  <si>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</si>
  <si>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</si>
  <si>
    <t>T-062</t>
  </si>
  <si>
    <t>C2 Mapping Health, part 2: the final visible page</t>
  </si>
  <si>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</si>
  <si>
    <t>Walk the page with three issue codes present, reprocess one, and confirm the group clears while the others remain. Confirm the empty state says the mapping is clean rather than that there is no data.</t>
  </si>
  <si>
    <t>T-063</t>
  </si>
  <si>
    <t>C5 Genealogy: converge the legacy workbench onto the final two-state surface</t>
  </si>
  <si>
    <t>Genealogy</t>
  </si>
  <si>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</si>
  <si>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</si>
  <si>
    <t>T-064</t>
  </si>
  <si>
    <t>Add job_definitions.target_definition_id and the JB error codes</t>
  </si>
  <si>
    <t>Jobs</t>
  </si>
  <si>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</si>
  <si>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</si>
  <si>
    <t>T-065</t>
  </si>
  <si>
    <t>J12 Analysis authoring: converge onto D3 Analysis Toolbox in S3 mode</t>
  </si>
  <si>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</si>
  <si>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</si>
  <si>
    <t>T-066</t>
  </si>
  <si>
    <t>One visible readiness authority on Home and Analysis</t>
  </si>
  <si>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</si>
  <si>
    <t>Compare the panel against a direct call to GET /api/ml/foundation/readiness. Every number on screen must match the API response exactly. Change one threshold in configuration and confirm the panel moves, proving it is not a static rendering.</t>
  </si>
  <si>
    <t>T-067</t>
  </si>
  <si>
    <t>Findings evidence panel, registry-driven throughout</t>
  </si>
  <si>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</si>
  <si>
    <t>Open the strongest finding and confirm all six elements are present. Confirm the ordering is by effect size and not p-value, by comparing against the API response. Change the registry's default outcome and confirm the page opens on the new one with no code change.</t>
  </si>
  <si>
    <t>T-068</t>
  </si>
  <si>
    <t>Retire the hardcoded outcome and grain arrays</t>
  </si>
  <si>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</si>
  <si>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</si>
  <si>
    <t>T-069</t>
  </si>
  <si>
    <t>M1-P5</t>
  </si>
  <si>
    <t>Website, part 1: the five-product information architecture</t>
  </si>
  <si>
    <t>Website</t>
  </si>
  <si>
    <t>Public site</t>
  </si>
  <si>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</si>
  <si>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</si>
  <si>
    <t>T-070</t>
  </si>
  <si>
    <t>Website, part 2: polish the presentation routes</t>
  </si>
  <si>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</si>
  <si>
    <t>Click every link on every route you will open and confirm none is dead. Check desktop, mobile and keyboard navigation on those routes. Confirm no page shows a blocker, an unfinished item or a failed test, per the standing website honesty rule.</t>
  </si>
  <si>
    <t>T-071</t>
  </si>
  <si>
    <t>Build the G1 persistent assistant dock</t>
  </si>
  <si>
    <t>Chatbot</t>
  </si>
  <si>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</si>
  <si>
    <t>Open the dock on at least five different pages and confirm the conversation persists across navigation. Confirm the collapsed state does not obscure any control. Add a vitest asserting the dock renders inside the authenticated layout and not as a route element.</t>
  </si>
  <si>
    <t>T-072</t>
  </si>
  <si>
    <t>Page and widget context envelope</t>
  </si>
  <si>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</si>
  <si>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Ask the same question on two different pages and confirm the retrieved evidence differs. Assert in an integration test that the context reaches the retrieval call and that no context field is echoed into the answer text unverified.</t>
  </si>
  <si>
    <t>T-073</t>
  </si>
  <si>
    <t>Add the page and widget chunk family to the retrieval corpus</t>
  </si>
  <si>
    <t>AI+ML</t>
  </si>
  <si>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</si>
  <si>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</si>
  <si>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T-074</t>
  </si>
  <si>
    <t>Registry-typed quantity guard on assistant answers</t>
  </si>
  <si>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</si>
  <si>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</si>
  <si>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T-075</t>
  </si>
  <si>
    <t>Citation chips, evidence strip and suggested questions</t>
  </si>
  <si>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</si>
  <si>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Click a citation chip and confirm it expands to the underlying evidence. Click Open in page and confirm it navigates to the correct surface with the relevant selection applied. Confirm suggested questions change between two different pages.</t>
  </si>
  <si>
    <t>T-076</t>
  </si>
  <si>
    <t>Certified question pack and offline fallback</t>
  </si>
  <si>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</si>
  <si>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Run all 10 to 15 twice, once online and once with the model endpoint unreachable, and record both answers. Any question that refuses in both runs is removed from the live set.</t>
  </si>
  <si>
    <t>T-077</t>
  </si>
  <si>
    <t>One Playwright journey covering all six beats</t>
  </si>
  <si>
    <t>E2E</t>
  </si>
  <si>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</si>
  <si>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</si>
  <si>
    <t>T-078</t>
  </si>
  <si>
    <t>Execute visual regression and accessibility on the presented routes</t>
  </si>
  <si>
    <t>Visual and a11y</t>
  </si>
  <si>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</si>
  <si>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</si>
  <si>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T-079</t>
  </si>
  <si>
    <t>Failure injection suite</t>
  </si>
  <si>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</si>
  <si>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Five scripted injections, each with a screenshot of the resulting state in the evidence folder, each showing a sentence rather than a raw error. A red outline with no sentence beside it is a failure of the specification, not an acceptable outcome.</t>
  </si>
  <si>
    <t>T-080</t>
  </si>
  <si>
    <t>Capture the Customer Contract Continuity snapshots</t>
  </si>
  <si>
    <t>Continuity</t>
  </si>
  <si>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</si>
  <si>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</si>
  <si>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T-081</t>
  </si>
  <si>
    <t>Write the screen-by-screen demonstration script</t>
  </si>
  <si>
    <t>Rehearsal</t>
  </si>
  <si>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the generated presentation-staging display name for cast pieces (NOT the donor schema name - `src_*` is retired by then and Chapter 3 forbids calling it staging).</t>
  </si>
  <si>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</si>
  <si>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T-082</t>
  </si>
  <si>
    <t>Presentation environment preparation and clean-start verification</t>
  </si>
  <si>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</si>
  <si>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Cold-boot the machine and reach the first demonstration screen following only a written checklist, twice, timing both. Record both timings. If the second run needs a step that is not on the checklist, the checklist is wrong.</t>
  </si>
  <si>
    <t>T-083</t>
  </si>
  <si>
    <t>Three rehearsals, hostile hands and the fallback package</t>
  </si>
  <si>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</si>
  <si>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Two consecutive rehearsals complete with no surprise. The hostile-hands run produces a defect list that is either fixed or explicitly accepted in writing. The fallback package exists on a second device.</t>
  </si>
  <si>
    <t>T-084</t>
  </si>
  <si>
    <t>M2a</t>
  </si>
  <si>
    <t>M2a-P1</t>
  </si>
  <si>
    <t>Emit the frozen Fleet v2 into native customer-source fixtures</t>
  </si>
  <si>
    <t>NEW IN v2.9, and it is the M1 to M2 convergence operation. The certified Fleet v2 truth must become the customer-source dataset, and the sources are heterogeneous, so THIS IS GENERATION AND NOT BACKUP AND RESTORE. A PostgreSQL dump of the presentation staging schema cannot be restored into Oracle or SQL Server, and attempting it is how a single-engine shortcut becomes an architecture. Emit native fixtures for each source from the SAME frozen generator: PostgreSQL, Oracle, SQL Server, MySQL, the QA file source and the yard file source, each in that engine's own types, identifier rules and file conventions. Estimated at 10 hours as four database emitters at about two hours each plus two file emitters at about one hour, derived from the target count rather than fitted to the phase.</t>
  </si>
  <si>
    <t>One frozen generator emits all six native fixture sets from one seed. Each fixture set loads cleanly into its own engine and the loaded content matches the certified Fleet v2 truth on row counts, column sets and every categorical distribution. No fixture is produced by exporting another engine's data. A second emission from the same seed is byte-identical. The emitter is committed with its fixtures, so the customer sources are reproducible from source control.</t>
  </si>
  <si>
    <t>T-085</t>
  </si>
  <si>
    <t>Clean-room rebuild of the Fleet v2 emulator sources from source control</t>
  </si>
  <si>
    <t>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THE T-010 READING THAT 106,272 CANONICAL AGAINST 16,640 STAGED PROVED DIRECT SEEDING IS WITHDRAWN - the T-013 measurement showed the M1 database held THREE GENERATIONS of the same fleet at once: the newer enhanced source-shaped donor schemas, an older and roughly three times larger dump population, and canonical rows corresponding to that older imported generation. This task exists to eliminate GENERATION DRIFT, so that one Fleet v2 truth reaches every layer through the one path. This task does NOT redesign the dataset; T-027 already validated it.</t>
  </si>
  <si>
    <t>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t>
  </si>
  <si>
    <t>T-086</t>
  </si>
  <si>
    <t>Freeze and certify Fleet v2 as the M2 reference validation dataset</t>
  </si>
  <si>
    <t>NEW IN v2.7, and it carries the rule that matters more than the manifest. Version and freeze the phenomenon manifest from M1 with its PREDECLARED expected direction, effect bands, minimum populations, conditioning variables and negative controls. M2 ALGORITHMS MUST DISCOVER OR HONESTLY REFUSE THESE BEHAVIOURS; THEY MUST NEVER KNOW THE ANSWERS FROM CODE. Write a machine-readable M2 baseline manifest recording dataset version, generator version and seed, source schema versions, important source row counts and cardinalities, phenomenon ids, expected population ranges, negative controls, genealogy and conservation checks, and fixture identity hashes where useful. THEN THE IMMUTABILITY CONTRACT, which is the point of the whole task: during M2 the baseline is NOT modified every time an algorithm disappoints. If a feature cannot recover a behaviour the certified dataset genuinely contains, THAT IS A PRODUCT FINDING, not permission to tune the data until the test passes. Adding correlation to the generator so the optimiser succeeds is how a benchmark stops measuring anything. If M2 later needs new scenarios, create a VERSIONED EXTENSION - Fleet v2.1 or v3 - and never silently change the certified M1 baseline.</t>
  </si>
  <si>
    <t>The manifest exists, is machine-readable, and a harness run against the certified fleet reproduces the M1 result. The immutability contract is written into the repository where a developer will meet it, not only in the backlog. A named test asserts the baseline fixture identity, so a silent change to the certified dataset fails rather than passing quietly. State plainly which questions this baseline is meant to answer - does the engine recover the known good operating region while accounting for grade, equipment, shift and confounding; does practice learning recover the planted behaviour and reject the negative control; does readiness answer where support is sufficient and refuse where it is not. BENCHMARK HARDENING, because a reference dataset that only freezes phenomena cannot support an optimiser: every case carries a `benchmark_case_id`; the controllable parameters are named with their safe bounds; a known-good and a known-bad operating region are declared; an optimisation tolerance states how close a result must land to count as recovered; the units are split deterministically into development, validation and HOLDOUT, and the holdout is not readable by any development run; the expected refusal conditions are declared so an honest refusal is a pass rather than a failure; and TEST-ONLY TRUTH MUST NOT ENTER THE PRODUCTION RUNTIME - a named test asserts that no planted answer, holdout label or benchmark expectation is reachable from product code.</t>
  </si>
  <si>
    <t>T-087</t>
  </si>
  <si>
    <t>Physical three-schema migration</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</si>
  <si>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</si>
  <si>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</si>
  <si>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</si>
  <si>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T-088</t>
  </si>
  <si>
    <t>Canonical migration order and legacy script archival</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</si>
  <si>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</si>
  <si>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</si>
  <si>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T-089</t>
  </si>
  <si>
    <t>definition_store, definition_versions and definition_dependencies</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</si>
  <si>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</si>
  <si>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</si>
  <si>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T-090</t>
  </si>
  <si>
    <t>Move all five definition kinds onto the store</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</si>
  <si>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</si>
  <si>
    <t>The M1 integration test written against IDefinitionService must pass unchanged, since it references no table name. That is the proof that the visible contract did not move.</t>
  </si>
  <si>
    <t>T-091</t>
  </si>
  <si>
    <t>Impact preview, export and import</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</si>
  <si>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</si>
  <si>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</si>
  <si>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T-092</t>
  </si>
  <si>
    <t>Registry authority: dimensions and measures as rows</t>
  </si>
  <si>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</si>
  <si>
    <t>Add a dimension through the registry API and confirm it becomes selectable in the authoring shell with no code change and no redeploy. Confirm chart types remain closed by attempting to add one and being refused.</t>
  </si>
  <si>
    <t>T-093</t>
  </si>
  <si>
    <t>Plant-vocabulary sweep, part 1: build the term list and the architecture test</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</si>
  <si>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</si>
  <si>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</si>
  <si>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T-094</t>
  </si>
  <si>
    <t>Plant-vocabulary sweep, part 2: clear the violations and rename the canonical grain</t>
  </si>
  <si>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</si>
  <si>
    <t>The architecture test passes with zero violations. Query the canonical layer for a non-steel product type and confirm its grain is no longer reported as 'coil'.</t>
  </si>
  <si>
    <t>T-095</t>
  </si>
  <si>
    <t>M2a-P2</t>
  </si>
  <si>
    <t>Relationship members, cardinality, grain conversion and preferred paths</t>
  </si>
  <si>
    <t>Extend the M1 slice to the full model in Chapter 3 4.5.10: members, cardinality, grain conversion between related entities, preferred path selection when more than one path exists, and published versions.</t>
  </si>
  <si>
    <t>Declare two paths between the same pair of entities, mark one preferred, and confirm the resolver chooses it. Change the preference and confirm the resolution changes with no other edit.</t>
  </si>
  <si>
    <t>T-096</t>
  </si>
  <si>
    <t>Path resolver, part 1: resolver core and the first eight consumers</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</si>
  <si>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</si>
  <si>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</si>
  <si>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T-097</t>
  </si>
  <si>
    <t>Path resolver, part 2: the remaining eight consumers and the regression suite</t>
  </si>
  <si>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</si>
  <si>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Eight further regression tests. For consumers whose engine arrives in M2b, the test asserts the seam exists and refuses when unpublished, which is what stops a later shortcut.</t>
  </si>
  <si>
    <t>T-098</t>
  </si>
  <si>
    <t>Relationship Browser page and path evidence</t>
  </si>
  <si>
    <t>Build the C6 Relationship Browser from Chapter 3 4.4 with the ten-field page contract, showing declared relationships, their members, their paths and the evidence for each path.</t>
  </si>
  <si>
    <t>Open a relationship and confirm its members, cardinality and path are shown with evidence. Confirm an unpublished relationship is visibly distinct from a published one.</t>
  </si>
  <si>
    <t>T-099</t>
  </si>
  <si>
    <t>Quarantine, part 1: the table, the reprocess API and the first eight PV classes</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</si>
  <si>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</si>
  <si>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</si>
  <si>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</si>
  <si>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T-100</t>
  </si>
  <si>
    <t>Quarantine, part 2: the remaining seven PV classes and per-class tests</t>
  </si>
  <si>
    <t>Implement the remaining seven validation classes and give every class its own test fixture, so the class set is provably complete against Chapter 3 4.5.14 rather than approximately complete.</t>
  </si>
  <si>
    <t>Fifteen fixtures, fifteen codes, fifteen passing tests. A test that enumerates the PV enum and fails if any member has no fixture.</t>
  </si>
  <si>
    <t>T-101</t>
  </si>
  <si>
    <t>Quarantine retry, reprocess and Mapping Health completion</t>
  </si>
  <si>
    <t>Complete the C2 Mapping Health page against Chapter 3 4.4 C2: issues grouped by code, example rows, and Reprocess after the mapping is corrected. The M1 version delivered the shape; this delivers the full class set and the retry semantics.</t>
  </si>
  <si>
    <t>Quarantine rows under three different codes, correct one mapping, reprocess, and confirm only the affected rows clear. The M1 continuity snapshot of this page must still match.</t>
  </si>
  <si>
    <t>T-102</t>
  </si>
  <si>
    <t>Identity resolution across sources</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</si>
  <si>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</si>
  <si>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</si>
  <si>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T-103</t>
  </si>
  <si>
    <t>Genealogy bidirectional walk hardening and weight proof</t>
  </si>
  <si>
    <t>Confirm the genealogy layer walks both directions on the customer's own keys and that attribution weights are enforced to sum to exactly 1.0 per child by the database trigger on genealogy_edges.contribution_weight numeric(9,6).</t>
  </si>
  <si>
    <t>Walk a chain backward and forward and confirm the same edges are traversed. Attempt an insert whose weights sum to 0.99 inside a transaction and confirm the trigger rejects it, then roll back.</t>
  </si>
  <si>
    <t>T-104</t>
  </si>
  <si>
    <t>Projection through the versioned mapping, with version stamping</t>
  </si>
  <si>
    <t>Projection</t>
  </si>
  <si>
    <t>Complete the DF5 contract: source-shaped staging projects into the canonical plant model through the customer-authored versioned mapping, and every projected row records the mapping version that produced it.</t>
  </si>
  <si>
    <t>Project a batch, change the mapping version, project again, and confirm each row records the version that produced it. No row may carry a null mapping version.</t>
  </si>
  <si>
    <t>T-105</t>
  </si>
  <si>
    <t>Idempotent reprojection and mapping-version regression</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</si>
  <si>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</si>
  <si>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</si>
  <si>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T-106</t>
  </si>
  <si>
    <t>M2a-P3</t>
  </si>
  <si>
    <t>Job target version policy and dependency DAG</t>
  </si>
  <si>
    <t>Build on the M1 target_definition_id work: add the full version policy (pinned or current published), the job dependency graph, and cycle validation.</t>
  </si>
  <si>
    <t>Declare a three-job chain, run it, and confirm order. Introduce a cycle and confirm it is refused at save time with a named code.</t>
  </si>
  <si>
    <t>T-107</t>
  </si>
  <si>
    <t>Weighted pools, compute weights and admission control</t>
  </si>
  <si>
    <t>Implement mechanisms 3 and 4 from Chapter 4 5.3.2: skip-if-running, latest-only, and admission control with weighted pools per job class.</t>
  </si>
  <si>
    <t>Schedule more jobs than the pool allows and confirm they queue rather than degrade the machine. Confirm a second instance of a running job is skipped, not queued twice.</t>
  </si>
  <si>
    <t>T-108</t>
  </si>
  <si>
    <t>stage_watermarks and delta-scoped projection</t>
  </si>
  <si>
    <t>Delta propagation</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</si>
  <si>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</si>
  <si>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Change one source row and confirm projection processes a bounded delta rather than a full scan, evidenced by rows-scanned telemetry.</t>
  </si>
  <si>
    <t>T-109</t>
  </si>
  <si>
    <t>Delta-scoped feature refresh and analysis, with telemetry</t>
  </si>
  <si>
    <t>Extend the delta strategy to the feature refresh and analysis job classes, and emit rows-scanned telemetry per stage so amplification can be measured.</t>
  </si>
  <si>
    <t>Change one source row and confirm the feature and analysis stages each scan a bounded delta. Telemetry must report rows scanned per stage per run.</t>
  </si>
  <si>
    <t>T-110</t>
  </si>
  <si>
    <t>Chunk manifests, checkpoint, resume and deterministic merge</t>
  </si>
  <si>
    <t>Implement Chapter 4 5.3.9.6a: bounded chunks with receipts, checkpoint and resume after interruption, and a deterministic merge so a resumed run produces the same result as an uninterrupted one.</t>
  </si>
  <si>
    <t>Kill a running job at 60 percent, restart it, and confirm the final result is byte-identical to an uninterrupted run over the same input.</t>
  </si>
  <si>
    <t>T-111</t>
  </si>
  <si>
    <t>Scan budget and the Scan Amplification metric</t>
  </si>
  <si>
    <t>Monitoring</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</si>
  <si>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</si>
  <si>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</si>
  <si>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T-112</t>
  </si>
  <si>
    <t>Force RLS on every tenant-owned table with an architecture test</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</si>
  <si>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</si>
  <si>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</si>
  <si>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A query listing tenant-owned tables without a policy returns zero rows. Add a new tenant table in a branch and confirm the architecture test goes red before it is merged.</t>
  </si>
  <si>
    <t>T-113</t>
  </si>
  <si>
    <t>Secret and configuration hygiene</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</si>
  <si>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</si>
  <si>
    <t>A secret scan across the repository returns no live credential. Generate an audit package and confirm secrets are masked. Confirm the E2E stack still runs with credentials supplied from the environment.</t>
  </si>
  <si>
    <t>T-114</t>
  </si>
  <si>
    <t>Tenant keys, tenant-aware uniqueness and canonical namespace on new APIs</t>
  </si>
  <si>
    <t>Apply tenant keys and tenant-aware uniqueness to every table introduced in M1 and M2a,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</si>
  <si>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</si>
  <si>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T-115</t>
  </si>
  <si>
    <t>Fresh-install Rule 2 acceptance test, ephemeral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</si>
  <si>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</si>
  <si>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</si>
  <si>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T-116</t>
  </si>
  <si>
    <t>API namespace migration, part 1: map the 92 prefixes onto the 27 domains and stand up dual-serve</t>
  </si>
  <si>
    <t>Namespace</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</si>
  <si>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</si>
  <si>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Every one of the 544 routes appears exactly once in the mapping table. Both the old and the new path return identical responses for a sample of twenty routes.</t>
  </si>
  <si>
    <t>T-117</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</si>
  <si>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</si>
  <si>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</si>
  <si>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A test asserting no registered route matches /phase\d+|\/v\d+\/|p\d\d/. Open the browser network tab during the golden journey and confirm no request URL carries a phase or version token.</t>
  </si>
  <si>
    <t>T-118</t>
  </si>
  <si>
    <t>M2a-P4</t>
  </si>
  <si>
    <t>J1 to J3 commissioning built for real</t>
  </si>
  <si>
    <t>Commissioning</t>
  </si>
  <si>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</si>
  <si>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Commission a site from an empty database following only the runbook, with no developer intervention and no database console. Confirm the customer administrator is not created automatically.</t>
  </si>
  <si>
    <t>T-119</t>
  </si>
  <si>
    <t>Eight-role catalogue with three enforcement layers</t>
  </si>
  <si>
    <t>Users and roles</t>
  </si>
  <si>
    <t>Implement the role catalogue as the shipped default with a three-role minimum as the smallest legal configuration, enforced at the API, the query and the UI layers. FormalRoleAccessMatrix already models capabilities including AssistantChat; extend rather than replace it.</t>
  </si>
  <si>
    <t>A matrix test asserting every role against every capability, at all three layers. Confirm a viewer cannot author SQL at any licence tier, which is a standing ruling.</t>
  </si>
  <si>
    <t>T-120</t>
  </si>
  <si>
    <t>Users and Roles administration surface</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</si>
  <si>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</si>
  <si>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</si>
  <si>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T-121</t>
  </si>
  <si>
    <t>Licence and entitlement enforcement</t>
  </si>
  <si>
    <t>Licence</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</si>
  <si>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</si>
  <si>
    <t>Exceed a meter and confirm the import queues and the job waits for a slot rather than failing. Confirm the customer can see their own approach to each meter in the interface, since a limit the customer cannot see is a trap.</t>
  </si>
  <si>
    <t>T-122</t>
  </si>
  <si>
    <t>Container architecture and configuration profiles</t>
  </si>
  <si>
    <t>Deployment</t>
  </si>
  <si>
    <t>Chapter 6 6.1.2 specifies sixteen containers with one responsibility each and four configuration profiles. Infrastructure today is eight files and 856 lines. Build the container set, the image policy, health and readiness endpoints, and volume and secret segmentation.</t>
  </si>
  <si>
    <t>Bring up each of the four profiles from a clean machine. Every container reports healthy. Confirm no container has a responsibility that belongs to another.</t>
  </si>
  <si>
    <t>T-123</t>
  </si>
  <si>
    <t>Install package, migration runner, upgrade and rollback</t>
  </si>
  <si>
    <t>Build the fresh installation and upgrade paths from Chapter 6 6.1.4, including what an upgrade may never do, and a rollback path. Migration runs as a deployment step rather than as a manual action.</t>
  </si>
  <si>
    <t>Install on a clean machine, upgrade from the previous version, then roll back. All three complete without manual database intervention. Run the fourteen post-deployment acceptance checks from 6.1.4.6.</t>
  </si>
  <si>
    <t>T-124</t>
  </si>
  <si>
    <t>Backup with a tested restore acceptance procedure</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</si>
  <si>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</si>
  <si>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</si>
  <si>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</si>
  <si>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T-125</t>
  </si>
  <si>
    <t>Minimum monitoring, health and alerting</t>
  </si>
  <si>
    <t>Implement the minimum from Chapter 6 6.1.12 required to operate a soft test: per-component metrics, alert severity and escalation, and the operational dashboard. Full observability and SLOs are M3.</t>
  </si>
  <si>
    <t>Trigger each alert condition deliberately and confirm it fires with the correct severity and reaches the configured channel.</t>
  </si>
  <si>
    <t>T-126</t>
  </si>
  <si>
    <t>Support runbook and UAT dataset and configuration import</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</si>
  <si>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</si>
  <si>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</si>
  <si>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</si>
  <si>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T-127</t>
  </si>
  <si>
    <t>Canonical journey regression and the Continuity comparison</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</si>
  <si>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</si>
  <si>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</si>
  <si>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T-128</t>
  </si>
  <si>
    <t>M2b</t>
  </si>
  <si>
    <t>M2b-P1</t>
  </si>
  <si>
    <t>Feature store, outcome store and snapshots</t>
  </si>
  <si>
    <t>Intelligence store</t>
  </si>
  <si>
    <t>Build the versioned feature and outcome history with snapshots, per Chapter 3 4.5.12. This is prerequisite to everything downstream, and nothing downstream may invent its own persistence.</t>
  </si>
  <si>
    <t>Compute a feature set, snapshot it, change the underlying data, and confirm the snapshot still reproduces the original training input exactly.</t>
  </si>
  <si>
    <t>T-129</t>
  </si>
  <si>
    <t>Compute runs and correlation result persistence</t>
  </si>
  <si>
    <t>Unify compute run records with gate state and gate evidence, and move correlation results onto the common substrate with evidence handles.</t>
  </si>
  <si>
    <t>Every result row resolves to its run, its gate state and its evidence. A result with an unresolvable evidence handle fails the test.</t>
  </si>
  <si>
    <t>T-130</t>
  </si>
  <si>
    <t>Model registry, serving identity and fallback</t>
  </si>
  <si>
    <t>Model lifecycle</t>
  </si>
  <si>
    <t>Implement serving_role and the six-condition fallback policy from Chapter 4 5.6.7a, with drift observations.</t>
  </si>
  <si>
    <t>Promote a model, force each of the six fallback conditions, and confirm the correct fallback occurs and is recorded. Confirm no prediction is served by a model without a serving role.</t>
  </si>
  <si>
    <t>T-131</t>
  </si>
  <si>
    <t>Practice signature, windowing, context and cohorts</t>
  </si>
  <si>
    <t>Practice learning</t>
  </si>
  <si>
    <t>Implement the practice-learning engine core from Chapter 4 5.6.4b: signature construction, parameter windowing, context, and the comparison cohort.</t>
  </si>
  <si>
    <t>On the certified Fleet v2 M2 reference dataset frozen in T-086, confirm the engine recovers the good-practice band generated in M1-P1b and does not recover a band from the null control.</t>
  </si>
  <si>
    <t>T-132</t>
  </si>
  <si>
    <t>Support, confidence, back-off ladder and tolerance sensitivity</t>
  </si>
  <si>
    <t>Add support and confidence ranking, the back-off ladder for sparse cohorts, and the tolerance sensitivity test that flags a practice whose result depends on the tolerance chosen.</t>
  </si>
  <si>
    <t>A practice that survives resampling is ranked; one that does not is flagged. Widen the tolerance and confirm any practice whose result flips is marked sensitive.</t>
  </si>
  <si>
    <t>T-133</t>
  </si>
  <si>
    <t>practice_statistics persistence, drift and D10 Practice Insights</t>
  </si>
  <si>
    <t>Persist practice statistics, implement drift detection against the plant's own demonstrated best, and build the D10 page from Chapter 3 4.4.</t>
  </si>
  <si>
    <t>Shift the operating data away from the learned band and confirm drift is detected and surfaced with its evidence.</t>
  </si>
  <si>
    <t>T-134</t>
  </si>
  <si>
    <t>Bindable intelligence registry and evidence handles</t>
  </si>
  <si>
    <t>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</si>
  <si>
    <t>Bind a prediction to a chart through the normal authoring shell with no code change, filter it, drill into it, and open its evidence. Then break one evidence handle and confirm the widget refuses rather than rendering an uncited number.</t>
  </si>
  <si>
    <t>T-135</t>
  </si>
  <si>
    <t>Tenant-aware uniqueness across the intelligence tables</t>
  </si>
  <si>
    <t>Every intelligence table added in this phase is tenant-owned. Apply tenant keys and tenant-aware uniqueness consistently, so two tenants can hold the same natural key without collision, and add the tables to the RLS architecture test built in M2a-P3.</t>
  </si>
  <si>
    <t>Insert the same natural key for two tenants and confirm both persist. Confirm the RLS architecture test fails if one of the new tables is added without a policy.</t>
  </si>
  <si>
    <t>T-136</t>
  </si>
  <si>
    <t>Incremental practice recomputation</t>
  </si>
  <si>
    <t>Make practice recomputation incremental against the stage watermarks built in M2a-P3, so a growing history does not become a full recompute.</t>
  </si>
  <si>
    <t>Add one day of data and confirm the recomputation scans a bounded delta, evidenced by the Scan Amplification metric staying within baseline.</t>
  </si>
  <si>
    <t>T-137</t>
  </si>
  <si>
    <t>Wire a real model behind the assistant provider seam</t>
  </si>
  <si>
    <t>Optional</t>
  </si>
  <si>
    <t>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</si>
  <si>
    <t>With the endpoint unset the extractive model answers and the product still works. With it set, answers improve and every number is still cited. The demonstration must never depend on network access in the room, which is why this is not M1 work.</t>
  </si>
  <si>
    <t>T-138</t>
  </si>
  <si>
    <t>Assistant finalisation on canonical sources</t>
  </si>
  <si>
    <t>Move the assistant off any M1-specific retrieval or prepared state and onto the canonical intelligence sources, keeping the M1 dock UX unchanged.</t>
  </si>
  <si>
    <t>The continuity snapshot of the assistant dock still matches. Every answer resolves to canonical evidence with no prepared corpus in the path.</t>
  </si>
  <si>
    <t>T-139</t>
  </si>
  <si>
    <t>M2b-P2</t>
  </si>
  <si>
    <t>prediction_runs, predictions and prediction_current</t>
  </si>
  <si>
    <t>Prediction</t>
  </si>
  <si>
    <t>Build the operational prediction pipeline and prediction_current as the complete operational read model, per Chapter 3 4.5.12.</t>
  </si>
  <si>
    <t>Score a live population and confirm prediction_current reflects exactly the active predictions with no stale rows.</t>
  </si>
  <si>
    <t>T-140</t>
  </si>
  <si>
    <t>Prediction drivers and comparables, persisted</t>
  </si>
  <si>
    <t>Persist the contributing drivers and comparable historical cases so explainability is drillable rather than narrated.</t>
  </si>
  <si>
    <t>Open a prediction and confirm its drivers and comparables come from persisted rows, not from a UI computation. Delete the rows and confirm the UI refuses rather than inventing.</t>
  </si>
  <si>
    <t>T-141</t>
  </si>
  <si>
    <t>Actionable deadline and latency health</t>
  </si>
  <si>
    <t>Implement actionable_deadline_utc and met_actionable_deadline from Chapter 4 5.8.8, so a prediction that arrives after the stage that could act on it is visibly recorded as missed.</t>
  </si>
  <si>
    <t>Force a late prediction and confirm it is recorded as having missed its deadline and is not presented as actionable.</t>
  </si>
  <si>
    <t>T-142</t>
  </si>
  <si>
    <t>Remediation candidate generation from the customer's own history</t>
  </si>
  <si>
    <t>Remediation</t>
  </si>
  <si>
    <t>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</si>
  <si>
    <t>Generate candidates on the certified Fleet v2 M2 reference dataset frozen in T-086 and confirm each carries a support count above the configured threshold, an effect range and resolvable comparable evidence. A candidate with insufficient support must not be generated at all.</t>
  </si>
  <si>
    <t>T-143</t>
  </si>
  <si>
    <t>The per-prediction nine-check eligibility gate, can_accept and suppression</t>
  </si>
  <si>
    <t>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</si>
  <si>
    <t>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</si>
  <si>
    <t>T-144</t>
  </si>
  <si>
    <t>Accept, Reject and Defer with action recording</t>
  </si>
  <si>
    <t>Feedback loop</t>
  </si>
  <si>
    <t>Implement the human decision boundary from Chapter 3 DF14: Accept, Reject and Defer, each recorded with its actor, timestamp and reason, and each producing an action record. The product must never automatically control the plant.</t>
  </si>
  <si>
    <t>Take each of the three decisions and confirm each is recorded with actor and reason and produces the correct downstream state. Confirm no code path issues a control instruction to any source system.</t>
  </si>
  <si>
    <t>T-145</t>
  </si>
  <si>
    <t>Outcome capture, evaluation and escalation</t>
  </si>
  <si>
    <t>Capture the observed outcome after the fact, write the evaluation that closes the loop, and implement remediation_escalations for the cases that need a human above the operator.</t>
  </si>
  <si>
    <t>Accept a candidate, let the outcome arrive, and confirm the evaluation is written and feeds the next governed review. Trigger an escalation condition and confirm it routes correctly.</t>
  </si>
  <si>
    <t>T-146</t>
  </si>
  <si>
    <t>Retire the superseded correlation engine</t>
  </si>
  <si>
    <t>Consolidation</t>
  </si>
  <si>
    <t>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</si>
  <si>
    <t>One engine remains reachable. A test asserts no compute path can write a finding without passing the readiness gate.</t>
  </si>
  <si>
    <t>T-147</t>
  </si>
  <si>
    <t>Fix the outcome namespace, grain assignment and ordinal loader</t>
  </si>
  <si>
    <t>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</si>
  <si>
    <t>One namespace across engine and registry. Correct the grain in the refresh routine and confirm it survives a refresh. Load an ordinal outcome and confirm the minority fraction reflects the real class spread.</t>
  </si>
  <si>
    <t>T-148</t>
  </si>
  <si>
    <t>Map the 108 page files onto the 40 target pages</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</si>
  <si>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</si>
  <si>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A test asserting every page file under src/pages is reachable from a declared route. The count of page files moves toward 40 and no orphan remains.</t>
  </si>
  <si>
    <t>T-149</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</si>
  <si>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</si>
  <si>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</si>
  <si>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</si>
  <si>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T-150</t>
  </si>
  <si>
    <t>Complete the test gates</t>
  </si>
  <si>
    <t>Add the remaining pipeline stages from Chapter 6 6.1.3 to reach the specified twenty-two, make visual regression and accessibility blocking, and make the golden journey J1 to J15 a merge blocker.</t>
  </si>
  <si>
    <t>A deliberately broken golden journey blocks a merge. A deliberately introduced contrast failure blocks a merge. Both then revert to green.</t>
  </si>
  <si>
    <t>T-151</t>
  </si>
  <si>
    <t>M3</t>
  </si>
  <si>
    <t>M3-P1</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</si>
  <si>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</si>
  <si>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</si>
  <si>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</si>
  <si>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</si>
  <si>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T-152</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</si>
  <si>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</si>
  <si>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</si>
  <si>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</si>
  <si>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T-153</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</si>
  <si>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</si>
  <si>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</si>
  <si>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</si>
  <si>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t>
  </si>
  <si>
    <t>T-154</t>
  </si>
  <si>
    <t>Query plans, indexes and partition boundaries</t>
  </si>
  <si>
    <t>Performance</t>
  </si>
  <si>
    <t>Tune against real measurements from the customer's volumes, not against assumptions.</t>
  </si>
  <si>
    <t>Before and after query plans recorded for the ten slowest queries, with the improvement measured.</t>
  </si>
  <si>
    <t>T-155</t>
  </si>
  <si>
    <t>Pool weights, scan amplification and model-serving memory</t>
  </si>
  <si>
    <t>Tune the concurrency and memory model to the site's measured load.</t>
  </si>
  <si>
    <t>Scan Amplification stays within baseline under real load. No job class starves another.</t>
  </si>
  <si>
    <t>T-156</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</si>
  <si>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</si>
  <si>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</si>
  <si>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</si>
  <si>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</si>
  <si>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T-157</t>
  </si>
  <si>
    <t>Practice and prediction calibration</t>
  </si>
  <si>
    <t>Calibration</t>
  </si>
  <si>
    <t>Longer data window, retrain and validate under governance, tune thresholds, measure deadline health.</t>
  </si>
  <si>
    <t>A governed retraining record exists for each model, with the drift test that gated its release.</t>
  </si>
  <si>
    <t>T-158</t>
  </si>
  <si>
    <t>Remediation validation against real process constraints</t>
  </si>
  <si>
    <t>Validate actionability rules against the customer's real process constraints. The human approval boundary stays intact.</t>
  </si>
  <si>
    <t>Each of the nine checks validated against a real constraint. No path permits automatic plant control.</t>
  </si>
  <si>
    <t>T-159</t>
  </si>
  <si>
    <t>M3-P2</t>
  </si>
  <si>
    <t>C1 to C4 capacity certification</t>
  </si>
  <si>
    <t>Certification</t>
  </si>
  <si>
    <t>Run the four capacity profiles and site benchmarks, and replace the ten REFERENCE_ASSUMPTION constants in the Chapter 6 sizing model with measured values.</t>
  </si>
  <si>
    <t>Every worked example in Chapter 6 6.1.9.6 recomputes correctly from measured constants. Chapter 6 is then frozen.</t>
  </si>
  <si>
    <t>T-160</t>
  </si>
  <si>
    <t>HA, DR and restore rehearsal</t>
  </si>
  <si>
    <t>Resilience</t>
  </si>
  <si>
    <t>Production topology, RPO and RTO objectives, and a real disaster-recovery rehearsal.</t>
  </si>
  <si>
    <t>A full recovery rehearsal completes within the stated RPO and RTO, witnessed and recorded.</t>
  </si>
  <si>
    <t>T-161</t>
  </si>
  <si>
    <t>SSO and identity integration</t>
  </si>
  <si>
    <t>Integrate the customer identity provider with the final role catalogue, account lifecycle and emergency access.</t>
  </si>
  <si>
    <t>Account provisioning, de-provisioning and emergency access all tested against the customer directory.</t>
  </si>
  <si>
    <t>T-162</t>
  </si>
  <si>
    <t>Site security hardening and sign-off</t>
  </si>
  <si>
    <t>Network rules, secrets, certificate rotation, RLS and tenant proof, audit review.</t>
  </si>
  <si>
    <t>A tenant-isolation proof from the database alone, plus a signed security review.</t>
  </si>
  <si>
    <t>T-163</t>
  </si>
  <si>
    <t>Monitoring, SLOs and support escalation</t>
  </si>
  <si>
    <t>Operational dashboards, alerts, queue and latency and backup and certificate health, and the escalation path.</t>
  </si>
  <si>
    <t>Each SLO has a measured baseline and an alert that fires before it is breached.</t>
  </si>
  <si>
    <t>T-164</t>
  </si>
  <si>
    <t>The Value Engine</t>
  </si>
  <si>
    <t>Value</t>
  </si>
  <si>
    <t>Build value_impacts, cost_assumptions, the value realisation ledger and the D7 Value Dashboard, honouring the two-downtime-quantity rule. This is the only work that moves the economic buyer, and the pilot supplies the real numbers it needs.</t>
  </si>
  <si>
    <t>A euro figure is only ever shown as a bounded range with its assumptions visible and its evidence resolvable. No number without evidence.</t>
  </si>
  <si>
    <t>T-165</t>
  </si>
  <si>
    <t>Commercial capacity finalisation and the sales calculator</t>
  </si>
  <si>
    <t>Commercial</t>
  </si>
  <si>
    <t>Validate the real user, page, job, DB-link and data bands against measured infrastructure, and build the Sales Administration and capacity calculator from Chapter 6 6.3.8.</t>
  </si>
  <si>
    <t>A quote produced by the calculator matches the measured server class for the same inputs.</t>
  </si>
  <si>
    <t>T-166</t>
  </si>
  <si>
    <t>Five-product website production completion</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</si>
  <si>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t>
  </si>
  <si>
    <t>Each of the five products has a complete page under the Golden Rule product-page contract. Every claim passes the Chapter 6 6.2.10 honesty rule and the certification is recorded. Lead flow tested end to end on each page.</t>
  </si>
  <si>
    <t>T-167</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</si>
  <si>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</si>
  <si>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</si>
  <si>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</si>
  <si>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Milestone</t>
  </si>
  <si>
    <t>Phase Title</t>
  </si>
  <si>
    <t>Intent</t>
  </si>
  <si>
    <t>Tasks</t>
  </si>
  <si>
    <t>Presentation Truth and Dataset Foundation</t>
  </si>
  <si>
    <t>Establish what will be shown, prove the environment rebuilds from source control, and plant the analytical phenomena the whole demonstration feeds on. Blocks M1-P3 and M1-P5.</t>
  </si>
  <si>
    <t>Presentation Fleet v2 - capture, reconcile, enhance, scale, materialise canonical, prove</t>
  </si>
  <si>
    <t>Capture the donor state in code, reconcile against the 36 charts, extend the generator, merge the historical generations into one truth, scale, materialise the presentation canonical operational entities, compute the analysis entities with the real engines, and prove every phenomenon. Staging materialisation and cross-layer certification open M1-P2; native fixtures and the full path are M2a.</t>
  </si>
  <si>
    <t>No-Code Authoring Shell - wiring, SQL and widget authoring</t>
  </si>
  <si>
    <t>Presentation beat 1 and half of beat 2. The one shell serving five purposes, in both modes, producing one governed definition. Visible contract is final; persistence behind it may be adapted.</t>
  </si>
  <si>
    <t>BI Workspace and the Seven Showcase Pages</t>
  </si>
  <si>
    <t>Presentation beat 2. Seven dashboards are already seeded; this phase is certification, differentiation and interaction quality, not construction.</t>
  </si>
  <si>
    <t>Journey J4 to J15 and the Engine Slice</t>
  </si>
  <si>
    <t>Presentation beats 3 and 4. RENAMED IN v2.2: the website tasks live in M1-P5, so this phase no longer carries beat 6. Every visible transition credible with no dead end. J1 to J3 are commissioning per Chapter 5 and are narrated, not demonstrated.</t>
  </si>
  <si>
    <t>Assistant Dock and Presentation Certification</t>
  </si>
  <si>
    <t>Presentation beat 5 plus the certification gate. Deliberately smaller than the other phases because it runs in the last week and must absorb slippage from M1-P1 and M1-P3.</t>
  </si>
  <si>
    <t>Canonical Schema Authority and the Unified Definition Store</t>
  </si>
  <si>
    <t>Replace the M1 compatibility adapter with the real definition store and move the schema to its final three-schema topology, without the customer-visible contract moving.</t>
  </si>
  <si>
    <t>Permanent Relationship Model and Projection Quarantine</t>
  </si>
  <si>
    <t>Turn the M1 single-relationship slice into the permanent product mechanism, and make customer data failures visible, typed and recoverable.</t>
  </si>
  <si>
    <t>Job Runtime, Delta Propagation and Security Hardening</t>
  </si>
  <si>
    <t>Make execution bounded and tenancy real. Chapter 4 5.3.9 proves that the answer to large data is architecture, not tighter licence limits.</t>
  </si>
  <si>
    <t>Commissioning, Roles, Licence and the On-Site Package</t>
  </si>
  <si>
    <t>Everything required to install and operate at the customer site. The visible surfaces were frozen in M1; this is the backend and the operational package behind them.</t>
  </si>
  <si>
    <t>Intelligence Substrate and Practice Learning</t>
  </si>
  <si>
    <t>Shipped as a governed update during the soft-test period. The readiness gate requires 60 independent units and 40 outcome events, so these engines must not be relied upon to become statistically ready during the initial soft-test window - a high-throughput plant can reach those thresholds quickly, and the wording matters because the absolute version was corrected once already in v2.0.</t>
  </si>
  <si>
    <t>Prediction, Remediation, Engine Consolidation and Gates</t>
  </si>
  <si>
    <t>The differentiating intelligence, plus the retirement of superseded engines and the completion of the test gates.</t>
  </si>
  <si>
    <t>Site Stabilisation and Real-Data Performance</t>
  </si>
  <si>
    <t>Reserved capacity. Half of M3 is written by the customer during the soft test; these phases exist so that work has a home and does not become unplanned scope.</t>
  </si>
  <si>
    <t>Production Certification, Enterprise Operations and Commercial Completion</t>
  </si>
  <si>
    <t>What the sale depends on. Chapter 6 cannot be frozen until C1 to C4 replace the reference assumptions.</t>
  </si>
  <si>
    <t>TOTAL</t>
  </si>
  <si>
    <t>Definition</t>
  </si>
  <si>
    <t>Customer presentation, 574 h of BASELINE SCOPE as corrected in v2.9.1. Freeze what the customer can see; adapt what sits behind it.</t>
  </si>
  <si>
    <t>Deployable core, 432 h. Canonical journey and installability. Prediction and remediation surfaces present but legitimately readiness-blocked.</t>
  </si>
  <si>
    <t>Intelligence completion, 233 h, shipped as a governed update during the soft test. Full functional J1-J15 acceptance happens here, not at M2a.</t>
  </si>
  <si>
    <t>Site stabilisation, real-data performance, certification and commercial completion.</t>
  </si>
  <si>
    <t>PPIQ EXECUTABLE BACKLOG v2.9.1 - LEGEND</t>
  </si>
  <si>
    <t>Edit only these columns</t>
  </si>
  <si>
    <t>Status (column K on the Backlog sheet). Everything else is generated from the plan.</t>
  </si>
  <si>
    <t>PLANNED EXECUTION ORDER, dependency-aware. Not severity order - severity is the Priority column. Ids restart at each backlog epoch.</t>
  </si>
  <si>
    <t>M1 presentation / M2a deployable core / M2b intelligence completion / M3 site and production.</t>
  </si>
  <si>
    <t>A group of tasks on one topic, 80 to 120 hours, no exceptions. Every phase ends pushable.</t>
  </si>
  <si>
    <t>Critical / Very Important / Important / Optional. This is SEVERITY, not sequence.</t>
  </si>
  <si>
    <t>No task exceeds 12 hours. Larger items were split.</t>
  </si>
  <si>
    <t>Status values to use</t>
  </si>
  <si>
    <t>Not Started / In Progress / Blocked / Done. There is no Partial: a partial task is rewritten as its remainder with a fresh estimate. T-007 and T-008 were reopened and then CLOSED as pre-generation specifications; both now read Done, as do T-001 to T-013.</t>
  </si>
  <si>
    <t>Definition of Done</t>
  </si>
  <si>
    <t>The Validation column passes in a browser or against a running system. Compiling is not done. Gates passing is not done.</t>
  </si>
  <si>
    <t>Governing law</t>
  </si>
  <si>
    <t>Temporary data is allowed. Temporary internal implementation is sometimes allowed. Temporary product identity, UX, workflow or behaviour is never allowed.</t>
  </si>
  <si>
    <t>M1 visible contract</t>
  </si>
  <si>
    <t>UI appearance, UX flow, routes, terminology, control behaviour and placement, and visible state and refusal semantics are final in M1.</t>
  </si>
  <si>
    <t>M1 hidden implementation</t>
  </si>
  <si>
    <t>May be a compatibility adapter, temporary schema, or partial algorithm, but only if replacing it later changes nothing the customer can see.</t>
  </si>
  <si>
    <t>Never allowed</t>
  </si>
  <si>
    <t>A fake hardcoded product answer, at any milestone.</t>
  </si>
  <si>
    <t>Example row</t>
  </si>
  <si>
    <t>T-001 / M1 / M1-P1 / Build the six-beat Design Traceability Matrix / Documentation / Design contract / Critical / 8 h / Not Started</t>
  </si>
  <si>
    <t>Source</t>
  </si>
  <si>
    <t>Estimates by Claude against Master Design Chapters 1 to 6 and the UltimateAudit_29Jul2026_233112 repository package. All hours are estimates.</t>
  </si>
  <si>
    <t>InProgress</t>
  </si>
  <si>
    <t xml:space="preserve">Total required till Presentation </t>
  </si>
  <si>
    <t xml:space="preserve">Total done </t>
  </si>
  <si>
    <t>Total remaining</t>
  </si>
  <si>
    <t>Percentage of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</si>
</sst>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0"/>
      <color rgb="FFEAF6FF"/>
      <name val="Arial"/>
      <family val="2"/>
    </font>
    <font>
      <sz val="9"/>
      <name val="Arial"/>
      <family val="2"/>
    </font>
    <font>
      <b/>
      <sz val="9"/>
      <name val="Arial"/>
      <family val="2"/>
    </font>
    <font>
      <b/>
      <sz val="10"/>
      <name val="Arial"/>
      <family val="2"/>
    </font>
    <font>
      <b/>
      <sz val="11"/>
      <name val="Arial"/>
      <family val="2"/>
    </font>
    <font>
      <b/>
      <sz val="13"/>
      <name val="Arial"/>
      <family val="2"/>
    </font>
  </fonts>
  <fills count="9">
    <fill>
      <patternFill patternType="none"/>
    </fill>
    <fill>
      <patternFill patternType="gray125"/>
    </fill>
    <fill>
      <patternFill patternType="solid">
        <fgColor rgb="FF0B1730"/>
      </patternFill>
    </fill>
    <fill>
      <patternFill patternType="solid">
        <fgColor rgb="FF00D4FF"/>
      </patternFill>
    </fill>
    <fill>
      <patternFill patternType="solid">
        <fgColor rgb="FF0A84FF"/>
      </patternFill>
    </fill>
    <fill>
      <patternFill patternType="solid">
        <fgColor rgb="FF2CE6A2"/>
      </patternFill>
    </fill>
    <fill>
      <patternFill patternType="solid">
        <fgColor rgb="FF8EA7C1"/>
      </patternFill>
    </fill>
    <fill>
      <patternFill patternType="solid">
        <fgColor rgb="FF92D050"/>
        <bgColor indexed="64"/>
      </patternFill>
    </fill>
    <fill>
      <patternFill patternType="solid">
        <fgColor rgb="FFFFFF00"/>
        <bgColor indexed="64"/>
      </patternFill>
    </fill>
  </fills>
  <borders count="3">
    <border>
      <left/>
      <right/>
      <top/>
      <bottom/>
      <diagonal/>
    </border>
    <border>
      <left style="thin">
        <color rgb="FF1D3A63"/>
      </left>
      <right style="thin">
        <color rgb="FF1D3A63"/>
      </right>
      <top style="thin">
        <color rgb="FF1D3A63"/>
      </top>
      <bottom style="thin">
        <color rgb="FF1D3A6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2" fillId="0" borderId="1" xfId="0" applyFont="1" applyBorder="1" applyAlignment="1">
      <alignment vertical="top" wrapText="1"/>
    </xf>
    <xf numFmtId="0" fontId="1" fillId="2" borderId="1" xfId="0" applyFont="1" applyFill="1" applyBorder="1" applyAlignment="1">
      <alignment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4" fillId="0" borderId="0" xfId="0" applyFont="1"/>
    <xf numFmtId="0" fontId="1" fillId="2" borderId="1" xfId="0" applyFont="1" applyFill="1" applyBorder="1"/>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5" fillId="0" borderId="0" xfId="0" applyFont="1"/>
    <xf numFmtId="0" fontId="6" fillId="0" borderId="0" xfId="0" applyFont="1"/>
    <xf numFmtId="0" fontId="3" fillId="0" borderId="0" xfId="0" applyFont="1"/>
    <xf numFmtId="0" fontId="2" fillId="0" borderId="0" xfId="0" applyFont="1" applyAlignment="1">
      <alignment vertical="top" wrapText="1"/>
    </xf>
    <xf numFmtId="0" fontId="1" fillId="2" borderId="2" xfId="0" applyFont="1" applyFill="1" applyBorder="1" applyAlignment="1">
      <alignment horizontal="left" vertical="center" wrapText="1"/>
    </xf>
    <xf numFmtId="0" fontId="0" fillId="7" borderId="2" xfId="0" applyFill="1" applyBorder="1"/>
    <xf numFmtId="0" fontId="0" fillId="0" borderId="2" xfId="0" applyBorder="1"/>
    <xf numFmtId="0" fontId="0" fillId="7" borderId="2" xfId="0" applyFill="1" applyBorder="1" applyAlignment="1">
      <alignment horizontal="left"/>
    </xf>
    <xf numFmtId="0" fontId="1" fillId="2" borderId="2" xfId="0" applyFont="1" applyFill="1" applyBorder="1" applyAlignment="1">
      <alignment horizontal="left" vertical="center"/>
    </xf>
    <xf numFmtId="0" fontId="0" fillId="0" borderId="0" xfId="0" applyAlignment="1"/>
    <xf numFmtId="0" fontId="0" fillId="7" borderId="2" xfId="0" applyFill="1" applyBorder="1" applyAlignment="1">
      <alignment wrapText="1"/>
    </xf>
    <xf numFmtId="0" fontId="0" fillId="0" borderId="2" xfId="0" applyBorder="1" applyAlignment="1">
      <alignment wrapText="1"/>
    </xf>
    <xf numFmtId="0" fontId="0" fillId="7" borderId="2" xfId="0" applyFill="1" applyBorder="1" applyAlignment="1">
      <alignment horizontal="left" wrapText="1"/>
    </xf>
    <xf numFmtId="0" fontId="0" fillId="0" borderId="0" xfId="0" applyAlignment="1">
      <alignment wrapText="1"/>
    </xf>
    <xf numFmtId="0" fontId="0" fillId="0" borderId="0" xfId="0" applyFill="1" applyAlignment="1">
      <alignment horizontal="left"/>
    </xf>
    <xf numFmtId="0" fontId="0" fillId="7" borderId="2" xfId="0" applyFill="1" applyBorder="1" applyAlignment="1">
      <alignment horizontal="right"/>
    </xf>
    <xf numFmtId="0" fontId="0" fillId="8" borderId="2" xfId="0" applyFill="1" applyBorder="1"/>
    <xf numFmtId="0" fontId="0" fillId="8" borderId="2" xfId="0" applyFill="1" applyBorder="1" applyAlignment="1">
      <alignment wrapText="1"/>
    </xf>
    <xf numFmtId="0" fontId="2" fillId="0" borderId="2" xfId="0" applyFont="1" applyFill="1" applyBorder="1" applyAlignment="1">
      <alignment horizontal="center" vertical="center" wrapText="1"/>
    </xf>
    <xf numFmtId="0" fontId="0" fillId="0" borderId="2" xfId="0" applyBorder="1" applyAlignment="1">
      <alignment horizontal="center" vertical="center"/>
    </xf>
    <xf numFmtId="164" fontId="0" fillId="0" borderId="2" xfId="0" applyNumberForma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8"/>
  <sheetViews>
    <sheetView tabSelected="1" topLeftCell="H1" workbookViewId="0">
      <pane ySplit="1" topLeftCell="A65" activePane="bottomLeft" state="frozen"/>
      <selection pane="bottomLeft" activeCell="L72" sqref="L72"/>
    </sheetView>
  </sheetViews>
  <sheetFormatPr defaultRowHeight="15" x14ac:dyDescent="0.25"/>
  <cols>
    <col min="1" max="1" width="9.7109375" bestFit="1" customWidth="1"/>
    <col min="2" max="2" width="14.28515625" bestFit="1" customWidth="1"/>
    <col min="3" max="3" width="11.140625" bestFit="1" customWidth="1"/>
    <col min="4" max="4" width="90.7109375" bestFit="1" customWidth="1"/>
    <col min="5" max="5" width="14.85546875" bestFit="1" customWidth="1"/>
    <col min="6" max="6" width="22.5703125" bestFit="1" customWidth="1"/>
    <col min="7" max="7" width="14.5703125" bestFit="1" customWidth="1"/>
    <col min="8" max="8" width="175.140625" style="22" customWidth="1"/>
    <col min="9" max="9" width="136.5703125" style="26" customWidth="1"/>
    <col min="10" max="10" width="8.42578125" bestFit="1" customWidth="1"/>
    <col min="11" max="11" width="11.140625" bestFit="1" customWidth="1"/>
  </cols>
  <sheetData>
    <row r="1" spans="1:11" x14ac:dyDescent="0.25">
      <c r="A1" s="17" t="s">
        <v>0</v>
      </c>
      <c r="B1" s="17" t="s">
        <v>1</v>
      </c>
      <c r="C1" s="17" t="s">
        <v>2</v>
      </c>
      <c r="D1" s="17" t="s">
        <v>3</v>
      </c>
      <c r="E1" s="17" t="s">
        <v>4</v>
      </c>
      <c r="F1" s="17" t="s">
        <v>5</v>
      </c>
      <c r="G1" s="17" t="s">
        <v>6</v>
      </c>
      <c r="H1" s="21" t="s">
        <v>7</v>
      </c>
      <c r="I1" s="17" t="s">
        <v>8</v>
      </c>
      <c r="J1" s="17" t="s">
        <v>9</v>
      </c>
      <c r="K1" s="17" t="s">
        <v>10</v>
      </c>
    </row>
    <row r="2" spans="1:11" ht="45" x14ac:dyDescent="0.25">
      <c r="A2" s="18" t="s">
        <v>11</v>
      </c>
      <c r="B2" s="18" t="s">
        <v>12</v>
      </c>
      <c r="C2" s="18" t="s">
        <v>13</v>
      </c>
      <c r="D2" s="18" t="s">
        <v>14</v>
      </c>
      <c r="E2" s="18" t="s">
        <v>15</v>
      </c>
      <c r="F2" s="18" t="s">
        <v>16</v>
      </c>
      <c r="G2" s="18" t="s">
        <v>17</v>
      </c>
      <c r="H2" s="23" t="s">
        <v>18</v>
      </c>
      <c r="I2" s="23" t="s">
        <v>19</v>
      </c>
      <c r="J2" s="18">
        <v>8</v>
      </c>
      <c r="K2" s="18" t="s">
        <v>20</v>
      </c>
    </row>
    <row r="3" spans="1:11" ht="60" x14ac:dyDescent="0.25">
      <c r="A3" s="18" t="s">
        <v>21</v>
      </c>
      <c r="B3" s="18" t="s">
        <v>12</v>
      </c>
      <c r="C3" s="18" t="s">
        <v>13</v>
      </c>
      <c r="D3" s="18" t="s">
        <v>22</v>
      </c>
      <c r="E3" s="18" t="s">
        <v>23</v>
      </c>
      <c r="F3" s="18" t="s">
        <v>16</v>
      </c>
      <c r="G3" s="18" t="s">
        <v>17</v>
      </c>
      <c r="H3" s="23" t="s">
        <v>24</v>
      </c>
      <c r="I3" s="23" t="s">
        <v>25</v>
      </c>
      <c r="J3" s="18">
        <v>8</v>
      </c>
      <c r="K3" s="18" t="s">
        <v>20</v>
      </c>
    </row>
    <row r="4" spans="1:11" ht="30" x14ac:dyDescent="0.25">
      <c r="A4" s="18" t="s">
        <v>26</v>
      </c>
      <c r="B4" s="18" t="s">
        <v>12</v>
      </c>
      <c r="C4" s="18" t="s">
        <v>13</v>
      </c>
      <c r="D4" s="18" t="s">
        <v>27</v>
      </c>
      <c r="E4" s="18" t="s">
        <v>28</v>
      </c>
      <c r="F4" s="18" t="s">
        <v>29</v>
      </c>
      <c r="G4" s="18" t="s">
        <v>17</v>
      </c>
      <c r="H4" s="23" t="s">
        <v>30</v>
      </c>
      <c r="I4" s="23" t="s">
        <v>31</v>
      </c>
      <c r="J4" s="18">
        <v>4</v>
      </c>
      <c r="K4" s="18" t="s">
        <v>20</v>
      </c>
    </row>
    <row r="5" spans="1:11" ht="45" x14ac:dyDescent="0.25">
      <c r="A5" s="18" t="s">
        <v>32</v>
      </c>
      <c r="B5" s="18" t="s">
        <v>12</v>
      </c>
      <c r="C5" s="18" t="s">
        <v>13</v>
      </c>
      <c r="D5" s="18" t="s">
        <v>33</v>
      </c>
      <c r="E5" s="18" t="s">
        <v>15</v>
      </c>
      <c r="F5" s="18" t="s">
        <v>34</v>
      </c>
      <c r="G5" s="18" t="s">
        <v>35</v>
      </c>
      <c r="H5" s="23" t="s">
        <v>36</v>
      </c>
      <c r="I5" s="23" t="s">
        <v>37</v>
      </c>
      <c r="J5" s="18">
        <v>4</v>
      </c>
      <c r="K5" s="18" t="s">
        <v>20</v>
      </c>
    </row>
    <row r="6" spans="1:11" ht="45" x14ac:dyDescent="0.25">
      <c r="A6" s="18" t="s">
        <v>38</v>
      </c>
      <c r="B6" s="18" t="s">
        <v>12</v>
      </c>
      <c r="C6" s="18" t="s">
        <v>13</v>
      </c>
      <c r="D6" s="18" t="s">
        <v>39</v>
      </c>
      <c r="E6" s="18" t="s">
        <v>40</v>
      </c>
      <c r="F6" s="18" t="s">
        <v>41</v>
      </c>
      <c r="G6" s="18" t="s">
        <v>17</v>
      </c>
      <c r="H6" s="23" t="s">
        <v>42</v>
      </c>
      <c r="I6" s="23" t="s">
        <v>43</v>
      </c>
      <c r="J6" s="18">
        <v>6</v>
      </c>
      <c r="K6" s="18" t="s">
        <v>20</v>
      </c>
    </row>
    <row r="7" spans="1:11" ht="30" x14ac:dyDescent="0.25">
      <c r="A7" s="18" t="s">
        <v>44</v>
      </c>
      <c r="B7" s="18" t="s">
        <v>12</v>
      </c>
      <c r="C7" s="18" t="s">
        <v>13</v>
      </c>
      <c r="D7" s="18" t="s">
        <v>45</v>
      </c>
      <c r="E7" s="18" t="s">
        <v>40</v>
      </c>
      <c r="F7" s="18" t="s">
        <v>41</v>
      </c>
      <c r="G7" s="18" t="s">
        <v>17</v>
      </c>
      <c r="H7" s="23" t="s">
        <v>46</v>
      </c>
      <c r="I7" s="23" t="s">
        <v>47</v>
      </c>
      <c r="J7" s="18">
        <v>8</v>
      </c>
      <c r="K7" s="18" t="s">
        <v>20</v>
      </c>
    </row>
    <row r="8" spans="1:11" ht="135" x14ac:dyDescent="0.25">
      <c r="A8" s="18" t="s">
        <v>48</v>
      </c>
      <c r="B8" s="18" t="s">
        <v>12</v>
      </c>
      <c r="C8" s="18" t="s">
        <v>13</v>
      </c>
      <c r="D8" s="18" t="s">
        <v>49</v>
      </c>
      <c r="E8" s="18" t="s">
        <v>15</v>
      </c>
      <c r="F8" s="18" t="s">
        <v>41</v>
      </c>
      <c r="G8" s="18" t="s">
        <v>17</v>
      </c>
      <c r="H8" s="23" t="s">
        <v>50</v>
      </c>
      <c r="I8" s="23" t="s">
        <v>51</v>
      </c>
      <c r="J8" s="18">
        <v>10</v>
      </c>
      <c r="K8" s="18" t="s">
        <v>20</v>
      </c>
    </row>
    <row r="9" spans="1:11" ht="120" x14ac:dyDescent="0.25">
      <c r="A9" s="18" t="s">
        <v>52</v>
      </c>
      <c r="B9" s="18" t="s">
        <v>12</v>
      </c>
      <c r="C9" s="18" t="s">
        <v>13</v>
      </c>
      <c r="D9" s="18" t="s">
        <v>53</v>
      </c>
      <c r="E9" s="18" t="s">
        <v>54</v>
      </c>
      <c r="F9" s="18" t="s">
        <v>55</v>
      </c>
      <c r="G9" s="18" t="s">
        <v>17</v>
      </c>
      <c r="H9" s="23" t="s">
        <v>56</v>
      </c>
      <c r="I9" s="23" t="s">
        <v>57</v>
      </c>
      <c r="J9" s="18">
        <v>10</v>
      </c>
      <c r="K9" s="18" t="s">
        <v>20</v>
      </c>
    </row>
    <row r="10" spans="1:11" ht="60" x14ac:dyDescent="0.25">
      <c r="A10" s="18" t="s">
        <v>58</v>
      </c>
      <c r="B10" s="18" t="s">
        <v>12</v>
      </c>
      <c r="C10" s="18" t="s">
        <v>13</v>
      </c>
      <c r="D10" s="18" t="s">
        <v>59</v>
      </c>
      <c r="E10" s="18" t="s">
        <v>60</v>
      </c>
      <c r="F10" s="18" t="s">
        <v>61</v>
      </c>
      <c r="G10" s="18" t="s">
        <v>17</v>
      </c>
      <c r="H10" s="23" t="s">
        <v>62</v>
      </c>
      <c r="I10" s="23" t="s">
        <v>63</v>
      </c>
      <c r="J10" s="18">
        <v>6</v>
      </c>
      <c r="K10" s="18" t="s">
        <v>20</v>
      </c>
    </row>
    <row r="11" spans="1:11" ht="45" x14ac:dyDescent="0.25">
      <c r="A11" s="18" t="s">
        <v>64</v>
      </c>
      <c r="B11" s="18" t="s">
        <v>12</v>
      </c>
      <c r="C11" s="18" t="s">
        <v>13</v>
      </c>
      <c r="D11" s="18" t="s">
        <v>65</v>
      </c>
      <c r="E11" s="18" t="s">
        <v>66</v>
      </c>
      <c r="F11" s="18" t="s">
        <v>41</v>
      </c>
      <c r="G11" s="18" t="s">
        <v>17</v>
      </c>
      <c r="H11" s="23" t="s">
        <v>67</v>
      </c>
      <c r="I11" s="23" t="s">
        <v>68</v>
      </c>
      <c r="J11" s="18">
        <v>8</v>
      </c>
      <c r="K11" s="18" t="s">
        <v>20</v>
      </c>
    </row>
    <row r="12" spans="1:11" ht="60" x14ac:dyDescent="0.25">
      <c r="A12" s="18" t="s">
        <v>69</v>
      </c>
      <c r="B12" s="18" t="s">
        <v>12</v>
      </c>
      <c r="C12" s="18" t="s">
        <v>13</v>
      </c>
      <c r="D12" s="18" t="s">
        <v>70</v>
      </c>
      <c r="E12" s="18" t="s">
        <v>54</v>
      </c>
      <c r="F12" s="18" t="s">
        <v>71</v>
      </c>
      <c r="G12" s="18" t="s">
        <v>72</v>
      </c>
      <c r="H12" s="23" t="s">
        <v>73</v>
      </c>
      <c r="I12" s="23" t="s">
        <v>74</v>
      </c>
      <c r="J12" s="18">
        <v>6</v>
      </c>
      <c r="K12" s="18" t="s">
        <v>20</v>
      </c>
    </row>
    <row r="13" spans="1:11" ht="75" x14ac:dyDescent="0.25">
      <c r="A13" s="18" t="s">
        <v>75</v>
      </c>
      <c r="B13" s="18" t="s">
        <v>12</v>
      </c>
      <c r="C13" s="18" t="s">
        <v>13</v>
      </c>
      <c r="D13" s="18" t="s">
        <v>76</v>
      </c>
      <c r="E13" s="18" t="s">
        <v>23</v>
      </c>
      <c r="F13" s="18" t="s">
        <v>77</v>
      </c>
      <c r="G13" s="18" t="s">
        <v>17</v>
      </c>
      <c r="H13" s="23" t="s">
        <v>78</v>
      </c>
      <c r="I13" s="23" t="s">
        <v>79</v>
      </c>
      <c r="J13" s="18">
        <v>6</v>
      </c>
      <c r="K13" s="18" t="s">
        <v>20</v>
      </c>
    </row>
    <row r="14" spans="1:11" ht="75" x14ac:dyDescent="0.25">
      <c r="A14" s="18" t="s">
        <v>80</v>
      </c>
      <c r="B14" s="18" t="s">
        <v>12</v>
      </c>
      <c r="C14" s="18" t="s">
        <v>81</v>
      </c>
      <c r="D14" s="18" t="s">
        <v>82</v>
      </c>
      <c r="E14" s="18" t="s">
        <v>40</v>
      </c>
      <c r="F14" s="18" t="s">
        <v>83</v>
      </c>
      <c r="G14" s="18" t="s">
        <v>17</v>
      </c>
      <c r="H14" s="23" t="s">
        <v>84</v>
      </c>
      <c r="I14" s="23" t="s">
        <v>85</v>
      </c>
      <c r="J14" s="18">
        <v>8</v>
      </c>
      <c r="K14" s="18" t="s">
        <v>20</v>
      </c>
    </row>
    <row r="15" spans="1:11" ht="105" x14ac:dyDescent="0.25">
      <c r="A15" s="18" t="s">
        <v>86</v>
      </c>
      <c r="B15" s="18" t="s">
        <v>12</v>
      </c>
      <c r="C15" s="18" t="s">
        <v>81</v>
      </c>
      <c r="D15" s="18" t="s">
        <v>87</v>
      </c>
      <c r="E15" s="18" t="s">
        <v>40</v>
      </c>
      <c r="F15" s="18" t="s">
        <v>83</v>
      </c>
      <c r="G15" s="18" t="s">
        <v>17</v>
      </c>
      <c r="H15" s="23" t="s">
        <v>88</v>
      </c>
      <c r="I15" s="23" t="s">
        <v>89</v>
      </c>
      <c r="J15" s="18">
        <v>8</v>
      </c>
      <c r="K15" s="18" t="s">
        <v>20</v>
      </c>
    </row>
    <row r="16" spans="1:11" ht="60" x14ac:dyDescent="0.25">
      <c r="A16" s="18" t="s">
        <v>91</v>
      </c>
      <c r="B16" s="18" t="s">
        <v>12</v>
      </c>
      <c r="C16" s="18" t="s">
        <v>81</v>
      </c>
      <c r="D16" s="18" t="s">
        <v>92</v>
      </c>
      <c r="E16" s="18" t="s">
        <v>15</v>
      </c>
      <c r="F16" s="18" t="s">
        <v>83</v>
      </c>
      <c r="G16" s="18" t="s">
        <v>17</v>
      </c>
      <c r="H16" s="23" t="s">
        <v>93</v>
      </c>
      <c r="I16" s="23" t="s">
        <v>94</v>
      </c>
      <c r="J16" s="18">
        <v>8</v>
      </c>
      <c r="K16" s="18" t="s">
        <v>20</v>
      </c>
    </row>
    <row r="17" spans="1:11" ht="30" x14ac:dyDescent="0.25">
      <c r="A17" s="18" t="s">
        <v>95</v>
      </c>
      <c r="B17" s="18" t="s">
        <v>12</v>
      </c>
      <c r="C17" s="18" t="s">
        <v>81</v>
      </c>
      <c r="D17" s="18" t="s">
        <v>96</v>
      </c>
      <c r="E17" s="18" t="s">
        <v>40</v>
      </c>
      <c r="F17" s="18" t="s">
        <v>83</v>
      </c>
      <c r="G17" s="18" t="s">
        <v>17</v>
      </c>
      <c r="H17" s="23" t="s">
        <v>97</v>
      </c>
      <c r="I17" s="23" t="s">
        <v>98</v>
      </c>
      <c r="J17" s="18">
        <v>10</v>
      </c>
      <c r="K17" s="18" t="s">
        <v>20</v>
      </c>
    </row>
    <row r="18" spans="1:11" ht="105" x14ac:dyDescent="0.25">
      <c r="A18" s="18" t="s">
        <v>99</v>
      </c>
      <c r="B18" s="18" t="s">
        <v>12</v>
      </c>
      <c r="C18" s="18" t="s">
        <v>81</v>
      </c>
      <c r="D18" s="18" t="s">
        <v>100</v>
      </c>
      <c r="E18" s="18" t="s">
        <v>40</v>
      </c>
      <c r="F18" s="18" t="s">
        <v>83</v>
      </c>
      <c r="G18" s="18" t="s">
        <v>17</v>
      </c>
      <c r="H18" s="23" t="s">
        <v>101</v>
      </c>
      <c r="I18" s="23" t="s">
        <v>102</v>
      </c>
      <c r="J18" s="18">
        <v>8</v>
      </c>
      <c r="K18" s="18" t="s">
        <v>20</v>
      </c>
    </row>
    <row r="19" spans="1:11" ht="75" x14ac:dyDescent="0.25">
      <c r="A19" s="18" t="s">
        <v>103</v>
      </c>
      <c r="B19" s="18" t="s">
        <v>12</v>
      </c>
      <c r="C19" s="18" t="s">
        <v>81</v>
      </c>
      <c r="D19" s="18" t="s">
        <v>104</v>
      </c>
      <c r="E19" s="18" t="s">
        <v>40</v>
      </c>
      <c r="F19" s="18" t="s">
        <v>83</v>
      </c>
      <c r="G19" s="18" t="s">
        <v>17</v>
      </c>
      <c r="H19" s="23" t="s">
        <v>105</v>
      </c>
      <c r="I19" s="23" t="s">
        <v>106</v>
      </c>
      <c r="J19" s="18">
        <v>6</v>
      </c>
      <c r="K19" s="18" t="s">
        <v>20</v>
      </c>
    </row>
    <row r="20" spans="1:11" ht="75" x14ac:dyDescent="0.25">
      <c r="A20" s="18" t="s">
        <v>107</v>
      </c>
      <c r="B20" s="18" t="s">
        <v>12</v>
      </c>
      <c r="C20" s="18" t="s">
        <v>81</v>
      </c>
      <c r="D20" s="18" t="s">
        <v>108</v>
      </c>
      <c r="E20" s="18" t="s">
        <v>40</v>
      </c>
      <c r="F20" s="18" t="s">
        <v>83</v>
      </c>
      <c r="G20" s="18" t="s">
        <v>72</v>
      </c>
      <c r="H20" s="23" t="s">
        <v>109</v>
      </c>
      <c r="I20" s="23" t="s">
        <v>110</v>
      </c>
      <c r="J20" s="18">
        <v>6</v>
      </c>
      <c r="K20" s="18" t="s">
        <v>20</v>
      </c>
    </row>
    <row r="21" spans="1:11" ht="75" x14ac:dyDescent="0.25">
      <c r="A21" s="18" t="s">
        <v>111</v>
      </c>
      <c r="B21" s="18" t="s">
        <v>12</v>
      </c>
      <c r="C21" s="18" t="s">
        <v>81</v>
      </c>
      <c r="D21" s="18" t="s">
        <v>112</v>
      </c>
      <c r="E21" s="18" t="s">
        <v>40</v>
      </c>
      <c r="F21" s="18" t="s">
        <v>83</v>
      </c>
      <c r="G21" s="18" t="s">
        <v>72</v>
      </c>
      <c r="H21" s="23" t="s">
        <v>113</v>
      </c>
      <c r="I21" s="23" t="s">
        <v>114</v>
      </c>
      <c r="J21" s="18">
        <v>6</v>
      </c>
      <c r="K21" s="18" t="s">
        <v>20</v>
      </c>
    </row>
    <row r="22" spans="1:11" ht="60" x14ac:dyDescent="0.25">
      <c r="A22" s="18" t="s">
        <v>115</v>
      </c>
      <c r="B22" s="18" t="s">
        <v>12</v>
      </c>
      <c r="C22" s="18" t="s">
        <v>81</v>
      </c>
      <c r="D22" s="18" t="s">
        <v>116</v>
      </c>
      <c r="E22" s="18" t="s">
        <v>40</v>
      </c>
      <c r="F22" s="18" t="s">
        <v>83</v>
      </c>
      <c r="G22" s="18" t="s">
        <v>35</v>
      </c>
      <c r="H22" s="23" t="s">
        <v>117</v>
      </c>
      <c r="I22" s="23" t="s">
        <v>118</v>
      </c>
      <c r="J22" s="18">
        <v>6</v>
      </c>
      <c r="K22" s="18" t="s">
        <v>20</v>
      </c>
    </row>
    <row r="23" spans="1:11" ht="75" x14ac:dyDescent="0.25">
      <c r="A23" s="18" t="s">
        <v>119</v>
      </c>
      <c r="B23" s="18" t="s">
        <v>12</v>
      </c>
      <c r="C23" s="18" t="s">
        <v>81</v>
      </c>
      <c r="D23" s="18" t="s">
        <v>120</v>
      </c>
      <c r="E23" s="18" t="s">
        <v>40</v>
      </c>
      <c r="F23" s="18" t="s">
        <v>83</v>
      </c>
      <c r="G23" s="18" t="s">
        <v>17</v>
      </c>
      <c r="H23" s="23" t="s">
        <v>121</v>
      </c>
      <c r="I23" s="23" t="s">
        <v>122</v>
      </c>
      <c r="J23" s="18">
        <v>8</v>
      </c>
      <c r="K23" s="18" t="s">
        <v>20</v>
      </c>
    </row>
    <row r="24" spans="1:11" ht="45" x14ac:dyDescent="0.25">
      <c r="A24" s="18" t="s">
        <v>123</v>
      </c>
      <c r="B24" s="18" t="s">
        <v>12</v>
      </c>
      <c r="C24" s="18" t="s">
        <v>81</v>
      </c>
      <c r="D24" s="18" t="s">
        <v>124</v>
      </c>
      <c r="E24" s="18" t="s">
        <v>40</v>
      </c>
      <c r="F24" s="18" t="s">
        <v>83</v>
      </c>
      <c r="G24" s="18" t="s">
        <v>17</v>
      </c>
      <c r="H24" s="23" t="s">
        <v>125</v>
      </c>
      <c r="I24" s="23" t="s">
        <v>126</v>
      </c>
      <c r="J24" s="18">
        <v>6</v>
      </c>
      <c r="K24" s="18" t="s">
        <v>20</v>
      </c>
    </row>
    <row r="25" spans="1:11" ht="75" x14ac:dyDescent="0.25">
      <c r="A25" s="18" t="s">
        <v>127</v>
      </c>
      <c r="B25" s="18" t="s">
        <v>12</v>
      </c>
      <c r="C25" s="18" t="s">
        <v>81</v>
      </c>
      <c r="D25" s="18" t="s">
        <v>128</v>
      </c>
      <c r="E25" s="18" t="s">
        <v>40</v>
      </c>
      <c r="F25" s="18" t="s">
        <v>41</v>
      </c>
      <c r="G25" s="18" t="s">
        <v>17</v>
      </c>
      <c r="H25" s="23" t="s">
        <v>129</v>
      </c>
      <c r="I25" s="23" t="s">
        <v>130</v>
      </c>
      <c r="J25" s="18">
        <v>8</v>
      </c>
      <c r="K25" s="18" t="s">
        <v>20</v>
      </c>
    </row>
    <row r="26" spans="1:11" ht="60" x14ac:dyDescent="0.25">
      <c r="A26" s="18" t="s">
        <v>131</v>
      </c>
      <c r="B26" s="18" t="s">
        <v>12</v>
      </c>
      <c r="C26" s="18" t="s">
        <v>81</v>
      </c>
      <c r="D26" s="18" t="s">
        <v>132</v>
      </c>
      <c r="E26" s="18" t="s">
        <v>133</v>
      </c>
      <c r="F26" s="18" t="s">
        <v>41</v>
      </c>
      <c r="G26" s="18" t="s">
        <v>17</v>
      </c>
      <c r="H26" s="23" t="s">
        <v>134</v>
      </c>
      <c r="I26" s="23" t="s">
        <v>135</v>
      </c>
      <c r="J26" s="18">
        <v>8</v>
      </c>
      <c r="K26" s="18" t="s">
        <v>20</v>
      </c>
    </row>
    <row r="27" spans="1:11" ht="45" x14ac:dyDescent="0.25">
      <c r="A27" s="18" t="s">
        <v>136</v>
      </c>
      <c r="B27" s="18" t="s">
        <v>12</v>
      </c>
      <c r="C27" s="18" t="s">
        <v>81</v>
      </c>
      <c r="D27" s="18" t="s">
        <v>137</v>
      </c>
      <c r="E27" s="18" t="s">
        <v>54</v>
      </c>
      <c r="F27" s="18" t="s">
        <v>41</v>
      </c>
      <c r="G27" s="18" t="s">
        <v>17</v>
      </c>
      <c r="H27" s="23" t="s">
        <v>138</v>
      </c>
      <c r="I27" s="23" t="s">
        <v>139</v>
      </c>
      <c r="J27" s="18">
        <v>6</v>
      </c>
      <c r="K27" s="18" t="s">
        <v>20</v>
      </c>
    </row>
    <row r="28" spans="1:11" ht="75" x14ac:dyDescent="0.25">
      <c r="A28" s="18" t="s">
        <v>140</v>
      </c>
      <c r="B28" s="18" t="s">
        <v>12</v>
      </c>
      <c r="C28" s="18" t="s">
        <v>81</v>
      </c>
      <c r="D28" s="18" t="s">
        <v>141</v>
      </c>
      <c r="E28" s="18" t="s">
        <v>54</v>
      </c>
      <c r="F28" s="18" t="s">
        <v>41</v>
      </c>
      <c r="G28" s="18" t="s">
        <v>17</v>
      </c>
      <c r="H28" s="23" t="s">
        <v>142</v>
      </c>
      <c r="I28" s="23" t="s">
        <v>143</v>
      </c>
      <c r="J28" s="18">
        <v>6</v>
      </c>
      <c r="K28" s="18" t="s">
        <v>20</v>
      </c>
    </row>
    <row r="29" spans="1:11" ht="45" x14ac:dyDescent="0.25">
      <c r="A29" s="18" t="s">
        <v>144</v>
      </c>
      <c r="B29" s="18" t="s">
        <v>12</v>
      </c>
      <c r="C29" s="18" t="s">
        <v>81</v>
      </c>
      <c r="D29" s="18" t="s">
        <v>145</v>
      </c>
      <c r="E29" s="18" t="s">
        <v>40</v>
      </c>
      <c r="F29" s="18" t="s">
        <v>83</v>
      </c>
      <c r="G29" s="18" t="s">
        <v>17</v>
      </c>
      <c r="H29" s="23" t="s">
        <v>146</v>
      </c>
      <c r="I29" s="23" t="s">
        <v>147</v>
      </c>
      <c r="J29" s="18">
        <v>2</v>
      </c>
      <c r="K29" s="18" t="s">
        <v>20</v>
      </c>
    </row>
    <row r="30" spans="1:11" ht="60" x14ac:dyDescent="0.25">
      <c r="A30" s="18" t="s">
        <v>148</v>
      </c>
      <c r="B30" s="18" t="s">
        <v>12</v>
      </c>
      <c r="C30" s="18" t="s">
        <v>81</v>
      </c>
      <c r="D30" s="18" t="s">
        <v>149</v>
      </c>
      <c r="E30" s="18" t="s">
        <v>40</v>
      </c>
      <c r="F30" s="18" t="s">
        <v>41</v>
      </c>
      <c r="G30" s="18" t="s">
        <v>72</v>
      </c>
      <c r="H30" s="23" t="s">
        <v>150</v>
      </c>
      <c r="I30" s="23" t="s">
        <v>151</v>
      </c>
      <c r="J30" s="18">
        <v>4</v>
      </c>
      <c r="K30" s="18" t="s">
        <v>20</v>
      </c>
    </row>
    <row r="31" spans="1:11" ht="60" x14ac:dyDescent="0.25">
      <c r="A31" s="18" t="s">
        <v>152</v>
      </c>
      <c r="B31" s="18" t="s">
        <v>12</v>
      </c>
      <c r="C31" s="18" t="s">
        <v>153</v>
      </c>
      <c r="D31" s="18" t="s">
        <v>154</v>
      </c>
      <c r="E31" s="18" t="s">
        <v>40</v>
      </c>
      <c r="F31" s="18" t="s">
        <v>41</v>
      </c>
      <c r="G31" s="18" t="s">
        <v>17</v>
      </c>
      <c r="H31" s="23" t="s">
        <v>155</v>
      </c>
      <c r="I31" s="23" t="s">
        <v>156</v>
      </c>
      <c r="J31" s="18">
        <v>8</v>
      </c>
      <c r="K31" s="18" t="s">
        <v>20</v>
      </c>
    </row>
    <row r="32" spans="1:11" ht="75" x14ac:dyDescent="0.25">
      <c r="A32" s="18" t="s">
        <v>157</v>
      </c>
      <c r="B32" s="18" t="s">
        <v>12</v>
      </c>
      <c r="C32" s="18" t="s">
        <v>153</v>
      </c>
      <c r="D32" s="18" t="s">
        <v>158</v>
      </c>
      <c r="E32" s="18" t="s">
        <v>40</v>
      </c>
      <c r="F32" s="18" t="s">
        <v>41</v>
      </c>
      <c r="G32" s="18" t="s">
        <v>17</v>
      </c>
      <c r="H32" s="23" t="s">
        <v>159</v>
      </c>
      <c r="I32" s="23" t="s">
        <v>160</v>
      </c>
      <c r="J32" s="18">
        <v>10</v>
      </c>
      <c r="K32" s="18" t="s">
        <v>829</v>
      </c>
    </row>
    <row r="33" spans="1:11" s="27" customFormat="1" ht="60" x14ac:dyDescent="0.25">
      <c r="A33" s="20" t="s">
        <v>161</v>
      </c>
      <c r="B33" s="20" t="s">
        <v>12</v>
      </c>
      <c r="C33" s="20" t="s">
        <v>153</v>
      </c>
      <c r="D33" s="20" t="s">
        <v>162</v>
      </c>
      <c r="E33" s="20" t="s">
        <v>23</v>
      </c>
      <c r="F33" s="20" t="s">
        <v>163</v>
      </c>
      <c r="G33" s="20" t="s">
        <v>17</v>
      </c>
      <c r="H33" s="25" t="s">
        <v>164</v>
      </c>
      <c r="I33" s="25" t="s">
        <v>165</v>
      </c>
      <c r="J33" s="28">
        <v>12</v>
      </c>
      <c r="K33" s="20" t="s">
        <v>20</v>
      </c>
    </row>
    <row r="34" spans="1:11" ht="60" x14ac:dyDescent="0.25">
      <c r="A34" s="18" t="s">
        <v>166</v>
      </c>
      <c r="B34" s="18" t="s">
        <v>12</v>
      </c>
      <c r="C34" s="18" t="s">
        <v>153</v>
      </c>
      <c r="D34" s="18" t="s">
        <v>167</v>
      </c>
      <c r="E34" s="18" t="s">
        <v>23</v>
      </c>
      <c r="F34" s="18" t="s">
        <v>163</v>
      </c>
      <c r="G34" s="18" t="s">
        <v>17</v>
      </c>
      <c r="H34" s="23" t="s">
        <v>168</v>
      </c>
      <c r="I34" s="23" t="s">
        <v>169</v>
      </c>
      <c r="J34" s="18">
        <v>12</v>
      </c>
      <c r="K34" s="20" t="s">
        <v>20</v>
      </c>
    </row>
    <row r="35" spans="1:11" ht="30" x14ac:dyDescent="0.25">
      <c r="A35" s="18" t="s">
        <v>170</v>
      </c>
      <c r="B35" s="18" t="s">
        <v>12</v>
      </c>
      <c r="C35" s="18" t="s">
        <v>153</v>
      </c>
      <c r="D35" s="18" t="s">
        <v>171</v>
      </c>
      <c r="E35" s="18" t="s">
        <v>23</v>
      </c>
      <c r="F35" s="18" t="s">
        <v>163</v>
      </c>
      <c r="G35" s="18" t="s">
        <v>72</v>
      </c>
      <c r="H35" s="23" t="s">
        <v>172</v>
      </c>
      <c r="I35" s="23" t="s">
        <v>173</v>
      </c>
      <c r="J35" s="18">
        <v>10</v>
      </c>
      <c r="K35" s="20" t="s">
        <v>20</v>
      </c>
    </row>
    <row r="36" spans="1:11" ht="30" x14ac:dyDescent="0.25">
      <c r="A36" s="18" t="s">
        <v>174</v>
      </c>
      <c r="B36" s="18" t="s">
        <v>12</v>
      </c>
      <c r="C36" s="18" t="s">
        <v>153</v>
      </c>
      <c r="D36" s="18" t="s">
        <v>175</v>
      </c>
      <c r="E36" s="18" t="s">
        <v>23</v>
      </c>
      <c r="F36" s="18" t="s">
        <v>176</v>
      </c>
      <c r="G36" s="18" t="s">
        <v>72</v>
      </c>
      <c r="H36" s="23" t="s">
        <v>177</v>
      </c>
      <c r="I36" s="23" t="s">
        <v>178</v>
      </c>
      <c r="J36" s="18">
        <v>8</v>
      </c>
      <c r="K36" s="20" t="s">
        <v>20</v>
      </c>
    </row>
    <row r="37" spans="1:11" ht="45" x14ac:dyDescent="0.25">
      <c r="A37" s="18" t="s">
        <v>179</v>
      </c>
      <c r="B37" s="18" t="s">
        <v>12</v>
      </c>
      <c r="C37" s="18" t="s">
        <v>153</v>
      </c>
      <c r="D37" s="18" t="s">
        <v>180</v>
      </c>
      <c r="E37" s="18" t="s">
        <v>23</v>
      </c>
      <c r="F37" s="18" t="s">
        <v>176</v>
      </c>
      <c r="G37" s="18" t="s">
        <v>17</v>
      </c>
      <c r="H37" s="23" t="s">
        <v>181</v>
      </c>
      <c r="I37" s="23" t="s">
        <v>182</v>
      </c>
      <c r="J37" s="18">
        <v>12</v>
      </c>
      <c r="K37" s="20" t="s">
        <v>20</v>
      </c>
    </row>
    <row r="38" spans="1:11" ht="30" x14ac:dyDescent="0.25">
      <c r="A38" s="18" t="s">
        <v>183</v>
      </c>
      <c r="B38" s="18" t="s">
        <v>12</v>
      </c>
      <c r="C38" s="18" t="s">
        <v>153</v>
      </c>
      <c r="D38" s="18" t="s">
        <v>184</v>
      </c>
      <c r="E38" s="18" t="s">
        <v>23</v>
      </c>
      <c r="F38" s="18" t="s">
        <v>163</v>
      </c>
      <c r="G38" s="18" t="s">
        <v>35</v>
      </c>
      <c r="H38" s="23" t="s">
        <v>185</v>
      </c>
      <c r="I38" s="23" t="s">
        <v>186</v>
      </c>
      <c r="J38" s="18">
        <v>3</v>
      </c>
      <c r="K38" s="20" t="s">
        <v>20</v>
      </c>
    </row>
    <row r="39" spans="1:11" ht="45" x14ac:dyDescent="0.25">
      <c r="A39" s="18" t="s">
        <v>187</v>
      </c>
      <c r="B39" s="18" t="s">
        <v>12</v>
      </c>
      <c r="C39" s="18" t="s">
        <v>153</v>
      </c>
      <c r="D39" s="18" t="s">
        <v>188</v>
      </c>
      <c r="E39" s="18" t="s">
        <v>23</v>
      </c>
      <c r="F39" s="18" t="s">
        <v>55</v>
      </c>
      <c r="G39" s="18" t="s">
        <v>17</v>
      </c>
      <c r="H39" s="23" t="s">
        <v>189</v>
      </c>
      <c r="I39" s="23" t="s">
        <v>190</v>
      </c>
      <c r="J39" s="18">
        <v>12</v>
      </c>
      <c r="K39" s="20" t="s">
        <v>20</v>
      </c>
    </row>
    <row r="40" spans="1:11" ht="60" x14ac:dyDescent="0.25">
      <c r="A40" s="18" t="s">
        <v>191</v>
      </c>
      <c r="B40" s="18" t="s">
        <v>12</v>
      </c>
      <c r="C40" s="18" t="s">
        <v>153</v>
      </c>
      <c r="D40" s="18" t="s">
        <v>192</v>
      </c>
      <c r="E40" s="18" t="s">
        <v>60</v>
      </c>
      <c r="F40" s="18" t="s">
        <v>193</v>
      </c>
      <c r="G40" s="18" t="s">
        <v>17</v>
      </c>
      <c r="H40" s="23" t="s">
        <v>194</v>
      </c>
      <c r="I40" s="23" t="s">
        <v>195</v>
      </c>
      <c r="J40" s="18">
        <v>12</v>
      </c>
      <c r="K40" s="20" t="s">
        <v>20</v>
      </c>
    </row>
    <row r="41" spans="1:11" ht="45" x14ac:dyDescent="0.25">
      <c r="A41" s="29" t="s">
        <v>196</v>
      </c>
      <c r="B41" s="29" t="s">
        <v>12</v>
      </c>
      <c r="C41" s="29" t="s">
        <v>153</v>
      </c>
      <c r="D41" s="29" t="s">
        <v>197</v>
      </c>
      <c r="E41" s="29" t="s">
        <v>23</v>
      </c>
      <c r="F41" s="29" t="s">
        <v>163</v>
      </c>
      <c r="G41" s="29" t="s">
        <v>72</v>
      </c>
      <c r="H41" s="30" t="s">
        <v>198</v>
      </c>
      <c r="I41" s="30" t="s">
        <v>199</v>
      </c>
      <c r="J41" s="29">
        <v>8</v>
      </c>
      <c r="K41" s="29" t="s">
        <v>829</v>
      </c>
    </row>
    <row r="42" spans="1:11" ht="75" x14ac:dyDescent="0.25">
      <c r="A42" s="19" t="s">
        <v>200</v>
      </c>
      <c r="B42" s="19" t="s">
        <v>12</v>
      </c>
      <c r="C42" s="19" t="s">
        <v>201</v>
      </c>
      <c r="D42" s="19" t="s">
        <v>202</v>
      </c>
      <c r="E42" s="19" t="s">
        <v>23</v>
      </c>
      <c r="F42" s="19" t="s">
        <v>55</v>
      </c>
      <c r="G42" s="19" t="s">
        <v>17</v>
      </c>
      <c r="H42" s="24" t="s">
        <v>203</v>
      </c>
      <c r="I42" s="24" t="s">
        <v>204</v>
      </c>
      <c r="J42" s="19">
        <v>6</v>
      </c>
      <c r="K42" s="19" t="s">
        <v>90</v>
      </c>
    </row>
    <row r="43" spans="1:11" ht="30" x14ac:dyDescent="0.25">
      <c r="A43" s="19" t="s">
        <v>205</v>
      </c>
      <c r="B43" s="19" t="s">
        <v>12</v>
      </c>
      <c r="C43" s="19" t="s">
        <v>201</v>
      </c>
      <c r="D43" s="19" t="s">
        <v>206</v>
      </c>
      <c r="E43" s="19" t="s">
        <v>23</v>
      </c>
      <c r="F43" s="19" t="s">
        <v>55</v>
      </c>
      <c r="G43" s="19" t="s">
        <v>17</v>
      </c>
      <c r="H43" s="24" t="s">
        <v>207</v>
      </c>
      <c r="I43" s="24" t="s">
        <v>208</v>
      </c>
      <c r="J43" s="19">
        <v>6</v>
      </c>
      <c r="K43" s="19" t="s">
        <v>90</v>
      </c>
    </row>
    <row r="44" spans="1:11" ht="45" x14ac:dyDescent="0.25">
      <c r="A44" s="19" t="s">
        <v>209</v>
      </c>
      <c r="B44" s="19" t="s">
        <v>12</v>
      </c>
      <c r="C44" s="19" t="s">
        <v>201</v>
      </c>
      <c r="D44" s="19" t="s">
        <v>210</v>
      </c>
      <c r="E44" s="19" t="s">
        <v>23</v>
      </c>
      <c r="F44" s="19" t="s">
        <v>55</v>
      </c>
      <c r="G44" s="19" t="s">
        <v>17</v>
      </c>
      <c r="H44" s="24" t="s">
        <v>211</v>
      </c>
      <c r="I44" s="24" t="s">
        <v>212</v>
      </c>
      <c r="J44" s="19">
        <v>12</v>
      </c>
      <c r="K44" s="19" t="s">
        <v>90</v>
      </c>
    </row>
    <row r="45" spans="1:11" ht="45" x14ac:dyDescent="0.25">
      <c r="A45" s="19" t="s">
        <v>213</v>
      </c>
      <c r="B45" s="19" t="s">
        <v>12</v>
      </c>
      <c r="C45" s="19" t="s">
        <v>201</v>
      </c>
      <c r="D45" s="19" t="s">
        <v>214</v>
      </c>
      <c r="E45" s="19" t="s">
        <v>23</v>
      </c>
      <c r="F45" s="19" t="s">
        <v>55</v>
      </c>
      <c r="G45" s="19" t="s">
        <v>17</v>
      </c>
      <c r="H45" s="24" t="s">
        <v>215</v>
      </c>
      <c r="I45" s="24" t="s">
        <v>216</v>
      </c>
      <c r="J45" s="19">
        <v>8</v>
      </c>
      <c r="K45" s="19" t="s">
        <v>90</v>
      </c>
    </row>
    <row r="46" spans="1:11" ht="45" x14ac:dyDescent="0.25">
      <c r="A46" s="19" t="s">
        <v>217</v>
      </c>
      <c r="B46" s="19" t="s">
        <v>12</v>
      </c>
      <c r="C46" s="19" t="s">
        <v>201</v>
      </c>
      <c r="D46" s="19" t="s">
        <v>218</v>
      </c>
      <c r="E46" s="19" t="s">
        <v>23</v>
      </c>
      <c r="F46" s="19" t="s">
        <v>55</v>
      </c>
      <c r="G46" s="19" t="s">
        <v>17</v>
      </c>
      <c r="H46" s="24" t="s">
        <v>219</v>
      </c>
      <c r="I46" s="24" t="s">
        <v>220</v>
      </c>
      <c r="J46" s="19">
        <v>6</v>
      </c>
      <c r="K46" s="19" t="s">
        <v>90</v>
      </c>
    </row>
    <row r="47" spans="1:11" ht="60" x14ac:dyDescent="0.25">
      <c r="A47" s="19" t="s">
        <v>221</v>
      </c>
      <c r="B47" s="19" t="s">
        <v>12</v>
      </c>
      <c r="C47" s="19" t="s">
        <v>201</v>
      </c>
      <c r="D47" s="19" t="s">
        <v>222</v>
      </c>
      <c r="E47" s="19" t="s">
        <v>60</v>
      </c>
      <c r="F47" s="19" t="s">
        <v>223</v>
      </c>
      <c r="G47" s="19" t="s">
        <v>17</v>
      </c>
      <c r="H47" s="24" t="s">
        <v>224</v>
      </c>
      <c r="I47" s="24" t="s">
        <v>225</v>
      </c>
      <c r="J47" s="19">
        <v>8</v>
      </c>
      <c r="K47" s="19" t="s">
        <v>90</v>
      </c>
    </row>
    <row r="48" spans="1:11" ht="60" x14ac:dyDescent="0.25">
      <c r="A48" s="19" t="s">
        <v>226</v>
      </c>
      <c r="B48" s="19" t="s">
        <v>12</v>
      </c>
      <c r="C48" s="19" t="s">
        <v>201</v>
      </c>
      <c r="D48" s="19" t="s">
        <v>227</v>
      </c>
      <c r="E48" s="19" t="s">
        <v>23</v>
      </c>
      <c r="F48" s="19" t="s">
        <v>55</v>
      </c>
      <c r="G48" s="19" t="s">
        <v>72</v>
      </c>
      <c r="H48" s="24" t="s">
        <v>228</v>
      </c>
      <c r="I48" s="24" t="s">
        <v>229</v>
      </c>
      <c r="J48" s="19">
        <v>10</v>
      </c>
      <c r="K48" s="19" t="s">
        <v>90</v>
      </c>
    </row>
    <row r="49" spans="1:11" ht="30" x14ac:dyDescent="0.25">
      <c r="A49" s="19" t="s">
        <v>230</v>
      </c>
      <c r="B49" s="19" t="s">
        <v>12</v>
      </c>
      <c r="C49" s="19" t="s">
        <v>201</v>
      </c>
      <c r="D49" s="19" t="s">
        <v>231</v>
      </c>
      <c r="E49" s="19" t="s">
        <v>23</v>
      </c>
      <c r="F49" s="19" t="s">
        <v>55</v>
      </c>
      <c r="G49" s="19" t="s">
        <v>72</v>
      </c>
      <c r="H49" s="24" t="s">
        <v>232</v>
      </c>
      <c r="I49" s="24" t="s">
        <v>233</v>
      </c>
      <c r="J49" s="19">
        <v>4</v>
      </c>
      <c r="K49" s="19" t="s">
        <v>90</v>
      </c>
    </row>
    <row r="50" spans="1:11" ht="30" x14ac:dyDescent="0.25">
      <c r="A50" s="19" t="s">
        <v>234</v>
      </c>
      <c r="B50" s="19" t="s">
        <v>12</v>
      </c>
      <c r="C50" s="19" t="s">
        <v>201</v>
      </c>
      <c r="D50" s="19" t="s">
        <v>235</v>
      </c>
      <c r="E50" s="19" t="s">
        <v>23</v>
      </c>
      <c r="F50" s="19" t="s">
        <v>55</v>
      </c>
      <c r="G50" s="19" t="s">
        <v>35</v>
      </c>
      <c r="H50" s="24" t="s">
        <v>236</v>
      </c>
      <c r="I50" s="24" t="s">
        <v>237</v>
      </c>
      <c r="J50" s="19">
        <v>4</v>
      </c>
      <c r="K50" s="19" t="s">
        <v>90</v>
      </c>
    </row>
    <row r="51" spans="1:11" ht="30" x14ac:dyDescent="0.25">
      <c r="A51" s="19" t="s">
        <v>238</v>
      </c>
      <c r="B51" s="19" t="s">
        <v>12</v>
      </c>
      <c r="C51" s="19" t="s">
        <v>201</v>
      </c>
      <c r="D51" s="19" t="s">
        <v>239</v>
      </c>
      <c r="E51" s="19" t="s">
        <v>23</v>
      </c>
      <c r="F51" s="19" t="s">
        <v>55</v>
      </c>
      <c r="G51" s="19" t="s">
        <v>72</v>
      </c>
      <c r="H51" s="24" t="s">
        <v>240</v>
      </c>
      <c r="I51" s="24" t="s">
        <v>241</v>
      </c>
      <c r="J51" s="19">
        <v>6</v>
      </c>
      <c r="K51" s="19" t="s">
        <v>90</v>
      </c>
    </row>
    <row r="52" spans="1:11" ht="30" x14ac:dyDescent="0.25">
      <c r="A52" s="19" t="s">
        <v>242</v>
      </c>
      <c r="B52" s="19" t="s">
        <v>12</v>
      </c>
      <c r="C52" s="19" t="s">
        <v>201</v>
      </c>
      <c r="D52" s="19" t="s">
        <v>243</v>
      </c>
      <c r="E52" s="19" t="s">
        <v>23</v>
      </c>
      <c r="F52" s="19" t="s">
        <v>55</v>
      </c>
      <c r="G52" s="19" t="s">
        <v>17</v>
      </c>
      <c r="H52" s="24" t="s">
        <v>244</v>
      </c>
      <c r="I52" s="24" t="s">
        <v>245</v>
      </c>
      <c r="J52" s="19">
        <v>6</v>
      </c>
      <c r="K52" s="19" t="s">
        <v>90</v>
      </c>
    </row>
    <row r="53" spans="1:11" ht="30" x14ac:dyDescent="0.25">
      <c r="A53" s="19" t="s">
        <v>246</v>
      </c>
      <c r="B53" s="19" t="s">
        <v>12</v>
      </c>
      <c r="C53" s="19" t="s">
        <v>201</v>
      </c>
      <c r="D53" s="19" t="s">
        <v>247</v>
      </c>
      <c r="E53" s="19" t="s">
        <v>23</v>
      </c>
      <c r="F53" s="19" t="s">
        <v>55</v>
      </c>
      <c r="G53" s="19" t="s">
        <v>17</v>
      </c>
      <c r="H53" s="24" t="s">
        <v>248</v>
      </c>
      <c r="I53" s="24" t="s">
        <v>249</v>
      </c>
      <c r="J53" s="19">
        <v>4</v>
      </c>
      <c r="K53" s="19" t="s">
        <v>90</v>
      </c>
    </row>
    <row r="54" spans="1:11" ht="60" x14ac:dyDescent="0.25">
      <c r="A54" s="19" t="s">
        <v>250</v>
      </c>
      <c r="B54" s="19" t="s">
        <v>12</v>
      </c>
      <c r="C54" s="19" t="s">
        <v>251</v>
      </c>
      <c r="D54" s="19" t="s">
        <v>252</v>
      </c>
      <c r="E54" s="19" t="s">
        <v>23</v>
      </c>
      <c r="F54" s="19" t="s">
        <v>16</v>
      </c>
      <c r="G54" s="19" t="s">
        <v>17</v>
      </c>
      <c r="H54" s="24" t="s">
        <v>253</v>
      </c>
      <c r="I54" s="24" t="s">
        <v>254</v>
      </c>
      <c r="J54" s="19">
        <v>4</v>
      </c>
      <c r="K54" s="19" t="s">
        <v>90</v>
      </c>
    </row>
    <row r="55" spans="1:11" ht="30" x14ac:dyDescent="0.25">
      <c r="A55" s="19" t="s">
        <v>255</v>
      </c>
      <c r="B55" s="19" t="s">
        <v>12</v>
      </c>
      <c r="C55" s="19" t="s">
        <v>251</v>
      </c>
      <c r="D55" s="19" t="s">
        <v>256</v>
      </c>
      <c r="E55" s="19" t="s">
        <v>23</v>
      </c>
      <c r="F55" s="19" t="s">
        <v>257</v>
      </c>
      <c r="G55" s="19" t="s">
        <v>72</v>
      </c>
      <c r="H55" s="24" t="s">
        <v>258</v>
      </c>
      <c r="I55" s="24" t="s">
        <v>259</v>
      </c>
      <c r="J55" s="19">
        <v>4</v>
      </c>
      <c r="K55" s="19" t="s">
        <v>90</v>
      </c>
    </row>
    <row r="56" spans="1:11" ht="45" x14ac:dyDescent="0.25">
      <c r="A56" s="19" t="s">
        <v>260</v>
      </c>
      <c r="B56" s="19" t="s">
        <v>12</v>
      </c>
      <c r="C56" s="19" t="s">
        <v>251</v>
      </c>
      <c r="D56" s="19" t="s">
        <v>261</v>
      </c>
      <c r="E56" s="19" t="s">
        <v>23</v>
      </c>
      <c r="F56" s="19" t="s">
        <v>262</v>
      </c>
      <c r="G56" s="19" t="s">
        <v>72</v>
      </c>
      <c r="H56" s="24" t="s">
        <v>263</v>
      </c>
      <c r="I56" s="24" t="s">
        <v>264</v>
      </c>
      <c r="J56" s="19">
        <v>6</v>
      </c>
      <c r="K56" s="19" t="s">
        <v>90</v>
      </c>
    </row>
    <row r="57" spans="1:11" x14ac:dyDescent="0.25">
      <c r="A57" s="19" t="s">
        <v>265</v>
      </c>
      <c r="B57" s="19" t="s">
        <v>12</v>
      </c>
      <c r="C57" s="19" t="s">
        <v>251</v>
      </c>
      <c r="D57" s="19" t="s">
        <v>266</v>
      </c>
      <c r="E57" s="19" t="s">
        <v>23</v>
      </c>
      <c r="F57" s="19" t="s">
        <v>262</v>
      </c>
      <c r="G57" s="19" t="s">
        <v>35</v>
      </c>
      <c r="H57" s="24" t="s">
        <v>267</v>
      </c>
      <c r="I57" s="24" t="s">
        <v>268</v>
      </c>
      <c r="J57" s="19">
        <v>4</v>
      </c>
      <c r="K57" s="19" t="s">
        <v>90</v>
      </c>
    </row>
    <row r="58" spans="1:11" ht="30" x14ac:dyDescent="0.25">
      <c r="A58" s="19" t="s">
        <v>269</v>
      </c>
      <c r="B58" s="19" t="s">
        <v>12</v>
      </c>
      <c r="C58" s="19" t="s">
        <v>251</v>
      </c>
      <c r="D58" s="19" t="s">
        <v>270</v>
      </c>
      <c r="E58" s="19" t="s">
        <v>60</v>
      </c>
      <c r="F58" s="19" t="s">
        <v>271</v>
      </c>
      <c r="G58" s="19" t="s">
        <v>17</v>
      </c>
      <c r="H58" s="24" t="s">
        <v>272</v>
      </c>
      <c r="I58" s="24" t="s">
        <v>273</v>
      </c>
      <c r="J58" s="19">
        <v>10</v>
      </c>
      <c r="K58" s="19" t="s">
        <v>90</v>
      </c>
    </row>
    <row r="59" spans="1:11" ht="30" x14ac:dyDescent="0.25">
      <c r="A59" s="19" t="s">
        <v>274</v>
      </c>
      <c r="B59" s="19" t="s">
        <v>12</v>
      </c>
      <c r="C59" s="19" t="s">
        <v>251</v>
      </c>
      <c r="D59" s="19" t="s">
        <v>275</v>
      </c>
      <c r="E59" s="19" t="s">
        <v>60</v>
      </c>
      <c r="F59" s="19" t="s">
        <v>271</v>
      </c>
      <c r="G59" s="19" t="s">
        <v>17</v>
      </c>
      <c r="H59" s="24" t="s">
        <v>276</v>
      </c>
      <c r="I59" s="24" t="s">
        <v>277</v>
      </c>
      <c r="J59" s="19">
        <v>10</v>
      </c>
      <c r="K59" s="19" t="s">
        <v>90</v>
      </c>
    </row>
    <row r="60" spans="1:11" ht="30" x14ac:dyDescent="0.25">
      <c r="A60" s="19" t="s">
        <v>278</v>
      </c>
      <c r="B60" s="19" t="s">
        <v>12</v>
      </c>
      <c r="C60" s="19" t="s">
        <v>251</v>
      </c>
      <c r="D60" s="19" t="s">
        <v>279</v>
      </c>
      <c r="E60" s="19" t="s">
        <v>23</v>
      </c>
      <c r="F60" s="19" t="s">
        <v>55</v>
      </c>
      <c r="G60" s="19" t="s">
        <v>72</v>
      </c>
      <c r="H60" s="24" t="s">
        <v>280</v>
      </c>
      <c r="I60" s="24" t="s">
        <v>281</v>
      </c>
      <c r="J60" s="19">
        <v>4</v>
      </c>
      <c r="K60" s="19" t="s">
        <v>90</v>
      </c>
    </row>
    <row r="61" spans="1:11" ht="45" x14ac:dyDescent="0.25">
      <c r="A61" s="19" t="s">
        <v>282</v>
      </c>
      <c r="B61" s="19" t="s">
        <v>12</v>
      </c>
      <c r="C61" s="19" t="s">
        <v>251</v>
      </c>
      <c r="D61" s="19" t="s">
        <v>283</v>
      </c>
      <c r="E61" s="19" t="s">
        <v>23</v>
      </c>
      <c r="F61" s="19" t="s">
        <v>271</v>
      </c>
      <c r="G61" s="19" t="s">
        <v>72</v>
      </c>
      <c r="H61" s="24" t="s">
        <v>284</v>
      </c>
      <c r="I61" s="24" t="s">
        <v>285</v>
      </c>
      <c r="J61" s="19">
        <v>4</v>
      </c>
      <c r="K61" s="19" t="s">
        <v>90</v>
      </c>
    </row>
    <row r="62" spans="1:11" ht="45" x14ac:dyDescent="0.25">
      <c r="A62" s="19" t="s">
        <v>286</v>
      </c>
      <c r="B62" s="19" t="s">
        <v>12</v>
      </c>
      <c r="C62" s="19" t="s">
        <v>251</v>
      </c>
      <c r="D62" s="19" t="s">
        <v>287</v>
      </c>
      <c r="E62" s="19" t="s">
        <v>60</v>
      </c>
      <c r="F62" s="19" t="s">
        <v>288</v>
      </c>
      <c r="G62" s="19" t="s">
        <v>17</v>
      </c>
      <c r="H62" s="24" t="s">
        <v>289</v>
      </c>
      <c r="I62" s="24" t="s">
        <v>290</v>
      </c>
      <c r="J62" s="19">
        <v>6</v>
      </c>
      <c r="K62" s="19" t="s">
        <v>90</v>
      </c>
    </row>
    <row r="63" spans="1:11" ht="30" x14ac:dyDescent="0.25">
      <c r="A63" s="19" t="s">
        <v>291</v>
      </c>
      <c r="B63" s="19" t="s">
        <v>12</v>
      </c>
      <c r="C63" s="19" t="s">
        <v>251</v>
      </c>
      <c r="D63" s="19" t="s">
        <v>292</v>
      </c>
      <c r="E63" s="19" t="s">
        <v>23</v>
      </c>
      <c r="F63" s="19" t="s">
        <v>288</v>
      </c>
      <c r="G63" s="19" t="s">
        <v>17</v>
      </c>
      <c r="H63" s="24" t="s">
        <v>293</v>
      </c>
      <c r="I63" s="24" t="s">
        <v>294</v>
      </c>
      <c r="J63" s="19">
        <v>4</v>
      </c>
      <c r="K63" s="19" t="s">
        <v>90</v>
      </c>
    </row>
    <row r="64" spans="1:11" ht="30" x14ac:dyDescent="0.25">
      <c r="A64" s="19" t="s">
        <v>295</v>
      </c>
      <c r="B64" s="19" t="s">
        <v>12</v>
      </c>
      <c r="C64" s="19" t="s">
        <v>251</v>
      </c>
      <c r="D64" s="19" t="s">
        <v>296</v>
      </c>
      <c r="E64" s="19" t="s">
        <v>23</v>
      </c>
      <c r="F64" s="19" t="s">
        <v>297</v>
      </c>
      <c r="G64" s="19" t="s">
        <v>72</v>
      </c>
      <c r="H64" s="24" t="s">
        <v>298</v>
      </c>
      <c r="I64" s="24" t="s">
        <v>299</v>
      </c>
      <c r="J64" s="19">
        <v>10</v>
      </c>
      <c r="K64" s="19" t="s">
        <v>90</v>
      </c>
    </row>
    <row r="65" spans="1:11" ht="30" x14ac:dyDescent="0.25">
      <c r="A65" s="19" t="s">
        <v>300</v>
      </c>
      <c r="B65" s="19" t="s">
        <v>12</v>
      </c>
      <c r="C65" s="19" t="s">
        <v>251</v>
      </c>
      <c r="D65" s="19" t="s">
        <v>301</v>
      </c>
      <c r="E65" s="19" t="s">
        <v>60</v>
      </c>
      <c r="F65" s="19" t="s">
        <v>302</v>
      </c>
      <c r="G65" s="19" t="s">
        <v>17</v>
      </c>
      <c r="H65" s="24" t="s">
        <v>303</v>
      </c>
      <c r="I65" s="24" t="s">
        <v>304</v>
      </c>
      <c r="J65" s="19">
        <v>8</v>
      </c>
      <c r="K65" s="19" t="s">
        <v>90</v>
      </c>
    </row>
    <row r="66" spans="1:11" ht="60" x14ac:dyDescent="0.25">
      <c r="A66" s="19" t="s">
        <v>305</v>
      </c>
      <c r="B66" s="19" t="s">
        <v>12</v>
      </c>
      <c r="C66" s="19" t="s">
        <v>251</v>
      </c>
      <c r="D66" s="19" t="s">
        <v>306</v>
      </c>
      <c r="E66" s="19" t="s">
        <v>23</v>
      </c>
      <c r="F66" s="19" t="s">
        <v>66</v>
      </c>
      <c r="G66" s="19" t="s">
        <v>17</v>
      </c>
      <c r="H66" s="24" t="s">
        <v>307</v>
      </c>
      <c r="I66" s="24" t="s">
        <v>308</v>
      </c>
      <c r="J66" s="19">
        <v>12</v>
      </c>
      <c r="K66" s="19" t="s">
        <v>90</v>
      </c>
    </row>
    <row r="67" spans="1:11" ht="30" x14ac:dyDescent="0.25">
      <c r="A67" s="19" t="s">
        <v>309</v>
      </c>
      <c r="B67" s="19" t="s">
        <v>12</v>
      </c>
      <c r="C67" s="19" t="s">
        <v>251</v>
      </c>
      <c r="D67" s="19" t="s">
        <v>310</v>
      </c>
      <c r="E67" s="19" t="s">
        <v>23</v>
      </c>
      <c r="F67" s="19" t="s">
        <v>66</v>
      </c>
      <c r="G67" s="19" t="s">
        <v>17</v>
      </c>
      <c r="H67" s="24" t="s">
        <v>311</v>
      </c>
      <c r="I67" s="24" t="s">
        <v>312</v>
      </c>
      <c r="J67" s="19">
        <v>6</v>
      </c>
      <c r="K67" s="19" t="s">
        <v>90</v>
      </c>
    </row>
    <row r="68" spans="1:11" ht="45" x14ac:dyDescent="0.25">
      <c r="A68" s="19" t="s">
        <v>313</v>
      </c>
      <c r="B68" s="19" t="s">
        <v>12</v>
      </c>
      <c r="C68" s="19" t="s">
        <v>251</v>
      </c>
      <c r="D68" s="19" t="s">
        <v>314</v>
      </c>
      <c r="E68" s="19" t="s">
        <v>23</v>
      </c>
      <c r="F68" s="19" t="s">
        <v>66</v>
      </c>
      <c r="G68" s="19" t="s">
        <v>72</v>
      </c>
      <c r="H68" s="24" t="s">
        <v>315</v>
      </c>
      <c r="I68" s="24" t="s">
        <v>316</v>
      </c>
      <c r="J68" s="19">
        <v>8</v>
      </c>
      <c r="K68" s="19" t="s">
        <v>90</v>
      </c>
    </row>
    <row r="69" spans="1:11" ht="30" x14ac:dyDescent="0.25">
      <c r="A69" s="19" t="s">
        <v>317</v>
      </c>
      <c r="B69" s="19" t="s">
        <v>12</v>
      </c>
      <c r="C69" s="19" t="s">
        <v>251</v>
      </c>
      <c r="D69" s="19" t="s">
        <v>318</v>
      </c>
      <c r="E69" s="19" t="s">
        <v>23</v>
      </c>
      <c r="F69" s="19" t="s">
        <v>66</v>
      </c>
      <c r="G69" s="19" t="s">
        <v>17</v>
      </c>
      <c r="H69" s="24" t="s">
        <v>319</v>
      </c>
      <c r="I69" s="24" t="s">
        <v>320</v>
      </c>
      <c r="J69" s="19">
        <v>6</v>
      </c>
      <c r="K69" s="19" t="s">
        <v>90</v>
      </c>
    </row>
    <row r="70" spans="1:11" ht="60" x14ac:dyDescent="0.25">
      <c r="A70" s="18" t="s">
        <v>321</v>
      </c>
      <c r="B70" s="18" t="s">
        <v>12</v>
      </c>
      <c r="C70" s="18" t="s">
        <v>322</v>
      </c>
      <c r="D70" s="18" t="s">
        <v>323</v>
      </c>
      <c r="E70" s="18" t="s">
        <v>324</v>
      </c>
      <c r="F70" s="18" t="s">
        <v>325</v>
      </c>
      <c r="G70" s="18" t="s">
        <v>17</v>
      </c>
      <c r="H70" s="23" t="s">
        <v>326</v>
      </c>
      <c r="I70" s="23" t="s">
        <v>327</v>
      </c>
      <c r="J70" s="18">
        <v>8</v>
      </c>
      <c r="K70" s="18" t="s">
        <v>20</v>
      </c>
    </row>
    <row r="71" spans="1:11" ht="30" x14ac:dyDescent="0.25">
      <c r="A71" s="18" t="s">
        <v>328</v>
      </c>
      <c r="B71" s="18" t="s">
        <v>12</v>
      </c>
      <c r="C71" s="18" t="s">
        <v>322</v>
      </c>
      <c r="D71" s="18" t="s">
        <v>329</v>
      </c>
      <c r="E71" s="18" t="s">
        <v>324</v>
      </c>
      <c r="F71" s="18" t="s">
        <v>325</v>
      </c>
      <c r="G71" s="18" t="s">
        <v>35</v>
      </c>
      <c r="H71" s="23" t="s">
        <v>330</v>
      </c>
      <c r="I71" s="23" t="s">
        <v>331</v>
      </c>
      <c r="J71" s="18">
        <v>6</v>
      </c>
      <c r="K71" s="18" t="s">
        <v>20</v>
      </c>
    </row>
    <row r="72" spans="1:11" ht="30" x14ac:dyDescent="0.25">
      <c r="A72" s="29" t="s">
        <v>332</v>
      </c>
      <c r="B72" s="29" t="s">
        <v>12</v>
      </c>
      <c r="C72" s="29" t="s">
        <v>322</v>
      </c>
      <c r="D72" s="29" t="s">
        <v>333</v>
      </c>
      <c r="E72" s="29" t="s">
        <v>23</v>
      </c>
      <c r="F72" s="29" t="s">
        <v>334</v>
      </c>
      <c r="G72" s="29" t="s">
        <v>17</v>
      </c>
      <c r="H72" s="30" t="s">
        <v>335</v>
      </c>
      <c r="I72" s="30" t="s">
        <v>336</v>
      </c>
      <c r="J72" s="29">
        <v>8</v>
      </c>
      <c r="K72" s="29" t="s">
        <v>829</v>
      </c>
    </row>
    <row r="73" spans="1:11" ht="30" x14ac:dyDescent="0.25">
      <c r="A73" s="19" t="s">
        <v>337</v>
      </c>
      <c r="B73" s="19" t="s">
        <v>12</v>
      </c>
      <c r="C73" s="19" t="s">
        <v>322</v>
      </c>
      <c r="D73" s="19" t="s">
        <v>338</v>
      </c>
      <c r="E73" s="19" t="s">
        <v>60</v>
      </c>
      <c r="F73" s="19" t="s">
        <v>334</v>
      </c>
      <c r="G73" s="19" t="s">
        <v>17</v>
      </c>
      <c r="H73" s="24" t="s">
        <v>339</v>
      </c>
      <c r="I73" s="24" t="s">
        <v>340</v>
      </c>
      <c r="J73" s="19">
        <v>8</v>
      </c>
      <c r="K73" s="19" t="s">
        <v>90</v>
      </c>
    </row>
    <row r="74" spans="1:11" ht="60" x14ac:dyDescent="0.25">
      <c r="A74" s="19" t="s">
        <v>341</v>
      </c>
      <c r="B74" s="19" t="s">
        <v>12</v>
      </c>
      <c r="C74" s="19" t="s">
        <v>322</v>
      </c>
      <c r="D74" s="19" t="s">
        <v>342</v>
      </c>
      <c r="E74" s="19" t="s">
        <v>343</v>
      </c>
      <c r="F74" s="19" t="s">
        <v>334</v>
      </c>
      <c r="G74" s="19" t="s">
        <v>17</v>
      </c>
      <c r="H74" s="24" t="s">
        <v>344</v>
      </c>
      <c r="I74" s="24" t="s">
        <v>345</v>
      </c>
      <c r="J74" s="19">
        <v>8</v>
      </c>
      <c r="K74" s="19" t="s">
        <v>90</v>
      </c>
    </row>
    <row r="75" spans="1:11" ht="30" x14ac:dyDescent="0.25">
      <c r="A75" s="19" t="s">
        <v>346</v>
      </c>
      <c r="B75" s="19" t="s">
        <v>12</v>
      </c>
      <c r="C75" s="19" t="s">
        <v>322</v>
      </c>
      <c r="D75" s="19" t="s">
        <v>347</v>
      </c>
      <c r="E75" s="19" t="s">
        <v>60</v>
      </c>
      <c r="F75" s="19" t="s">
        <v>334</v>
      </c>
      <c r="G75" s="19" t="s">
        <v>72</v>
      </c>
      <c r="H75" s="24" t="s">
        <v>348</v>
      </c>
      <c r="I75" s="24" t="s">
        <v>349</v>
      </c>
      <c r="J75" s="19">
        <v>4</v>
      </c>
      <c r="K75" s="19" t="s">
        <v>90</v>
      </c>
    </row>
    <row r="76" spans="1:11" ht="30" x14ac:dyDescent="0.25">
      <c r="A76" s="19" t="s">
        <v>350</v>
      </c>
      <c r="B76" s="19" t="s">
        <v>12</v>
      </c>
      <c r="C76" s="19" t="s">
        <v>322</v>
      </c>
      <c r="D76" s="19" t="s">
        <v>351</v>
      </c>
      <c r="E76" s="19" t="s">
        <v>23</v>
      </c>
      <c r="F76" s="19" t="s">
        <v>334</v>
      </c>
      <c r="G76" s="19" t="s">
        <v>72</v>
      </c>
      <c r="H76" s="24" t="s">
        <v>352</v>
      </c>
      <c r="I76" s="24" t="s">
        <v>353</v>
      </c>
      <c r="J76" s="19">
        <v>4</v>
      </c>
      <c r="K76" s="19" t="s">
        <v>90</v>
      </c>
    </row>
    <row r="77" spans="1:11" ht="30" x14ac:dyDescent="0.25">
      <c r="A77" s="19" t="s">
        <v>354</v>
      </c>
      <c r="B77" s="19" t="s">
        <v>12</v>
      </c>
      <c r="C77" s="19" t="s">
        <v>322</v>
      </c>
      <c r="D77" s="19" t="s">
        <v>355</v>
      </c>
      <c r="E77" s="19" t="s">
        <v>15</v>
      </c>
      <c r="F77" s="19" t="s">
        <v>334</v>
      </c>
      <c r="G77" s="19" t="s">
        <v>72</v>
      </c>
      <c r="H77" s="24" t="s">
        <v>356</v>
      </c>
      <c r="I77" s="24" t="s">
        <v>357</v>
      </c>
      <c r="J77" s="19">
        <v>4</v>
      </c>
      <c r="K77" s="19" t="s">
        <v>90</v>
      </c>
    </row>
    <row r="78" spans="1:11" ht="30" x14ac:dyDescent="0.25">
      <c r="A78" s="19" t="s">
        <v>358</v>
      </c>
      <c r="B78" s="19" t="s">
        <v>12</v>
      </c>
      <c r="C78" s="19" t="s">
        <v>322</v>
      </c>
      <c r="D78" s="19" t="s">
        <v>359</v>
      </c>
      <c r="E78" s="19" t="s">
        <v>54</v>
      </c>
      <c r="F78" s="19" t="s">
        <v>360</v>
      </c>
      <c r="G78" s="19" t="s">
        <v>17</v>
      </c>
      <c r="H78" s="24" t="s">
        <v>361</v>
      </c>
      <c r="I78" s="24" t="s">
        <v>362</v>
      </c>
      <c r="J78" s="19">
        <v>6</v>
      </c>
      <c r="K78" s="19" t="s">
        <v>90</v>
      </c>
    </row>
    <row r="79" spans="1:11" ht="30" x14ac:dyDescent="0.25">
      <c r="A79" s="19" t="s">
        <v>363</v>
      </c>
      <c r="B79" s="19" t="s">
        <v>12</v>
      </c>
      <c r="C79" s="19" t="s">
        <v>322</v>
      </c>
      <c r="D79" s="19" t="s">
        <v>364</v>
      </c>
      <c r="E79" s="19" t="s">
        <v>54</v>
      </c>
      <c r="F79" s="19" t="s">
        <v>365</v>
      </c>
      <c r="G79" s="19" t="s">
        <v>72</v>
      </c>
      <c r="H79" s="24" t="s">
        <v>366</v>
      </c>
      <c r="I79" s="24" t="s">
        <v>367</v>
      </c>
      <c r="J79" s="19">
        <v>4</v>
      </c>
      <c r="K79" s="19" t="s">
        <v>90</v>
      </c>
    </row>
    <row r="80" spans="1:11" ht="30" x14ac:dyDescent="0.25">
      <c r="A80" s="19" t="s">
        <v>368</v>
      </c>
      <c r="B80" s="19" t="s">
        <v>12</v>
      </c>
      <c r="C80" s="19" t="s">
        <v>322</v>
      </c>
      <c r="D80" s="19" t="s">
        <v>369</v>
      </c>
      <c r="E80" s="19" t="s">
        <v>54</v>
      </c>
      <c r="F80" s="19" t="s">
        <v>360</v>
      </c>
      <c r="G80" s="19" t="s">
        <v>72</v>
      </c>
      <c r="H80" s="24" t="s">
        <v>370</v>
      </c>
      <c r="I80" s="24" t="s">
        <v>371</v>
      </c>
      <c r="J80" s="19">
        <v>3</v>
      </c>
      <c r="K80" s="19" t="s">
        <v>90</v>
      </c>
    </row>
    <row r="81" spans="1:11" ht="30" x14ac:dyDescent="0.25">
      <c r="A81" s="19" t="s">
        <v>372</v>
      </c>
      <c r="B81" s="19" t="s">
        <v>12</v>
      </c>
      <c r="C81" s="19" t="s">
        <v>322</v>
      </c>
      <c r="D81" s="19" t="s">
        <v>373</v>
      </c>
      <c r="E81" s="19" t="s">
        <v>54</v>
      </c>
      <c r="F81" s="19" t="s">
        <v>374</v>
      </c>
      <c r="G81" s="19" t="s">
        <v>17</v>
      </c>
      <c r="H81" s="24" t="s">
        <v>375</v>
      </c>
      <c r="I81" s="24" t="s">
        <v>376</v>
      </c>
      <c r="J81" s="19">
        <v>4</v>
      </c>
      <c r="K81" s="19" t="s">
        <v>90</v>
      </c>
    </row>
    <row r="82" spans="1:11" ht="60" x14ac:dyDescent="0.25">
      <c r="A82" s="19" t="s">
        <v>377</v>
      </c>
      <c r="B82" s="19" t="s">
        <v>12</v>
      </c>
      <c r="C82" s="19" t="s">
        <v>322</v>
      </c>
      <c r="D82" s="19" t="s">
        <v>378</v>
      </c>
      <c r="E82" s="19" t="s">
        <v>15</v>
      </c>
      <c r="F82" s="19" t="s">
        <v>379</v>
      </c>
      <c r="G82" s="19" t="s">
        <v>17</v>
      </c>
      <c r="H82" s="24" t="s">
        <v>380</v>
      </c>
      <c r="I82" s="24" t="s">
        <v>381</v>
      </c>
      <c r="J82" s="19">
        <v>6</v>
      </c>
      <c r="K82" s="19" t="s">
        <v>90</v>
      </c>
    </row>
    <row r="83" spans="1:11" ht="45" x14ac:dyDescent="0.25">
      <c r="A83" s="19" t="s">
        <v>382</v>
      </c>
      <c r="B83" s="19" t="s">
        <v>12</v>
      </c>
      <c r="C83" s="19" t="s">
        <v>322</v>
      </c>
      <c r="D83" s="19" t="s">
        <v>383</v>
      </c>
      <c r="E83" s="19" t="s">
        <v>28</v>
      </c>
      <c r="F83" s="19" t="s">
        <v>379</v>
      </c>
      <c r="G83" s="19" t="s">
        <v>72</v>
      </c>
      <c r="H83" s="24" t="s">
        <v>384</v>
      </c>
      <c r="I83" s="24" t="s">
        <v>385</v>
      </c>
      <c r="J83" s="19">
        <v>4</v>
      </c>
      <c r="K83" s="19" t="s">
        <v>90</v>
      </c>
    </row>
    <row r="84" spans="1:11" ht="30" x14ac:dyDescent="0.25">
      <c r="A84" s="19" t="s">
        <v>386</v>
      </c>
      <c r="B84" s="19" t="s">
        <v>12</v>
      </c>
      <c r="C84" s="19" t="s">
        <v>322</v>
      </c>
      <c r="D84" s="19" t="s">
        <v>387</v>
      </c>
      <c r="E84" s="19" t="s">
        <v>15</v>
      </c>
      <c r="F84" s="19" t="s">
        <v>379</v>
      </c>
      <c r="G84" s="19" t="s">
        <v>17</v>
      </c>
      <c r="H84" s="24" t="s">
        <v>388</v>
      </c>
      <c r="I84" s="24" t="s">
        <v>389</v>
      </c>
      <c r="J84" s="19">
        <v>6</v>
      </c>
      <c r="K84" s="19" t="s">
        <v>90</v>
      </c>
    </row>
    <row r="85" spans="1:11" ht="45" x14ac:dyDescent="0.25">
      <c r="A85" s="19" t="s">
        <v>390</v>
      </c>
      <c r="B85" s="19" t="s">
        <v>391</v>
      </c>
      <c r="C85" s="19" t="s">
        <v>392</v>
      </c>
      <c r="D85" s="19" t="s">
        <v>393</v>
      </c>
      <c r="E85" s="19" t="s">
        <v>28</v>
      </c>
      <c r="F85" s="19" t="s">
        <v>83</v>
      </c>
      <c r="G85" s="19" t="s">
        <v>17</v>
      </c>
      <c r="H85" s="24" t="s">
        <v>394</v>
      </c>
      <c r="I85" s="24" t="s">
        <v>395</v>
      </c>
      <c r="J85" s="19">
        <v>10</v>
      </c>
      <c r="K85" s="19" t="s">
        <v>90</v>
      </c>
    </row>
    <row r="86" spans="1:11" ht="90" x14ac:dyDescent="0.25">
      <c r="A86" s="19" t="s">
        <v>396</v>
      </c>
      <c r="B86" s="19" t="s">
        <v>391</v>
      </c>
      <c r="C86" s="19" t="s">
        <v>392</v>
      </c>
      <c r="D86" s="19" t="s">
        <v>397</v>
      </c>
      <c r="E86" s="19" t="s">
        <v>40</v>
      </c>
      <c r="F86" s="19" t="s">
        <v>83</v>
      </c>
      <c r="G86" s="19" t="s">
        <v>17</v>
      </c>
      <c r="H86" s="24" t="s">
        <v>398</v>
      </c>
      <c r="I86" s="24" t="s">
        <v>399</v>
      </c>
      <c r="J86" s="19">
        <v>10</v>
      </c>
      <c r="K86" s="19" t="s">
        <v>90</v>
      </c>
    </row>
    <row r="87" spans="1:11" ht="90" x14ac:dyDescent="0.25">
      <c r="A87" s="19" t="s">
        <v>400</v>
      </c>
      <c r="B87" s="19" t="s">
        <v>391</v>
      </c>
      <c r="C87" s="19" t="s">
        <v>392</v>
      </c>
      <c r="D87" s="19" t="s">
        <v>401</v>
      </c>
      <c r="E87" s="19" t="s">
        <v>54</v>
      </c>
      <c r="F87" s="19" t="s">
        <v>83</v>
      </c>
      <c r="G87" s="19" t="s">
        <v>17</v>
      </c>
      <c r="H87" s="24" t="s">
        <v>402</v>
      </c>
      <c r="I87" s="24" t="s">
        <v>403</v>
      </c>
      <c r="J87" s="19">
        <v>8</v>
      </c>
      <c r="K87" s="19" t="s">
        <v>90</v>
      </c>
    </row>
    <row r="88" spans="1:11" ht="30" x14ac:dyDescent="0.25">
      <c r="A88" s="19" t="s">
        <v>404</v>
      </c>
      <c r="B88" s="19" t="s">
        <v>391</v>
      </c>
      <c r="C88" s="19" t="s">
        <v>392</v>
      </c>
      <c r="D88" s="19" t="s">
        <v>405</v>
      </c>
      <c r="E88" s="19" t="s">
        <v>40</v>
      </c>
      <c r="F88" s="19" t="s">
        <v>406</v>
      </c>
      <c r="G88" s="19" t="s">
        <v>17</v>
      </c>
      <c r="H88" s="24" t="s">
        <v>407</v>
      </c>
      <c r="I88" s="24" t="s">
        <v>408</v>
      </c>
      <c r="J88" s="19">
        <v>12</v>
      </c>
      <c r="K88" s="19" t="s">
        <v>90</v>
      </c>
    </row>
    <row r="89" spans="1:11" ht="30" x14ac:dyDescent="0.25">
      <c r="A89" s="19" t="s">
        <v>409</v>
      </c>
      <c r="B89" s="19" t="s">
        <v>391</v>
      </c>
      <c r="C89" s="19" t="s">
        <v>392</v>
      </c>
      <c r="D89" s="19" t="s">
        <v>410</v>
      </c>
      <c r="E89" s="19" t="s">
        <v>40</v>
      </c>
      <c r="F89" s="19" t="s">
        <v>406</v>
      </c>
      <c r="G89" s="19" t="s">
        <v>72</v>
      </c>
      <c r="H89" s="24" t="s">
        <v>411</v>
      </c>
      <c r="I89" s="24" t="s">
        <v>412</v>
      </c>
      <c r="J89" s="19">
        <v>12</v>
      </c>
      <c r="K89" s="19" t="s">
        <v>90</v>
      </c>
    </row>
    <row r="90" spans="1:11" x14ac:dyDescent="0.25">
      <c r="A90" s="19" t="s">
        <v>413</v>
      </c>
      <c r="B90" s="19" t="s">
        <v>391</v>
      </c>
      <c r="C90" s="19" t="s">
        <v>392</v>
      </c>
      <c r="D90" s="19" t="s">
        <v>414</v>
      </c>
      <c r="E90" s="19" t="s">
        <v>40</v>
      </c>
      <c r="F90" s="19" t="s">
        <v>193</v>
      </c>
      <c r="G90" s="19" t="s">
        <v>17</v>
      </c>
      <c r="H90" s="24" t="s">
        <v>415</v>
      </c>
      <c r="I90" s="24" t="s">
        <v>416</v>
      </c>
      <c r="J90" s="19">
        <v>12</v>
      </c>
      <c r="K90" s="19" t="s">
        <v>90</v>
      </c>
    </row>
    <row r="91" spans="1:11" ht="30" x14ac:dyDescent="0.25">
      <c r="A91" s="19" t="s">
        <v>417</v>
      </c>
      <c r="B91" s="19" t="s">
        <v>391</v>
      </c>
      <c r="C91" s="19" t="s">
        <v>392</v>
      </c>
      <c r="D91" s="19" t="s">
        <v>418</v>
      </c>
      <c r="E91" s="19" t="s">
        <v>60</v>
      </c>
      <c r="F91" s="19" t="s">
        <v>193</v>
      </c>
      <c r="G91" s="19" t="s">
        <v>17</v>
      </c>
      <c r="H91" s="24" t="s">
        <v>419</v>
      </c>
      <c r="I91" s="24" t="s">
        <v>420</v>
      </c>
      <c r="J91" s="19">
        <v>12</v>
      </c>
      <c r="K91" s="19" t="s">
        <v>90</v>
      </c>
    </row>
    <row r="92" spans="1:11" x14ac:dyDescent="0.25">
      <c r="A92" s="19" t="s">
        <v>421</v>
      </c>
      <c r="B92" s="19" t="s">
        <v>391</v>
      </c>
      <c r="C92" s="19" t="s">
        <v>392</v>
      </c>
      <c r="D92" s="19" t="s">
        <v>422</v>
      </c>
      <c r="E92" s="19" t="s">
        <v>60</v>
      </c>
      <c r="F92" s="19" t="s">
        <v>193</v>
      </c>
      <c r="G92" s="19" t="s">
        <v>72</v>
      </c>
      <c r="H92" s="24" t="s">
        <v>423</v>
      </c>
      <c r="I92" s="24" t="s">
        <v>424</v>
      </c>
      <c r="J92" s="19">
        <v>12</v>
      </c>
      <c r="K92" s="19" t="s">
        <v>90</v>
      </c>
    </row>
    <row r="93" spans="1:11" ht="30" x14ac:dyDescent="0.25">
      <c r="A93" s="19" t="s">
        <v>425</v>
      </c>
      <c r="B93" s="19" t="s">
        <v>391</v>
      </c>
      <c r="C93" s="19" t="s">
        <v>392</v>
      </c>
      <c r="D93" s="19" t="s">
        <v>426</v>
      </c>
      <c r="E93" s="19" t="s">
        <v>60</v>
      </c>
      <c r="F93" s="19" t="s">
        <v>223</v>
      </c>
      <c r="G93" s="19" t="s">
        <v>17</v>
      </c>
      <c r="H93" s="24" t="s">
        <v>427</v>
      </c>
      <c r="I93" s="24" t="s">
        <v>428</v>
      </c>
      <c r="J93" s="19">
        <v>12</v>
      </c>
      <c r="K93" s="19" t="s">
        <v>90</v>
      </c>
    </row>
    <row r="94" spans="1:11" ht="30" x14ac:dyDescent="0.25">
      <c r="A94" s="19" t="s">
        <v>429</v>
      </c>
      <c r="B94" s="19" t="s">
        <v>391</v>
      </c>
      <c r="C94" s="19" t="s">
        <v>392</v>
      </c>
      <c r="D94" s="19" t="s">
        <v>430</v>
      </c>
      <c r="E94" s="19" t="s">
        <v>60</v>
      </c>
      <c r="F94" s="19" t="s">
        <v>223</v>
      </c>
      <c r="G94" s="19" t="s">
        <v>72</v>
      </c>
      <c r="H94" s="24" t="s">
        <v>431</v>
      </c>
      <c r="I94" s="24" t="s">
        <v>432</v>
      </c>
      <c r="J94" s="19">
        <v>6</v>
      </c>
      <c r="K94" s="19" t="s">
        <v>90</v>
      </c>
    </row>
    <row r="95" spans="1:11" ht="30" x14ac:dyDescent="0.25">
      <c r="A95" s="19" t="s">
        <v>433</v>
      </c>
      <c r="B95" s="19" t="s">
        <v>391</v>
      </c>
      <c r="C95" s="19" t="s">
        <v>392</v>
      </c>
      <c r="D95" s="19" t="s">
        <v>434</v>
      </c>
      <c r="E95" s="19" t="s">
        <v>60</v>
      </c>
      <c r="F95" s="19" t="s">
        <v>223</v>
      </c>
      <c r="G95" s="19" t="s">
        <v>72</v>
      </c>
      <c r="H95" s="24" t="s">
        <v>435</v>
      </c>
      <c r="I95" s="24" t="s">
        <v>436</v>
      </c>
      <c r="J95" s="19">
        <v>8</v>
      </c>
      <c r="K95" s="19" t="s">
        <v>90</v>
      </c>
    </row>
    <row r="96" spans="1:11" x14ac:dyDescent="0.25">
      <c r="A96" s="19" t="s">
        <v>437</v>
      </c>
      <c r="B96" s="19" t="s">
        <v>391</v>
      </c>
      <c r="C96" s="19" t="s">
        <v>438</v>
      </c>
      <c r="D96" s="19" t="s">
        <v>439</v>
      </c>
      <c r="E96" s="19" t="s">
        <v>60</v>
      </c>
      <c r="F96" s="19" t="s">
        <v>271</v>
      </c>
      <c r="G96" s="19" t="s">
        <v>17</v>
      </c>
      <c r="H96" s="24" t="s">
        <v>440</v>
      </c>
      <c r="I96" s="24" t="s">
        <v>441</v>
      </c>
      <c r="J96" s="19">
        <v>12</v>
      </c>
      <c r="K96" s="19" t="s">
        <v>90</v>
      </c>
    </row>
    <row r="97" spans="1:11" x14ac:dyDescent="0.25">
      <c r="A97" s="19" t="s">
        <v>442</v>
      </c>
      <c r="B97" s="19" t="s">
        <v>391</v>
      </c>
      <c r="C97" s="19" t="s">
        <v>438</v>
      </c>
      <c r="D97" s="19" t="s">
        <v>443</v>
      </c>
      <c r="E97" s="19" t="s">
        <v>60</v>
      </c>
      <c r="F97" s="19" t="s">
        <v>271</v>
      </c>
      <c r="G97" s="19" t="s">
        <v>17</v>
      </c>
      <c r="H97" s="24" t="s">
        <v>444</v>
      </c>
      <c r="I97" s="24" t="s">
        <v>445</v>
      </c>
      <c r="J97" s="19">
        <v>8</v>
      </c>
      <c r="K97" s="19" t="s">
        <v>90</v>
      </c>
    </row>
    <row r="98" spans="1:11" ht="30" x14ac:dyDescent="0.25">
      <c r="A98" s="19" t="s">
        <v>446</v>
      </c>
      <c r="B98" s="19" t="s">
        <v>391</v>
      </c>
      <c r="C98" s="19" t="s">
        <v>438</v>
      </c>
      <c r="D98" s="19" t="s">
        <v>447</v>
      </c>
      <c r="E98" s="19" t="s">
        <v>60</v>
      </c>
      <c r="F98" s="19" t="s">
        <v>271</v>
      </c>
      <c r="G98" s="19" t="s">
        <v>17</v>
      </c>
      <c r="H98" s="24" t="s">
        <v>448</v>
      </c>
      <c r="I98" s="24" t="s">
        <v>449</v>
      </c>
      <c r="J98" s="19">
        <v>6</v>
      </c>
      <c r="K98" s="19" t="s">
        <v>90</v>
      </c>
    </row>
    <row r="99" spans="1:11" x14ac:dyDescent="0.25">
      <c r="A99" s="19" t="s">
        <v>450</v>
      </c>
      <c r="B99" s="19" t="s">
        <v>391</v>
      </c>
      <c r="C99" s="19" t="s">
        <v>438</v>
      </c>
      <c r="D99" s="19" t="s">
        <v>451</v>
      </c>
      <c r="E99" s="19" t="s">
        <v>23</v>
      </c>
      <c r="F99" s="19" t="s">
        <v>271</v>
      </c>
      <c r="G99" s="19" t="s">
        <v>72</v>
      </c>
      <c r="H99" s="24" t="s">
        <v>452</v>
      </c>
      <c r="I99" s="24" t="s">
        <v>453</v>
      </c>
      <c r="J99" s="19">
        <v>12</v>
      </c>
      <c r="K99" s="19" t="s">
        <v>90</v>
      </c>
    </row>
    <row r="100" spans="1:11" ht="30" x14ac:dyDescent="0.25">
      <c r="A100" s="19" t="s">
        <v>454</v>
      </c>
      <c r="B100" s="19" t="s">
        <v>391</v>
      </c>
      <c r="C100" s="19" t="s">
        <v>438</v>
      </c>
      <c r="D100" s="19" t="s">
        <v>455</v>
      </c>
      <c r="E100" s="19" t="s">
        <v>60</v>
      </c>
      <c r="F100" s="19" t="s">
        <v>456</v>
      </c>
      <c r="G100" s="19" t="s">
        <v>17</v>
      </c>
      <c r="H100" s="24" t="s">
        <v>457</v>
      </c>
      <c r="I100" s="24" t="s">
        <v>458</v>
      </c>
      <c r="J100" s="19">
        <v>8</v>
      </c>
      <c r="K100" s="19" t="s">
        <v>90</v>
      </c>
    </row>
    <row r="101" spans="1:11" x14ac:dyDescent="0.25">
      <c r="A101" s="19" t="s">
        <v>459</v>
      </c>
      <c r="B101" s="19" t="s">
        <v>391</v>
      </c>
      <c r="C101" s="19" t="s">
        <v>438</v>
      </c>
      <c r="D101" s="19" t="s">
        <v>460</v>
      </c>
      <c r="E101" s="19" t="s">
        <v>60</v>
      </c>
      <c r="F101" s="19" t="s">
        <v>456</v>
      </c>
      <c r="G101" s="19" t="s">
        <v>17</v>
      </c>
      <c r="H101" s="24" t="s">
        <v>461</v>
      </c>
      <c r="I101" s="24" t="s">
        <v>462</v>
      </c>
      <c r="J101" s="19">
        <v>6</v>
      </c>
      <c r="K101" s="19" t="s">
        <v>90</v>
      </c>
    </row>
    <row r="102" spans="1:11" x14ac:dyDescent="0.25">
      <c r="A102" s="19" t="s">
        <v>463</v>
      </c>
      <c r="B102" s="19" t="s">
        <v>391</v>
      </c>
      <c r="C102" s="19" t="s">
        <v>438</v>
      </c>
      <c r="D102" s="19" t="s">
        <v>464</v>
      </c>
      <c r="E102" s="19" t="s">
        <v>23</v>
      </c>
      <c r="F102" s="19" t="s">
        <v>456</v>
      </c>
      <c r="G102" s="19" t="s">
        <v>72</v>
      </c>
      <c r="H102" s="24" t="s">
        <v>465</v>
      </c>
      <c r="I102" s="24" t="s">
        <v>466</v>
      </c>
      <c r="J102" s="19">
        <v>12</v>
      </c>
      <c r="K102" s="19" t="s">
        <v>90</v>
      </c>
    </row>
    <row r="103" spans="1:11" ht="30" x14ac:dyDescent="0.25">
      <c r="A103" s="19" t="s">
        <v>467</v>
      </c>
      <c r="B103" s="19" t="s">
        <v>391</v>
      </c>
      <c r="C103" s="19" t="s">
        <v>438</v>
      </c>
      <c r="D103" s="19" t="s">
        <v>468</v>
      </c>
      <c r="E103" s="19" t="s">
        <v>60</v>
      </c>
      <c r="F103" s="19" t="s">
        <v>297</v>
      </c>
      <c r="G103" s="19" t="s">
        <v>72</v>
      </c>
      <c r="H103" s="24" t="s">
        <v>469</v>
      </c>
      <c r="I103" s="24" t="s">
        <v>470</v>
      </c>
      <c r="J103" s="19">
        <v>8</v>
      </c>
      <c r="K103" s="19" t="s">
        <v>90</v>
      </c>
    </row>
    <row r="104" spans="1:11" x14ac:dyDescent="0.25">
      <c r="A104" s="19" t="s">
        <v>471</v>
      </c>
      <c r="B104" s="19" t="s">
        <v>391</v>
      </c>
      <c r="C104" s="19" t="s">
        <v>438</v>
      </c>
      <c r="D104" s="19" t="s">
        <v>472</v>
      </c>
      <c r="E104" s="19" t="s">
        <v>60</v>
      </c>
      <c r="F104" s="19" t="s">
        <v>297</v>
      </c>
      <c r="G104" s="19" t="s">
        <v>72</v>
      </c>
      <c r="H104" s="24" t="s">
        <v>473</v>
      </c>
      <c r="I104" s="24" t="s">
        <v>474</v>
      </c>
      <c r="J104" s="19">
        <v>6</v>
      </c>
      <c r="K104" s="19" t="s">
        <v>90</v>
      </c>
    </row>
    <row r="105" spans="1:11" x14ac:dyDescent="0.25">
      <c r="A105" s="19" t="s">
        <v>475</v>
      </c>
      <c r="B105" s="19" t="s">
        <v>391</v>
      </c>
      <c r="C105" s="19" t="s">
        <v>438</v>
      </c>
      <c r="D105" s="19" t="s">
        <v>476</v>
      </c>
      <c r="E105" s="19" t="s">
        <v>60</v>
      </c>
      <c r="F105" s="19" t="s">
        <v>477</v>
      </c>
      <c r="G105" s="19" t="s">
        <v>17</v>
      </c>
      <c r="H105" s="24" t="s">
        <v>478</v>
      </c>
      <c r="I105" s="24" t="s">
        <v>479</v>
      </c>
      <c r="J105" s="19">
        <v>8</v>
      </c>
      <c r="K105" s="19" t="s">
        <v>90</v>
      </c>
    </row>
    <row r="106" spans="1:11" x14ac:dyDescent="0.25">
      <c r="A106" s="19" t="s">
        <v>480</v>
      </c>
      <c r="B106" s="19" t="s">
        <v>391</v>
      </c>
      <c r="C106" s="19" t="s">
        <v>438</v>
      </c>
      <c r="D106" s="19" t="s">
        <v>481</v>
      </c>
      <c r="E106" s="19" t="s">
        <v>60</v>
      </c>
      <c r="F106" s="19" t="s">
        <v>477</v>
      </c>
      <c r="G106" s="19" t="s">
        <v>17</v>
      </c>
      <c r="H106" s="24" t="s">
        <v>482</v>
      </c>
      <c r="I106" s="24" t="s">
        <v>483</v>
      </c>
      <c r="J106" s="19">
        <v>6</v>
      </c>
      <c r="K106" s="19" t="s">
        <v>90</v>
      </c>
    </row>
    <row r="107" spans="1:11" x14ac:dyDescent="0.25">
      <c r="A107" s="19" t="s">
        <v>484</v>
      </c>
      <c r="B107" s="19" t="s">
        <v>391</v>
      </c>
      <c r="C107" s="19" t="s">
        <v>485</v>
      </c>
      <c r="D107" s="19" t="s">
        <v>486</v>
      </c>
      <c r="E107" s="19" t="s">
        <v>60</v>
      </c>
      <c r="F107" s="19" t="s">
        <v>302</v>
      </c>
      <c r="G107" s="19" t="s">
        <v>17</v>
      </c>
      <c r="H107" s="24" t="s">
        <v>487</v>
      </c>
      <c r="I107" s="24" t="s">
        <v>488</v>
      </c>
      <c r="J107" s="19">
        <v>12</v>
      </c>
      <c r="K107" s="19" t="s">
        <v>90</v>
      </c>
    </row>
    <row r="108" spans="1:11" x14ac:dyDescent="0.25">
      <c r="A108" s="19" t="s">
        <v>489</v>
      </c>
      <c r="B108" s="19" t="s">
        <v>391</v>
      </c>
      <c r="C108" s="19" t="s">
        <v>485</v>
      </c>
      <c r="D108" s="19" t="s">
        <v>490</v>
      </c>
      <c r="E108" s="19" t="s">
        <v>60</v>
      </c>
      <c r="F108" s="19" t="s">
        <v>302</v>
      </c>
      <c r="G108" s="19" t="s">
        <v>17</v>
      </c>
      <c r="H108" s="24" t="s">
        <v>491</v>
      </c>
      <c r="I108" s="24" t="s">
        <v>492</v>
      </c>
      <c r="J108" s="19">
        <v>12</v>
      </c>
      <c r="K108" s="19" t="s">
        <v>90</v>
      </c>
    </row>
    <row r="109" spans="1:11" ht="30" x14ac:dyDescent="0.25">
      <c r="A109" s="19" t="s">
        <v>493</v>
      </c>
      <c r="B109" s="19" t="s">
        <v>391</v>
      </c>
      <c r="C109" s="19" t="s">
        <v>485</v>
      </c>
      <c r="D109" s="19" t="s">
        <v>494</v>
      </c>
      <c r="E109" s="19" t="s">
        <v>60</v>
      </c>
      <c r="F109" s="19" t="s">
        <v>495</v>
      </c>
      <c r="G109" s="19" t="s">
        <v>17</v>
      </c>
      <c r="H109" s="24" t="s">
        <v>496</v>
      </c>
      <c r="I109" s="24" t="s">
        <v>497</v>
      </c>
      <c r="J109" s="19">
        <v>8</v>
      </c>
      <c r="K109" s="19" t="s">
        <v>90</v>
      </c>
    </row>
    <row r="110" spans="1:11" x14ac:dyDescent="0.25">
      <c r="A110" s="19" t="s">
        <v>498</v>
      </c>
      <c r="B110" s="19" t="s">
        <v>391</v>
      </c>
      <c r="C110" s="19" t="s">
        <v>485</v>
      </c>
      <c r="D110" s="19" t="s">
        <v>499</v>
      </c>
      <c r="E110" s="19" t="s">
        <v>60</v>
      </c>
      <c r="F110" s="19" t="s">
        <v>495</v>
      </c>
      <c r="G110" s="19" t="s">
        <v>17</v>
      </c>
      <c r="H110" s="24" t="s">
        <v>500</v>
      </c>
      <c r="I110" s="24" t="s">
        <v>501</v>
      </c>
      <c r="J110" s="19">
        <v>6</v>
      </c>
      <c r="K110" s="19" t="s">
        <v>90</v>
      </c>
    </row>
    <row r="111" spans="1:11" x14ac:dyDescent="0.25">
      <c r="A111" s="19" t="s">
        <v>502</v>
      </c>
      <c r="B111" s="19" t="s">
        <v>391</v>
      </c>
      <c r="C111" s="19" t="s">
        <v>485</v>
      </c>
      <c r="D111" s="19" t="s">
        <v>503</v>
      </c>
      <c r="E111" s="19" t="s">
        <v>60</v>
      </c>
      <c r="F111" s="19" t="s">
        <v>495</v>
      </c>
      <c r="G111" s="19" t="s">
        <v>17</v>
      </c>
      <c r="H111" s="24" t="s">
        <v>504</v>
      </c>
      <c r="I111" s="24" t="s">
        <v>505</v>
      </c>
      <c r="J111" s="19">
        <v>12</v>
      </c>
      <c r="K111" s="19" t="s">
        <v>90</v>
      </c>
    </row>
    <row r="112" spans="1:11" x14ac:dyDescent="0.25">
      <c r="A112" s="19" t="s">
        <v>506</v>
      </c>
      <c r="B112" s="19" t="s">
        <v>391</v>
      </c>
      <c r="C112" s="19" t="s">
        <v>485</v>
      </c>
      <c r="D112" s="19" t="s">
        <v>507</v>
      </c>
      <c r="E112" s="19" t="s">
        <v>28</v>
      </c>
      <c r="F112" s="19" t="s">
        <v>508</v>
      </c>
      <c r="G112" s="19" t="s">
        <v>72</v>
      </c>
      <c r="H112" s="24" t="s">
        <v>509</v>
      </c>
      <c r="I112" s="24" t="s">
        <v>510</v>
      </c>
      <c r="J112" s="19">
        <v>12</v>
      </c>
      <c r="K112" s="19" t="s">
        <v>90</v>
      </c>
    </row>
    <row r="113" spans="1:11" ht="30" x14ac:dyDescent="0.25">
      <c r="A113" s="19" t="s">
        <v>511</v>
      </c>
      <c r="B113" s="19" t="s">
        <v>391</v>
      </c>
      <c r="C113" s="19" t="s">
        <v>485</v>
      </c>
      <c r="D113" s="19" t="s">
        <v>512</v>
      </c>
      <c r="E113" s="19" t="s">
        <v>40</v>
      </c>
      <c r="F113" s="19" t="s">
        <v>513</v>
      </c>
      <c r="G113" s="19" t="s">
        <v>17</v>
      </c>
      <c r="H113" s="24" t="s">
        <v>514</v>
      </c>
      <c r="I113" s="24" t="s">
        <v>515</v>
      </c>
      <c r="J113" s="19">
        <v>12</v>
      </c>
      <c r="K113" s="19" t="s">
        <v>90</v>
      </c>
    </row>
    <row r="114" spans="1:11" ht="30" x14ac:dyDescent="0.25">
      <c r="A114" s="19" t="s">
        <v>516</v>
      </c>
      <c r="B114" s="19" t="s">
        <v>391</v>
      </c>
      <c r="C114" s="19" t="s">
        <v>485</v>
      </c>
      <c r="D114" s="19" t="s">
        <v>517</v>
      </c>
      <c r="E114" s="19" t="s">
        <v>60</v>
      </c>
      <c r="F114" s="19" t="s">
        <v>513</v>
      </c>
      <c r="G114" s="19" t="s">
        <v>72</v>
      </c>
      <c r="H114" s="24" t="s">
        <v>518</v>
      </c>
      <c r="I114" s="24" t="s">
        <v>519</v>
      </c>
      <c r="J114" s="19">
        <v>8</v>
      </c>
      <c r="K114" s="19" t="s">
        <v>90</v>
      </c>
    </row>
    <row r="115" spans="1:11" x14ac:dyDescent="0.25">
      <c r="A115" s="19" t="s">
        <v>520</v>
      </c>
      <c r="B115" s="19" t="s">
        <v>391</v>
      </c>
      <c r="C115" s="19" t="s">
        <v>485</v>
      </c>
      <c r="D115" s="19" t="s">
        <v>521</v>
      </c>
      <c r="E115" s="19" t="s">
        <v>60</v>
      </c>
      <c r="F115" s="19" t="s">
        <v>513</v>
      </c>
      <c r="G115" s="19" t="s">
        <v>72</v>
      </c>
      <c r="H115" s="24" t="s">
        <v>522</v>
      </c>
      <c r="I115" s="24" t="s">
        <v>523</v>
      </c>
      <c r="J115" s="19">
        <v>6</v>
      </c>
      <c r="K115" s="19" t="s">
        <v>90</v>
      </c>
    </row>
    <row r="116" spans="1:11" ht="75" x14ac:dyDescent="0.25">
      <c r="A116" s="19" t="s">
        <v>524</v>
      </c>
      <c r="B116" s="19" t="s">
        <v>391</v>
      </c>
      <c r="C116" s="19" t="s">
        <v>485</v>
      </c>
      <c r="D116" s="19" t="s">
        <v>525</v>
      </c>
      <c r="E116" s="19" t="s">
        <v>40</v>
      </c>
      <c r="F116" s="19" t="s">
        <v>406</v>
      </c>
      <c r="G116" s="19" t="s">
        <v>72</v>
      </c>
      <c r="H116" s="24" t="s">
        <v>526</v>
      </c>
      <c r="I116" s="24" t="s">
        <v>527</v>
      </c>
      <c r="J116" s="19">
        <v>4</v>
      </c>
      <c r="K116" s="19" t="s">
        <v>90</v>
      </c>
    </row>
    <row r="117" spans="1:11" ht="30" x14ac:dyDescent="0.25">
      <c r="A117" s="19" t="s">
        <v>528</v>
      </c>
      <c r="B117" s="19" t="s">
        <v>391</v>
      </c>
      <c r="C117" s="19" t="s">
        <v>485</v>
      </c>
      <c r="D117" s="19" t="s">
        <v>529</v>
      </c>
      <c r="E117" s="19" t="s">
        <v>60</v>
      </c>
      <c r="F117" s="19" t="s">
        <v>530</v>
      </c>
      <c r="G117" s="19" t="s">
        <v>72</v>
      </c>
      <c r="H117" s="24" t="s">
        <v>531</v>
      </c>
      <c r="I117" s="24" t="s">
        <v>532</v>
      </c>
      <c r="J117" s="19">
        <v>8</v>
      </c>
      <c r="K117" s="19" t="s">
        <v>90</v>
      </c>
    </row>
    <row r="118" spans="1:11" ht="30" x14ac:dyDescent="0.25">
      <c r="A118" s="19" t="s">
        <v>533</v>
      </c>
      <c r="B118" s="19" t="s">
        <v>391</v>
      </c>
      <c r="C118" s="19" t="s">
        <v>485</v>
      </c>
      <c r="D118" s="19" t="s">
        <v>534</v>
      </c>
      <c r="E118" s="19" t="s">
        <v>60</v>
      </c>
      <c r="F118" s="19" t="s">
        <v>530</v>
      </c>
      <c r="G118" s="19" t="s">
        <v>72</v>
      </c>
      <c r="H118" s="24" t="s">
        <v>535</v>
      </c>
      <c r="I118" s="24" t="s">
        <v>536</v>
      </c>
      <c r="J118" s="19">
        <v>6</v>
      </c>
      <c r="K118" s="19" t="s">
        <v>90</v>
      </c>
    </row>
    <row r="119" spans="1:11" ht="30" x14ac:dyDescent="0.25">
      <c r="A119" s="19" t="s">
        <v>537</v>
      </c>
      <c r="B119" s="19" t="s">
        <v>391</v>
      </c>
      <c r="C119" s="19" t="s">
        <v>538</v>
      </c>
      <c r="D119" s="19" t="s">
        <v>539</v>
      </c>
      <c r="E119" s="19" t="s">
        <v>60</v>
      </c>
      <c r="F119" s="19" t="s">
        <v>540</v>
      </c>
      <c r="G119" s="19" t="s">
        <v>17</v>
      </c>
      <c r="H119" s="24" t="s">
        <v>541</v>
      </c>
      <c r="I119" s="24" t="s">
        <v>542</v>
      </c>
      <c r="J119" s="19">
        <v>12</v>
      </c>
      <c r="K119" s="19" t="s">
        <v>90</v>
      </c>
    </row>
    <row r="120" spans="1:11" x14ac:dyDescent="0.25">
      <c r="A120" s="19" t="s">
        <v>543</v>
      </c>
      <c r="B120" s="19" t="s">
        <v>391</v>
      </c>
      <c r="C120" s="19" t="s">
        <v>538</v>
      </c>
      <c r="D120" s="19" t="s">
        <v>544</v>
      </c>
      <c r="E120" s="19" t="s">
        <v>60</v>
      </c>
      <c r="F120" s="19" t="s">
        <v>545</v>
      </c>
      <c r="G120" s="19" t="s">
        <v>17</v>
      </c>
      <c r="H120" s="24" t="s">
        <v>546</v>
      </c>
      <c r="I120" s="24" t="s">
        <v>547</v>
      </c>
      <c r="J120" s="19">
        <v>12</v>
      </c>
      <c r="K120" s="19" t="s">
        <v>90</v>
      </c>
    </row>
    <row r="121" spans="1:11" x14ac:dyDescent="0.25">
      <c r="A121" s="19" t="s">
        <v>548</v>
      </c>
      <c r="B121" s="19" t="s">
        <v>391</v>
      </c>
      <c r="C121" s="19" t="s">
        <v>538</v>
      </c>
      <c r="D121" s="19" t="s">
        <v>549</v>
      </c>
      <c r="E121" s="19" t="s">
        <v>23</v>
      </c>
      <c r="F121" s="19" t="s">
        <v>545</v>
      </c>
      <c r="G121" s="19" t="s">
        <v>72</v>
      </c>
      <c r="H121" s="24" t="s">
        <v>550</v>
      </c>
      <c r="I121" s="24" t="s">
        <v>551</v>
      </c>
      <c r="J121" s="19">
        <v>12</v>
      </c>
      <c r="K121" s="19" t="s">
        <v>90</v>
      </c>
    </row>
    <row r="122" spans="1:11" ht="30" x14ac:dyDescent="0.25">
      <c r="A122" s="19" t="s">
        <v>552</v>
      </c>
      <c r="B122" s="19" t="s">
        <v>391</v>
      </c>
      <c r="C122" s="19" t="s">
        <v>538</v>
      </c>
      <c r="D122" s="19" t="s">
        <v>553</v>
      </c>
      <c r="E122" s="19" t="s">
        <v>60</v>
      </c>
      <c r="F122" s="19" t="s">
        <v>554</v>
      </c>
      <c r="G122" s="19" t="s">
        <v>17</v>
      </c>
      <c r="H122" s="24" t="s">
        <v>555</v>
      </c>
      <c r="I122" s="24" t="s">
        <v>556</v>
      </c>
      <c r="J122" s="19">
        <v>12</v>
      </c>
      <c r="K122" s="19" t="s">
        <v>90</v>
      </c>
    </row>
    <row r="123" spans="1:11" x14ac:dyDescent="0.25">
      <c r="A123" s="19" t="s">
        <v>557</v>
      </c>
      <c r="B123" s="19" t="s">
        <v>391</v>
      </c>
      <c r="C123" s="19" t="s">
        <v>538</v>
      </c>
      <c r="D123" s="19" t="s">
        <v>558</v>
      </c>
      <c r="E123" s="19" t="s">
        <v>28</v>
      </c>
      <c r="F123" s="19" t="s">
        <v>559</v>
      </c>
      <c r="G123" s="19" t="s">
        <v>17</v>
      </c>
      <c r="H123" s="24" t="s">
        <v>560</v>
      </c>
      <c r="I123" s="24" t="s">
        <v>561</v>
      </c>
      <c r="J123" s="19">
        <v>12</v>
      </c>
      <c r="K123" s="19" t="s">
        <v>90</v>
      </c>
    </row>
    <row r="124" spans="1:11" x14ac:dyDescent="0.25">
      <c r="A124" s="19" t="s">
        <v>562</v>
      </c>
      <c r="B124" s="19" t="s">
        <v>391</v>
      </c>
      <c r="C124" s="19" t="s">
        <v>538</v>
      </c>
      <c r="D124" s="19" t="s">
        <v>563</v>
      </c>
      <c r="E124" s="19" t="s">
        <v>28</v>
      </c>
      <c r="F124" s="19" t="s">
        <v>559</v>
      </c>
      <c r="G124" s="19" t="s">
        <v>17</v>
      </c>
      <c r="H124" s="24" t="s">
        <v>564</v>
      </c>
      <c r="I124" s="24" t="s">
        <v>565</v>
      </c>
      <c r="J124" s="19">
        <v>12</v>
      </c>
      <c r="K124" s="19" t="s">
        <v>90</v>
      </c>
    </row>
    <row r="125" spans="1:11" x14ac:dyDescent="0.25">
      <c r="A125" s="19" t="s">
        <v>566</v>
      </c>
      <c r="B125" s="19" t="s">
        <v>391</v>
      </c>
      <c r="C125" s="19" t="s">
        <v>538</v>
      </c>
      <c r="D125" s="19" t="s">
        <v>567</v>
      </c>
      <c r="E125" s="19" t="s">
        <v>28</v>
      </c>
      <c r="F125" s="19" t="s">
        <v>568</v>
      </c>
      <c r="G125" s="19" t="s">
        <v>17</v>
      </c>
      <c r="H125" s="24" t="s">
        <v>569</v>
      </c>
      <c r="I125" s="24" t="s">
        <v>570</v>
      </c>
      <c r="J125" s="19">
        <v>12</v>
      </c>
      <c r="K125" s="19" t="s">
        <v>90</v>
      </c>
    </row>
    <row r="126" spans="1:11" x14ac:dyDescent="0.25">
      <c r="A126" s="19" t="s">
        <v>571</v>
      </c>
      <c r="B126" s="19" t="s">
        <v>391</v>
      </c>
      <c r="C126" s="19" t="s">
        <v>538</v>
      </c>
      <c r="D126" s="19" t="s">
        <v>572</v>
      </c>
      <c r="E126" s="19" t="s">
        <v>28</v>
      </c>
      <c r="F126" s="19" t="s">
        <v>508</v>
      </c>
      <c r="G126" s="19" t="s">
        <v>72</v>
      </c>
      <c r="H126" s="24" t="s">
        <v>573</v>
      </c>
      <c r="I126" s="24" t="s">
        <v>574</v>
      </c>
      <c r="J126" s="19">
        <v>12</v>
      </c>
      <c r="K126" s="19" t="s">
        <v>90</v>
      </c>
    </row>
    <row r="127" spans="1:11" x14ac:dyDescent="0.25">
      <c r="A127" s="19" t="s">
        <v>575</v>
      </c>
      <c r="B127" s="19" t="s">
        <v>391</v>
      </c>
      <c r="C127" s="19" t="s">
        <v>538</v>
      </c>
      <c r="D127" s="19" t="s">
        <v>576</v>
      </c>
      <c r="E127" s="19" t="s">
        <v>15</v>
      </c>
      <c r="F127" s="19" t="s">
        <v>577</v>
      </c>
      <c r="G127" s="19" t="s">
        <v>72</v>
      </c>
      <c r="H127" s="24" t="s">
        <v>578</v>
      </c>
      <c r="I127" s="24" t="s">
        <v>579</v>
      </c>
      <c r="J127" s="19">
        <v>12</v>
      </c>
      <c r="K127" s="19" t="s">
        <v>90</v>
      </c>
    </row>
    <row r="128" spans="1:11" x14ac:dyDescent="0.25">
      <c r="A128" s="19" t="s">
        <v>580</v>
      </c>
      <c r="B128" s="19" t="s">
        <v>391</v>
      </c>
      <c r="C128" s="19" t="s">
        <v>538</v>
      </c>
      <c r="D128" s="19" t="s">
        <v>581</v>
      </c>
      <c r="E128" s="19" t="s">
        <v>54</v>
      </c>
      <c r="F128" s="19" t="s">
        <v>374</v>
      </c>
      <c r="G128" s="19" t="s">
        <v>17</v>
      </c>
      <c r="H128" s="24" t="s">
        <v>582</v>
      </c>
      <c r="I128" s="24" t="s">
        <v>583</v>
      </c>
      <c r="J128" s="19">
        <v>12</v>
      </c>
      <c r="K128" s="19" t="s">
        <v>90</v>
      </c>
    </row>
    <row r="129" spans="1:11" x14ac:dyDescent="0.25">
      <c r="A129" s="19" t="s">
        <v>584</v>
      </c>
      <c r="B129" s="19" t="s">
        <v>585</v>
      </c>
      <c r="C129" s="19" t="s">
        <v>586</v>
      </c>
      <c r="D129" s="19" t="s">
        <v>587</v>
      </c>
      <c r="E129" s="19" t="s">
        <v>343</v>
      </c>
      <c r="F129" s="19" t="s">
        <v>588</v>
      </c>
      <c r="G129" s="19" t="s">
        <v>17</v>
      </c>
      <c r="H129" s="24" t="s">
        <v>589</v>
      </c>
      <c r="I129" s="24" t="s">
        <v>590</v>
      </c>
      <c r="J129" s="19">
        <v>12</v>
      </c>
      <c r="K129" s="19" t="s">
        <v>90</v>
      </c>
    </row>
    <row r="130" spans="1:11" x14ac:dyDescent="0.25">
      <c r="A130" s="19" t="s">
        <v>591</v>
      </c>
      <c r="B130" s="19" t="s">
        <v>585</v>
      </c>
      <c r="C130" s="19" t="s">
        <v>586</v>
      </c>
      <c r="D130" s="19" t="s">
        <v>592</v>
      </c>
      <c r="E130" s="19" t="s">
        <v>343</v>
      </c>
      <c r="F130" s="19" t="s">
        <v>588</v>
      </c>
      <c r="G130" s="19" t="s">
        <v>17</v>
      </c>
      <c r="H130" s="24" t="s">
        <v>593</v>
      </c>
      <c r="I130" s="24" t="s">
        <v>594</v>
      </c>
      <c r="J130" s="19">
        <v>12</v>
      </c>
      <c r="K130" s="19" t="s">
        <v>90</v>
      </c>
    </row>
    <row r="131" spans="1:11" x14ac:dyDescent="0.25">
      <c r="A131" s="19" t="s">
        <v>595</v>
      </c>
      <c r="B131" s="19" t="s">
        <v>585</v>
      </c>
      <c r="C131" s="19" t="s">
        <v>586</v>
      </c>
      <c r="D131" s="19" t="s">
        <v>596</v>
      </c>
      <c r="E131" s="19" t="s">
        <v>343</v>
      </c>
      <c r="F131" s="19" t="s">
        <v>597</v>
      </c>
      <c r="G131" s="19" t="s">
        <v>17</v>
      </c>
      <c r="H131" s="24" t="s">
        <v>598</v>
      </c>
      <c r="I131" s="24" t="s">
        <v>599</v>
      </c>
      <c r="J131" s="19">
        <v>12</v>
      </c>
      <c r="K131" s="19" t="s">
        <v>90</v>
      </c>
    </row>
    <row r="132" spans="1:11" x14ac:dyDescent="0.25">
      <c r="A132" s="19" t="s">
        <v>600</v>
      </c>
      <c r="B132" s="19" t="s">
        <v>585</v>
      </c>
      <c r="C132" s="19" t="s">
        <v>586</v>
      </c>
      <c r="D132" s="19" t="s">
        <v>601</v>
      </c>
      <c r="E132" s="19" t="s">
        <v>343</v>
      </c>
      <c r="F132" s="19" t="s">
        <v>602</v>
      </c>
      <c r="G132" s="19" t="s">
        <v>17</v>
      </c>
      <c r="H132" s="24" t="s">
        <v>603</v>
      </c>
      <c r="I132" s="24" t="s">
        <v>604</v>
      </c>
      <c r="J132" s="19">
        <v>12</v>
      </c>
      <c r="K132" s="19" t="s">
        <v>90</v>
      </c>
    </row>
    <row r="133" spans="1:11" x14ac:dyDescent="0.25">
      <c r="A133" s="19" t="s">
        <v>605</v>
      </c>
      <c r="B133" s="19" t="s">
        <v>585</v>
      </c>
      <c r="C133" s="19" t="s">
        <v>586</v>
      </c>
      <c r="D133" s="19" t="s">
        <v>606</v>
      </c>
      <c r="E133" s="19" t="s">
        <v>343</v>
      </c>
      <c r="F133" s="19" t="s">
        <v>602</v>
      </c>
      <c r="G133" s="19" t="s">
        <v>17</v>
      </c>
      <c r="H133" s="24" t="s">
        <v>607</v>
      </c>
      <c r="I133" s="24" t="s">
        <v>608</v>
      </c>
      <c r="J133" s="19">
        <v>12</v>
      </c>
      <c r="K133" s="19" t="s">
        <v>90</v>
      </c>
    </row>
    <row r="134" spans="1:11" x14ac:dyDescent="0.25">
      <c r="A134" s="19" t="s">
        <v>609</v>
      </c>
      <c r="B134" s="19" t="s">
        <v>585</v>
      </c>
      <c r="C134" s="19" t="s">
        <v>586</v>
      </c>
      <c r="D134" s="19" t="s">
        <v>610</v>
      </c>
      <c r="E134" s="19" t="s">
        <v>343</v>
      </c>
      <c r="F134" s="19" t="s">
        <v>602</v>
      </c>
      <c r="G134" s="19" t="s">
        <v>72</v>
      </c>
      <c r="H134" s="24" t="s">
        <v>611</v>
      </c>
      <c r="I134" s="24" t="s">
        <v>612</v>
      </c>
      <c r="J134" s="19">
        <v>12</v>
      </c>
      <c r="K134" s="19" t="s">
        <v>90</v>
      </c>
    </row>
    <row r="135" spans="1:11" ht="30" x14ac:dyDescent="0.25">
      <c r="A135" s="19" t="s">
        <v>613</v>
      </c>
      <c r="B135" s="19" t="s">
        <v>585</v>
      </c>
      <c r="C135" s="19" t="s">
        <v>586</v>
      </c>
      <c r="D135" s="19" t="s">
        <v>614</v>
      </c>
      <c r="E135" s="19" t="s">
        <v>343</v>
      </c>
      <c r="F135" s="19" t="s">
        <v>588</v>
      </c>
      <c r="G135" s="19" t="s">
        <v>17</v>
      </c>
      <c r="H135" s="24" t="s">
        <v>615</v>
      </c>
      <c r="I135" s="24" t="s">
        <v>616</v>
      </c>
      <c r="J135" s="19">
        <v>12</v>
      </c>
      <c r="K135" s="19" t="s">
        <v>90</v>
      </c>
    </row>
    <row r="136" spans="1:11" x14ac:dyDescent="0.25">
      <c r="A136" s="19" t="s">
        <v>617</v>
      </c>
      <c r="B136" s="19" t="s">
        <v>585</v>
      </c>
      <c r="C136" s="19" t="s">
        <v>586</v>
      </c>
      <c r="D136" s="19" t="s">
        <v>618</v>
      </c>
      <c r="E136" s="19" t="s">
        <v>40</v>
      </c>
      <c r="F136" s="19" t="s">
        <v>588</v>
      </c>
      <c r="G136" s="19" t="s">
        <v>72</v>
      </c>
      <c r="H136" s="24" t="s">
        <v>619</v>
      </c>
      <c r="I136" s="24" t="s">
        <v>620</v>
      </c>
      <c r="J136" s="19">
        <v>10</v>
      </c>
      <c r="K136" s="19" t="s">
        <v>90</v>
      </c>
    </row>
    <row r="137" spans="1:11" x14ac:dyDescent="0.25">
      <c r="A137" s="19" t="s">
        <v>621</v>
      </c>
      <c r="B137" s="19" t="s">
        <v>585</v>
      </c>
      <c r="C137" s="19" t="s">
        <v>586</v>
      </c>
      <c r="D137" s="19" t="s">
        <v>622</v>
      </c>
      <c r="E137" s="19" t="s">
        <v>343</v>
      </c>
      <c r="F137" s="19" t="s">
        <v>602</v>
      </c>
      <c r="G137" s="19" t="s">
        <v>35</v>
      </c>
      <c r="H137" s="24" t="s">
        <v>623</v>
      </c>
      <c r="I137" s="24" t="s">
        <v>624</v>
      </c>
      <c r="J137" s="19">
        <v>10</v>
      </c>
      <c r="K137" s="19" t="s">
        <v>90</v>
      </c>
    </row>
    <row r="138" spans="1:11" ht="45" x14ac:dyDescent="0.25">
      <c r="A138" s="19" t="s">
        <v>625</v>
      </c>
      <c r="B138" s="19" t="s">
        <v>585</v>
      </c>
      <c r="C138" s="19" t="s">
        <v>586</v>
      </c>
      <c r="D138" s="19" t="s">
        <v>626</v>
      </c>
      <c r="E138" s="19" t="s">
        <v>343</v>
      </c>
      <c r="F138" s="19" t="s">
        <v>334</v>
      </c>
      <c r="G138" s="19" t="s">
        <v>627</v>
      </c>
      <c r="H138" s="24" t="s">
        <v>628</v>
      </c>
      <c r="I138" s="24" t="s">
        <v>629</v>
      </c>
      <c r="J138" s="19">
        <v>3</v>
      </c>
      <c r="K138" s="19" t="s">
        <v>90</v>
      </c>
    </row>
    <row r="139" spans="1:11" x14ac:dyDescent="0.25">
      <c r="A139" s="19" t="s">
        <v>630</v>
      </c>
      <c r="B139" s="19" t="s">
        <v>585</v>
      </c>
      <c r="C139" s="19" t="s">
        <v>586</v>
      </c>
      <c r="D139" s="19" t="s">
        <v>631</v>
      </c>
      <c r="E139" s="19" t="s">
        <v>343</v>
      </c>
      <c r="F139" s="19" t="s">
        <v>334</v>
      </c>
      <c r="G139" s="19" t="s">
        <v>72</v>
      </c>
      <c r="H139" s="24" t="s">
        <v>632</v>
      </c>
      <c r="I139" s="24" t="s">
        <v>633</v>
      </c>
      <c r="J139" s="19">
        <v>12</v>
      </c>
      <c r="K139" s="19" t="s">
        <v>90</v>
      </c>
    </row>
    <row r="140" spans="1:11" x14ac:dyDescent="0.25">
      <c r="A140" s="19" t="s">
        <v>634</v>
      </c>
      <c r="B140" s="19" t="s">
        <v>585</v>
      </c>
      <c r="C140" s="19" t="s">
        <v>635</v>
      </c>
      <c r="D140" s="19" t="s">
        <v>636</v>
      </c>
      <c r="E140" s="19" t="s">
        <v>343</v>
      </c>
      <c r="F140" s="19" t="s">
        <v>637</v>
      </c>
      <c r="G140" s="19" t="s">
        <v>17</v>
      </c>
      <c r="H140" s="24" t="s">
        <v>638</v>
      </c>
      <c r="I140" s="24" t="s">
        <v>639</v>
      </c>
      <c r="J140" s="19">
        <v>12</v>
      </c>
      <c r="K140" s="19" t="s">
        <v>90</v>
      </c>
    </row>
    <row r="141" spans="1:11" x14ac:dyDescent="0.25">
      <c r="A141" s="19" t="s">
        <v>640</v>
      </c>
      <c r="B141" s="19" t="s">
        <v>585</v>
      </c>
      <c r="C141" s="19" t="s">
        <v>635</v>
      </c>
      <c r="D141" s="19" t="s">
        <v>641</v>
      </c>
      <c r="E141" s="19" t="s">
        <v>343</v>
      </c>
      <c r="F141" s="19" t="s">
        <v>637</v>
      </c>
      <c r="G141" s="19" t="s">
        <v>17</v>
      </c>
      <c r="H141" s="24" t="s">
        <v>642</v>
      </c>
      <c r="I141" s="24" t="s">
        <v>643</v>
      </c>
      <c r="J141" s="19">
        <v>12</v>
      </c>
      <c r="K141" s="19" t="s">
        <v>90</v>
      </c>
    </row>
    <row r="142" spans="1:11" x14ac:dyDescent="0.25">
      <c r="A142" s="19" t="s">
        <v>644</v>
      </c>
      <c r="B142" s="19" t="s">
        <v>585</v>
      </c>
      <c r="C142" s="19" t="s">
        <v>635</v>
      </c>
      <c r="D142" s="19" t="s">
        <v>645</v>
      </c>
      <c r="E142" s="19" t="s">
        <v>343</v>
      </c>
      <c r="F142" s="19" t="s">
        <v>637</v>
      </c>
      <c r="G142" s="19" t="s">
        <v>72</v>
      </c>
      <c r="H142" s="24" t="s">
        <v>646</v>
      </c>
      <c r="I142" s="24" t="s">
        <v>647</v>
      </c>
      <c r="J142" s="19">
        <v>12</v>
      </c>
      <c r="K142" s="19" t="s">
        <v>90</v>
      </c>
    </row>
    <row r="143" spans="1:11" ht="30" x14ac:dyDescent="0.25">
      <c r="A143" s="19" t="s">
        <v>648</v>
      </c>
      <c r="B143" s="19" t="s">
        <v>585</v>
      </c>
      <c r="C143" s="19" t="s">
        <v>635</v>
      </c>
      <c r="D143" s="19" t="s">
        <v>649</v>
      </c>
      <c r="E143" s="19" t="s">
        <v>343</v>
      </c>
      <c r="F143" s="19" t="s">
        <v>650</v>
      </c>
      <c r="G143" s="19" t="s">
        <v>17</v>
      </c>
      <c r="H143" s="24" t="s">
        <v>651</v>
      </c>
      <c r="I143" s="24" t="s">
        <v>652</v>
      </c>
      <c r="J143" s="19">
        <v>6</v>
      </c>
      <c r="K143" s="19" t="s">
        <v>90</v>
      </c>
    </row>
    <row r="144" spans="1:11" ht="30" x14ac:dyDescent="0.25">
      <c r="A144" s="19" t="s">
        <v>653</v>
      </c>
      <c r="B144" s="19" t="s">
        <v>585</v>
      </c>
      <c r="C144" s="19" t="s">
        <v>635</v>
      </c>
      <c r="D144" s="19" t="s">
        <v>654</v>
      </c>
      <c r="E144" s="19" t="s">
        <v>343</v>
      </c>
      <c r="F144" s="19" t="s">
        <v>650</v>
      </c>
      <c r="G144" s="19" t="s">
        <v>17</v>
      </c>
      <c r="H144" s="24" t="s">
        <v>655</v>
      </c>
      <c r="I144" s="24" t="s">
        <v>656</v>
      </c>
      <c r="J144" s="19">
        <v>8</v>
      </c>
      <c r="K144" s="19" t="s">
        <v>90</v>
      </c>
    </row>
    <row r="145" spans="1:11" x14ac:dyDescent="0.25">
      <c r="A145" s="19" t="s">
        <v>657</v>
      </c>
      <c r="B145" s="19" t="s">
        <v>585</v>
      </c>
      <c r="C145" s="19" t="s">
        <v>635</v>
      </c>
      <c r="D145" s="19" t="s">
        <v>658</v>
      </c>
      <c r="E145" s="19" t="s">
        <v>343</v>
      </c>
      <c r="F145" s="19" t="s">
        <v>659</v>
      </c>
      <c r="G145" s="19" t="s">
        <v>17</v>
      </c>
      <c r="H145" s="24" t="s">
        <v>660</v>
      </c>
      <c r="I145" s="24" t="s">
        <v>661</v>
      </c>
      <c r="J145" s="19">
        <v>8</v>
      </c>
      <c r="K145" s="19" t="s">
        <v>90</v>
      </c>
    </row>
    <row r="146" spans="1:11" x14ac:dyDescent="0.25">
      <c r="A146" s="19" t="s">
        <v>662</v>
      </c>
      <c r="B146" s="19" t="s">
        <v>585</v>
      </c>
      <c r="C146" s="19" t="s">
        <v>635</v>
      </c>
      <c r="D146" s="19" t="s">
        <v>663</v>
      </c>
      <c r="E146" s="19" t="s">
        <v>343</v>
      </c>
      <c r="F146" s="19" t="s">
        <v>659</v>
      </c>
      <c r="G146" s="19" t="s">
        <v>17</v>
      </c>
      <c r="H146" s="24" t="s">
        <v>664</v>
      </c>
      <c r="I146" s="24" t="s">
        <v>665</v>
      </c>
      <c r="J146" s="19">
        <v>6</v>
      </c>
      <c r="K146" s="19" t="s">
        <v>90</v>
      </c>
    </row>
    <row r="147" spans="1:11" ht="30" x14ac:dyDescent="0.25">
      <c r="A147" s="19" t="s">
        <v>666</v>
      </c>
      <c r="B147" s="19" t="s">
        <v>585</v>
      </c>
      <c r="C147" s="19" t="s">
        <v>635</v>
      </c>
      <c r="D147" s="19" t="s">
        <v>667</v>
      </c>
      <c r="E147" s="19" t="s">
        <v>66</v>
      </c>
      <c r="F147" s="19" t="s">
        <v>668</v>
      </c>
      <c r="G147" s="19" t="s">
        <v>72</v>
      </c>
      <c r="H147" s="24" t="s">
        <v>669</v>
      </c>
      <c r="I147" s="24" t="s">
        <v>670</v>
      </c>
      <c r="J147" s="19">
        <v>12</v>
      </c>
      <c r="K147" s="19" t="s">
        <v>90</v>
      </c>
    </row>
    <row r="148" spans="1:11" ht="30" x14ac:dyDescent="0.25">
      <c r="A148" s="19" t="s">
        <v>671</v>
      </c>
      <c r="B148" s="19" t="s">
        <v>585</v>
      </c>
      <c r="C148" s="19" t="s">
        <v>635</v>
      </c>
      <c r="D148" s="19" t="s">
        <v>672</v>
      </c>
      <c r="E148" s="19" t="s">
        <v>66</v>
      </c>
      <c r="F148" s="19" t="s">
        <v>668</v>
      </c>
      <c r="G148" s="19" t="s">
        <v>17</v>
      </c>
      <c r="H148" s="24" t="s">
        <v>673</v>
      </c>
      <c r="I148" s="24" t="s">
        <v>674</v>
      </c>
      <c r="J148" s="19">
        <v>12</v>
      </c>
      <c r="K148" s="19" t="s">
        <v>90</v>
      </c>
    </row>
    <row r="149" spans="1:11" ht="30" x14ac:dyDescent="0.25">
      <c r="A149" s="19" t="s">
        <v>675</v>
      </c>
      <c r="B149" s="19" t="s">
        <v>585</v>
      </c>
      <c r="C149" s="19" t="s">
        <v>635</v>
      </c>
      <c r="D149" s="19" t="s">
        <v>676</v>
      </c>
      <c r="E149" s="19" t="s">
        <v>23</v>
      </c>
      <c r="F149" s="19" t="s">
        <v>530</v>
      </c>
      <c r="G149" s="19" t="s">
        <v>72</v>
      </c>
      <c r="H149" s="24" t="s">
        <v>677</v>
      </c>
      <c r="I149" s="24" t="s">
        <v>678</v>
      </c>
      <c r="J149" s="19">
        <v>8</v>
      </c>
      <c r="K149" s="19" t="s">
        <v>90</v>
      </c>
    </row>
    <row r="150" spans="1:11" x14ac:dyDescent="0.25">
      <c r="A150" s="19" t="s">
        <v>679</v>
      </c>
      <c r="B150" s="19" t="s">
        <v>585</v>
      </c>
      <c r="C150" s="19" t="s">
        <v>635</v>
      </c>
      <c r="D150" s="19" t="s">
        <v>680</v>
      </c>
      <c r="E150" s="19" t="s">
        <v>23</v>
      </c>
      <c r="F150" s="19" t="s">
        <v>530</v>
      </c>
      <c r="G150" s="19" t="s">
        <v>72</v>
      </c>
      <c r="H150" s="24" t="s">
        <v>681</v>
      </c>
      <c r="I150" s="24" t="s">
        <v>682</v>
      </c>
      <c r="J150" s="19">
        <v>6</v>
      </c>
      <c r="K150" s="19" t="s">
        <v>90</v>
      </c>
    </row>
    <row r="151" spans="1:11" x14ac:dyDescent="0.25">
      <c r="A151" s="19" t="s">
        <v>683</v>
      </c>
      <c r="B151" s="19" t="s">
        <v>585</v>
      </c>
      <c r="C151" s="19" t="s">
        <v>635</v>
      </c>
      <c r="D151" s="19" t="s">
        <v>684</v>
      </c>
      <c r="E151" s="19" t="s">
        <v>54</v>
      </c>
      <c r="F151" s="19" t="s">
        <v>71</v>
      </c>
      <c r="G151" s="19" t="s">
        <v>17</v>
      </c>
      <c r="H151" s="24" t="s">
        <v>685</v>
      </c>
      <c r="I151" s="24" t="s">
        <v>686</v>
      </c>
      <c r="J151" s="19">
        <v>12</v>
      </c>
      <c r="K151" s="19" t="s">
        <v>90</v>
      </c>
    </row>
    <row r="152" spans="1:11" x14ac:dyDescent="0.25">
      <c r="A152" s="19" t="s">
        <v>687</v>
      </c>
      <c r="B152" s="19" t="s">
        <v>688</v>
      </c>
      <c r="C152" s="19" t="s">
        <v>689</v>
      </c>
      <c r="D152" s="19" t="s">
        <v>690</v>
      </c>
      <c r="E152" s="19" t="s">
        <v>60</v>
      </c>
      <c r="F152" s="19" t="s">
        <v>691</v>
      </c>
      <c r="G152" s="19" t="s">
        <v>17</v>
      </c>
      <c r="H152" s="24" t="s">
        <v>692</v>
      </c>
      <c r="I152" s="24" t="s">
        <v>693</v>
      </c>
      <c r="J152" s="19">
        <v>12</v>
      </c>
      <c r="K152" s="19" t="s">
        <v>90</v>
      </c>
    </row>
    <row r="153" spans="1:11" x14ac:dyDescent="0.25">
      <c r="A153" s="19" t="s">
        <v>694</v>
      </c>
      <c r="B153" s="19" t="s">
        <v>688</v>
      </c>
      <c r="C153" s="19" t="s">
        <v>689</v>
      </c>
      <c r="D153" s="19" t="s">
        <v>695</v>
      </c>
      <c r="E153" s="19" t="s">
        <v>40</v>
      </c>
      <c r="F153" s="19" t="s">
        <v>691</v>
      </c>
      <c r="G153" s="19" t="s">
        <v>17</v>
      </c>
      <c r="H153" s="24" t="s">
        <v>696</v>
      </c>
      <c r="I153" s="24" t="s">
        <v>697</v>
      </c>
      <c r="J153" s="19">
        <v>12</v>
      </c>
      <c r="K153" s="19" t="s">
        <v>90</v>
      </c>
    </row>
    <row r="154" spans="1:11" x14ac:dyDescent="0.25">
      <c r="A154" s="19" t="s">
        <v>698</v>
      </c>
      <c r="B154" s="19" t="s">
        <v>688</v>
      </c>
      <c r="C154" s="19" t="s">
        <v>689</v>
      </c>
      <c r="D154" s="19" t="s">
        <v>699</v>
      </c>
      <c r="E154" s="19" t="s">
        <v>60</v>
      </c>
      <c r="F154" s="19" t="s">
        <v>700</v>
      </c>
      <c r="G154" s="19" t="s">
        <v>17</v>
      </c>
      <c r="H154" s="24" t="s">
        <v>701</v>
      </c>
      <c r="I154" s="24" t="s">
        <v>702</v>
      </c>
      <c r="J154" s="19">
        <v>12</v>
      </c>
      <c r="K154" s="19" t="s">
        <v>90</v>
      </c>
    </row>
    <row r="155" spans="1:11" x14ac:dyDescent="0.25">
      <c r="A155" s="19" t="s">
        <v>703</v>
      </c>
      <c r="B155" s="19" t="s">
        <v>688</v>
      </c>
      <c r="C155" s="19" t="s">
        <v>689</v>
      </c>
      <c r="D155" s="19" t="s">
        <v>704</v>
      </c>
      <c r="E155" s="19" t="s">
        <v>40</v>
      </c>
      <c r="F155" s="19" t="s">
        <v>705</v>
      </c>
      <c r="G155" s="19" t="s">
        <v>72</v>
      </c>
      <c r="H155" s="24" t="s">
        <v>706</v>
      </c>
      <c r="I155" s="24" t="s">
        <v>707</v>
      </c>
      <c r="J155" s="19">
        <v>12</v>
      </c>
      <c r="K155" s="19" t="s">
        <v>90</v>
      </c>
    </row>
    <row r="156" spans="1:11" x14ac:dyDescent="0.25">
      <c r="A156" s="19" t="s">
        <v>708</v>
      </c>
      <c r="B156" s="19" t="s">
        <v>688</v>
      </c>
      <c r="C156" s="19" t="s">
        <v>689</v>
      </c>
      <c r="D156" s="19" t="s">
        <v>709</v>
      </c>
      <c r="E156" s="19" t="s">
        <v>28</v>
      </c>
      <c r="F156" s="19" t="s">
        <v>705</v>
      </c>
      <c r="G156" s="19" t="s">
        <v>72</v>
      </c>
      <c r="H156" s="24" t="s">
        <v>710</v>
      </c>
      <c r="I156" s="24" t="s">
        <v>711</v>
      </c>
      <c r="J156" s="19">
        <v>12</v>
      </c>
      <c r="K156" s="19" t="s">
        <v>90</v>
      </c>
    </row>
    <row r="157" spans="1:11" x14ac:dyDescent="0.25">
      <c r="A157" s="19" t="s">
        <v>712</v>
      </c>
      <c r="B157" s="19" t="s">
        <v>688</v>
      </c>
      <c r="C157" s="19" t="s">
        <v>689</v>
      </c>
      <c r="D157" s="19" t="s">
        <v>713</v>
      </c>
      <c r="E157" s="19" t="s">
        <v>23</v>
      </c>
      <c r="F157" s="19" t="s">
        <v>714</v>
      </c>
      <c r="G157" s="19" t="s">
        <v>72</v>
      </c>
      <c r="H157" s="24" t="s">
        <v>715</v>
      </c>
      <c r="I157" s="24" t="s">
        <v>716</v>
      </c>
      <c r="J157" s="19">
        <v>12</v>
      </c>
      <c r="K157" s="19" t="s">
        <v>90</v>
      </c>
    </row>
    <row r="158" spans="1:11" x14ac:dyDescent="0.25">
      <c r="A158" s="19" t="s">
        <v>717</v>
      </c>
      <c r="B158" s="19" t="s">
        <v>688</v>
      </c>
      <c r="C158" s="19" t="s">
        <v>689</v>
      </c>
      <c r="D158" s="19" t="s">
        <v>718</v>
      </c>
      <c r="E158" s="19" t="s">
        <v>343</v>
      </c>
      <c r="F158" s="19" t="s">
        <v>719</v>
      </c>
      <c r="G158" s="19" t="s">
        <v>72</v>
      </c>
      <c r="H158" s="24" t="s">
        <v>720</v>
      </c>
      <c r="I158" s="24" t="s">
        <v>721</v>
      </c>
      <c r="J158" s="19">
        <v>12</v>
      </c>
      <c r="K158" s="19" t="s">
        <v>90</v>
      </c>
    </row>
    <row r="159" spans="1:11" x14ac:dyDescent="0.25">
      <c r="A159" s="19" t="s">
        <v>722</v>
      </c>
      <c r="B159" s="19" t="s">
        <v>688</v>
      </c>
      <c r="C159" s="19" t="s">
        <v>689</v>
      </c>
      <c r="D159" s="19" t="s">
        <v>723</v>
      </c>
      <c r="E159" s="19" t="s">
        <v>343</v>
      </c>
      <c r="F159" s="19" t="s">
        <v>650</v>
      </c>
      <c r="G159" s="19" t="s">
        <v>72</v>
      </c>
      <c r="H159" s="24" t="s">
        <v>724</v>
      </c>
      <c r="I159" s="24" t="s">
        <v>725</v>
      </c>
      <c r="J159" s="19">
        <v>12</v>
      </c>
      <c r="K159" s="19" t="s">
        <v>90</v>
      </c>
    </row>
    <row r="160" spans="1:11" x14ac:dyDescent="0.25">
      <c r="A160" s="19" t="s">
        <v>726</v>
      </c>
      <c r="B160" s="19" t="s">
        <v>688</v>
      </c>
      <c r="C160" s="19" t="s">
        <v>727</v>
      </c>
      <c r="D160" s="19" t="s">
        <v>728</v>
      </c>
      <c r="E160" s="19" t="s">
        <v>28</v>
      </c>
      <c r="F160" s="19" t="s">
        <v>729</v>
      </c>
      <c r="G160" s="19" t="s">
        <v>17</v>
      </c>
      <c r="H160" s="24" t="s">
        <v>730</v>
      </c>
      <c r="I160" s="24" t="s">
        <v>731</v>
      </c>
      <c r="J160" s="19">
        <v>12</v>
      </c>
      <c r="K160" s="19" t="s">
        <v>90</v>
      </c>
    </row>
    <row r="161" spans="1:11" x14ac:dyDescent="0.25">
      <c r="A161" s="19" t="s">
        <v>732</v>
      </c>
      <c r="B161" s="19" t="s">
        <v>688</v>
      </c>
      <c r="C161" s="19" t="s">
        <v>727</v>
      </c>
      <c r="D161" s="19" t="s">
        <v>733</v>
      </c>
      <c r="E161" s="19" t="s">
        <v>28</v>
      </c>
      <c r="F161" s="19" t="s">
        <v>734</v>
      </c>
      <c r="G161" s="19" t="s">
        <v>17</v>
      </c>
      <c r="H161" s="24" t="s">
        <v>735</v>
      </c>
      <c r="I161" s="24" t="s">
        <v>736</v>
      </c>
      <c r="J161" s="19">
        <v>12</v>
      </c>
      <c r="K161" s="19" t="s">
        <v>90</v>
      </c>
    </row>
    <row r="162" spans="1:11" x14ac:dyDescent="0.25">
      <c r="A162" s="19" t="s">
        <v>737</v>
      </c>
      <c r="B162" s="19" t="s">
        <v>688</v>
      </c>
      <c r="C162" s="19" t="s">
        <v>727</v>
      </c>
      <c r="D162" s="19" t="s">
        <v>738</v>
      </c>
      <c r="E162" s="19" t="s">
        <v>60</v>
      </c>
      <c r="F162" s="19" t="s">
        <v>513</v>
      </c>
      <c r="G162" s="19" t="s">
        <v>72</v>
      </c>
      <c r="H162" s="24" t="s">
        <v>739</v>
      </c>
      <c r="I162" s="24" t="s">
        <v>740</v>
      </c>
      <c r="J162" s="19">
        <v>12</v>
      </c>
      <c r="K162" s="19" t="s">
        <v>90</v>
      </c>
    </row>
    <row r="163" spans="1:11" x14ac:dyDescent="0.25">
      <c r="A163" s="19" t="s">
        <v>741</v>
      </c>
      <c r="B163" s="19" t="s">
        <v>688</v>
      </c>
      <c r="C163" s="19" t="s">
        <v>727</v>
      </c>
      <c r="D163" s="19" t="s">
        <v>742</v>
      </c>
      <c r="E163" s="19" t="s">
        <v>28</v>
      </c>
      <c r="F163" s="19" t="s">
        <v>513</v>
      </c>
      <c r="G163" s="19" t="s">
        <v>17</v>
      </c>
      <c r="H163" s="24" t="s">
        <v>743</v>
      </c>
      <c r="I163" s="24" t="s">
        <v>744</v>
      </c>
      <c r="J163" s="19">
        <v>12</v>
      </c>
      <c r="K163" s="19" t="s">
        <v>90</v>
      </c>
    </row>
    <row r="164" spans="1:11" x14ac:dyDescent="0.25">
      <c r="A164" s="19" t="s">
        <v>745</v>
      </c>
      <c r="B164" s="19" t="s">
        <v>688</v>
      </c>
      <c r="C164" s="19" t="s">
        <v>727</v>
      </c>
      <c r="D164" s="19" t="s">
        <v>746</v>
      </c>
      <c r="E164" s="19" t="s">
        <v>28</v>
      </c>
      <c r="F164" s="19" t="s">
        <v>508</v>
      </c>
      <c r="G164" s="19" t="s">
        <v>72</v>
      </c>
      <c r="H164" s="24" t="s">
        <v>747</v>
      </c>
      <c r="I164" s="24" t="s">
        <v>748</v>
      </c>
      <c r="J164" s="19">
        <v>12</v>
      </c>
      <c r="K164" s="19" t="s">
        <v>90</v>
      </c>
    </row>
    <row r="165" spans="1:11" x14ac:dyDescent="0.25">
      <c r="A165" s="19" t="s">
        <v>749</v>
      </c>
      <c r="B165" s="19" t="s">
        <v>688</v>
      </c>
      <c r="C165" s="19" t="s">
        <v>727</v>
      </c>
      <c r="D165" s="19" t="s">
        <v>750</v>
      </c>
      <c r="E165" s="19" t="s">
        <v>60</v>
      </c>
      <c r="F165" s="19" t="s">
        <v>751</v>
      </c>
      <c r="G165" s="19" t="s">
        <v>17</v>
      </c>
      <c r="H165" s="24" t="s">
        <v>752</v>
      </c>
      <c r="I165" s="24" t="s">
        <v>753</v>
      </c>
      <c r="J165" s="19">
        <v>12</v>
      </c>
      <c r="K165" s="19" t="s">
        <v>90</v>
      </c>
    </row>
    <row r="166" spans="1:11" x14ac:dyDescent="0.25">
      <c r="A166" s="19" t="s">
        <v>754</v>
      </c>
      <c r="B166" s="19" t="s">
        <v>688</v>
      </c>
      <c r="C166" s="19" t="s">
        <v>727</v>
      </c>
      <c r="D166" s="19" t="s">
        <v>755</v>
      </c>
      <c r="E166" s="19" t="s">
        <v>60</v>
      </c>
      <c r="F166" s="19" t="s">
        <v>756</v>
      </c>
      <c r="G166" s="19" t="s">
        <v>72</v>
      </c>
      <c r="H166" s="24" t="s">
        <v>757</v>
      </c>
      <c r="I166" s="24" t="s">
        <v>758</v>
      </c>
      <c r="J166" s="19">
        <v>12</v>
      </c>
      <c r="K166" s="19" t="s">
        <v>90</v>
      </c>
    </row>
    <row r="167" spans="1:11" ht="30" x14ac:dyDescent="0.25">
      <c r="A167" s="19" t="s">
        <v>759</v>
      </c>
      <c r="B167" s="19" t="s">
        <v>688</v>
      </c>
      <c r="C167" s="19" t="s">
        <v>727</v>
      </c>
      <c r="D167" s="19" t="s">
        <v>760</v>
      </c>
      <c r="E167" s="19" t="s">
        <v>324</v>
      </c>
      <c r="F167" s="19" t="s">
        <v>325</v>
      </c>
      <c r="G167" s="19" t="s">
        <v>35</v>
      </c>
      <c r="H167" s="24" t="s">
        <v>761</v>
      </c>
      <c r="I167" s="24" t="s">
        <v>762</v>
      </c>
      <c r="J167" s="19">
        <v>12</v>
      </c>
      <c r="K167" s="19" t="s">
        <v>90</v>
      </c>
    </row>
    <row r="168" spans="1:11" x14ac:dyDescent="0.25">
      <c r="A168" s="19" t="s">
        <v>763</v>
      </c>
      <c r="B168" s="19" t="s">
        <v>688</v>
      </c>
      <c r="C168" s="19" t="s">
        <v>727</v>
      </c>
      <c r="D168" s="19" t="s">
        <v>764</v>
      </c>
      <c r="E168" s="19" t="s">
        <v>15</v>
      </c>
      <c r="F168" s="19" t="s">
        <v>577</v>
      </c>
      <c r="G168" s="19" t="s">
        <v>17</v>
      </c>
      <c r="H168" s="24" t="s">
        <v>765</v>
      </c>
      <c r="I168" s="24" t="s">
        <v>766</v>
      </c>
      <c r="J168" s="19">
        <v>12</v>
      </c>
      <c r="K168" s="19" t="s">
        <v>90</v>
      </c>
    </row>
  </sheetData>
  <autoFilter ref="A1:K16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workbookViewId="0">
      <pane ySplit="1" topLeftCell="A2" activePane="bottomLeft" state="frozen"/>
      <selection pane="bottomLeft" activeCell="I6" sqref="I6"/>
    </sheetView>
  </sheetViews>
  <sheetFormatPr defaultRowHeight="15" x14ac:dyDescent="0.25"/>
  <cols>
    <col min="1" max="1" width="10" customWidth="1"/>
    <col min="2" max="2" width="12" customWidth="1"/>
    <col min="3" max="3" width="46" customWidth="1"/>
    <col min="4" max="4" width="80" customWidth="1"/>
    <col min="5" max="5" width="8" customWidth="1"/>
    <col min="6" max="6" width="9" customWidth="1"/>
    <col min="7" max="7" width="12.5703125" customWidth="1"/>
    <col min="8" max="8" width="26.28515625" customWidth="1"/>
  </cols>
  <sheetData>
    <row r="1" spans="1:9" x14ac:dyDescent="0.25">
      <c r="A1" s="2" t="s">
        <v>2</v>
      </c>
      <c r="B1" s="2" t="s">
        <v>767</v>
      </c>
      <c r="C1" s="2" t="s">
        <v>768</v>
      </c>
      <c r="D1" s="2" t="s">
        <v>769</v>
      </c>
      <c r="E1" s="2" t="s">
        <v>770</v>
      </c>
      <c r="F1" s="2" t="s">
        <v>9</v>
      </c>
    </row>
    <row r="2" spans="1:9" ht="60" customHeight="1" x14ac:dyDescent="0.25">
      <c r="A2" s="1" t="s">
        <v>13</v>
      </c>
      <c r="B2" s="3" t="s">
        <v>12</v>
      </c>
      <c r="C2" s="1" t="s">
        <v>771</v>
      </c>
      <c r="D2" s="1" t="s">
        <v>772</v>
      </c>
      <c r="E2" s="1">
        <f>COUNTIF(Backlog!C:C,A2)</f>
        <v>12</v>
      </c>
      <c r="F2" s="1">
        <f>SUMIF(Backlog!C:C,A2,Backlog!J:J)</f>
        <v>84</v>
      </c>
    </row>
    <row r="3" spans="1:9" ht="60" customHeight="1" x14ac:dyDescent="0.25">
      <c r="A3" s="1" t="s">
        <v>81</v>
      </c>
      <c r="B3" s="3" t="s">
        <v>12</v>
      </c>
      <c r="C3" s="1" t="s">
        <v>773</v>
      </c>
      <c r="D3" s="1" t="s">
        <v>774</v>
      </c>
      <c r="E3" s="1">
        <f>COUNTIF(Backlog!C:C,A3)</f>
        <v>17</v>
      </c>
      <c r="F3" s="1">
        <f>SUMIF(Backlog!C:C,A3,Backlog!J:J)</f>
        <v>114</v>
      </c>
    </row>
    <row r="4" spans="1:9" ht="60" customHeight="1" x14ac:dyDescent="0.25">
      <c r="A4" s="1" t="s">
        <v>153</v>
      </c>
      <c r="B4" s="3" t="s">
        <v>12</v>
      </c>
      <c r="C4" s="1" t="s">
        <v>775</v>
      </c>
      <c r="D4" s="1" t="s">
        <v>776</v>
      </c>
      <c r="E4" s="1">
        <f>COUNTIF(Backlog!C:C,A4)</f>
        <v>11</v>
      </c>
      <c r="F4" s="1">
        <f>SUMIF(Backlog!C:C,A4,Backlog!J:J)</f>
        <v>107</v>
      </c>
      <c r="H4" s="31" t="s">
        <v>830</v>
      </c>
      <c r="I4" s="32">
        <f>SUM(F2:F7)</f>
        <v>574</v>
      </c>
    </row>
    <row r="5" spans="1:9" ht="60" customHeight="1" x14ac:dyDescent="0.25">
      <c r="A5" s="1" t="s">
        <v>201</v>
      </c>
      <c r="B5" s="3" t="s">
        <v>12</v>
      </c>
      <c r="C5" s="1" t="s">
        <v>777</v>
      </c>
      <c r="D5" s="1" t="s">
        <v>778</v>
      </c>
      <c r="E5" s="1">
        <f>COUNTIF(Backlog!C:C,A5)</f>
        <v>12</v>
      </c>
      <c r="F5" s="1">
        <f>SUMIF(Backlog!C:C,A5,Backlog!J:J)</f>
        <v>80</v>
      </c>
      <c r="H5" s="32" t="s">
        <v>831</v>
      </c>
      <c r="I5" s="32">
        <v>319</v>
      </c>
    </row>
    <row r="6" spans="1:9" ht="60" customHeight="1" x14ac:dyDescent="0.25">
      <c r="A6" s="1" t="s">
        <v>251</v>
      </c>
      <c r="B6" s="3" t="s">
        <v>12</v>
      </c>
      <c r="C6" s="1" t="s">
        <v>779</v>
      </c>
      <c r="D6" s="1" t="s">
        <v>780</v>
      </c>
      <c r="E6" s="1">
        <f>COUNTIF(Backlog!C:C,A6)</f>
        <v>16</v>
      </c>
      <c r="F6" s="1">
        <f>SUMIF(Backlog!C:C,A6,Backlog!J:J)</f>
        <v>106</v>
      </c>
      <c r="H6" s="32" t="s">
        <v>832</v>
      </c>
      <c r="I6" s="32">
        <f>I4-I5</f>
        <v>255</v>
      </c>
    </row>
    <row r="7" spans="1:9" ht="60" customHeight="1" x14ac:dyDescent="0.25">
      <c r="A7" s="1" t="s">
        <v>322</v>
      </c>
      <c r="B7" s="3" t="s">
        <v>12</v>
      </c>
      <c r="C7" s="1" t="s">
        <v>781</v>
      </c>
      <c r="D7" s="1" t="s">
        <v>782</v>
      </c>
      <c r="E7" s="1">
        <f>COUNTIF(Backlog!C:C,A7)</f>
        <v>15</v>
      </c>
      <c r="F7" s="1">
        <f>SUMIF(Backlog!C:C,A7,Backlog!J:J)</f>
        <v>83</v>
      </c>
      <c r="H7" s="32" t="s">
        <v>833</v>
      </c>
      <c r="I7" s="33">
        <f>(I5/I4)</f>
        <v>0.55574912891986061</v>
      </c>
    </row>
    <row r="8" spans="1:9" ht="60" customHeight="1" x14ac:dyDescent="0.25">
      <c r="A8" s="1" t="s">
        <v>392</v>
      </c>
      <c r="B8" s="4" t="s">
        <v>391</v>
      </c>
      <c r="C8" s="1" t="s">
        <v>783</v>
      </c>
      <c r="D8" s="1" t="s">
        <v>784</v>
      </c>
      <c r="E8" s="1">
        <f>COUNTIF(Backlog!C:C,A8)</f>
        <v>11</v>
      </c>
      <c r="F8" s="1">
        <f>SUMIF(Backlog!C:C,A8,Backlog!J:J)</f>
        <v>114</v>
      </c>
    </row>
    <row r="9" spans="1:9" ht="60" customHeight="1" x14ac:dyDescent="0.25">
      <c r="A9" s="1" t="s">
        <v>438</v>
      </c>
      <c r="B9" s="4" t="s">
        <v>391</v>
      </c>
      <c r="C9" s="1" t="s">
        <v>785</v>
      </c>
      <c r="D9" s="1" t="s">
        <v>786</v>
      </c>
      <c r="E9" s="1">
        <f>COUNTIF(Backlog!C:C,A9)</f>
        <v>11</v>
      </c>
      <c r="F9" s="1">
        <f>SUMIF(Backlog!C:C,A9,Backlog!J:J)</f>
        <v>92</v>
      </c>
    </row>
    <row r="10" spans="1:9" ht="60" customHeight="1" x14ac:dyDescent="0.25">
      <c r="A10" s="1" t="s">
        <v>485</v>
      </c>
      <c r="B10" s="4" t="s">
        <v>391</v>
      </c>
      <c r="C10" s="1" t="s">
        <v>787</v>
      </c>
      <c r="D10" s="1" t="s">
        <v>788</v>
      </c>
      <c r="E10" s="1">
        <f>COUNTIF(Backlog!C:C,A10)</f>
        <v>12</v>
      </c>
      <c r="F10" s="1">
        <f>SUMIF(Backlog!C:C,A10,Backlog!J:J)</f>
        <v>106</v>
      </c>
    </row>
    <row r="11" spans="1:9" ht="60" customHeight="1" x14ac:dyDescent="0.25">
      <c r="A11" s="1" t="s">
        <v>538</v>
      </c>
      <c r="B11" s="4" t="s">
        <v>391</v>
      </c>
      <c r="C11" s="1" t="s">
        <v>789</v>
      </c>
      <c r="D11" s="1" t="s">
        <v>790</v>
      </c>
      <c r="E11" s="1">
        <f>COUNTIF(Backlog!C:C,A11)</f>
        <v>10</v>
      </c>
      <c r="F11" s="1">
        <f>SUMIF(Backlog!C:C,A11,Backlog!J:J)</f>
        <v>120</v>
      </c>
    </row>
    <row r="12" spans="1:9" ht="60" customHeight="1" x14ac:dyDescent="0.25">
      <c r="A12" s="1" t="s">
        <v>586</v>
      </c>
      <c r="B12" s="5" t="s">
        <v>585</v>
      </c>
      <c r="C12" s="1" t="s">
        <v>791</v>
      </c>
      <c r="D12" s="1" t="s">
        <v>792</v>
      </c>
      <c r="E12" s="1">
        <f>COUNTIF(Backlog!C:C,A12)</f>
        <v>11</v>
      </c>
      <c r="F12" s="1">
        <f>SUMIF(Backlog!C:C,A12,Backlog!J:J)</f>
        <v>119</v>
      </c>
    </row>
    <row r="13" spans="1:9" ht="60" customHeight="1" x14ac:dyDescent="0.25">
      <c r="A13" s="1" t="s">
        <v>635</v>
      </c>
      <c r="B13" s="5" t="s">
        <v>585</v>
      </c>
      <c r="C13" s="1" t="s">
        <v>793</v>
      </c>
      <c r="D13" s="1" t="s">
        <v>794</v>
      </c>
      <c r="E13" s="1">
        <f>COUNTIF(Backlog!C:C,A13)</f>
        <v>12</v>
      </c>
      <c r="F13" s="1">
        <f>SUMIF(Backlog!C:C,A13,Backlog!J:J)</f>
        <v>114</v>
      </c>
    </row>
    <row r="14" spans="1:9" ht="60" customHeight="1" x14ac:dyDescent="0.25">
      <c r="A14" s="1" t="s">
        <v>689</v>
      </c>
      <c r="B14" s="6" t="s">
        <v>688</v>
      </c>
      <c r="C14" s="1" t="s">
        <v>795</v>
      </c>
      <c r="D14" s="1" t="s">
        <v>796</v>
      </c>
      <c r="E14" s="1">
        <f>COUNTIF(Backlog!C:C,A14)</f>
        <v>8</v>
      </c>
      <c r="F14" s="1">
        <f>SUMIF(Backlog!C:C,A14,Backlog!J:J)</f>
        <v>96</v>
      </c>
    </row>
    <row r="15" spans="1:9" ht="60" customHeight="1" x14ac:dyDescent="0.25">
      <c r="A15" s="1" t="s">
        <v>727</v>
      </c>
      <c r="B15" s="6" t="s">
        <v>688</v>
      </c>
      <c r="C15" s="1" t="s">
        <v>797</v>
      </c>
      <c r="D15" s="1" t="s">
        <v>798</v>
      </c>
      <c r="E15" s="1">
        <f>COUNTIF(Backlog!C:C,A15)</f>
        <v>9</v>
      </c>
      <c r="F15" s="1">
        <f>SUMIF(Backlog!C:C,A15,Backlog!J:J)</f>
        <v>108</v>
      </c>
    </row>
    <row r="16" spans="1:9" x14ac:dyDescent="0.25">
      <c r="C16" s="7" t="s">
        <v>799</v>
      </c>
      <c r="E16" s="7">
        <f>SUM(E2:E15)</f>
        <v>167</v>
      </c>
      <c r="F16" s="7">
        <f>SUM(F2:F15)</f>
        <v>1443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election activeCell="B31" sqref="B31"/>
    </sheetView>
  </sheetViews>
  <sheetFormatPr defaultRowHeight="15" x14ac:dyDescent="0.25"/>
  <cols>
    <col min="1" max="1" width="12" customWidth="1"/>
    <col min="2" max="2" width="78" customWidth="1"/>
    <col min="3" max="4" width="9" customWidth="1"/>
    <col min="5" max="5" width="10" customWidth="1"/>
    <col min="6" max="6" width="16" customWidth="1"/>
  </cols>
  <sheetData>
    <row r="1" spans="1:6" x14ac:dyDescent="0.25">
      <c r="A1" s="8" t="s">
        <v>767</v>
      </c>
      <c r="B1" s="8" t="s">
        <v>800</v>
      </c>
      <c r="C1" s="8" t="s">
        <v>770</v>
      </c>
      <c r="D1" s="8" t="s">
        <v>9</v>
      </c>
      <c r="E1" s="8" t="s">
        <v>17</v>
      </c>
      <c r="F1" s="8" t="s">
        <v>72</v>
      </c>
    </row>
    <row r="2" spans="1:6" ht="33.950000000000003" customHeight="1" x14ac:dyDescent="0.25">
      <c r="A2" s="9" t="s">
        <v>12</v>
      </c>
      <c r="B2" s="1" t="s">
        <v>801</v>
      </c>
      <c r="C2" s="1">
        <f>COUNTIF(Backlog!B:B,A2)</f>
        <v>83</v>
      </c>
      <c r="D2" s="1">
        <f>SUMIF(Backlog!B:B,A2,Backlog!J:J)</f>
        <v>574</v>
      </c>
      <c r="E2" s="1">
        <f>COUNTIFS(Backlog!B:B,A2,Backlog!G:G,"Critical")</f>
        <v>55</v>
      </c>
      <c r="F2" s="1">
        <f>COUNTIFS(Backlog!B:B,A2,Backlog!G:G,"Very Important")</f>
        <v>22</v>
      </c>
    </row>
    <row r="3" spans="1:6" ht="33.950000000000003" customHeight="1" x14ac:dyDescent="0.25">
      <c r="A3" s="10" t="s">
        <v>391</v>
      </c>
      <c r="B3" s="1" t="s">
        <v>802</v>
      </c>
      <c r="C3" s="1">
        <f>COUNTIF(Backlog!B:B,A3)</f>
        <v>44</v>
      </c>
      <c r="D3" s="1">
        <f>SUMIF(Backlog!B:B,A3,Backlog!J:J)</f>
        <v>432</v>
      </c>
      <c r="E3" s="1">
        <f>COUNTIFS(Backlog!B:B,A3,Backlog!G:G,"Critical")</f>
        <v>27</v>
      </c>
      <c r="F3" s="1">
        <f>COUNTIFS(Backlog!B:B,A3,Backlog!G:G,"Very Important")</f>
        <v>17</v>
      </c>
    </row>
    <row r="4" spans="1:6" ht="33.950000000000003" customHeight="1" x14ac:dyDescent="0.25">
      <c r="A4" s="11" t="s">
        <v>585</v>
      </c>
      <c r="B4" s="1" t="s">
        <v>803</v>
      </c>
      <c r="C4" s="1">
        <f>COUNTIF(Backlog!B:B,A4)</f>
        <v>23</v>
      </c>
      <c r="D4" s="1">
        <f>SUMIF(Backlog!B:B,A4,Backlog!J:J)</f>
        <v>233</v>
      </c>
      <c r="E4" s="1">
        <f>COUNTIFS(Backlog!B:B,A4,Backlog!G:G,"Critical")</f>
        <v>14</v>
      </c>
      <c r="F4" s="1">
        <f>COUNTIFS(Backlog!B:B,A4,Backlog!G:G,"Very Important")</f>
        <v>7</v>
      </c>
    </row>
    <row r="5" spans="1:6" ht="33.950000000000003" customHeight="1" x14ac:dyDescent="0.25">
      <c r="A5" s="12" t="s">
        <v>688</v>
      </c>
      <c r="B5" s="1" t="s">
        <v>804</v>
      </c>
      <c r="C5" s="1">
        <f>COUNTIF(Backlog!B:B,A5)</f>
        <v>17</v>
      </c>
      <c r="D5" s="1">
        <f>SUMIF(Backlog!B:B,A5,Backlog!J:J)</f>
        <v>204</v>
      </c>
      <c r="E5" s="1">
        <f>COUNTIFS(Backlog!B:B,A5,Backlog!G:G,"Critical")</f>
        <v>8</v>
      </c>
      <c r="F5" s="1">
        <f>COUNTIFS(Backlog!B:B,A5,Backlog!G:G,"Very Important")</f>
        <v>8</v>
      </c>
    </row>
    <row r="6" spans="1:6" x14ac:dyDescent="0.25">
      <c r="B6" s="7" t="s">
        <v>799</v>
      </c>
      <c r="C6" s="13">
        <f>SUM(C2:C5)</f>
        <v>167</v>
      </c>
      <c r="D6" s="13">
        <f>SUM(D2:D5)</f>
        <v>1443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heetViews>
  <sheetFormatPr defaultRowHeight="15" x14ac:dyDescent="0.25"/>
  <cols>
    <col min="1" max="1" width="26" customWidth="1"/>
    <col min="2" max="2" width="110" customWidth="1"/>
  </cols>
  <sheetData>
    <row r="1" spans="1:2" ht="16.5" x14ac:dyDescent="0.25">
      <c r="A1" s="14" t="s">
        <v>805</v>
      </c>
    </row>
    <row r="3" spans="1:2" x14ac:dyDescent="0.25">
      <c r="A3" s="15" t="s">
        <v>806</v>
      </c>
      <c r="B3" s="16" t="s">
        <v>807</v>
      </c>
    </row>
    <row r="4" spans="1:2" ht="24" x14ac:dyDescent="0.25">
      <c r="A4" s="15" t="s">
        <v>0</v>
      </c>
      <c r="B4" s="16" t="s">
        <v>808</v>
      </c>
    </row>
    <row r="5" spans="1:2" x14ac:dyDescent="0.25">
      <c r="A5" s="15" t="s">
        <v>1</v>
      </c>
      <c r="B5" s="16" t="s">
        <v>809</v>
      </c>
    </row>
    <row r="6" spans="1:2" x14ac:dyDescent="0.25">
      <c r="A6" s="15" t="s">
        <v>2</v>
      </c>
      <c r="B6" s="16" t="s">
        <v>810</v>
      </c>
    </row>
    <row r="7" spans="1:2" x14ac:dyDescent="0.25">
      <c r="A7" s="15" t="s">
        <v>6</v>
      </c>
      <c r="B7" s="16" t="s">
        <v>811</v>
      </c>
    </row>
    <row r="8" spans="1:2" x14ac:dyDescent="0.25">
      <c r="A8" s="15" t="s">
        <v>9</v>
      </c>
      <c r="B8" s="16" t="s">
        <v>812</v>
      </c>
    </row>
    <row r="9" spans="1:2" ht="24" x14ac:dyDescent="0.25">
      <c r="A9" s="15" t="s">
        <v>813</v>
      </c>
      <c r="B9" s="16" t="s">
        <v>814</v>
      </c>
    </row>
    <row r="10" spans="1:2" x14ac:dyDescent="0.25">
      <c r="A10" s="15" t="s">
        <v>815</v>
      </c>
      <c r="B10" s="16" t="s">
        <v>816</v>
      </c>
    </row>
    <row r="11" spans="1:2" x14ac:dyDescent="0.25">
      <c r="A11" s="15"/>
      <c r="B11" s="16"/>
    </row>
    <row r="12" spans="1:2" ht="24" x14ac:dyDescent="0.25">
      <c r="A12" s="15" t="s">
        <v>817</v>
      </c>
      <c r="B12" s="16" t="s">
        <v>818</v>
      </c>
    </row>
    <row r="13" spans="1:2" x14ac:dyDescent="0.25">
      <c r="A13" s="15" t="s">
        <v>819</v>
      </c>
      <c r="B13" s="16" t="s">
        <v>820</v>
      </c>
    </row>
    <row r="14" spans="1:2" ht="24" x14ac:dyDescent="0.25">
      <c r="A14" s="15" t="s">
        <v>821</v>
      </c>
      <c r="B14" s="16" t="s">
        <v>822</v>
      </c>
    </row>
    <row r="15" spans="1:2" x14ac:dyDescent="0.25">
      <c r="A15" s="15" t="s">
        <v>823</v>
      </c>
      <c r="B15" s="16" t="s">
        <v>824</v>
      </c>
    </row>
    <row r="16" spans="1:2" x14ac:dyDescent="0.25">
      <c r="A16" s="15"/>
      <c r="B16" s="16"/>
    </row>
    <row r="17" spans="1:2" x14ac:dyDescent="0.25">
      <c r="A17" s="15" t="s">
        <v>825</v>
      </c>
      <c r="B17" s="16" t="s">
        <v>826</v>
      </c>
    </row>
    <row r="18" spans="1:2" ht="24" x14ac:dyDescent="0.25">
      <c r="A18" s="15" t="s">
        <v>827</v>
      </c>
      <c r="B18" s="16" t="s">
        <v>828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Backlog</vt:lpstr>
      <vt:lpstr>Phase Summary</vt:lpstr>
      <vt:lpstr>Milestone Rollup</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Elsayed, Karim (SMS group GmbH)</cp:lastModifiedBy>
  <dcterms:created xsi:type="dcterms:W3CDTF">2026-08-03T07:31:05Z</dcterms:created>
  <dcterms:modified xsi:type="dcterms:W3CDTF">2026-08-08T07:06:01Z</dcterms:modified>
</cp:coreProperties>
</file>