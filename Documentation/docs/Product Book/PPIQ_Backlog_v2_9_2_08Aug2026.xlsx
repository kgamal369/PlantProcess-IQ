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6C2CFE0E-E4F0-48A2-94B2-80103B8908D5}" xr6:coauthVersionLast="47" xr6:coauthVersionMax="47" xr10:uidLastSave="{00000000-0000-0000-0000-000000000000}"/>
  <bookViews>
    <workbookView xWindow="-120" yWindow="-120" windowWidth="29040" windowHeight="15720" xr2:uid="{00000000-000D-0000-FFFF-FFFF00000000}"/>
  </bookViews>
  <sheets>
    <sheet name="Backlog" sheetId="1" r:id="rId1"/>
    <sheet name="Phase Summary" sheetId="2" r:id="rId2"/>
    <sheet name="Milestone Rollup" sheetId="3" r:id="rId3"/>
    <sheet name="Legend" sheetId="4" r:id="rId4"/>
    <sheet name="Audit Traceabilit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I5" i="5"/>
  <c r="I4" i="5"/>
  <c r="I3" i="5"/>
  <c r="I2" i="5"/>
  <c r="F5" i="3"/>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I5" i="2"/>
  <c r="I6" i="2" s="1"/>
  <c r="F5" i="2"/>
  <c r="E5" i="2"/>
  <c r="F4" i="2"/>
  <c r="E4" i="2"/>
  <c r="F3" i="2"/>
  <c r="E3" i="2"/>
  <c r="F2" i="2"/>
  <c r="F16" i="2" s="1"/>
  <c r="E2" i="2"/>
  <c r="E16" i="2" s="1"/>
  <c r="I7" i="2" l="1"/>
</calcChain>
</file>

<file path=xl/sharedStrings.xml><?xml version="1.0" encoding="utf-8"?>
<sst xmlns="http://schemas.openxmlformats.org/spreadsheetml/2006/main" count="2001" uniqueCount="957">
  <si>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</si>
  <si>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</si>
  <si>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</si>
  <si>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</si>
  <si>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</si>
  <si>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</si>
  <si>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</si>
  <si>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</si>
  <si>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</si>
  <si>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</si>
  <si>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</si>
  <si>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</si>
  <si>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</si>
  <si>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</si>
  <si>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</si>
  <si>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</si>
  <si>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</si>
  <si>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</si>
  <si>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</si>
  <si>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</si>
  <si>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</si>
  <si>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</si>
  <si>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</si>
  <si>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</si>
  <si>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</si>
  <si>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</si>
  <si>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</si>
  <si>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</si>
  <si>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</si>
  <si>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</si>
  <si>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</si>
  <si>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</si>
  <si>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</si>
  <si>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</si>
  <si>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</si>
  <si>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</si>
  <si>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</si>
  <si>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</si>
  <si>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</si>
  <si>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</si>
  <si>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</si>
  <si>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</si>
  <si>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</si>
  <si>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</si>
  <si>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</si>
  <si>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</si>
  <si>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</si>
  <si>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</si>
  <si>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</si>
  <si>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</si>
  <si>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</si>
  <si>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</si>
  <si>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</si>
  <si>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</si>
  <si>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</si>
  <si>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</si>
  <si>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</si>
  <si>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</si>
  <si>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</si>
  <si>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</si>
  <si>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</si>
  <si>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</si>
  <si>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</si>
  <si>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</si>
  <si>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</si>
  <si>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</si>
  <si>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</si>
  <si>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</si>
  <si>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</si>
  <si>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</si>
  <si>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</si>
  <si>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</si>
  <si>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</si>
  <si>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</si>
  <si>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</si>
  <si>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</si>
  <si>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</si>
  <si>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</si>
  <si>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</si>
  <si>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</si>
  <si>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</si>
  <si>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</si>
  <si>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</si>
  <si>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</si>
  <si>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</si>
  <si>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</si>
  <si>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</si>
  <si>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</si>
  <si>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</si>
  <si>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</si>
  <si>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</si>
  <si>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</si>
  <si>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</si>
  <si>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</si>
  <si>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</si>
  <si>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</si>
  <si>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</si>
  <si>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</si>
  <si>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</si>
  <si>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</si>
  <si>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</si>
  <si>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</si>
  <si>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</si>
  <si>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</si>
  <si>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</si>
  <si>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</si>
  <si>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</si>
  <si>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</si>
  <si>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</si>
  <si>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</si>
  <si>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</si>
  <si>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</si>
  <si>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</si>
  <si>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</si>
  <si>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</si>
  <si>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</si>
  <si>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</si>
  <si>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</si>
  <si>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</si>
  <si>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</si>
  <si>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</si>
  <si>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</si>
  <si>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</si>
  <si>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</si>
  <si>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</si>
  <si>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</si>
  <si>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</si>
  <si>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</si>
  <si>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</si>
  <si>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</si>
  <si>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</si>
  <si>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</si>
  <si>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</si>
  <si>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</si>
  <si>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</si>
  <si>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</si>
  <si>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</si>
  <si>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</si>
  <si>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</si>
  <si>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</si>
  <si>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</si>
  <si>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</si>
  <si>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</si>
  <si>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</si>
  <si>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</si>
  <si>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</si>
  <si>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</si>
  <si>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</si>
  <si>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</si>
  <si>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</si>
  <si>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</si>
  <si>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</si>
  <si>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</si>
  <si>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</si>
  <si>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</si>
  <si>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</si>
  <si>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</si>
  <si>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</si>
  <si>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</si>
  <si>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</si>
  <si>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</si>
  <si>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</si>
  <si>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</si>
  <si>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</si>
  <si>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</si>
  <si>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</si>
  <si>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</si>
  <si>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</si>
  <si>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</si>
  <si>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</si>
  <si>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</si>
  <si>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</si>
  <si>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</si>
  <si>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</si>
  <si>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</si>
  <si>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</si>
  <si>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</si>
  <si>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</si>
  <si>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</si>
  <si>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</si>
  <si>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</si>
  <si>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</si>
  <si>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</si>
  <si>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</si>
  <si>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</si>
  <si>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</si>
  <si>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</si>
  <si>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</si>
  <si>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</si>
  <si>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</si>
  <si>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</si>
  <si>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</si>
  <si>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</si>
  <si>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</si>
  <si>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</si>
  <si>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</si>
  <si>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</si>
  <si>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</si>
  <si>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</si>
  <si>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</si>
  <si>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</si>
  <si>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</si>
  <si>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</si>
  <si>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Not Started</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</si>
  <si>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</si>
  <si>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</si>
  <si>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</si>
  <si>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</si>
  <si>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</si>
  <si>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</si>
  <si>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</si>
  <si>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</si>
  <si>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</si>
  <si>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T-045</t>
  </si>
  <si>
    <t>T-046</t>
  </si>
  <si>
    <t>Registry</t>
  </si>
  <si>
    <t>T-047</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</si>
  <si>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</si>
  <si>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</si>
  <si>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</si>
  <si>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</si>
  <si>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</si>
  <si>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</si>
  <si>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</si>
  <si>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</si>
  <si>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</si>
  <si>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</si>
  <si>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</si>
  <si>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</si>
  <si>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</si>
  <si>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</si>
  <si>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</si>
  <si>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</si>
  <si>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</si>
  <si>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</si>
  <si>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</si>
  <si>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</si>
  <si>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</si>
  <si>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</si>
  <si>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</si>
  <si>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</si>
  <si>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</si>
  <si>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</si>
  <si>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</si>
  <si>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</si>
  <si>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</si>
  <si>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</si>
  <si>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</si>
  <si>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</si>
  <si>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</si>
  <si>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</si>
  <si>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</si>
  <si>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</si>
  <si>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</si>
  <si>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</si>
  <si>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</si>
  <si>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</si>
  <si>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</si>
  <si>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</si>
  <si>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</si>
  <si>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</si>
  <si>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</si>
  <si>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</si>
  <si>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</si>
  <si>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</si>
  <si>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</si>
  <si>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</si>
  <si>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</si>
  <si>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</si>
  <si>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</si>
  <si>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</si>
  <si>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</si>
  <si>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</si>
  <si>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</si>
  <si>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</si>
  <si>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</si>
  <si>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</si>
  <si>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</si>
  <si>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</si>
  <si>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</si>
  <si>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</si>
  <si>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</si>
  <si>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</si>
  <si>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</si>
  <si>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</si>
  <si>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</si>
  <si>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</si>
  <si>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</si>
  <si>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</si>
  <si>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</si>
  <si>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</si>
  <si>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</si>
  <si>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</si>
  <si>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</si>
  <si>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</si>
  <si>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</si>
  <si>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</si>
  <si>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</si>
  <si>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</si>
  <si>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</si>
  <si>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</si>
  <si>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</si>
  <si>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</si>
  <si>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</si>
  <si>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</si>
  <si>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</si>
  <si>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</si>
  <si>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</si>
  <si>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</si>
  <si>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</si>
  <si>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</si>
  <si>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</si>
  <si>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</si>
  <si>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</si>
  <si>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</si>
  <si>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</si>
  <si>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T-071</t>
  </si>
  <si>
    <t>Chatbot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</si>
  <si>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</si>
  <si>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</si>
  <si>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</si>
  <si>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</si>
  <si>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</si>
  <si>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</si>
  <si>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</si>
  <si>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</si>
  <si>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</si>
  <si>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</si>
  <si>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</si>
  <si>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</si>
  <si>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</si>
  <si>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</si>
  <si>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</si>
  <si>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</si>
  <si>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</si>
  <si>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</si>
  <si>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</si>
  <si>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</si>
  <si>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</si>
  <si>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</si>
  <si>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</si>
  <si>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</si>
  <si>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</si>
  <si>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</si>
  <si>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</si>
  <si>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</si>
  <si>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</si>
  <si>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</si>
  <si>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</si>
  <si>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</si>
  <si>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</si>
  <si>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</si>
  <si>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</si>
  <si>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</si>
  <si>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</si>
  <si>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</si>
  <si>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</si>
  <si>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</si>
  <si>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</si>
  <si>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</si>
  <si>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</si>
  <si>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</si>
  <si>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</si>
  <si>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</si>
  <si>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</si>
  <si>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</si>
  <si>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</si>
  <si>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</si>
  <si>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</si>
  <si>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</si>
  <si>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</si>
  <si>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</si>
  <si>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</si>
  <si>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</si>
  <si>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</si>
  <si>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</si>
  <si>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</si>
  <si>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</si>
  <si>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</si>
  <si>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</si>
  <si>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</si>
  <si>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</si>
  <si>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</si>
  <si>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</si>
  <si>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</si>
  <si>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</si>
  <si>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</si>
  <si>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</si>
  <si>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</si>
  <si>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</si>
  <si>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</si>
  <si>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</si>
  <si>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</si>
  <si>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</si>
  <si>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</si>
  <si>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</si>
  <si>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</si>
  <si>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</si>
  <si>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</si>
  <si>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</si>
  <si>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</si>
  <si>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</si>
  <si>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</si>
  <si>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</si>
  <si>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</si>
  <si>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</si>
  <si>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</si>
  <si>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</si>
  <si>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</si>
  <si>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</si>
  <si>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</si>
  <si>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</si>
  <si>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</si>
  <si>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</si>
  <si>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</si>
  <si>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</si>
  <si>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</si>
  <si>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</si>
  <si>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</si>
  <si>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</si>
  <si>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</si>
  <si>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</si>
  <si>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</si>
  <si>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</si>
  <si>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</si>
  <si>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</si>
  <si>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</si>
  <si>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</si>
  <si>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</si>
  <si>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</si>
  <si>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</si>
  <si>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</si>
  <si>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</si>
  <si>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</si>
  <si>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</si>
  <si>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</si>
  <si>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</si>
  <si>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</si>
  <si>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</si>
  <si>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</si>
  <si>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</si>
  <si>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</si>
  <si>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</si>
  <si>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</si>
  <si>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</si>
  <si>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</si>
  <si>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</si>
  <si>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</si>
  <si>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</si>
  <si>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</si>
  <si>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</si>
  <si>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</si>
  <si>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</si>
  <si>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</si>
  <si>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</si>
  <si>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</si>
  <si>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</si>
  <si>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</si>
  <si>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</si>
  <si>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</si>
  <si>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</si>
  <si>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</si>
  <si>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</si>
  <si>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</si>
  <si>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</si>
  <si>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</si>
  <si>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</si>
  <si>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</si>
  <si>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</si>
  <si>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</si>
  <si>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</si>
  <si>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</si>
  <si>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</si>
  <si>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</si>
  <si>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</si>
  <si>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</si>
  <si>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</si>
  <si>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</si>
  <si>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</si>
  <si>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</si>
  <si>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</si>
  <si>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</si>
  <si>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</si>
  <si>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</si>
  <si>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</si>
  <si>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</si>
  <si>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</si>
  <si>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</si>
  <si>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</si>
  <si>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</si>
  <si>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</si>
  <si>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</si>
  <si>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</si>
  <si>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</si>
  <si>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</si>
  <si>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</si>
  <si>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</si>
  <si>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</si>
  <si>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</si>
  <si>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</si>
  <si>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</si>
  <si>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</si>
  <si>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</si>
  <si>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</si>
  <si>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</si>
  <si>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</si>
  <si>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</si>
  <si>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</si>
  <si>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</si>
  <si>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</si>
  <si>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</si>
  <si>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</si>
  <si>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</si>
  <si>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</si>
  <si>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</si>
  <si>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</si>
  <si>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</si>
  <si>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</si>
  <si>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</si>
  <si>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</si>
  <si>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</si>
  <si>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</si>
  <si>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</si>
  <si>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</si>
  <si>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</si>
  <si>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</si>
  <si>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</si>
  <si>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</si>
  <si>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</si>
  <si>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</si>
  <si>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</si>
  <si>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</si>
  <si>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</si>
  <si>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</si>
  <si>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</si>
  <si>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</si>
  <si>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</si>
  <si>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</si>
  <si>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</si>
  <si>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</si>
  <si>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</si>
  <si>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</si>
  <si>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</si>
  <si>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</si>
  <si>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</si>
  <si>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</si>
  <si>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</si>
  <si>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</si>
  <si>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</si>
  <si>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</si>
  <si>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</si>
  <si>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</si>
  <si>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</si>
  <si>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</si>
  <si>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</si>
  <si>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</si>
  <si>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</si>
  <si>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</si>
  <si>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</si>
  <si>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</si>
  <si>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</si>
  <si>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</si>
  <si>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</si>
  <si>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</si>
  <si>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</si>
  <si>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</si>
  <si>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</si>
  <si>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</si>
  <si>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</si>
  <si>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</si>
  <si>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</si>
  <si>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</si>
  <si>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</si>
  <si>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</si>
  <si>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</si>
  <si>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</si>
  <si>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</si>
  <si>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</si>
  <si>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</si>
  <si>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</si>
  <si>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</si>
  <si>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</si>
  <si>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</si>
  <si>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</si>
  <si>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</si>
  <si>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</si>
  <si>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</si>
  <si>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</si>
  <si>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</si>
  <si>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</si>
  <si>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</si>
  <si>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</si>
  <si>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</si>
  <si>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</si>
  <si>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</si>
  <si>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</si>
  <si>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</si>
  <si>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</si>
  <si>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</si>
  <si>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</si>
  <si>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</si>
  <si>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</si>
  <si>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</si>
  <si>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</si>
  <si>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</si>
  <si>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</si>
  <si>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</si>
  <si>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</si>
  <si>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</si>
  <si>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</si>
  <si>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</si>
  <si>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</si>
  <si>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</si>
  <si>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</si>
  <si>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</si>
  <si>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</si>
  <si>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</si>
  <si>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</si>
  <si>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</si>
  <si>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</si>
  <si>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</si>
  <si>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</si>
  <si>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</si>
  <si>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</si>
  <si>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</si>
  <si>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</si>
  <si>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</si>
  <si>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</si>
  <si>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</si>
  <si>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</si>
  <si>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</si>
  <si>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</si>
  <si>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</si>
  <si>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</si>
  <si>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</si>
  <si>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</si>
  <si>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</si>
  <si>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</si>
  <si>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</si>
  <si>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</si>
  <si>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</si>
  <si>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</si>
  <si>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</si>
  <si>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</si>
  <si>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</si>
  <si>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Consolidation</t>
  </si>
  <si>
    <t>T-147</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</si>
  <si>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</si>
  <si>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</si>
  <si>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</si>
  <si>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</si>
  <si>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</si>
  <si>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</si>
  <si>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</si>
  <si>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</si>
  <si>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</si>
  <si>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</si>
  <si>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</si>
  <si>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</si>
  <si>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</si>
  <si>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</si>
  <si>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</si>
  <si>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</si>
  <si>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</si>
  <si>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</si>
  <si>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</si>
  <si>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</si>
  <si>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</si>
  <si>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</si>
  <si>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</si>
  <si>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</si>
  <si>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</si>
  <si>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</si>
  <si>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</si>
  <si>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</si>
  <si>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</si>
  <si>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</si>
  <si>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</si>
  <si>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</si>
  <si>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</si>
  <si>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</si>
  <si>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</si>
  <si>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</si>
  <si>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</si>
  <si>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</si>
  <si>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</si>
  <si>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</si>
  <si>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</si>
  <si>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</si>
  <si>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</si>
  <si>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</si>
  <si>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</si>
  <si>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</si>
  <si>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</si>
  <si>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</si>
  <si>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</si>
  <si>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</si>
  <si>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</si>
  <si>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</si>
  <si>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</si>
  <si>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</si>
  <si>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</si>
  <si>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</si>
  <si>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</si>
  <si>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</si>
  <si>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</si>
  <si>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</si>
  <si>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</si>
  <si>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</si>
  <si>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</si>
  <si>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</si>
  <si>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</si>
  <si>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</si>
  <si>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</si>
  <si>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</si>
  <si>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</si>
  <si>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</si>
  <si>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</si>
  <si>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</si>
  <si>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</si>
  <si>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</si>
  <si>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</si>
  <si>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</si>
  <si>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</si>
  <si>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</si>
  <si>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</si>
  <si>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</si>
  <si>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</si>
  <si>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</si>
  <si>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</si>
  <si>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</si>
  <si>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</si>
  <si>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</si>
  <si>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</si>
  <si>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</si>
  <si>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</si>
  <si>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</si>
  <si>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</si>
  <si>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</si>
  <si>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</si>
  <si>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</si>
  <si>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</si>
  <si>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</si>
  <si>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</si>
  <si>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</si>
  <si>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</si>
  <si>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</si>
  <si>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</si>
  <si>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</si>
  <si>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</si>
  <si>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</si>
  <si>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</si>
  <si>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</si>
  <si>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</si>
  <si>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</si>
  <si>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</si>
  <si>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</si>
  <si>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</si>
  <si>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</si>
  <si>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</si>
  <si>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</si>
  <si>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</si>
  <si>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</si>
  <si>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</si>
  <si>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</si>
  <si>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</si>
  <si>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</si>
  <si>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</si>
  <si>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</si>
  <si>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</si>
  <si>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</si>
  <si>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</si>
  <si>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</si>
  <si>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</si>
  <si>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</si>
  <si>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</si>
  <si>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</si>
  <si>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</si>
  <si>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</si>
  <si>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</si>
  <si>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</si>
  <si>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</si>
  <si>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</si>
  <si>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</si>
  <si>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</si>
  <si>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</si>
  <si>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</si>
  <si>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</si>
  <si>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</si>
  <si>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</si>
  <si>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</si>
  <si>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</si>
  <si>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</si>
  <si>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 AUDIT HARDENING IN v2.9.2. Treat presentation semantics as part of the binding contract. A widget is not certified merely because it returns rows: do not present raw GUIDs/technical identifiers when a registry/customer label exists, do not promote `unknown` into a meaningful business category unless the source genuinely carries an unknown bucket, and do not use a dimension whose usable cardinality makes the chart analytically degenerate. Fix the reusable binding/relationship/label path rather than Fleet-v2 screenshot-patching.</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</si>
  <si>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 For every presented widget, record dimension cardinality and the human-readable label source. No raw UUID/GUID is visible where a registry label is resolvable. A Pie/Donut with one effective category, a Heatmap with only one meaningful axis, or a trend whose x-axis is merely an arbitrary date bucket for a non-temporal question fails acceptance even if it renders.</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</si>
  <si>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</si>
  <si>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 AUDIT HARDENING IN v2.9.2. A technically rendered but information-free visual is not an insight. A flat-zero series, single-slice donut or constant risk-class chart must be rebound to a meaningful supported question, or replaced by the honest readiness/coverage/refusal state that explains why no analytical variation exists. Prefer measured readiness, population, evidence coverage and contributor/refusal semantics over decorative empty charts.</t>
  </si>
  <si>
    <t>Every widget on these four pages returns rows. Confirm Model Insights makes no claim a live model has predicted anything unless one has. Record the primary six, the backup, and the reason for each choice, in the demonstration script. The six customer-facing pages contain no chart whose visible distribution is constant or single-category unless the visual is intentionally and explicitly a readiness/refusal/coverage statement. Model Insights and Risk must communicate measured state and evidence, not create the appearance of intelligence from a constant series.</t>
  </si>
  <si>
    <t>Register the final chart grammar and implement the presentation subset</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</si>
  <si>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 AUDIT HARDENING IN v2.9.2. Compatibility is semantic, not only renderer-capability metadata. Encode and test at minimum: temporal+numeric -&gt; Line/Area or appropriate Bar; categorical+numeric -&gt; Bar/Pareto; two meaningful categorical axes plus a measure -&gt; Heatmap; numeric×numeric -&gt; Scatter; numeric distribution -&gt; Histogram/Box; low-cardinality categorical share -&gt; Pie/Donut. Do not offer Pie/Donut-by-date, a Heatmap without two meaningful axes and an intensity, or a one-value categorical Pie merely because the renderer can draw it.</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</si>
  <si>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 Add known-compatible and known-incompatible binding tests for those pairings. A switcher must explain why an incompatible type is unavailable. Deliberately pass Date+measure to Pie/Donut and one-axis data to Heatmap and prove both are refused before rendering.</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</si>
  <si>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</si>
  <si>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 AUDIT HARDENING IN v2.9.2. Distinct analytical grammars must still look like one product. Every page uses the same application typography, spacing scale, control primitives, card anatomy, state colours, focus language and motion rules; variation comes from the analytical story and chart grammar, not from page-local design systems.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</si>
  <si>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 In the seven-page screenshot comparison, reject any page that introduces a different font scale, card language, control styling or motion vocabulary. The pages must be recognisably different in analytical purpose and recognisably identical in product identity.</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</si>
  <si>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</si>
  <si>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 AUDIT HARDENING IN v2.9.2. The strongest existing polished website section is the minimum visual authority for every route touched here. Preserve one premium industrial/high-tech system across typography, spacing, node/card geometry, border radius, glow depth, cyan/green accent behaviour, graphical connector language and motion. Fix visible mojibake or HTML entities on the presented routes rather than carrying them into the meeting. New sections may extend the design system but never introduce a weaker second visual language.</t>
  </si>
  <si>
    <t>Click every link on every route you will open and confirm none is dead. Check desktop, mobile and keyboard navigation on those routes. Confirm no page shows a blocker, an unfinished item or a failed test, per the standing website honesty rule. Add a side-by-side visual comparison against the strongest existing website section at desktop and mobile. No text overflow, low-contrast text, disconnected graphical wires, raw HTML entities or encoding damage. Motion communicates data/system flow and respects `prefers-reduced-motion`. If a new section makes the company look less sophisticated than the reference section, T-070 is not done.</t>
  </si>
  <si>
    <t>Build the G1 persistent assistant dock</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</si>
  <si>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 AUDIT HARDENING IN v2.9.2. The dock's configuration/provider path is authentication-aware. Do not fire a protected assistant-configuration request before the authenticated token/session is available; lazy-load or gate it through the authenticated layout lifecycle so the first open does not produce a transient 401 that disappears only after retry.</t>
  </si>
  <si>
    <t>Open the dock on at least five different pages and confirm the conversation persists across navigation. Confirm the collapsed state does not obscure any control. Add a vitest asserting the dock renders inside the authenticated layout and not as a route element. From a fresh browser session, log in and open the assistant for the first time. The network log contains no assistant/configuration 401, the dock reaches its ready state without manual retry, and the same remains true after hard reload.</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</si>
  <si>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</si>
  <si>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</si>
  <si>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</si>
  <si>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Converge the correlation engine and complete the statistical method matrix</t>
  </si>
  <si>
    <t>EXPANDED IN v2.9.2 from the superseded-engine retirement task because the 08-Aug review found a genuine executable-scope orphan. Three `ICorrelationComputeEngine` implementations exist plus a fourth engine key written by a Postgres function; the gated .NET engine is the DI default. Converge to one reachable readiness-gated engine and remove the retired direct-SQL compute path. In that final engine, complete the method selector for the matrix the product claims: keep the proven Numeric×Numeric, Binary×Numeric and Categorical×Categorical paths, and add Numeric×Categorical using a parametric one-way ANOVA only when its assumptions are supported by the available evidence and a non-parametric Kruskal-Wallis fallback otherwise. Persist the selected method, aligned population and per-group sizes, p-value, FDR/q-value and an appropriate effect size (`eta-squared` for ANOVA and epsilon-squared or the documented non-parametric equivalent for Kruskal-Wallis). Method selection is explicit and fail-closed; do not silently reinterpret one statistic as another. Also correct exclusion taxonomy: unsupported pairing, insufficient groups/sample, constant/zero-variance input and other non-computable states are distinct reasons. The current runtime defect where Numeric×Categorical is `NotApplicable` yet the evidence says 'constant / zero-variance input' must disappear.</t>
  </si>
  <si>
    <t>One engine remains reachable and no compute path can write a finding without the readiness gate. A known-answer Numeric×Categorical fixture selects ANOVA when assumptions are satisfied and Kruskal-Wallis when they are deliberately violated, with method, population/group counts, effect size, p-value and q-value persisted. Run the current `defect.severity` × numeric-feature population and prove the pairing is no longer excluded merely because it is Numeric×Categorical. Then use three falsification cases: a deliberately constant numeric feature must be labelled constant/zero-variance; a deliberately unsupported synthetic pairing must be labelled unsupported method; and a too-small grouped population must be labelled insufficient sample/groups. None may reuse another reason. Existing Numeric×Numeric, Binary×Numeric and Categorical×Categorical regression cases remain green.</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</si>
  <si>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</si>
  <si>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 v2.9.2 adjacency contract: this task must leave ordinal/categorical outcomes in a shape T-146 can consume without manual repair. `defect.severity` is persisted and loaded as a real multi-class categorical/ordinal outcome with its true class spread, not converted to a fake numeric target solely to make a statistical method available.</t>
  </si>
  <si>
    <t>One namespace across engine and registry. Correct the grain in the refresh routine and confirm it survives a refresh. Load an ordinal outcome and confirm the minority fraction reflects the real class spread. After a full outcome refresh, pass an ordinal severity outcome through the correlation loader and assert the engine receives the same class labels/counts the store reports; no manual grain or category correction is required between refresh and compute.</t>
  </si>
  <si>
    <t>Complete the test gates</t>
  </si>
  <si>
    <t>Add the remaining pipeline stages from Chapter 6 6.1.3 to reach the specified twenty-two, make visual regression and accessibility blocking, and make the golden journey J1 to J15 a merge blocker. AUDIT HARDENING IN v2.9.2. Completion means executed truth, not the presence of gate files. A mandatory gate may not be satisfied by `--list`/enumeration, may not wrap a failing test in `catchError` or equivalent logic that forces SUCCESS, and may not exist as an orphan validator nobody calls. One canonical pipeline owns each mandatory gate; duplicate/superseded injectors are removed or made non-authoritative.</t>
  </si>
  <si>
    <t>A deliberately broken golden journey blocks a merge. A deliberately introduced contrast failure blocks a merge. Both then revert to green. Add a mechanical pipeline-truth test that inspects the actual commands for every mandatory stage and rejects enumeration-only invocations and failure-swallowing wrappers. Deliberately make one unit/integration gate fail, one visual/a11y gate fail and one golden-journey gate fail; each must make the canonical pipeline non-green. Any mandatory validator not reachable from that pipeline is either wired in or deleted.</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</si>
  <si>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</si>
  <si>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</si>
  <si>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</si>
  <si>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Total required till Presentation</t>
  </si>
  <si>
    <t>Strict Done hours</t>
  </si>
  <si>
    <t>Not-yet-Done hours</t>
  </si>
  <si>
    <t>Strict Done %</t>
  </si>
  <si>
    <t>Customer presentation, 574 h of BASELINE SCOPE as carried into v2.9.2. Freeze what the customer can see; adapt what sits behind it.</t>
  </si>
  <si>
    <t>PPIQ EXECUTABLE BACKLOG v2.9.2 - LEGEND</t>
  </si>
  <si>
    <t>v2.9.2 is grounded in Master Design Chapters 1–6, Roadmap Amendment 1, the 07-Aug-2026 UltimateAudit, the 05/07-Aug handovers and the 08-Aug-2026 deep implementation review. Scope hours remain estimates.</t>
  </si>
  <si>
    <t>Database semantic durability</t>
  </si>
  <si>
    <t>A live DB mutation is not complete until the equivalent permanent definition/migration is tracked and is in the authoritative rebuild/deploy replay path.</t>
  </si>
  <si>
    <t>Fail-closed mutation tooling</t>
  </si>
  <si>
    <t>Mutating scripts/packs preflight exact targets and match counts, back up or transact, self-check, validate, and auto-revert/rollback. Silent anchor misses/no-op replacements are failures.</t>
  </si>
  <si>
    <t>Parallel-worker repository isolation</t>
  </si>
  <si>
    <t>On a shared tree stage exact owned files only. No git add . / git add -A. Inspect git status and cached diff; never reset/overwrite another worker's dirty path.</t>
  </si>
  <si>
    <t>Audit-finding traceability</t>
  </si>
  <si>
    <t>Before version freeze every material finding is CLOSED, OWNED BY T-xxx, CONTROLLED BY GLOBAL LAW, or NEW TASK REQUIRED. Zero orphan findings.</t>
  </si>
  <si>
    <t>PPIQ v2.9.2 — Audit Finding → Executable Owner Traceability</t>
  </si>
  <si>
    <t>TRACEABILITY KPI</t>
  </si>
  <si>
    <t>VALUE</t>
  </si>
  <si>
    <t>Freeze gate: every material finding from the 08-Aug review has an executable owner or a permanent global law. No task IDs or programme hours were added.</t>
  </si>
  <si>
    <t>Total findings</t>
  </si>
  <si>
    <t>New-task orphans</t>
  </si>
  <si>
    <t>Expanded owners</t>
  </si>
  <si>
    <t>Existing owners</t>
  </si>
  <si>
    <t>Global laws</t>
  </si>
  <si>
    <t>Finding ID</t>
  </si>
  <si>
    <t>Finding</t>
  </si>
  <si>
    <t>Executable Owner</t>
  </si>
  <si>
    <t>Phase</t>
  </si>
  <si>
    <t>Disposition</t>
  </si>
  <si>
    <t>Rationale / Scope Decision</t>
  </si>
  <si>
    <t>F-001</t>
  </si>
  <si>
    <t>Numeric×Categorical correlation method missing</t>
  </si>
  <si>
    <t>EXPANDED</t>
  </si>
  <si>
    <t>Critical orphan closed inside the existing engine-convergence owner.</t>
  </si>
  <si>
    <t>F-002</t>
  </si>
  <si>
    <t>Unsupported Numeric×Categorical mislabeled zero-variance</t>
  </si>
  <si>
    <t>Truthful exclusion taxonomy added to T-146.</t>
  </si>
  <si>
    <t>F-003</t>
  </si>
  <si>
    <t>Outcome namespace / grain / ordinal loader defects</t>
  </si>
  <si>
    <t>EXISTING</t>
  </si>
  <si>
    <t>Existing owner; validation strengthened for T-146 adjacency.</t>
  </si>
  <si>
    <t>F-004</t>
  </si>
  <si>
    <t>Page Builder demo-shaped widget/source assumptions</t>
  </si>
  <si>
    <t>T-041 / T-042</t>
  </si>
  <si>
    <t>Already explicit in current backlog.</t>
  </si>
  <si>
    <t>F-005</t>
  </si>
  <si>
    <t>Operational dashboard weak bindings, raw IDs and degenerate dimensions</t>
  </si>
  <si>
    <t>Rows-rendered is no longer enough for certification.</t>
  </si>
  <si>
    <t>F-006</t>
  </si>
  <si>
    <t>Analysis/Model pages show flat or information-free charts</t>
  </si>
  <si>
    <t>Use readiness/coverage/refusal when no meaningful variation exists.</t>
  </si>
  <si>
    <t>F-007</t>
  </si>
  <si>
    <t>Chart renderer compatibility without analytical compatibility</t>
  </si>
  <si>
    <t>Semantic type/binding matrix made executable.</t>
  </si>
  <si>
    <t>F-008</t>
  </si>
  <si>
    <t>Seven pages need distinct stories but one product design language</t>
  </si>
  <si>
    <t>Distinct analytics, common UI/UX system.</t>
  </si>
  <si>
    <t>F-009</t>
  </si>
  <si>
    <t>Assistant first-open protected-config 401 risk</t>
  </si>
  <si>
    <t>Auth-aware/lazy configuration acceptance added.</t>
  </si>
  <si>
    <t>F-010</t>
  </si>
  <si>
    <t>Assistant page/widget context</t>
  </si>
  <si>
    <t>Already explicit.</t>
  </si>
  <si>
    <t>F-011</t>
  </si>
  <si>
    <t>Assistant page/widget evidence corpus</t>
  </si>
  <si>
    <t>F-012</t>
  </si>
  <si>
    <t>Typed quantity safety</t>
  </si>
  <si>
    <t>F-013</t>
  </si>
  <si>
    <t>Citation/evidence UX</t>
  </si>
  <si>
    <t>F-014</t>
  </si>
  <si>
    <t>Certified live questions and offline fallback</t>
  </si>
  <si>
    <t>F-015</t>
  </si>
  <si>
    <t>Website visual regression / inconsistent typography, boxes, graphics and motion</t>
  </si>
  <si>
    <t>T-070 / T-166</t>
  </si>
  <si>
    <t>M1-P5 / M3-P2</t>
  </si>
  <si>
    <t>M1 presentation bar + full production-site closure.</t>
  </si>
  <si>
    <t>F-016</t>
  </si>
  <si>
    <t>Mojibake / visible HTML entities on public site</t>
  </si>
  <si>
    <t>Presentation routes first; all product pages at production closure.</t>
  </si>
  <si>
    <t>F-017</t>
  </si>
  <si>
    <t>Visual/a11y tests invoked with --list</t>
  </si>
  <si>
    <t>T-078 / T-150</t>
  </si>
  <si>
    <t>M1-P5 / M2b-P2</t>
  </si>
  <si>
    <t>Immediate M1 owner exists; final pipeline gate strengthened.</t>
  </si>
  <si>
    <t>F-018</t>
  </si>
  <si>
    <t>CI can swallow failures or leave mandatory validators orphaned</t>
  </si>
  <si>
    <t>Canonical pipeline truth becomes mechanical.</t>
  </si>
  <si>
    <t>F-019</t>
  </si>
  <si>
    <t>Demo/local/bootstrap/secrets/hardcoded-host leakage into Production</t>
  </si>
  <si>
    <t>Production separation made structural.</t>
  </si>
  <si>
    <t>F-020</t>
  </si>
  <si>
    <t>Incomplete RLS coverage</t>
  </si>
  <si>
    <t>F-021</t>
  </si>
  <si>
    <t>src_* retirement, dependency proof and backup/restore</t>
  </si>
  <si>
    <t>Owner exists; deferred closure items remain neither done nor waived.</t>
  </si>
  <si>
    <t>F-022</t>
  </si>
  <si>
    <t>Final ppiq_staging / ppiq_plant / ppiq_meta authority</t>
  </si>
  <si>
    <t>T-087 / T-088</t>
  </si>
  <si>
    <t>F-023</t>
  </si>
  <si>
    <t>Unified definition authority</t>
  </si>
  <si>
    <t>T-089–T-094</t>
  </si>
  <si>
    <t>F-024</t>
  </si>
  <si>
    <t>Permanent relationship model and projection quarantine</t>
  </si>
  <si>
    <t>T-095–T-105</t>
  </si>
  <si>
    <t>F-025</t>
  </si>
  <si>
    <t>Production feature/outcome snapshots and intelligence substrate</t>
  </si>
  <si>
    <t>T-128–T-136</t>
  </si>
  <si>
    <t>F-026</t>
  </si>
  <si>
    <t>Prediction/remediation/feedback loop</t>
  </si>
  <si>
    <t>T-139–T-145</t>
  </si>
  <si>
    <t>F-027</t>
  </si>
  <si>
    <t>Economic Value Engine / auditable ROI</t>
  </si>
  <si>
    <t>F-028</t>
  </si>
  <si>
    <t>Product-semantic DB fix can exist only live or in ignored pack</t>
  </si>
  <si>
    <t>Global Law 7</t>
  </si>
  <si>
    <t>All</t>
  </si>
  <si>
    <t>GLOBAL LAW</t>
  </si>
  <si>
    <t>Permanent durability rule.</t>
  </si>
  <si>
    <t>F-029</t>
  </si>
  <si>
    <t>Mutating pack can silently miss an anchor or fail after mutation</t>
  </si>
  <si>
    <t>Global Law 8</t>
  </si>
  <si>
    <t>Fail-closed mutation rule.</t>
  </si>
  <si>
    <t>F-030</t>
  </si>
  <si>
    <t>Parallel workers can stage/commit each other's dirty files</t>
  </si>
  <si>
    <t>Global Law 9</t>
  </si>
  <si>
    <t>Exact-file staging rule.</t>
  </si>
  <si>
    <t>F-031</t>
  </si>
  <si>
    <t>Future audit finding can freeze without an executable owner</t>
  </si>
  <si>
    <t>Global Law 10</t>
  </si>
  <si>
    <t>Zero-orphan freeze rule.</t>
  </si>
  <si>
    <t>Presentation Phenomena and Widget Coverage Matrix, 
part 1: inventory and the 36-chart blueprint</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</si>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</sst>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
      <b/>
      <sz val="11"/>
      <color theme="1"/>
      <name val="Calibri"/>
      <family val="2"/>
    </font>
    <font>
      <b/>
      <sz val="16"/>
      <color rgb="FFFFFFFF"/>
      <name val="Calibri"/>
      <family val="2"/>
    </font>
    <font>
      <i/>
      <sz val="11"/>
      <color rgb="FF1F2937"/>
      <name val="Calibri"/>
      <family val="2"/>
    </font>
    <font>
      <b/>
      <sz val="11"/>
      <color rgb="FFFFFFFF"/>
      <name val="Calibri"/>
      <family val="2"/>
    </font>
    <font>
      <sz val="11"/>
      <color theme="1"/>
      <name val="Calibri"/>
      <family val="2"/>
    </font>
  </fonts>
  <fills count="13">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patternFill>
    </fill>
    <fill>
      <patternFill patternType="solid">
        <fgColor rgb="FF0B1F33"/>
      </patternFill>
    </fill>
    <fill>
      <patternFill patternType="solid">
        <fgColor rgb="FFD9EAF7"/>
      </patternFill>
    </fill>
    <fill>
      <patternFill patternType="solid">
        <fgColor rgb="FF92D050"/>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0" borderId="0" xfId="0" applyAlignment="1">
      <alignment wrapText="1"/>
    </xf>
    <xf numFmtId="0" fontId="0" fillId="0" borderId="2" xfId="0" applyBorder="1" applyAlignment="1">
      <alignment horizontal="center" vertical="center"/>
    </xf>
    <xf numFmtId="0" fontId="7" fillId="0" borderId="0" xfId="0" applyFont="1" applyAlignment="1">
      <alignment wrapText="1"/>
    </xf>
    <xf numFmtId="0" fontId="3" fillId="0" borderId="2" xfId="0" applyFont="1" applyBorder="1" applyAlignment="1">
      <alignment horizontal="center" vertical="center" wrapText="1"/>
    </xf>
    <xf numFmtId="0" fontId="0" fillId="0" borderId="2" xfId="0" applyBorder="1" applyAlignment="1">
      <alignment horizontal="center" vertical="center" wrapText="1"/>
    </xf>
    <xf numFmtId="0" fontId="7" fillId="0" borderId="2" xfId="0" applyFont="1" applyBorder="1" applyAlignment="1">
      <alignment horizontal="center" vertical="center" wrapText="1"/>
    </xf>
    <xf numFmtId="164" fontId="0" fillId="0" borderId="2" xfId="0" applyNumberFormat="1" applyBorder="1" applyAlignment="1">
      <alignment horizontal="center" vertical="center" wrapText="1"/>
    </xf>
    <xf numFmtId="0" fontId="10" fillId="8" borderId="0" xfId="0" applyFont="1" applyFill="1" applyAlignment="1">
      <alignment horizontal="center"/>
    </xf>
    <xf numFmtId="0" fontId="10" fillId="8" borderId="0" xfId="0" applyFont="1" applyFill="1" applyAlignment="1">
      <alignment horizontal="center" vertical="center"/>
    </xf>
    <xf numFmtId="0" fontId="7" fillId="9" borderId="0" xfId="0" applyFont="1" applyFill="1"/>
    <xf numFmtId="0" fontId="7" fillId="10" borderId="0" xfId="0" applyFont="1" applyFill="1" applyAlignment="1">
      <alignment horizontal="center"/>
    </xf>
    <xf numFmtId="0" fontId="8" fillId="8" borderId="0" xfId="0" applyFont="1" applyFill="1" applyAlignment="1">
      <alignment horizontal="left" vertical="center"/>
    </xf>
    <xf numFmtId="0" fontId="9" fillId="9" borderId="0" xfId="0" applyFont="1" applyFill="1" applyAlignment="1">
      <alignment wrapText="1"/>
    </xf>
    <xf numFmtId="0" fontId="1" fillId="2" borderId="2" xfId="0" applyFont="1" applyFill="1" applyBorder="1" applyAlignment="1">
      <alignment horizontal="center" vertical="center" wrapText="1"/>
    </xf>
    <xf numFmtId="0" fontId="0" fillId="0" borderId="0" xfId="0" applyAlignment="1">
      <alignment vertical="center"/>
    </xf>
    <xf numFmtId="0" fontId="0" fillId="7" borderId="2" xfId="0" applyFill="1" applyBorder="1" applyAlignment="1">
      <alignment horizontal="center" vertical="center"/>
    </xf>
    <xf numFmtId="0" fontId="0" fillId="0" borderId="0" xfId="0" applyAlignment="1">
      <alignment horizontal="left" vertical="center"/>
    </xf>
    <xf numFmtId="0" fontId="0" fillId="7" borderId="2" xfId="0" applyFill="1" applyBorder="1" applyAlignment="1">
      <alignment horizontal="left" vertical="center" wrapText="1"/>
    </xf>
    <xf numFmtId="0" fontId="0" fillId="0" borderId="2" xfId="0" applyBorder="1" applyAlignment="1">
      <alignment horizontal="left" vertical="center" wrapText="1"/>
    </xf>
    <xf numFmtId="0" fontId="0" fillId="7" borderId="2" xfId="0" applyFill="1" applyBorder="1" applyAlignment="1">
      <alignment horizontal="left" vertical="center"/>
    </xf>
    <xf numFmtId="0" fontId="0" fillId="0" borderId="2" xfId="0" applyBorder="1" applyAlignment="1">
      <alignment horizontal="left" vertical="center"/>
    </xf>
    <xf numFmtId="0" fontId="11" fillId="7" borderId="2" xfId="0" applyFont="1" applyFill="1" applyBorder="1" applyAlignment="1">
      <alignment horizontal="left" vertical="center" wrapText="1"/>
    </xf>
    <xf numFmtId="0" fontId="0" fillId="0" borderId="0" xfId="0" applyAlignment="1">
      <alignment horizontal="left" vertical="center" wrapText="1"/>
    </xf>
    <xf numFmtId="0" fontId="0" fillId="11" borderId="2" xfId="0" applyFill="1" applyBorder="1" applyAlignment="1">
      <alignment horizontal="center" vertical="center"/>
    </xf>
    <xf numFmtId="0" fontId="0" fillId="11" borderId="2" xfId="0" applyFill="1" applyBorder="1" applyAlignment="1">
      <alignment horizontal="left" vertical="center"/>
    </xf>
    <xf numFmtId="0" fontId="0" fillId="11" borderId="2" xfId="0" applyFill="1" applyBorder="1" applyAlignment="1">
      <alignment horizontal="left" vertical="center" wrapText="1"/>
    </xf>
    <xf numFmtId="0" fontId="0" fillId="12" borderId="2" xfId="0" applyFill="1" applyBorder="1" applyAlignment="1">
      <alignment horizontal="center" vertical="center"/>
    </xf>
    <xf numFmtId="0" fontId="0" fillId="12" borderId="2" xfId="0" applyFill="1" applyBorder="1" applyAlignment="1">
      <alignment horizontal="left" vertical="center"/>
    </xf>
    <xf numFmtId="0" fontId="0" fillId="12" borderId="2" xfId="0" applyFill="1" applyBorder="1" applyAlignment="1">
      <alignment horizontal="left" vertical="center" wrapText="1"/>
    </xf>
    <xf numFmtId="0" fontId="11" fillId="12" borderId="2" xfId="0" applyFont="1" applyFill="1" applyBorder="1" applyAlignment="1">
      <alignment horizontal="center" vertical="center"/>
    </xf>
  </cellXfs>
  <cellStyles count="1">
    <cellStyle name="Normal" xfId="0" builtinId="0"/>
  </cellStyles>
  <dxfs count="5">
    <dxf>
      <font>
        <b/>
        <color rgb="FF9C0006"/>
      </font>
      <fill>
        <patternFill patternType="solid">
          <bgColor rgb="FFFFC7CE"/>
        </patternFill>
      </fill>
    </dxf>
    <dxf>
      <font>
        <b/>
        <color rgb="FF006100"/>
      </font>
      <fill>
        <patternFill patternType="solid">
          <bgColor rgb="FFC6EFCE"/>
        </patternFill>
      </fill>
    </dxf>
    <dxf>
      <fill>
        <patternFill patternType="solid">
          <bgColor rgb="FFE2F0D9"/>
        </patternFill>
      </fill>
    </dxf>
    <dxf>
      <font>
        <b/>
      </font>
      <fill>
        <patternFill patternType="solid">
          <bgColor rgb="FFDDEBF7"/>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uditTraceabilityTable" displayName="AuditTraceabilityTable" ref="A7:F38" totalsRowShown="0">
  <tableColumns count="6">
    <tableColumn id="1" xr3:uid="{00000000-0010-0000-0000-000001000000}" name="Finding ID"/>
    <tableColumn id="2" xr3:uid="{00000000-0010-0000-0000-000002000000}" name="Finding"/>
    <tableColumn id="3" xr3:uid="{00000000-0010-0000-0000-000003000000}" name="Executable Owner"/>
    <tableColumn id="4" xr3:uid="{00000000-0010-0000-0000-000004000000}" name="Phase"/>
    <tableColumn id="5" xr3:uid="{00000000-0010-0000-0000-000005000000}" name="Disposition"/>
    <tableColumn id="6" xr3:uid="{00000000-0010-0000-0000-000006000000}" name="Rationale / Scope Decis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43" workbookViewId="0">
      <selection activeCell="K47" sqref="K47"/>
    </sheetView>
  </sheetViews>
  <sheetFormatPr defaultRowHeight="15" x14ac:dyDescent="0.25"/>
  <cols>
    <col min="1" max="1" width="7.42578125" style="32" bestFit="1" customWidth="1"/>
    <col min="2" max="2" width="12" style="32" bestFit="1" customWidth="1"/>
    <col min="3" max="3" width="8.85546875" style="32" bestFit="1" customWidth="1"/>
    <col min="4" max="4" width="76.140625" style="34" customWidth="1"/>
    <col min="5" max="5" width="14.85546875" style="32" customWidth="1"/>
    <col min="6" max="6" width="22.5703125" style="32" customWidth="1"/>
    <col min="7" max="7" width="14.5703125" style="32" customWidth="1"/>
    <col min="8" max="8" width="163.5703125" style="34" customWidth="1"/>
    <col min="9" max="9" width="111.5703125" style="40" customWidth="1"/>
    <col min="10" max="10" width="6.140625" style="32" bestFit="1" customWidth="1"/>
    <col min="11" max="11" width="11.140625" style="32" bestFit="1" customWidth="1"/>
    <col min="12" max="16384" width="9.140625" style="32"/>
  </cols>
  <sheetData>
    <row r="1" spans="1:11" x14ac:dyDescent="0.25">
      <c r="A1" s="31" t="s">
        <v>0</v>
      </c>
      <c r="B1" s="31" t="s">
        <v>1</v>
      </c>
      <c r="C1" s="31" t="s">
        <v>2</v>
      </c>
      <c r="D1" s="17" t="s">
        <v>3</v>
      </c>
      <c r="E1" s="31" t="s">
        <v>4</v>
      </c>
      <c r="F1" s="31" t="s">
        <v>5</v>
      </c>
      <c r="G1" s="31" t="s">
        <v>6</v>
      </c>
      <c r="H1" s="17" t="s">
        <v>7</v>
      </c>
      <c r="I1" s="17" t="s">
        <v>8</v>
      </c>
      <c r="J1" s="31" t="s">
        <v>9</v>
      </c>
      <c r="K1" s="31" t="s">
        <v>10</v>
      </c>
    </row>
    <row r="2" spans="1:11" ht="75" x14ac:dyDescent="0.25">
      <c r="A2" s="33" t="s">
        <v>11</v>
      </c>
      <c r="B2" s="33" t="s">
        <v>12</v>
      </c>
      <c r="C2" s="33" t="s">
        <v>13</v>
      </c>
      <c r="D2" s="37" t="s">
        <v>14</v>
      </c>
      <c r="E2" s="33" t="s">
        <v>15</v>
      </c>
      <c r="F2" s="33" t="s">
        <v>16</v>
      </c>
      <c r="G2" s="33" t="s">
        <v>17</v>
      </c>
      <c r="H2" s="35" t="s">
        <v>18</v>
      </c>
      <c r="I2" s="35" t="s">
        <v>19</v>
      </c>
      <c r="J2" s="33">
        <v>8</v>
      </c>
      <c r="K2" s="33" t="s">
        <v>20</v>
      </c>
    </row>
    <row r="3" spans="1:11" ht="75" x14ac:dyDescent="0.25">
      <c r="A3" s="33" t="s">
        <v>21</v>
      </c>
      <c r="B3" s="33" t="s">
        <v>12</v>
      </c>
      <c r="C3" s="33" t="s">
        <v>13</v>
      </c>
      <c r="D3" s="37" t="s">
        <v>22</v>
      </c>
      <c r="E3" s="33" t="s">
        <v>23</v>
      </c>
      <c r="F3" s="33" t="s">
        <v>16</v>
      </c>
      <c r="G3" s="33" t="s">
        <v>17</v>
      </c>
      <c r="H3" s="35" t="s">
        <v>24</v>
      </c>
      <c r="I3" s="35" t="s">
        <v>25</v>
      </c>
      <c r="J3" s="33">
        <v>8</v>
      </c>
      <c r="K3" s="33" t="s">
        <v>20</v>
      </c>
    </row>
    <row r="4" spans="1:11" ht="60" x14ac:dyDescent="0.25">
      <c r="A4" s="33" t="s">
        <v>26</v>
      </c>
      <c r="B4" s="33" t="s">
        <v>12</v>
      </c>
      <c r="C4" s="33" t="s">
        <v>13</v>
      </c>
      <c r="D4" s="37" t="s">
        <v>27</v>
      </c>
      <c r="E4" s="33" t="s">
        <v>28</v>
      </c>
      <c r="F4" s="33" t="s">
        <v>29</v>
      </c>
      <c r="G4" s="33" t="s">
        <v>17</v>
      </c>
      <c r="H4" s="35" t="s">
        <v>30</v>
      </c>
      <c r="I4" s="35" t="s">
        <v>31</v>
      </c>
      <c r="J4" s="33">
        <v>4</v>
      </c>
      <c r="K4" s="33" t="s">
        <v>20</v>
      </c>
    </row>
    <row r="5" spans="1:11" ht="60" x14ac:dyDescent="0.25">
      <c r="A5" s="33" t="s">
        <v>32</v>
      </c>
      <c r="B5" s="33" t="s">
        <v>12</v>
      </c>
      <c r="C5" s="33" t="s">
        <v>13</v>
      </c>
      <c r="D5" s="37" t="s">
        <v>33</v>
      </c>
      <c r="E5" s="33" t="s">
        <v>15</v>
      </c>
      <c r="F5" s="33" t="s">
        <v>34</v>
      </c>
      <c r="G5" s="33" t="s">
        <v>35</v>
      </c>
      <c r="H5" s="35" t="s">
        <v>36</v>
      </c>
      <c r="I5" s="35" t="s">
        <v>37</v>
      </c>
      <c r="J5" s="33">
        <v>4</v>
      </c>
      <c r="K5" s="33" t="s">
        <v>20</v>
      </c>
    </row>
    <row r="6" spans="1:11" ht="60" x14ac:dyDescent="0.25">
      <c r="A6" s="33" t="s">
        <v>38</v>
      </c>
      <c r="B6" s="33" t="s">
        <v>12</v>
      </c>
      <c r="C6" s="33" t="s">
        <v>13</v>
      </c>
      <c r="D6" s="37" t="s">
        <v>39</v>
      </c>
      <c r="E6" s="33" t="s">
        <v>40</v>
      </c>
      <c r="F6" s="33" t="s">
        <v>41</v>
      </c>
      <c r="G6" s="33" t="s">
        <v>17</v>
      </c>
      <c r="H6" s="35" t="s">
        <v>42</v>
      </c>
      <c r="I6" s="35" t="s">
        <v>43</v>
      </c>
      <c r="J6" s="33">
        <v>6</v>
      </c>
      <c r="K6" s="33" t="s">
        <v>20</v>
      </c>
    </row>
    <row r="7" spans="1:11" ht="45" x14ac:dyDescent="0.25">
      <c r="A7" s="33" t="s">
        <v>44</v>
      </c>
      <c r="B7" s="33" t="s">
        <v>12</v>
      </c>
      <c r="C7" s="33" t="s">
        <v>13</v>
      </c>
      <c r="D7" s="37" t="s">
        <v>45</v>
      </c>
      <c r="E7" s="33" t="s">
        <v>40</v>
      </c>
      <c r="F7" s="33" t="s">
        <v>41</v>
      </c>
      <c r="G7" s="33" t="s">
        <v>17</v>
      </c>
      <c r="H7" s="35" t="s">
        <v>46</v>
      </c>
      <c r="I7" s="35" t="s">
        <v>47</v>
      </c>
      <c r="J7" s="33">
        <v>8</v>
      </c>
      <c r="K7" s="33" t="s">
        <v>20</v>
      </c>
    </row>
    <row r="8" spans="1:11" ht="195" x14ac:dyDescent="0.25">
      <c r="A8" s="33" t="s">
        <v>48</v>
      </c>
      <c r="B8" s="33" t="s">
        <v>12</v>
      </c>
      <c r="C8" s="33" t="s">
        <v>13</v>
      </c>
      <c r="D8" s="39" t="s">
        <v>955</v>
      </c>
      <c r="E8" s="33" t="s">
        <v>15</v>
      </c>
      <c r="F8" s="33" t="s">
        <v>41</v>
      </c>
      <c r="G8" s="33" t="s">
        <v>17</v>
      </c>
      <c r="H8" s="35" t="s">
        <v>49</v>
      </c>
      <c r="I8" s="35" t="s">
        <v>50</v>
      </c>
      <c r="J8" s="33">
        <v>10</v>
      </c>
      <c r="K8" s="33" t="s">
        <v>20</v>
      </c>
    </row>
    <row r="9" spans="1:11" ht="180" x14ac:dyDescent="0.25">
      <c r="A9" s="33" t="s">
        <v>51</v>
      </c>
      <c r="B9" s="33" t="s">
        <v>12</v>
      </c>
      <c r="C9" s="33" t="s">
        <v>13</v>
      </c>
      <c r="D9" s="37" t="s">
        <v>52</v>
      </c>
      <c r="E9" s="33" t="s">
        <v>53</v>
      </c>
      <c r="F9" s="33" t="s">
        <v>54</v>
      </c>
      <c r="G9" s="33" t="s">
        <v>17</v>
      </c>
      <c r="H9" s="35" t="s">
        <v>55</v>
      </c>
      <c r="I9" s="35" t="s">
        <v>56</v>
      </c>
      <c r="J9" s="33">
        <v>10</v>
      </c>
      <c r="K9" s="33" t="s">
        <v>20</v>
      </c>
    </row>
    <row r="10" spans="1:11" ht="90" x14ac:dyDescent="0.25">
      <c r="A10" s="33" t="s">
        <v>57</v>
      </c>
      <c r="B10" s="33" t="s">
        <v>12</v>
      </c>
      <c r="C10" s="33" t="s">
        <v>13</v>
      </c>
      <c r="D10" s="37" t="s">
        <v>58</v>
      </c>
      <c r="E10" s="33" t="s">
        <v>59</v>
      </c>
      <c r="F10" s="33" t="s">
        <v>60</v>
      </c>
      <c r="G10" s="33" t="s">
        <v>17</v>
      </c>
      <c r="H10" s="35" t="s">
        <v>61</v>
      </c>
      <c r="I10" s="35" t="s">
        <v>62</v>
      </c>
      <c r="J10" s="33">
        <v>6</v>
      </c>
      <c r="K10" s="33" t="s">
        <v>20</v>
      </c>
    </row>
    <row r="11" spans="1:11" ht="75" x14ac:dyDescent="0.25">
      <c r="A11" s="33" t="s">
        <v>63</v>
      </c>
      <c r="B11" s="33" t="s">
        <v>12</v>
      </c>
      <c r="C11" s="33" t="s">
        <v>13</v>
      </c>
      <c r="D11" s="37" t="s">
        <v>64</v>
      </c>
      <c r="E11" s="33" t="s">
        <v>65</v>
      </c>
      <c r="F11" s="33" t="s">
        <v>41</v>
      </c>
      <c r="G11" s="33" t="s">
        <v>17</v>
      </c>
      <c r="H11" s="35" t="s">
        <v>66</v>
      </c>
      <c r="I11" s="35" t="s">
        <v>67</v>
      </c>
      <c r="J11" s="33">
        <v>8</v>
      </c>
      <c r="K11" s="33" t="s">
        <v>20</v>
      </c>
    </row>
    <row r="12" spans="1:11" ht="90" x14ac:dyDescent="0.25">
      <c r="A12" s="33" t="s">
        <v>68</v>
      </c>
      <c r="B12" s="33" t="s">
        <v>12</v>
      </c>
      <c r="C12" s="33" t="s">
        <v>13</v>
      </c>
      <c r="D12" s="37" t="s">
        <v>69</v>
      </c>
      <c r="E12" s="33" t="s">
        <v>53</v>
      </c>
      <c r="F12" s="33" t="s">
        <v>70</v>
      </c>
      <c r="G12" s="33" t="s">
        <v>71</v>
      </c>
      <c r="H12" s="35" t="s">
        <v>72</v>
      </c>
      <c r="I12" s="35" t="s">
        <v>73</v>
      </c>
      <c r="J12" s="33">
        <v>6</v>
      </c>
      <c r="K12" s="33" t="s">
        <v>20</v>
      </c>
    </row>
    <row r="13" spans="1:11" ht="105" x14ac:dyDescent="0.25">
      <c r="A13" s="33" t="s">
        <v>74</v>
      </c>
      <c r="B13" s="33" t="s">
        <v>12</v>
      </c>
      <c r="C13" s="33" t="s">
        <v>13</v>
      </c>
      <c r="D13" s="37" t="s">
        <v>75</v>
      </c>
      <c r="E13" s="33" t="s">
        <v>23</v>
      </c>
      <c r="F13" s="33" t="s">
        <v>76</v>
      </c>
      <c r="G13" s="33" t="s">
        <v>17</v>
      </c>
      <c r="H13" s="35" t="s">
        <v>77</v>
      </c>
      <c r="I13" s="35" t="s">
        <v>78</v>
      </c>
      <c r="J13" s="33">
        <v>6</v>
      </c>
      <c r="K13" s="33" t="s">
        <v>20</v>
      </c>
    </row>
    <row r="14" spans="1:11" ht="120" x14ac:dyDescent="0.25">
      <c r="A14" s="33" t="s">
        <v>79</v>
      </c>
      <c r="B14" s="33" t="s">
        <v>12</v>
      </c>
      <c r="C14" s="33" t="s">
        <v>80</v>
      </c>
      <c r="D14" s="37" t="s">
        <v>81</v>
      </c>
      <c r="E14" s="33" t="s">
        <v>40</v>
      </c>
      <c r="F14" s="33" t="s">
        <v>82</v>
      </c>
      <c r="G14" s="33" t="s">
        <v>17</v>
      </c>
      <c r="H14" s="35" t="s">
        <v>83</v>
      </c>
      <c r="I14" s="35" t="s">
        <v>84</v>
      </c>
      <c r="J14" s="33">
        <v>8</v>
      </c>
      <c r="K14" s="33" t="s">
        <v>20</v>
      </c>
    </row>
    <row r="15" spans="1:11" ht="165" x14ac:dyDescent="0.25">
      <c r="A15" s="33" t="s">
        <v>85</v>
      </c>
      <c r="B15" s="33" t="s">
        <v>12</v>
      </c>
      <c r="C15" s="33" t="s">
        <v>80</v>
      </c>
      <c r="D15" s="37" t="s">
        <v>86</v>
      </c>
      <c r="E15" s="33" t="s">
        <v>40</v>
      </c>
      <c r="F15" s="33" t="s">
        <v>82</v>
      </c>
      <c r="G15" s="33" t="s">
        <v>17</v>
      </c>
      <c r="H15" s="35" t="s">
        <v>87</v>
      </c>
      <c r="I15" s="35" t="s">
        <v>88</v>
      </c>
      <c r="J15" s="33">
        <v>8</v>
      </c>
      <c r="K15" s="33" t="s">
        <v>20</v>
      </c>
    </row>
    <row r="16" spans="1:11" ht="105" x14ac:dyDescent="0.25">
      <c r="A16" s="33" t="s">
        <v>89</v>
      </c>
      <c r="B16" s="33" t="s">
        <v>12</v>
      </c>
      <c r="C16" s="33" t="s">
        <v>80</v>
      </c>
      <c r="D16" s="37" t="s">
        <v>90</v>
      </c>
      <c r="E16" s="33" t="s">
        <v>15</v>
      </c>
      <c r="F16" s="33" t="s">
        <v>82</v>
      </c>
      <c r="G16" s="33" t="s">
        <v>17</v>
      </c>
      <c r="H16" s="35" t="s">
        <v>91</v>
      </c>
      <c r="I16" s="35" t="s">
        <v>92</v>
      </c>
      <c r="J16" s="33">
        <v>8</v>
      </c>
      <c r="K16" s="33" t="s">
        <v>20</v>
      </c>
    </row>
    <row r="17" spans="1:11" ht="60" x14ac:dyDescent="0.25">
      <c r="A17" s="33" t="s">
        <v>93</v>
      </c>
      <c r="B17" s="33" t="s">
        <v>12</v>
      </c>
      <c r="C17" s="33" t="s">
        <v>80</v>
      </c>
      <c r="D17" s="37" t="s">
        <v>94</v>
      </c>
      <c r="E17" s="33" t="s">
        <v>40</v>
      </c>
      <c r="F17" s="33" t="s">
        <v>82</v>
      </c>
      <c r="G17" s="33" t="s">
        <v>17</v>
      </c>
      <c r="H17" s="35" t="s">
        <v>95</v>
      </c>
      <c r="I17" s="35" t="s">
        <v>96</v>
      </c>
      <c r="J17" s="33">
        <v>10</v>
      </c>
      <c r="K17" s="33" t="s">
        <v>20</v>
      </c>
    </row>
    <row r="18" spans="1:11" ht="150" x14ac:dyDescent="0.25">
      <c r="A18" s="33" t="s">
        <v>97</v>
      </c>
      <c r="B18" s="33" t="s">
        <v>12</v>
      </c>
      <c r="C18" s="33" t="s">
        <v>80</v>
      </c>
      <c r="D18" s="37" t="s">
        <v>98</v>
      </c>
      <c r="E18" s="33" t="s">
        <v>40</v>
      </c>
      <c r="F18" s="33" t="s">
        <v>82</v>
      </c>
      <c r="G18" s="33" t="s">
        <v>17</v>
      </c>
      <c r="H18" s="35" t="s">
        <v>99</v>
      </c>
      <c r="I18" s="35" t="s">
        <v>100</v>
      </c>
      <c r="J18" s="33">
        <v>8</v>
      </c>
      <c r="K18" s="33" t="s">
        <v>20</v>
      </c>
    </row>
    <row r="19" spans="1:11" ht="105" x14ac:dyDescent="0.25">
      <c r="A19" s="33" t="s">
        <v>101</v>
      </c>
      <c r="B19" s="33" t="s">
        <v>12</v>
      </c>
      <c r="C19" s="33" t="s">
        <v>80</v>
      </c>
      <c r="D19" s="37" t="s">
        <v>102</v>
      </c>
      <c r="E19" s="33" t="s">
        <v>40</v>
      </c>
      <c r="F19" s="33" t="s">
        <v>82</v>
      </c>
      <c r="G19" s="33" t="s">
        <v>17</v>
      </c>
      <c r="H19" s="35" t="s">
        <v>103</v>
      </c>
      <c r="I19" s="35" t="s">
        <v>104</v>
      </c>
      <c r="J19" s="33">
        <v>6</v>
      </c>
      <c r="K19" s="33" t="s">
        <v>20</v>
      </c>
    </row>
    <row r="20" spans="1:11" ht="120" x14ac:dyDescent="0.25">
      <c r="A20" s="33" t="s">
        <v>105</v>
      </c>
      <c r="B20" s="33" t="s">
        <v>12</v>
      </c>
      <c r="C20" s="33" t="s">
        <v>80</v>
      </c>
      <c r="D20" s="37" t="s">
        <v>106</v>
      </c>
      <c r="E20" s="33" t="s">
        <v>40</v>
      </c>
      <c r="F20" s="33" t="s">
        <v>82</v>
      </c>
      <c r="G20" s="33" t="s">
        <v>71</v>
      </c>
      <c r="H20" s="35" t="s">
        <v>107</v>
      </c>
      <c r="I20" s="35" t="s">
        <v>108</v>
      </c>
      <c r="J20" s="33">
        <v>6</v>
      </c>
      <c r="K20" s="33" t="s">
        <v>20</v>
      </c>
    </row>
    <row r="21" spans="1:11" ht="120" x14ac:dyDescent="0.25">
      <c r="A21" s="33" t="s">
        <v>109</v>
      </c>
      <c r="B21" s="33" t="s">
        <v>12</v>
      </c>
      <c r="C21" s="33" t="s">
        <v>80</v>
      </c>
      <c r="D21" s="37" t="s">
        <v>110</v>
      </c>
      <c r="E21" s="33" t="s">
        <v>40</v>
      </c>
      <c r="F21" s="33" t="s">
        <v>82</v>
      </c>
      <c r="G21" s="33" t="s">
        <v>71</v>
      </c>
      <c r="H21" s="35" t="s">
        <v>111</v>
      </c>
      <c r="I21" s="35" t="s">
        <v>112</v>
      </c>
      <c r="J21" s="33">
        <v>6</v>
      </c>
      <c r="K21" s="33" t="s">
        <v>20</v>
      </c>
    </row>
    <row r="22" spans="1:11" ht="90" x14ac:dyDescent="0.25">
      <c r="A22" s="33" t="s">
        <v>113</v>
      </c>
      <c r="B22" s="33" t="s">
        <v>12</v>
      </c>
      <c r="C22" s="33" t="s">
        <v>80</v>
      </c>
      <c r="D22" s="37" t="s">
        <v>114</v>
      </c>
      <c r="E22" s="33" t="s">
        <v>40</v>
      </c>
      <c r="F22" s="33" t="s">
        <v>82</v>
      </c>
      <c r="G22" s="33" t="s">
        <v>35</v>
      </c>
      <c r="H22" s="39" t="s">
        <v>115</v>
      </c>
      <c r="I22" s="35" t="s">
        <v>116</v>
      </c>
      <c r="J22" s="33">
        <v>6</v>
      </c>
      <c r="K22" s="33" t="s">
        <v>20</v>
      </c>
    </row>
    <row r="23" spans="1:11" ht="105" x14ac:dyDescent="0.25">
      <c r="A23" s="33" t="s">
        <v>117</v>
      </c>
      <c r="B23" s="33" t="s">
        <v>12</v>
      </c>
      <c r="C23" s="33" t="s">
        <v>80</v>
      </c>
      <c r="D23" s="37" t="s">
        <v>118</v>
      </c>
      <c r="E23" s="33" t="s">
        <v>40</v>
      </c>
      <c r="F23" s="33" t="s">
        <v>82</v>
      </c>
      <c r="G23" s="33" t="s">
        <v>17</v>
      </c>
      <c r="H23" s="35" t="s">
        <v>119</v>
      </c>
      <c r="I23" s="35" t="s">
        <v>120</v>
      </c>
      <c r="J23" s="33">
        <v>8</v>
      </c>
      <c r="K23" s="33" t="s">
        <v>20</v>
      </c>
    </row>
    <row r="24" spans="1:11" ht="75" x14ac:dyDescent="0.25">
      <c r="A24" s="33" t="s">
        <v>121</v>
      </c>
      <c r="B24" s="33" t="s">
        <v>12</v>
      </c>
      <c r="C24" s="33" t="s">
        <v>80</v>
      </c>
      <c r="D24" s="37" t="s">
        <v>122</v>
      </c>
      <c r="E24" s="33" t="s">
        <v>40</v>
      </c>
      <c r="F24" s="33" t="s">
        <v>82</v>
      </c>
      <c r="G24" s="33" t="s">
        <v>17</v>
      </c>
      <c r="H24" s="35" t="s">
        <v>123</v>
      </c>
      <c r="I24" s="35" t="s">
        <v>124</v>
      </c>
      <c r="J24" s="33">
        <v>6</v>
      </c>
      <c r="K24" s="33" t="s">
        <v>20</v>
      </c>
    </row>
    <row r="25" spans="1:11" ht="105" x14ac:dyDescent="0.25">
      <c r="A25" s="33" t="s">
        <v>125</v>
      </c>
      <c r="B25" s="33" t="s">
        <v>12</v>
      </c>
      <c r="C25" s="33" t="s">
        <v>80</v>
      </c>
      <c r="D25" s="37" t="s">
        <v>126</v>
      </c>
      <c r="E25" s="33" t="s">
        <v>40</v>
      </c>
      <c r="F25" s="33" t="s">
        <v>41</v>
      </c>
      <c r="G25" s="33" t="s">
        <v>17</v>
      </c>
      <c r="H25" s="35" t="s">
        <v>127</v>
      </c>
      <c r="I25" s="35" t="s">
        <v>128</v>
      </c>
      <c r="J25" s="33">
        <v>8</v>
      </c>
      <c r="K25" s="33" t="s">
        <v>20</v>
      </c>
    </row>
    <row r="26" spans="1:11" ht="75" x14ac:dyDescent="0.25">
      <c r="A26" s="33" t="s">
        <v>129</v>
      </c>
      <c r="B26" s="33" t="s">
        <v>12</v>
      </c>
      <c r="C26" s="33" t="s">
        <v>80</v>
      </c>
      <c r="D26" s="37" t="s">
        <v>130</v>
      </c>
      <c r="E26" s="33" t="s">
        <v>131</v>
      </c>
      <c r="F26" s="33" t="s">
        <v>41</v>
      </c>
      <c r="G26" s="33" t="s">
        <v>17</v>
      </c>
      <c r="H26" s="35" t="s">
        <v>132</v>
      </c>
      <c r="I26" s="35" t="s">
        <v>133</v>
      </c>
      <c r="J26" s="33">
        <v>8</v>
      </c>
      <c r="K26" s="33" t="s">
        <v>20</v>
      </c>
    </row>
    <row r="27" spans="1:11" ht="75" x14ac:dyDescent="0.25">
      <c r="A27" s="33" t="s">
        <v>134</v>
      </c>
      <c r="B27" s="33" t="s">
        <v>12</v>
      </c>
      <c r="C27" s="33" t="s">
        <v>80</v>
      </c>
      <c r="D27" s="37" t="s">
        <v>135</v>
      </c>
      <c r="E27" s="33" t="s">
        <v>53</v>
      </c>
      <c r="F27" s="33" t="s">
        <v>41</v>
      </c>
      <c r="G27" s="33" t="s">
        <v>17</v>
      </c>
      <c r="H27" s="35" t="s">
        <v>136</v>
      </c>
      <c r="I27" s="35" t="s">
        <v>137</v>
      </c>
      <c r="J27" s="33">
        <v>6</v>
      </c>
      <c r="K27" s="33" t="s">
        <v>20</v>
      </c>
    </row>
    <row r="28" spans="1:11" ht="105" x14ac:dyDescent="0.25">
      <c r="A28" s="33" t="s">
        <v>138</v>
      </c>
      <c r="B28" s="33" t="s">
        <v>12</v>
      </c>
      <c r="C28" s="33" t="s">
        <v>80</v>
      </c>
      <c r="D28" s="37" t="s">
        <v>139</v>
      </c>
      <c r="E28" s="33" t="s">
        <v>53</v>
      </c>
      <c r="F28" s="33" t="s">
        <v>41</v>
      </c>
      <c r="G28" s="33" t="s">
        <v>17</v>
      </c>
      <c r="H28" s="35" t="s">
        <v>140</v>
      </c>
      <c r="I28" s="35" t="s">
        <v>141</v>
      </c>
      <c r="J28" s="33">
        <v>6</v>
      </c>
      <c r="K28" s="33" t="s">
        <v>20</v>
      </c>
    </row>
    <row r="29" spans="1:11" ht="75" x14ac:dyDescent="0.25">
      <c r="A29" s="33" t="s">
        <v>142</v>
      </c>
      <c r="B29" s="33" t="s">
        <v>12</v>
      </c>
      <c r="C29" s="33" t="s">
        <v>80</v>
      </c>
      <c r="D29" s="37" t="s">
        <v>143</v>
      </c>
      <c r="E29" s="33" t="s">
        <v>40</v>
      </c>
      <c r="F29" s="33" t="s">
        <v>82</v>
      </c>
      <c r="G29" s="33" t="s">
        <v>17</v>
      </c>
      <c r="H29" s="35" t="s">
        <v>144</v>
      </c>
      <c r="I29" s="35" t="s">
        <v>145</v>
      </c>
      <c r="J29" s="33">
        <v>2</v>
      </c>
      <c r="K29" s="33" t="s">
        <v>20</v>
      </c>
    </row>
    <row r="30" spans="1:11" ht="90" x14ac:dyDescent="0.25">
      <c r="A30" s="33" t="s">
        <v>146</v>
      </c>
      <c r="B30" s="33" t="s">
        <v>12</v>
      </c>
      <c r="C30" s="33" t="s">
        <v>80</v>
      </c>
      <c r="D30" s="37" t="s">
        <v>147</v>
      </c>
      <c r="E30" s="33" t="s">
        <v>40</v>
      </c>
      <c r="F30" s="33" t="s">
        <v>41</v>
      </c>
      <c r="G30" s="33" t="s">
        <v>71</v>
      </c>
      <c r="H30" s="35" t="s">
        <v>148</v>
      </c>
      <c r="I30" s="35" t="s">
        <v>149</v>
      </c>
      <c r="J30" s="33">
        <v>4</v>
      </c>
      <c r="K30" s="33" t="s">
        <v>20</v>
      </c>
    </row>
    <row r="31" spans="1:11" ht="90" x14ac:dyDescent="0.25">
      <c r="A31" s="33" t="s">
        <v>150</v>
      </c>
      <c r="B31" s="33" t="s">
        <v>12</v>
      </c>
      <c r="C31" s="33" t="s">
        <v>151</v>
      </c>
      <c r="D31" s="37" t="s">
        <v>152</v>
      </c>
      <c r="E31" s="33" t="s">
        <v>40</v>
      </c>
      <c r="F31" s="33" t="s">
        <v>41</v>
      </c>
      <c r="G31" s="33" t="s">
        <v>17</v>
      </c>
      <c r="H31" s="35" t="s">
        <v>153</v>
      </c>
      <c r="I31" s="35" t="s">
        <v>154</v>
      </c>
      <c r="J31" s="33">
        <v>8</v>
      </c>
      <c r="K31" s="33" t="s">
        <v>20</v>
      </c>
    </row>
    <row r="32" spans="1:11" ht="135" x14ac:dyDescent="0.25">
      <c r="A32" s="33" t="s">
        <v>155</v>
      </c>
      <c r="B32" s="33" t="s">
        <v>12</v>
      </c>
      <c r="C32" s="33" t="s">
        <v>151</v>
      </c>
      <c r="D32" s="37" t="s">
        <v>156</v>
      </c>
      <c r="E32" s="33" t="s">
        <v>40</v>
      </c>
      <c r="F32" s="33" t="s">
        <v>41</v>
      </c>
      <c r="G32" s="33" t="s">
        <v>17</v>
      </c>
      <c r="H32" s="35" t="s">
        <v>157</v>
      </c>
      <c r="I32" s="35" t="s">
        <v>158</v>
      </c>
      <c r="J32" s="33">
        <v>10</v>
      </c>
      <c r="K32" s="33" t="s">
        <v>20</v>
      </c>
    </row>
    <row r="33" spans="1:11" s="34" customFormat="1" ht="90" x14ac:dyDescent="0.25">
      <c r="A33" s="33" t="s">
        <v>159</v>
      </c>
      <c r="B33" s="33" t="s">
        <v>12</v>
      </c>
      <c r="C33" s="33" t="s">
        <v>151</v>
      </c>
      <c r="D33" s="37" t="s">
        <v>160</v>
      </c>
      <c r="E33" s="33" t="s">
        <v>23</v>
      </c>
      <c r="F33" s="33" t="s">
        <v>161</v>
      </c>
      <c r="G33" s="33" t="s">
        <v>17</v>
      </c>
      <c r="H33" s="35" t="s">
        <v>162</v>
      </c>
      <c r="I33" s="35" t="s">
        <v>163</v>
      </c>
      <c r="J33" s="33">
        <v>12</v>
      </c>
      <c r="K33" s="33" t="s">
        <v>20</v>
      </c>
    </row>
    <row r="34" spans="1:11" ht="90" x14ac:dyDescent="0.25">
      <c r="A34" s="33" t="s">
        <v>164</v>
      </c>
      <c r="B34" s="33" t="s">
        <v>12</v>
      </c>
      <c r="C34" s="33" t="s">
        <v>151</v>
      </c>
      <c r="D34" s="37" t="s">
        <v>165</v>
      </c>
      <c r="E34" s="33" t="s">
        <v>23</v>
      </c>
      <c r="F34" s="33" t="s">
        <v>161</v>
      </c>
      <c r="G34" s="33" t="s">
        <v>17</v>
      </c>
      <c r="H34" s="35" t="s">
        <v>166</v>
      </c>
      <c r="I34" s="35" t="s">
        <v>167</v>
      </c>
      <c r="J34" s="33">
        <v>12</v>
      </c>
      <c r="K34" s="33" t="s">
        <v>20</v>
      </c>
    </row>
    <row r="35" spans="1:11" ht="60" x14ac:dyDescent="0.25">
      <c r="A35" s="33" t="s">
        <v>168</v>
      </c>
      <c r="B35" s="33" t="s">
        <v>12</v>
      </c>
      <c r="C35" s="33" t="s">
        <v>151</v>
      </c>
      <c r="D35" s="37" t="s">
        <v>169</v>
      </c>
      <c r="E35" s="33" t="s">
        <v>23</v>
      </c>
      <c r="F35" s="33" t="s">
        <v>161</v>
      </c>
      <c r="G35" s="33" t="s">
        <v>71</v>
      </c>
      <c r="H35" s="35" t="s">
        <v>170</v>
      </c>
      <c r="I35" s="35" t="s">
        <v>171</v>
      </c>
      <c r="J35" s="33">
        <v>10</v>
      </c>
      <c r="K35" s="33" t="s">
        <v>20</v>
      </c>
    </row>
    <row r="36" spans="1:11" ht="60" x14ac:dyDescent="0.25">
      <c r="A36" s="33" t="s">
        <v>172</v>
      </c>
      <c r="B36" s="33" t="s">
        <v>12</v>
      </c>
      <c r="C36" s="33" t="s">
        <v>151</v>
      </c>
      <c r="D36" s="37" t="s">
        <v>173</v>
      </c>
      <c r="E36" s="33" t="s">
        <v>23</v>
      </c>
      <c r="F36" s="33" t="s">
        <v>174</v>
      </c>
      <c r="G36" s="33" t="s">
        <v>71</v>
      </c>
      <c r="H36" s="35" t="s">
        <v>175</v>
      </c>
      <c r="I36" s="35" t="s">
        <v>176</v>
      </c>
      <c r="J36" s="33">
        <v>8</v>
      </c>
      <c r="K36" s="33" t="s">
        <v>20</v>
      </c>
    </row>
    <row r="37" spans="1:11" ht="75" x14ac:dyDescent="0.25">
      <c r="A37" s="33" t="s">
        <v>177</v>
      </c>
      <c r="B37" s="33" t="s">
        <v>12</v>
      </c>
      <c r="C37" s="33" t="s">
        <v>151</v>
      </c>
      <c r="D37" s="37" t="s">
        <v>178</v>
      </c>
      <c r="E37" s="33" t="s">
        <v>23</v>
      </c>
      <c r="F37" s="33" t="s">
        <v>174</v>
      </c>
      <c r="G37" s="33" t="s">
        <v>17</v>
      </c>
      <c r="H37" s="35" t="s">
        <v>179</v>
      </c>
      <c r="I37" s="35" t="s">
        <v>180</v>
      </c>
      <c r="J37" s="33">
        <v>12</v>
      </c>
      <c r="K37" s="33" t="s">
        <v>20</v>
      </c>
    </row>
    <row r="38" spans="1:11" ht="45" x14ac:dyDescent="0.25">
      <c r="A38" s="33" t="s">
        <v>181</v>
      </c>
      <c r="B38" s="33" t="s">
        <v>12</v>
      </c>
      <c r="C38" s="33" t="s">
        <v>151</v>
      </c>
      <c r="D38" s="37" t="s">
        <v>182</v>
      </c>
      <c r="E38" s="33" t="s">
        <v>23</v>
      </c>
      <c r="F38" s="33" t="s">
        <v>161</v>
      </c>
      <c r="G38" s="33" t="s">
        <v>35</v>
      </c>
      <c r="H38" s="35" t="s">
        <v>183</v>
      </c>
      <c r="I38" s="35" t="s">
        <v>184</v>
      </c>
      <c r="J38" s="33">
        <v>3</v>
      </c>
      <c r="K38" s="33" t="s">
        <v>20</v>
      </c>
    </row>
    <row r="39" spans="1:11" ht="75" x14ac:dyDescent="0.25">
      <c r="A39" s="33" t="s">
        <v>185</v>
      </c>
      <c r="B39" s="33" t="s">
        <v>12</v>
      </c>
      <c r="C39" s="33" t="s">
        <v>151</v>
      </c>
      <c r="D39" s="37" t="s">
        <v>186</v>
      </c>
      <c r="E39" s="33" t="s">
        <v>23</v>
      </c>
      <c r="F39" s="33" t="s">
        <v>54</v>
      </c>
      <c r="G39" s="33" t="s">
        <v>17</v>
      </c>
      <c r="H39" s="35" t="s">
        <v>187</v>
      </c>
      <c r="I39" s="35" t="s">
        <v>188</v>
      </c>
      <c r="J39" s="33">
        <v>12</v>
      </c>
      <c r="K39" s="33" t="s">
        <v>20</v>
      </c>
    </row>
    <row r="40" spans="1:11" ht="90" x14ac:dyDescent="0.25">
      <c r="A40" s="33" t="s">
        <v>189</v>
      </c>
      <c r="B40" s="33" t="s">
        <v>12</v>
      </c>
      <c r="C40" s="33" t="s">
        <v>151</v>
      </c>
      <c r="D40" s="37" t="s">
        <v>190</v>
      </c>
      <c r="E40" s="33" t="s">
        <v>59</v>
      </c>
      <c r="F40" s="33" t="s">
        <v>191</v>
      </c>
      <c r="G40" s="33" t="s">
        <v>17</v>
      </c>
      <c r="H40" s="35" t="s">
        <v>192</v>
      </c>
      <c r="I40" s="35" t="s">
        <v>193</v>
      </c>
      <c r="J40" s="33">
        <v>12</v>
      </c>
      <c r="K40" s="33" t="s">
        <v>20</v>
      </c>
    </row>
    <row r="41" spans="1:11" ht="60" x14ac:dyDescent="0.25">
      <c r="A41" s="41" t="s">
        <v>194</v>
      </c>
      <c r="B41" s="41" t="s">
        <v>12</v>
      </c>
      <c r="C41" s="41" t="s">
        <v>151</v>
      </c>
      <c r="D41" s="42" t="s">
        <v>195</v>
      </c>
      <c r="E41" s="41" t="s">
        <v>23</v>
      </c>
      <c r="F41" s="41" t="s">
        <v>161</v>
      </c>
      <c r="G41" s="41" t="s">
        <v>71</v>
      </c>
      <c r="H41" s="43" t="s">
        <v>196</v>
      </c>
      <c r="I41" s="43" t="s">
        <v>197</v>
      </c>
      <c r="J41" s="41">
        <v>8</v>
      </c>
      <c r="K41" s="33" t="s">
        <v>20</v>
      </c>
    </row>
    <row r="42" spans="1:11" ht="105" x14ac:dyDescent="0.25">
      <c r="A42" s="41" t="s">
        <v>198</v>
      </c>
      <c r="B42" s="41" t="s">
        <v>12</v>
      </c>
      <c r="C42" s="41" t="s">
        <v>199</v>
      </c>
      <c r="D42" s="42" t="s">
        <v>200</v>
      </c>
      <c r="E42" s="41" t="s">
        <v>23</v>
      </c>
      <c r="F42" s="41" t="s">
        <v>54</v>
      </c>
      <c r="G42" s="41" t="s">
        <v>17</v>
      </c>
      <c r="H42" s="43" t="s">
        <v>201</v>
      </c>
      <c r="I42" s="43" t="s">
        <v>202</v>
      </c>
      <c r="J42" s="41">
        <v>6</v>
      </c>
      <c r="K42" s="33" t="s">
        <v>20</v>
      </c>
    </row>
    <row r="43" spans="1:11" ht="45" x14ac:dyDescent="0.25">
      <c r="A43" s="41" t="s">
        <v>204</v>
      </c>
      <c r="B43" s="41" t="s">
        <v>12</v>
      </c>
      <c r="C43" s="41" t="s">
        <v>199</v>
      </c>
      <c r="D43" s="42" t="s">
        <v>205</v>
      </c>
      <c r="E43" s="41" t="s">
        <v>23</v>
      </c>
      <c r="F43" s="41" t="s">
        <v>54</v>
      </c>
      <c r="G43" s="41" t="s">
        <v>17</v>
      </c>
      <c r="H43" s="43" t="s">
        <v>206</v>
      </c>
      <c r="I43" s="43" t="s">
        <v>207</v>
      </c>
      <c r="J43" s="41">
        <v>6</v>
      </c>
      <c r="K43" s="33" t="s">
        <v>20</v>
      </c>
    </row>
    <row r="44" spans="1:11" ht="60" x14ac:dyDescent="0.25">
      <c r="A44" s="41" t="s">
        <v>208</v>
      </c>
      <c r="B44" s="41" t="s">
        <v>12</v>
      </c>
      <c r="C44" s="41" t="s">
        <v>199</v>
      </c>
      <c r="D44" s="42" t="s">
        <v>209</v>
      </c>
      <c r="E44" s="41" t="s">
        <v>23</v>
      </c>
      <c r="F44" s="41" t="s">
        <v>54</v>
      </c>
      <c r="G44" s="41" t="s">
        <v>17</v>
      </c>
      <c r="H44" s="43" t="s">
        <v>210</v>
      </c>
      <c r="I44" s="43" t="s">
        <v>211</v>
      </c>
      <c r="J44" s="41">
        <v>12</v>
      </c>
      <c r="K44" s="33" t="s">
        <v>20</v>
      </c>
    </row>
    <row r="45" spans="1:11" ht="120" x14ac:dyDescent="0.25">
      <c r="A45" s="41" t="s">
        <v>212</v>
      </c>
      <c r="B45" s="41" t="s">
        <v>12</v>
      </c>
      <c r="C45" s="41" t="s">
        <v>199</v>
      </c>
      <c r="D45" s="42" t="s">
        <v>792</v>
      </c>
      <c r="E45" s="41" t="s">
        <v>23</v>
      </c>
      <c r="F45" s="41" t="s">
        <v>54</v>
      </c>
      <c r="G45" s="41" t="s">
        <v>17</v>
      </c>
      <c r="H45" s="43" t="s">
        <v>793</v>
      </c>
      <c r="I45" s="43" t="s">
        <v>794</v>
      </c>
      <c r="J45" s="41">
        <v>8</v>
      </c>
      <c r="K45" s="33" t="s">
        <v>20</v>
      </c>
    </row>
    <row r="46" spans="1:11" ht="120" x14ac:dyDescent="0.25">
      <c r="A46" s="47" t="s">
        <v>213</v>
      </c>
      <c r="B46" s="44" t="s">
        <v>12</v>
      </c>
      <c r="C46" s="44" t="s">
        <v>199</v>
      </c>
      <c r="D46" s="45" t="s">
        <v>795</v>
      </c>
      <c r="E46" s="44" t="s">
        <v>23</v>
      </c>
      <c r="F46" s="44" t="s">
        <v>54</v>
      </c>
      <c r="G46" s="44" t="s">
        <v>17</v>
      </c>
      <c r="H46" s="46" t="s">
        <v>796</v>
      </c>
      <c r="I46" s="46" t="s">
        <v>797</v>
      </c>
      <c r="J46" s="44">
        <v>6</v>
      </c>
      <c r="K46" s="47" t="s">
        <v>956</v>
      </c>
    </row>
    <row r="47" spans="1:11" ht="135" x14ac:dyDescent="0.25">
      <c r="A47" s="19" t="s">
        <v>214</v>
      </c>
      <c r="B47" s="19" t="s">
        <v>12</v>
      </c>
      <c r="C47" s="19" t="s">
        <v>199</v>
      </c>
      <c r="D47" s="38" t="s">
        <v>798</v>
      </c>
      <c r="E47" s="19" t="s">
        <v>59</v>
      </c>
      <c r="F47" s="19" t="s">
        <v>215</v>
      </c>
      <c r="G47" s="19" t="s">
        <v>17</v>
      </c>
      <c r="H47" s="36" t="s">
        <v>799</v>
      </c>
      <c r="I47" s="36" t="s">
        <v>800</v>
      </c>
      <c r="J47" s="19">
        <v>8</v>
      </c>
      <c r="K47" s="19" t="s">
        <v>203</v>
      </c>
    </row>
    <row r="48" spans="1:11" ht="120" x14ac:dyDescent="0.25">
      <c r="A48" s="19" t="s">
        <v>216</v>
      </c>
      <c r="B48" s="19" t="s">
        <v>12</v>
      </c>
      <c r="C48" s="19" t="s">
        <v>199</v>
      </c>
      <c r="D48" s="38" t="s">
        <v>801</v>
      </c>
      <c r="E48" s="19" t="s">
        <v>23</v>
      </c>
      <c r="F48" s="19" t="s">
        <v>54</v>
      </c>
      <c r="G48" s="19" t="s">
        <v>71</v>
      </c>
      <c r="H48" s="36" t="s">
        <v>802</v>
      </c>
      <c r="I48" s="36" t="s">
        <v>803</v>
      </c>
      <c r="J48" s="19">
        <v>10</v>
      </c>
      <c r="K48" s="19" t="s">
        <v>203</v>
      </c>
    </row>
    <row r="49" spans="1:11" ht="45" x14ac:dyDescent="0.25">
      <c r="A49" s="19" t="s">
        <v>217</v>
      </c>
      <c r="B49" s="19" t="s">
        <v>12</v>
      </c>
      <c r="C49" s="19" t="s">
        <v>199</v>
      </c>
      <c r="D49" s="38" t="s">
        <v>218</v>
      </c>
      <c r="E49" s="19" t="s">
        <v>23</v>
      </c>
      <c r="F49" s="19" t="s">
        <v>54</v>
      </c>
      <c r="G49" s="19" t="s">
        <v>71</v>
      </c>
      <c r="H49" s="36" t="s">
        <v>219</v>
      </c>
      <c r="I49" s="36" t="s">
        <v>220</v>
      </c>
      <c r="J49" s="19">
        <v>4</v>
      </c>
      <c r="K49" s="19" t="s">
        <v>203</v>
      </c>
    </row>
    <row r="50" spans="1:11" ht="45" x14ac:dyDescent="0.25">
      <c r="A50" s="19" t="s">
        <v>221</v>
      </c>
      <c r="B50" s="19" t="s">
        <v>12</v>
      </c>
      <c r="C50" s="19" t="s">
        <v>199</v>
      </c>
      <c r="D50" s="38" t="s">
        <v>222</v>
      </c>
      <c r="E50" s="19" t="s">
        <v>23</v>
      </c>
      <c r="F50" s="19" t="s">
        <v>54</v>
      </c>
      <c r="G50" s="19" t="s">
        <v>35</v>
      </c>
      <c r="H50" s="36" t="s">
        <v>223</v>
      </c>
      <c r="I50" s="36" t="s">
        <v>224</v>
      </c>
      <c r="J50" s="19">
        <v>4</v>
      </c>
      <c r="K50" s="19" t="s">
        <v>203</v>
      </c>
    </row>
    <row r="51" spans="1:11" ht="45" x14ac:dyDescent="0.25">
      <c r="A51" s="19" t="s">
        <v>225</v>
      </c>
      <c r="B51" s="19" t="s">
        <v>12</v>
      </c>
      <c r="C51" s="19" t="s">
        <v>199</v>
      </c>
      <c r="D51" s="38" t="s">
        <v>226</v>
      </c>
      <c r="E51" s="19" t="s">
        <v>23</v>
      </c>
      <c r="F51" s="19" t="s">
        <v>54</v>
      </c>
      <c r="G51" s="19" t="s">
        <v>71</v>
      </c>
      <c r="H51" s="36" t="s">
        <v>227</v>
      </c>
      <c r="I51" s="36" t="s">
        <v>228</v>
      </c>
      <c r="J51" s="19">
        <v>6</v>
      </c>
      <c r="K51" s="19" t="s">
        <v>203</v>
      </c>
    </row>
    <row r="52" spans="1:11" ht="45" x14ac:dyDescent="0.25">
      <c r="A52" s="19" t="s">
        <v>229</v>
      </c>
      <c r="B52" s="19" t="s">
        <v>12</v>
      </c>
      <c r="C52" s="19" t="s">
        <v>199</v>
      </c>
      <c r="D52" s="38" t="s">
        <v>230</v>
      </c>
      <c r="E52" s="19" t="s">
        <v>23</v>
      </c>
      <c r="F52" s="19" t="s">
        <v>54</v>
      </c>
      <c r="G52" s="19" t="s">
        <v>17</v>
      </c>
      <c r="H52" s="36" t="s">
        <v>231</v>
      </c>
      <c r="I52" s="36" t="s">
        <v>232</v>
      </c>
      <c r="J52" s="19">
        <v>6</v>
      </c>
      <c r="K52" s="19" t="s">
        <v>203</v>
      </c>
    </row>
    <row r="53" spans="1:11" ht="45" x14ac:dyDescent="0.25">
      <c r="A53" s="19" t="s">
        <v>233</v>
      </c>
      <c r="B53" s="19" t="s">
        <v>12</v>
      </c>
      <c r="C53" s="19" t="s">
        <v>199</v>
      </c>
      <c r="D53" s="38" t="s">
        <v>234</v>
      </c>
      <c r="E53" s="19" t="s">
        <v>23</v>
      </c>
      <c r="F53" s="19" t="s">
        <v>54</v>
      </c>
      <c r="G53" s="19" t="s">
        <v>17</v>
      </c>
      <c r="H53" s="36" t="s">
        <v>235</v>
      </c>
      <c r="I53" s="36" t="s">
        <v>236</v>
      </c>
      <c r="J53" s="19">
        <v>4</v>
      </c>
      <c r="K53" s="19" t="s">
        <v>203</v>
      </c>
    </row>
    <row r="54" spans="1:11" ht="75" x14ac:dyDescent="0.25">
      <c r="A54" s="19" t="s">
        <v>237</v>
      </c>
      <c r="B54" s="19" t="s">
        <v>12</v>
      </c>
      <c r="C54" s="19" t="s">
        <v>238</v>
      </c>
      <c r="D54" s="38" t="s">
        <v>239</v>
      </c>
      <c r="E54" s="19" t="s">
        <v>23</v>
      </c>
      <c r="F54" s="19" t="s">
        <v>16</v>
      </c>
      <c r="G54" s="19" t="s">
        <v>17</v>
      </c>
      <c r="H54" s="36" t="s">
        <v>240</v>
      </c>
      <c r="I54" s="36" t="s">
        <v>241</v>
      </c>
      <c r="J54" s="19">
        <v>4</v>
      </c>
      <c r="K54" s="19" t="s">
        <v>203</v>
      </c>
    </row>
    <row r="55" spans="1:11" ht="45" x14ac:dyDescent="0.25">
      <c r="A55" s="19" t="s">
        <v>242</v>
      </c>
      <c r="B55" s="19" t="s">
        <v>12</v>
      </c>
      <c r="C55" s="19" t="s">
        <v>238</v>
      </c>
      <c r="D55" s="38" t="s">
        <v>243</v>
      </c>
      <c r="E55" s="19" t="s">
        <v>23</v>
      </c>
      <c r="F55" s="19" t="s">
        <v>244</v>
      </c>
      <c r="G55" s="19" t="s">
        <v>71</v>
      </c>
      <c r="H55" s="36" t="s">
        <v>245</v>
      </c>
      <c r="I55" s="36" t="s">
        <v>246</v>
      </c>
      <c r="J55" s="19">
        <v>4</v>
      </c>
      <c r="K55" s="19" t="s">
        <v>203</v>
      </c>
    </row>
    <row r="56" spans="1:11" ht="60" x14ac:dyDescent="0.25">
      <c r="A56" s="19" t="s">
        <v>247</v>
      </c>
      <c r="B56" s="19" t="s">
        <v>12</v>
      </c>
      <c r="C56" s="19" t="s">
        <v>238</v>
      </c>
      <c r="D56" s="38" t="s">
        <v>248</v>
      </c>
      <c r="E56" s="19" t="s">
        <v>23</v>
      </c>
      <c r="F56" s="19" t="s">
        <v>249</v>
      </c>
      <c r="G56" s="19" t="s">
        <v>71</v>
      </c>
      <c r="H56" s="36" t="s">
        <v>250</v>
      </c>
      <c r="I56" s="36" t="s">
        <v>251</v>
      </c>
      <c r="J56" s="19">
        <v>6</v>
      </c>
      <c r="K56" s="19" t="s">
        <v>203</v>
      </c>
    </row>
    <row r="57" spans="1:11" ht="30" x14ac:dyDescent="0.25">
      <c r="A57" s="19" t="s">
        <v>252</v>
      </c>
      <c r="B57" s="19" t="s">
        <v>12</v>
      </c>
      <c r="C57" s="19" t="s">
        <v>238</v>
      </c>
      <c r="D57" s="38" t="s">
        <v>253</v>
      </c>
      <c r="E57" s="19" t="s">
        <v>23</v>
      </c>
      <c r="F57" s="19" t="s">
        <v>249</v>
      </c>
      <c r="G57" s="19" t="s">
        <v>35</v>
      </c>
      <c r="H57" s="36" t="s">
        <v>254</v>
      </c>
      <c r="I57" s="36" t="s">
        <v>255</v>
      </c>
      <c r="J57" s="19">
        <v>4</v>
      </c>
      <c r="K57" s="19" t="s">
        <v>203</v>
      </c>
    </row>
    <row r="58" spans="1:11" ht="45" x14ac:dyDescent="0.25">
      <c r="A58" s="19" t="s">
        <v>256</v>
      </c>
      <c r="B58" s="19" t="s">
        <v>12</v>
      </c>
      <c r="C58" s="19" t="s">
        <v>238</v>
      </c>
      <c r="D58" s="38" t="s">
        <v>257</v>
      </c>
      <c r="E58" s="19" t="s">
        <v>59</v>
      </c>
      <c r="F58" s="19" t="s">
        <v>258</v>
      </c>
      <c r="G58" s="19" t="s">
        <v>17</v>
      </c>
      <c r="H58" s="36" t="s">
        <v>259</v>
      </c>
      <c r="I58" s="36" t="s">
        <v>260</v>
      </c>
      <c r="J58" s="19">
        <v>10</v>
      </c>
      <c r="K58" s="19" t="s">
        <v>203</v>
      </c>
    </row>
    <row r="59" spans="1:11" ht="45" x14ac:dyDescent="0.25">
      <c r="A59" s="19" t="s">
        <v>261</v>
      </c>
      <c r="B59" s="19" t="s">
        <v>12</v>
      </c>
      <c r="C59" s="19" t="s">
        <v>238</v>
      </c>
      <c r="D59" s="38" t="s">
        <v>262</v>
      </c>
      <c r="E59" s="19" t="s">
        <v>59</v>
      </c>
      <c r="F59" s="19" t="s">
        <v>258</v>
      </c>
      <c r="G59" s="19" t="s">
        <v>17</v>
      </c>
      <c r="H59" s="36" t="s">
        <v>263</v>
      </c>
      <c r="I59" s="36" t="s">
        <v>264</v>
      </c>
      <c r="J59" s="19">
        <v>10</v>
      </c>
      <c r="K59" s="19" t="s">
        <v>203</v>
      </c>
    </row>
    <row r="60" spans="1:11" ht="45" x14ac:dyDescent="0.25">
      <c r="A60" s="19" t="s">
        <v>265</v>
      </c>
      <c r="B60" s="19" t="s">
        <v>12</v>
      </c>
      <c r="C60" s="19" t="s">
        <v>238</v>
      </c>
      <c r="D60" s="38" t="s">
        <v>266</v>
      </c>
      <c r="E60" s="19" t="s">
        <v>23</v>
      </c>
      <c r="F60" s="19" t="s">
        <v>54</v>
      </c>
      <c r="G60" s="19" t="s">
        <v>71</v>
      </c>
      <c r="H60" s="36" t="s">
        <v>267</v>
      </c>
      <c r="I60" s="36" t="s">
        <v>268</v>
      </c>
      <c r="J60" s="19">
        <v>4</v>
      </c>
      <c r="K60" s="19" t="s">
        <v>203</v>
      </c>
    </row>
    <row r="61" spans="1:11" ht="60" x14ac:dyDescent="0.25">
      <c r="A61" s="19" t="s">
        <v>269</v>
      </c>
      <c r="B61" s="19" t="s">
        <v>12</v>
      </c>
      <c r="C61" s="19" t="s">
        <v>238</v>
      </c>
      <c r="D61" s="38" t="s">
        <v>270</v>
      </c>
      <c r="E61" s="19" t="s">
        <v>23</v>
      </c>
      <c r="F61" s="19" t="s">
        <v>258</v>
      </c>
      <c r="G61" s="19" t="s">
        <v>71</v>
      </c>
      <c r="H61" s="36" t="s">
        <v>271</v>
      </c>
      <c r="I61" s="36" t="s">
        <v>272</v>
      </c>
      <c r="J61" s="19">
        <v>4</v>
      </c>
      <c r="K61" s="19" t="s">
        <v>203</v>
      </c>
    </row>
    <row r="62" spans="1:11" ht="60" x14ac:dyDescent="0.25">
      <c r="A62" s="19" t="s">
        <v>273</v>
      </c>
      <c r="B62" s="19" t="s">
        <v>12</v>
      </c>
      <c r="C62" s="19" t="s">
        <v>238</v>
      </c>
      <c r="D62" s="38" t="s">
        <v>274</v>
      </c>
      <c r="E62" s="19" t="s">
        <v>59</v>
      </c>
      <c r="F62" s="19" t="s">
        <v>275</v>
      </c>
      <c r="G62" s="19" t="s">
        <v>17</v>
      </c>
      <c r="H62" s="36" t="s">
        <v>276</v>
      </c>
      <c r="I62" s="36" t="s">
        <v>277</v>
      </c>
      <c r="J62" s="19">
        <v>6</v>
      </c>
      <c r="K62" s="19" t="s">
        <v>203</v>
      </c>
    </row>
    <row r="63" spans="1:11" ht="30" x14ac:dyDescent="0.25">
      <c r="A63" s="19" t="s">
        <v>278</v>
      </c>
      <c r="B63" s="19" t="s">
        <v>12</v>
      </c>
      <c r="C63" s="19" t="s">
        <v>238</v>
      </c>
      <c r="D63" s="38" t="s">
        <v>279</v>
      </c>
      <c r="E63" s="19" t="s">
        <v>23</v>
      </c>
      <c r="F63" s="19" t="s">
        <v>275</v>
      </c>
      <c r="G63" s="19" t="s">
        <v>17</v>
      </c>
      <c r="H63" s="36" t="s">
        <v>280</v>
      </c>
      <c r="I63" s="36" t="s">
        <v>281</v>
      </c>
      <c r="J63" s="19">
        <v>4</v>
      </c>
      <c r="K63" s="19" t="s">
        <v>203</v>
      </c>
    </row>
    <row r="64" spans="1:11" ht="60" x14ac:dyDescent="0.25">
      <c r="A64" s="19" t="s">
        <v>282</v>
      </c>
      <c r="B64" s="19" t="s">
        <v>12</v>
      </c>
      <c r="C64" s="19" t="s">
        <v>238</v>
      </c>
      <c r="D64" s="38" t="s">
        <v>283</v>
      </c>
      <c r="E64" s="19" t="s">
        <v>23</v>
      </c>
      <c r="F64" s="19" t="s">
        <v>284</v>
      </c>
      <c r="G64" s="19" t="s">
        <v>71</v>
      </c>
      <c r="H64" s="36" t="s">
        <v>285</v>
      </c>
      <c r="I64" s="36" t="s">
        <v>286</v>
      </c>
      <c r="J64" s="19">
        <v>10</v>
      </c>
      <c r="K64" s="19" t="s">
        <v>203</v>
      </c>
    </row>
    <row r="65" spans="1:11" ht="75" x14ac:dyDescent="0.25">
      <c r="A65" s="19" t="s">
        <v>287</v>
      </c>
      <c r="B65" s="19" t="s">
        <v>12</v>
      </c>
      <c r="C65" s="19" t="s">
        <v>238</v>
      </c>
      <c r="D65" s="38" t="s">
        <v>288</v>
      </c>
      <c r="E65" s="19" t="s">
        <v>59</v>
      </c>
      <c r="F65" s="19" t="s">
        <v>289</v>
      </c>
      <c r="G65" s="19" t="s">
        <v>17</v>
      </c>
      <c r="H65" s="36" t="s">
        <v>290</v>
      </c>
      <c r="I65" s="36" t="s">
        <v>291</v>
      </c>
      <c r="J65" s="19">
        <v>8</v>
      </c>
      <c r="K65" s="19" t="s">
        <v>203</v>
      </c>
    </row>
    <row r="66" spans="1:11" ht="75" x14ac:dyDescent="0.25">
      <c r="A66" s="19" t="s">
        <v>292</v>
      </c>
      <c r="B66" s="19" t="s">
        <v>12</v>
      </c>
      <c r="C66" s="19" t="s">
        <v>238</v>
      </c>
      <c r="D66" s="38" t="s">
        <v>293</v>
      </c>
      <c r="E66" s="19" t="s">
        <v>23</v>
      </c>
      <c r="F66" s="19" t="s">
        <v>65</v>
      </c>
      <c r="G66" s="19" t="s">
        <v>17</v>
      </c>
      <c r="H66" s="36" t="s">
        <v>294</v>
      </c>
      <c r="I66" s="36" t="s">
        <v>295</v>
      </c>
      <c r="J66" s="19">
        <v>12</v>
      </c>
      <c r="K66" s="19" t="s">
        <v>203</v>
      </c>
    </row>
    <row r="67" spans="1:11" ht="45" x14ac:dyDescent="0.25">
      <c r="A67" s="19" t="s">
        <v>296</v>
      </c>
      <c r="B67" s="19" t="s">
        <v>12</v>
      </c>
      <c r="C67" s="19" t="s">
        <v>238</v>
      </c>
      <c r="D67" s="38" t="s">
        <v>297</v>
      </c>
      <c r="E67" s="19" t="s">
        <v>23</v>
      </c>
      <c r="F67" s="19" t="s">
        <v>65</v>
      </c>
      <c r="G67" s="19" t="s">
        <v>17</v>
      </c>
      <c r="H67" s="36" t="s">
        <v>298</v>
      </c>
      <c r="I67" s="36" t="s">
        <v>299</v>
      </c>
      <c r="J67" s="19">
        <v>6</v>
      </c>
      <c r="K67" s="19" t="s">
        <v>203</v>
      </c>
    </row>
    <row r="68" spans="1:11" ht="60" x14ac:dyDescent="0.25">
      <c r="A68" s="19" t="s">
        <v>300</v>
      </c>
      <c r="B68" s="19" t="s">
        <v>12</v>
      </c>
      <c r="C68" s="19" t="s">
        <v>238</v>
      </c>
      <c r="D68" s="38" t="s">
        <v>301</v>
      </c>
      <c r="E68" s="19" t="s">
        <v>23</v>
      </c>
      <c r="F68" s="19" t="s">
        <v>65</v>
      </c>
      <c r="G68" s="19" t="s">
        <v>71</v>
      </c>
      <c r="H68" s="36" t="s">
        <v>302</v>
      </c>
      <c r="I68" s="36" t="s">
        <v>303</v>
      </c>
      <c r="J68" s="19">
        <v>8</v>
      </c>
      <c r="K68" s="19" t="s">
        <v>203</v>
      </c>
    </row>
    <row r="69" spans="1:11" ht="60" x14ac:dyDescent="0.25">
      <c r="A69" s="19" t="s">
        <v>304</v>
      </c>
      <c r="B69" s="19" t="s">
        <v>12</v>
      </c>
      <c r="C69" s="19" t="s">
        <v>238</v>
      </c>
      <c r="D69" s="38" t="s">
        <v>305</v>
      </c>
      <c r="E69" s="19" t="s">
        <v>23</v>
      </c>
      <c r="F69" s="19" t="s">
        <v>65</v>
      </c>
      <c r="G69" s="19" t="s">
        <v>17</v>
      </c>
      <c r="H69" s="36" t="s">
        <v>306</v>
      </c>
      <c r="I69" s="36" t="s">
        <v>307</v>
      </c>
      <c r="J69" s="19">
        <v>6</v>
      </c>
      <c r="K69" s="19" t="s">
        <v>203</v>
      </c>
    </row>
    <row r="70" spans="1:11" ht="90" x14ac:dyDescent="0.25">
      <c r="A70" s="33" t="s">
        <v>308</v>
      </c>
      <c r="B70" s="33" t="s">
        <v>12</v>
      </c>
      <c r="C70" s="33" t="s">
        <v>309</v>
      </c>
      <c r="D70" s="37" t="s">
        <v>310</v>
      </c>
      <c r="E70" s="33" t="s">
        <v>311</v>
      </c>
      <c r="F70" s="33" t="s">
        <v>312</v>
      </c>
      <c r="G70" s="33" t="s">
        <v>17</v>
      </c>
      <c r="H70" s="35" t="s">
        <v>313</v>
      </c>
      <c r="I70" s="35" t="s">
        <v>314</v>
      </c>
      <c r="J70" s="33">
        <v>8</v>
      </c>
      <c r="K70" s="33" t="s">
        <v>20</v>
      </c>
    </row>
    <row r="71" spans="1:11" ht="105" x14ac:dyDescent="0.25">
      <c r="A71" s="33" t="s">
        <v>315</v>
      </c>
      <c r="B71" s="33" t="s">
        <v>12</v>
      </c>
      <c r="C71" s="33" t="s">
        <v>309</v>
      </c>
      <c r="D71" s="37" t="s">
        <v>804</v>
      </c>
      <c r="E71" s="33" t="s">
        <v>311</v>
      </c>
      <c r="F71" s="33" t="s">
        <v>312</v>
      </c>
      <c r="G71" s="33" t="s">
        <v>35</v>
      </c>
      <c r="H71" s="35" t="s">
        <v>805</v>
      </c>
      <c r="I71" s="35" t="s">
        <v>806</v>
      </c>
      <c r="J71" s="33">
        <v>6</v>
      </c>
      <c r="K71" s="33" t="s">
        <v>20</v>
      </c>
    </row>
    <row r="72" spans="1:11" ht="75" x14ac:dyDescent="0.25">
      <c r="A72" s="41" t="s">
        <v>316</v>
      </c>
      <c r="B72" s="41" t="s">
        <v>12</v>
      </c>
      <c r="C72" s="41" t="s">
        <v>309</v>
      </c>
      <c r="D72" s="42" t="s">
        <v>807</v>
      </c>
      <c r="E72" s="41" t="s">
        <v>23</v>
      </c>
      <c r="F72" s="41" t="s">
        <v>317</v>
      </c>
      <c r="G72" s="41" t="s">
        <v>17</v>
      </c>
      <c r="H72" s="43" t="s">
        <v>808</v>
      </c>
      <c r="I72" s="43" t="s">
        <v>809</v>
      </c>
      <c r="J72" s="41">
        <v>8</v>
      </c>
      <c r="K72" s="33" t="s">
        <v>20</v>
      </c>
    </row>
    <row r="73" spans="1:11" ht="45" x14ac:dyDescent="0.25">
      <c r="A73" s="41" t="s">
        <v>318</v>
      </c>
      <c r="B73" s="41" t="s">
        <v>12</v>
      </c>
      <c r="C73" s="41" t="s">
        <v>309</v>
      </c>
      <c r="D73" s="42" t="s">
        <v>319</v>
      </c>
      <c r="E73" s="41" t="s">
        <v>59</v>
      </c>
      <c r="F73" s="41" t="s">
        <v>317</v>
      </c>
      <c r="G73" s="41" t="s">
        <v>17</v>
      </c>
      <c r="H73" s="43" t="s">
        <v>320</v>
      </c>
      <c r="I73" s="43" t="s">
        <v>321</v>
      </c>
      <c r="J73" s="41">
        <v>8</v>
      </c>
      <c r="K73" s="33" t="s">
        <v>20</v>
      </c>
    </row>
    <row r="74" spans="1:11" ht="90" x14ac:dyDescent="0.25">
      <c r="A74" s="41" t="s">
        <v>322</v>
      </c>
      <c r="B74" s="41" t="s">
        <v>12</v>
      </c>
      <c r="C74" s="41" t="s">
        <v>309</v>
      </c>
      <c r="D74" s="42" t="s">
        <v>323</v>
      </c>
      <c r="E74" s="41" t="s">
        <v>324</v>
      </c>
      <c r="F74" s="41" t="s">
        <v>317</v>
      </c>
      <c r="G74" s="41" t="s">
        <v>17</v>
      </c>
      <c r="H74" s="43" t="s">
        <v>325</v>
      </c>
      <c r="I74" s="43" t="s">
        <v>326</v>
      </c>
      <c r="J74" s="41">
        <v>8</v>
      </c>
      <c r="K74" s="33" t="s">
        <v>20</v>
      </c>
    </row>
    <row r="75" spans="1:11" ht="45" x14ac:dyDescent="0.25">
      <c r="A75" s="41" t="s">
        <v>327</v>
      </c>
      <c r="B75" s="41" t="s">
        <v>12</v>
      </c>
      <c r="C75" s="41" t="s">
        <v>309</v>
      </c>
      <c r="D75" s="42" t="s">
        <v>328</v>
      </c>
      <c r="E75" s="41" t="s">
        <v>59</v>
      </c>
      <c r="F75" s="41" t="s">
        <v>317</v>
      </c>
      <c r="G75" s="41" t="s">
        <v>71</v>
      </c>
      <c r="H75" s="43" t="s">
        <v>329</v>
      </c>
      <c r="I75" s="43" t="s">
        <v>330</v>
      </c>
      <c r="J75" s="41">
        <v>4</v>
      </c>
      <c r="K75" s="33" t="s">
        <v>20</v>
      </c>
    </row>
    <row r="76" spans="1:11" ht="45" x14ac:dyDescent="0.25">
      <c r="A76" s="41" t="s">
        <v>331</v>
      </c>
      <c r="B76" s="41" t="s">
        <v>12</v>
      </c>
      <c r="C76" s="41" t="s">
        <v>309</v>
      </c>
      <c r="D76" s="42" t="s">
        <v>332</v>
      </c>
      <c r="E76" s="41" t="s">
        <v>23</v>
      </c>
      <c r="F76" s="41" t="s">
        <v>317</v>
      </c>
      <c r="G76" s="41" t="s">
        <v>71</v>
      </c>
      <c r="H76" s="43" t="s">
        <v>333</v>
      </c>
      <c r="I76" s="43" t="s">
        <v>334</v>
      </c>
      <c r="J76" s="41">
        <v>4</v>
      </c>
      <c r="K76" s="33" t="s">
        <v>20</v>
      </c>
    </row>
    <row r="77" spans="1:11" ht="45" x14ac:dyDescent="0.25">
      <c r="A77" s="19" t="s">
        <v>335</v>
      </c>
      <c r="B77" s="19" t="s">
        <v>12</v>
      </c>
      <c r="C77" s="19" t="s">
        <v>309</v>
      </c>
      <c r="D77" s="38" t="s">
        <v>336</v>
      </c>
      <c r="E77" s="19" t="s">
        <v>15</v>
      </c>
      <c r="F77" s="19" t="s">
        <v>317</v>
      </c>
      <c r="G77" s="19" t="s">
        <v>71</v>
      </c>
      <c r="H77" s="36" t="s">
        <v>337</v>
      </c>
      <c r="I77" s="36" t="s">
        <v>338</v>
      </c>
      <c r="J77" s="19">
        <v>4</v>
      </c>
      <c r="K77" s="19" t="s">
        <v>203</v>
      </c>
    </row>
    <row r="78" spans="1:11" ht="75" x14ac:dyDescent="0.25">
      <c r="A78" s="19" t="s">
        <v>339</v>
      </c>
      <c r="B78" s="19" t="s">
        <v>12</v>
      </c>
      <c r="C78" s="19" t="s">
        <v>309</v>
      </c>
      <c r="D78" s="38" t="s">
        <v>340</v>
      </c>
      <c r="E78" s="19" t="s">
        <v>53</v>
      </c>
      <c r="F78" s="19" t="s">
        <v>341</v>
      </c>
      <c r="G78" s="19" t="s">
        <v>17</v>
      </c>
      <c r="H78" s="36" t="s">
        <v>342</v>
      </c>
      <c r="I78" s="36" t="s">
        <v>343</v>
      </c>
      <c r="J78" s="19">
        <v>6</v>
      </c>
      <c r="K78" s="19" t="s">
        <v>203</v>
      </c>
    </row>
    <row r="79" spans="1:11" ht="45" x14ac:dyDescent="0.25">
      <c r="A79" s="19" t="s">
        <v>344</v>
      </c>
      <c r="B79" s="19" t="s">
        <v>12</v>
      </c>
      <c r="C79" s="19" t="s">
        <v>309</v>
      </c>
      <c r="D79" s="38" t="s">
        <v>345</v>
      </c>
      <c r="E79" s="19" t="s">
        <v>53</v>
      </c>
      <c r="F79" s="19" t="s">
        <v>346</v>
      </c>
      <c r="G79" s="19" t="s">
        <v>71</v>
      </c>
      <c r="H79" s="36" t="s">
        <v>347</v>
      </c>
      <c r="I79" s="36" t="s">
        <v>348</v>
      </c>
      <c r="J79" s="19">
        <v>4</v>
      </c>
      <c r="K79" s="19" t="s">
        <v>203</v>
      </c>
    </row>
    <row r="80" spans="1:11" ht="45" x14ac:dyDescent="0.25">
      <c r="A80" s="19" t="s">
        <v>349</v>
      </c>
      <c r="B80" s="19" t="s">
        <v>12</v>
      </c>
      <c r="C80" s="19" t="s">
        <v>309</v>
      </c>
      <c r="D80" s="38" t="s">
        <v>350</v>
      </c>
      <c r="E80" s="19" t="s">
        <v>53</v>
      </c>
      <c r="F80" s="19" t="s">
        <v>341</v>
      </c>
      <c r="G80" s="19" t="s">
        <v>71</v>
      </c>
      <c r="H80" s="36" t="s">
        <v>351</v>
      </c>
      <c r="I80" s="36" t="s">
        <v>352</v>
      </c>
      <c r="J80" s="19">
        <v>3</v>
      </c>
      <c r="K80" s="19" t="s">
        <v>203</v>
      </c>
    </row>
    <row r="81" spans="1:11" ht="45" x14ac:dyDescent="0.25">
      <c r="A81" s="19" t="s">
        <v>353</v>
      </c>
      <c r="B81" s="19" t="s">
        <v>12</v>
      </c>
      <c r="C81" s="19" t="s">
        <v>309</v>
      </c>
      <c r="D81" s="38" t="s">
        <v>354</v>
      </c>
      <c r="E81" s="19" t="s">
        <v>53</v>
      </c>
      <c r="F81" s="19" t="s">
        <v>355</v>
      </c>
      <c r="G81" s="19" t="s">
        <v>17</v>
      </c>
      <c r="H81" s="36" t="s">
        <v>356</v>
      </c>
      <c r="I81" s="36" t="s">
        <v>357</v>
      </c>
      <c r="J81" s="19">
        <v>4</v>
      </c>
      <c r="K81" s="19" t="s">
        <v>203</v>
      </c>
    </row>
    <row r="82" spans="1:11" ht="90" x14ac:dyDescent="0.25">
      <c r="A82" s="19" t="s">
        <v>358</v>
      </c>
      <c r="B82" s="19" t="s">
        <v>12</v>
      </c>
      <c r="C82" s="19" t="s">
        <v>309</v>
      </c>
      <c r="D82" s="38" t="s">
        <v>359</v>
      </c>
      <c r="E82" s="19" t="s">
        <v>15</v>
      </c>
      <c r="F82" s="19" t="s">
        <v>360</v>
      </c>
      <c r="G82" s="19" t="s">
        <v>17</v>
      </c>
      <c r="H82" s="36" t="s">
        <v>361</v>
      </c>
      <c r="I82" s="36" t="s">
        <v>362</v>
      </c>
      <c r="J82" s="19">
        <v>6</v>
      </c>
      <c r="K82" s="19" t="s">
        <v>203</v>
      </c>
    </row>
    <row r="83" spans="1:11" ht="60" x14ac:dyDescent="0.25">
      <c r="A83" s="19" t="s">
        <v>363</v>
      </c>
      <c r="B83" s="19" t="s">
        <v>12</v>
      </c>
      <c r="C83" s="19" t="s">
        <v>309</v>
      </c>
      <c r="D83" s="38" t="s">
        <v>364</v>
      </c>
      <c r="E83" s="19" t="s">
        <v>28</v>
      </c>
      <c r="F83" s="19" t="s">
        <v>360</v>
      </c>
      <c r="G83" s="19" t="s">
        <v>71</v>
      </c>
      <c r="H83" s="36" t="s">
        <v>365</v>
      </c>
      <c r="I83" s="36" t="s">
        <v>366</v>
      </c>
      <c r="J83" s="19">
        <v>4</v>
      </c>
      <c r="K83" s="19" t="s">
        <v>203</v>
      </c>
    </row>
    <row r="84" spans="1:11" ht="45" x14ac:dyDescent="0.25">
      <c r="A84" s="19" t="s">
        <v>367</v>
      </c>
      <c r="B84" s="19" t="s">
        <v>12</v>
      </c>
      <c r="C84" s="19" t="s">
        <v>309</v>
      </c>
      <c r="D84" s="38" t="s">
        <v>368</v>
      </c>
      <c r="E84" s="19" t="s">
        <v>15</v>
      </c>
      <c r="F84" s="19" t="s">
        <v>360</v>
      </c>
      <c r="G84" s="19" t="s">
        <v>17</v>
      </c>
      <c r="H84" s="36" t="s">
        <v>369</v>
      </c>
      <c r="I84" s="36" t="s">
        <v>370</v>
      </c>
      <c r="J84" s="19">
        <v>6</v>
      </c>
      <c r="K84" s="19" t="s">
        <v>203</v>
      </c>
    </row>
    <row r="85" spans="1:11" ht="75" x14ac:dyDescent="0.25">
      <c r="A85" s="19" t="s">
        <v>371</v>
      </c>
      <c r="B85" s="19" t="s">
        <v>372</v>
      </c>
      <c r="C85" s="19" t="s">
        <v>373</v>
      </c>
      <c r="D85" s="38" t="s">
        <v>374</v>
      </c>
      <c r="E85" s="19" t="s">
        <v>28</v>
      </c>
      <c r="F85" s="19" t="s">
        <v>82</v>
      </c>
      <c r="G85" s="19" t="s">
        <v>17</v>
      </c>
      <c r="H85" s="36" t="s">
        <v>375</v>
      </c>
      <c r="I85" s="36" t="s">
        <v>376</v>
      </c>
      <c r="J85" s="19">
        <v>10</v>
      </c>
      <c r="K85" s="19" t="s">
        <v>203</v>
      </c>
    </row>
    <row r="86" spans="1:11" ht="135" x14ac:dyDescent="0.25">
      <c r="A86" s="19" t="s">
        <v>377</v>
      </c>
      <c r="B86" s="19" t="s">
        <v>372</v>
      </c>
      <c r="C86" s="19" t="s">
        <v>373</v>
      </c>
      <c r="D86" s="38" t="s">
        <v>378</v>
      </c>
      <c r="E86" s="19" t="s">
        <v>40</v>
      </c>
      <c r="F86" s="19" t="s">
        <v>82</v>
      </c>
      <c r="G86" s="19" t="s">
        <v>17</v>
      </c>
      <c r="H86" s="36" t="s">
        <v>379</v>
      </c>
      <c r="I86" s="36" t="s">
        <v>380</v>
      </c>
      <c r="J86" s="19">
        <v>10</v>
      </c>
      <c r="K86" s="19" t="s">
        <v>203</v>
      </c>
    </row>
    <row r="87" spans="1:11" ht="210" x14ac:dyDescent="0.25">
      <c r="A87" s="19" t="s">
        <v>381</v>
      </c>
      <c r="B87" s="19" t="s">
        <v>372</v>
      </c>
      <c r="C87" s="19" t="s">
        <v>373</v>
      </c>
      <c r="D87" s="38" t="s">
        <v>382</v>
      </c>
      <c r="E87" s="19" t="s">
        <v>53</v>
      </c>
      <c r="F87" s="19" t="s">
        <v>82</v>
      </c>
      <c r="G87" s="19" t="s">
        <v>17</v>
      </c>
      <c r="H87" s="36" t="s">
        <v>383</v>
      </c>
      <c r="I87" s="36" t="s">
        <v>384</v>
      </c>
      <c r="J87" s="19">
        <v>8</v>
      </c>
      <c r="K87" s="19" t="s">
        <v>203</v>
      </c>
    </row>
    <row r="88" spans="1:11" ht="75" x14ac:dyDescent="0.25">
      <c r="A88" s="19" t="s">
        <v>385</v>
      </c>
      <c r="B88" s="19" t="s">
        <v>372</v>
      </c>
      <c r="C88" s="19" t="s">
        <v>373</v>
      </c>
      <c r="D88" s="38" t="s">
        <v>386</v>
      </c>
      <c r="E88" s="19" t="s">
        <v>40</v>
      </c>
      <c r="F88" s="19" t="s">
        <v>387</v>
      </c>
      <c r="G88" s="19" t="s">
        <v>17</v>
      </c>
      <c r="H88" s="36" t="s">
        <v>388</v>
      </c>
      <c r="I88" s="36" t="s">
        <v>389</v>
      </c>
      <c r="J88" s="19">
        <v>12</v>
      </c>
      <c r="K88" s="19" t="s">
        <v>203</v>
      </c>
    </row>
    <row r="89" spans="1:11" ht="30" x14ac:dyDescent="0.25">
      <c r="A89" s="19" t="s">
        <v>390</v>
      </c>
      <c r="B89" s="19" t="s">
        <v>372</v>
      </c>
      <c r="C89" s="19" t="s">
        <v>373</v>
      </c>
      <c r="D89" s="38" t="s">
        <v>391</v>
      </c>
      <c r="E89" s="19" t="s">
        <v>40</v>
      </c>
      <c r="F89" s="19" t="s">
        <v>387</v>
      </c>
      <c r="G89" s="19" t="s">
        <v>71</v>
      </c>
      <c r="H89" s="36" t="s">
        <v>392</v>
      </c>
      <c r="I89" s="36" t="s">
        <v>393</v>
      </c>
      <c r="J89" s="19">
        <v>12</v>
      </c>
      <c r="K89" s="19" t="s">
        <v>203</v>
      </c>
    </row>
    <row r="90" spans="1:11" ht="30" x14ac:dyDescent="0.25">
      <c r="A90" s="19" t="s">
        <v>394</v>
      </c>
      <c r="B90" s="19" t="s">
        <v>372</v>
      </c>
      <c r="C90" s="19" t="s">
        <v>373</v>
      </c>
      <c r="D90" s="38" t="s">
        <v>395</v>
      </c>
      <c r="E90" s="19" t="s">
        <v>40</v>
      </c>
      <c r="F90" s="19" t="s">
        <v>191</v>
      </c>
      <c r="G90" s="19" t="s">
        <v>17</v>
      </c>
      <c r="H90" s="36" t="s">
        <v>396</v>
      </c>
      <c r="I90" s="36" t="s">
        <v>397</v>
      </c>
      <c r="J90" s="19">
        <v>12</v>
      </c>
      <c r="K90" s="19" t="s">
        <v>203</v>
      </c>
    </row>
    <row r="91" spans="1:11" ht="30" x14ac:dyDescent="0.25">
      <c r="A91" s="19" t="s">
        <v>398</v>
      </c>
      <c r="B91" s="19" t="s">
        <v>372</v>
      </c>
      <c r="C91" s="19" t="s">
        <v>373</v>
      </c>
      <c r="D91" s="38" t="s">
        <v>399</v>
      </c>
      <c r="E91" s="19" t="s">
        <v>59</v>
      </c>
      <c r="F91" s="19" t="s">
        <v>191</v>
      </c>
      <c r="G91" s="19" t="s">
        <v>17</v>
      </c>
      <c r="H91" s="36" t="s">
        <v>400</v>
      </c>
      <c r="I91" s="36" t="s">
        <v>401</v>
      </c>
      <c r="J91" s="19">
        <v>12</v>
      </c>
      <c r="K91" s="19" t="s">
        <v>203</v>
      </c>
    </row>
    <row r="92" spans="1:11" ht="30" x14ac:dyDescent="0.25">
      <c r="A92" s="19" t="s">
        <v>402</v>
      </c>
      <c r="B92" s="19" t="s">
        <v>372</v>
      </c>
      <c r="C92" s="19" t="s">
        <v>373</v>
      </c>
      <c r="D92" s="38" t="s">
        <v>403</v>
      </c>
      <c r="E92" s="19" t="s">
        <v>59</v>
      </c>
      <c r="F92" s="19" t="s">
        <v>191</v>
      </c>
      <c r="G92" s="19" t="s">
        <v>71</v>
      </c>
      <c r="H92" s="36" t="s">
        <v>404</v>
      </c>
      <c r="I92" s="36" t="s">
        <v>405</v>
      </c>
      <c r="J92" s="19">
        <v>12</v>
      </c>
      <c r="K92" s="19" t="s">
        <v>203</v>
      </c>
    </row>
    <row r="93" spans="1:11" ht="45" x14ac:dyDescent="0.25">
      <c r="A93" s="19" t="s">
        <v>406</v>
      </c>
      <c r="B93" s="19" t="s">
        <v>372</v>
      </c>
      <c r="C93" s="19" t="s">
        <v>373</v>
      </c>
      <c r="D93" s="38" t="s">
        <v>407</v>
      </c>
      <c r="E93" s="19" t="s">
        <v>59</v>
      </c>
      <c r="F93" s="19" t="s">
        <v>215</v>
      </c>
      <c r="G93" s="19" t="s">
        <v>17</v>
      </c>
      <c r="H93" s="36" t="s">
        <v>408</v>
      </c>
      <c r="I93" s="36" t="s">
        <v>409</v>
      </c>
      <c r="J93" s="19">
        <v>12</v>
      </c>
      <c r="K93" s="19" t="s">
        <v>203</v>
      </c>
    </row>
    <row r="94" spans="1:11" ht="45" x14ac:dyDescent="0.25">
      <c r="A94" s="19" t="s">
        <v>410</v>
      </c>
      <c r="B94" s="19" t="s">
        <v>372</v>
      </c>
      <c r="C94" s="19" t="s">
        <v>373</v>
      </c>
      <c r="D94" s="38" t="s">
        <v>411</v>
      </c>
      <c r="E94" s="19" t="s">
        <v>59</v>
      </c>
      <c r="F94" s="19" t="s">
        <v>215</v>
      </c>
      <c r="G94" s="19" t="s">
        <v>71</v>
      </c>
      <c r="H94" s="36" t="s">
        <v>412</v>
      </c>
      <c r="I94" s="36" t="s">
        <v>413</v>
      </c>
      <c r="J94" s="19">
        <v>6</v>
      </c>
      <c r="K94" s="19" t="s">
        <v>203</v>
      </c>
    </row>
    <row r="95" spans="1:11" ht="45" x14ac:dyDescent="0.25">
      <c r="A95" s="19" t="s">
        <v>414</v>
      </c>
      <c r="B95" s="19" t="s">
        <v>372</v>
      </c>
      <c r="C95" s="19" t="s">
        <v>373</v>
      </c>
      <c r="D95" s="38" t="s">
        <v>415</v>
      </c>
      <c r="E95" s="19" t="s">
        <v>59</v>
      </c>
      <c r="F95" s="19" t="s">
        <v>215</v>
      </c>
      <c r="G95" s="19" t="s">
        <v>71</v>
      </c>
      <c r="H95" s="36" t="s">
        <v>416</v>
      </c>
      <c r="I95" s="36" t="s">
        <v>417</v>
      </c>
      <c r="J95" s="19">
        <v>8</v>
      </c>
      <c r="K95" s="19" t="s">
        <v>203</v>
      </c>
    </row>
    <row r="96" spans="1:11" ht="30" x14ac:dyDescent="0.25">
      <c r="A96" s="19" t="s">
        <v>418</v>
      </c>
      <c r="B96" s="19" t="s">
        <v>372</v>
      </c>
      <c r="C96" s="19" t="s">
        <v>419</v>
      </c>
      <c r="D96" s="38" t="s">
        <v>420</v>
      </c>
      <c r="E96" s="19" t="s">
        <v>59</v>
      </c>
      <c r="F96" s="19" t="s">
        <v>258</v>
      </c>
      <c r="G96" s="19" t="s">
        <v>17</v>
      </c>
      <c r="H96" s="36" t="s">
        <v>421</v>
      </c>
      <c r="I96" s="36" t="s">
        <v>422</v>
      </c>
      <c r="J96" s="19">
        <v>12</v>
      </c>
      <c r="K96" s="19" t="s">
        <v>203</v>
      </c>
    </row>
    <row r="97" spans="1:11" ht="30" x14ac:dyDescent="0.25">
      <c r="A97" s="19" t="s">
        <v>423</v>
      </c>
      <c r="B97" s="19" t="s">
        <v>372</v>
      </c>
      <c r="C97" s="19" t="s">
        <v>419</v>
      </c>
      <c r="D97" s="38" t="s">
        <v>424</v>
      </c>
      <c r="E97" s="19" t="s">
        <v>59</v>
      </c>
      <c r="F97" s="19" t="s">
        <v>258</v>
      </c>
      <c r="G97" s="19" t="s">
        <v>17</v>
      </c>
      <c r="H97" s="36" t="s">
        <v>425</v>
      </c>
      <c r="I97" s="36" t="s">
        <v>426</v>
      </c>
      <c r="J97" s="19">
        <v>8</v>
      </c>
      <c r="K97" s="19" t="s">
        <v>203</v>
      </c>
    </row>
    <row r="98" spans="1:11" ht="30" x14ac:dyDescent="0.25">
      <c r="A98" s="19" t="s">
        <v>427</v>
      </c>
      <c r="B98" s="19" t="s">
        <v>372</v>
      </c>
      <c r="C98" s="19" t="s">
        <v>419</v>
      </c>
      <c r="D98" s="38" t="s">
        <v>428</v>
      </c>
      <c r="E98" s="19" t="s">
        <v>59</v>
      </c>
      <c r="F98" s="19" t="s">
        <v>258</v>
      </c>
      <c r="G98" s="19" t="s">
        <v>17</v>
      </c>
      <c r="H98" s="36" t="s">
        <v>429</v>
      </c>
      <c r="I98" s="36" t="s">
        <v>430</v>
      </c>
      <c r="J98" s="19">
        <v>6</v>
      </c>
      <c r="K98" s="19" t="s">
        <v>203</v>
      </c>
    </row>
    <row r="99" spans="1:11" ht="30" x14ac:dyDescent="0.25">
      <c r="A99" s="19" t="s">
        <v>431</v>
      </c>
      <c r="B99" s="19" t="s">
        <v>372</v>
      </c>
      <c r="C99" s="19" t="s">
        <v>419</v>
      </c>
      <c r="D99" s="38" t="s">
        <v>432</v>
      </c>
      <c r="E99" s="19" t="s">
        <v>23</v>
      </c>
      <c r="F99" s="19" t="s">
        <v>258</v>
      </c>
      <c r="G99" s="19" t="s">
        <v>71</v>
      </c>
      <c r="H99" s="36" t="s">
        <v>433</v>
      </c>
      <c r="I99" s="36" t="s">
        <v>434</v>
      </c>
      <c r="J99" s="19">
        <v>12</v>
      </c>
      <c r="K99" s="19" t="s">
        <v>203</v>
      </c>
    </row>
    <row r="100" spans="1:11" ht="45" x14ac:dyDescent="0.25">
      <c r="A100" s="19" t="s">
        <v>435</v>
      </c>
      <c r="B100" s="19" t="s">
        <v>372</v>
      </c>
      <c r="C100" s="19" t="s">
        <v>419</v>
      </c>
      <c r="D100" s="38" t="s">
        <v>436</v>
      </c>
      <c r="E100" s="19" t="s">
        <v>59</v>
      </c>
      <c r="F100" s="19" t="s">
        <v>437</v>
      </c>
      <c r="G100" s="19" t="s">
        <v>17</v>
      </c>
      <c r="H100" s="36" t="s">
        <v>438</v>
      </c>
      <c r="I100" s="36" t="s">
        <v>439</v>
      </c>
      <c r="J100" s="19">
        <v>8</v>
      </c>
      <c r="K100" s="19" t="s">
        <v>203</v>
      </c>
    </row>
    <row r="101" spans="1:11" ht="30" x14ac:dyDescent="0.25">
      <c r="A101" s="19" t="s">
        <v>440</v>
      </c>
      <c r="B101" s="19" t="s">
        <v>372</v>
      </c>
      <c r="C101" s="19" t="s">
        <v>419</v>
      </c>
      <c r="D101" s="38" t="s">
        <v>441</v>
      </c>
      <c r="E101" s="19" t="s">
        <v>59</v>
      </c>
      <c r="F101" s="19" t="s">
        <v>437</v>
      </c>
      <c r="G101" s="19" t="s">
        <v>17</v>
      </c>
      <c r="H101" s="36" t="s">
        <v>442</v>
      </c>
      <c r="I101" s="36" t="s">
        <v>443</v>
      </c>
      <c r="J101" s="19">
        <v>6</v>
      </c>
      <c r="K101" s="19" t="s">
        <v>203</v>
      </c>
    </row>
    <row r="102" spans="1:11" ht="30" x14ac:dyDescent="0.25">
      <c r="A102" s="19" t="s">
        <v>444</v>
      </c>
      <c r="B102" s="19" t="s">
        <v>372</v>
      </c>
      <c r="C102" s="19" t="s">
        <v>419</v>
      </c>
      <c r="D102" s="38" t="s">
        <v>445</v>
      </c>
      <c r="E102" s="19" t="s">
        <v>23</v>
      </c>
      <c r="F102" s="19" t="s">
        <v>437</v>
      </c>
      <c r="G102" s="19" t="s">
        <v>71</v>
      </c>
      <c r="H102" s="36" t="s">
        <v>446</v>
      </c>
      <c r="I102" s="36" t="s">
        <v>447</v>
      </c>
      <c r="J102" s="19">
        <v>12</v>
      </c>
      <c r="K102" s="19" t="s">
        <v>203</v>
      </c>
    </row>
    <row r="103" spans="1:11" ht="45" x14ac:dyDescent="0.25">
      <c r="A103" s="19" t="s">
        <v>448</v>
      </c>
      <c r="B103" s="19" t="s">
        <v>372</v>
      </c>
      <c r="C103" s="19" t="s">
        <v>419</v>
      </c>
      <c r="D103" s="38" t="s">
        <v>449</v>
      </c>
      <c r="E103" s="19" t="s">
        <v>59</v>
      </c>
      <c r="F103" s="19" t="s">
        <v>284</v>
      </c>
      <c r="G103" s="19" t="s">
        <v>71</v>
      </c>
      <c r="H103" s="36" t="s">
        <v>450</v>
      </c>
      <c r="I103" s="36" t="s">
        <v>451</v>
      </c>
      <c r="J103" s="19">
        <v>8</v>
      </c>
      <c r="K103" s="19" t="s">
        <v>203</v>
      </c>
    </row>
    <row r="104" spans="1:11" ht="30" x14ac:dyDescent="0.25">
      <c r="A104" s="19" t="s">
        <v>452</v>
      </c>
      <c r="B104" s="19" t="s">
        <v>372</v>
      </c>
      <c r="C104" s="19" t="s">
        <v>419</v>
      </c>
      <c r="D104" s="38" t="s">
        <v>453</v>
      </c>
      <c r="E104" s="19" t="s">
        <v>59</v>
      </c>
      <c r="F104" s="19" t="s">
        <v>284</v>
      </c>
      <c r="G104" s="19" t="s">
        <v>71</v>
      </c>
      <c r="H104" s="36" t="s">
        <v>454</v>
      </c>
      <c r="I104" s="36" t="s">
        <v>455</v>
      </c>
      <c r="J104" s="19">
        <v>6</v>
      </c>
      <c r="K104" s="19" t="s">
        <v>203</v>
      </c>
    </row>
    <row r="105" spans="1:11" ht="30" x14ac:dyDescent="0.25">
      <c r="A105" s="19" t="s">
        <v>456</v>
      </c>
      <c r="B105" s="19" t="s">
        <v>372</v>
      </c>
      <c r="C105" s="19" t="s">
        <v>419</v>
      </c>
      <c r="D105" s="38" t="s">
        <v>457</v>
      </c>
      <c r="E105" s="19" t="s">
        <v>59</v>
      </c>
      <c r="F105" s="19" t="s">
        <v>458</v>
      </c>
      <c r="G105" s="19" t="s">
        <v>17</v>
      </c>
      <c r="H105" s="36" t="s">
        <v>459</v>
      </c>
      <c r="I105" s="36" t="s">
        <v>460</v>
      </c>
      <c r="J105" s="19">
        <v>8</v>
      </c>
      <c r="K105" s="19" t="s">
        <v>203</v>
      </c>
    </row>
    <row r="106" spans="1:11" ht="30" x14ac:dyDescent="0.25">
      <c r="A106" s="19" t="s">
        <v>461</v>
      </c>
      <c r="B106" s="19" t="s">
        <v>372</v>
      </c>
      <c r="C106" s="19" t="s">
        <v>419</v>
      </c>
      <c r="D106" s="38" t="s">
        <v>462</v>
      </c>
      <c r="E106" s="19" t="s">
        <v>59</v>
      </c>
      <c r="F106" s="19" t="s">
        <v>458</v>
      </c>
      <c r="G106" s="19" t="s">
        <v>17</v>
      </c>
      <c r="H106" s="36" t="s">
        <v>463</v>
      </c>
      <c r="I106" s="36" t="s">
        <v>464</v>
      </c>
      <c r="J106" s="19">
        <v>6</v>
      </c>
      <c r="K106" s="19" t="s">
        <v>203</v>
      </c>
    </row>
    <row r="107" spans="1:11" ht="30" x14ac:dyDescent="0.25">
      <c r="A107" s="19" t="s">
        <v>465</v>
      </c>
      <c r="B107" s="19" t="s">
        <v>372</v>
      </c>
      <c r="C107" s="19" t="s">
        <v>466</v>
      </c>
      <c r="D107" s="38" t="s">
        <v>467</v>
      </c>
      <c r="E107" s="19" t="s">
        <v>59</v>
      </c>
      <c r="F107" s="19" t="s">
        <v>289</v>
      </c>
      <c r="G107" s="19" t="s">
        <v>17</v>
      </c>
      <c r="H107" s="36" t="s">
        <v>468</v>
      </c>
      <c r="I107" s="36" t="s">
        <v>469</v>
      </c>
      <c r="J107" s="19">
        <v>12</v>
      </c>
      <c r="K107" s="19" t="s">
        <v>203</v>
      </c>
    </row>
    <row r="108" spans="1:11" ht="30" x14ac:dyDescent="0.25">
      <c r="A108" s="19" t="s">
        <v>470</v>
      </c>
      <c r="B108" s="19" t="s">
        <v>372</v>
      </c>
      <c r="C108" s="19" t="s">
        <v>466</v>
      </c>
      <c r="D108" s="38" t="s">
        <v>471</v>
      </c>
      <c r="E108" s="19" t="s">
        <v>59</v>
      </c>
      <c r="F108" s="19" t="s">
        <v>289</v>
      </c>
      <c r="G108" s="19" t="s">
        <v>17</v>
      </c>
      <c r="H108" s="36" t="s">
        <v>472</v>
      </c>
      <c r="I108" s="36" t="s">
        <v>473</v>
      </c>
      <c r="J108" s="19">
        <v>12</v>
      </c>
      <c r="K108" s="19" t="s">
        <v>203</v>
      </c>
    </row>
    <row r="109" spans="1:11" ht="30" x14ac:dyDescent="0.25">
      <c r="A109" s="19" t="s">
        <v>474</v>
      </c>
      <c r="B109" s="19" t="s">
        <v>372</v>
      </c>
      <c r="C109" s="19" t="s">
        <v>466</v>
      </c>
      <c r="D109" s="38" t="s">
        <v>475</v>
      </c>
      <c r="E109" s="19" t="s">
        <v>59</v>
      </c>
      <c r="F109" s="19" t="s">
        <v>476</v>
      </c>
      <c r="G109" s="19" t="s">
        <v>17</v>
      </c>
      <c r="H109" s="36" t="s">
        <v>477</v>
      </c>
      <c r="I109" s="36" t="s">
        <v>478</v>
      </c>
      <c r="J109" s="19">
        <v>8</v>
      </c>
      <c r="K109" s="19" t="s">
        <v>203</v>
      </c>
    </row>
    <row r="110" spans="1:11" ht="30" x14ac:dyDescent="0.25">
      <c r="A110" s="19" t="s">
        <v>479</v>
      </c>
      <c r="B110" s="19" t="s">
        <v>372</v>
      </c>
      <c r="C110" s="19" t="s">
        <v>466</v>
      </c>
      <c r="D110" s="38" t="s">
        <v>480</v>
      </c>
      <c r="E110" s="19" t="s">
        <v>59</v>
      </c>
      <c r="F110" s="19" t="s">
        <v>476</v>
      </c>
      <c r="G110" s="19" t="s">
        <v>17</v>
      </c>
      <c r="H110" s="36" t="s">
        <v>481</v>
      </c>
      <c r="I110" s="36" t="s">
        <v>482</v>
      </c>
      <c r="J110" s="19">
        <v>6</v>
      </c>
      <c r="K110" s="19" t="s">
        <v>203</v>
      </c>
    </row>
    <row r="111" spans="1:11" ht="30" x14ac:dyDescent="0.25">
      <c r="A111" s="19" t="s">
        <v>483</v>
      </c>
      <c r="B111" s="19" t="s">
        <v>372</v>
      </c>
      <c r="C111" s="19" t="s">
        <v>466</v>
      </c>
      <c r="D111" s="38" t="s">
        <v>484</v>
      </c>
      <c r="E111" s="19" t="s">
        <v>59</v>
      </c>
      <c r="F111" s="19" t="s">
        <v>476</v>
      </c>
      <c r="G111" s="19" t="s">
        <v>17</v>
      </c>
      <c r="H111" s="36" t="s">
        <v>485</v>
      </c>
      <c r="I111" s="36" t="s">
        <v>486</v>
      </c>
      <c r="J111" s="19">
        <v>12</v>
      </c>
      <c r="K111" s="19" t="s">
        <v>203</v>
      </c>
    </row>
    <row r="112" spans="1:11" ht="30" x14ac:dyDescent="0.25">
      <c r="A112" s="19" t="s">
        <v>487</v>
      </c>
      <c r="B112" s="19" t="s">
        <v>372</v>
      </c>
      <c r="C112" s="19" t="s">
        <v>466</v>
      </c>
      <c r="D112" s="38" t="s">
        <v>488</v>
      </c>
      <c r="E112" s="19" t="s">
        <v>28</v>
      </c>
      <c r="F112" s="19" t="s">
        <v>489</v>
      </c>
      <c r="G112" s="19" t="s">
        <v>71</v>
      </c>
      <c r="H112" s="36" t="s">
        <v>490</v>
      </c>
      <c r="I112" s="36" t="s">
        <v>491</v>
      </c>
      <c r="J112" s="19">
        <v>12</v>
      </c>
      <c r="K112" s="19" t="s">
        <v>203</v>
      </c>
    </row>
    <row r="113" spans="1:11" ht="45" x14ac:dyDescent="0.25">
      <c r="A113" s="19" t="s">
        <v>492</v>
      </c>
      <c r="B113" s="19" t="s">
        <v>372</v>
      </c>
      <c r="C113" s="19" t="s">
        <v>466</v>
      </c>
      <c r="D113" s="38" t="s">
        <v>493</v>
      </c>
      <c r="E113" s="19" t="s">
        <v>40</v>
      </c>
      <c r="F113" s="19" t="s">
        <v>494</v>
      </c>
      <c r="G113" s="19" t="s">
        <v>17</v>
      </c>
      <c r="H113" s="36" t="s">
        <v>495</v>
      </c>
      <c r="I113" s="36" t="s">
        <v>496</v>
      </c>
      <c r="J113" s="19">
        <v>12</v>
      </c>
      <c r="K113" s="19" t="s">
        <v>203</v>
      </c>
    </row>
    <row r="114" spans="1:11" ht="90" x14ac:dyDescent="0.25">
      <c r="A114" s="19" t="s">
        <v>497</v>
      </c>
      <c r="B114" s="19" t="s">
        <v>372</v>
      </c>
      <c r="C114" s="19" t="s">
        <v>466</v>
      </c>
      <c r="D114" s="38" t="s">
        <v>810</v>
      </c>
      <c r="E114" s="19" t="s">
        <v>59</v>
      </c>
      <c r="F114" s="19" t="s">
        <v>494</v>
      </c>
      <c r="G114" s="19" t="s">
        <v>71</v>
      </c>
      <c r="H114" s="36" t="s">
        <v>811</v>
      </c>
      <c r="I114" s="36" t="s">
        <v>812</v>
      </c>
      <c r="J114" s="19">
        <v>8</v>
      </c>
      <c r="K114" s="19" t="s">
        <v>203</v>
      </c>
    </row>
    <row r="115" spans="1:11" ht="30" x14ac:dyDescent="0.25">
      <c r="A115" s="19" t="s">
        <v>498</v>
      </c>
      <c r="B115" s="19" t="s">
        <v>372</v>
      </c>
      <c r="C115" s="19" t="s">
        <v>466</v>
      </c>
      <c r="D115" s="38" t="s">
        <v>499</v>
      </c>
      <c r="E115" s="19" t="s">
        <v>59</v>
      </c>
      <c r="F115" s="19" t="s">
        <v>494</v>
      </c>
      <c r="G115" s="19" t="s">
        <v>71</v>
      </c>
      <c r="H115" s="36" t="s">
        <v>500</v>
      </c>
      <c r="I115" s="36" t="s">
        <v>501</v>
      </c>
      <c r="J115" s="19">
        <v>6</v>
      </c>
      <c r="K115" s="19" t="s">
        <v>203</v>
      </c>
    </row>
    <row r="116" spans="1:11" ht="105" x14ac:dyDescent="0.25">
      <c r="A116" s="19" t="s">
        <v>502</v>
      </c>
      <c r="B116" s="19" t="s">
        <v>372</v>
      </c>
      <c r="C116" s="19" t="s">
        <v>466</v>
      </c>
      <c r="D116" s="38" t="s">
        <v>503</v>
      </c>
      <c r="E116" s="19" t="s">
        <v>40</v>
      </c>
      <c r="F116" s="19" t="s">
        <v>387</v>
      </c>
      <c r="G116" s="19" t="s">
        <v>71</v>
      </c>
      <c r="H116" s="36" t="s">
        <v>504</v>
      </c>
      <c r="I116" s="36" t="s">
        <v>505</v>
      </c>
      <c r="J116" s="19">
        <v>4</v>
      </c>
      <c r="K116" s="19" t="s">
        <v>203</v>
      </c>
    </row>
    <row r="117" spans="1:11" ht="30" x14ac:dyDescent="0.25">
      <c r="A117" s="19" t="s">
        <v>506</v>
      </c>
      <c r="B117" s="19" t="s">
        <v>372</v>
      </c>
      <c r="C117" s="19" t="s">
        <v>466</v>
      </c>
      <c r="D117" s="38" t="s">
        <v>507</v>
      </c>
      <c r="E117" s="19" t="s">
        <v>59</v>
      </c>
      <c r="F117" s="19" t="s">
        <v>508</v>
      </c>
      <c r="G117" s="19" t="s">
        <v>71</v>
      </c>
      <c r="H117" s="36" t="s">
        <v>509</v>
      </c>
      <c r="I117" s="36" t="s">
        <v>510</v>
      </c>
      <c r="J117" s="19">
        <v>8</v>
      </c>
      <c r="K117" s="19" t="s">
        <v>203</v>
      </c>
    </row>
    <row r="118" spans="1:11" ht="45" x14ac:dyDescent="0.25">
      <c r="A118" s="19" t="s">
        <v>511</v>
      </c>
      <c r="B118" s="19" t="s">
        <v>372</v>
      </c>
      <c r="C118" s="19" t="s">
        <v>466</v>
      </c>
      <c r="D118" s="38" t="s">
        <v>512</v>
      </c>
      <c r="E118" s="19" t="s">
        <v>59</v>
      </c>
      <c r="F118" s="19" t="s">
        <v>508</v>
      </c>
      <c r="G118" s="19" t="s">
        <v>71</v>
      </c>
      <c r="H118" s="36" t="s">
        <v>513</v>
      </c>
      <c r="I118" s="36" t="s">
        <v>514</v>
      </c>
      <c r="J118" s="19">
        <v>6</v>
      </c>
      <c r="K118" s="19" t="s">
        <v>203</v>
      </c>
    </row>
    <row r="119" spans="1:11" ht="45" x14ac:dyDescent="0.25">
      <c r="A119" s="19" t="s">
        <v>515</v>
      </c>
      <c r="B119" s="19" t="s">
        <v>372</v>
      </c>
      <c r="C119" s="19" t="s">
        <v>516</v>
      </c>
      <c r="D119" s="38" t="s">
        <v>517</v>
      </c>
      <c r="E119" s="19" t="s">
        <v>59</v>
      </c>
      <c r="F119" s="19" t="s">
        <v>518</v>
      </c>
      <c r="G119" s="19" t="s">
        <v>17</v>
      </c>
      <c r="H119" s="36" t="s">
        <v>519</v>
      </c>
      <c r="I119" s="36" t="s">
        <v>520</v>
      </c>
      <c r="J119" s="19">
        <v>12</v>
      </c>
      <c r="K119" s="19" t="s">
        <v>203</v>
      </c>
    </row>
    <row r="120" spans="1:11" ht="30" x14ac:dyDescent="0.25">
      <c r="A120" s="19" t="s">
        <v>521</v>
      </c>
      <c r="B120" s="19" t="s">
        <v>372</v>
      </c>
      <c r="C120" s="19" t="s">
        <v>516</v>
      </c>
      <c r="D120" s="38" t="s">
        <v>522</v>
      </c>
      <c r="E120" s="19" t="s">
        <v>59</v>
      </c>
      <c r="F120" s="19" t="s">
        <v>523</v>
      </c>
      <c r="G120" s="19" t="s">
        <v>17</v>
      </c>
      <c r="H120" s="36" t="s">
        <v>524</v>
      </c>
      <c r="I120" s="36" t="s">
        <v>525</v>
      </c>
      <c r="J120" s="19">
        <v>12</v>
      </c>
      <c r="K120" s="19" t="s">
        <v>203</v>
      </c>
    </row>
    <row r="121" spans="1:11" ht="30" x14ac:dyDescent="0.25">
      <c r="A121" s="19" t="s">
        <v>526</v>
      </c>
      <c r="B121" s="19" t="s">
        <v>372</v>
      </c>
      <c r="C121" s="19" t="s">
        <v>516</v>
      </c>
      <c r="D121" s="38" t="s">
        <v>527</v>
      </c>
      <c r="E121" s="19" t="s">
        <v>23</v>
      </c>
      <c r="F121" s="19" t="s">
        <v>523</v>
      </c>
      <c r="G121" s="19" t="s">
        <v>71</v>
      </c>
      <c r="H121" s="36" t="s">
        <v>528</v>
      </c>
      <c r="I121" s="36" t="s">
        <v>529</v>
      </c>
      <c r="J121" s="19">
        <v>12</v>
      </c>
      <c r="K121" s="19" t="s">
        <v>203</v>
      </c>
    </row>
    <row r="122" spans="1:11" ht="45" x14ac:dyDescent="0.25">
      <c r="A122" s="19" t="s">
        <v>530</v>
      </c>
      <c r="B122" s="19" t="s">
        <v>372</v>
      </c>
      <c r="C122" s="19" t="s">
        <v>516</v>
      </c>
      <c r="D122" s="38" t="s">
        <v>531</v>
      </c>
      <c r="E122" s="19" t="s">
        <v>59</v>
      </c>
      <c r="F122" s="19" t="s">
        <v>532</v>
      </c>
      <c r="G122" s="19" t="s">
        <v>17</v>
      </c>
      <c r="H122" s="36" t="s">
        <v>533</v>
      </c>
      <c r="I122" s="36" t="s">
        <v>534</v>
      </c>
      <c r="J122" s="19">
        <v>12</v>
      </c>
      <c r="K122" s="19" t="s">
        <v>203</v>
      </c>
    </row>
    <row r="123" spans="1:11" ht="30" x14ac:dyDescent="0.25">
      <c r="A123" s="19" t="s">
        <v>535</v>
      </c>
      <c r="B123" s="19" t="s">
        <v>372</v>
      </c>
      <c r="C123" s="19" t="s">
        <v>516</v>
      </c>
      <c r="D123" s="38" t="s">
        <v>536</v>
      </c>
      <c r="E123" s="19" t="s">
        <v>28</v>
      </c>
      <c r="F123" s="19" t="s">
        <v>537</v>
      </c>
      <c r="G123" s="19" t="s">
        <v>17</v>
      </c>
      <c r="H123" s="36" t="s">
        <v>538</v>
      </c>
      <c r="I123" s="36" t="s">
        <v>539</v>
      </c>
      <c r="J123" s="19">
        <v>12</v>
      </c>
      <c r="K123" s="19" t="s">
        <v>203</v>
      </c>
    </row>
    <row r="124" spans="1:11" ht="30" x14ac:dyDescent="0.25">
      <c r="A124" s="19" t="s">
        <v>540</v>
      </c>
      <c r="B124" s="19" t="s">
        <v>372</v>
      </c>
      <c r="C124" s="19" t="s">
        <v>516</v>
      </c>
      <c r="D124" s="38" t="s">
        <v>541</v>
      </c>
      <c r="E124" s="19" t="s">
        <v>28</v>
      </c>
      <c r="F124" s="19" t="s">
        <v>537</v>
      </c>
      <c r="G124" s="19" t="s">
        <v>17</v>
      </c>
      <c r="H124" s="36" t="s">
        <v>542</v>
      </c>
      <c r="I124" s="36" t="s">
        <v>543</v>
      </c>
      <c r="J124" s="19">
        <v>12</v>
      </c>
      <c r="K124" s="19" t="s">
        <v>203</v>
      </c>
    </row>
    <row r="125" spans="1:11" ht="30" x14ac:dyDescent="0.25">
      <c r="A125" s="19" t="s">
        <v>544</v>
      </c>
      <c r="B125" s="19" t="s">
        <v>372</v>
      </c>
      <c r="C125" s="19" t="s">
        <v>516</v>
      </c>
      <c r="D125" s="38" t="s">
        <v>545</v>
      </c>
      <c r="E125" s="19" t="s">
        <v>28</v>
      </c>
      <c r="F125" s="19" t="s">
        <v>546</v>
      </c>
      <c r="G125" s="19" t="s">
        <v>17</v>
      </c>
      <c r="H125" s="36" t="s">
        <v>547</v>
      </c>
      <c r="I125" s="36" t="s">
        <v>548</v>
      </c>
      <c r="J125" s="19">
        <v>12</v>
      </c>
      <c r="K125" s="19" t="s">
        <v>203</v>
      </c>
    </row>
    <row r="126" spans="1:11" ht="30" x14ac:dyDescent="0.25">
      <c r="A126" s="19" t="s">
        <v>549</v>
      </c>
      <c r="B126" s="19" t="s">
        <v>372</v>
      </c>
      <c r="C126" s="19" t="s">
        <v>516</v>
      </c>
      <c r="D126" s="38" t="s">
        <v>550</v>
      </c>
      <c r="E126" s="19" t="s">
        <v>28</v>
      </c>
      <c r="F126" s="19" t="s">
        <v>489</v>
      </c>
      <c r="G126" s="19" t="s">
        <v>71</v>
      </c>
      <c r="H126" s="36" t="s">
        <v>551</v>
      </c>
      <c r="I126" s="36" t="s">
        <v>552</v>
      </c>
      <c r="J126" s="19">
        <v>12</v>
      </c>
      <c r="K126" s="19" t="s">
        <v>203</v>
      </c>
    </row>
    <row r="127" spans="1:11" ht="30" x14ac:dyDescent="0.25">
      <c r="A127" s="19" t="s">
        <v>553</v>
      </c>
      <c r="B127" s="19" t="s">
        <v>372</v>
      </c>
      <c r="C127" s="19" t="s">
        <v>516</v>
      </c>
      <c r="D127" s="38" t="s">
        <v>554</v>
      </c>
      <c r="E127" s="19" t="s">
        <v>15</v>
      </c>
      <c r="F127" s="19" t="s">
        <v>555</v>
      </c>
      <c r="G127" s="19" t="s">
        <v>71</v>
      </c>
      <c r="H127" s="36" t="s">
        <v>556</v>
      </c>
      <c r="I127" s="36" t="s">
        <v>557</v>
      </c>
      <c r="J127" s="19">
        <v>12</v>
      </c>
      <c r="K127" s="19" t="s">
        <v>203</v>
      </c>
    </row>
    <row r="128" spans="1:11" ht="45" x14ac:dyDescent="0.25">
      <c r="A128" s="19" t="s">
        <v>558</v>
      </c>
      <c r="B128" s="19" t="s">
        <v>372</v>
      </c>
      <c r="C128" s="19" t="s">
        <v>516</v>
      </c>
      <c r="D128" s="38" t="s">
        <v>559</v>
      </c>
      <c r="E128" s="19" t="s">
        <v>53</v>
      </c>
      <c r="F128" s="19" t="s">
        <v>355</v>
      </c>
      <c r="G128" s="19" t="s">
        <v>17</v>
      </c>
      <c r="H128" s="36" t="s">
        <v>560</v>
      </c>
      <c r="I128" s="36" t="s">
        <v>561</v>
      </c>
      <c r="J128" s="19">
        <v>12</v>
      </c>
      <c r="K128" s="19" t="s">
        <v>203</v>
      </c>
    </row>
    <row r="129" spans="1:11" ht="30" x14ac:dyDescent="0.25">
      <c r="A129" s="19" t="s">
        <v>562</v>
      </c>
      <c r="B129" s="19" t="s">
        <v>563</v>
      </c>
      <c r="C129" s="19" t="s">
        <v>564</v>
      </c>
      <c r="D129" s="38" t="s">
        <v>565</v>
      </c>
      <c r="E129" s="19" t="s">
        <v>324</v>
      </c>
      <c r="F129" s="19" t="s">
        <v>566</v>
      </c>
      <c r="G129" s="19" t="s">
        <v>17</v>
      </c>
      <c r="H129" s="36" t="s">
        <v>567</v>
      </c>
      <c r="I129" s="36" t="s">
        <v>568</v>
      </c>
      <c r="J129" s="19">
        <v>12</v>
      </c>
      <c r="K129" s="19" t="s">
        <v>203</v>
      </c>
    </row>
    <row r="130" spans="1:11" ht="30" x14ac:dyDescent="0.25">
      <c r="A130" s="19" t="s">
        <v>569</v>
      </c>
      <c r="B130" s="19" t="s">
        <v>563</v>
      </c>
      <c r="C130" s="19" t="s">
        <v>564</v>
      </c>
      <c r="D130" s="38" t="s">
        <v>570</v>
      </c>
      <c r="E130" s="19" t="s">
        <v>324</v>
      </c>
      <c r="F130" s="19" t="s">
        <v>566</v>
      </c>
      <c r="G130" s="19" t="s">
        <v>17</v>
      </c>
      <c r="H130" s="36" t="s">
        <v>571</v>
      </c>
      <c r="I130" s="36" t="s">
        <v>572</v>
      </c>
      <c r="J130" s="19">
        <v>12</v>
      </c>
      <c r="K130" s="19" t="s">
        <v>203</v>
      </c>
    </row>
    <row r="131" spans="1:11" ht="30" x14ac:dyDescent="0.25">
      <c r="A131" s="19" t="s">
        <v>573</v>
      </c>
      <c r="B131" s="19" t="s">
        <v>563</v>
      </c>
      <c r="C131" s="19" t="s">
        <v>564</v>
      </c>
      <c r="D131" s="38" t="s">
        <v>574</v>
      </c>
      <c r="E131" s="19" t="s">
        <v>324</v>
      </c>
      <c r="F131" s="19" t="s">
        <v>575</v>
      </c>
      <c r="G131" s="19" t="s">
        <v>17</v>
      </c>
      <c r="H131" s="36" t="s">
        <v>576</v>
      </c>
      <c r="I131" s="36" t="s">
        <v>577</v>
      </c>
      <c r="J131" s="19">
        <v>12</v>
      </c>
      <c r="K131" s="19" t="s">
        <v>203</v>
      </c>
    </row>
    <row r="132" spans="1:11" ht="30" x14ac:dyDescent="0.25">
      <c r="A132" s="19" t="s">
        <v>578</v>
      </c>
      <c r="B132" s="19" t="s">
        <v>563</v>
      </c>
      <c r="C132" s="19" t="s">
        <v>564</v>
      </c>
      <c r="D132" s="38" t="s">
        <v>579</v>
      </c>
      <c r="E132" s="19" t="s">
        <v>324</v>
      </c>
      <c r="F132" s="19" t="s">
        <v>580</v>
      </c>
      <c r="G132" s="19" t="s">
        <v>17</v>
      </c>
      <c r="H132" s="36" t="s">
        <v>581</v>
      </c>
      <c r="I132" s="36" t="s">
        <v>582</v>
      </c>
      <c r="J132" s="19">
        <v>12</v>
      </c>
      <c r="K132" s="19" t="s">
        <v>203</v>
      </c>
    </row>
    <row r="133" spans="1:11" ht="30" x14ac:dyDescent="0.25">
      <c r="A133" s="19" t="s">
        <v>583</v>
      </c>
      <c r="B133" s="19" t="s">
        <v>563</v>
      </c>
      <c r="C133" s="19" t="s">
        <v>564</v>
      </c>
      <c r="D133" s="38" t="s">
        <v>584</v>
      </c>
      <c r="E133" s="19" t="s">
        <v>324</v>
      </c>
      <c r="F133" s="19" t="s">
        <v>580</v>
      </c>
      <c r="G133" s="19" t="s">
        <v>17</v>
      </c>
      <c r="H133" s="36" t="s">
        <v>585</v>
      </c>
      <c r="I133" s="36" t="s">
        <v>586</v>
      </c>
      <c r="J133" s="19">
        <v>12</v>
      </c>
      <c r="K133" s="19" t="s">
        <v>203</v>
      </c>
    </row>
    <row r="134" spans="1:11" ht="30" x14ac:dyDescent="0.25">
      <c r="A134" s="19" t="s">
        <v>587</v>
      </c>
      <c r="B134" s="19" t="s">
        <v>563</v>
      </c>
      <c r="C134" s="19" t="s">
        <v>564</v>
      </c>
      <c r="D134" s="38" t="s">
        <v>588</v>
      </c>
      <c r="E134" s="19" t="s">
        <v>324</v>
      </c>
      <c r="F134" s="19" t="s">
        <v>580</v>
      </c>
      <c r="G134" s="19" t="s">
        <v>71</v>
      </c>
      <c r="H134" s="36" t="s">
        <v>589</v>
      </c>
      <c r="I134" s="36" t="s">
        <v>590</v>
      </c>
      <c r="J134" s="19">
        <v>12</v>
      </c>
      <c r="K134" s="19" t="s">
        <v>203</v>
      </c>
    </row>
    <row r="135" spans="1:11" ht="45" x14ac:dyDescent="0.25">
      <c r="A135" s="19" t="s">
        <v>591</v>
      </c>
      <c r="B135" s="19" t="s">
        <v>563</v>
      </c>
      <c r="C135" s="19" t="s">
        <v>564</v>
      </c>
      <c r="D135" s="38" t="s">
        <v>592</v>
      </c>
      <c r="E135" s="19" t="s">
        <v>324</v>
      </c>
      <c r="F135" s="19" t="s">
        <v>566</v>
      </c>
      <c r="G135" s="19" t="s">
        <v>17</v>
      </c>
      <c r="H135" s="36" t="s">
        <v>593</v>
      </c>
      <c r="I135" s="36" t="s">
        <v>594</v>
      </c>
      <c r="J135" s="19">
        <v>12</v>
      </c>
      <c r="K135" s="19" t="s">
        <v>203</v>
      </c>
    </row>
    <row r="136" spans="1:11" ht="30" x14ac:dyDescent="0.25">
      <c r="A136" s="19" t="s">
        <v>595</v>
      </c>
      <c r="B136" s="19" t="s">
        <v>563</v>
      </c>
      <c r="C136" s="19" t="s">
        <v>564</v>
      </c>
      <c r="D136" s="38" t="s">
        <v>596</v>
      </c>
      <c r="E136" s="19" t="s">
        <v>40</v>
      </c>
      <c r="F136" s="19" t="s">
        <v>566</v>
      </c>
      <c r="G136" s="19" t="s">
        <v>71</v>
      </c>
      <c r="H136" s="36" t="s">
        <v>597</v>
      </c>
      <c r="I136" s="36" t="s">
        <v>598</v>
      </c>
      <c r="J136" s="19">
        <v>10</v>
      </c>
      <c r="K136" s="19" t="s">
        <v>203</v>
      </c>
    </row>
    <row r="137" spans="1:11" ht="30" x14ac:dyDescent="0.25">
      <c r="A137" s="19" t="s">
        <v>599</v>
      </c>
      <c r="B137" s="19" t="s">
        <v>563</v>
      </c>
      <c r="C137" s="19" t="s">
        <v>564</v>
      </c>
      <c r="D137" s="38" t="s">
        <v>600</v>
      </c>
      <c r="E137" s="19" t="s">
        <v>324</v>
      </c>
      <c r="F137" s="19" t="s">
        <v>580</v>
      </c>
      <c r="G137" s="19" t="s">
        <v>35</v>
      </c>
      <c r="H137" s="36" t="s">
        <v>601</v>
      </c>
      <c r="I137" s="36" t="s">
        <v>602</v>
      </c>
      <c r="J137" s="19">
        <v>10</v>
      </c>
      <c r="K137" s="19" t="s">
        <v>203</v>
      </c>
    </row>
    <row r="138" spans="1:11" ht="75" x14ac:dyDescent="0.25">
      <c r="A138" s="19" t="s">
        <v>603</v>
      </c>
      <c r="B138" s="19" t="s">
        <v>563</v>
      </c>
      <c r="C138" s="19" t="s">
        <v>564</v>
      </c>
      <c r="D138" s="38" t="s">
        <v>604</v>
      </c>
      <c r="E138" s="19" t="s">
        <v>324</v>
      </c>
      <c r="F138" s="19" t="s">
        <v>317</v>
      </c>
      <c r="G138" s="19" t="s">
        <v>605</v>
      </c>
      <c r="H138" s="36" t="s">
        <v>606</v>
      </c>
      <c r="I138" s="36" t="s">
        <v>607</v>
      </c>
      <c r="J138" s="19">
        <v>3</v>
      </c>
      <c r="K138" s="19" t="s">
        <v>203</v>
      </c>
    </row>
    <row r="139" spans="1:11" ht="30" x14ac:dyDescent="0.25">
      <c r="A139" s="19" t="s">
        <v>608</v>
      </c>
      <c r="B139" s="19" t="s">
        <v>563</v>
      </c>
      <c r="C139" s="19" t="s">
        <v>564</v>
      </c>
      <c r="D139" s="38" t="s">
        <v>609</v>
      </c>
      <c r="E139" s="19" t="s">
        <v>324</v>
      </c>
      <c r="F139" s="19" t="s">
        <v>317</v>
      </c>
      <c r="G139" s="19" t="s">
        <v>71</v>
      </c>
      <c r="H139" s="36" t="s">
        <v>610</v>
      </c>
      <c r="I139" s="36" t="s">
        <v>611</v>
      </c>
      <c r="J139" s="19">
        <v>12</v>
      </c>
      <c r="K139" s="19" t="s">
        <v>203</v>
      </c>
    </row>
    <row r="140" spans="1:11" ht="30" x14ac:dyDescent="0.25">
      <c r="A140" s="19" t="s">
        <v>612</v>
      </c>
      <c r="B140" s="19" t="s">
        <v>563</v>
      </c>
      <c r="C140" s="19" t="s">
        <v>613</v>
      </c>
      <c r="D140" s="38" t="s">
        <v>614</v>
      </c>
      <c r="E140" s="19" t="s">
        <v>324</v>
      </c>
      <c r="F140" s="19" t="s">
        <v>615</v>
      </c>
      <c r="G140" s="19" t="s">
        <v>17</v>
      </c>
      <c r="H140" s="36" t="s">
        <v>616</v>
      </c>
      <c r="I140" s="36" t="s">
        <v>617</v>
      </c>
      <c r="J140" s="19">
        <v>12</v>
      </c>
      <c r="K140" s="19" t="s">
        <v>203</v>
      </c>
    </row>
    <row r="141" spans="1:11" ht="30" x14ac:dyDescent="0.25">
      <c r="A141" s="19" t="s">
        <v>618</v>
      </c>
      <c r="B141" s="19" t="s">
        <v>563</v>
      </c>
      <c r="C141" s="19" t="s">
        <v>613</v>
      </c>
      <c r="D141" s="38" t="s">
        <v>619</v>
      </c>
      <c r="E141" s="19" t="s">
        <v>324</v>
      </c>
      <c r="F141" s="19" t="s">
        <v>615</v>
      </c>
      <c r="G141" s="19" t="s">
        <v>17</v>
      </c>
      <c r="H141" s="36" t="s">
        <v>620</v>
      </c>
      <c r="I141" s="36" t="s">
        <v>621</v>
      </c>
      <c r="J141" s="19">
        <v>12</v>
      </c>
      <c r="K141" s="19" t="s">
        <v>203</v>
      </c>
    </row>
    <row r="142" spans="1:11" ht="30" x14ac:dyDescent="0.25">
      <c r="A142" s="19" t="s">
        <v>622</v>
      </c>
      <c r="B142" s="19" t="s">
        <v>563</v>
      </c>
      <c r="C142" s="19" t="s">
        <v>613</v>
      </c>
      <c r="D142" s="38" t="s">
        <v>623</v>
      </c>
      <c r="E142" s="19" t="s">
        <v>324</v>
      </c>
      <c r="F142" s="19" t="s">
        <v>615</v>
      </c>
      <c r="G142" s="19" t="s">
        <v>71</v>
      </c>
      <c r="H142" s="36" t="s">
        <v>624</v>
      </c>
      <c r="I142" s="36" t="s">
        <v>625</v>
      </c>
      <c r="J142" s="19">
        <v>12</v>
      </c>
      <c r="K142" s="19" t="s">
        <v>203</v>
      </c>
    </row>
    <row r="143" spans="1:11" ht="45" x14ac:dyDescent="0.25">
      <c r="A143" s="19" t="s">
        <v>626</v>
      </c>
      <c r="B143" s="19" t="s">
        <v>563</v>
      </c>
      <c r="C143" s="19" t="s">
        <v>613</v>
      </c>
      <c r="D143" s="38" t="s">
        <v>627</v>
      </c>
      <c r="E143" s="19" t="s">
        <v>324</v>
      </c>
      <c r="F143" s="19" t="s">
        <v>628</v>
      </c>
      <c r="G143" s="19" t="s">
        <v>17</v>
      </c>
      <c r="H143" s="36" t="s">
        <v>629</v>
      </c>
      <c r="I143" s="36" t="s">
        <v>630</v>
      </c>
      <c r="J143" s="19">
        <v>6</v>
      </c>
      <c r="K143" s="19" t="s">
        <v>203</v>
      </c>
    </row>
    <row r="144" spans="1:11" ht="45" x14ac:dyDescent="0.25">
      <c r="A144" s="19" t="s">
        <v>631</v>
      </c>
      <c r="B144" s="19" t="s">
        <v>563</v>
      </c>
      <c r="C144" s="19" t="s">
        <v>613</v>
      </c>
      <c r="D144" s="38" t="s">
        <v>632</v>
      </c>
      <c r="E144" s="19" t="s">
        <v>324</v>
      </c>
      <c r="F144" s="19" t="s">
        <v>628</v>
      </c>
      <c r="G144" s="19" t="s">
        <v>17</v>
      </c>
      <c r="H144" s="36" t="s">
        <v>633</v>
      </c>
      <c r="I144" s="36" t="s">
        <v>634</v>
      </c>
      <c r="J144" s="19">
        <v>8</v>
      </c>
      <c r="K144" s="19" t="s">
        <v>203</v>
      </c>
    </row>
    <row r="145" spans="1:11" ht="30" x14ac:dyDescent="0.25">
      <c r="A145" s="19" t="s">
        <v>635</v>
      </c>
      <c r="B145" s="19" t="s">
        <v>563</v>
      </c>
      <c r="C145" s="19" t="s">
        <v>613</v>
      </c>
      <c r="D145" s="38" t="s">
        <v>636</v>
      </c>
      <c r="E145" s="19" t="s">
        <v>324</v>
      </c>
      <c r="F145" s="19" t="s">
        <v>637</v>
      </c>
      <c r="G145" s="19" t="s">
        <v>17</v>
      </c>
      <c r="H145" s="36" t="s">
        <v>638</v>
      </c>
      <c r="I145" s="36" t="s">
        <v>639</v>
      </c>
      <c r="J145" s="19">
        <v>8</v>
      </c>
      <c r="K145" s="19" t="s">
        <v>203</v>
      </c>
    </row>
    <row r="146" spans="1:11" ht="30" x14ac:dyDescent="0.25">
      <c r="A146" s="19" t="s">
        <v>640</v>
      </c>
      <c r="B146" s="19" t="s">
        <v>563</v>
      </c>
      <c r="C146" s="19" t="s">
        <v>613</v>
      </c>
      <c r="D146" s="38" t="s">
        <v>641</v>
      </c>
      <c r="E146" s="19" t="s">
        <v>324</v>
      </c>
      <c r="F146" s="19" t="s">
        <v>637</v>
      </c>
      <c r="G146" s="19" t="s">
        <v>17</v>
      </c>
      <c r="H146" s="36" t="s">
        <v>642</v>
      </c>
      <c r="I146" s="36" t="s">
        <v>643</v>
      </c>
      <c r="J146" s="19">
        <v>6</v>
      </c>
      <c r="K146" s="19" t="s">
        <v>203</v>
      </c>
    </row>
    <row r="147" spans="1:11" ht="135" x14ac:dyDescent="0.25">
      <c r="A147" s="19" t="s">
        <v>644</v>
      </c>
      <c r="B147" s="19" t="s">
        <v>563</v>
      </c>
      <c r="C147" s="19" t="s">
        <v>613</v>
      </c>
      <c r="D147" s="38" t="s">
        <v>813</v>
      </c>
      <c r="E147" s="19" t="s">
        <v>65</v>
      </c>
      <c r="F147" s="19" t="s">
        <v>645</v>
      </c>
      <c r="G147" s="19" t="s">
        <v>71</v>
      </c>
      <c r="H147" s="36" t="s">
        <v>814</v>
      </c>
      <c r="I147" s="36" t="s">
        <v>815</v>
      </c>
      <c r="J147" s="19">
        <v>12</v>
      </c>
      <c r="K147" s="19" t="s">
        <v>203</v>
      </c>
    </row>
    <row r="148" spans="1:11" ht="75" x14ac:dyDescent="0.25">
      <c r="A148" s="19" t="s">
        <v>646</v>
      </c>
      <c r="B148" s="19" t="s">
        <v>563</v>
      </c>
      <c r="C148" s="19" t="s">
        <v>613</v>
      </c>
      <c r="D148" s="38" t="s">
        <v>816</v>
      </c>
      <c r="E148" s="19" t="s">
        <v>65</v>
      </c>
      <c r="F148" s="19" t="s">
        <v>645</v>
      </c>
      <c r="G148" s="19" t="s">
        <v>17</v>
      </c>
      <c r="H148" s="36" t="s">
        <v>817</v>
      </c>
      <c r="I148" s="36" t="s">
        <v>818</v>
      </c>
      <c r="J148" s="19">
        <v>12</v>
      </c>
      <c r="K148" s="19" t="s">
        <v>203</v>
      </c>
    </row>
    <row r="149" spans="1:11" ht="45" x14ac:dyDescent="0.25">
      <c r="A149" s="19" t="s">
        <v>647</v>
      </c>
      <c r="B149" s="19" t="s">
        <v>563</v>
      </c>
      <c r="C149" s="19" t="s">
        <v>613</v>
      </c>
      <c r="D149" s="38" t="s">
        <v>648</v>
      </c>
      <c r="E149" s="19" t="s">
        <v>23</v>
      </c>
      <c r="F149" s="19" t="s">
        <v>508</v>
      </c>
      <c r="G149" s="19" t="s">
        <v>71</v>
      </c>
      <c r="H149" s="36" t="s">
        <v>649</v>
      </c>
      <c r="I149" s="36" t="s">
        <v>650</v>
      </c>
      <c r="J149" s="19">
        <v>8</v>
      </c>
      <c r="K149" s="19" t="s">
        <v>203</v>
      </c>
    </row>
    <row r="150" spans="1:11" ht="30" x14ac:dyDescent="0.25">
      <c r="A150" s="19" t="s">
        <v>651</v>
      </c>
      <c r="B150" s="19" t="s">
        <v>563</v>
      </c>
      <c r="C150" s="19" t="s">
        <v>613</v>
      </c>
      <c r="D150" s="38" t="s">
        <v>652</v>
      </c>
      <c r="E150" s="19" t="s">
        <v>23</v>
      </c>
      <c r="F150" s="19" t="s">
        <v>508</v>
      </c>
      <c r="G150" s="19" t="s">
        <v>71</v>
      </c>
      <c r="H150" s="36" t="s">
        <v>653</v>
      </c>
      <c r="I150" s="36" t="s">
        <v>654</v>
      </c>
      <c r="J150" s="19">
        <v>6</v>
      </c>
      <c r="K150" s="19" t="s">
        <v>203</v>
      </c>
    </row>
    <row r="151" spans="1:11" ht="90" x14ac:dyDescent="0.25">
      <c r="A151" s="19" t="s">
        <v>655</v>
      </c>
      <c r="B151" s="19" t="s">
        <v>563</v>
      </c>
      <c r="C151" s="19" t="s">
        <v>613</v>
      </c>
      <c r="D151" s="38" t="s">
        <v>819</v>
      </c>
      <c r="E151" s="19" t="s">
        <v>53</v>
      </c>
      <c r="F151" s="19" t="s">
        <v>70</v>
      </c>
      <c r="G151" s="19" t="s">
        <v>17</v>
      </c>
      <c r="H151" s="36" t="s">
        <v>820</v>
      </c>
      <c r="I151" s="36" t="s">
        <v>821</v>
      </c>
      <c r="J151" s="19">
        <v>12</v>
      </c>
      <c r="K151" s="19" t="s">
        <v>203</v>
      </c>
    </row>
    <row r="152" spans="1:11" ht="30" x14ac:dyDescent="0.25">
      <c r="A152" s="19" t="s">
        <v>656</v>
      </c>
      <c r="B152" s="19" t="s">
        <v>657</v>
      </c>
      <c r="C152" s="19" t="s">
        <v>658</v>
      </c>
      <c r="D152" s="38" t="s">
        <v>659</v>
      </c>
      <c r="E152" s="19" t="s">
        <v>59</v>
      </c>
      <c r="F152" s="19" t="s">
        <v>660</v>
      </c>
      <c r="G152" s="19" t="s">
        <v>17</v>
      </c>
      <c r="H152" s="36" t="s">
        <v>661</v>
      </c>
      <c r="I152" s="36" t="s">
        <v>662</v>
      </c>
      <c r="J152" s="19">
        <v>12</v>
      </c>
      <c r="K152" s="19" t="s">
        <v>203</v>
      </c>
    </row>
    <row r="153" spans="1:11" ht="30" x14ac:dyDescent="0.25">
      <c r="A153" s="19" t="s">
        <v>663</v>
      </c>
      <c r="B153" s="19" t="s">
        <v>657</v>
      </c>
      <c r="C153" s="19" t="s">
        <v>658</v>
      </c>
      <c r="D153" s="38" t="s">
        <v>664</v>
      </c>
      <c r="E153" s="19" t="s">
        <v>40</v>
      </c>
      <c r="F153" s="19" t="s">
        <v>660</v>
      </c>
      <c r="G153" s="19" t="s">
        <v>17</v>
      </c>
      <c r="H153" s="36" t="s">
        <v>665</v>
      </c>
      <c r="I153" s="36" t="s">
        <v>666</v>
      </c>
      <c r="J153" s="19">
        <v>12</v>
      </c>
      <c r="K153" s="19" t="s">
        <v>203</v>
      </c>
    </row>
    <row r="154" spans="1:11" x14ac:dyDescent="0.25">
      <c r="A154" s="19" t="s">
        <v>667</v>
      </c>
      <c r="B154" s="19" t="s">
        <v>657</v>
      </c>
      <c r="C154" s="19" t="s">
        <v>658</v>
      </c>
      <c r="D154" s="38" t="s">
        <v>668</v>
      </c>
      <c r="E154" s="19" t="s">
        <v>59</v>
      </c>
      <c r="F154" s="19" t="s">
        <v>669</v>
      </c>
      <c r="G154" s="19" t="s">
        <v>17</v>
      </c>
      <c r="H154" s="36" t="s">
        <v>670</v>
      </c>
      <c r="I154" s="36" t="s">
        <v>671</v>
      </c>
      <c r="J154" s="19">
        <v>12</v>
      </c>
      <c r="K154" s="19" t="s">
        <v>203</v>
      </c>
    </row>
    <row r="155" spans="1:11" x14ac:dyDescent="0.25">
      <c r="A155" s="19" t="s">
        <v>672</v>
      </c>
      <c r="B155" s="19" t="s">
        <v>657</v>
      </c>
      <c r="C155" s="19" t="s">
        <v>658</v>
      </c>
      <c r="D155" s="38" t="s">
        <v>673</v>
      </c>
      <c r="E155" s="19" t="s">
        <v>40</v>
      </c>
      <c r="F155" s="19" t="s">
        <v>674</v>
      </c>
      <c r="G155" s="19" t="s">
        <v>71</v>
      </c>
      <c r="H155" s="36" t="s">
        <v>675</v>
      </c>
      <c r="I155" s="36" t="s">
        <v>676</v>
      </c>
      <c r="J155" s="19">
        <v>12</v>
      </c>
      <c r="K155" s="19" t="s">
        <v>203</v>
      </c>
    </row>
    <row r="156" spans="1:11" x14ac:dyDescent="0.25">
      <c r="A156" s="19" t="s">
        <v>677</v>
      </c>
      <c r="B156" s="19" t="s">
        <v>657</v>
      </c>
      <c r="C156" s="19" t="s">
        <v>658</v>
      </c>
      <c r="D156" s="38" t="s">
        <v>678</v>
      </c>
      <c r="E156" s="19" t="s">
        <v>28</v>
      </c>
      <c r="F156" s="19" t="s">
        <v>674</v>
      </c>
      <c r="G156" s="19" t="s">
        <v>71</v>
      </c>
      <c r="H156" s="36" t="s">
        <v>679</v>
      </c>
      <c r="I156" s="36" t="s">
        <v>680</v>
      </c>
      <c r="J156" s="19">
        <v>12</v>
      </c>
      <c r="K156" s="19" t="s">
        <v>203</v>
      </c>
    </row>
    <row r="157" spans="1:11" ht="30" x14ac:dyDescent="0.25">
      <c r="A157" s="19" t="s">
        <v>681</v>
      </c>
      <c r="B157" s="19" t="s">
        <v>657</v>
      </c>
      <c r="C157" s="19" t="s">
        <v>658</v>
      </c>
      <c r="D157" s="38" t="s">
        <v>682</v>
      </c>
      <c r="E157" s="19" t="s">
        <v>23</v>
      </c>
      <c r="F157" s="19" t="s">
        <v>683</v>
      </c>
      <c r="G157" s="19" t="s">
        <v>71</v>
      </c>
      <c r="H157" s="36" t="s">
        <v>684</v>
      </c>
      <c r="I157" s="36" t="s">
        <v>685</v>
      </c>
      <c r="J157" s="19">
        <v>12</v>
      </c>
      <c r="K157" s="19" t="s">
        <v>203</v>
      </c>
    </row>
    <row r="158" spans="1:11" x14ac:dyDescent="0.25">
      <c r="A158" s="19" t="s">
        <v>686</v>
      </c>
      <c r="B158" s="19" t="s">
        <v>657</v>
      </c>
      <c r="C158" s="19" t="s">
        <v>658</v>
      </c>
      <c r="D158" s="38" t="s">
        <v>687</v>
      </c>
      <c r="E158" s="19" t="s">
        <v>324</v>
      </c>
      <c r="F158" s="19" t="s">
        <v>688</v>
      </c>
      <c r="G158" s="19" t="s">
        <v>71</v>
      </c>
      <c r="H158" s="36" t="s">
        <v>689</v>
      </c>
      <c r="I158" s="36" t="s">
        <v>690</v>
      </c>
      <c r="J158" s="19">
        <v>12</v>
      </c>
      <c r="K158" s="19" t="s">
        <v>203</v>
      </c>
    </row>
    <row r="159" spans="1:11" x14ac:dyDescent="0.25">
      <c r="A159" s="19" t="s">
        <v>691</v>
      </c>
      <c r="B159" s="19" t="s">
        <v>657</v>
      </c>
      <c r="C159" s="19" t="s">
        <v>658</v>
      </c>
      <c r="D159" s="38" t="s">
        <v>692</v>
      </c>
      <c r="E159" s="19" t="s">
        <v>324</v>
      </c>
      <c r="F159" s="19" t="s">
        <v>628</v>
      </c>
      <c r="G159" s="19" t="s">
        <v>71</v>
      </c>
      <c r="H159" s="36" t="s">
        <v>693</v>
      </c>
      <c r="I159" s="36" t="s">
        <v>694</v>
      </c>
      <c r="J159" s="19">
        <v>12</v>
      </c>
      <c r="K159" s="19" t="s">
        <v>203</v>
      </c>
    </row>
    <row r="160" spans="1:11" ht="30" x14ac:dyDescent="0.25">
      <c r="A160" s="19" t="s">
        <v>695</v>
      </c>
      <c r="B160" s="19" t="s">
        <v>657</v>
      </c>
      <c r="C160" s="19" t="s">
        <v>696</v>
      </c>
      <c r="D160" s="38" t="s">
        <v>697</v>
      </c>
      <c r="E160" s="19" t="s">
        <v>28</v>
      </c>
      <c r="F160" s="19" t="s">
        <v>698</v>
      </c>
      <c r="G160" s="19" t="s">
        <v>17</v>
      </c>
      <c r="H160" s="36" t="s">
        <v>699</v>
      </c>
      <c r="I160" s="36" t="s">
        <v>700</v>
      </c>
      <c r="J160" s="19">
        <v>12</v>
      </c>
      <c r="K160" s="19" t="s">
        <v>203</v>
      </c>
    </row>
    <row r="161" spans="1:11" x14ac:dyDescent="0.25">
      <c r="A161" s="19" t="s">
        <v>701</v>
      </c>
      <c r="B161" s="19" t="s">
        <v>657</v>
      </c>
      <c r="C161" s="19" t="s">
        <v>696</v>
      </c>
      <c r="D161" s="38" t="s">
        <v>702</v>
      </c>
      <c r="E161" s="19" t="s">
        <v>28</v>
      </c>
      <c r="F161" s="19" t="s">
        <v>703</v>
      </c>
      <c r="G161" s="19" t="s">
        <v>17</v>
      </c>
      <c r="H161" s="36" t="s">
        <v>704</v>
      </c>
      <c r="I161" s="36" t="s">
        <v>705</v>
      </c>
      <c r="J161" s="19">
        <v>12</v>
      </c>
      <c r="K161" s="19" t="s">
        <v>203</v>
      </c>
    </row>
    <row r="162" spans="1:11" x14ac:dyDescent="0.25">
      <c r="A162" s="19" t="s">
        <v>706</v>
      </c>
      <c r="B162" s="19" t="s">
        <v>657</v>
      </c>
      <c r="C162" s="19" t="s">
        <v>696</v>
      </c>
      <c r="D162" s="38" t="s">
        <v>707</v>
      </c>
      <c r="E162" s="19" t="s">
        <v>59</v>
      </c>
      <c r="F162" s="19" t="s">
        <v>494</v>
      </c>
      <c r="G162" s="19" t="s">
        <v>71</v>
      </c>
      <c r="H162" s="36" t="s">
        <v>708</v>
      </c>
      <c r="I162" s="36" t="s">
        <v>709</v>
      </c>
      <c r="J162" s="19">
        <v>12</v>
      </c>
      <c r="K162" s="19" t="s">
        <v>203</v>
      </c>
    </row>
    <row r="163" spans="1:11" x14ac:dyDescent="0.25">
      <c r="A163" s="19" t="s">
        <v>710</v>
      </c>
      <c r="B163" s="19" t="s">
        <v>657</v>
      </c>
      <c r="C163" s="19" t="s">
        <v>696</v>
      </c>
      <c r="D163" s="38" t="s">
        <v>711</v>
      </c>
      <c r="E163" s="19" t="s">
        <v>28</v>
      </c>
      <c r="F163" s="19" t="s">
        <v>494</v>
      </c>
      <c r="G163" s="19" t="s">
        <v>17</v>
      </c>
      <c r="H163" s="36" t="s">
        <v>712</v>
      </c>
      <c r="I163" s="36" t="s">
        <v>713</v>
      </c>
      <c r="J163" s="19">
        <v>12</v>
      </c>
      <c r="K163" s="19" t="s">
        <v>203</v>
      </c>
    </row>
    <row r="164" spans="1:11" x14ac:dyDescent="0.25">
      <c r="A164" s="19" t="s">
        <v>714</v>
      </c>
      <c r="B164" s="19" t="s">
        <v>657</v>
      </c>
      <c r="C164" s="19" t="s">
        <v>696</v>
      </c>
      <c r="D164" s="38" t="s">
        <v>715</v>
      </c>
      <c r="E164" s="19" t="s">
        <v>28</v>
      </c>
      <c r="F164" s="19" t="s">
        <v>489</v>
      </c>
      <c r="G164" s="19" t="s">
        <v>71</v>
      </c>
      <c r="H164" s="36" t="s">
        <v>716</v>
      </c>
      <c r="I164" s="36" t="s">
        <v>717</v>
      </c>
      <c r="J164" s="19">
        <v>12</v>
      </c>
      <c r="K164" s="19" t="s">
        <v>203</v>
      </c>
    </row>
    <row r="165" spans="1:11" ht="30" x14ac:dyDescent="0.25">
      <c r="A165" s="19" t="s">
        <v>718</v>
      </c>
      <c r="B165" s="19" t="s">
        <v>657</v>
      </c>
      <c r="C165" s="19" t="s">
        <v>696</v>
      </c>
      <c r="D165" s="38" t="s">
        <v>719</v>
      </c>
      <c r="E165" s="19" t="s">
        <v>59</v>
      </c>
      <c r="F165" s="19" t="s">
        <v>720</v>
      </c>
      <c r="G165" s="19" t="s">
        <v>17</v>
      </c>
      <c r="H165" s="36" t="s">
        <v>721</v>
      </c>
      <c r="I165" s="36" t="s">
        <v>722</v>
      </c>
      <c r="J165" s="19">
        <v>12</v>
      </c>
      <c r="K165" s="19" t="s">
        <v>203</v>
      </c>
    </row>
    <row r="166" spans="1:11" x14ac:dyDescent="0.25">
      <c r="A166" s="19" t="s">
        <v>723</v>
      </c>
      <c r="B166" s="19" t="s">
        <v>657</v>
      </c>
      <c r="C166" s="19" t="s">
        <v>696</v>
      </c>
      <c r="D166" s="38" t="s">
        <v>724</v>
      </c>
      <c r="E166" s="19" t="s">
        <v>59</v>
      </c>
      <c r="F166" s="19" t="s">
        <v>725</v>
      </c>
      <c r="G166" s="19" t="s">
        <v>71</v>
      </c>
      <c r="H166" s="36" t="s">
        <v>726</v>
      </c>
      <c r="I166" s="36" t="s">
        <v>727</v>
      </c>
      <c r="J166" s="19">
        <v>12</v>
      </c>
      <c r="K166" s="19" t="s">
        <v>203</v>
      </c>
    </row>
    <row r="167" spans="1:11" ht="90" x14ac:dyDescent="0.25">
      <c r="A167" s="19" t="s">
        <v>728</v>
      </c>
      <c r="B167" s="19" t="s">
        <v>657</v>
      </c>
      <c r="C167" s="19" t="s">
        <v>696</v>
      </c>
      <c r="D167" s="38" t="s">
        <v>822</v>
      </c>
      <c r="E167" s="19" t="s">
        <v>311</v>
      </c>
      <c r="F167" s="19" t="s">
        <v>312</v>
      </c>
      <c r="G167" s="19" t="s">
        <v>35</v>
      </c>
      <c r="H167" s="36" t="s">
        <v>823</v>
      </c>
      <c r="I167" s="36" t="s">
        <v>824</v>
      </c>
      <c r="J167" s="19">
        <v>12</v>
      </c>
      <c r="K167" s="19" t="s">
        <v>203</v>
      </c>
    </row>
    <row r="168" spans="1:11" ht="30" x14ac:dyDescent="0.25">
      <c r="A168" s="19" t="s">
        <v>729</v>
      </c>
      <c r="B168" s="19" t="s">
        <v>657</v>
      </c>
      <c r="C168" s="19" t="s">
        <v>696</v>
      </c>
      <c r="D168" s="38" t="s">
        <v>730</v>
      </c>
      <c r="E168" s="19" t="s">
        <v>15</v>
      </c>
      <c r="F168" s="19" t="s">
        <v>555</v>
      </c>
      <c r="G168" s="19" t="s">
        <v>17</v>
      </c>
      <c r="H168" s="36" t="s">
        <v>731</v>
      </c>
      <c r="I168" s="36" t="s">
        <v>732</v>
      </c>
      <c r="J168" s="19">
        <v>12</v>
      </c>
      <c r="K168" s="19" t="s">
        <v>203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topLeftCell="A3" workbookViewId="0">
      <selection activeCell="B12" sqref="B12"/>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733</v>
      </c>
      <c r="C1" s="2" t="s">
        <v>734</v>
      </c>
      <c r="D1" s="2" t="s">
        <v>735</v>
      </c>
      <c r="E1" s="2" t="s">
        <v>736</v>
      </c>
      <c r="F1" s="2" t="s">
        <v>9</v>
      </c>
    </row>
    <row r="2" spans="1:9" ht="60" customHeight="1" x14ac:dyDescent="0.25">
      <c r="A2" s="1" t="s">
        <v>13</v>
      </c>
      <c r="B2" s="3" t="s">
        <v>12</v>
      </c>
      <c r="C2" s="1" t="s">
        <v>737</v>
      </c>
      <c r="D2" s="1" t="s">
        <v>738</v>
      </c>
      <c r="E2" s="1">
        <f>COUNTIF(Backlog!C:C,A2)</f>
        <v>12</v>
      </c>
      <c r="F2" s="1">
        <f>SUMIF(Backlog!C:C,A2,Backlog!J:J)</f>
        <v>84</v>
      </c>
    </row>
    <row r="3" spans="1:9" ht="60" customHeight="1" x14ac:dyDescent="0.25">
      <c r="A3" s="1" t="s">
        <v>80</v>
      </c>
      <c r="B3" s="3" t="s">
        <v>12</v>
      </c>
      <c r="C3" s="1" t="s">
        <v>739</v>
      </c>
      <c r="D3" s="1" t="s">
        <v>740</v>
      </c>
      <c r="E3" s="1">
        <f>COUNTIF(Backlog!C:C,A3)</f>
        <v>17</v>
      </c>
      <c r="F3" s="1">
        <f>SUMIF(Backlog!C:C,A3,Backlog!J:J)</f>
        <v>114</v>
      </c>
    </row>
    <row r="4" spans="1:9" ht="60" customHeight="1" x14ac:dyDescent="0.25">
      <c r="A4" s="1" t="s">
        <v>151</v>
      </c>
      <c r="B4" s="3" t="s">
        <v>12</v>
      </c>
      <c r="C4" s="1" t="s">
        <v>741</v>
      </c>
      <c r="D4" s="1" t="s">
        <v>742</v>
      </c>
      <c r="E4" s="1">
        <f>COUNTIF(Backlog!C:C,A4)</f>
        <v>11</v>
      </c>
      <c r="F4" s="1">
        <f>SUMIF(Backlog!C:C,A4,Backlog!J:J)</f>
        <v>107</v>
      </c>
      <c r="H4" s="21" t="s">
        <v>825</v>
      </c>
      <c r="I4" s="22">
        <v>574</v>
      </c>
    </row>
    <row r="5" spans="1:9" ht="60" customHeight="1" x14ac:dyDescent="0.25">
      <c r="A5" s="1" t="s">
        <v>199</v>
      </c>
      <c r="B5" s="3" t="s">
        <v>12</v>
      </c>
      <c r="C5" s="1" t="s">
        <v>743</v>
      </c>
      <c r="D5" s="1" t="s">
        <v>744</v>
      </c>
      <c r="E5" s="1">
        <f>COUNTIF(Backlog!C:C,A5)</f>
        <v>12</v>
      </c>
      <c r="F5" s="1">
        <f>SUMIF(Backlog!C:C,A5,Backlog!J:J)</f>
        <v>80</v>
      </c>
      <c r="H5" s="23" t="s">
        <v>826</v>
      </c>
      <c r="I5" s="22">
        <f>SUMIFS(Backlog!$J$2:$J$168,Backlog!$B$2:$B$168,"M1",Backlog!$K$2:$K$168,"Done")</f>
        <v>383</v>
      </c>
    </row>
    <row r="6" spans="1:9" ht="60" customHeight="1" x14ac:dyDescent="0.25">
      <c r="A6" s="1" t="s">
        <v>238</v>
      </c>
      <c r="B6" s="3" t="s">
        <v>12</v>
      </c>
      <c r="C6" s="1" t="s">
        <v>745</v>
      </c>
      <c r="D6" s="1" t="s">
        <v>746</v>
      </c>
      <c r="E6" s="1">
        <f>COUNTIF(Backlog!C:C,A6)</f>
        <v>16</v>
      </c>
      <c r="F6" s="1">
        <f>SUMIF(Backlog!C:C,A6,Backlog!J:J)</f>
        <v>106</v>
      </c>
      <c r="H6" s="23" t="s">
        <v>827</v>
      </c>
      <c r="I6" s="22">
        <f>I4-I5</f>
        <v>191</v>
      </c>
    </row>
    <row r="7" spans="1:9" ht="60" customHeight="1" x14ac:dyDescent="0.25">
      <c r="A7" s="1" t="s">
        <v>309</v>
      </c>
      <c r="B7" s="3" t="s">
        <v>12</v>
      </c>
      <c r="C7" s="1" t="s">
        <v>747</v>
      </c>
      <c r="D7" s="1" t="s">
        <v>748</v>
      </c>
      <c r="E7" s="1">
        <f>COUNTIF(Backlog!C:C,A7)</f>
        <v>15</v>
      </c>
      <c r="F7" s="1">
        <f>SUMIF(Backlog!C:C,A7,Backlog!J:J)</f>
        <v>83</v>
      </c>
      <c r="H7" s="23" t="s">
        <v>828</v>
      </c>
      <c r="I7" s="24">
        <f>I5/I4</f>
        <v>0.66724738675958184</v>
      </c>
    </row>
    <row r="8" spans="1:9" ht="60" customHeight="1" x14ac:dyDescent="0.25">
      <c r="A8" s="1" t="s">
        <v>373</v>
      </c>
      <c r="B8" s="4" t="s">
        <v>372</v>
      </c>
      <c r="C8" s="1" t="s">
        <v>749</v>
      </c>
      <c r="D8" s="1" t="s">
        <v>750</v>
      </c>
      <c r="E8" s="1">
        <f>COUNTIF(Backlog!C:C,A8)</f>
        <v>11</v>
      </c>
      <c r="F8" s="1">
        <f>SUMIF(Backlog!C:C,A8,Backlog!J:J)</f>
        <v>114</v>
      </c>
    </row>
    <row r="9" spans="1:9" ht="60" customHeight="1" x14ac:dyDescent="0.25">
      <c r="A9" s="1" t="s">
        <v>419</v>
      </c>
      <c r="B9" s="4" t="s">
        <v>372</v>
      </c>
      <c r="C9" s="1" t="s">
        <v>751</v>
      </c>
      <c r="D9" s="1" t="s">
        <v>752</v>
      </c>
      <c r="E9" s="1">
        <f>COUNTIF(Backlog!C:C,A9)</f>
        <v>11</v>
      </c>
      <c r="F9" s="1">
        <f>SUMIF(Backlog!C:C,A9,Backlog!J:J)</f>
        <v>92</v>
      </c>
    </row>
    <row r="10" spans="1:9" ht="60" customHeight="1" x14ac:dyDescent="0.25">
      <c r="A10" s="1" t="s">
        <v>466</v>
      </c>
      <c r="B10" s="4" t="s">
        <v>372</v>
      </c>
      <c r="C10" s="1" t="s">
        <v>753</v>
      </c>
      <c r="D10" s="1" t="s">
        <v>754</v>
      </c>
      <c r="E10" s="1">
        <f>COUNTIF(Backlog!C:C,A10)</f>
        <v>12</v>
      </c>
      <c r="F10" s="1">
        <f>SUMIF(Backlog!C:C,A10,Backlog!J:J)</f>
        <v>106</v>
      </c>
    </row>
    <row r="11" spans="1:9" ht="60" customHeight="1" x14ac:dyDescent="0.25">
      <c r="A11" s="1" t="s">
        <v>516</v>
      </c>
      <c r="B11" s="4" t="s">
        <v>372</v>
      </c>
      <c r="C11" s="1" t="s">
        <v>755</v>
      </c>
      <c r="D11" s="1" t="s">
        <v>756</v>
      </c>
      <c r="E11" s="1">
        <f>COUNTIF(Backlog!C:C,A11)</f>
        <v>10</v>
      </c>
      <c r="F11" s="1">
        <f>SUMIF(Backlog!C:C,A11,Backlog!J:J)</f>
        <v>120</v>
      </c>
    </row>
    <row r="12" spans="1:9" ht="60" customHeight="1" x14ac:dyDescent="0.25">
      <c r="A12" s="1" t="s">
        <v>564</v>
      </c>
      <c r="B12" s="5" t="s">
        <v>563</v>
      </c>
      <c r="C12" s="1" t="s">
        <v>757</v>
      </c>
      <c r="D12" s="1" t="s">
        <v>758</v>
      </c>
      <c r="E12" s="1">
        <f>COUNTIF(Backlog!C:C,A12)</f>
        <v>11</v>
      </c>
      <c r="F12" s="1">
        <f>SUMIF(Backlog!C:C,A12,Backlog!J:J)</f>
        <v>119</v>
      </c>
    </row>
    <row r="13" spans="1:9" ht="60" customHeight="1" x14ac:dyDescent="0.25">
      <c r="A13" s="1" t="s">
        <v>613</v>
      </c>
      <c r="B13" s="5" t="s">
        <v>563</v>
      </c>
      <c r="C13" s="1" t="s">
        <v>759</v>
      </c>
      <c r="D13" s="1" t="s">
        <v>760</v>
      </c>
      <c r="E13" s="1">
        <f>COUNTIF(Backlog!C:C,A13)</f>
        <v>12</v>
      </c>
      <c r="F13" s="1">
        <f>SUMIF(Backlog!C:C,A13,Backlog!J:J)</f>
        <v>114</v>
      </c>
    </row>
    <row r="14" spans="1:9" ht="60" customHeight="1" x14ac:dyDescent="0.25">
      <c r="A14" s="1" t="s">
        <v>658</v>
      </c>
      <c r="B14" s="6" t="s">
        <v>657</v>
      </c>
      <c r="C14" s="1" t="s">
        <v>761</v>
      </c>
      <c r="D14" s="1" t="s">
        <v>762</v>
      </c>
      <c r="E14" s="1">
        <f>COUNTIF(Backlog!C:C,A14)</f>
        <v>8</v>
      </c>
      <c r="F14" s="1">
        <f>SUMIF(Backlog!C:C,A14,Backlog!J:J)</f>
        <v>96</v>
      </c>
    </row>
    <row r="15" spans="1:9" ht="60" customHeight="1" x14ac:dyDescent="0.25">
      <c r="A15" s="1" t="s">
        <v>696</v>
      </c>
      <c r="B15" s="6" t="s">
        <v>657</v>
      </c>
      <c r="C15" s="1" t="s">
        <v>763</v>
      </c>
      <c r="D15" s="1" t="s">
        <v>764</v>
      </c>
      <c r="E15" s="1">
        <f>COUNTIF(Backlog!C:C,A15)</f>
        <v>9</v>
      </c>
      <c r="F15" s="1">
        <f>SUMIF(Backlog!C:C,A15,Backlog!J:J)</f>
        <v>108</v>
      </c>
    </row>
    <row r="16" spans="1:9" x14ac:dyDescent="0.25">
      <c r="C16" s="7" t="s">
        <v>765</v>
      </c>
      <c r="E16" s="7">
        <f>SUM(E2:E15)</f>
        <v>167</v>
      </c>
      <c r="F16" s="7">
        <f>SUM(F2:F15)</f>
        <v>1443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733</v>
      </c>
      <c r="B1" s="8" t="s">
        <v>766</v>
      </c>
      <c r="C1" s="8" t="s">
        <v>736</v>
      </c>
      <c r="D1" s="8" t="s">
        <v>9</v>
      </c>
      <c r="E1" s="8" t="s">
        <v>17</v>
      </c>
      <c r="F1" s="8" t="s">
        <v>71</v>
      </c>
    </row>
    <row r="2" spans="1:6" ht="33.950000000000003" customHeight="1" x14ac:dyDescent="0.25">
      <c r="A2" s="9" t="s">
        <v>12</v>
      </c>
      <c r="B2" s="1" t="s">
        <v>829</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372</v>
      </c>
      <c r="B3" s="1" t="s">
        <v>767</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563</v>
      </c>
      <c r="B4" s="1" t="s">
        <v>768</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657</v>
      </c>
      <c r="B5" s="1" t="s">
        <v>769</v>
      </c>
      <c r="C5" s="1">
        <f>COUNTIF(Backlog!B:B,A5)</f>
        <v>17</v>
      </c>
      <c r="D5" s="1">
        <f>SUMIF(Backlog!B:B,A5,Backlog!J:J)</f>
        <v>204</v>
      </c>
      <c r="E5" s="1">
        <f>COUNTIFS(Backlog!B:B,A5,Backlog!G:G,"Critical")</f>
        <v>8</v>
      </c>
      <c r="F5" s="1">
        <f>COUNTIFS(Backlog!B:B,A5,Backlog!G:G,"Very Important")</f>
        <v>8</v>
      </c>
    </row>
    <row r="6" spans="1:6" x14ac:dyDescent="0.25">
      <c r="B6" s="7" t="s">
        <v>765</v>
      </c>
      <c r="C6" s="13">
        <f>SUM(C2:C5)</f>
        <v>167</v>
      </c>
      <c r="D6" s="13">
        <f>SUM(D2:D5)</f>
        <v>1443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heetViews>
  <sheetFormatPr defaultRowHeight="15" x14ac:dyDescent="0.25"/>
  <cols>
    <col min="1" max="1" width="28" customWidth="1"/>
    <col min="2" max="2" width="115" customWidth="1"/>
  </cols>
  <sheetData>
    <row r="1" spans="1:2" ht="15.6" customHeight="1" x14ac:dyDescent="0.25">
      <c r="A1" s="14" t="s">
        <v>830</v>
      </c>
    </row>
    <row r="3" spans="1:2" ht="15" customHeight="1" x14ac:dyDescent="0.25">
      <c r="A3" s="15" t="s">
        <v>770</v>
      </c>
      <c r="B3" s="16" t="s">
        <v>771</v>
      </c>
    </row>
    <row r="4" spans="1:2" ht="15" customHeight="1" x14ac:dyDescent="0.25">
      <c r="A4" s="15" t="s">
        <v>0</v>
      </c>
      <c r="B4" s="16" t="s">
        <v>772</v>
      </c>
    </row>
    <row r="5" spans="1:2" ht="15" customHeight="1" x14ac:dyDescent="0.25">
      <c r="A5" s="15" t="s">
        <v>1</v>
      </c>
      <c r="B5" s="16" t="s">
        <v>773</v>
      </c>
    </row>
    <row r="6" spans="1:2" ht="15" customHeight="1" x14ac:dyDescent="0.25">
      <c r="A6" s="15" t="s">
        <v>2</v>
      </c>
      <c r="B6" s="16" t="s">
        <v>774</v>
      </c>
    </row>
    <row r="7" spans="1:2" ht="15" customHeight="1" x14ac:dyDescent="0.25">
      <c r="A7" s="15" t="s">
        <v>6</v>
      </c>
      <c r="B7" s="16" t="s">
        <v>775</v>
      </c>
    </row>
    <row r="8" spans="1:2" ht="15" customHeight="1" x14ac:dyDescent="0.25">
      <c r="A8" s="15" t="s">
        <v>9</v>
      </c>
      <c r="B8" s="16" t="s">
        <v>776</v>
      </c>
    </row>
    <row r="9" spans="1:2" ht="21.6" customHeight="1" x14ac:dyDescent="0.25">
      <c r="A9" s="15" t="s">
        <v>777</v>
      </c>
      <c r="B9" s="16" t="s">
        <v>778</v>
      </c>
    </row>
    <row r="10" spans="1:2" ht="15" customHeight="1" x14ac:dyDescent="0.25">
      <c r="A10" s="15" t="s">
        <v>779</v>
      </c>
      <c r="B10" s="16" t="s">
        <v>780</v>
      </c>
    </row>
    <row r="11" spans="1:2" ht="15" customHeight="1" x14ac:dyDescent="0.25">
      <c r="A11" s="15"/>
      <c r="B11" s="16"/>
    </row>
    <row r="12" spans="1:2" ht="15" customHeight="1" x14ac:dyDescent="0.25">
      <c r="A12" s="15" t="s">
        <v>781</v>
      </c>
      <c r="B12" s="16" t="s">
        <v>782</v>
      </c>
    </row>
    <row r="13" spans="1:2" ht="15" customHeight="1" x14ac:dyDescent="0.25">
      <c r="A13" s="15" t="s">
        <v>783</v>
      </c>
      <c r="B13" s="16" t="s">
        <v>784</v>
      </c>
    </row>
    <row r="14" spans="1:2" ht="15" customHeight="1" x14ac:dyDescent="0.25">
      <c r="A14" s="15" t="s">
        <v>785</v>
      </c>
      <c r="B14" s="16" t="s">
        <v>786</v>
      </c>
    </row>
    <row r="15" spans="1:2" ht="15" customHeight="1" x14ac:dyDescent="0.25">
      <c r="A15" s="15" t="s">
        <v>787</v>
      </c>
      <c r="B15" s="16" t="s">
        <v>788</v>
      </c>
    </row>
    <row r="16" spans="1:2" ht="15" customHeight="1" x14ac:dyDescent="0.25">
      <c r="A16" s="15"/>
      <c r="B16" s="16"/>
    </row>
    <row r="17" spans="1:2" ht="15" customHeight="1" x14ac:dyDescent="0.25">
      <c r="A17" s="15" t="s">
        <v>789</v>
      </c>
      <c r="B17" s="16" t="s">
        <v>790</v>
      </c>
    </row>
    <row r="18" spans="1:2" ht="21.6" customHeight="1" x14ac:dyDescent="0.25">
      <c r="A18" s="15" t="s">
        <v>791</v>
      </c>
      <c r="B18" s="16" t="s">
        <v>831</v>
      </c>
    </row>
    <row r="19" spans="1:2" ht="26.45" customHeight="1" x14ac:dyDescent="0.25">
      <c r="A19" s="20" t="s">
        <v>832</v>
      </c>
      <c r="B19" s="18" t="s">
        <v>833</v>
      </c>
    </row>
    <row r="20" spans="1:2" ht="26.45" customHeight="1" x14ac:dyDescent="0.25">
      <c r="A20" s="20" t="s">
        <v>834</v>
      </c>
      <c r="B20" s="18" t="s">
        <v>835</v>
      </c>
    </row>
    <row r="21" spans="1:2" ht="26.45" customHeight="1" x14ac:dyDescent="0.25">
      <c r="A21" s="20" t="s">
        <v>836</v>
      </c>
      <c r="B21" s="18" t="s">
        <v>837</v>
      </c>
    </row>
    <row r="22" spans="1:2" ht="26.45" customHeight="1" x14ac:dyDescent="0.25">
      <c r="A22" s="20" t="s">
        <v>838</v>
      </c>
      <c r="B22" s="18" t="s">
        <v>839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8"/>
  <sheetViews>
    <sheetView topLeftCell="A15" workbookViewId="0">
      <selection sqref="A1:F1"/>
    </sheetView>
  </sheetViews>
  <sheetFormatPr defaultRowHeight="15" x14ac:dyDescent="0.25"/>
  <cols>
    <col min="1" max="1" width="12" customWidth="1"/>
    <col min="2" max="2" width="48" customWidth="1"/>
    <col min="3" max="3" width="22" customWidth="1"/>
    <col min="4" max="4" width="17" customWidth="1"/>
    <col min="5" max="5" width="18" customWidth="1"/>
    <col min="6" max="6" width="62" customWidth="1"/>
    <col min="8" max="8" width="22" customWidth="1"/>
    <col min="9" max="9" width="14" customWidth="1"/>
  </cols>
  <sheetData>
    <row r="1" spans="1:9" ht="19.149999999999999" customHeight="1" x14ac:dyDescent="0.25">
      <c r="A1" s="29" t="s">
        <v>840</v>
      </c>
      <c r="B1" s="29"/>
      <c r="C1" s="29"/>
      <c r="D1" s="29"/>
      <c r="E1" s="29"/>
      <c r="F1" s="29"/>
      <c r="H1" s="25" t="s">
        <v>841</v>
      </c>
      <c r="I1" s="25" t="s">
        <v>842</v>
      </c>
    </row>
    <row r="2" spans="1:9" ht="15" customHeight="1" x14ac:dyDescent="0.25">
      <c r="A2" s="30" t="s">
        <v>843</v>
      </c>
      <c r="B2" s="30"/>
      <c r="C2" s="30"/>
      <c r="D2" s="30"/>
      <c r="E2" s="30"/>
      <c r="F2" s="30"/>
      <c r="H2" s="27" t="s">
        <v>844</v>
      </c>
      <c r="I2" s="28">
        <f>COUNTA(A8:A38)</f>
        <v>31</v>
      </c>
    </row>
    <row r="3" spans="1:9" ht="15" customHeight="1" x14ac:dyDescent="0.25">
      <c r="H3" s="27" t="s">
        <v>845</v>
      </c>
      <c r="I3" s="28">
        <f>COUNTIF(E8:E38,"NEW TASK REQUIRED")</f>
        <v>0</v>
      </c>
    </row>
    <row r="4" spans="1:9" ht="15" customHeight="1" x14ac:dyDescent="0.25">
      <c r="H4" s="27" t="s">
        <v>846</v>
      </c>
      <c r="I4" s="28">
        <f>COUNTIF(E8:E38,"EXPANDED")</f>
        <v>11</v>
      </c>
    </row>
    <row r="5" spans="1:9" ht="15" customHeight="1" x14ac:dyDescent="0.25">
      <c r="H5" s="27" t="s">
        <v>847</v>
      </c>
      <c r="I5" s="28">
        <f>COUNTIF(E8:E38,"EXISTING")</f>
        <v>16</v>
      </c>
    </row>
    <row r="6" spans="1:9" ht="15" customHeight="1" x14ac:dyDescent="0.25">
      <c r="H6" s="27" t="s">
        <v>848</v>
      </c>
      <c r="I6" s="28">
        <f>COUNTIF(E8:E38,"GLOBAL LAW")</f>
        <v>4</v>
      </c>
    </row>
    <row r="7" spans="1:9" ht="15" customHeight="1" x14ac:dyDescent="0.25">
      <c r="A7" s="26" t="s">
        <v>849</v>
      </c>
      <c r="B7" s="26" t="s">
        <v>850</v>
      </c>
      <c r="C7" s="26" t="s">
        <v>851</v>
      </c>
      <c r="D7" s="26" t="s">
        <v>852</v>
      </c>
      <c r="E7" s="26" t="s">
        <v>853</v>
      </c>
      <c r="F7" s="26" t="s">
        <v>854</v>
      </c>
    </row>
    <row r="8" spans="1:9" ht="15" customHeight="1" x14ac:dyDescent="0.25">
      <c r="A8" s="18" t="s">
        <v>855</v>
      </c>
      <c r="B8" s="18" t="s">
        <v>856</v>
      </c>
      <c r="C8" s="18" t="s">
        <v>644</v>
      </c>
      <c r="D8" s="18" t="s">
        <v>613</v>
      </c>
      <c r="E8" s="18" t="s">
        <v>857</v>
      </c>
      <c r="F8" s="18" t="s">
        <v>858</v>
      </c>
    </row>
    <row r="9" spans="1:9" ht="15" customHeight="1" x14ac:dyDescent="0.25">
      <c r="A9" s="18" t="s">
        <v>859</v>
      </c>
      <c r="B9" s="18" t="s">
        <v>860</v>
      </c>
      <c r="C9" s="18" t="s">
        <v>644</v>
      </c>
      <c r="D9" s="18" t="s">
        <v>613</v>
      </c>
      <c r="E9" s="18" t="s">
        <v>857</v>
      </c>
      <c r="F9" s="18" t="s">
        <v>861</v>
      </c>
    </row>
    <row r="10" spans="1:9" ht="15" customHeight="1" x14ac:dyDescent="0.25">
      <c r="A10" s="18" t="s">
        <v>862</v>
      </c>
      <c r="B10" s="18" t="s">
        <v>863</v>
      </c>
      <c r="C10" s="18" t="s">
        <v>646</v>
      </c>
      <c r="D10" s="18" t="s">
        <v>613</v>
      </c>
      <c r="E10" s="18" t="s">
        <v>864</v>
      </c>
      <c r="F10" s="18" t="s">
        <v>865</v>
      </c>
    </row>
    <row r="11" spans="1:9" ht="15" customHeight="1" x14ac:dyDescent="0.25">
      <c r="A11" s="18" t="s">
        <v>866</v>
      </c>
      <c r="B11" s="18" t="s">
        <v>867</v>
      </c>
      <c r="C11" s="18" t="s">
        <v>868</v>
      </c>
      <c r="D11" s="18" t="s">
        <v>199</v>
      </c>
      <c r="E11" s="18" t="s">
        <v>864</v>
      </c>
      <c r="F11" s="18" t="s">
        <v>869</v>
      </c>
    </row>
    <row r="12" spans="1:9" ht="26.45" customHeight="1" x14ac:dyDescent="0.25">
      <c r="A12" s="18" t="s">
        <v>870</v>
      </c>
      <c r="B12" s="18" t="s">
        <v>871</v>
      </c>
      <c r="C12" s="18" t="s">
        <v>212</v>
      </c>
      <c r="D12" s="18" t="s">
        <v>199</v>
      </c>
      <c r="E12" s="18" t="s">
        <v>857</v>
      </c>
      <c r="F12" s="18" t="s">
        <v>872</v>
      </c>
    </row>
    <row r="13" spans="1:9" ht="15" customHeight="1" x14ac:dyDescent="0.25">
      <c r="A13" s="18" t="s">
        <v>873</v>
      </c>
      <c r="B13" s="18" t="s">
        <v>874</v>
      </c>
      <c r="C13" s="18" t="s">
        <v>213</v>
      </c>
      <c r="D13" s="18" t="s">
        <v>199</v>
      </c>
      <c r="E13" s="18" t="s">
        <v>857</v>
      </c>
      <c r="F13" s="18" t="s">
        <v>875</v>
      </c>
    </row>
    <row r="14" spans="1:9" ht="15" customHeight="1" x14ac:dyDescent="0.25">
      <c r="A14" s="18" t="s">
        <v>876</v>
      </c>
      <c r="B14" s="18" t="s">
        <v>877</v>
      </c>
      <c r="C14" s="18" t="s">
        <v>214</v>
      </c>
      <c r="D14" s="18" t="s">
        <v>199</v>
      </c>
      <c r="E14" s="18" t="s">
        <v>857</v>
      </c>
      <c r="F14" s="18" t="s">
        <v>878</v>
      </c>
    </row>
    <row r="15" spans="1:9" ht="26.45" customHeight="1" x14ac:dyDescent="0.25">
      <c r="A15" s="18" t="s">
        <v>879</v>
      </c>
      <c r="B15" s="18" t="s">
        <v>880</v>
      </c>
      <c r="C15" s="18" t="s">
        <v>216</v>
      </c>
      <c r="D15" s="18" t="s">
        <v>199</v>
      </c>
      <c r="E15" s="18" t="s">
        <v>857</v>
      </c>
      <c r="F15" s="18" t="s">
        <v>881</v>
      </c>
    </row>
    <row r="16" spans="1:9" ht="15" customHeight="1" x14ac:dyDescent="0.25">
      <c r="A16" s="18" t="s">
        <v>882</v>
      </c>
      <c r="B16" s="18" t="s">
        <v>883</v>
      </c>
      <c r="C16" s="18" t="s">
        <v>316</v>
      </c>
      <c r="D16" s="18" t="s">
        <v>309</v>
      </c>
      <c r="E16" s="18" t="s">
        <v>857</v>
      </c>
      <c r="F16" s="18" t="s">
        <v>884</v>
      </c>
    </row>
    <row r="17" spans="1:6" ht="15" customHeight="1" x14ac:dyDescent="0.25">
      <c r="A17" s="18" t="s">
        <v>885</v>
      </c>
      <c r="B17" s="18" t="s">
        <v>886</v>
      </c>
      <c r="C17" s="18" t="s">
        <v>318</v>
      </c>
      <c r="D17" s="18" t="s">
        <v>309</v>
      </c>
      <c r="E17" s="18" t="s">
        <v>864</v>
      </c>
      <c r="F17" s="18" t="s">
        <v>887</v>
      </c>
    </row>
    <row r="18" spans="1:6" ht="15" customHeight="1" x14ac:dyDescent="0.25">
      <c r="A18" s="18" t="s">
        <v>888</v>
      </c>
      <c r="B18" s="18" t="s">
        <v>889</v>
      </c>
      <c r="C18" s="18" t="s">
        <v>322</v>
      </c>
      <c r="D18" s="18" t="s">
        <v>309</v>
      </c>
      <c r="E18" s="18" t="s">
        <v>864</v>
      </c>
      <c r="F18" s="18" t="s">
        <v>887</v>
      </c>
    </row>
    <row r="19" spans="1:6" ht="15" customHeight="1" x14ac:dyDescent="0.25">
      <c r="A19" s="18" t="s">
        <v>890</v>
      </c>
      <c r="B19" s="18" t="s">
        <v>891</v>
      </c>
      <c r="C19" s="18" t="s">
        <v>327</v>
      </c>
      <c r="D19" s="18" t="s">
        <v>309</v>
      </c>
      <c r="E19" s="18" t="s">
        <v>864</v>
      </c>
      <c r="F19" s="18" t="s">
        <v>887</v>
      </c>
    </row>
    <row r="20" spans="1:6" ht="15" customHeight="1" x14ac:dyDescent="0.25">
      <c r="A20" s="18" t="s">
        <v>892</v>
      </c>
      <c r="B20" s="18" t="s">
        <v>893</v>
      </c>
      <c r="C20" s="18" t="s">
        <v>331</v>
      </c>
      <c r="D20" s="18" t="s">
        <v>309</v>
      </c>
      <c r="E20" s="18" t="s">
        <v>864</v>
      </c>
      <c r="F20" s="18" t="s">
        <v>887</v>
      </c>
    </row>
    <row r="21" spans="1:6" ht="15" customHeight="1" x14ac:dyDescent="0.25">
      <c r="A21" s="18" t="s">
        <v>894</v>
      </c>
      <c r="B21" s="18" t="s">
        <v>895</v>
      </c>
      <c r="C21" s="18" t="s">
        <v>335</v>
      </c>
      <c r="D21" s="18" t="s">
        <v>309</v>
      </c>
      <c r="E21" s="18" t="s">
        <v>864</v>
      </c>
      <c r="F21" s="18" t="s">
        <v>887</v>
      </c>
    </row>
    <row r="22" spans="1:6" ht="26.45" customHeight="1" x14ac:dyDescent="0.25">
      <c r="A22" s="18" t="s">
        <v>896</v>
      </c>
      <c r="B22" s="18" t="s">
        <v>897</v>
      </c>
      <c r="C22" s="18" t="s">
        <v>898</v>
      </c>
      <c r="D22" s="18" t="s">
        <v>899</v>
      </c>
      <c r="E22" s="18" t="s">
        <v>857</v>
      </c>
      <c r="F22" s="18" t="s">
        <v>900</v>
      </c>
    </row>
    <row r="23" spans="1:6" ht="15" customHeight="1" x14ac:dyDescent="0.25">
      <c r="A23" s="18" t="s">
        <v>901</v>
      </c>
      <c r="B23" s="18" t="s">
        <v>902</v>
      </c>
      <c r="C23" s="18" t="s">
        <v>898</v>
      </c>
      <c r="D23" s="18" t="s">
        <v>899</v>
      </c>
      <c r="E23" s="18" t="s">
        <v>857</v>
      </c>
      <c r="F23" s="18" t="s">
        <v>903</v>
      </c>
    </row>
    <row r="24" spans="1:6" ht="15" customHeight="1" x14ac:dyDescent="0.25">
      <c r="A24" s="18" t="s">
        <v>904</v>
      </c>
      <c r="B24" s="18" t="s">
        <v>905</v>
      </c>
      <c r="C24" s="18" t="s">
        <v>906</v>
      </c>
      <c r="D24" s="18" t="s">
        <v>907</v>
      </c>
      <c r="E24" s="18" t="s">
        <v>864</v>
      </c>
      <c r="F24" s="18" t="s">
        <v>908</v>
      </c>
    </row>
    <row r="25" spans="1:6" ht="15" customHeight="1" x14ac:dyDescent="0.25">
      <c r="A25" s="18" t="s">
        <v>909</v>
      </c>
      <c r="B25" s="18" t="s">
        <v>910</v>
      </c>
      <c r="C25" s="18" t="s">
        <v>655</v>
      </c>
      <c r="D25" s="18" t="s">
        <v>613</v>
      </c>
      <c r="E25" s="18" t="s">
        <v>857</v>
      </c>
      <c r="F25" s="18" t="s">
        <v>911</v>
      </c>
    </row>
    <row r="26" spans="1:6" ht="26.45" customHeight="1" x14ac:dyDescent="0.25">
      <c r="A26" s="18" t="s">
        <v>912</v>
      </c>
      <c r="B26" s="18" t="s">
        <v>913</v>
      </c>
      <c r="C26" s="18" t="s">
        <v>497</v>
      </c>
      <c r="D26" s="18" t="s">
        <v>466</v>
      </c>
      <c r="E26" s="18" t="s">
        <v>857</v>
      </c>
      <c r="F26" s="18" t="s">
        <v>914</v>
      </c>
    </row>
    <row r="27" spans="1:6" ht="15" customHeight="1" x14ac:dyDescent="0.25">
      <c r="A27" s="18" t="s">
        <v>915</v>
      </c>
      <c r="B27" s="18" t="s">
        <v>916</v>
      </c>
      <c r="C27" s="18" t="s">
        <v>492</v>
      </c>
      <c r="D27" s="18" t="s">
        <v>466</v>
      </c>
      <c r="E27" s="18" t="s">
        <v>864</v>
      </c>
      <c r="F27" s="18" t="s">
        <v>887</v>
      </c>
    </row>
    <row r="28" spans="1:6" ht="15" customHeight="1" x14ac:dyDescent="0.25">
      <c r="A28" s="18" t="s">
        <v>917</v>
      </c>
      <c r="B28" s="18" t="s">
        <v>918</v>
      </c>
      <c r="C28" s="18" t="s">
        <v>155</v>
      </c>
      <c r="D28" s="18" t="s">
        <v>151</v>
      </c>
      <c r="E28" s="18" t="s">
        <v>864</v>
      </c>
      <c r="F28" s="18" t="s">
        <v>919</v>
      </c>
    </row>
    <row r="29" spans="1:6" ht="15" customHeight="1" x14ac:dyDescent="0.25">
      <c r="A29" s="18" t="s">
        <v>920</v>
      </c>
      <c r="B29" s="18" t="s">
        <v>921</v>
      </c>
      <c r="C29" s="18" t="s">
        <v>922</v>
      </c>
      <c r="D29" s="18" t="s">
        <v>373</v>
      </c>
      <c r="E29" s="18" t="s">
        <v>864</v>
      </c>
      <c r="F29" s="18" t="s">
        <v>887</v>
      </c>
    </row>
    <row r="30" spans="1:6" ht="15" customHeight="1" x14ac:dyDescent="0.25">
      <c r="A30" s="18" t="s">
        <v>923</v>
      </c>
      <c r="B30" s="18" t="s">
        <v>924</v>
      </c>
      <c r="C30" s="18" t="s">
        <v>925</v>
      </c>
      <c r="D30" s="18" t="s">
        <v>373</v>
      </c>
      <c r="E30" s="18" t="s">
        <v>864</v>
      </c>
      <c r="F30" s="18" t="s">
        <v>887</v>
      </c>
    </row>
    <row r="31" spans="1:6" ht="15" customHeight="1" x14ac:dyDescent="0.25">
      <c r="A31" s="18" t="s">
        <v>926</v>
      </c>
      <c r="B31" s="18" t="s">
        <v>927</v>
      </c>
      <c r="C31" s="18" t="s">
        <v>928</v>
      </c>
      <c r="D31" s="18" t="s">
        <v>419</v>
      </c>
      <c r="E31" s="18" t="s">
        <v>864</v>
      </c>
      <c r="F31" s="18" t="s">
        <v>887</v>
      </c>
    </row>
    <row r="32" spans="1:6" ht="26.45" customHeight="1" x14ac:dyDescent="0.25">
      <c r="A32" s="18" t="s">
        <v>929</v>
      </c>
      <c r="B32" s="18" t="s">
        <v>930</v>
      </c>
      <c r="C32" s="18" t="s">
        <v>931</v>
      </c>
      <c r="D32" s="18" t="s">
        <v>564</v>
      </c>
      <c r="E32" s="18" t="s">
        <v>864</v>
      </c>
      <c r="F32" s="18" t="s">
        <v>887</v>
      </c>
    </row>
    <row r="33" spans="1:6" ht="15" customHeight="1" x14ac:dyDescent="0.25">
      <c r="A33" s="18" t="s">
        <v>932</v>
      </c>
      <c r="B33" s="18" t="s">
        <v>933</v>
      </c>
      <c r="C33" s="18" t="s">
        <v>934</v>
      </c>
      <c r="D33" s="18" t="s">
        <v>613</v>
      </c>
      <c r="E33" s="18" t="s">
        <v>864</v>
      </c>
      <c r="F33" s="18" t="s">
        <v>887</v>
      </c>
    </row>
    <row r="34" spans="1:6" ht="15" customHeight="1" x14ac:dyDescent="0.25">
      <c r="A34" s="18" t="s">
        <v>935</v>
      </c>
      <c r="B34" s="18" t="s">
        <v>936</v>
      </c>
      <c r="C34" s="18" t="s">
        <v>718</v>
      </c>
      <c r="D34" s="18" t="s">
        <v>696</v>
      </c>
      <c r="E34" s="18" t="s">
        <v>864</v>
      </c>
      <c r="F34" s="18" t="s">
        <v>887</v>
      </c>
    </row>
    <row r="35" spans="1:6" ht="15" customHeight="1" x14ac:dyDescent="0.25">
      <c r="A35" s="18" t="s">
        <v>937</v>
      </c>
      <c r="B35" s="18" t="s">
        <v>938</v>
      </c>
      <c r="C35" s="18" t="s">
        <v>939</v>
      </c>
      <c r="D35" s="18" t="s">
        <v>940</v>
      </c>
      <c r="E35" s="18" t="s">
        <v>941</v>
      </c>
      <c r="F35" s="18" t="s">
        <v>942</v>
      </c>
    </row>
    <row r="36" spans="1:6" ht="15" customHeight="1" x14ac:dyDescent="0.25">
      <c r="A36" s="18" t="s">
        <v>943</v>
      </c>
      <c r="B36" s="18" t="s">
        <v>944</v>
      </c>
      <c r="C36" s="18" t="s">
        <v>945</v>
      </c>
      <c r="D36" s="18" t="s">
        <v>940</v>
      </c>
      <c r="E36" s="18" t="s">
        <v>941</v>
      </c>
      <c r="F36" s="18" t="s">
        <v>946</v>
      </c>
    </row>
    <row r="37" spans="1:6" ht="15" customHeight="1" x14ac:dyDescent="0.25">
      <c r="A37" s="18" t="s">
        <v>947</v>
      </c>
      <c r="B37" s="18" t="s">
        <v>948</v>
      </c>
      <c r="C37" s="18" t="s">
        <v>949</v>
      </c>
      <c r="D37" s="18" t="s">
        <v>940</v>
      </c>
      <c r="E37" s="18" t="s">
        <v>941</v>
      </c>
      <c r="F37" s="18" t="s">
        <v>950</v>
      </c>
    </row>
    <row r="38" spans="1:6" ht="15" customHeight="1" x14ac:dyDescent="0.25">
      <c r="A38" s="18" t="s">
        <v>951</v>
      </c>
      <c r="B38" s="18" t="s">
        <v>952</v>
      </c>
      <c r="C38" s="18" t="s">
        <v>953</v>
      </c>
      <c r="D38" s="18" t="s">
        <v>940</v>
      </c>
      <c r="E38" s="18" t="s">
        <v>941</v>
      </c>
      <c r="F38" s="18" t="s">
        <v>954</v>
      </c>
    </row>
  </sheetData>
  <mergeCells count="2">
    <mergeCell ref="A1:F1"/>
    <mergeCell ref="A2:F2"/>
  </mergeCells>
  <conditionalFormatting sqref="E8:E38">
    <cfRule type="expression" dxfId="4" priority="1">
      <formula>E8="EXPANDED"</formula>
    </cfRule>
    <cfRule type="expression" dxfId="3" priority="2">
      <formula>E8="GLOBAL LAW"</formula>
    </cfRule>
    <cfRule type="expression" dxfId="2" priority="3">
      <formula>E8="EXISTING"</formula>
    </cfRule>
  </conditionalFormatting>
  <conditionalFormatting sqref="I3">
    <cfRule type="expression" dxfId="1" priority="4">
      <formula>I3=0</formula>
    </cfRule>
    <cfRule type="expression" dxfId="0" priority="5">
      <formula>I3&gt;0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Backlog</vt:lpstr>
      <vt:lpstr>Phase Summary</vt:lpstr>
      <vt:lpstr>Milestone Rollup</vt:lpstr>
      <vt:lpstr>Legend</vt:lpstr>
      <vt:lpstr>Audit 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Elsayed, Karim (SMS group GmbH)</cp:lastModifiedBy>
  <dcterms:modified xsi:type="dcterms:W3CDTF">2026-08-11T12:26:30Z</dcterms:modified>
</cp:coreProperties>
</file>