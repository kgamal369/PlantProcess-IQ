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Phase Summary" sheetId="2" state="visible" r:id="rId2"/>
    <sheet xmlns:r="http://schemas.openxmlformats.org/officeDocument/2006/relationships" name="Milestone Rollup" sheetId="3" state="visible" r:id="rId3"/>
    <sheet xmlns:r="http://schemas.openxmlformats.org/officeDocument/2006/relationships" name="Legend" sheetId="4" state="visible" r:id="rId4"/>
  </sheets>
  <definedNames>
    <definedName name="_xlnm._FilterDatabase" localSheetId="0" hidden="1">'Backlog'!$A$1:$K$163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EAF6FF"/>
      <sz val="10"/>
    </font>
    <font>
      <name val="Arial"/>
      <sz val="9"/>
    </font>
    <font>
      <name val="Arial"/>
      <b val="1"/>
      <sz val="9"/>
    </font>
    <font>
      <name val="Arial"/>
      <b val="1"/>
      <sz val="10"/>
    </font>
    <font>
      <name val="Arial"/>
      <b val="1"/>
    </font>
    <font>
      <name val="Arial"/>
      <b val="1"/>
      <sz val="13"/>
    </font>
  </fonts>
  <fills count="9">
    <fill>
      <patternFill/>
    </fill>
    <fill>
      <patternFill patternType="gray125"/>
    </fill>
    <fill>
      <patternFill patternType="solid">
        <fgColor rgb="000B1730"/>
      </patternFill>
    </fill>
    <fill>
      <patternFill patternType="solid">
        <fgColor rgb="0000D4FF"/>
      </patternFill>
    </fill>
    <fill>
      <patternFill patternType="solid">
        <fgColor rgb="00FF4D5E"/>
      </patternFill>
    </fill>
    <fill>
      <patternFill patternType="solid">
        <fgColor rgb="000A84FF"/>
      </patternFill>
    </fill>
    <fill>
      <patternFill patternType="solid">
        <fgColor rgb="00FFB547"/>
      </patternFill>
    </fill>
    <fill>
      <patternFill patternType="solid">
        <fgColor rgb="002CE6A2"/>
      </patternFill>
    </fill>
    <fill>
      <patternFill patternType="solid">
        <fgColor rgb="008EA7C1"/>
      </patternFill>
    </fill>
  </fills>
  <borders count="2">
    <border>
      <left/>
      <right/>
      <top/>
      <bottom/>
      <diagonal/>
    </border>
    <border>
      <left style="thin">
        <color rgb="001D3A63"/>
      </left>
      <right style="thin">
        <color rgb="001D3A63"/>
      </right>
      <top style="thin">
        <color rgb="001D3A63"/>
      </top>
      <bottom style="thin">
        <color rgb="001D3A63"/>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horizontal="right" vertical="top"/>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1" fillId="2" borderId="1"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14" customWidth="1" min="5" max="5"/>
    <col width="20" customWidth="1" min="6" max="6"/>
    <col width="15" customWidth="1" min="7" max="7"/>
    <col width="95" customWidth="1" min="8" max="8"/>
    <col width="70" customWidth="1" min="9" max="9"/>
    <col width="8" customWidth="1" min="10" max="10"/>
    <col width="13" customWidth="1" min="11" max="11"/>
  </cols>
  <sheetData>
    <row r="1" ht="30" customHeight="1">
      <c r="A1" s="1" t="inlineStr">
        <is>
          <t>Task Id</t>
        </is>
      </c>
      <c r="B1" s="1" t="inlineStr">
        <is>
          <t>Milestone Id</t>
        </is>
      </c>
      <c r="C1" s="1" t="inlineStr">
        <is>
          <t>Phase Id</t>
        </is>
      </c>
      <c r="D1" s="1" t="inlineStr">
        <is>
          <t>Task Name</t>
        </is>
      </c>
      <c r="E1" s="1" t="inlineStr">
        <is>
          <t>Module</t>
        </is>
      </c>
      <c r="F1" s="1" t="inlineStr">
        <is>
          <t>Sub-module</t>
        </is>
      </c>
      <c r="G1" s="1" t="inlineStr">
        <is>
          <t>Priority</t>
        </is>
      </c>
      <c r="H1" s="1" t="inlineStr">
        <is>
          <t>Task Description</t>
        </is>
      </c>
      <c r="I1" s="1" t="inlineStr">
        <is>
          <t>Task Validation</t>
        </is>
      </c>
      <c r="J1" s="1" t="inlineStr">
        <is>
          <t>Hours</t>
        </is>
      </c>
      <c r="K1" s="1" t="inlineStr">
        <is>
          <t>Status</t>
        </is>
      </c>
    </row>
    <row r="2" ht="96" customHeight="1">
      <c r="A2" s="2" t="inlineStr">
        <is>
          <t>T-001</t>
        </is>
      </c>
      <c r="B2" s="3" t="inlineStr">
        <is>
          <t>M1</t>
        </is>
      </c>
      <c r="C2" s="4" t="inlineStr">
        <is>
          <t>M1-P1</t>
        </is>
      </c>
      <c r="D2" s="4" t="inlineStr">
        <is>
          <t>Build the six-beat Design Traceability Matrix</t>
        </is>
      </c>
      <c r="E2" s="4" t="inlineStr">
        <is>
          <t>Documentation</t>
        </is>
      </c>
      <c r="F2" s="4" t="inlineStr">
        <is>
          <t>Design contract</t>
        </is>
      </c>
      <c r="G2" s="5" t="inlineStr">
        <is>
          <t>Critical</t>
        </is>
      </c>
      <c r="H2" s="4" t="inlineStr">
        <is>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is>
      </c>
      <c r="I2" s="4" t="inlineStr">
        <is>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is>
      </c>
      <c r="J2" s="6" t="n">
        <v>8</v>
      </c>
      <c r="K2" s="4" t="inlineStr">
        <is>
          <t>Done</t>
        </is>
      </c>
    </row>
    <row r="3" ht="96" customHeight="1">
      <c r="A3" s="2" t="inlineStr">
        <is>
          <t>T-002</t>
        </is>
      </c>
      <c r="B3" s="3" t="inlineStr">
        <is>
          <t>M1</t>
        </is>
      </c>
      <c r="C3" s="4" t="inlineStr">
        <is>
          <t>M1-P1</t>
        </is>
      </c>
      <c r="D3" s="4" t="inlineStr">
        <is>
          <t>Audit every presented route and control against the Chapter 3 page inventory</t>
        </is>
      </c>
      <c r="E3" s="4" t="inlineStr">
        <is>
          <t>Frontend</t>
        </is>
      </c>
      <c r="F3" s="4" t="inlineStr">
        <is>
          <t>Design contract</t>
        </is>
      </c>
      <c r="G3" s="5" t="inlineStr">
        <is>
          <t>Critical</t>
        </is>
      </c>
      <c r="H3" s="4" t="inlineStr">
        <is>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is>
      </c>
      <c r="I3" s="4" t="inlineStr">
        <is>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is>
      </c>
      <c r="J3" s="6" t="n">
        <v>8</v>
      </c>
      <c r="K3" s="4" t="inlineStr">
        <is>
          <t>Done</t>
        </is>
      </c>
    </row>
    <row r="4" ht="96" customHeight="1">
      <c r="A4" s="2" t="inlineStr">
        <is>
          <t>T-003</t>
        </is>
      </c>
      <c r="B4" s="3" t="inlineStr">
        <is>
          <t>M1</t>
        </is>
      </c>
      <c r="C4" s="4" t="inlineStr">
        <is>
          <t>M1-P1</t>
        </is>
      </c>
      <c r="D4" s="4" t="inlineStr">
        <is>
          <t>Lock the presentation profile as a data profile, not a branch</t>
        </is>
      </c>
      <c r="E4" s="4" t="inlineStr">
        <is>
          <t>Infrastructure</t>
        </is>
      </c>
      <c r="F4" s="4" t="inlineStr">
        <is>
          <t>Environments</t>
        </is>
      </c>
      <c r="G4" s="5" t="inlineStr">
        <is>
          <t>Critical</t>
        </is>
      </c>
      <c r="H4" s="4" t="inlineStr">
        <is>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is>
      </c>
      <c r="I4" s="4" t="inlineStr">
        <is>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is>
      </c>
      <c r="J4" s="6" t="n">
        <v>4</v>
      </c>
      <c r="K4" s="4" t="inlineStr">
        <is>
          <t>Done</t>
        </is>
      </c>
    </row>
    <row r="5" ht="96" customHeight="1">
      <c r="A5" s="2" t="inlineStr">
        <is>
          <t>T-004</t>
        </is>
      </c>
      <c r="B5" s="3" t="inlineStr">
        <is>
          <t>M1</t>
        </is>
      </c>
      <c r="C5" s="4" t="inlineStr">
        <is>
          <t>M1-P1</t>
        </is>
      </c>
      <c r="D5" s="4" t="inlineStr">
        <is>
          <t>Create the M1 acceptance checklist and evidence folder</t>
        </is>
      </c>
      <c r="E5" s="4" t="inlineStr">
        <is>
          <t>Documentation</t>
        </is>
      </c>
      <c r="F5" s="4" t="inlineStr">
        <is>
          <t>Quality</t>
        </is>
      </c>
      <c r="G5" s="7" t="inlineStr">
        <is>
          <t>Important</t>
        </is>
      </c>
      <c r="H5" s="4" t="inlineStr">
        <is>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is>
      </c>
      <c r="I5" s="4" t="inlineStr">
        <is>
          <t>Every screen in the traceability matrix has a checklist instance in the folder. A screen is not Green until every line is ticked with an evidence file name beside it.</t>
        </is>
      </c>
      <c r="J5" s="6" t="n">
        <v>4</v>
      </c>
      <c r="K5" s="4" t="inlineStr">
        <is>
          <t>Done</t>
        </is>
      </c>
    </row>
    <row r="6" ht="96" customHeight="1">
      <c r="A6" s="2" t="inlineStr">
        <is>
          <t>T-005</t>
        </is>
      </c>
      <c r="B6" s="3" t="inlineStr">
        <is>
          <t>M1</t>
        </is>
      </c>
      <c r="C6" s="4" t="inlineStr">
        <is>
          <t>M1-P1</t>
        </is>
      </c>
      <c r="D6" s="4" t="inlineStr">
        <is>
          <t>Rebuild ppiq_presentation into scratch and diff against live</t>
        </is>
      </c>
      <c r="E6" s="4" t="inlineStr">
        <is>
          <t>Database</t>
        </is>
      </c>
      <c r="F6" s="4" t="inlineStr">
        <is>
          <t>Presentation data</t>
        </is>
      </c>
      <c r="G6" s="5" t="inlineStr">
        <is>
          <t>Critical</t>
        </is>
      </c>
      <c r="H6" s="4" t="inlineStr">
        <is>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is>
      </c>
      <c r="I6" s="4" t="inlineStr">
        <is>
          <t>Produce docs/m1/evidence/presentation_db_diff.txt. Acceptance is either an empty diff, or a written list of every difference. Do not proceed to the next task until that list exists, and never run the rebuild against the live database before it does.</t>
        </is>
      </c>
      <c r="J6" s="6" t="n">
        <v>6</v>
      </c>
      <c r="K6" s="4" t="inlineStr">
        <is>
          <t>Done</t>
        </is>
      </c>
    </row>
    <row r="7" ht="96" customHeight="1">
      <c r="A7" s="2" t="inlineStr">
        <is>
          <t>T-006</t>
        </is>
      </c>
      <c r="B7" s="3" t="inlineStr">
        <is>
          <t>M1</t>
        </is>
      </c>
      <c r="C7" s="4" t="inlineStr">
        <is>
          <t>M1-P1</t>
        </is>
      </c>
      <c r="D7" s="4" t="inlineStr">
        <is>
          <t>Convert every diff finding into a seed or migration script</t>
        </is>
      </c>
      <c r="E7" s="4" t="inlineStr">
        <is>
          <t>Database</t>
        </is>
      </c>
      <c r="F7" s="4" t="inlineStr">
        <is>
          <t>Presentation data</t>
        </is>
      </c>
      <c r="G7" s="5" t="inlineStr">
        <is>
          <t>Critical</t>
        </is>
      </c>
      <c r="H7" s="4" t="inlineStr">
        <is>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is>
      </c>
      <c r="I7" s="4" t="inlineStr">
        <is>
          <t>Re-run Rebuild-PresentationDb.ps1 into a fresh scratch database and re-run the diff. It must now be empty. That output is the proof that no fix exists only as data.</t>
        </is>
      </c>
      <c r="J7" s="6" t="n">
        <v>8</v>
      </c>
      <c r="K7" s="4" t="inlineStr">
        <is>
          <t>Done</t>
        </is>
      </c>
    </row>
    <row r="8" ht="96" customHeight="1">
      <c r="A8" s="2" t="inlineStr">
        <is>
          <t>T-007</t>
        </is>
      </c>
      <c r="B8" s="3" t="inlineStr">
        <is>
          <t>M1</t>
        </is>
      </c>
      <c r="C8" s="4" t="inlineStr">
        <is>
          <t>M1-P1</t>
        </is>
      </c>
      <c r="D8" s="4" t="inlineStr">
        <is>
          <t>Presentation Phenomena and Widget Coverage Matrix, part 1: inventory and the 36-chart blueprint</t>
        </is>
      </c>
      <c r="E8" s="4" t="inlineStr">
        <is>
          <t>Documentation</t>
        </is>
      </c>
      <c r="F8" s="4" t="inlineStr">
        <is>
          <t>Presentation data</t>
        </is>
      </c>
      <c r="G8" s="5" t="inlineStr">
        <is>
          <t>Critical</t>
        </is>
      </c>
      <c r="H8" s="4" t="inlineStr">
        <is>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is>
      </c>
      <c r="I8" s="4" t="inlineStr">
        <is>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is>
      </c>
      <c r="J8" s="6" t="n">
        <v>10</v>
      </c>
      <c r="K8" s="4" t="inlineStr">
        <is>
          <t>Not Started</t>
        </is>
      </c>
    </row>
    <row r="9" ht="96" customHeight="1">
      <c r="A9" s="2" t="inlineStr">
        <is>
          <t>T-008</t>
        </is>
      </c>
      <c r="B9" s="3" t="inlineStr">
        <is>
          <t>M1</t>
        </is>
      </c>
      <c r="C9" s="4" t="inlineStr">
        <is>
          <t>M1-P1</t>
        </is>
      </c>
      <c r="D9" s="4" t="inlineStr">
        <is>
          <t>Presentation Phenomena and Widget Coverage Matrix, part 2: map, classify, close</t>
        </is>
      </c>
      <c r="E9" s="4" t="inlineStr">
        <is>
          <t>Testing</t>
        </is>
      </c>
      <c r="F9" s="4" t="inlineStr">
        <is>
          <t>Dashboard</t>
        </is>
      </c>
      <c r="G9" s="5" t="inlineStr">
        <is>
          <t>Critical</t>
        </is>
      </c>
      <c r="H9" s="4" t="inlineStr">
        <is>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is>
      </c>
      <c r="I9" s="4" t="inlineStr">
        <is>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is>
      </c>
      <c r="J9" s="6" t="n">
        <v>10</v>
      </c>
      <c r="K9" s="4" t="inlineStr">
        <is>
          <t>Not Started</t>
        </is>
      </c>
    </row>
    <row r="10" ht="96" customHeight="1">
      <c r="A10" s="2" t="inlineStr">
        <is>
          <t>T-009</t>
        </is>
      </c>
      <c r="B10" s="3" t="inlineStr">
        <is>
          <t>M1</t>
        </is>
      </c>
      <c r="C10" s="4" t="inlineStr">
        <is>
          <t>M1-P1</t>
        </is>
      </c>
      <c r="D10" s="4" t="inlineStr">
        <is>
          <t>Downtime two-quantity contract: final schema and domain slice</t>
        </is>
      </c>
      <c r="E10" s="4" t="inlineStr">
        <is>
          <t>Backend</t>
        </is>
      </c>
      <c r="F10" s="4" t="inlineStr">
        <is>
          <t>Canonical model</t>
        </is>
      </c>
      <c r="G10" s="5" t="inlineStr">
        <is>
          <t>Critical</t>
        </is>
      </c>
      <c r="H10" s="4" t="inlineStr">
        <is>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is>
      </c>
      <c r="I10" s="4" t="inlineStr">
        <is>
          <t>Project a downtime batch and assert every row has both columns populated and non-negative. Attempt an insert with a null production_impact_minutes and confirm the database rejects it. Confirm no code path derives one quantity from the other.</t>
        </is>
      </c>
      <c r="J10" s="6" t="n">
        <v>6</v>
      </c>
      <c r="K10" s="4" t="inlineStr">
        <is>
          <t>Done</t>
        </is>
      </c>
    </row>
    <row r="11" ht="96" customHeight="1">
      <c r="A11" s="2" t="inlineStr">
        <is>
          <t>T-010</t>
        </is>
      </c>
      <c r="B11" s="3" t="inlineStr">
        <is>
          <t>M1</t>
        </is>
      </c>
      <c r="C11" s="4" t="inlineStr">
        <is>
          <t>M1-P1</t>
        </is>
      </c>
      <c r="D11" s="4" t="inlineStr">
        <is>
          <t>Run the canonical semantic path end to end through the M1 compatibility boundaries</t>
        </is>
      </c>
      <c r="E11" s="4" t="inlineStr">
        <is>
          <t>Engine</t>
        </is>
      </c>
      <c r="F11" s="4" t="inlineStr">
        <is>
          <t>Presentation data</t>
        </is>
      </c>
      <c r="G11" s="5" t="inlineStr">
        <is>
          <t>Critical</t>
        </is>
      </c>
      <c r="H11" s="4" t="inlineStr">
        <is>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is>
      </c>
      <c r="I11" s="4" t="inlineStr">
        <is>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is>
      </c>
      <c r="J11" s="6" t="n">
        <v>8</v>
      </c>
      <c r="K11" s="4" t="inlineStr">
        <is>
          <t>Not Started</t>
        </is>
      </c>
    </row>
    <row r="12" ht="96" customHeight="1">
      <c r="A12" s="2" t="inlineStr">
        <is>
          <t>T-011</t>
        </is>
      </c>
      <c r="B12" s="3" t="inlineStr">
        <is>
          <t>M1</t>
        </is>
      </c>
      <c r="C12" s="4" t="inlineStr">
        <is>
          <t>M1-P1</t>
        </is>
      </c>
      <c r="D12" s="4" t="inlineStr">
        <is>
          <t>Establish and fix the architecture test pool reliability</t>
        </is>
      </c>
      <c r="E12" s="4" t="inlineStr">
        <is>
          <t>Testing</t>
        </is>
      </c>
      <c r="F12" s="4" t="inlineStr">
        <is>
          <t>CI/CD</t>
        </is>
      </c>
      <c r="G12" s="8" t="inlineStr">
        <is>
          <t>Very Important</t>
        </is>
      </c>
      <c r="H12" s="4" t="inlineStr">
        <is>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is>
      </c>
      <c r="I12" s="4" t="inlineStr">
        <is>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is>
      </c>
      <c r="J12" s="6" t="n">
        <v>6</v>
      </c>
      <c r="K12" s="4" t="inlineStr">
        <is>
          <t>Not Started</t>
        </is>
      </c>
    </row>
    <row r="13" ht="96" customHeight="1">
      <c r="A13" s="2" t="inlineStr">
        <is>
          <t>T-012</t>
        </is>
      </c>
      <c r="B13" s="3" t="inlineStr">
        <is>
          <t>M1</t>
        </is>
      </c>
      <c r="C13" s="4" t="inlineStr">
        <is>
          <t>M1-P1</t>
        </is>
      </c>
      <c r="D13" s="4" t="inlineStr">
        <is>
          <t>Canonicalise the JourneyRail to J1 to J15</t>
        </is>
      </c>
      <c r="E13" s="4" t="inlineStr">
        <is>
          <t>Frontend</t>
        </is>
      </c>
      <c r="F13" s="4" t="inlineStr">
        <is>
          <t>Journey</t>
        </is>
      </c>
      <c r="G13" s="5" t="inlineStr">
        <is>
          <t>Critical</t>
        </is>
      </c>
      <c r="H13" s="4" t="inlineStr">
        <is>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is>
      </c>
      <c r="I13" s="4" t="inlineStr">
        <is>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is>
      </c>
      <c r="J13" s="6" t="n">
        <v>6</v>
      </c>
      <c r="K13" s="4" t="inlineStr">
        <is>
          <t>Not Started</t>
        </is>
      </c>
    </row>
    <row r="14" ht="96" customHeight="1">
      <c r="A14" s="2" t="inlineStr">
        <is>
          <t>T-013</t>
        </is>
      </c>
      <c r="B14" s="3" t="inlineStr">
        <is>
          <t>M1</t>
        </is>
      </c>
      <c r="C14" s="4" t="inlineStr">
        <is>
          <t>M1-P1b</t>
        </is>
      </c>
      <c r="D14" s="4" t="inlineStr">
        <is>
          <t>Three-way source reconciliation: KEEP, EXTEND or ADD</t>
        </is>
      </c>
      <c r="E14" s="4" t="inlineStr">
        <is>
          <t>Database</t>
        </is>
      </c>
      <c r="F14" s="4" t="inlineStr">
        <is>
          <t>Emulated sources</t>
        </is>
      </c>
      <c r="G14" s="5" t="inlineStr">
        <is>
          <t>Critical</t>
        </is>
      </c>
      <c r="H14" s="4" t="inlineStr">
        <is>
          <t>NEW IN v2.5, and it exists because the runtime measurement proved the staged emulation is not the one the documents describe. Reconcile THREE things against each other, one row per source structure: what the running staged schemas and data actually contain, measured; what the committed generator and fixtures produce - Backend/tools/generate_demo_dataset.py is 373 lines, deterministic, and emits all eight sources, so it is a starting point rather than a problem;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is>
      </c>
      <c r="I14" s="4" t="inlineStr">
        <is>
          <t>docs/m1/evidence/source_reconciliation.csv with one row per source structure and no blank cells. Every EXTEND and every ADD names the exact field or table. Every KEEP names the chart or phenomenon it already serves. A reviewer must be able to say, for any structure, why it was left alone.</t>
        </is>
      </c>
      <c r="J14" s="6" t="n">
        <v>8</v>
      </c>
      <c r="K14" s="4" t="inlineStr">
        <is>
          <t>Not Started</t>
        </is>
      </c>
    </row>
    <row r="15" ht="96" customHeight="1">
      <c r="A15" s="2" t="inlineStr">
        <is>
          <t>T-014</t>
        </is>
      </c>
      <c r="B15" s="3" t="inlineStr">
        <is>
          <t>M1</t>
        </is>
      </c>
      <c r="C15" s="4" t="inlineStr">
        <is>
          <t>M1-P1b</t>
        </is>
      </c>
      <c r="D15" s="4" t="inlineStr">
        <is>
          <t>Presentation Fleet v2 target specification</t>
        </is>
      </c>
      <c r="E15" s="4" t="inlineStr">
        <is>
          <t>Documentation</t>
        </is>
      </c>
      <c r="F15" s="4" t="inlineStr">
        <is>
          <t>Emulated sources</t>
        </is>
      </c>
      <c r="G15" s="5" t="inlineStr">
        <is>
          <t>Critical</t>
        </is>
      </c>
      <c r="H15" s="4" t="inlineStr">
        <is>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is>
      </c>
      <c r="I15" s="4" t="inlineStr">
        <is>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is>
      </c>
      <c r="J15" s="6" t="n">
        <v>8</v>
      </c>
      <c r="K15" s="4" t="inlineStr">
        <is>
          <t>Not Started</t>
        </is>
      </c>
    </row>
    <row r="16" ht="96" customHeight="1">
      <c r="A16" s="2" t="inlineStr">
        <is>
          <t>T-015</t>
        </is>
      </c>
      <c r="B16" s="3" t="inlineStr">
        <is>
          <t>M1</t>
        </is>
      </c>
      <c r="C16" s="4" t="inlineStr">
        <is>
          <t>M1-P1b</t>
        </is>
      </c>
      <c r="D16" s="4" t="inlineStr">
        <is>
          <t>Extend the generator: defect catalogue and chemistry elements</t>
        </is>
      </c>
      <c r="E16" s="4" t="inlineStr">
        <is>
          <t>Database</t>
        </is>
      </c>
      <c r="F16" s="4" t="inlineStr">
        <is>
          <t>Emulated sources</t>
        </is>
      </c>
      <c r="G16" s="5" t="inlineStr">
        <is>
          <t>Critical</t>
        </is>
      </c>
      <c r="H16" s="4" t="inlineStr">
        <is>
          <t>NEW IN v2.5. EXTEND T-014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is>
      </c>
      <c r="I16" s="4" t="inlineStr">
        <is>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is>
      </c>
      <c r="J16" s="6" t="n">
        <v>10</v>
      </c>
      <c r="K16" s="4" t="inlineStr">
        <is>
          <t>Not Started</t>
        </is>
      </c>
    </row>
    <row r="17" ht="96" customHeight="1">
      <c r="A17" s="2" t="inlineStr">
        <is>
          <t>T-016</t>
        </is>
      </c>
      <c r="B17" s="3" t="inlineStr">
        <is>
          <t>M1</t>
        </is>
      </c>
      <c r="C17" s="4" t="inlineStr">
        <is>
          <t>M1-P1b</t>
        </is>
      </c>
      <c r="D17" s="4" t="inlineStr">
        <is>
          <t>Extend the generator: grade specification, and shift as BEHAVIOUR</t>
        </is>
      </c>
      <c r="E17" s="4" t="inlineStr">
        <is>
          <t>Database</t>
        </is>
      </c>
      <c r="F17" s="4" t="inlineStr">
        <is>
          <t>Emulated sources</t>
        </is>
      </c>
      <c r="G17" s="5" t="inlineStr">
        <is>
          <t>Critical</t>
        </is>
      </c>
      <c r="H17" s="4" t="inlineStr">
        <is>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is>
      </c>
      <c r="I17" s="4" t="inlineStr">
        <is>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is>
      </c>
      <c r="J17" s="6" t="n">
        <v>8</v>
      </c>
      <c r="K17" s="4" t="inlineStr">
        <is>
          <t>Not Started</t>
        </is>
      </c>
    </row>
    <row r="18" ht="96" customHeight="1">
      <c r="A18" s="2" t="inlineStr">
        <is>
          <t>T-017</t>
        </is>
      </c>
      <c r="B18" s="3" t="inlineStr">
        <is>
          <t>M1</t>
        </is>
      </c>
      <c r="C18" s="4" t="inlineStr">
        <is>
          <t>M1-P1b</t>
        </is>
      </c>
      <c r="D18" s="4" t="inlineStr">
        <is>
          <t>Extend the generator: downtime two quantities and buffer posture</t>
        </is>
      </c>
      <c r="E18" s="4" t="inlineStr">
        <is>
          <t>Database</t>
        </is>
      </c>
      <c r="F18" s="4" t="inlineStr">
        <is>
          <t>Emulated sources</t>
        </is>
      </c>
      <c r="G18" s="5" t="inlineStr">
        <is>
          <t>Critical</t>
        </is>
      </c>
      <c r="H18" s="4" t="inlineStr">
        <is>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is>
      </c>
      <c r="I18" s="4" t="inlineStr">
        <is>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is>
      </c>
      <c r="J18" s="6" t="n">
        <v>6</v>
      </c>
      <c r="K18" s="4" t="inlineStr">
        <is>
          <t>Not Started</t>
        </is>
      </c>
    </row>
    <row r="19" ht="96" customHeight="1">
      <c r="A19" s="2" t="inlineStr">
        <is>
          <t>T-018</t>
        </is>
      </c>
      <c r="B19" s="3" t="inlineStr">
        <is>
          <t>M1</t>
        </is>
      </c>
      <c r="C19" s="4" t="inlineStr">
        <is>
          <t>M1-P1b</t>
        </is>
      </c>
      <c r="D19" s="4" t="inlineStr">
        <is>
          <t>Shift and crew operating-practice regimes</t>
        </is>
      </c>
      <c r="E19" s="4" t="inlineStr">
        <is>
          <t>Database</t>
        </is>
      </c>
      <c r="F19" s="4" t="inlineStr">
        <is>
          <t>Emulated sources</t>
        </is>
      </c>
      <c r="G19" s="8" t="inlineStr">
        <is>
          <t>Very Important</t>
        </is>
      </c>
      <c r="H19" s="4"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is>
      </c>
      <c r="I19" s="4" t="inlineStr">
        <is>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is>
      </c>
      <c r="J19" s="6" t="n">
        <v>6</v>
      </c>
      <c r="K19" s="4" t="inlineStr">
        <is>
          <t>Not Started</t>
        </is>
      </c>
    </row>
    <row r="20" ht="96" customHeight="1">
      <c r="A20" s="2" t="inlineStr">
        <is>
          <t>T-019</t>
        </is>
      </c>
      <c r="B20" s="3" t="inlineStr">
        <is>
          <t>M1</t>
        </is>
      </c>
      <c r="C20" s="4" t="inlineStr">
        <is>
          <t>M1-P1b</t>
        </is>
      </c>
      <c r="D20" s="4" t="inlineStr">
        <is>
          <t>Post-maintenance recovery and campaign-ageing regimes</t>
        </is>
      </c>
      <c r="E20" s="4" t="inlineStr">
        <is>
          <t>Database</t>
        </is>
      </c>
      <c r="F20" s="4" t="inlineStr">
        <is>
          <t>Emulated sources</t>
        </is>
      </c>
      <c r="G20" s="8" t="inlineStr">
        <is>
          <t>Very Important</t>
        </is>
      </c>
      <c r="H20" s="4"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is>
      </c>
      <c r="I20" s="4" t="inlineStr">
        <is>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is>
      </c>
      <c r="J20" s="6" t="n">
        <v>6</v>
      </c>
      <c r="K20" s="4" t="inlineStr">
        <is>
          <t>Not Started</t>
        </is>
      </c>
    </row>
    <row r="21" ht="96" customHeight="1">
      <c r="A21" s="2" t="inlineStr">
        <is>
          <t>T-020</t>
        </is>
      </c>
      <c r="B21" s="3" t="inlineStr">
        <is>
          <t>M1</t>
        </is>
      </c>
      <c r="C21" s="4" t="inlineStr">
        <is>
          <t>M1-P1b</t>
        </is>
      </c>
      <c r="D21" s="4" t="inlineStr">
        <is>
          <t>Equipment personality and temporal regime changes</t>
        </is>
      </c>
      <c r="E21" s="4" t="inlineStr">
        <is>
          <t>Database</t>
        </is>
      </c>
      <c r="F21" s="4" t="inlineStr">
        <is>
          <t>Emulated sources</t>
        </is>
      </c>
      <c r="G21" s="7" t="inlineStr">
        <is>
          <t>Important</t>
        </is>
      </c>
      <c r="H21" s="4"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is>
      </c>
      <c r="I21" s="4" t="inlineStr">
        <is>
          <t>Filtering by equipment changes the shape of at least two charts materially. A trend chart shows a visible regime boundary whose date matches a recorded event in the downtime or maintenance source, so the boundary is explainable rather than decorative.</t>
        </is>
      </c>
      <c r="J21" s="6" t="n">
        <v>6</v>
      </c>
      <c r="K21" s="4" t="inlineStr">
        <is>
          <t>Not Started</t>
        </is>
      </c>
    </row>
    <row r="22" ht="96" customHeight="1">
      <c r="A22" s="2" t="inlineStr">
        <is>
          <t>T-021</t>
        </is>
      </c>
      <c r="B22" s="3" t="inlineStr">
        <is>
          <t>M1</t>
        </is>
      </c>
      <c r="C22" s="4" t="inlineStr">
        <is>
          <t>M1-P1b</t>
        </is>
      </c>
      <c r="D22" s="4" t="inlineStr">
        <is>
          <t>Regenerate the Fleet v2 fixtures and reload the source engines</t>
        </is>
      </c>
      <c r="E22" s="4" t="inlineStr">
        <is>
          <t>Database</t>
        </is>
      </c>
      <c r="F22" s="4" t="inlineStr">
        <is>
          <t>Emulated sources</t>
        </is>
      </c>
      <c r="G22" s="5" t="inlineStr">
        <is>
          <t>Critical</t>
        </is>
      </c>
      <c r="H22" s="4" t="inlineStr">
        <is>
          <t>SPLIT OUT IN v2.6 as the first of the five DF steps. Regenerate the source fixtures with every generator extension and every behavioural regime in place, then reload the emulated customer containers. Start the source engines for this work and LEAVE THEM RUNNING. They are stopped only after the NEXT task has reported a successful staging batch, because that task reads from these engines - stopping them here would break the very next step, and the stop instruction lives there rather than here. When they are stopped, use stop and never down minus v, because the volumes hold the fixtures. This is the PLANNED FULL regeneration cycle: everything that must be in the data is in the generator before this task runs, so one expensive reload carries all of it. Corrective reruns are permitted, and only, when a phenomenon acceptance later fails and the fix is a generator change; that task cites this one by name. A rerun is a recorded correction, not a routine.</t>
        </is>
      </c>
      <c r="I22" s="4" t="inlineStr">
        <is>
          <t>The same seed regenerates the same fixtures twice. Every source engine comes up and reports its expected row counts. The engines are still running at the end of this task, deliberately, and the import task stops them once its batch succeeds.</t>
        </is>
      </c>
      <c r="J22" s="6" t="n">
        <v>6</v>
      </c>
      <c r="K22" s="4" t="inlineStr">
        <is>
          <t>Not Started</t>
        </is>
      </c>
    </row>
    <row r="23" ht="96" customHeight="1">
      <c r="A23" s="2" t="inlineStr">
        <is>
          <t>T-022</t>
        </is>
      </c>
      <c r="B23" s="3" t="inlineStr">
        <is>
          <t>M1</t>
        </is>
      </c>
      <c r="C23" s="4" t="inlineStr">
        <is>
          <t>M1-P1b</t>
        </is>
      </c>
      <c r="D23" s="4" t="inlineStr">
        <is>
          <t>Discover, register and import Fleet v2 into staging</t>
        </is>
      </c>
      <c r="E23" s="4" t="inlineStr">
        <is>
          <t>Backend</t>
        </is>
      </c>
      <c r="F23" s="4" t="inlineStr">
        <is>
          <t>Data integration</t>
        </is>
      </c>
      <c r="G23" s="5" t="inlineStr">
        <is>
          <t>Critical</t>
        </is>
      </c>
      <c r="H23" s="4" t="inlineStr">
        <is>
          <t>SPLIT OUT IN v2.6, and the ORDER IS A DESIGN CONTRACT rather than a preference. Chapter 3 makes DF1 to DF6 strictly sequential - connection, register dataset, import into staging, author transformation and relationships, project canonical, genealogy - and DF4 explicitly requires that DF3 has already produced at least one successful batch for every dataset the definition reads. So the mapping work CANNOT precede this task. Re-run discovery against the reloaded sources so the changed and added columns are seen, register the changed datasets, and import into staging. Fleet v2 adds columns to existing tables and adds at least one table, so source_field_definitions and the registered dataset shapes must both be refreshed - a stale field definition is how a new column silently never arrives.</t>
        </is>
      </c>
      <c r="I23" s="4" t="inlineStr">
        <is>
          <t>Every Fleet v2 dataset has a successful staging batch. The new and changed fields appear in the discovered schema and in source_field_definitions. Staging row counts match the source, or every difference is explained. Schema drift, if any is reported, is reported rather than swallowed. STOP THE SOURCE ENGINES ONLY ONCE THIS BATCH HAS SUCCEEDED - T-021 deliberately leaves them running, because this task reads from them. Use stop, never down minus v.</t>
        </is>
      </c>
      <c r="J23" s="6" t="n">
        <v>8</v>
      </c>
      <c r="K23" s="4" t="inlineStr">
        <is>
          <t>Not Started</t>
        </is>
      </c>
    </row>
    <row r="24" ht="96" customHeight="1">
      <c r="A24" s="2" t="inlineStr">
        <is>
          <t>T-023</t>
        </is>
      </c>
      <c r="B24" s="3" t="inlineStr">
        <is>
          <t>M1</t>
        </is>
      </c>
      <c r="C24" s="4" t="inlineStr">
        <is>
          <t>M1-P1b</t>
        </is>
      </c>
      <c r="D24" s="4" t="inlineStr">
        <is>
          <t>Update and publish Fleet v2 mappings A: meltshop, caster, HSM, grade and shift</t>
        </is>
      </c>
      <c r="E24" s="4" t="inlineStr">
        <is>
          <t>Backend</t>
        </is>
      </c>
      <c r="F24" s="4" t="inlineStr">
        <is>
          <t>Data integration</t>
        </is>
      </c>
      <c r="G24" s="5" t="inlineStr">
        <is>
          <t>Critical</t>
        </is>
      </c>
      <c r="H24" s="4" t="inlineStr">
        <is>
          <t>SPLIT OUT IN v2.6 from what v2.5 called the downtime mapping - which was too narrow, because Fleet v2 changes far more than downtime. This half covers the process sources: the new chemistry elements to parameter observations or the appropriate taxonomy; the grade specification source to its configuration or taxonomy landing; the shift and crew derivation, expressed as a saved no-code transformation where the source does not carry the field; and any newly exposed equipment or campaign fields the regimes depend on. Runs only after T-022 has produced a successful batch, per DF4.</t>
        </is>
      </c>
      <c r="I24" s="4" t="inlineStr">
        <is>
          <t>Every field the Fleet v2 target names is either mapped or explicitly declared unmapped with a reason. The shift derivation exists as a saved transformation and produces three realistic populations. No mapping is published against a dataset without a successful staging batch behind it.</t>
        </is>
      </c>
      <c r="J24" s="6" t="n">
        <v>8</v>
      </c>
      <c r="K24" s="4" t="inlineStr">
        <is>
          <t>Not Started</t>
        </is>
      </c>
    </row>
    <row r="25" ht="96" customHeight="1">
      <c r="A25" s="2" t="inlineStr">
        <is>
          <t>T-024</t>
        </is>
      </c>
      <c r="B25" s="3" t="inlineStr">
        <is>
          <t>M1</t>
        </is>
      </c>
      <c r="C25" s="4" t="inlineStr">
        <is>
          <t>M1-P1b</t>
        </is>
      </c>
      <c r="D25" s="4" t="inlineStr">
        <is>
          <t>Update and publish Fleet v2 mappings B: downtime, inspection, QA and yard</t>
        </is>
      </c>
      <c r="E25" s="4" t="inlineStr">
        <is>
          <t>Backend</t>
        </is>
      </c>
      <c r="F25" s="4" t="inlineStr">
        <is>
          <t>Data integration</t>
        </is>
      </c>
      <c r="G25" s="5" t="inlineStr">
        <is>
          <t>Critical</t>
        </is>
      </c>
      <c r="H25" s="4" t="inlineStr">
        <is>
          <t>SPLIT OUT IN v2.6. This half covers the event and inspection sources, and it carries the defect measurement found: the canonical downtime_events table holds THREE rows - DT-CAST-SPEED-HOLD, DT-HSM-SENSOR and DT-NO-REFERENCE, all source_system ADVANCED_DEMO_SEED - while ZERO of the staged source_record_ids appear in canonical. So no downtime mapping has ever run and the three canonical rows are hand-seeded fixtures unrelated to the source. Author it. Note that public.mapping_definitions holds nine rows and uses target_entity_name, not target_entity, so check whether an existing definition already targets downtime before adding one. This half also carries the new defect codes and the two downtime quantities, where stopped minutes derives from duration and production impact does NOT.</t>
        </is>
      </c>
      <c r="I25" s="4" t="inlineStr">
        <is>
          <t>Every staged downtime row is mapped, or the difference is explained row by row. Both downtime quantities are carried by the mapping and neither is derived from the other. The new defect codes all map to canonical quality events. The three hand-seeded rows are removed or explained.</t>
        </is>
      </c>
      <c r="J25" s="6" t="n">
        <v>6</v>
      </c>
      <c r="K25" s="4" t="inlineStr">
        <is>
          <t>Not Started</t>
        </is>
      </c>
    </row>
    <row r="26" ht="96" customHeight="1">
      <c r="A26" s="2" t="inlineStr">
        <is>
          <t>T-025</t>
        </is>
      </c>
      <c r="B26" s="3" t="inlineStr">
        <is>
          <t>M1</t>
        </is>
      </c>
      <c r="C26" s="4" t="inlineStr">
        <is>
          <t>M1-P1b</t>
        </is>
      </c>
      <c r="D26" s="4" t="inlineStr">
        <is>
          <t>Project Fleet v2 to canonical and verify the landing</t>
        </is>
      </c>
      <c r="E26" s="4" t="inlineStr">
        <is>
          <t>Backend</t>
        </is>
      </c>
      <c r="F26" s="4" t="inlineStr">
        <is>
          <t>Canonical model</t>
        </is>
      </c>
      <c r="G26" s="5" t="inlineStr">
        <is>
          <t>Critical</t>
        </is>
      </c>
      <c r="H26" s="4" t="inlineStr">
        <is>
          <t>SPLIT OUT IN v2.6, and it ABSORBS the old canonical-landing task. Run the projection for every Fleet v2 dataset and verify what arrived - not that the job returned success, but that the rows are there and correct. The two downtime quantities land as stopped_minutes and production_impact_minutes. The derived shift lands on the EXISTING process_step_executions.crew_code. The genealogy chain resolves heat to slab to coil to defect end to end on a sampled unit. NOTHING GENERATED IS EVER INSERTED STRAIGHT INTO A CANONICAL TABLE TO SAVE TIME - the path from generator through the emulated customer database, import, staging, mapping and projection IS the product story, and shortcutting it hollows out the demonstration it exists to support.</t>
        </is>
      </c>
      <c r="I26" s="4" t="inlineStr">
        <is>
          <t>Row counts at source, staging and canonical, with a stated reason for every difference. Provenance on the Material Investigation column shows plant system names and no raw driver name. A sampled coil resolves back to its heat. Both downtime quantities are populated and non-negative on every row.</t>
        </is>
      </c>
      <c r="J26" s="6" t="n">
        <v>6</v>
      </c>
      <c r="K26" s="4" t="inlineStr">
        <is>
          <t>Not Started</t>
        </is>
      </c>
    </row>
    <row r="27" ht="96" customHeight="1">
      <c r="A27" s="2" t="inlineStr">
        <is>
          <t>T-026</t>
        </is>
      </c>
      <c r="B27" s="3" t="inlineStr">
        <is>
          <t>M1</t>
        </is>
      </c>
      <c r="C27" s="4" t="inlineStr">
        <is>
          <t>M1-P1b</t>
        </is>
      </c>
      <c r="D27" s="4" t="inlineStr">
        <is>
          <t>Phenomenon test harness: manifest schema and runner</t>
        </is>
      </c>
      <c r="E27" s="4" t="inlineStr">
        <is>
          <t>Testing</t>
        </is>
      </c>
      <c r="F27" s="4" t="inlineStr">
        <is>
          <t>Presentation data</t>
        </is>
      </c>
      <c r="G27" s="5" t="inlineStr">
        <is>
          <t>Critical</t>
        </is>
      </c>
      <c r="H27" s="4" t="inlineStr">
        <is>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is>
      </c>
      <c r="I27" s="4" t="inlineStr">
        <is>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is>
      </c>
      <c r="J27" s="6" t="n">
        <v>6</v>
      </c>
      <c r="K27" s="4" t="inlineStr">
        <is>
          <t>Not Started</t>
        </is>
      </c>
    </row>
    <row r="28" ht="96" customHeight="1">
      <c r="A28" s="2" t="inlineStr">
        <is>
          <t>T-027</t>
        </is>
      </c>
      <c r="B28" s="3" t="inlineStr">
        <is>
          <t>M1</t>
        </is>
      </c>
      <c r="C28" s="4" t="inlineStr">
        <is>
          <t>M1-P1b</t>
        </is>
      </c>
      <c r="D28" s="4" t="inlineStr">
        <is>
          <t>Populate the manifest and prove every phenomenon</t>
        </is>
      </c>
      <c r="E28" s="4" t="inlineStr">
        <is>
          <t>Testing</t>
        </is>
      </c>
      <c r="F28" s="4" t="inlineStr">
        <is>
          <t>Presentation data</t>
        </is>
      </c>
      <c r="G28" s="5" t="inlineStr">
        <is>
          <t>Critical</t>
        </is>
      </c>
      <c r="H28" s="4" t="inlineStr">
        <is>
          <t>NEW IN v2.6, and it CLOSES the reopened matrix. Fill T-026 from the phenomena matrix declared in T-008, whose parts one and two closed as PRE-GENERATION SPECIFICATIONS before any generator work, one manifest row per phenomenon, and run it against the imported Fleet v2 canonical data. THE BANDS ARE NOT WRITTEN FROM THIS DATA. Expected direction, acceptable band and negative control were PREDECLARED in T-008 and refined in T-014,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is>
      </c>
      <c r="I28" s="4" t="inlineStr">
        <is>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T-021 and everything downstream of it; that rerun is recorded as a correction, never treated as routine.</t>
        </is>
      </c>
      <c r="J28" s="6" t="n">
        <v>6</v>
      </c>
      <c r="K28" s="4" t="inlineStr">
        <is>
          <t>Not Started</t>
        </is>
      </c>
    </row>
    <row r="29" ht="96" customHeight="1">
      <c r="A29" s="2" t="inlineStr">
        <is>
          <t>T-028</t>
        </is>
      </c>
      <c r="B29" s="3" t="inlineStr">
        <is>
          <t>M1</t>
        </is>
      </c>
      <c r="C29" s="4" t="inlineStr">
        <is>
          <t>M1-P1b</t>
        </is>
      </c>
      <c r="D29" s="4" t="inlineStr">
        <is>
          <t>Verify the confounded correlation and the insufficient-support refusal</t>
        </is>
      </c>
      <c r="E29" s="4" t="inlineStr">
        <is>
          <t>Database</t>
        </is>
      </c>
      <c r="F29" s="4" t="inlineStr">
        <is>
          <t>Emulated sources</t>
        </is>
      </c>
      <c r="G29" s="5" t="inlineStr">
        <is>
          <t>Critical</t>
        </is>
      </c>
      <c r="H29" s="4" t="inlineStr">
        <is>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is>
      </c>
      <c r="I29" s="4" t="inlineStr">
        <is>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is>
      </c>
      <c r="J29" s="6" t="n">
        <v>2</v>
      </c>
      <c r="K29" s="4" t="inlineStr">
        <is>
          <t>Not Started</t>
        </is>
      </c>
    </row>
    <row r="30" ht="96" customHeight="1">
      <c r="A30" s="2" t="inlineStr">
        <is>
          <t>T-029</t>
        </is>
      </c>
      <c r="B30" s="3" t="inlineStr">
        <is>
          <t>M1</t>
        </is>
      </c>
      <c r="C30" s="4" t="inlineStr">
        <is>
          <t>M1-P1b</t>
        </is>
      </c>
      <c r="D30" s="4" t="inlineStr">
        <is>
          <t>Five-layer realism audit of the emulated plant</t>
        </is>
      </c>
      <c r="E30" s="4" t="inlineStr">
        <is>
          <t>Database</t>
        </is>
      </c>
      <c r="F30" s="4" t="inlineStr">
        <is>
          <t>Presentation data</t>
        </is>
      </c>
      <c r="G30" s="8" t="inlineStr">
        <is>
          <t>Very Important</t>
        </is>
      </c>
      <c r="H30" s="4" t="inlineStr">
        <is>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is>
      </c>
      <c r="I30" s="4" t="inlineStr">
        <is>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is>
      </c>
      <c r="J30" s="6" t="n">
        <v>4</v>
      </c>
      <c r="K30" s="4" t="inlineStr">
        <is>
          <t>Not Started</t>
        </is>
      </c>
    </row>
    <row r="31" ht="96" customHeight="1">
      <c r="A31" s="2" t="inlineStr">
        <is>
          <t>T-030</t>
        </is>
      </c>
      <c r="B31" s="3" t="inlineStr">
        <is>
          <t>M1</t>
        </is>
      </c>
      <c r="C31" s="4" t="inlineStr">
        <is>
          <t>M1-P2</t>
        </is>
      </c>
      <c r="D31" s="4" t="inlineStr">
        <is>
          <t>Shared Authoring Shell, part 1: the shell contract and the four regions</t>
        </is>
      </c>
      <c r="E31" s="4" t="inlineStr">
        <is>
          <t>Frontend</t>
        </is>
      </c>
      <c r="F31" s="4" t="inlineStr">
        <is>
          <t>UI/UX no-code frontend</t>
        </is>
      </c>
      <c r="G31" s="5" t="inlineStr">
        <is>
          <t>Critical</t>
        </is>
      </c>
      <c r="H31" s="4" t="inlineStr">
        <is>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is>
      </c>
      <c r="I31" s="4" t="inlineStr">
        <is>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is>
      </c>
      <c r="J31" s="6" t="n">
        <v>12</v>
      </c>
      <c r="K31" s="4" t="inlineStr">
        <is>
          <t>Not Started</t>
        </is>
      </c>
    </row>
    <row r="32" ht="96" customHeight="1">
      <c r="A32" s="2" t="inlineStr">
        <is>
          <t>T-031</t>
        </is>
      </c>
      <c r="B32" s="3" t="inlineStr">
        <is>
          <t>M1</t>
        </is>
      </c>
      <c r="C32" s="4" t="inlineStr">
        <is>
          <t>M1-P2</t>
        </is>
      </c>
      <c r="D32" s="4" t="inlineStr">
        <is>
          <t>Shared Authoring Shell, part 2: relational block grammar on the board</t>
        </is>
      </c>
      <c r="E32" s="4" t="inlineStr">
        <is>
          <t>Frontend</t>
        </is>
      </c>
      <c r="F32" s="4" t="inlineStr">
        <is>
          <t>UI/UX no-code frontend</t>
        </is>
      </c>
      <c r="G32" s="5" t="inlineStr">
        <is>
          <t>Critical</t>
        </is>
      </c>
      <c r="H32" s="4" t="inlineStr">
        <is>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is>
      </c>
      <c r="I32" s="4" t="inlineStr">
        <is>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is>
      </c>
      <c r="J32" s="6" t="n">
        <v>12</v>
      </c>
      <c r="K32" s="4" t="inlineStr">
        <is>
          <t>Not Started</t>
        </is>
      </c>
    </row>
    <row r="33" ht="96" customHeight="1">
      <c r="A33" s="2" t="inlineStr">
        <is>
          <t>T-032</t>
        </is>
      </c>
      <c r="B33" s="3" t="inlineStr">
        <is>
          <t>M1</t>
        </is>
      </c>
      <c r="C33" s="4" t="inlineStr">
        <is>
          <t>M1-P2</t>
        </is>
      </c>
      <c r="D33" s="4" t="inlineStr">
        <is>
          <t>Registry-driven schema, table and attribute tree</t>
        </is>
      </c>
      <c r="E33" s="4" t="inlineStr">
        <is>
          <t>Frontend</t>
        </is>
      </c>
      <c r="F33" s="4" t="inlineStr">
        <is>
          <t>UI/UX no-code frontend</t>
        </is>
      </c>
      <c r="G33" s="8" t="inlineStr">
        <is>
          <t>Very Important</t>
        </is>
      </c>
      <c r="H33" s="4" t="inlineStr">
        <is>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is>
      </c>
      <c r="I33" s="4" t="inlineStr">
        <is>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is>
      </c>
      <c r="J33" s="6" t="n">
        <v>10</v>
      </c>
      <c r="K33" s="4" t="inlineStr">
        <is>
          <t>Not Started</t>
        </is>
      </c>
    </row>
    <row r="34" ht="96" customHeight="1">
      <c r="A34" s="2" t="inlineStr">
        <is>
          <t>T-033</t>
        </is>
      </c>
      <c r="B34" s="3" t="inlineStr">
        <is>
          <t>M1</t>
        </is>
      </c>
      <c r="C34" s="4" t="inlineStr">
        <is>
          <t>M1-P2</t>
        </is>
      </c>
      <c r="D34" s="4" t="inlineStr">
        <is>
          <t>Compiled-SQL pane and debug log with rows and cost</t>
        </is>
      </c>
      <c r="E34" s="4" t="inlineStr">
        <is>
          <t>Frontend</t>
        </is>
      </c>
      <c r="F34" s="4" t="inlineStr">
        <is>
          <t>SQL Editor</t>
        </is>
      </c>
      <c r="G34" s="8" t="inlineStr">
        <is>
          <t>Very Important</t>
        </is>
      </c>
      <c r="H34" s="4" t="inlineStr">
        <is>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is>
      </c>
      <c r="I34" s="4" t="inlineStr">
        <is>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is>
      </c>
      <c r="J34" s="6" t="n">
        <v>8</v>
      </c>
      <c r="K34" s="4" t="inlineStr">
        <is>
          <t>Not Started</t>
        </is>
      </c>
    </row>
    <row r="35" ht="96" customHeight="1">
      <c r="A35" s="2" t="inlineStr">
        <is>
          <t>T-034</t>
        </is>
      </c>
      <c r="B35" s="3" t="inlineStr">
        <is>
          <t>M1</t>
        </is>
      </c>
      <c r="C35" s="4" t="inlineStr">
        <is>
          <t>M1-P2</t>
        </is>
      </c>
      <c r="D35" s="4" t="inlineStr">
        <is>
          <t>SQL mode: safe editor, run test, returned columns and the reconstructability rule</t>
        </is>
      </c>
      <c r="E35" s="4" t="inlineStr">
        <is>
          <t>Frontend</t>
        </is>
      </c>
      <c r="F35" s="4" t="inlineStr">
        <is>
          <t>SQL Editor</t>
        </is>
      </c>
      <c r="G35" s="5" t="inlineStr">
        <is>
          <t>Critical</t>
        </is>
      </c>
      <c r="H35" s="4" t="inlineStr">
        <is>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is>
      </c>
      <c r="I35" s="4" t="inlineStr">
        <is>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is>
      </c>
      <c r="J35" s="6" t="n">
        <v>12</v>
      </c>
      <c r="K35" s="4" t="inlineStr">
        <is>
          <t>Not Started</t>
        </is>
      </c>
    </row>
    <row r="36" ht="96" customHeight="1">
      <c r="A36" s="2" t="inlineStr">
        <is>
          <t>T-035</t>
        </is>
      </c>
      <c r="B36" s="3" t="inlineStr">
        <is>
          <t>M1</t>
        </is>
      </c>
      <c r="C36" s="4" t="inlineStr">
        <is>
          <t>M1-P2</t>
        </is>
      </c>
      <c r="D36" s="4" t="inlineStr">
        <is>
          <t>Certify returned-column role mapping inside the S2 shell</t>
        </is>
      </c>
      <c r="E36" s="4" t="inlineStr">
        <is>
          <t>Frontend</t>
        </is>
      </c>
      <c r="F36" s="4" t="inlineStr">
        <is>
          <t>UI/UX no-code frontend</t>
        </is>
      </c>
      <c r="G36" s="7" t="inlineStr">
        <is>
          <t>Important</t>
        </is>
      </c>
      <c r="H36" s="4" t="inlineStr">
        <is>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is>
      </c>
      <c r="I36" s="4" t="inlineStr">
        <is>
          <t>Assign roles inside the shell, re-run the query unchanged, confirm roles persist. Edit the query to drop a mapped column, re-run, and confirm the stale-role warning names the missing column.</t>
        </is>
      </c>
      <c r="J36" s="6" t="n">
        <v>3</v>
      </c>
      <c r="K36" s="4" t="inlineStr">
        <is>
          <t>Not Started</t>
        </is>
      </c>
    </row>
    <row r="37" ht="96" customHeight="1">
      <c r="A37" s="2" t="inlineStr">
        <is>
          <t>T-036</t>
        </is>
      </c>
      <c r="B37" s="3" t="inlineStr">
        <is>
          <t>M1</t>
        </is>
      </c>
      <c r="C37" s="4" t="inlineStr">
        <is>
          <t>M1-P2</t>
        </is>
      </c>
      <c r="D37" s="4" t="inlineStr">
        <is>
          <t>Add Widget and Edit Widget open the shared shell in S2 mode</t>
        </is>
      </c>
      <c r="E37" s="4" t="inlineStr">
        <is>
          <t>Frontend</t>
        </is>
      </c>
      <c r="F37" s="4" t="inlineStr">
        <is>
          <t>Dashboard</t>
        </is>
      </c>
      <c r="G37" s="5" t="inlineStr">
        <is>
          <t>Critical</t>
        </is>
      </c>
      <c r="H37" s="4" t="inlineStr">
        <is>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is>
      </c>
      <c r="I37" s="4" t="inlineStr">
        <is>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is>
      </c>
      <c r="J37" s="6" t="n">
        <v>12</v>
      </c>
      <c r="K37" s="4" t="inlineStr">
        <is>
          <t>Not Started</t>
        </is>
      </c>
    </row>
    <row r="38" ht="96" customHeight="1">
      <c r="A38" s="2" t="inlineStr">
        <is>
          <t>T-037</t>
        </is>
      </c>
      <c r="B38" s="3" t="inlineStr">
        <is>
          <t>M1</t>
        </is>
      </c>
      <c r="C38" s="4" t="inlineStr">
        <is>
          <t>M1-P2</t>
        </is>
      </c>
      <c r="D38" s="4" t="inlineStr">
        <is>
          <t>Final definition service interface with a compatibility adapter</t>
        </is>
      </c>
      <c r="E38" s="4" t="inlineStr">
        <is>
          <t>Backend</t>
        </is>
      </c>
      <c r="F38" s="4" t="inlineStr">
        <is>
          <t>Definition store</t>
        </is>
      </c>
      <c r="G38" s="5" t="inlineStr">
        <is>
          <t>Critical</t>
        </is>
      </c>
      <c r="H38" s="4" t="inlineStr">
        <is>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is>
      </c>
      <c r="I38" s="4" t="inlineStr">
        <is>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is>
      </c>
      <c r="J38" s="6" t="n">
        <v>12</v>
      </c>
      <c r="K38" s="4" t="inlineStr">
        <is>
          <t>Not Started</t>
        </is>
      </c>
    </row>
    <row r="39" ht="96" customHeight="1">
      <c r="A39" s="2" t="inlineStr">
        <is>
          <t>T-038</t>
        </is>
      </c>
      <c r="B39" s="3" t="inlineStr">
        <is>
          <t>M1</t>
        </is>
      </c>
      <c r="C39" s="4" t="inlineStr">
        <is>
          <t>M1-P2</t>
        </is>
      </c>
      <c r="D39" s="4" t="inlineStr">
        <is>
          <t>Authoring states, keyboard path, RTL and error wording</t>
        </is>
      </c>
      <c r="E39" s="4" t="inlineStr">
        <is>
          <t>Frontend</t>
        </is>
      </c>
      <c r="F39" s="4" t="inlineStr">
        <is>
          <t>UI/UX no-code frontend</t>
        </is>
      </c>
      <c r="G39" s="8" t="inlineStr">
        <is>
          <t>Very Important</t>
        </is>
      </c>
      <c r="H39" s="4" t="inlineStr">
        <is>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is>
      </c>
      <c r="I39" s="4" t="inlineStr">
        <is>
          <t>Run npm run test and the architecture suite; both green. Complete one full authoring scenario using only the keyboard. Switch the document direction to rtl and screenshot both modes.</t>
        </is>
      </c>
      <c r="J39" s="6" t="n">
        <v>8</v>
      </c>
      <c r="K39" s="4" t="inlineStr">
        <is>
          <t>Not Started</t>
        </is>
      </c>
    </row>
    <row r="40" ht="96" customHeight="1">
      <c r="A40" s="2" t="inlineStr">
        <is>
          <t>T-039</t>
        </is>
      </c>
      <c r="B40" s="3" t="inlineStr">
        <is>
          <t>M1</t>
        </is>
      </c>
      <c r="C40" s="4" t="inlineStr">
        <is>
          <t>M1-P3</t>
        </is>
      </c>
      <c r="D40" s="4" t="inlineStr">
        <is>
          <t>D2 Page Builder, part 1: create a page and reach the shared shell</t>
        </is>
      </c>
      <c r="E40" s="4" t="inlineStr">
        <is>
          <t>Frontend</t>
        </is>
      </c>
      <c r="F40" s="4" t="inlineStr">
        <is>
          <t>Dashboard</t>
        </is>
      </c>
      <c r="G40" s="5" t="inlineStr">
        <is>
          <t>Critical</t>
        </is>
      </c>
      <c r="H40" s="4" t="inlineStr">
        <is>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T-037 carries the persistence.</t>
        </is>
      </c>
      <c r="I40" s="4" t="inlineStr">
        <is>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is>
      </c>
      <c r="J40" s="6" t="n">
        <v>6</v>
      </c>
      <c r="K40" s="4" t="inlineStr">
        <is>
          <t>Not Started</t>
        </is>
      </c>
    </row>
    <row r="41" ht="96" customHeight="1">
      <c r="A41" s="2" t="inlineStr">
        <is>
          <t>T-040</t>
        </is>
      </c>
      <c r="B41" s="3" t="inlineStr">
        <is>
          <t>M1</t>
        </is>
      </c>
      <c r="C41" s="4" t="inlineStr">
        <is>
          <t>M1-P3</t>
        </is>
      </c>
      <c r="D41" s="4" t="inlineStr">
        <is>
          <t>D2 Page Builder, part 2: arrange, save layout and publish</t>
        </is>
      </c>
      <c r="E41" s="4" t="inlineStr">
        <is>
          <t>Frontend</t>
        </is>
      </c>
      <c r="F41" s="4" t="inlineStr">
        <is>
          <t>Dashboard</t>
        </is>
      </c>
      <c r="G41" s="5" t="inlineStr">
        <is>
          <t>Critical</t>
        </is>
      </c>
      <c r="H41" s="4" t="inlineStr">
        <is>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is>
      </c>
      <c r="I41" s="4" t="inlineStr">
        <is>
          <t>Create a page, add two widgets through the shell, arrange them, save the layout, hard-reload, and confirm the arrangement is identical. Publish it and confirm it appears in the Workspaces navigation group. Delete the draft and confirm it does not.</t>
        </is>
      </c>
      <c r="J41" s="6" t="n">
        <v>6</v>
      </c>
      <c r="K41" s="4" t="inlineStr">
        <is>
          <t>Not Started</t>
        </is>
      </c>
    </row>
    <row r="42" ht="96" customHeight="1">
      <c r="A42" s="2" t="inlineStr">
        <is>
          <t>T-041</t>
        </is>
      </c>
      <c r="B42" s="3" t="inlineStr">
        <is>
          <t>M1</t>
        </is>
      </c>
      <c r="C42" s="4" t="inlineStr">
        <is>
          <t>M1-P3</t>
        </is>
      </c>
      <c r="D42" s="4" t="inlineStr">
        <is>
          <t>Bring the workspace to the final D1 anatomy</t>
        </is>
      </c>
      <c r="E42" s="4" t="inlineStr">
        <is>
          <t>Frontend</t>
        </is>
      </c>
      <c r="F42" s="4" t="inlineStr">
        <is>
          <t>Dashboard</t>
        </is>
      </c>
      <c r="G42" s="5" t="inlineStr">
        <is>
          <t>Critical</t>
        </is>
      </c>
      <c r="H42" s="4" t="inlineStr">
        <is>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is>
      </c>
      <c r="I42" s="4" t="inlineStr">
        <is>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is>
      </c>
      <c r="J42" s="6" t="n">
        <v>12</v>
      </c>
      <c r="K42" s="4" t="inlineStr">
        <is>
          <t>Not Started</t>
        </is>
      </c>
    </row>
    <row r="43" ht="96" customHeight="1">
      <c r="A43" s="2" t="inlineStr">
        <is>
          <t>T-042</t>
        </is>
      </c>
      <c r="B43" s="3" t="inlineStr">
        <is>
          <t>M1</t>
        </is>
      </c>
      <c r="C43" s="4" t="inlineStr">
        <is>
          <t>M1-P3</t>
        </is>
      </c>
      <c r="D43" s="4" t="inlineStr">
        <is>
          <t>Certify the three operational dashboards and fix their bindings</t>
        </is>
      </c>
      <c r="E43" s="4" t="inlineStr">
        <is>
          <t>Frontend</t>
        </is>
      </c>
      <c r="F43" s="4" t="inlineStr">
        <is>
          <t>Dashboard</t>
        </is>
      </c>
      <c r="G43" s="5" t="inlineStr">
        <is>
          <t>Critical</t>
        </is>
      </c>
      <c r="H43" s="4" t="inlineStr">
        <is>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t>
        </is>
      </c>
      <c r="I43" s="4" t="inlineStr">
        <is>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t>
        </is>
      </c>
      <c r="J43" s="6" t="n">
        <v>8</v>
      </c>
      <c r="K43" s="4" t="inlineStr">
        <is>
          <t>Not Started</t>
        </is>
      </c>
    </row>
    <row r="44" ht="96" customHeight="1">
      <c r="A44" s="2" t="inlineStr">
        <is>
          <t>T-043</t>
        </is>
      </c>
      <c r="B44" s="3" t="inlineStr">
        <is>
          <t>M1</t>
        </is>
      </c>
      <c r="C44" s="4" t="inlineStr">
        <is>
          <t>M1-P3</t>
        </is>
      </c>
      <c r="D44" s="4" t="inlineStr">
        <is>
          <t>Certify the analysis and model dashboards and choose the six shown</t>
        </is>
      </c>
      <c r="E44" s="4" t="inlineStr">
        <is>
          <t>Frontend</t>
        </is>
      </c>
      <c r="F44" s="4" t="inlineStr">
        <is>
          <t>Dashboard</t>
        </is>
      </c>
      <c r="G44" s="5" t="inlineStr">
        <is>
          <t>Critical</t>
        </is>
      </c>
      <c r="H44" s="4" t="inlineStr">
        <is>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t>
        </is>
      </c>
      <c r="I44" s="4" t="inlineStr">
        <is>
          <t>Every widget on these four pages returns rows. Confirm Model Insights makes no claim a live model has predicted anything unless one has. Record the primary six, the backup, and the reason for each choice, in the demonstration script.</t>
        </is>
      </c>
      <c r="J44" s="6" t="n">
        <v>6</v>
      </c>
      <c r="K44" s="4" t="inlineStr">
        <is>
          <t>Not Started</t>
        </is>
      </c>
    </row>
    <row r="45" ht="96" customHeight="1">
      <c r="A45" s="2" t="inlineStr">
        <is>
          <t>T-044</t>
        </is>
      </c>
      <c r="B45" s="3" t="inlineStr">
        <is>
          <t>M1</t>
        </is>
      </c>
      <c r="C45" s="4" t="inlineStr">
        <is>
          <t>M1-P3</t>
        </is>
      </c>
      <c r="D45" s="4" t="inlineStr">
        <is>
          <t>Register the final chart grammar and implement the presentation subset</t>
        </is>
      </c>
      <c r="E45" s="4" t="inlineStr">
        <is>
          <t>Backend</t>
        </is>
      </c>
      <c r="F45" s="4" t="inlineStr">
        <is>
          <t>Registry</t>
        </is>
      </c>
      <c r="G45" s="5" t="inlineStr">
        <is>
          <t>Critical</t>
        </is>
      </c>
      <c r="H45" s="4" t="inlineStr">
        <is>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is>
      </c>
      <c r="I45" s="4" t="inlineStr">
        <is>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is>
      </c>
      <c r="J45" s="6" t="n">
        <v>8</v>
      </c>
      <c r="K45" s="4" t="inlineStr">
        <is>
          <t>Not Started</t>
        </is>
      </c>
    </row>
    <row r="46" ht="96" customHeight="1">
      <c r="A46" s="2" t="inlineStr">
        <is>
          <t>T-045</t>
        </is>
      </c>
      <c r="B46" s="3" t="inlineStr">
        <is>
          <t>M1</t>
        </is>
      </c>
      <c r="C46" s="4" t="inlineStr">
        <is>
          <t>M1-P3</t>
        </is>
      </c>
      <c r="D46" s="4" t="inlineStr">
        <is>
          <t>Give the seven pages distinct visual grammars from the registered grammar</t>
        </is>
      </c>
      <c r="E46" s="4" t="inlineStr">
        <is>
          <t>Frontend</t>
        </is>
      </c>
      <c r="F46" s="4" t="inlineStr">
        <is>
          <t>Dashboard</t>
        </is>
      </c>
      <c r="G46" s="8" t="inlineStr">
        <is>
          <t>Very Important</t>
        </is>
      </c>
      <c r="H46" s="4" t="inlineStr">
        <is>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t>
        </is>
      </c>
      <c r="I46" s="4" t="inlineStr">
        <is>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t>
        </is>
      </c>
      <c r="J46" s="6" t="n">
        <v>10</v>
      </c>
      <c r="K46" s="4" t="inlineStr">
        <is>
          <t>Not Started</t>
        </is>
      </c>
    </row>
    <row r="47" ht="96" customHeight="1">
      <c r="A47" s="2" t="inlineStr">
        <is>
          <t>T-046</t>
        </is>
      </c>
      <c r="B47" s="3" t="inlineStr">
        <is>
          <t>M1</t>
        </is>
      </c>
      <c r="C47" s="4" t="inlineStr">
        <is>
          <t>M1-P3</t>
        </is>
      </c>
      <c r="D47" s="4" t="inlineStr">
        <is>
          <t>Associative model, part 1: the alternative state and registry-driven fields</t>
        </is>
      </c>
      <c r="E47" s="4" t="inlineStr">
        <is>
          <t>Frontend</t>
        </is>
      </c>
      <c r="F47" s="4" t="inlineStr">
        <is>
          <t>Dashboard</t>
        </is>
      </c>
      <c r="G47" s="8" t="inlineStr">
        <is>
          <t>Very Important</t>
        </is>
      </c>
      <c r="H47" s="4" t="inlineStr">
        <is>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is>
      </c>
      <c r="I47" s="4" t="inlineStr">
        <is>
          <t>All four states render distinctly - selected, possible, excluded, alternative - on the token colours, selection Electric Cyan and excluded Muted Steel. Add a dimension through the registry and confirm it appears in the strip with no code change.</t>
        </is>
      </c>
      <c r="J47" s="6" t="n">
        <v>4</v>
      </c>
      <c r="K47" s="4" t="inlineStr">
        <is>
          <t>Not Started</t>
        </is>
      </c>
    </row>
    <row r="48" ht="96" customHeight="1">
      <c r="A48" s="2" t="inlineStr">
        <is>
          <t>T-047</t>
        </is>
      </c>
      <c r="B48" s="3" t="inlineStr">
        <is>
          <t>M1</t>
        </is>
      </c>
      <c r="C48" s="4" t="inlineStr">
        <is>
          <t>M1-P3</t>
        </is>
      </c>
      <c r="D48" s="4" t="inlineStr">
        <is>
          <t>Certify layout drag, resize, save, reload and responsive behaviour</t>
        </is>
      </c>
      <c r="E48" s="4" t="inlineStr">
        <is>
          <t>Frontend</t>
        </is>
      </c>
      <c r="F48" s="4" t="inlineStr">
        <is>
          <t>Dashboard</t>
        </is>
      </c>
      <c r="G48" s="7" t="inlineStr">
        <is>
          <t>Important</t>
        </is>
      </c>
      <c r="H48" s="4" t="inlineStr">
        <is>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is>
      </c>
      <c r="I48" s="4" t="inlineStr">
        <is>
          <t>Move and resize three widgets, save, hard-reload, and confirm the layout is identical. Repeat at each of the three widths. Record a short screen capture into the evidence folder.</t>
        </is>
      </c>
      <c r="J48" s="6" t="n">
        <v>4</v>
      </c>
      <c r="K48" s="4" t="inlineStr">
        <is>
          <t>Not Started</t>
        </is>
      </c>
    </row>
    <row r="49" ht="96" customHeight="1">
      <c r="A49" s="2" t="inlineStr">
        <is>
          <t>T-048</t>
        </is>
      </c>
      <c r="B49" s="3" t="inlineStr">
        <is>
          <t>M1</t>
        </is>
      </c>
      <c r="C49" s="4" t="inlineStr">
        <is>
          <t>M1-P3</t>
        </is>
      </c>
      <c r="D49" s="4" t="inlineStr">
        <is>
          <t>Drill to population, provenance and evidence</t>
        </is>
      </c>
      <c r="E49" s="4" t="inlineStr">
        <is>
          <t>Frontend</t>
        </is>
      </c>
      <c r="F49" s="4" t="inlineStr">
        <is>
          <t>Dashboard</t>
        </is>
      </c>
      <c r="G49" s="8" t="inlineStr">
        <is>
          <t>Very Important</t>
        </is>
      </c>
      <c r="H49" s="4" t="inlineStr">
        <is>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is>
      </c>
      <c r="I49" s="4" t="inlineStr">
        <is>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is>
      </c>
      <c r="J49" s="6" t="n">
        <v>6</v>
      </c>
      <c r="K49" s="4" t="inlineStr">
        <is>
          <t>Not Started</t>
        </is>
      </c>
    </row>
    <row r="50" ht="96" customHeight="1">
      <c r="A50" s="2" t="inlineStr">
        <is>
          <t>T-049</t>
        </is>
      </c>
      <c r="B50" s="3" t="inlineStr">
        <is>
          <t>M1</t>
        </is>
      </c>
      <c r="C50" s="4" t="inlineStr">
        <is>
          <t>M1-P3</t>
        </is>
      </c>
      <c r="D50" s="4" t="inlineStr">
        <is>
          <t>Widget failure isolation and the seven states</t>
        </is>
      </c>
      <c r="E50" s="4" t="inlineStr">
        <is>
          <t>Frontend</t>
        </is>
      </c>
      <c r="F50" s="4" t="inlineStr">
        <is>
          <t>Dashboard</t>
        </is>
      </c>
      <c r="G50" s="5" t="inlineStr">
        <is>
          <t>Critical</t>
        </is>
      </c>
      <c r="H50" s="4" t="inlineStr">
        <is>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is>
      </c>
      <c r="I50" s="4" t="inlineStr">
        <is>
          <t>Inject a failure into one widget query and confirm the other widgets on the page continue to render and interact. Apply a filter that returns no rows and confirm the widget says the selection returned nothing, not that there is no data.</t>
        </is>
      </c>
      <c r="J50" s="6" t="n">
        <v>6</v>
      </c>
      <c r="K50" s="4" t="inlineStr">
        <is>
          <t>Not Started</t>
        </is>
      </c>
    </row>
    <row r="51" ht="96" customHeight="1">
      <c r="A51" s="2" t="inlineStr">
        <is>
          <t>T-050</t>
        </is>
      </c>
      <c r="B51" s="3" t="inlineStr">
        <is>
          <t>M1</t>
        </is>
      </c>
      <c r="C51" s="4" t="inlineStr">
        <is>
          <t>M1-P3</t>
        </is>
      </c>
      <c r="D51" s="4" t="inlineStr">
        <is>
          <t>Remove the hardcoded parameter default from the API client</t>
        </is>
      </c>
      <c r="E51" s="4" t="inlineStr">
        <is>
          <t>Frontend</t>
        </is>
      </c>
      <c r="F51" s="4" t="inlineStr">
        <is>
          <t>Dashboard</t>
        </is>
      </c>
      <c r="G51" s="5" t="inlineStr">
        <is>
          <t>Critical</t>
        </is>
      </c>
      <c r="H51" s="4" t="inlineStr">
        <is>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is>
      </c>
      <c r="I51" s="4" t="inlineStr">
        <is>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is>
      </c>
      <c r="J51" s="6" t="n">
        <v>4</v>
      </c>
      <c r="K51" s="4" t="inlineStr">
        <is>
          <t>Not Started</t>
        </is>
      </c>
    </row>
    <row r="52" ht="96" customHeight="1">
      <c r="A52" s="2" t="inlineStr">
        <is>
          <t>T-051</t>
        </is>
      </c>
      <c r="B52" s="3" t="inlineStr">
        <is>
          <t>M1</t>
        </is>
      </c>
      <c r="C52" s="4" t="inlineStr">
        <is>
          <t>M1-P4</t>
        </is>
      </c>
      <c r="D52" s="4" t="inlineStr">
        <is>
          <t>Reduce the demonstration navigation and add the inventory ratchet</t>
        </is>
      </c>
      <c r="E52" s="4" t="inlineStr">
        <is>
          <t>Frontend</t>
        </is>
      </c>
      <c r="F52" s="4" t="inlineStr">
        <is>
          <t>Design contract</t>
        </is>
      </c>
      <c r="G52" s="5" t="inlineStr">
        <is>
          <t>Critical</t>
        </is>
      </c>
      <c r="H52" s="4" t="inlineStr">
        <is>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is>
      </c>
      <c r="I52" s="4" t="inlineStr">
        <is>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is>
      </c>
      <c r="J52" s="6" t="n">
        <v>4</v>
      </c>
      <c r="K52" s="4" t="inlineStr">
        <is>
          <t>Not Started</t>
        </is>
      </c>
    </row>
    <row r="53" ht="96" customHeight="1">
      <c r="A53" s="2" t="inlineStr">
        <is>
          <t>T-052</t>
        </is>
      </c>
      <c r="B53" s="3" t="inlineStr">
        <is>
          <t>M1</t>
        </is>
      </c>
      <c r="C53" s="4" t="inlineStr">
        <is>
          <t>M1-P4</t>
        </is>
      </c>
      <c r="D53" s="4" t="inlineStr">
        <is>
          <t>J4 Connections: read-only proof and load budget made visible</t>
        </is>
      </c>
      <c r="E53" s="4" t="inlineStr">
        <is>
          <t>Frontend</t>
        </is>
      </c>
      <c r="F53" s="4" t="inlineStr">
        <is>
          <t>Connections</t>
        </is>
      </c>
      <c r="G53" s="8" t="inlineStr">
        <is>
          <t>Very Important</t>
        </is>
      </c>
      <c r="H53" s="4" t="inlineStr">
        <is>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is>
      </c>
      <c r="I53" s="4" t="inlineStr">
        <is>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is>
      </c>
      <c r="J53" s="6" t="n">
        <v>4</v>
      </c>
      <c r="K53" s="4" t="inlineStr">
        <is>
          <t>Not Started</t>
        </is>
      </c>
    </row>
    <row r="54" ht="96" customHeight="1">
      <c r="A54" s="2" t="inlineStr">
        <is>
          <t>T-053</t>
        </is>
      </c>
      <c r="B54" s="3" t="inlineStr">
        <is>
          <t>M1</t>
        </is>
      </c>
      <c r="C54" s="4" t="inlineStr">
        <is>
          <t>M1-P4</t>
        </is>
      </c>
      <c r="D54" s="4" t="inlineStr">
        <is>
          <t>J5 and J6 Dataset registry browse and watermark suggestion</t>
        </is>
      </c>
      <c r="E54" s="4" t="inlineStr">
        <is>
          <t>Frontend</t>
        </is>
      </c>
      <c r="F54" s="4" t="inlineStr">
        <is>
          <t>Data integration</t>
        </is>
      </c>
      <c r="G54" s="8" t="inlineStr">
        <is>
          <t>Very Important</t>
        </is>
      </c>
      <c r="H54" s="4" t="inlineStr">
        <is>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is>
      </c>
      <c r="I54" s="4" t="inlineStr">
        <is>
          <t>Register one dataset end to end and confirm the suggested business key and watermark are shown with reasons and can be overridden. Record which naming decision was taken in the traceability matrix.</t>
        </is>
      </c>
      <c r="J54" s="6" t="n">
        <v>6</v>
      </c>
      <c r="K54" s="4" t="inlineStr">
        <is>
          <t>Not Started</t>
        </is>
      </c>
    </row>
    <row r="55" ht="96" customHeight="1">
      <c r="A55" s="2" t="inlineStr">
        <is>
          <t>T-054</t>
        </is>
      </c>
      <c r="B55" s="3" t="inlineStr">
        <is>
          <t>M1</t>
        </is>
      </c>
      <c r="C55" s="4" t="inlineStr">
        <is>
          <t>M1-P4</t>
        </is>
      </c>
      <c r="D55" s="4" t="inlineStr">
        <is>
          <t>J6 Import progress visibility</t>
        </is>
      </c>
      <c r="E55" s="4" t="inlineStr">
        <is>
          <t>Frontend</t>
        </is>
      </c>
      <c r="F55" s="4" t="inlineStr">
        <is>
          <t>Data integration</t>
        </is>
      </c>
      <c r="G55" s="7" t="inlineStr">
        <is>
          <t>Important</t>
        </is>
      </c>
      <c r="H55" s="4" t="inlineStr">
        <is>
          <t>An import that runs with no visible progress reads as a hang. Add a named progress indication driven by the existing import batch records: batch started, rows staged, batch completed, with the dataset name. Use the activity tray pattern rather than a modal.</t>
        </is>
      </c>
      <c r="I55" s="4" t="inlineStr">
        <is>
          <t>Start an incremental import of at least 100k rows and confirm progress updates at least every few seconds and ends in a completed state with a row count that matches the staging table delta.</t>
        </is>
      </c>
      <c r="J55" s="6" t="n">
        <v>4</v>
      </c>
      <c r="K55" s="4" t="inlineStr">
        <is>
          <t>Not Started</t>
        </is>
      </c>
    </row>
    <row r="56" ht="96" customHeight="1">
      <c r="A56" s="2" t="inlineStr">
        <is>
          <t>T-055</t>
        </is>
      </c>
      <c r="B56" s="3" t="inlineStr">
        <is>
          <t>M1</t>
        </is>
      </c>
      <c r="C56" s="4" t="inlineStr">
        <is>
          <t>M1-P4</t>
        </is>
      </c>
      <c r="D56" s="4" t="inlineStr">
        <is>
          <t>J7 Relationship model vertical slice, part 1: publish one relationship</t>
        </is>
      </c>
      <c r="E56" s="4" t="inlineStr">
        <is>
          <t>Backend</t>
        </is>
      </c>
      <c r="F56" s="4" t="inlineStr">
        <is>
          <t>Relationship model</t>
        </is>
      </c>
      <c r="G56" s="5" t="inlineStr">
        <is>
          <t>Critical</t>
        </is>
      </c>
      <c r="H56" s="4" t="inlineStr">
        <is>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is>
      </c>
      <c r="I56" s="4" t="inlineStr">
        <is>
          <t>An integration test that publishes one relationship, reads it back, and asserts it is versioned and marked published. A second test asserting an unpublished relationship is not returned to consumers.</t>
        </is>
      </c>
      <c r="J56" s="6" t="n">
        <v>10</v>
      </c>
      <c r="K56" s="4" t="inlineStr">
        <is>
          <t>Not Started</t>
        </is>
      </c>
    </row>
    <row r="57" ht="96" customHeight="1">
      <c r="A57" s="2" t="inlineStr">
        <is>
          <t>T-056</t>
        </is>
      </c>
      <c r="B57" s="3" t="inlineStr">
        <is>
          <t>M1</t>
        </is>
      </c>
      <c r="C57" s="4" t="inlineStr">
        <is>
          <t>M1-P4</t>
        </is>
      </c>
      <c r="D57" s="4" t="inlineStr">
        <is>
          <t>J7 Relationship model vertical slice, part 2: one resolver consumer</t>
        </is>
      </c>
      <c r="E57" s="4" t="inlineStr">
        <is>
          <t>Backend</t>
        </is>
      </c>
      <c r="F57" s="4" t="inlineStr">
        <is>
          <t>Relationship model</t>
        </is>
      </c>
      <c r="G57" s="5" t="inlineStr">
        <is>
          <t>Critical</t>
        </is>
      </c>
      <c r="H57" s="4" t="inlineStr">
        <is>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is>
      </c>
      <c r="I57" s="4" t="inlineStr">
        <is>
          <t>Point one widget at data spanning two sources, confirm it renders, then unpublish the relationship and confirm the widget refuses with a named reason instead of silently returning a partial result. Restore and confirm it renders again.</t>
        </is>
      </c>
      <c r="J57" s="6" t="n">
        <v>10</v>
      </c>
      <c r="K57" s="4" t="inlineStr">
        <is>
          <t>Not Started</t>
        </is>
      </c>
    </row>
    <row r="58" ht="96" customHeight="1">
      <c r="A58" s="2" t="inlineStr">
        <is>
          <t>T-057</t>
        </is>
      </c>
      <c r="B58" s="3" t="inlineStr">
        <is>
          <t>M1</t>
        </is>
      </c>
      <c r="C58" s="4" t="inlineStr">
        <is>
          <t>M1-P4</t>
        </is>
      </c>
      <c r="D58" s="4" t="inlineStr">
        <is>
          <t>Associative model, part 2: cross-source state through the published relationship</t>
        </is>
      </c>
      <c r="E58" s="4" t="inlineStr">
        <is>
          <t>Frontend</t>
        </is>
      </c>
      <c r="F58" s="4" t="inlineStr">
        <is>
          <t>Dashboard</t>
        </is>
      </c>
      <c r="G58" s="8" t="inlineStr">
        <is>
          <t>Very Important</t>
        </is>
      </c>
      <c r="H58" s="4" t="inlineStr">
        <is>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is>
      </c>
      <c r="I58" s="4" t="inlineStr">
        <is>
          <t>Apply a selection that spans two sources and confirm the strip and every widget narrow consistently. Unpublish the relationship and confirm the cross-source state refuses with a named reason rather than silently narrowing to one source.</t>
        </is>
      </c>
      <c r="J58" s="6" t="n">
        <v>4</v>
      </c>
      <c r="K58" s="4" t="inlineStr">
        <is>
          <t>Not Started</t>
        </is>
      </c>
    </row>
    <row r="59" ht="96" customHeight="1">
      <c r="A59" s="2" t="inlineStr">
        <is>
          <t>T-058</t>
        </is>
      </c>
      <c r="B59" s="3" t="inlineStr">
        <is>
          <t>M1</t>
        </is>
      </c>
      <c r="C59" s="4" t="inlineStr">
        <is>
          <t>M1-P4</t>
        </is>
      </c>
      <c r="D59" s="4" t="inlineStr">
        <is>
          <t>C6 Relationship Browser, minimal read-only slice</t>
        </is>
      </c>
      <c r="E59" s="4" t="inlineStr">
        <is>
          <t>Frontend</t>
        </is>
      </c>
      <c r="F59" s="4" t="inlineStr">
        <is>
          <t>Relationship model</t>
        </is>
      </c>
      <c r="G59" s="8" t="inlineStr">
        <is>
          <t>Very Important</t>
        </is>
      </c>
      <c r="H59" s="4" t="inlineStr">
        <is>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is>
      </c>
      <c r="I59" s="4" t="inlineStr">
        <is>
          <t>Open a published relationship and confirm its members, cardinality and path render with evidence. Confirm an unpublished relationship is visibly distinct from a published one. Confirm the page is read-only - no control on it can modify a relationship.</t>
        </is>
      </c>
      <c r="J59" s="6" t="n">
        <v>4</v>
      </c>
      <c r="K59" s="4" t="inlineStr">
        <is>
          <t>Not Started</t>
        </is>
      </c>
    </row>
    <row r="60" ht="96" customHeight="1">
      <c r="A60" s="2" t="inlineStr">
        <is>
          <t>T-059</t>
        </is>
      </c>
      <c r="B60" s="3" t="inlineStr">
        <is>
          <t>M1</t>
        </is>
      </c>
      <c r="C60" s="4" t="inlineStr">
        <is>
          <t>M1-P4</t>
        </is>
      </c>
      <c r="D60" s="4" t="inlineStr">
        <is>
          <t>C2 Mapping Health, part 1: the typed issue contract and the reprocess API</t>
        </is>
      </c>
      <c r="E60" s="4" t="inlineStr">
        <is>
          <t>Backend</t>
        </is>
      </c>
      <c r="F60" s="4" t="inlineStr">
        <is>
          <t>Mapping health</t>
        </is>
      </c>
      <c r="G60" s="5" t="inlineStr">
        <is>
          <t>Critical</t>
        </is>
      </c>
      <c r="H60" s="4" t="inlineStr">
        <is>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is>
      </c>
      <c r="I60" s="4" t="inlineStr">
        <is>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is>
      </c>
      <c r="J60" s="6" t="n">
        <v>6</v>
      </c>
      <c r="K60" s="4" t="inlineStr">
        <is>
          <t>Not Started</t>
        </is>
      </c>
    </row>
    <row r="61" ht="96" customHeight="1">
      <c r="A61" s="2" t="inlineStr">
        <is>
          <t>T-060</t>
        </is>
      </c>
      <c r="B61" s="3" t="inlineStr">
        <is>
          <t>M1</t>
        </is>
      </c>
      <c r="C61" s="4" t="inlineStr">
        <is>
          <t>M1-P4</t>
        </is>
      </c>
      <c r="D61" s="4" t="inlineStr">
        <is>
          <t>C2 Mapping Health, part 2: the final visible page</t>
        </is>
      </c>
      <c r="E61" s="4" t="inlineStr">
        <is>
          <t>Frontend</t>
        </is>
      </c>
      <c r="F61" s="4" t="inlineStr">
        <is>
          <t>Mapping health</t>
        </is>
      </c>
      <c r="G61" s="5" t="inlineStr">
        <is>
          <t>Critical</t>
        </is>
      </c>
      <c r="H61" s="4" t="inlineStr">
        <is>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is>
      </c>
      <c r="I61" s="4" t="inlineStr">
        <is>
          <t>Walk the page with three issue codes present, reprocess one, and confirm the group clears while the others remain. Confirm the empty state says the mapping is clean rather than that there is no data.</t>
        </is>
      </c>
      <c r="J61" s="6" t="n">
        <v>4</v>
      </c>
      <c r="K61" s="4" t="inlineStr">
        <is>
          <t>Not Started</t>
        </is>
      </c>
    </row>
    <row r="62" ht="96" customHeight="1">
      <c r="A62" s="2" t="inlineStr">
        <is>
          <t>T-061</t>
        </is>
      </c>
      <c r="B62" s="3" t="inlineStr">
        <is>
          <t>M1</t>
        </is>
      </c>
      <c r="C62" s="4" t="inlineStr">
        <is>
          <t>M1-P4</t>
        </is>
      </c>
      <c r="D62" s="4" t="inlineStr">
        <is>
          <t>C5 Genealogy: converge the legacy workbench onto the final two-state surface</t>
        </is>
      </c>
      <c r="E62" s="4" t="inlineStr">
        <is>
          <t>Frontend</t>
        </is>
      </c>
      <c r="F62" s="4" t="inlineStr">
        <is>
          <t>Genealogy</t>
        </is>
      </c>
      <c r="G62" s="8" t="inlineStr">
        <is>
          <t>Very Important</t>
        </is>
      </c>
      <c r="H62" s="4" t="inlineStr">
        <is>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is>
      </c>
      <c r="I62" s="4" t="inlineStr">
        <is>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is>
      </c>
      <c r="J62" s="6" t="n">
        <v>10</v>
      </c>
      <c r="K62" s="4" t="inlineStr">
        <is>
          <t>Not Started</t>
        </is>
      </c>
    </row>
    <row r="63" ht="96" customHeight="1">
      <c r="A63" s="2" t="inlineStr">
        <is>
          <t>T-062</t>
        </is>
      </c>
      <c r="B63" s="3" t="inlineStr">
        <is>
          <t>M1</t>
        </is>
      </c>
      <c r="C63" s="4" t="inlineStr">
        <is>
          <t>M1-P4</t>
        </is>
      </c>
      <c r="D63" s="4" t="inlineStr">
        <is>
          <t>Add job_definitions.target_definition_id and the JB error codes</t>
        </is>
      </c>
      <c r="E63" s="4" t="inlineStr">
        <is>
          <t>Backend</t>
        </is>
      </c>
      <c r="F63" s="4" t="inlineStr">
        <is>
          <t>Jobs</t>
        </is>
      </c>
      <c r="G63" s="5" t="inlineStr">
        <is>
          <t>Critical</t>
        </is>
      </c>
      <c r="H63" s="4" t="inlineStr">
        <is>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is>
      </c>
      <c r="I63" s="4" t="inlineStr">
        <is>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is>
      </c>
      <c r="J63" s="6" t="n">
        <v>8</v>
      </c>
      <c r="K63" s="4" t="inlineStr">
        <is>
          <t>Not Started</t>
        </is>
      </c>
    </row>
    <row r="64" ht="96" customHeight="1">
      <c r="A64" s="2" t="inlineStr">
        <is>
          <t>T-063</t>
        </is>
      </c>
      <c r="B64" s="3" t="inlineStr">
        <is>
          <t>M1</t>
        </is>
      </c>
      <c r="C64" s="4" t="inlineStr">
        <is>
          <t>M1-P4</t>
        </is>
      </c>
      <c r="D64" s="4" t="inlineStr">
        <is>
          <t>J12 Analysis authoring: converge onto D3 Analysis Toolbox in S3 mode</t>
        </is>
      </c>
      <c r="E64" s="4" t="inlineStr">
        <is>
          <t>Frontend</t>
        </is>
      </c>
      <c r="F64" s="4" t="inlineStr">
        <is>
          <t>Engine</t>
        </is>
      </c>
      <c r="G64" s="5" t="inlineStr">
        <is>
          <t>Critical</t>
        </is>
      </c>
      <c r="H64" s="4" t="inlineStr">
        <is>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is>
      </c>
      <c r="I64" s="4" t="inlineStr">
        <is>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is>
      </c>
      <c r="J64" s="6" t="n">
        <v>12</v>
      </c>
      <c r="K64" s="4" t="inlineStr">
        <is>
          <t>Not Started</t>
        </is>
      </c>
    </row>
    <row r="65" ht="96" customHeight="1">
      <c r="A65" s="2" t="inlineStr">
        <is>
          <t>T-064</t>
        </is>
      </c>
      <c r="B65" s="3" t="inlineStr">
        <is>
          <t>M1</t>
        </is>
      </c>
      <c r="C65" s="4" t="inlineStr">
        <is>
          <t>M1-P4</t>
        </is>
      </c>
      <c r="D65" s="4" t="inlineStr">
        <is>
          <t>One visible readiness authority on Home and Analysis</t>
        </is>
      </c>
      <c r="E65" s="4" t="inlineStr">
        <is>
          <t>Frontend</t>
        </is>
      </c>
      <c r="F65" s="4" t="inlineStr">
        <is>
          <t>Engine</t>
        </is>
      </c>
      <c r="G65" s="5" t="inlineStr">
        <is>
          <t>Critical</t>
        </is>
      </c>
      <c r="H65" s="4" t="inlineStr">
        <is>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is>
      </c>
      <c r="I65" s="4" t="inlineStr">
        <is>
          <t>Compare the panel against a direct call to GET /api/ml/foundation/readiness. Every number on screen must match the API response exactly. Change one threshold in configuration and confirm the panel moves, proving it is not a static rendering.</t>
        </is>
      </c>
      <c r="J65" s="6" t="n">
        <v>6</v>
      </c>
      <c r="K65" s="4" t="inlineStr">
        <is>
          <t>Not Started</t>
        </is>
      </c>
    </row>
    <row r="66" ht="96" customHeight="1">
      <c r="A66" s="2" t="inlineStr">
        <is>
          <t>T-065</t>
        </is>
      </c>
      <c r="B66" s="3" t="inlineStr">
        <is>
          <t>M1</t>
        </is>
      </c>
      <c r="C66" s="4" t="inlineStr">
        <is>
          <t>M1-P4</t>
        </is>
      </c>
      <c r="D66" s="4" t="inlineStr">
        <is>
          <t>Findings evidence panel, registry-driven throughout</t>
        </is>
      </c>
      <c r="E66" s="4" t="inlineStr">
        <is>
          <t>Frontend</t>
        </is>
      </c>
      <c r="F66" s="4" t="inlineStr">
        <is>
          <t>Engine</t>
        </is>
      </c>
      <c r="G66" s="8" t="inlineStr">
        <is>
          <t>Very Important</t>
        </is>
      </c>
      <c r="H66" s="4" t="inlineStr">
        <is>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is>
      </c>
      <c r="I66" s="4" t="inlineStr">
        <is>
          <t>Open the strongest finding and confirm all six elements are present. Confirm the ordering is by effect size and not p-value, by comparing against the API response. Change the registry's default outcome and confirm the page opens on the new one with no code change.</t>
        </is>
      </c>
      <c r="J66" s="6" t="n">
        <v>8</v>
      </c>
      <c r="K66" s="4" t="inlineStr">
        <is>
          <t>Not Started</t>
        </is>
      </c>
    </row>
    <row r="67" ht="96" customHeight="1">
      <c r="A67" s="2" t="inlineStr">
        <is>
          <t>T-066</t>
        </is>
      </c>
      <c r="B67" s="3" t="inlineStr">
        <is>
          <t>M1</t>
        </is>
      </c>
      <c r="C67" s="4" t="inlineStr">
        <is>
          <t>M1-P4</t>
        </is>
      </c>
      <c r="D67" s="4" t="inlineStr">
        <is>
          <t>Retire the hardcoded outcome and grain arrays</t>
        </is>
      </c>
      <c r="E67" s="4" t="inlineStr">
        <is>
          <t>Frontend</t>
        </is>
      </c>
      <c r="F67" s="4" t="inlineStr">
        <is>
          <t>Engine</t>
        </is>
      </c>
      <c r="G67" s="5" t="inlineStr">
        <is>
          <t>Critical</t>
        </is>
      </c>
      <c r="H67" s="4" t="inlineStr">
        <is>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is>
      </c>
      <c r="I67" s="4" t="inlineStr">
        <is>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is>
      </c>
      <c r="J67" s="6" t="n">
        <v>6</v>
      </c>
      <c r="K67" s="4" t="inlineStr">
        <is>
          <t>Not Started</t>
        </is>
      </c>
    </row>
    <row r="68" ht="96" customHeight="1">
      <c r="A68" s="2" t="inlineStr">
        <is>
          <t>T-067</t>
        </is>
      </c>
      <c r="B68" s="3" t="inlineStr">
        <is>
          <t>M1</t>
        </is>
      </c>
      <c r="C68" s="4" t="inlineStr">
        <is>
          <t>M1-P5</t>
        </is>
      </c>
      <c r="D68" s="4" t="inlineStr">
        <is>
          <t>Website, part 1: the five-product information architecture</t>
        </is>
      </c>
      <c r="E68" s="4" t="inlineStr">
        <is>
          <t>Website</t>
        </is>
      </c>
      <c r="F68" s="4" t="inlineStr">
        <is>
          <t>Public site</t>
        </is>
      </c>
      <c r="G68" s="5" t="inlineStr">
        <is>
          <t>Critical</t>
        </is>
      </c>
      <c r="H68" s="4" t="inlineStr">
        <is>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is>
      </c>
      <c r="I68" s="4" t="inlineStr">
        <is>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is>
      </c>
      <c r="J68" s="6" t="n">
        <v>8</v>
      </c>
      <c r="K68" s="4" t="inlineStr">
        <is>
          <t>Not Started</t>
        </is>
      </c>
    </row>
    <row r="69" ht="96" customHeight="1">
      <c r="A69" s="2" t="inlineStr">
        <is>
          <t>T-068</t>
        </is>
      </c>
      <c r="B69" s="3" t="inlineStr">
        <is>
          <t>M1</t>
        </is>
      </c>
      <c r="C69" s="4" t="inlineStr">
        <is>
          <t>M1-P5</t>
        </is>
      </c>
      <c r="D69" s="4" t="inlineStr">
        <is>
          <t>Website, part 2: polish the presentation routes</t>
        </is>
      </c>
      <c r="E69" s="4" t="inlineStr">
        <is>
          <t>Website</t>
        </is>
      </c>
      <c r="F69" s="4" t="inlineStr">
        <is>
          <t>Public site</t>
        </is>
      </c>
      <c r="G69" s="7" t="inlineStr">
        <is>
          <t>Important</t>
        </is>
      </c>
      <c r="H69" s="4" t="inlineStr">
        <is>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is>
      </c>
      <c r="I69" s="4" t="inlineStr">
        <is>
          <t>Click every link on every route you will open and confirm none is dead. Check desktop, mobile and keyboard navigation on those routes. Confirm no page shows a blocker, an unfinished item or a failed test, per the standing website honesty rule.</t>
        </is>
      </c>
      <c r="J69" s="6" t="n">
        <v>6</v>
      </c>
      <c r="K69" s="4" t="inlineStr">
        <is>
          <t>Not Started</t>
        </is>
      </c>
    </row>
    <row r="70" ht="96" customHeight="1">
      <c r="A70" s="2" t="inlineStr">
        <is>
          <t>T-069</t>
        </is>
      </c>
      <c r="B70" s="3" t="inlineStr">
        <is>
          <t>M1</t>
        </is>
      </c>
      <c r="C70" s="4" t="inlineStr">
        <is>
          <t>M1-P5</t>
        </is>
      </c>
      <c r="D70" s="4" t="inlineStr">
        <is>
          <t>Build the G1 persistent assistant dock</t>
        </is>
      </c>
      <c r="E70" s="4" t="inlineStr">
        <is>
          <t>Frontend</t>
        </is>
      </c>
      <c r="F70" s="4" t="inlineStr">
        <is>
          <t>Chatbot</t>
        </is>
      </c>
      <c r="G70" s="5" t="inlineStr">
        <is>
          <t>Critical</t>
        </is>
      </c>
      <c r="H70" s="4" t="inlineStr">
        <is>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is>
      </c>
      <c r="I70" s="4" t="inlineStr">
        <is>
          <t>Open the dock on at least five different pages and confirm the conversation persists across navigation. Confirm the collapsed state does not obscure any control. Add a vitest asserting the dock renders inside the authenticated layout and not as a route element.</t>
        </is>
      </c>
      <c r="J70" s="6" t="n">
        <v>8</v>
      </c>
      <c r="K70" s="4" t="inlineStr">
        <is>
          <t>Not Started</t>
        </is>
      </c>
    </row>
    <row r="71" ht="96" customHeight="1">
      <c r="A71" s="2" t="inlineStr">
        <is>
          <t>T-070</t>
        </is>
      </c>
      <c r="B71" s="3" t="inlineStr">
        <is>
          <t>M1</t>
        </is>
      </c>
      <c r="C71" s="4" t="inlineStr">
        <is>
          <t>M1-P5</t>
        </is>
      </c>
      <c r="D71" s="4" t="inlineStr">
        <is>
          <t>Page and widget context envelope</t>
        </is>
      </c>
      <c r="E71" s="4" t="inlineStr">
        <is>
          <t>Backend</t>
        </is>
      </c>
      <c r="F71" s="4" t="inlineStr">
        <is>
          <t>Chatbot</t>
        </is>
      </c>
      <c r="G71" s="5" t="inlineStr">
        <is>
          <t>Critical</t>
        </is>
      </c>
      <c r="H71" s="4" t="inlineStr">
        <is>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is>
      </c>
      <c r="I71" s="4" t="inlineStr">
        <is>
          <t>Ask the same question on two different pages and confirm the retrieved evidence differs. Assert in an integration test that the context reaches the retrieval call and that no context field is echoed into the answer text unverified.</t>
        </is>
      </c>
      <c r="J71" s="6" t="n">
        <v>8</v>
      </c>
      <c r="K71" s="4" t="inlineStr">
        <is>
          <t>Not Started</t>
        </is>
      </c>
    </row>
    <row r="72" ht="96" customHeight="1">
      <c r="A72" s="2" t="inlineStr">
        <is>
          <t>T-071</t>
        </is>
      </c>
      <c r="B72" s="3" t="inlineStr">
        <is>
          <t>M1</t>
        </is>
      </c>
      <c r="C72" s="4" t="inlineStr">
        <is>
          <t>M1-P5</t>
        </is>
      </c>
      <c r="D72" s="4" t="inlineStr">
        <is>
          <t>Add the page and widget chunk family to the retrieval corpus</t>
        </is>
      </c>
      <c r="E72" s="4" t="inlineStr">
        <is>
          <t>AI+ML</t>
        </is>
      </c>
      <c r="F72" s="4" t="inlineStr">
        <is>
          <t>Chatbot</t>
        </is>
      </c>
      <c r="G72" s="5" t="inlineStr">
        <is>
          <t>Critical</t>
        </is>
      </c>
      <c r="H72" s="4" t="inlineStr">
        <is>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is>
      </c>
      <c r="I72" s="4" t="inlineStr">
        <is>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is>
      </c>
      <c r="J72" s="6" t="n">
        <v>8</v>
      </c>
      <c r="K72" s="4" t="inlineStr">
        <is>
          <t>Not Started</t>
        </is>
      </c>
    </row>
    <row r="73" ht="96" customHeight="1">
      <c r="A73" s="2" t="inlineStr">
        <is>
          <t>T-072</t>
        </is>
      </c>
      <c r="B73" s="3" t="inlineStr">
        <is>
          <t>M1</t>
        </is>
      </c>
      <c r="C73" s="4" t="inlineStr">
        <is>
          <t>M1-P5</t>
        </is>
      </c>
      <c r="D73" s="4" t="inlineStr">
        <is>
          <t>Registry-typed quantity guard on assistant answers</t>
        </is>
      </c>
      <c r="E73" s="4" t="inlineStr">
        <is>
          <t>Backend</t>
        </is>
      </c>
      <c r="F73" s="4" t="inlineStr">
        <is>
          <t>Chatbot</t>
        </is>
      </c>
      <c r="G73" s="8" t="inlineStr">
        <is>
          <t>Very Important</t>
        </is>
      </c>
      <c r="H73" s="4" t="inlineStr">
        <is>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is>
      </c>
      <c r="I73" s="4" t="inlineStr">
        <is>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is>
      </c>
      <c r="J73" s="6" t="n">
        <v>4</v>
      </c>
      <c r="K73" s="4" t="inlineStr">
        <is>
          <t>Not Started</t>
        </is>
      </c>
    </row>
    <row r="74" ht="96" customHeight="1">
      <c r="A74" s="2" t="inlineStr">
        <is>
          <t>T-073</t>
        </is>
      </c>
      <c r="B74" s="3" t="inlineStr">
        <is>
          <t>M1</t>
        </is>
      </c>
      <c r="C74" s="4" t="inlineStr">
        <is>
          <t>M1-P5</t>
        </is>
      </c>
      <c r="D74" s="4" t="inlineStr">
        <is>
          <t>Citation chips, evidence strip and suggested questions</t>
        </is>
      </c>
      <c r="E74" s="4" t="inlineStr">
        <is>
          <t>Frontend</t>
        </is>
      </c>
      <c r="F74" s="4" t="inlineStr">
        <is>
          <t>Chatbot</t>
        </is>
      </c>
      <c r="G74" s="8" t="inlineStr">
        <is>
          <t>Very Important</t>
        </is>
      </c>
      <c r="H74" s="4" t="inlineStr">
        <is>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is>
      </c>
      <c r="I74" s="4" t="inlineStr">
        <is>
          <t>Click a citation chip and confirm it expands to the underlying evidence. Click Open in page and confirm it navigates to the correct surface with the relevant selection applied. Confirm suggested questions change between two different pages.</t>
        </is>
      </c>
      <c r="J74" s="6" t="n">
        <v>4</v>
      </c>
      <c r="K74" s="4" t="inlineStr">
        <is>
          <t>Not Started</t>
        </is>
      </c>
    </row>
    <row r="75" ht="96" customHeight="1">
      <c r="A75" s="2" t="inlineStr">
        <is>
          <t>T-074</t>
        </is>
      </c>
      <c r="B75" s="3" t="inlineStr">
        <is>
          <t>M1</t>
        </is>
      </c>
      <c r="C75" s="4" t="inlineStr">
        <is>
          <t>M1-P5</t>
        </is>
      </c>
      <c r="D75" s="4" t="inlineStr">
        <is>
          <t>Certified question pack and offline fallback</t>
        </is>
      </c>
      <c r="E75" s="4" t="inlineStr">
        <is>
          <t>Documentation</t>
        </is>
      </c>
      <c r="F75" s="4" t="inlineStr">
        <is>
          <t>Chatbot</t>
        </is>
      </c>
      <c r="G75" s="8" t="inlineStr">
        <is>
          <t>Very Important</t>
        </is>
      </c>
      <c r="H75" s="4" t="inlineStr">
        <is>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is>
      </c>
      <c r="I75" s="4" t="inlineStr">
        <is>
          <t>Run all 10 to 15 twice, once online and once with the model endpoint unreachable, and record both answers. Any question that refuses in both runs is removed from the live set.</t>
        </is>
      </c>
      <c r="J75" s="6" t="n">
        <v>4</v>
      </c>
      <c r="K75" s="4" t="inlineStr">
        <is>
          <t>Not Started</t>
        </is>
      </c>
    </row>
    <row r="76" ht="96" customHeight="1">
      <c r="A76" s="2" t="inlineStr">
        <is>
          <t>T-075</t>
        </is>
      </c>
      <c r="B76" s="3" t="inlineStr">
        <is>
          <t>M1</t>
        </is>
      </c>
      <c r="C76" s="4" t="inlineStr">
        <is>
          <t>M1-P5</t>
        </is>
      </c>
      <c r="D76" s="4" t="inlineStr">
        <is>
          <t>One Playwright journey covering all six beats</t>
        </is>
      </c>
      <c r="E76" s="4" t="inlineStr">
        <is>
          <t>Testing</t>
        </is>
      </c>
      <c r="F76" s="4" t="inlineStr">
        <is>
          <t>E2E</t>
        </is>
      </c>
      <c r="G76" s="5" t="inlineStr">
        <is>
          <t>Critical</t>
        </is>
      </c>
      <c r="H76" s="4" t="inlineStr">
        <is>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is>
      </c>
      <c r="I76" s="4" t="inlineStr">
        <is>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is>
      </c>
      <c r="J76" s="6" t="n">
        <v>6</v>
      </c>
      <c r="K76" s="4" t="inlineStr">
        <is>
          <t>Not Started</t>
        </is>
      </c>
    </row>
    <row r="77" ht="96" customHeight="1">
      <c r="A77" s="2" t="inlineStr">
        <is>
          <t>T-076</t>
        </is>
      </c>
      <c r="B77" s="3" t="inlineStr">
        <is>
          <t>M1</t>
        </is>
      </c>
      <c r="C77" s="4" t="inlineStr">
        <is>
          <t>M1-P5</t>
        </is>
      </c>
      <c r="D77" s="4" t="inlineStr">
        <is>
          <t>Execute visual regression and accessibility on the presented routes</t>
        </is>
      </c>
      <c r="E77" s="4" t="inlineStr">
        <is>
          <t>Testing</t>
        </is>
      </c>
      <c r="F77" s="4" t="inlineStr">
        <is>
          <t>Visual and a11y</t>
        </is>
      </c>
      <c r="G77" s="8" t="inlineStr">
        <is>
          <t>Very Important</t>
        </is>
      </c>
      <c r="H77" s="4" t="inlineStr">
        <is>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is>
      </c>
      <c r="I77" s="4" t="inlineStr">
        <is>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is>
      </c>
      <c r="J77" s="6" t="n">
        <v>4</v>
      </c>
      <c r="K77" s="4" t="inlineStr">
        <is>
          <t>Not Started</t>
        </is>
      </c>
    </row>
    <row r="78" ht="96" customHeight="1">
      <c r="A78" s="2" t="inlineStr">
        <is>
          <t>T-077</t>
        </is>
      </c>
      <c r="B78" s="3" t="inlineStr">
        <is>
          <t>M1</t>
        </is>
      </c>
      <c r="C78" s="4" t="inlineStr">
        <is>
          <t>M1-P5</t>
        </is>
      </c>
      <c r="D78" s="4" t="inlineStr">
        <is>
          <t>Failure injection suite</t>
        </is>
      </c>
      <c r="E78" s="4" t="inlineStr">
        <is>
          <t>Testing</t>
        </is>
      </c>
      <c r="F78" s="4" t="inlineStr">
        <is>
          <t>E2E</t>
        </is>
      </c>
      <c r="G78" s="8" t="inlineStr">
        <is>
          <t>Very Important</t>
        </is>
      </c>
      <c r="H78" s="4" t="inlineStr">
        <is>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is>
      </c>
      <c r="I78" s="4" t="inlineStr">
        <is>
          <t>Five scripted injections, each with a screenshot of the resulting state in the evidence folder, each showing a sentence rather than a raw error. A red outline with no sentence beside it is a failure of the specification, not an acceptable outcome.</t>
        </is>
      </c>
      <c r="J78" s="6" t="n">
        <v>3</v>
      </c>
      <c r="K78" s="4" t="inlineStr">
        <is>
          <t>Not Started</t>
        </is>
      </c>
    </row>
    <row r="79" ht="96" customHeight="1">
      <c r="A79" s="2" t="inlineStr">
        <is>
          <t>T-078</t>
        </is>
      </c>
      <c r="B79" s="3" t="inlineStr">
        <is>
          <t>M1</t>
        </is>
      </c>
      <c r="C79" s="4" t="inlineStr">
        <is>
          <t>M1-P5</t>
        </is>
      </c>
      <c r="D79" s="4" t="inlineStr">
        <is>
          <t>Capture the Customer Contract Continuity snapshots</t>
        </is>
      </c>
      <c r="E79" s="4" t="inlineStr">
        <is>
          <t>Testing</t>
        </is>
      </c>
      <c r="F79" s="4" t="inlineStr">
        <is>
          <t>Continuity</t>
        </is>
      </c>
      <c r="G79" s="5" t="inlineStr">
        <is>
          <t>Critical</t>
        </is>
      </c>
      <c r="H79" s="4" t="inlineStr">
        <is>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is>
      </c>
      <c r="I79" s="4" t="inlineStr">
        <is>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is>
      </c>
      <c r="J79" s="6" t="n">
        <v>4</v>
      </c>
      <c r="K79" s="4" t="inlineStr">
        <is>
          <t>Not Started</t>
        </is>
      </c>
    </row>
    <row r="80" ht="96" customHeight="1">
      <c r="A80" s="2" t="inlineStr">
        <is>
          <t>T-079</t>
        </is>
      </c>
      <c r="B80" s="3" t="inlineStr">
        <is>
          <t>M1</t>
        </is>
      </c>
      <c r="C80" s="4" t="inlineStr">
        <is>
          <t>M1-P5</t>
        </is>
      </c>
      <c r="D80" s="4" t="inlineStr">
        <is>
          <t>Write the screen-by-screen demonstration script</t>
        </is>
      </c>
      <c r="E80" s="4" t="inlineStr">
        <is>
          <t>Documentation</t>
        </is>
      </c>
      <c r="F80" s="4" t="inlineStr">
        <is>
          <t>Rehearsal</t>
        </is>
      </c>
      <c r="G80" s="5" t="inlineStr">
        <is>
          <t>Critical</t>
        </is>
      </c>
      <c r="H80" s="4" t="inlineStr">
        <is>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src_caster_oracle_shape_cast_pieces.</t>
        </is>
      </c>
      <c r="I80" s="4" t="inlineStr">
        <is>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is>
      </c>
      <c r="J80" s="6" t="n">
        <v>6</v>
      </c>
      <c r="K80" s="4" t="inlineStr">
        <is>
          <t>Not Started</t>
        </is>
      </c>
    </row>
    <row r="81" ht="96" customHeight="1">
      <c r="A81" s="2" t="inlineStr">
        <is>
          <t>T-080</t>
        </is>
      </c>
      <c r="B81" s="3" t="inlineStr">
        <is>
          <t>M1</t>
        </is>
      </c>
      <c r="C81" s="4" t="inlineStr">
        <is>
          <t>M1-P5</t>
        </is>
      </c>
      <c r="D81" s="4" t="inlineStr">
        <is>
          <t>Presentation environment preparation and clean-start verification</t>
        </is>
      </c>
      <c r="E81" s="4" t="inlineStr">
        <is>
          <t>Infrastructure</t>
        </is>
      </c>
      <c r="F81" s="4" t="inlineStr">
        <is>
          <t>Rehearsal</t>
        </is>
      </c>
      <c r="G81" s="8" t="inlineStr">
        <is>
          <t>Very Important</t>
        </is>
      </c>
      <c r="H81" s="4" t="inlineStr">
        <is>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is>
      </c>
      <c r="I81" s="4" t="inlineStr">
        <is>
          <t>Cold-boot the machine and reach the first demonstration screen following only a written checklist, twice, timing both. Record both timings. If the second run needs a step that is not on the checklist, the checklist is wrong.</t>
        </is>
      </c>
      <c r="J81" s="6" t="n">
        <v>4</v>
      </c>
      <c r="K81" s="4" t="inlineStr">
        <is>
          <t>Not Started</t>
        </is>
      </c>
    </row>
    <row r="82" ht="96" customHeight="1">
      <c r="A82" s="2" t="inlineStr">
        <is>
          <t>T-081</t>
        </is>
      </c>
      <c r="B82" s="3" t="inlineStr">
        <is>
          <t>M1</t>
        </is>
      </c>
      <c r="C82" s="4" t="inlineStr">
        <is>
          <t>M1-P5</t>
        </is>
      </c>
      <c r="D82" s="4" t="inlineStr">
        <is>
          <t>Three rehearsals, hostile hands and the fallback package</t>
        </is>
      </c>
      <c r="E82" s="4" t="inlineStr">
        <is>
          <t>Documentation</t>
        </is>
      </c>
      <c r="F82" s="4" t="inlineStr">
        <is>
          <t>Rehearsal</t>
        </is>
      </c>
      <c r="G82" s="5" t="inlineStr">
        <is>
          <t>Critical</t>
        </is>
      </c>
      <c r="H82" s="4" t="inlineStr">
        <is>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is>
      </c>
      <c r="I82" s="4" t="inlineStr">
        <is>
          <t>Two consecutive rehearsals complete with no surprise. The hostile-hands run produces a defect list that is either fixed or explicitly accepted in writing. The fallback package exists on a second device.</t>
        </is>
      </c>
      <c r="J82" s="6" t="n">
        <v>6</v>
      </c>
      <c r="K82" s="4" t="inlineStr">
        <is>
          <t>Not Started</t>
        </is>
      </c>
    </row>
    <row r="83" ht="96" customHeight="1">
      <c r="A83" s="2" t="inlineStr">
        <is>
          <t>T-082</t>
        </is>
      </c>
      <c r="B83" s="7" t="inlineStr">
        <is>
          <t>M2a</t>
        </is>
      </c>
      <c r="C83" s="4" t="inlineStr">
        <is>
          <t>M2a-P1</t>
        </is>
      </c>
      <c r="D83" s="4" t="inlineStr">
        <is>
          <t>Physical three-schema migration</t>
        </is>
      </c>
      <c r="E83" s="4" t="inlineStr">
        <is>
          <t>Database</t>
        </is>
      </c>
      <c r="F83" s="4" t="inlineStr">
        <is>
          <t>Schema</t>
        </is>
      </c>
      <c r="G83" s="5" t="inlineStr">
        <is>
          <t>Critical</t>
        </is>
      </c>
      <c r="H83" s="4" t="inlineStr">
        <is>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is>
      </c>
      <c r="I83" s="4" t="inlineStr">
        <is>
          <t>Rule 2 is provable in one query on a fresh database. All application tests pass. The canvas catalogue lists tables from the renamed schema with only a configuration change.</t>
        </is>
      </c>
      <c r="J83" s="6" t="n">
        <v>12</v>
      </c>
      <c r="K83" s="4" t="inlineStr">
        <is>
          <t>Not Started</t>
        </is>
      </c>
    </row>
    <row r="84" ht="96" customHeight="1">
      <c r="A84" s="2" t="inlineStr">
        <is>
          <t>T-083</t>
        </is>
      </c>
      <c r="B84" s="7" t="inlineStr">
        <is>
          <t>M2a</t>
        </is>
      </c>
      <c r="C84" s="4" t="inlineStr">
        <is>
          <t>M2a-P1</t>
        </is>
      </c>
      <c r="D84" s="4" t="inlineStr">
        <is>
          <t>Canonical migration order and legacy script archival</t>
        </is>
      </c>
      <c r="E84" s="4" t="inlineStr">
        <is>
          <t>Database</t>
        </is>
      </c>
      <c r="F84" s="4" t="inlineStr">
        <is>
          <t>Schema</t>
        </is>
      </c>
      <c r="G84" s="8" t="inlineStr">
        <is>
          <t>Very Important</t>
        </is>
      </c>
      <c r="H84" s="4" t="inlineStr">
        <is>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is>
      </c>
      <c r="I84" s="4" t="inlineStr">
        <is>
          <t>A fresh database builds from the canonical path with no manual step. The truth gate fails if a duplicate CREATE TABLE is introduced.</t>
        </is>
      </c>
      <c r="J84" s="6" t="n">
        <v>12</v>
      </c>
      <c r="K84" s="4" t="inlineStr">
        <is>
          <t>Not Started</t>
        </is>
      </c>
    </row>
    <row r="85" ht="96" customHeight="1">
      <c r="A85" s="2" t="inlineStr">
        <is>
          <t>T-084</t>
        </is>
      </c>
      <c r="B85" s="7" t="inlineStr">
        <is>
          <t>M2a</t>
        </is>
      </c>
      <c r="C85" s="4" t="inlineStr">
        <is>
          <t>M2a-P1</t>
        </is>
      </c>
      <c r="D85" s="4" t="inlineStr">
        <is>
          <t>definition_store, definition_versions and definition_dependencies</t>
        </is>
      </c>
      <c r="E85" s="4" t="inlineStr">
        <is>
          <t>Database</t>
        </is>
      </c>
      <c r="F85" s="4" t="inlineStr">
        <is>
          <t>Definition store</t>
        </is>
      </c>
      <c r="G85" s="5" t="inlineStr">
        <is>
          <t>Critical</t>
        </is>
      </c>
      <c r="H85" s="4" t="inlineStr">
        <is>
          <t>Create the tables specified in Chapter 3 4.5.11 with immutable versions and a dependency graph, plus a trigger that rejects a dependency cycle.</t>
        </is>
      </c>
      <c r="I85" s="4" t="inlineStr">
        <is>
          <t>Integration tests: create, version, publish, and reject a cycle. Version rows must be immutable, proved by an update attempt that fails.</t>
        </is>
      </c>
      <c r="J85" s="6" t="n">
        <v>12</v>
      </c>
      <c r="K85" s="4" t="inlineStr">
        <is>
          <t>Not Started</t>
        </is>
      </c>
    </row>
    <row r="86" ht="96" customHeight="1">
      <c r="A86" s="2" t="inlineStr">
        <is>
          <t>T-085</t>
        </is>
      </c>
      <c r="B86" s="7" t="inlineStr">
        <is>
          <t>M2a</t>
        </is>
      </c>
      <c r="C86" s="4" t="inlineStr">
        <is>
          <t>M2a-P1</t>
        </is>
      </c>
      <c r="D86" s="4" t="inlineStr">
        <is>
          <t>Move all five definition kinds onto the store</t>
        </is>
      </c>
      <c r="E86" s="4" t="inlineStr">
        <is>
          <t>Backend</t>
        </is>
      </c>
      <c r="F86" s="4" t="inlineStr">
        <is>
          <t>Definition store</t>
        </is>
      </c>
      <c r="G86" s="5" t="inlineStr">
        <is>
          <t>Critical</t>
        </is>
      </c>
      <c r="H86" s="4" t="inlineStr">
        <is>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is>
      </c>
      <c r="I86" s="4" t="inlineStr">
        <is>
          <t>The M1 integration test written against IDefinitionService must pass unchanged, since it references no table name. That is the proof that the visible contract did not move.</t>
        </is>
      </c>
      <c r="J86" s="6" t="n">
        <v>12</v>
      </c>
      <c r="K86" s="4" t="inlineStr">
        <is>
          <t>Not Started</t>
        </is>
      </c>
    </row>
    <row r="87" ht="96" customHeight="1">
      <c r="A87" s="2" t="inlineStr">
        <is>
          <t>T-086</t>
        </is>
      </c>
      <c r="B87" s="7" t="inlineStr">
        <is>
          <t>M2a</t>
        </is>
      </c>
      <c r="C87" s="4" t="inlineStr">
        <is>
          <t>M2a-P1</t>
        </is>
      </c>
      <c r="D87" s="4" t="inlineStr">
        <is>
          <t>Impact preview, export and import</t>
        </is>
      </c>
      <c r="E87" s="4" t="inlineStr">
        <is>
          <t>Backend</t>
        </is>
      </c>
      <c r="F87" s="4" t="inlineStr">
        <is>
          <t>Definition store</t>
        </is>
      </c>
      <c r="G87" s="8" t="inlineStr">
        <is>
          <t>Very Important</t>
        </is>
      </c>
      <c r="H87" s="4" t="inlineStr">
        <is>
          <t>Add dependency impact preview before a publish, and export and import of a definition with its dependencies, per Chapter 3 4.5.11.</t>
        </is>
      </c>
      <c r="I87" s="4" t="inlineStr">
        <is>
          <t>Publish a change to a definition three others depend on and confirm the preview lists all three before the publish is confirmed. Export and reimport into an empty database and confirm equality.</t>
        </is>
      </c>
      <c r="J87" s="6" t="n">
        <v>12</v>
      </c>
      <c r="K87" s="4" t="inlineStr">
        <is>
          <t>Not Started</t>
        </is>
      </c>
    </row>
    <row r="88" ht="96" customHeight="1">
      <c r="A88" s="2" t="inlineStr">
        <is>
          <t>T-087</t>
        </is>
      </c>
      <c r="B88" s="7" t="inlineStr">
        <is>
          <t>M2a</t>
        </is>
      </c>
      <c r="C88" s="4" t="inlineStr">
        <is>
          <t>M2a-P1</t>
        </is>
      </c>
      <c r="D88" s="4" t="inlineStr">
        <is>
          <t>Registry authority: dimensions and measures as rows</t>
        </is>
      </c>
      <c r="E88" s="4" t="inlineStr">
        <is>
          <t>Backend</t>
        </is>
      </c>
      <c r="F88" s="4" t="inlineStr">
        <is>
          <t>Registry</t>
        </is>
      </c>
      <c r="G88" s="5" t="inlineStr">
        <is>
          <t>Critical</t>
        </is>
      </c>
      <c r="H88" s="4" t="inlineStr">
        <is>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is>
      </c>
      <c r="I88" s="4" t="inlineStr">
        <is>
          <t>Add a dimension through the registry API and confirm it becomes selectable in the authoring shell with no code change and no redeploy. Confirm chart types remain closed by attempting to add one and being refused.</t>
        </is>
      </c>
      <c r="J88" s="6" t="n">
        <v>12</v>
      </c>
      <c r="K88" s="4" t="inlineStr">
        <is>
          <t>Not Started</t>
        </is>
      </c>
    </row>
    <row r="89" ht="96" customHeight="1">
      <c r="A89" s="2" t="inlineStr">
        <is>
          <t>T-088</t>
        </is>
      </c>
      <c r="B89" s="7" t="inlineStr">
        <is>
          <t>M2a</t>
        </is>
      </c>
      <c r="C89" s="4" t="inlineStr">
        <is>
          <t>M2a-P1</t>
        </is>
      </c>
      <c r="D89" s="4" t="inlineStr">
        <is>
          <t>Plant-vocabulary sweep, part 1: build the term list and the architecture test</t>
        </is>
      </c>
      <c r="E89" s="4" t="inlineStr">
        <is>
          <t>Backend</t>
        </is>
      </c>
      <c r="F89" s="4" t="inlineStr">
        <is>
          <t>Registry</t>
        </is>
      </c>
      <c r="G89" s="8" t="inlineStr">
        <is>
          <t>Very Important</t>
        </is>
      </c>
      <c r="H89" s="4" t="inlineStr">
        <is>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is>
      </c>
      <c r="I89" s="4" t="inlineStr">
        <is>
          <t>Add a term to the list and confirm the build goes red on an existing violation, then goes green once that violation is fixed. Confirm removing a term from the list does not require a code change.</t>
        </is>
      </c>
      <c r="J89" s="6" t="n">
        <v>6</v>
      </c>
      <c r="K89" s="4" t="inlineStr">
        <is>
          <t>Not Started</t>
        </is>
      </c>
    </row>
    <row r="90" ht="96" customHeight="1">
      <c r="A90" s="2" t="inlineStr">
        <is>
          <t>T-089</t>
        </is>
      </c>
      <c r="B90" s="7" t="inlineStr">
        <is>
          <t>M2a</t>
        </is>
      </c>
      <c r="C90" s="4" t="inlineStr">
        <is>
          <t>M2a-P1</t>
        </is>
      </c>
      <c r="D90" s="4" t="inlineStr">
        <is>
          <t>Plant-vocabulary sweep, part 2: clear the violations and rename the canonical grain</t>
        </is>
      </c>
      <c r="E90" s="4" t="inlineStr">
        <is>
          <t>Backend</t>
        </is>
      </c>
      <c r="F90" s="4" t="inlineStr">
        <is>
          <t>Registry</t>
        </is>
      </c>
      <c r="G90" s="8" t="inlineStr">
        <is>
          <t>Very Important</t>
        </is>
      </c>
      <c r="H90" s="4" t="inlineStr">
        <is>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is>
      </c>
      <c r="I90" s="4" t="inlineStr">
        <is>
          <t>The architecture test passes with zero violations. Query the canonical layer for a non-steel product type and confirm its grain is no longer reported as 'coil'.</t>
        </is>
      </c>
      <c r="J90" s="6" t="n">
        <v>8</v>
      </c>
      <c r="K90" s="4" t="inlineStr">
        <is>
          <t>Not Started</t>
        </is>
      </c>
    </row>
    <row r="91" ht="96" customHeight="1">
      <c r="A91" s="2" t="inlineStr">
        <is>
          <t>T-090</t>
        </is>
      </c>
      <c r="B91" s="7" t="inlineStr">
        <is>
          <t>M2a</t>
        </is>
      </c>
      <c r="C91" s="4" t="inlineStr">
        <is>
          <t>M2a-P1</t>
        </is>
      </c>
      <c r="D91" s="4" t="inlineStr">
        <is>
          <t>API namespace migration, part 1: map the 92 prefixes onto the 27 domains and stand up dual-serve</t>
        </is>
      </c>
      <c r="E91" s="4" t="inlineStr">
        <is>
          <t>Backend</t>
        </is>
      </c>
      <c r="F91" s="4" t="inlineStr">
        <is>
          <t>Namespace</t>
        </is>
      </c>
      <c r="G91" s="8" t="inlineStr">
        <is>
          <t>Very Important</t>
        </is>
      </c>
      <c r="H91" s="4" t="inlineStr">
        <is>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is>
      </c>
      <c r="I91" s="4" t="inlineStr">
        <is>
          <t>Every one of the 544 routes appears exactly once in the mapping table. Both the old and the new path return identical responses for a sample of twenty routes.</t>
        </is>
      </c>
      <c r="J91" s="6" t="n">
        <v>8</v>
      </c>
      <c r="K91" s="4" t="inlineStr">
        <is>
          <t>Not Started</t>
        </is>
      </c>
    </row>
    <row r="92" ht="96" customHeight="1">
      <c r="A92" s="2" t="inlineStr">
        <is>
          <t>T-091</t>
        </is>
      </c>
      <c r="B92" s="7" t="inlineStr">
        <is>
          <t>M2a</t>
        </is>
      </c>
      <c r="C92" s="4" t="inlineStr">
        <is>
          <t>M2a-P1</t>
        </is>
      </c>
      <c r="D92" s="4" t="inlineStr">
        <is>
          <t>API namespace migration, part 2: migrate the clients and add the token gate</t>
        </is>
      </c>
      <c r="E92" s="4" t="inlineStr">
        <is>
          <t>Backend</t>
        </is>
      </c>
      <c r="F92" s="4" t="inlineStr">
        <is>
          <t>Namespace</t>
        </is>
      </c>
      <c r="G92" s="8" t="inlineStr">
        <is>
          <t>Very Important</t>
        </is>
      </c>
      <c r="H92" s="4" t="inlineStr">
        <is>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is>
      </c>
      <c r="I92" s="4" t="inlineStr">
        <is>
          <t>A test asserting no registered route matches /phase\d+|\/v\d+\/|p\d\d/. Open the browser network tab during the golden journey and confirm no request URL carries a phase or version token.</t>
        </is>
      </c>
      <c r="J92" s="6" t="n">
        <v>6</v>
      </c>
      <c r="K92" s="4" t="inlineStr">
        <is>
          <t>Not Started</t>
        </is>
      </c>
    </row>
    <row r="93" ht="96" customHeight="1">
      <c r="A93" s="2" t="inlineStr">
        <is>
          <t>T-092</t>
        </is>
      </c>
      <c r="B93" s="7" t="inlineStr">
        <is>
          <t>M2a</t>
        </is>
      </c>
      <c r="C93" s="4" t="inlineStr">
        <is>
          <t>M2a-P2</t>
        </is>
      </c>
      <c r="D93" s="4" t="inlineStr">
        <is>
          <t>Relationship members, cardinality, grain conversion and preferred paths</t>
        </is>
      </c>
      <c r="E93" s="4" t="inlineStr">
        <is>
          <t>Backend</t>
        </is>
      </c>
      <c r="F93" s="4" t="inlineStr">
        <is>
          <t>Relationship model</t>
        </is>
      </c>
      <c r="G93" s="5" t="inlineStr">
        <is>
          <t>Critical</t>
        </is>
      </c>
      <c r="H93" s="4" t="inlineStr">
        <is>
          <t>Extend the M1 slice to the full model in Chapter 3 4.5.10: members, cardinality, grain conversion between related entities, preferred path selection when more than one path exists, and published versions.</t>
        </is>
      </c>
      <c r="I93" s="4" t="inlineStr">
        <is>
          <t>Declare two paths between the same pair of entities, mark one preferred, and confirm the resolver chooses it. Change the preference and confirm the resolution changes with no other edit.</t>
        </is>
      </c>
      <c r="J93" s="6" t="n">
        <v>12</v>
      </c>
      <c r="K93" s="4" t="inlineStr">
        <is>
          <t>Not Started</t>
        </is>
      </c>
    </row>
    <row r="94" ht="96" customHeight="1">
      <c r="A94" s="2" t="inlineStr">
        <is>
          <t>T-093</t>
        </is>
      </c>
      <c r="B94" s="7" t="inlineStr">
        <is>
          <t>M2a</t>
        </is>
      </c>
      <c r="C94" s="4" t="inlineStr">
        <is>
          <t>M2a-P2</t>
        </is>
      </c>
      <c r="D94" s="4" t="inlineStr">
        <is>
          <t>Path resolver, part 1: resolver core and the first eight consumers</t>
        </is>
      </c>
      <c r="E94" s="4" t="inlineStr">
        <is>
          <t>Backend</t>
        </is>
      </c>
      <c r="F94" s="4" t="inlineStr">
        <is>
          <t>Relationship model</t>
        </is>
      </c>
      <c r="G94" s="5" t="inlineStr">
        <is>
          <t>Critical</t>
        </is>
      </c>
      <c r="H94" s="4" t="inlineStr">
        <is>
          <t>Chapter 2 3.15.4 names sixteen consumers of the relationship model. Build the resolver core, then route the first eight through it: canonical projection, page and widget queries, associative filtering, drill-down, drill-through, genealogy, statistics and correlation.</t>
        </is>
      </c>
      <c r="I94" s="4" t="inlineStr">
        <is>
          <t>A regression test per consumer asserting it resolves through the published model, and refuses with a named reason when the relationship is unpublished. Eight tests, no exceptions.</t>
        </is>
      </c>
      <c r="J94" s="6" t="n">
        <v>8</v>
      </c>
      <c r="K94" s="4" t="inlineStr">
        <is>
          <t>Not Started</t>
        </is>
      </c>
    </row>
    <row r="95" ht="96" customHeight="1">
      <c r="A95" s="2" t="inlineStr">
        <is>
          <t>T-094</t>
        </is>
      </c>
      <c r="B95" s="7" t="inlineStr">
        <is>
          <t>M2a</t>
        </is>
      </c>
      <c r="C95" s="4" t="inlineStr">
        <is>
          <t>M2a-P2</t>
        </is>
      </c>
      <c r="D95" s="4" t="inlineStr">
        <is>
          <t>Path resolver, part 2: the remaining eight consumers and the regression suite</t>
        </is>
      </c>
      <c r="E95" s="4" t="inlineStr">
        <is>
          <t>Backend</t>
        </is>
      </c>
      <c r="F95" s="4" t="inlineStr">
        <is>
          <t>Relationship model</t>
        </is>
      </c>
      <c r="G95" s="5" t="inlineStr">
        <is>
          <t>Critical</t>
        </is>
      </c>
      <c r="H95" s="4" t="inlineStr">
        <is>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is>
      </c>
      <c r="I95" s="4" t="inlineStr">
        <is>
          <t>Eight further regression tests. For consumers whose engine arrives in M2b, the test asserts the seam exists and refuses when unpublished, which is what stops a later shortcut.</t>
        </is>
      </c>
      <c r="J95" s="6" t="n">
        <v>6</v>
      </c>
      <c r="K95" s="4" t="inlineStr">
        <is>
          <t>Not Started</t>
        </is>
      </c>
    </row>
    <row r="96" ht="96" customHeight="1">
      <c r="A96" s="2" t="inlineStr">
        <is>
          <t>T-095</t>
        </is>
      </c>
      <c r="B96" s="7" t="inlineStr">
        <is>
          <t>M2a</t>
        </is>
      </c>
      <c r="C96" s="4" t="inlineStr">
        <is>
          <t>M2a-P2</t>
        </is>
      </c>
      <c r="D96" s="4" t="inlineStr">
        <is>
          <t>Relationship Browser page and path evidence</t>
        </is>
      </c>
      <c r="E96" s="4" t="inlineStr">
        <is>
          <t>Frontend</t>
        </is>
      </c>
      <c r="F96" s="4" t="inlineStr">
        <is>
          <t>Relationship model</t>
        </is>
      </c>
      <c r="G96" s="8" t="inlineStr">
        <is>
          <t>Very Important</t>
        </is>
      </c>
      <c r="H96" s="4" t="inlineStr">
        <is>
          <t>Build the C6 Relationship Browser from Chapter 3 4.4 with the ten-field page contract, showing declared relationships, their members, their paths and the evidence for each path.</t>
        </is>
      </c>
      <c r="I96" s="4" t="inlineStr">
        <is>
          <t>Open a relationship and confirm its members, cardinality and path are shown with evidence. Confirm an unpublished relationship is visibly distinct from a published one.</t>
        </is>
      </c>
      <c r="J96" s="6" t="n">
        <v>12</v>
      </c>
      <c r="K96" s="4" t="inlineStr">
        <is>
          <t>Not Started</t>
        </is>
      </c>
    </row>
    <row r="97" ht="96" customHeight="1">
      <c r="A97" s="2" t="inlineStr">
        <is>
          <t>T-096</t>
        </is>
      </c>
      <c r="B97" s="7" t="inlineStr">
        <is>
          <t>M2a</t>
        </is>
      </c>
      <c r="C97" s="4" t="inlineStr">
        <is>
          <t>M2a-P2</t>
        </is>
      </c>
      <c r="D97" s="4" t="inlineStr">
        <is>
          <t>Quarantine, part 1: the table, the reprocess API and the first eight PV classes</t>
        </is>
      </c>
      <c r="E97" s="4" t="inlineStr">
        <is>
          <t>Backend</t>
        </is>
      </c>
      <c r="F97" s="4" t="inlineStr">
        <is>
          <t>Quarantine</t>
        </is>
      </c>
      <c r="G97" s="5" t="inlineStr">
        <is>
          <t>Critical</t>
        </is>
      </c>
      <c r="H97" s="4" t="inlineStr">
        <is>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is>
      </c>
      <c r="I97" s="4" t="inlineStr">
        <is>
          <t>Craft one malformed input per implemented class and assert each is quarantined under the correct code, while the good rows in the same batch still project.</t>
        </is>
      </c>
      <c r="J97" s="6" t="n">
        <v>8</v>
      </c>
      <c r="K97" s="4" t="inlineStr">
        <is>
          <t>Not Started</t>
        </is>
      </c>
    </row>
    <row r="98" ht="96" customHeight="1">
      <c r="A98" s="2" t="inlineStr">
        <is>
          <t>T-097</t>
        </is>
      </c>
      <c r="B98" s="7" t="inlineStr">
        <is>
          <t>M2a</t>
        </is>
      </c>
      <c r="C98" s="4" t="inlineStr">
        <is>
          <t>M2a-P2</t>
        </is>
      </c>
      <c r="D98" s="4" t="inlineStr">
        <is>
          <t>Quarantine, part 2: the remaining seven PV classes and per-class tests</t>
        </is>
      </c>
      <c r="E98" s="4" t="inlineStr">
        <is>
          <t>Backend</t>
        </is>
      </c>
      <c r="F98" s="4" t="inlineStr">
        <is>
          <t>Quarantine</t>
        </is>
      </c>
      <c r="G98" s="5" t="inlineStr">
        <is>
          <t>Critical</t>
        </is>
      </c>
      <c r="H98" s="4" t="inlineStr">
        <is>
          <t>Implement the remaining seven validation classes and give every class its own test fixture, so the class set is provably complete against Chapter 3 4.5.14 rather than approximately complete.</t>
        </is>
      </c>
      <c r="I98" s="4" t="inlineStr">
        <is>
          <t>Fifteen fixtures, fifteen codes, fifteen passing tests. A test that enumerates the PV enum and fails if any member has no fixture.</t>
        </is>
      </c>
      <c r="J98" s="6" t="n">
        <v>6</v>
      </c>
      <c r="K98" s="4" t="inlineStr">
        <is>
          <t>Not Started</t>
        </is>
      </c>
    </row>
    <row r="99" ht="96" customHeight="1">
      <c r="A99" s="2" t="inlineStr">
        <is>
          <t>T-098</t>
        </is>
      </c>
      <c r="B99" s="7" t="inlineStr">
        <is>
          <t>M2a</t>
        </is>
      </c>
      <c r="C99" s="4" t="inlineStr">
        <is>
          <t>M2a-P2</t>
        </is>
      </c>
      <c r="D99" s="4" t="inlineStr">
        <is>
          <t>Quarantine retry, reprocess and Mapping Health completion</t>
        </is>
      </c>
      <c r="E99" s="4" t="inlineStr">
        <is>
          <t>Frontend</t>
        </is>
      </c>
      <c r="F99" s="4" t="inlineStr">
        <is>
          <t>Quarantine</t>
        </is>
      </c>
      <c r="G99" s="8" t="inlineStr">
        <is>
          <t>Very Important</t>
        </is>
      </c>
      <c r="H99" s="4" t="inlineStr">
        <is>
          <t>Complete the C2 Mapping Health page against Chapter 3 4.4 C2: issues grouped by code, example rows, and Reprocess after the mapping is corrected. The M1 version delivered the shape; this delivers the full class set and the retry semantics.</t>
        </is>
      </c>
      <c r="I99" s="4" t="inlineStr">
        <is>
          <t>Quarantine rows under three different codes, correct one mapping, reprocess, and confirm only the affected rows clear. The M1 continuity snapshot of this page must still match.</t>
        </is>
      </c>
      <c r="J99" s="6" t="n">
        <v>12</v>
      </c>
      <c r="K99" s="4" t="inlineStr">
        <is>
          <t>Not Started</t>
        </is>
      </c>
    </row>
    <row r="100" ht="96" customHeight="1">
      <c r="A100" s="2" t="inlineStr">
        <is>
          <t>T-099</t>
        </is>
      </c>
      <c r="B100" s="7" t="inlineStr">
        <is>
          <t>M2a</t>
        </is>
      </c>
      <c r="C100" s="4" t="inlineStr">
        <is>
          <t>M2a-P2</t>
        </is>
      </c>
      <c r="D100" s="4" t="inlineStr">
        <is>
          <t>Identity resolution across sources</t>
        </is>
      </c>
      <c r="E100" s="4" t="inlineStr">
        <is>
          <t>Backend</t>
        </is>
      </c>
      <c r="F100" s="4" t="inlineStr">
        <is>
          <t>Genealogy</t>
        </is>
      </c>
      <c r="G100" s="8" t="inlineStr">
        <is>
          <t>Very Important</t>
        </is>
      </c>
      <c r="H100" s="4" t="inlineStr">
        <is>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is>
      </c>
      <c r="I100" s="4" t="inlineStr">
        <is>
          <t>Import the same material under two different source identifiers and confirm one canonical unit results with both aliases recorded. Re-run the import and confirm no duplicate appears.</t>
        </is>
      </c>
      <c r="J100" s="6" t="n">
        <v>8</v>
      </c>
      <c r="K100" s="4" t="inlineStr">
        <is>
          <t>Not Started</t>
        </is>
      </c>
    </row>
    <row r="101" ht="96" customHeight="1">
      <c r="A101" s="2" t="inlineStr">
        <is>
          <t>T-100</t>
        </is>
      </c>
      <c r="B101" s="7" t="inlineStr">
        <is>
          <t>M2a</t>
        </is>
      </c>
      <c r="C101" s="4" t="inlineStr">
        <is>
          <t>M2a-P2</t>
        </is>
      </c>
      <c r="D101" s="4" t="inlineStr">
        <is>
          <t>Genealogy bidirectional walk hardening and weight proof</t>
        </is>
      </c>
      <c r="E101" s="4" t="inlineStr">
        <is>
          <t>Backend</t>
        </is>
      </c>
      <c r="F101" s="4" t="inlineStr">
        <is>
          <t>Genealogy</t>
        </is>
      </c>
      <c r="G101" s="8" t="inlineStr">
        <is>
          <t>Very Important</t>
        </is>
      </c>
      <c r="H101" s="4" t="inlineStr">
        <is>
          <t>Confirm the genealogy layer walks both directions on the customer's own keys and that attribution weights are enforced to sum to exactly 1.0 per child by the database trigger on genealogy_edges.contribution_weight numeric(9,6).</t>
        </is>
      </c>
      <c r="I101" s="4" t="inlineStr">
        <is>
          <t>Walk a chain backward and forward and confirm the same edges are traversed. Attempt an insert whose weights sum to 0.99 inside a transaction and confirm the trigger rejects it, then roll back.</t>
        </is>
      </c>
      <c r="J101" s="6" t="n">
        <v>6</v>
      </c>
      <c r="K101" s="4" t="inlineStr">
        <is>
          <t>Not Started</t>
        </is>
      </c>
    </row>
    <row r="102" ht="96" customHeight="1">
      <c r="A102" s="2" t="inlineStr">
        <is>
          <t>T-101</t>
        </is>
      </c>
      <c r="B102" s="7" t="inlineStr">
        <is>
          <t>M2a</t>
        </is>
      </c>
      <c r="C102" s="4" t="inlineStr">
        <is>
          <t>M2a-P2</t>
        </is>
      </c>
      <c r="D102" s="4" t="inlineStr">
        <is>
          <t>Projection through the versioned mapping, with version stamping</t>
        </is>
      </c>
      <c r="E102" s="4" t="inlineStr">
        <is>
          <t>Backend</t>
        </is>
      </c>
      <c r="F102" s="4" t="inlineStr">
        <is>
          <t>Projection</t>
        </is>
      </c>
      <c r="G102" s="5" t="inlineStr">
        <is>
          <t>Critical</t>
        </is>
      </c>
      <c r="H102" s="4" t="inlineStr">
        <is>
          <t>Complete the DF5 contract: source-shaped staging projects into the canonical plant model through the customer-authored versioned mapping, and every projected row records the mapping version that produced it.</t>
        </is>
      </c>
      <c r="I102" s="4" t="inlineStr">
        <is>
          <t>Project a batch, change the mapping version, project again, and confirm each row records the version that produced it. No row may carry a null mapping version.</t>
        </is>
      </c>
      <c r="J102" s="6" t="n">
        <v>8</v>
      </c>
      <c r="K102" s="4" t="inlineStr">
        <is>
          <t>Not Started</t>
        </is>
      </c>
    </row>
    <row r="103" ht="96" customHeight="1">
      <c r="A103" s="2" t="inlineStr">
        <is>
          <t>T-102</t>
        </is>
      </c>
      <c r="B103" s="7" t="inlineStr">
        <is>
          <t>M2a</t>
        </is>
      </c>
      <c r="C103" s="4" t="inlineStr">
        <is>
          <t>M2a-P2</t>
        </is>
      </c>
      <c r="D103" s="4" t="inlineStr">
        <is>
          <t>Idempotent reprojection and mapping-version regression</t>
        </is>
      </c>
      <c r="E103" s="4" t="inlineStr">
        <is>
          <t>Backend</t>
        </is>
      </c>
      <c r="F103" s="4" t="inlineStr">
        <is>
          <t>Projection</t>
        </is>
      </c>
      <c r="G103" s="5" t="inlineStr">
        <is>
          <t>Critical</t>
        </is>
      </c>
      <c r="H103" s="4" t="inlineStr">
        <is>
          <t>Make reprojection idempotent and add the regression suite: reprojecting the same batch must not duplicate rows, and rolling a mapping back to a previous version must produce the earlier result exactly.</t>
        </is>
      </c>
      <c r="I103" s="4" t="inlineStr">
        <is>
          <t>Reproject the same batch three times and confirm row counts are unchanged. Roll a mapping back and confirm the canonical output matches the earlier snapshot byte for byte.</t>
        </is>
      </c>
      <c r="J103" s="6" t="n">
        <v>6</v>
      </c>
      <c r="K103" s="4" t="inlineStr">
        <is>
          <t>Not Started</t>
        </is>
      </c>
    </row>
    <row r="104" ht="96" customHeight="1">
      <c r="A104" s="2" t="inlineStr">
        <is>
          <t>T-103</t>
        </is>
      </c>
      <c r="B104" s="7" t="inlineStr">
        <is>
          <t>M2a</t>
        </is>
      </c>
      <c r="C104" s="4" t="inlineStr">
        <is>
          <t>M2a-P3</t>
        </is>
      </c>
      <c r="D104" s="4" t="inlineStr">
        <is>
          <t>Job target version policy and dependency DAG</t>
        </is>
      </c>
      <c r="E104" s="4" t="inlineStr">
        <is>
          <t>Backend</t>
        </is>
      </c>
      <c r="F104" s="4" t="inlineStr">
        <is>
          <t>Jobs</t>
        </is>
      </c>
      <c r="G104" s="5" t="inlineStr">
        <is>
          <t>Critical</t>
        </is>
      </c>
      <c r="H104" s="4" t="inlineStr">
        <is>
          <t>Build on the M1 target_definition_id work: add the full version policy (pinned or current published), the job dependency graph, and cycle validation.</t>
        </is>
      </c>
      <c r="I104" s="4" t="inlineStr">
        <is>
          <t>Declare a three-job chain, run it, and confirm order. Introduce a cycle and confirm it is refused at save time with a named code.</t>
        </is>
      </c>
      <c r="J104" s="6" t="n">
        <v>12</v>
      </c>
      <c r="K104" s="4" t="inlineStr">
        <is>
          <t>Not Started</t>
        </is>
      </c>
    </row>
    <row r="105" ht="96" customHeight="1">
      <c r="A105" s="2" t="inlineStr">
        <is>
          <t>T-104</t>
        </is>
      </c>
      <c r="B105" s="7" t="inlineStr">
        <is>
          <t>M2a</t>
        </is>
      </c>
      <c r="C105" s="4" t="inlineStr">
        <is>
          <t>M2a-P3</t>
        </is>
      </c>
      <c r="D105" s="4" t="inlineStr">
        <is>
          <t>Weighted pools, compute weights and admission control</t>
        </is>
      </c>
      <c r="E105" s="4" t="inlineStr">
        <is>
          <t>Backend</t>
        </is>
      </c>
      <c r="F105" s="4" t="inlineStr">
        <is>
          <t>Jobs</t>
        </is>
      </c>
      <c r="G105" s="5" t="inlineStr">
        <is>
          <t>Critical</t>
        </is>
      </c>
      <c r="H105" s="4" t="inlineStr">
        <is>
          <t>Implement mechanisms 3 and 4 from Chapter 4 5.3.2: skip-if-running, latest-only, and admission control with weighted pools per job class.</t>
        </is>
      </c>
      <c r="I105" s="4" t="inlineStr">
        <is>
          <t>Schedule more jobs than the pool allows and confirm they queue rather than degrade the machine. Confirm a second instance of a running job is skipped, not queued twice.</t>
        </is>
      </c>
      <c r="J105" s="6" t="n">
        <v>12</v>
      </c>
      <c r="K105" s="4" t="inlineStr">
        <is>
          <t>Not Started</t>
        </is>
      </c>
    </row>
    <row r="106" ht="96" customHeight="1">
      <c r="A106" s="2" t="inlineStr">
        <is>
          <t>T-105</t>
        </is>
      </c>
      <c r="B106" s="7" t="inlineStr">
        <is>
          <t>M2a</t>
        </is>
      </c>
      <c r="C106" s="4" t="inlineStr">
        <is>
          <t>M2a-P3</t>
        </is>
      </c>
      <c r="D106" s="4" t="inlineStr">
        <is>
          <t>stage_watermarks and delta-scoped projection</t>
        </is>
      </c>
      <c r="E106" s="4" t="inlineStr">
        <is>
          <t>Backend</t>
        </is>
      </c>
      <c r="F106" s="4" t="inlineStr">
        <is>
          <t>Delta propagation</t>
        </is>
      </c>
      <c r="G106" s="5" t="inlineStr">
        <is>
          <t>Critical</t>
        </is>
      </c>
      <c r="H106" s="4" t="inlineStr">
        <is>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is>
      </c>
      <c r="I106" s="4" t="inlineStr">
        <is>
          <t>Change one source row and confirm projection processes a bounded delta rather than a full scan, evidenced by rows-scanned telemetry.</t>
        </is>
      </c>
      <c r="J106" s="6" t="n">
        <v>8</v>
      </c>
      <c r="K106" s="4" t="inlineStr">
        <is>
          <t>Not Started</t>
        </is>
      </c>
    </row>
    <row r="107" ht="96" customHeight="1">
      <c r="A107" s="2" t="inlineStr">
        <is>
          <t>T-106</t>
        </is>
      </c>
      <c r="B107" s="7" t="inlineStr">
        <is>
          <t>M2a</t>
        </is>
      </c>
      <c r="C107" s="4" t="inlineStr">
        <is>
          <t>M2a-P3</t>
        </is>
      </c>
      <c r="D107" s="4" t="inlineStr">
        <is>
          <t>Delta-scoped feature refresh and analysis, with telemetry</t>
        </is>
      </c>
      <c r="E107" s="4" t="inlineStr">
        <is>
          <t>Backend</t>
        </is>
      </c>
      <c r="F107" s="4" t="inlineStr">
        <is>
          <t>Delta propagation</t>
        </is>
      </c>
      <c r="G107" s="5" t="inlineStr">
        <is>
          <t>Critical</t>
        </is>
      </c>
      <c r="H107" s="4" t="inlineStr">
        <is>
          <t>Extend the delta strategy to the feature refresh and analysis job classes, and emit rows-scanned telemetry per stage so amplification can be measured.</t>
        </is>
      </c>
      <c r="I107" s="4" t="inlineStr">
        <is>
          <t>Change one source row and confirm the feature and analysis stages each scan a bounded delta. Telemetry must report rows scanned per stage per run.</t>
        </is>
      </c>
      <c r="J107" s="6" t="n">
        <v>6</v>
      </c>
      <c r="K107" s="4" t="inlineStr">
        <is>
          <t>Not Started</t>
        </is>
      </c>
    </row>
    <row r="108" ht="96" customHeight="1">
      <c r="A108" s="2" t="inlineStr">
        <is>
          <t>T-107</t>
        </is>
      </c>
      <c r="B108" s="7" t="inlineStr">
        <is>
          <t>M2a</t>
        </is>
      </c>
      <c r="C108" s="4" t="inlineStr">
        <is>
          <t>M2a-P3</t>
        </is>
      </c>
      <c r="D108" s="4" t="inlineStr">
        <is>
          <t>Chunk manifests, checkpoint, resume and deterministic merge</t>
        </is>
      </c>
      <c r="E108" s="4" t="inlineStr">
        <is>
          <t>Backend</t>
        </is>
      </c>
      <c r="F108" s="4" t="inlineStr">
        <is>
          <t>Delta propagation</t>
        </is>
      </c>
      <c r="G108" s="5" t="inlineStr">
        <is>
          <t>Critical</t>
        </is>
      </c>
      <c r="H108" s="4" t="inlineStr">
        <is>
          <t>Implement Chapter 4 5.3.9.6a: bounded chunks with receipts, checkpoint and resume after interruption, and a deterministic merge so a resumed run produces the same result as an uninterrupted one.</t>
        </is>
      </c>
      <c r="I108" s="4" t="inlineStr">
        <is>
          <t>Kill a running job at 60 percent, restart it, and confirm the final result is byte-identical to an uninterrupted run over the same input.</t>
        </is>
      </c>
      <c r="J108" s="6" t="n">
        <v>12</v>
      </c>
      <c r="K108" s="4" t="inlineStr">
        <is>
          <t>Not Started</t>
        </is>
      </c>
    </row>
    <row r="109" ht="96" customHeight="1">
      <c r="A109" s="2" t="inlineStr">
        <is>
          <t>T-108</t>
        </is>
      </c>
      <c r="B109" s="7" t="inlineStr">
        <is>
          <t>M2a</t>
        </is>
      </c>
      <c r="C109" s="4" t="inlineStr">
        <is>
          <t>M2a-P3</t>
        </is>
      </c>
      <c r="D109" s="4" t="inlineStr">
        <is>
          <t>Scan budget and the Scan Amplification metric</t>
        </is>
      </c>
      <c r="E109" s="4" t="inlineStr">
        <is>
          <t>Infrastructure</t>
        </is>
      </c>
      <c r="F109" s="4" t="inlineStr">
        <is>
          <t>Monitoring</t>
        </is>
      </c>
      <c r="G109" s="8" t="inlineStr">
        <is>
          <t>Very Important</t>
        </is>
      </c>
      <c r="H109" s="4" t="inlineStr">
        <is>
          <t>Add scan admission and the Scan Amplification Ratio from Chapter 6 6.1.12.2a, with a baseline and a regression gate that fails the build when amplification rises beyond the baseline.</t>
        </is>
      </c>
      <c r="I109" s="4" t="inlineStr">
        <is>
          <t>Record a baseline, then deliberately remove a delta scope and confirm the gate goes red. Restore and confirm green.</t>
        </is>
      </c>
      <c r="J109" s="6" t="n">
        <v>12</v>
      </c>
      <c r="K109" s="4" t="inlineStr">
        <is>
          <t>Not Started</t>
        </is>
      </c>
    </row>
    <row r="110" ht="96" customHeight="1">
      <c r="A110" s="2" t="inlineStr">
        <is>
          <t>T-109</t>
        </is>
      </c>
      <c r="B110" s="7" t="inlineStr">
        <is>
          <t>M2a</t>
        </is>
      </c>
      <c r="C110" s="4" t="inlineStr">
        <is>
          <t>M2a-P3</t>
        </is>
      </c>
      <c r="D110" s="4" t="inlineStr">
        <is>
          <t>Force RLS on every tenant-owned table with an architecture test</t>
        </is>
      </c>
      <c r="E110" s="4" t="inlineStr">
        <is>
          <t>Database</t>
        </is>
      </c>
      <c r="F110" s="4" t="inlineStr">
        <is>
          <t>Security</t>
        </is>
      </c>
      <c r="G110" s="5" t="inlineStr">
        <is>
          <t>Critical</t>
        </is>
      </c>
      <c r="H110" s="4" t="inlineStr">
        <is>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is>
      </c>
      <c r="I110" s="4" t="inlineStr">
        <is>
          <t>A query listing tenant-owned tables without a policy returns zero rows. Add a new tenant table in a branch and confirm the architecture test goes red before it is merged.</t>
        </is>
      </c>
      <c r="J110" s="6" t="n">
        <v>12</v>
      </c>
      <c r="K110" s="4" t="inlineStr">
        <is>
          <t>Not Started</t>
        </is>
      </c>
    </row>
    <row r="111" ht="96" customHeight="1">
      <c r="A111" s="2" t="inlineStr">
        <is>
          <t>T-110</t>
        </is>
      </c>
      <c r="B111" s="7" t="inlineStr">
        <is>
          <t>M2a</t>
        </is>
      </c>
      <c r="C111" s="4" t="inlineStr">
        <is>
          <t>M2a-P3</t>
        </is>
      </c>
      <c r="D111" s="4" t="inlineStr">
        <is>
          <t>Secret and configuration hygiene</t>
        </is>
      </c>
      <c r="E111" s="4" t="inlineStr">
        <is>
          <t>Backend</t>
        </is>
      </c>
      <c r="F111" s="4" t="inlineStr">
        <is>
          <t>Security</t>
        </is>
      </c>
      <c r="G111" s="8" t="inlineStr">
        <is>
          <t>Very Important</t>
        </is>
      </c>
      <c r="H111" s="4" t="inlineStr">
        <is>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is>
      </c>
      <c r="I111" s="4" t="inlineStr">
        <is>
          <t>A secret scan across the repository returns no live credential. Generate an audit package and confirm secrets are masked. Confirm the E2E stack still runs with credentials supplied from the environment.</t>
        </is>
      </c>
      <c r="J111" s="6" t="n">
        <v>8</v>
      </c>
      <c r="K111" s="4" t="inlineStr">
        <is>
          <t>Not Started</t>
        </is>
      </c>
    </row>
    <row r="112" ht="96" customHeight="1">
      <c r="A112" s="2" t="inlineStr">
        <is>
          <t>T-111</t>
        </is>
      </c>
      <c r="B112" s="7" t="inlineStr">
        <is>
          <t>M2a</t>
        </is>
      </c>
      <c r="C112" s="4" t="inlineStr">
        <is>
          <t>M2a-P3</t>
        </is>
      </c>
      <c r="D112" s="4" t="inlineStr">
        <is>
          <t>Tenant keys, tenant-aware uniqueness and canonical namespace on new APIs</t>
        </is>
      </c>
      <c r="E112" s="4" t="inlineStr">
        <is>
          <t>Backend</t>
        </is>
      </c>
      <c r="F112" s="4" t="inlineStr">
        <is>
          <t>Security</t>
        </is>
      </c>
      <c r="G112" s="8" t="inlineStr">
        <is>
          <t>Very Important</t>
        </is>
      </c>
      <c r="H112" s="4" t="inlineStr">
        <is>
          <t>Apply tenant keys and tenant-aware uniqueness to every table introduced in M1 and M2a, and put every new endpoint on the canonical namespace from the outset so the migration does not have to catch up with new work.</t>
        </is>
      </c>
      <c r="I112" s="4" t="inlineStr">
        <is>
          <t>Insert the same natural key for two tenants and confirm both persist. A test asserting every endpoint added after this date matches the canonical domain pattern.</t>
        </is>
      </c>
      <c r="J112" s="6" t="n">
        <v>6</v>
      </c>
      <c r="K112" s="4" t="inlineStr">
        <is>
          <t>Not Started</t>
        </is>
      </c>
    </row>
    <row r="113" ht="96" customHeight="1">
      <c r="A113" s="2" t="inlineStr">
        <is>
          <t>T-112</t>
        </is>
      </c>
      <c r="B113" s="7" t="inlineStr">
        <is>
          <t>M2a</t>
        </is>
      </c>
      <c r="C113" s="4" t="inlineStr">
        <is>
          <t>M2a-P3</t>
        </is>
      </c>
      <c r="D113" s="4" t="inlineStr">
        <is>
          <t>Fresh-install Rule 2 acceptance test, ephemeral</t>
        </is>
      </c>
      <c r="E113" s="4" t="inlineStr">
        <is>
          <t>Database</t>
        </is>
      </c>
      <c r="F113" s="4" t="inlineStr">
        <is>
          <t>Schema</t>
        </is>
      </c>
      <c r="G113" s="8" t="inlineStr">
        <is>
          <t>Very Important</t>
        </is>
      </c>
      <c r="H113" s="4" t="inlineStr">
        <is>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is>
      </c>
      <c r="I113" s="4" t="inlineStr">
        <is>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is>
      </c>
      <c r="J113" s="6" t="n">
        <v>4</v>
      </c>
      <c r="K113" s="4" t="inlineStr">
        <is>
          <t>Not Started</t>
        </is>
      </c>
    </row>
    <row r="114" ht="96" customHeight="1">
      <c r="A114" s="2" t="inlineStr">
        <is>
          <t>T-113</t>
        </is>
      </c>
      <c r="B114" s="7" t="inlineStr">
        <is>
          <t>M2a</t>
        </is>
      </c>
      <c r="C114" s="4" t="inlineStr">
        <is>
          <t>M2a-P4</t>
        </is>
      </c>
      <c r="D114" s="4" t="inlineStr">
        <is>
          <t>J1 to J3 commissioning built for real</t>
        </is>
      </c>
      <c r="E114" s="4" t="inlineStr">
        <is>
          <t>Backend</t>
        </is>
      </c>
      <c r="F114" s="4" t="inlineStr">
        <is>
          <t>Commissioning</t>
        </is>
      </c>
      <c r="G114" s="5" t="inlineStr">
        <is>
          <t>Critical</t>
        </is>
      </c>
      <c r="H114" s="4" t="inlineStr">
        <is>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is>
      </c>
      <c r="I114" s="4" t="inlineStr">
        <is>
          <t>Commission a site from an empty database following only the runbook, with no developer intervention and no database console. Confirm the customer administrator is not created automatically.</t>
        </is>
      </c>
      <c r="J114" s="6" t="n">
        <v>12</v>
      </c>
      <c r="K114" s="4" t="inlineStr">
        <is>
          <t>Not Started</t>
        </is>
      </c>
    </row>
    <row r="115" ht="96" customHeight="1">
      <c r="A115" s="2" t="inlineStr">
        <is>
          <t>T-114</t>
        </is>
      </c>
      <c r="B115" s="7" t="inlineStr">
        <is>
          <t>M2a</t>
        </is>
      </c>
      <c r="C115" s="4" t="inlineStr">
        <is>
          <t>M2a-P4</t>
        </is>
      </c>
      <c r="D115" s="4" t="inlineStr">
        <is>
          <t>Eight-role catalogue with three enforcement layers</t>
        </is>
      </c>
      <c r="E115" s="4" t="inlineStr">
        <is>
          <t>Backend</t>
        </is>
      </c>
      <c r="F115" s="4" t="inlineStr">
        <is>
          <t>Users and roles</t>
        </is>
      </c>
      <c r="G115" s="5" t="inlineStr">
        <is>
          <t>Critical</t>
        </is>
      </c>
      <c r="H115" s="4" t="inlineStr">
        <is>
          <t>Implement the role catalogue as the shipped default with a three-role minimum as the smallest legal configuration, enforced at the API, the query and the UI layers. FormalRoleAccessMatrix already models capabilities including AssistantChat; extend rather than replace it.</t>
        </is>
      </c>
      <c r="I115" s="4" t="inlineStr">
        <is>
          <t>A matrix test asserting every role against every capability, at all three layers. Confirm a viewer cannot author SQL at any licence tier, which is a standing ruling.</t>
        </is>
      </c>
      <c r="J115" s="6" t="n">
        <v>12</v>
      </c>
      <c r="K115" s="4" t="inlineStr">
        <is>
          <t>Not Started</t>
        </is>
      </c>
    </row>
    <row r="116" ht="96" customHeight="1">
      <c r="A116" s="2" t="inlineStr">
        <is>
          <t>T-115</t>
        </is>
      </c>
      <c r="B116" s="7" t="inlineStr">
        <is>
          <t>M2a</t>
        </is>
      </c>
      <c r="C116" s="4" t="inlineStr">
        <is>
          <t>M2a-P4</t>
        </is>
      </c>
      <c r="D116" s="4" t="inlineStr">
        <is>
          <t>Users and Roles administration surface</t>
        </is>
      </c>
      <c r="E116" s="4" t="inlineStr">
        <is>
          <t>Frontend</t>
        </is>
      </c>
      <c r="F116" s="4" t="inlineStr">
        <is>
          <t>Users and roles</t>
        </is>
      </c>
      <c r="G116" s="8" t="inlineStr">
        <is>
          <t>Very Important</t>
        </is>
      </c>
      <c r="H116" s="4" t="inlineStr">
        <is>
          <t>Build the F1 Users and Roles page from Chapter 3 4.4 with the ten-field page contract. The code itself records that Users and Roles and System Health are missing from the UI.</t>
        </is>
      </c>
      <c r="I116" s="4" t="inlineStr">
        <is>
          <t>Create, edit, disable and re-enable a user, and change a role assignment, entirely through the interface. Confirm the audit layer records each change.</t>
        </is>
      </c>
      <c r="J116" s="6" t="n">
        <v>12</v>
      </c>
      <c r="K116" s="4" t="inlineStr">
        <is>
          <t>Not Started</t>
        </is>
      </c>
    </row>
    <row r="117" ht="96" customHeight="1">
      <c r="A117" s="2" t="inlineStr">
        <is>
          <t>T-116</t>
        </is>
      </c>
      <c r="B117" s="7" t="inlineStr">
        <is>
          <t>M2a</t>
        </is>
      </c>
      <c r="C117" s="4" t="inlineStr">
        <is>
          <t>M2a-P4</t>
        </is>
      </c>
      <c r="D117" s="4" t="inlineStr">
        <is>
          <t>Licence and entitlement enforcement</t>
        </is>
      </c>
      <c r="E117" s="4" t="inlineStr">
        <is>
          <t>Backend</t>
        </is>
      </c>
      <c r="F117" s="4" t="inlineStr">
        <is>
          <t>Licence</t>
        </is>
      </c>
      <c r="G117" s="5" t="inlineStr">
        <is>
          <t>Critical</t>
        </is>
      </c>
      <c r="H117" s="4" t="inlineStr">
        <is>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is>
      </c>
      <c r="I117" s="4" t="inlineStr">
        <is>
          <t>Exceed a meter and confirm the import queues and the job waits for a slot rather than failing. Confirm the customer can see their own approach to each meter in the interface, since a limit the customer cannot see is a trap.</t>
        </is>
      </c>
      <c r="J117" s="6" t="n">
        <v>12</v>
      </c>
      <c r="K117" s="4" t="inlineStr">
        <is>
          <t>Not Started</t>
        </is>
      </c>
    </row>
    <row r="118" ht="96" customHeight="1">
      <c r="A118" s="2" t="inlineStr">
        <is>
          <t>T-117</t>
        </is>
      </c>
      <c r="B118" s="7" t="inlineStr">
        <is>
          <t>M2a</t>
        </is>
      </c>
      <c r="C118" s="4" t="inlineStr">
        <is>
          <t>M2a-P4</t>
        </is>
      </c>
      <c r="D118" s="4" t="inlineStr">
        <is>
          <t>Container architecture and configuration profiles</t>
        </is>
      </c>
      <c r="E118" s="4" t="inlineStr">
        <is>
          <t>Infrastructure</t>
        </is>
      </c>
      <c r="F118" s="4" t="inlineStr">
        <is>
          <t>Deployment</t>
        </is>
      </c>
      <c r="G118" s="5" t="inlineStr">
        <is>
          <t>Critical</t>
        </is>
      </c>
      <c r="H118" s="4" t="inlineStr">
        <is>
          <t>Chapter 6 6.1.2 specifies sixteen containers with one responsibility each and four configuration profiles. Infrastructure today is eight files and 856 lines. Build the container set, the image policy, health and readiness endpoints, and volume and secret segmentation.</t>
        </is>
      </c>
      <c r="I118" s="4" t="inlineStr">
        <is>
          <t>Bring up each of the four profiles from a clean machine. Every container reports healthy. Confirm no container has a responsibility that belongs to another.</t>
        </is>
      </c>
      <c r="J118" s="6" t="n">
        <v>12</v>
      </c>
      <c r="K118" s="4" t="inlineStr">
        <is>
          <t>Not Started</t>
        </is>
      </c>
    </row>
    <row r="119" ht="96" customHeight="1">
      <c r="A119" s="2" t="inlineStr">
        <is>
          <t>T-118</t>
        </is>
      </c>
      <c r="B119" s="7" t="inlineStr">
        <is>
          <t>M2a</t>
        </is>
      </c>
      <c r="C119" s="4" t="inlineStr">
        <is>
          <t>M2a-P4</t>
        </is>
      </c>
      <c r="D119" s="4" t="inlineStr">
        <is>
          <t>Install package, migration runner, upgrade and rollback</t>
        </is>
      </c>
      <c r="E119" s="4" t="inlineStr">
        <is>
          <t>Infrastructure</t>
        </is>
      </c>
      <c r="F119" s="4" t="inlineStr">
        <is>
          <t>Deployment</t>
        </is>
      </c>
      <c r="G119" s="5" t="inlineStr">
        <is>
          <t>Critical</t>
        </is>
      </c>
      <c r="H119" s="4" t="inlineStr">
        <is>
          <t>Build the fresh installation and upgrade paths from Chapter 6 6.1.4, including what an upgrade may never do, and a rollback path. Migration runs as a deployment step rather than as a manual action.</t>
        </is>
      </c>
      <c r="I119" s="4" t="inlineStr">
        <is>
          <t>Install on a clean machine, upgrade from the previous version, then roll back. All three complete without manual database intervention. Run the fourteen post-deployment acceptance checks from 6.1.4.6.</t>
        </is>
      </c>
      <c r="J119" s="6" t="n">
        <v>12</v>
      </c>
      <c r="K119" s="4" t="inlineStr">
        <is>
          <t>Not Started</t>
        </is>
      </c>
    </row>
    <row r="120" ht="96" customHeight="1">
      <c r="A120" s="2" t="inlineStr">
        <is>
          <t>T-119</t>
        </is>
      </c>
      <c r="B120" s="7" t="inlineStr">
        <is>
          <t>M2a</t>
        </is>
      </c>
      <c r="C120" s="4" t="inlineStr">
        <is>
          <t>M2a-P4</t>
        </is>
      </c>
      <c r="D120" s="4" t="inlineStr">
        <is>
          <t>Backup with a tested restore acceptance procedure</t>
        </is>
      </c>
      <c r="E120" s="4" t="inlineStr">
        <is>
          <t>Infrastructure</t>
        </is>
      </c>
      <c r="F120" s="4" t="inlineStr">
        <is>
          <t>Backup</t>
        </is>
      </c>
      <c r="G120" s="5" t="inlineStr">
        <is>
          <t>Critical</t>
        </is>
      </c>
      <c r="H120" s="4" t="inlineStr">
        <is>
          <t>Chapter 6 6.1.11 requires not just backup but a tested restore acceptance procedure with a consistency rule. Implement schedule, retention, encryption and the restore rehearsal.</t>
        </is>
      </c>
      <c r="I120" s="4" t="inlineStr">
        <is>
          <t>Perform a real restore into a clean environment and run the acceptance procedure against it. A backup that has never been restored does not count as a backup.</t>
        </is>
      </c>
      <c r="J120" s="6" t="n">
        <v>12</v>
      </c>
      <c r="K120" s="4" t="inlineStr">
        <is>
          <t>Not Started</t>
        </is>
      </c>
    </row>
    <row r="121" ht="96" customHeight="1">
      <c r="A121" s="2" t="inlineStr">
        <is>
          <t>T-120</t>
        </is>
      </c>
      <c r="B121" s="7" t="inlineStr">
        <is>
          <t>M2a</t>
        </is>
      </c>
      <c r="C121" s="4" t="inlineStr">
        <is>
          <t>M2a-P4</t>
        </is>
      </c>
      <c r="D121" s="4" t="inlineStr">
        <is>
          <t>Minimum monitoring, health and alerting</t>
        </is>
      </c>
      <c r="E121" s="4" t="inlineStr">
        <is>
          <t>Infrastructure</t>
        </is>
      </c>
      <c r="F121" s="4" t="inlineStr">
        <is>
          <t>Monitoring</t>
        </is>
      </c>
      <c r="G121" s="8" t="inlineStr">
        <is>
          <t>Very Important</t>
        </is>
      </c>
      <c r="H121" s="4" t="inlineStr">
        <is>
          <t>Implement the minimum from Chapter 6 6.1.12 required to operate a soft test: per-component metrics, alert severity and escalation, and the operational dashboard. Full observability and SLOs are M3.</t>
        </is>
      </c>
      <c r="I121" s="4" t="inlineStr">
        <is>
          <t>Trigger each alert condition deliberately and confirm it fires with the correct severity and reaches the configured channel.</t>
        </is>
      </c>
      <c r="J121" s="6" t="n">
        <v>12</v>
      </c>
      <c r="K121" s="4" t="inlineStr">
        <is>
          <t>Not Started</t>
        </is>
      </c>
    </row>
    <row r="122" ht="96" customHeight="1">
      <c r="A122" s="2" t="inlineStr">
        <is>
          <t>T-121</t>
        </is>
      </c>
      <c r="B122" s="7" t="inlineStr">
        <is>
          <t>M2a</t>
        </is>
      </c>
      <c r="C122" s="4" t="inlineStr">
        <is>
          <t>M2a-P4</t>
        </is>
      </c>
      <c r="D122" s="4" t="inlineStr">
        <is>
          <t>Support runbook and UAT dataset and configuration import</t>
        </is>
      </c>
      <c r="E122" s="4" t="inlineStr">
        <is>
          <t>Documentation</t>
        </is>
      </c>
      <c r="F122" s="4" t="inlineStr">
        <is>
          <t>Handover</t>
        </is>
      </c>
      <c r="G122" s="8" t="inlineStr">
        <is>
          <t>Very Important</t>
        </is>
      </c>
      <c r="H122" s="4" t="inlineStr">
        <is>
          <t>Write the runbook the customer's own operator will follow, and build the path to import the customer's UAT dataset and configuration. Include the operator, data engineer and administrator sections.</t>
        </is>
      </c>
      <c r="I122" s="4" t="inlineStr">
        <is>
          <t>A person who has not worked on the project commissions a site and completes one import following only the runbook. Every step they had to ask about is a defect in the runbook.</t>
        </is>
      </c>
      <c r="J122" s="6" t="n">
        <v>12</v>
      </c>
      <c r="K122" s="4" t="inlineStr">
        <is>
          <t>Not Started</t>
        </is>
      </c>
    </row>
    <row r="123" ht="96" customHeight="1">
      <c r="A123" s="2" t="inlineStr">
        <is>
          <t>T-122</t>
        </is>
      </c>
      <c r="B123" s="7" t="inlineStr">
        <is>
          <t>M2a</t>
        </is>
      </c>
      <c r="C123" s="4" t="inlineStr">
        <is>
          <t>M2a-P4</t>
        </is>
      </c>
      <c r="D123" s="4" t="inlineStr">
        <is>
          <t>Canonical journey regression and the Continuity comparison</t>
        </is>
      </c>
      <c r="E123" s="4" t="inlineStr">
        <is>
          <t>Testing</t>
        </is>
      </c>
      <c r="F123" s="4" t="inlineStr">
        <is>
          <t>Continuity</t>
        </is>
      </c>
      <c r="G123" s="5" t="inlineStr">
        <is>
          <t>Critical</t>
        </is>
      </c>
      <c r="H123" s="4" t="inlineStr">
        <is>
          <t>Run J1 to J15 against a normal ppiq_app database with no presentation shortcut and no demonstration-only code path. Then run the Customer Contract Continuity comparison against the snapshots captured at the end of M1.</t>
        </is>
      </c>
      <c r="I123" s="4" t="inlineStr">
        <is>
          <t>The journey passes on the canonical database. The continuity comparison shows no change to navigation, control placement, authoring flow, terminology or refusal semantics. Any difference is a defect in M2, not an improvement.</t>
        </is>
      </c>
      <c r="J123" s="6" t="n">
        <v>12</v>
      </c>
      <c r="K123" s="4" t="inlineStr">
        <is>
          <t>Not Started</t>
        </is>
      </c>
    </row>
    <row r="124" ht="96" customHeight="1">
      <c r="A124" s="2" t="inlineStr">
        <is>
          <t>T-123</t>
        </is>
      </c>
      <c r="B124" s="9" t="inlineStr">
        <is>
          <t>M2b</t>
        </is>
      </c>
      <c r="C124" s="4" t="inlineStr">
        <is>
          <t>M2b-P1</t>
        </is>
      </c>
      <c r="D124" s="4" t="inlineStr">
        <is>
          <t>Feature store, outcome store and snapshots</t>
        </is>
      </c>
      <c r="E124" s="4" t="inlineStr">
        <is>
          <t>AI+ML</t>
        </is>
      </c>
      <c r="F124" s="4" t="inlineStr">
        <is>
          <t>Intelligence store</t>
        </is>
      </c>
      <c r="G124" s="5" t="inlineStr">
        <is>
          <t>Critical</t>
        </is>
      </c>
      <c r="H124" s="4" t="inlineStr">
        <is>
          <t>Build the versioned feature and outcome history with snapshots, per Chapter 3 4.5.12. This is prerequisite to everything downstream, and nothing downstream may invent its own persistence.</t>
        </is>
      </c>
      <c r="I124" s="4" t="inlineStr">
        <is>
          <t>Compute a feature set, snapshot it, change the underlying data, and confirm the snapshot still reproduces the original training input exactly.</t>
        </is>
      </c>
      <c r="J124" s="6" t="n">
        <v>12</v>
      </c>
      <c r="K124" s="4" t="inlineStr">
        <is>
          <t>Not Started</t>
        </is>
      </c>
    </row>
    <row r="125" ht="96" customHeight="1">
      <c r="A125" s="2" t="inlineStr">
        <is>
          <t>T-124</t>
        </is>
      </c>
      <c r="B125" s="9" t="inlineStr">
        <is>
          <t>M2b</t>
        </is>
      </c>
      <c r="C125" s="4" t="inlineStr">
        <is>
          <t>M2b-P1</t>
        </is>
      </c>
      <c r="D125" s="4" t="inlineStr">
        <is>
          <t>Compute runs and correlation result persistence</t>
        </is>
      </c>
      <c r="E125" s="4" t="inlineStr">
        <is>
          <t>AI+ML</t>
        </is>
      </c>
      <c r="F125" s="4" t="inlineStr">
        <is>
          <t>Intelligence store</t>
        </is>
      </c>
      <c r="G125" s="5" t="inlineStr">
        <is>
          <t>Critical</t>
        </is>
      </c>
      <c r="H125" s="4" t="inlineStr">
        <is>
          <t>Unify compute run records with gate state and gate evidence, and move correlation results onto the common substrate with evidence handles.</t>
        </is>
      </c>
      <c r="I125" s="4" t="inlineStr">
        <is>
          <t>Every result row resolves to its run, its gate state and its evidence. A result with an unresolvable evidence handle fails the test.</t>
        </is>
      </c>
      <c r="J125" s="6" t="n">
        <v>12</v>
      </c>
      <c r="K125" s="4" t="inlineStr">
        <is>
          <t>Not Started</t>
        </is>
      </c>
    </row>
    <row r="126" ht="96" customHeight="1">
      <c r="A126" s="2" t="inlineStr">
        <is>
          <t>T-125</t>
        </is>
      </c>
      <c r="B126" s="9" t="inlineStr">
        <is>
          <t>M2b</t>
        </is>
      </c>
      <c r="C126" s="4" t="inlineStr">
        <is>
          <t>M2b-P1</t>
        </is>
      </c>
      <c r="D126" s="4" t="inlineStr">
        <is>
          <t>Model registry, serving identity and fallback</t>
        </is>
      </c>
      <c r="E126" s="4" t="inlineStr">
        <is>
          <t>AI+ML</t>
        </is>
      </c>
      <c r="F126" s="4" t="inlineStr">
        <is>
          <t>Model lifecycle</t>
        </is>
      </c>
      <c r="G126" s="5" t="inlineStr">
        <is>
          <t>Critical</t>
        </is>
      </c>
      <c r="H126" s="4" t="inlineStr">
        <is>
          <t>Implement serving_role and the six-condition fallback policy from Chapter 4 5.6.7a, with drift observations.</t>
        </is>
      </c>
      <c r="I126" s="4" t="inlineStr">
        <is>
          <t>Promote a model, force each of the six fallback conditions, and confirm the correct fallback occurs and is recorded. Confirm no prediction is served by a model without a serving role.</t>
        </is>
      </c>
      <c r="J126" s="6" t="n">
        <v>12</v>
      </c>
      <c r="K126" s="4" t="inlineStr">
        <is>
          <t>Not Started</t>
        </is>
      </c>
    </row>
    <row r="127" ht="96" customHeight="1">
      <c r="A127" s="2" t="inlineStr">
        <is>
          <t>T-126</t>
        </is>
      </c>
      <c r="B127" s="9" t="inlineStr">
        <is>
          <t>M2b</t>
        </is>
      </c>
      <c r="C127" s="4" t="inlineStr">
        <is>
          <t>M2b-P1</t>
        </is>
      </c>
      <c r="D127" s="4" t="inlineStr">
        <is>
          <t>Practice signature, windowing, context and cohorts</t>
        </is>
      </c>
      <c r="E127" s="4" t="inlineStr">
        <is>
          <t>AI+ML</t>
        </is>
      </c>
      <c r="F127" s="4" t="inlineStr">
        <is>
          <t>Practice learning</t>
        </is>
      </c>
      <c r="G127" s="5" t="inlineStr">
        <is>
          <t>Critical</t>
        </is>
      </c>
      <c r="H127" s="4" t="inlineStr">
        <is>
          <t>Implement the practice-learning engine core from Chapter 4 5.6.4b: signature construction, parameter windowing, context, and the comparison cohort.</t>
        </is>
      </c>
      <c r="I127" s="4" t="inlineStr">
        <is>
          <t>On the presentation dataset, confirm the engine recovers the good-practice band planted in M1-P1 and does not recover a band from the null control.</t>
        </is>
      </c>
      <c r="J127" s="6" t="n">
        <v>12</v>
      </c>
      <c r="K127" s="4" t="inlineStr">
        <is>
          <t>Not Started</t>
        </is>
      </c>
    </row>
    <row r="128" ht="96" customHeight="1">
      <c r="A128" s="2" t="inlineStr">
        <is>
          <t>T-127</t>
        </is>
      </c>
      <c r="B128" s="9" t="inlineStr">
        <is>
          <t>M2b</t>
        </is>
      </c>
      <c r="C128" s="4" t="inlineStr">
        <is>
          <t>M2b-P1</t>
        </is>
      </c>
      <c r="D128" s="4" t="inlineStr">
        <is>
          <t>Support, confidence, back-off ladder and tolerance sensitivity</t>
        </is>
      </c>
      <c r="E128" s="4" t="inlineStr">
        <is>
          <t>AI+ML</t>
        </is>
      </c>
      <c r="F128" s="4" t="inlineStr">
        <is>
          <t>Practice learning</t>
        </is>
      </c>
      <c r="G128" s="5" t="inlineStr">
        <is>
          <t>Critical</t>
        </is>
      </c>
      <c r="H128" s="4" t="inlineStr">
        <is>
          <t>Add support and confidence ranking, the back-off ladder for sparse cohorts, and the tolerance sensitivity test that flags a practice whose result depends on the tolerance chosen.</t>
        </is>
      </c>
      <c r="I128" s="4" t="inlineStr">
        <is>
          <t>A practice that survives resampling is ranked; one that does not is flagged. Widen the tolerance and confirm any practice whose result flips is marked sensitive.</t>
        </is>
      </c>
      <c r="J128" s="6" t="n">
        <v>12</v>
      </c>
      <c r="K128" s="4" t="inlineStr">
        <is>
          <t>Not Started</t>
        </is>
      </c>
    </row>
    <row r="129" ht="96" customHeight="1">
      <c r="A129" s="2" t="inlineStr">
        <is>
          <t>T-128</t>
        </is>
      </c>
      <c r="B129" s="9" t="inlineStr">
        <is>
          <t>M2b</t>
        </is>
      </c>
      <c r="C129" s="4" t="inlineStr">
        <is>
          <t>M2b-P1</t>
        </is>
      </c>
      <c r="D129" s="4" t="inlineStr">
        <is>
          <t>practice_statistics persistence, drift and D10 Practice Insights</t>
        </is>
      </c>
      <c r="E129" s="4" t="inlineStr">
        <is>
          <t>AI+ML</t>
        </is>
      </c>
      <c r="F129" s="4" t="inlineStr">
        <is>
          <t>Practice learning</t>
        </is>
      </c>
      <c r="G129" s="8" t="inlineStr">
        <is>
          <t>Very Important</t>
        </is>
      </c>
      <c r="H129" s="4" t="inlineStr">
        <is>
          <t>Persist practice statistics, implement drift detection against the plant's own demonstrated best, and build the D10 page from Chapter 3 4.4.</t>
        </is>
      </c>
      <c r="I129" s="4" t="inlineStr">
        <is>
          <t>Shift the operating data away from the learned band and confirm drift is detected and surfaced with its evidence.</t>
        </is>
      </c>
      <c r="J129" s="6" t="n">
        <v>12</v>
      </c>
      <c r="K129" s="4" t="inlineStr">
        <is>
          <t>Not Started</t>
        </is>
      </c>
    </row>
    <row r="130" ht="96" customHeight="1">
      <c r="A130" s="2" t="inlineStr">
        <is>
          <t>T-129</t>
        </is>
      </c>
      <c r="B130" s="9" t="inlineStr">
        <is>
          <t>M2b</t>
        </is>
      </c>
      <c r="C130" s="4" t="inlineStr">
        <is>
          <t>M2b-P1</t>
        </is>
      </c>
      <c r="D130" s="4" t="inlineStr">
        <is>
          <t>Bindable intelligence registry and evidence handles</t>
        </is>
      </c>
      <c r="E130" s="4" t="inlineStr">
        <is>
          <t>AI+ML</t>
        </is>
      </c>
      <c r="F130" s="4" t="inlineStr">
        <is>
          <t>Intelligence store</t>
        </is>
      </c>
      <c r="G130" s="5" t="inlineStr">
        <is>
          <t>Critical</t>
        </is>
      </c>
      <c r="H130" s="4" t="inlineStr">
        <is>
          <t>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is>
      </c>
      <c r="I130" s="4" t="inlineStr">
        <is>
          <t>Bind a prediction to a chart through the normal authoring shell with no code change, filter it, drill into it, and open its evidence. Then break one evidence handle and confirm the widget refuses rather than rendering an uncited number.</t>
        </is>
      </c>
      <c r="J130" s="6" t="n">
        <v>12</v>
      </c>
      <c r="K130" s="4" t="inlineStr">
        <is>
          <t>Not Started</t>
        </is>
      </c>
    </row>
    <row r="131" ht="96" customHeight="1">
      <c r="A131" s="2" t="inlineStr">
        <is>
          <t>T-130</t>
        </is>
      </c>
      <c r="B131" s="9" t="inlineStr">
        <is>
          <t>M2b</t>
        </is>
      </c>
      <c r="C131" s="4" t="inlineStr">
        <is>
          <t>M2b-P1</t>
        </is>
      </c>
      <c r="D131" s="4" t="inlineStr">
        <is>
          <t>Tenant-aware uniqueness across the intelligence tables</t>
        </is>
      </c>
      <c r="E131" s="4" t="inlineStr">
        <is>
          <t>Database</t>
        </is>
      </c>
      <c r="F131" s="4" t="inlineStr">
        <is>
          <t>Intelligence store</t>
        </is>
      </c>
      <c r="G131" s="8" t="inlineStr">
        <is>
          <t>Very Important</t>
        </is>
      </c>
      <c r="H131" s="4" t="inlineStr">
        <is>
          <t>Every intelligence table added in this phase is tenant-owned. Apply tenant keys and tenant-aware uniqueness consistently, so two tenants can hold the same natural key without collision, and add the tables to the RLS architecture test built in M2a-P3.</t>
        </is>
      </c>
      <c r="I131" s="4" t="inlineStr">
        <is>
          <t>Insert the same natural key for two tenants and confirm both persist. Confirm the RLS architecture test fails if one of the new tables is added without a policy.</t>
        </is>
      </c>
      <c r="J131" s="6" t="n">
        <v>10</v>
      </c>
      <c r="K131" s="4" t="inlineStr">
        <is>
          <t>Not Started</t>
        </is>
      </c>
    </row>
    <row r="132" ht="96" customHeight="1">
      <c r="A132" s="2" t="inlineStr">
        <is>
          <t>T-131</t>
        </is>
      </c>
      <c r="B132" s="9" t="inlineStr">
        <is>
          <t>M2b</t>
        </is>
      </c>
      <c r="C132" s="4" t="inlineStr">
        <is>
          <t>M2b-P1</t>
        </is>
      </c>
      <c r="D132" s="4" t="inlineStr">
        <is>
          <t>Incremental practice recomputation</t>
        </is>
      </c>
      <c r="E132" s="4" t="inlineStr">
        <is>
          <t>AI+ML</t>
        </is>
      </c>
      <c r="F132" s="4" t="inlineStr">
        <is>
          <t>Practice learning</t>
        </is>
      </c>
      <c r="G132" s="7" t="inlineStr">
        <is>
          <t>Important</t>
        </is>
      </c>
      <c r="H132" s="4" t="inlineStr">
        <is>
          <t>Make practice recomputation incremental against the stage watermarks built in M2a-P3, so a growing history does not become a full recompute.</t>
        </is>
      </c>
      <c r="I132" s="4" t="inlineStr">
        <is>
          <t>Add one day of data and confirm the recomputation scans a bounded delta, evidenced by the Scan Amplification metric staying within baseline.</t>
        </is>
      </c>
      <c r="J132" s="6" t="n">
        <v>10</v>
      </c>
      <c r="K132" s="4" t="inlineStr">
        <is>
          <t>Not Started</t>
        </is>
      </c>
    </row>
    <row r="133" ht="96" customHeight="1">
      <c r="A133" s="2" t="inlineStr">
        <is>
          <t>T-132</t>
        </is>
      </c>
      <c r="B133" s="9" t="inlineStr">
        <is>
          <t>M2b</t>
        </is>
      </c>
      <c r="C133" s="4" t="inlineStr">
        <is>
          <t>M2b-P1</t>
        </is>
      </c>
      <c r="D133" s="4" t="inlineStr">
        <is>
          <t>Wire a real model behind the assistant provider seam</t>
        </is>
      </c>
      <c r="E133" s="4" t="inlineStr">
        <is>
          <t>AI+ML</t>
        </is>
      </c>
      <c r="F133" s="4" t="inlineStr">
        <is>
          <t>Chatbot</t>
        </is>
      </c>
      <c r="G133" s="10" t="inlineStr">
        <is>
          <t>Optional</t>
        </is>
      </c>
      <c r="H133" s="4" t="inlineStr">
        <is>
          <t>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is>
      </c>
      <c r="I133" s="4" t="inlineStr">
        <is>
          <t>With the endpoint unset the extractive model answers and the product still works. With it set, answers improve and every number is still cited. The demonstration must never depend on network access in the room, which is why this is not M1 work.</t>
        </is>
      </c>
      <c r="J133" s="6" t="n">
        <v>3</v>
      </c>
      <c r="K133" s="4" t="inlineStr">
        <is>
          <t>Not Started</t>
        </is>
      </c>
    </row>
    <row r="134" ht="96" customHeight="1">
      <c r="A134" s="2" t="inlineStr">
        <is>
          <t>T-133</t>
        </is>
      </c>
      <c r="B134" s="9" t="inlineStr">
        <is>
          <t>M2b</t>
        </is>
      </c>
      <c r="C134" s="4" t="inlineStr">
        <is>
          <t>M2b-P1</t>
        </is>
      </c>
      <c r="D134" s="4" t="inlineStr">
        <is>
          <t>Assistant finalisation on canonical sources</t>
        </is>
      </c>
      <c r="E134" s="4" t="inlineStr">
        <is>
          <t>AI+ML</t>
        </is>
      </c>
      <c r="F134" s="4" t="inlineStr">
        <is>
          <t>Chatbot</t>
        </is>
      </c>
      <c r="G134" s="8" t="inlineStr">
        <is>
          <t>Very Important</t>
        </is>
      </c>
      <c r="H134" s="4" t="inlineStr">
        <is>
          <t>Move the assistant off any M1-specific retrieval or prepared state and onto the canonical intelligence sources, keeping the M1 dock UX unchanged.</t>
        </is>
      </c>
      <c r="I134" s="4" t="inlineStr">
        <is>
          <t>The continuity snapshot of the assistant dock still matches. Every answer resolves to canonical evidence with no prepared corpus in the path.</t>
        </is>
      </c>
      <c r="J134" s="6" t="n">
        <v>12</v>
      </c>
      <c r="K134" s="4" t="inlineStr">
        <is>
          <t>Not Started</t>
        </is>
      </c>
    </row>
    <row r="135" ht="96" customHeight="1">
      <c r="A135" s="2" t="inlineStr">
        <is>
          <t>T-134</t>
        </is>
      </c>
      <c r="B135" s="9" t="inlineStr">
        <is>
          <t>M2b</t>
        </is>
      </c>
      <c r="C135" s="4" t="inlineStr">
        <is>
          <t>M2b-P2</t>
        </is>
      </c>
      <c r="D135" s="4" t="inlineStr">
        <is>
          <t>prediction_runs, predictions and prediction_current</t>
        </is>
      </c>
      <c r="E135" s="4" t="inlineStr">
        <is>
          <t>AI+ML</t>
        </is>
      </c>
      <c r="F135" s="4" t="inlineStr">
        <is>
          <t>Prediction</t>
        </is>
      </c>
      <c r="G135" s="5" t="inlineStr">
        <is>
          <t>Critical</t>
        </is>
      </c>
      <c r="H135" s="4" t="inlineStr">
        <is>
          <t>Build the operational prediction pipeline and prediction_current as the complete operational read model, per Chapter 3 4.5.12.</t>
        </is>
      </c>
      <c r="I135" s="4" t="inlineStr">
        <is>
          <t>Score a live population and confirm prediction_current reflects exactly the active predictions with no stale rows.</t>
        </is>
      </c>
      <c r="J135" s="6" t="n">
        <v>12</v>
      </c>
      <c r="K135" s="4" t="inlineStr">
        <is>
          <t>Not Started</t>
        </is>
      </c>
    </row>
    <row r="136" ht="96" customHeight="1">
      <c r="A136" s="2" t="inlineStr">
        <is>
          <t>T-135</t>
        </is>
      </c>
      <c r="B136" s="9" t="inlineStr">
        <is>
          <t>M2b</t>
        </is>
      </c>
      <c r="C136" s="4" t="inlineStr">
        <is>
          <t>M2b-P2</t>
        </is>
      </c>
      <c r="D136" s="4" t="inlineStr">
        <is>
          <t>Prediction drivers and comparables, persisted</t>
        </is>
      </c>
      <c r="E136" s="4" t="inlineStr">
        <is>
          <t>AI+ML</t>
        </is>
      </c>
      <c r="F136" s="4" t="inlineStr">
        <is>
          <t>Prediction</t>
        </is>
      </c>
      <c r="G136" s="5" t="inlineStr">
        <is>
          <t>Critical</t>
        </is>
      </c>
      <c r="H136" s="4" t="inlineStr">
        <is>
          <t>Persist the contributing drivers and comparable historical cases so explainability is drillable rather than narrated.</t>
        </is>
      </c>
      <c r="I136" s="4" t="inlineStr">
        <is>
          <t>Open a prediction and confirm its drivers and comparables come from persisted rows, not from a UI computation. Delete the rows and confirm the UI refuses rather than inventing.</t>
        </is>
      </c>
      <c r="J136" s="6" t="n">
        <v>12</v>
      </c>
      <c r="K136" s="4" t="inlineStr">
        <is>
          <t>Not Started</t>
        </is>
      </c>
    </row>
    <row r="137" ht="96" customHeight="1">
      <c r="A137" s="2" t="inlineStr">
        <is>
          <t>T-136</t>
        </is>
      </c>
      <c r="B137" s="9" t="inlineStr">
        <is>
          <t>M2b</t>
        </is>
      </c>
      <c r="C137" s="4" t="inlineStr">
        <is>
          <t>M2b-P2</t>
        </is>
      </c>
      <c r="D137" s="4" t="inlineStr">
        <is>
          <t>Actionable deadline and latency health</t>
        </is>
      </c>
      <c r="E137" s="4" t="inlineStr">
        <is>
          <t>AI+ML</t>
        </is>
      </c>
      <c r="F137" s="4" t="inlineStr">
        <is>
          <t>Prediction</t>
        </is>
      </c>
      <c r="G137" s="8" t="inlineStr">
        <is>
          <t>Very Important</t>
        </is>
      </c>
      <c r="H137" s="4" t="inlineStr">
        <is>
          <t>Implement actionable_deadline_utc and met_actionable_deadline from Chapter 4 5.8.8, so a prediction that arrives after the stage that could act on it is visibly recorded as missed.</t>
        </is>
      </c>
      <c r="I137" s="4" t="inlineStr">
        <is>
          <t>Force a late prediction and confirm it is recorded as having missed its deadline and is not presented as actionable.</t>
        </is>
      </c>
      <c r="J137" s="6" t="n">
        <v>12</v>
      </c>
      <c r="K137" s="4" t="inlineStr">
        <is>
          <t>Not Started</t>
        </is>
      </c>
    </row>
    <row r="138" ht="96" customHeight="1">
      <c r="A138" s="2" t="inlineStr">
        <is>
          <t>T-137</t>
        </is>
      </c>
      <c r="B138" s="9" t="inlineStr">
        <is>
          <t>M2b</t>
        </is>
      </c>
      <c r="C138" s="4" t="inlineStr">
        <is>
          <t>M2b-P2</t>
        </is>
      </c>
      <c r="D138" s="4" t="inlineStr">
        <is>
          <t>Remediation candidate generation from the customer's own history</t>
        </is>
      </c>
      <c r="E138" s="4" t="inlineStr">
        <is>
          <t>AI+ML</t>
        </is>
      </c>
      <c r="F138" s="4" t="inlineStr">
        <is>
          <t>Remediation</t>
        </is>
      </c>
      <c r="G138" s="5" t="inlineStr">
        <is>
          <t>Critical</t>
        </is>
      </c>
      <c r="H138" s="4" t="inlineStr">
        <is>
          <t>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is>
      </c>
      <c r="I138" s="4" t="inlineStr">
        <is>
          <t>Generate candidates on the presentation dataset and confirm each carries a support count above the configured threshold, an effect range and resolvable comparable evidence. A candidate with insufficient support must not be generated at all.</t>
        </is>
      </c>
      <c r="J138" s="6" t="n">
        <v>6</v>
      </c>
      <c r="K138" s="4" t="inlineStr">
        <is>
          <t>Not Started</t>
        </is>
      </c>
    </row>
    <row r="139" ht="96" customHeight="1">
      <c r="A139" s="2" t="inlineStr">
        <is>
          <t>T-138</t>
        </is>
      </c>
      <c r="B139" s="9" t="inlineStr">
        <is>
          <t>M2b</t>
        </is>
      </c>
      <c r="C139" s="4" t="inlineStr">
        <is>
          <t>M2b-P2</t>
        </is>
      </c>
      <c r="D139" s="4" t="inlineStr">
        <is>
          <t>The per-prediction nine-check eligibility gate, can_accept and suppression</t>
        </is>
      </c>
      <c r="E139" s="4" t="inlineStr">
        <is>
          <t>AI+ML</t>
        </is>
      </c>
      <c r="F139" s="4" t="inlineStr">
        <is>
          <t>Remediation</t>
        </is>
      </c>
      <c r="G139" s="5" t="inlineStr">
        <is>
          <t>Critical</t>
        </is>
      </c>
      <c r="H139" s="4" t="inlineStr">
        <is>
          <t>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is>
      </c>
      <c r="I139" s="4" t="inlineStr">
        <is>
          <t>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is>
      </c>
      <c r="J139" s="6" t="n">
        <v>8</v>
      </c>
      <c r="K139" s="4" t="inlineStr">
        <is>
          <t>Not Started</t>
        </is>
      </c>
    </row>
    <row r="140" ht="96" customHeight="1">
      <c r="A140" s="2" t="inlineStr">
        <is>
          <t>T-139</t>
        </is>
      </c>
      <c r="B140" s="9" t="inlineStr">
        <is>
          <t>M2b</t>
        </is>
      </c>
      <c r="C140" s="4" t="inlineStr">
        <is>
          <t>M2b-P2</t>
        </is>
      </c>
      <c r="D140" s="4" t="inlineStr">
        <is>
          <t>Accept, Reject and Defer with action recording</t>
        </is>
      </c>
      <c r="E140" s="4" t="inlineStr">
        <is>
          <t>AI+ML</t>
        </is>
      </c>
      <c r="F140" s="4" t="inlineStr">
        <is>
          <t>Feedback loop</t>
        </is>
      </c>
      <c r="G140" s="5" t="inlineStr">
        <is>
          <t>Critical</t>
        </is>
      </c>
      <c r="H140" s="4" t="inlineStr">
        <is>
          <t>Implement the human decision boundary from Chapter 3 DF14: Accept, Reject and Defer, each recorded with its actor, timestamp and reason, and each producing an action record. The product must never automatically control the plant.</t>
        </is>
      </c>
      <c r="I140" s="4" t="inlineStr">
        <is>
          <t>Take each of the three decisions and confirm each is recorded with actor and reason and produces the correct downstream state. Confirm no code path issues a control instruction to any source system.</t>
        </is>
      </c>
      <c r="J140" s="6" t="n">
        <v>8</v>
      </c>
      <c r="K140" s="4" t="inlineStr">
        <is>
          <t>Not Started</t>
        </is>
      </c>
    </row>
    <row r="141" ht="96" customHeight="1">
      <c r="A141" s="2" t="inlineStr">
        <is>
          <t>T-140</t>
        </is>
      </c>
      <c r="B141" s="9" t="inlineStr">
        <is>
          <t>M2b</t>
        </is>
      </c>
      <c r="C141" s="4" t="inlineStr">
        <is>
          <t>M2b-P2</t>
        </is>
      </c>
      <c r="D141" s="4" t="inlineStr">
        <is>
          <t>Outcome capture, evaluation and escalation</t>
        </is>
      </c>
      <c r="E141" s="4" t="inlineStr">
        <is>
          <t>AI+ML</t>
        </is>
      </c>
      <c r="F141" s="4" t="inlineStr">
        <is>
          <t>Feedback loop</t>
        </is>
      </c>
      <c r="G141" s="5" t="inlineStr">
        <is>
          <t>Critical</t>
        </is>
      </c>
      <c r="H141" s="4" t="inlineStr">
        <is>
          <t>Capture the observed outcome after the fact, write the evaluation that closes the loop, and implement remediation_escalations for the cases that need a human above the operator.</t>
        </is>
      </c>
      <c r="I141" s="4" t="inlineStr">
        <is>
          <t>Accept a candidate, let the outcome arrive, and confirm the evaluation is written and feeds the next governed review. Trigger an escalation condition and confirm it routes correctly.</t>
        </is>
      </c>
      <c r="J141" s="6" t="n">
        <v>6</v>
      </c>
      <c r="K141" s="4" t="inlineStr">
        <is>
          <t>Not Started</t>
        </is>
      </c>
    </row>
    <row r="142" ht="96" customHeight="1">
      <c r="A142" s="2" t="inlineStr">
        <is>
          <t>T-141</t>
        </is>
      </c>
      <c r="B142" s="9" t="inlineStr">
        <is>
          <t>M2b</t>
        </is>
      </c>
      <c r="C142" s="4" t="inlineStr">
        <is>
          <t>M2b-P2</t>
        </is>
      </c>
      <c r="D142" s="4" t="inlineStr">
        <is>
          <t>Retire the superseded correlation engine</t>
        </is>
      </c>
      <c r="E142" s="4" t="inlineStr">
        <is>
          <t>Engine</t>
        </is>
      </c>
      <c r="F142" s="4" t="inlineStr">
        <is>
          <t>Consolidation</t>
        </is>
      </c>
      <c r="G142" s="8" t="inlineStr">
        <is>
          <t>Very Important</t>
        </is>
      </c>
      <c r="H142" s="4" t="inlineStr">
        <is>
          <t>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is>
      </c>
      <c r="I142" s="4" t="inlineStr">
        <is>
          <t>One engine remains reachable. A test asserts no compute path can write a finding without passing the readiness gate.</t>
        </is>
      </c>
      <c r="J142" s="6" t="n">
        <v>12</v>
      </c>
      <c r="K142" s="4" t="inlineStr">
        <is>
          <t>Not Started</t>
        </is>
      </c>
    </row>
    <row r="143" ht="96" customHeight="1">
      <c r="A143" s="2" t="inlineStr">
        <is>
          <t>T-142</t>
        </is>
      </c>
      <c r="B143" s="9" t="inlineStr">
        <is>
          <t>M2b</t>
        </is>
      </c>
      <c r="C143" s="4" t="inlineStr">
        <is>
          <t>M2b-P2</t>
        </is>
      </c>
      <c r="D143" s="4" t="inlineStr">
        <is>
          <t>Fix the outcome namespace, grain assignment and ordinal loader</t>
        </is>
      </c>
      <c r="E143" s="4" t="inlineStr">
        <is>
          <t>Engine</t>
        </is>
      </c>
      <c r="F143" s="4" t="inlineStr">
        <is>
          <t>Consolidation</t>
        </is>
      </c>
      <c r="G143" s="5" t="inlineStr">
        <is>
          <t>Critical</t>
        </is>
      </c>
      <c r="H143" s="4" t="inlineStr">
        <is>
          <t>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is>
      </c>
      <c r="I143" s="4" t="inlineStr">
        <is>
          <t>One namespace across engine and registry. Correct the grain in the refresh routine and confirm it survives a refresh. Load an ordinal outcome and confirm the minority fraction reflects the real class spread.</t>
        </is>
      </c>
      <c r="J143" s="6" t="n">
        <v>12</v>
      </c>
      <c r="K143" s="4" t="inlineStr">
        <is>
          <t>Not Started</t>
        </is>
      </c>
    </row>
    <row r="144" ht="96" customHeight="1">
      <c r="A144" s="2" t="inlineStr">
        <is>
          <t>T-143</t>
        </is>
      </c>
      <c r="B144" s="9" t="inlineStr">
        <is>
          <t>M2b</t>
        </is>
      </c>
      <c r="C144" s="4" t="inlineStr">
        <is>
          <t>M2b-P2</t>
        </is>
      </c>
      <c r="D144" s="4" t="inlineStr">
        <is>
          <t>Map the 108 page files onto the 40 target pages</t>
        </is>
      </c>
      <c r="E144" s="4" t="inlineStr">
        <is>
          <t>Frontend</t>
        </is>
      </c>
      <c r="F144" s="4" t="inlineStr">
        <is>
          <t>Namespace</t>
        </is>
      </c>
      <c r="G144" s="8" t="inlineStr">
        <is>
          <t>Very Important</t>
        </is>
      </c>
      <c r="H144" s="4" t="inlineStr">
        <is>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is>
      </c>
      <c r="I144" s="4" t="inlineStr">
        <is>
          <t>A test asserting every page file under src/pages is reachable from a declared route. The count of page files moves toward 40 and no orphan remains.</t>
        </is>
      </c>
      <c r="J144" s="6" t="n">
        <v>8</v>
      </c>
      <c r="K144" s="4" t="inlineStr">
        <is>
          <t>Not Started</t>
        </is>
      </c>
    </row>
    <row r="145" ht="96" customHeight="1">
      <c r="A145" s="2" t="inlineStr">
        <is>
          <t>T-144</t>
        </is>
      </c>
      <c r="B145" s="9" t="inlineStr">
        <is>
          <t>M2b</t>
        </is>
      </c>
      <c r="C145" s="4" t="inlineStr">
        <is>
          <t>M2b-P2</t>
        </is>
      </c>
      <c r="D145" s="4" t="inlineStr">
        <is>
          <t>Delete the legacy redirects and re-verify continuity</t>
        </is>
      </c>
      <c r="E145" s="4" t="inlineStr">
        <is>
          <t>Frontend</t>
        </is>
      </c>
      <c r="F145" s="4" t="inlineStr">
        <is>
          <t>Namespace</t>
        </is>
      </c>
      <c r="G145" s="8" t="inlineStr">
        <is>
          <t>Very Important</t>
        </is>
      </c>
      <c r="H145" s="4" t="inlineStr">
        <is>
          <t>Remove the roughly 20 legacy Navigate redirects and the live phase-token routes (/phase8/*, /phase9/*, /phase15/*) that App.tsx still declares among its 69 route paths, then re-run the Customer Contract Continuity comparison.</t>
        </is>
      </c>
      <c r="I145" s="4" t="inlineStr">
        <is>
          <t>No route path matches /phase\d+/. The continuity comparison against the M1 snapshots still shows no change to any presented page.</t>
        </is>
      </c>
      <c r="J145" s="6" t="n">
        <v>6</v>
      </c>
      <c r="K145" s="4" t="inlineStr">
        <is>
          <t>Not Started</t>
        </is>
      </c>
    </row>
    <row r="146" ht="96" customHeight="1">
      <c r="A146" s="2" t="inlineStr">
        <is>
          <t>T-145</t>
        </is>
      </c>
      <c r="B146" s="9" t="inlineStr">
        <is>
          <t>M2b</t>
        </is>
      </c>
      <c r="C146" s="4" t="inlineStr">
        <is>
          <t>M2b-P2</t>
        </is>
      </c>
      <c r="D146" s="4" t="inlineStr">
        <is>
          <t>Complete the test gates</t>
        </is>
      </c>
      <c r="E146" s="4" t="inlineStr">
        <is>
          <t>Testing</t>
        </is>
      </c>
      <c r="F146" s="4" t="inlineStr">
        <is>
          <t>CI/CD</t>
        </is>
      </c>
      <c r="G146" s="5" t="inlineStr">
        <is>
          <t>Critical</t>
        </is>
      </c>
      <c r="H146" s="4" t="inlineStr">
        <is>
          <t>Add the remaining pipeline stages from Chapter 6 6.1.3 to reach the specified twenty-two, make visual regression and accessibility blocking, and make the golden journey J1 to J15 a merge blocker.</t>
        </is>
      </c>
      <c r="I146" s="4" t="inlineStr">
        <is>
          <t>A deliberately broken golden journey blocks a merge. A deliberately introduced contrast failure blocks a merge. Both then revert to green.</t>
        </is>
      </c>
      <c r="J146" s="6" t="n">
        <v>12</v>
      </c>
      <c r="K146" s="4" t="inlineStr">
        <is>
          <t>Not Started</t>
        </is>
      </c>
    </row>
    <row r="147" ht="96" customHeight="1">
      <c r="A147" s="2" t="inlineStr">
        <is>
          <t>T-146</t>
        </is>
      </c>
      <c r="B147" s="10" t="inlineStr">
        <is>
          <t>M3</t>
        </is>
      </c>
      <c r="C147" s="4" t="inlineStr">
        <is>
          <t>M3-P1</t>
        </is>
      </c>
      <c r="D147" s="4" t="inlineStr">
        <is>
          <t>Site defect burn-down</t>
        </is>
      </c>
      <c r="E147" s="4" t="inlineStr">
        <is>
          <t>Backend</t>
        </is>
      </c>
      <c r="F147" s="4" t="inlineStr">
        <is>
          <t>Site findings</t>
        </is>
      </c>
      <c r="G147" s="5" t="inlineStr">
        <is>
          <t>Critical</t>
        </is>
      </c>
      <c r="H147" s="4" t="inlineStr">
        <is>
          <t>Fix what soft testing finds, without changing the frozen visible contract unless a formal product decision is approved and recorded.</t>
        </is>
      </c>
      <c r="I147" s="4" t="inlineStr">
        <is>
          <t>Each defect has a reproduction, a fix and a regression test. Any visible-contract change carries a written approval.</t>
        </is>
      </c>
      <c r="J147" s="6" t="n">
        <v>12</v>
      </c>
      <c r="K147" s="4" t="inlineStr">
        <is>
          <t>Not Started</t>
        </is>
      </c>
    </row>
    <row r="148" ht="96" customHeight="1">
      <c r="A148" s="2" t="inlineStr">
        <is>
          <t>T-147</t>
        </is>
      </c>
      <c r="B148" s="10" t="inlineStr">
        <is>
          <t>M3</t>
        </is>
      </c>
      <c r="C148" s="4" t="inlineStr">
        <is>
          <t>M3-P1</t>
        </is>
      </c>
      <c r="D148" s="4" t="inlineStr">
        <is>
          <t>Customer data edge cases</t>
        </is>
      </c>
      <c r="E148" s="4" t="inlineStr">
        <is>
          <t>Database</t>
        </is>
      </c>
      <c r="F148" s="4" t="inlineStr">
        <is>
          <t>Site findings</t>
        </is>
      </c>
      <c r="G148" s="5" t="inlineStr">
        <is>
          <t>Critical</t>
        </is>
      </c>
      <c r="H148" s="4" t="inlineStr">
        <is>
          <t>New source patterns, dirty data, unusual keys, timestamps, nulls, late arrivals and customer-specific mapping requirements, handled through the three doors.</t>
        </is>
      </c>
      <c r="I148" s="4" t="inlineStr">
        <is>
          <t>Each case handled through import, registry or authoring. Any case requiring a code branch is escalated as a design gap.</t>
        </is>
      </c>
      <c r="J148" s="6" t="n">
        <v>12</v>
      </c>
      <c r="K148" s="4" t="inlineStr">
        <is>
          <t>Not Started</t>
        </is>
      </c>
    </row>
    <row r="149" ht="96" customHeight="1">
      <c r="A149" s="2" t="inlineStr">
        <is>
          <t>T-148</t>
        </is>
      </c>
      <c r="B149" s="10" t="inlineStr">
        <is>
          <t>M3</t>
        </is>
      </c>
      <c r="C149" s="4" t="inlineStr">
        <is>
          <t>M3-P1</t>
        </is>
      </c>
      <c r="D149" s="4" t="inlineStr">
        <is>
          <t>Connector certification against real sources</t>
        </is>
      </c>
      <c r="E149" s="4" t="inlineStr">
        <is>
          <t>Backend</t>
        </is>
      </c>
      <c r="F149" s="4" t="inlineStr">
        <is>
          <t>Connectors</t>
        </is>
      </c>
      <c r="G149" s="5" t="inlineStr">
        <is>
          <t>Critical</t>
        </is>
      </c>
      <c r="H149" s="4" t="inlineStr">
        <is>
          <t>Enable and certify the customer's actual connectors. A catalogue row is not a connector; an unbuilt one stays dimmed and badged as planned.</t>
        </is>
      </c>
      <c r="I149" s="4" t="inlineStr">
        <is>
          <t>Each certified connector completes a read-only import against the real source with the load budget enforced.</t>
        </is>
      </c>
      <c r="J149" s="6" t="n">
        <v>12</v>
      </c>
      <c r="K149" s="4" t="inlineStr">
        <is>
          <t>Not Started</t>
        </is>
      </c>
    </row>
    <row r="150" ht="96" customHeight="1">
      <c r="A150" s="2" t="inlineStr">
        <is>
          <t>T-149</t>
        </is>
      </c>
      <c r="B150" s="10" t="inlineStr">
        <is>
          <t>M3</t>
        </is>
      </c>
      <c r="C150" s="4" t="inlineStr">
        <is>
          <t>M3-P1</t>
        </is>
      </c>
      <c r="D150" s="4" t="inlineStr">
        <is>
          <t>Query plans, indexes and partition boundaries</t>
        </is>
      </c>
      <c r="E150" s="4" t="inlineStr">
        <is>
          <t>Database</t>
        </is>
      </c>
      <c r="F150" s="4" t="inlineStr">
        <is>
          <t>Performance</t>
        </is>
      </c>
      <c r="G150" s="8" t="inlineStr">
        <is>
          <t>Very Important</t>
        </is>
      </c>
      <c r="H150" s="4" t="inlineStr">
        <is>
          <t>Tune against real measurements from the customer's volumes, not against assumptions.</t>
        </is>
      </c>
      <c r="I150" s="4" t="inlineStr">
        <is>
          <t>Before and after query plans recorded for the ten slowest queries, with the improvement measured.</t>
        </is>
      </c>
      <c r="J150" s="6" t="n">
        <v>12</v>
      </c>
      <c r="K150" s="4" t="inlineStr">
        <is>
          <t>Not Started</t>
        </is>
      </c>
    </row>
    <row r="151" ht="96" customHeight="1">
      <c r="A151" s="2" t="inlineStr">
        <is>
          <t>T-150</t>
        </is>
      </c>
      <c r="B151" s="10" t="inlineStr">
        <is>
          <t>M3</t>
        </is>
      </c>
      <c r="C151" s="4" t="inlineStr">
        <is>
          <t>M3-P1</t>
        </is>
      </c>
      <c r="D151" s="4" t="inlineStr">
        <is>
          <t>Pool weights, scan amplification and model-serving memory</t>
        </is>
      </c>
      <c r="E151" s="4" t="inlineStr">
        <is>
          <t>Infrastructure</t>
        </is>
      </c>
      <c r="F151" s="4" t="inlineStr">
        <is>
          <t>Performance</t>
        </is>
      </c>
      <c r="G151" s="8" t="inlineStr">
        <is>
          <t>Very Important</t>
        </is>
      </c>
      <c r="H151" s="4" t="inlineStr">
        <is>
          <t>Tune the concurrency and memory model to the site's measured load.</t>
        </is>
      </c>
      <c r="I151" s="4" t="inlineStr">
        <is>
          <t>Scan Amplification stays within baseline under real load. No job class starves another.</t>
        </is>
      </c>
      <c r="J151" s="6" t="n">
        <v>12</v>
      </c>
      <c r="K151" s="4" t="inlineStr">
        <is>
          <t>Not Started</t>
        </is>
      </c>
    </row>
    <row r="152" ht="96" customHeight="1">
      <c r="A152" s="2" t="inlineStr">
        <is>
          <t>T-151</t>
        </is>
      </c>
      <c r="B152" s="10" t="inlineStr">
        <is>
          <t>M3</t>
        </is>
      </c>
      <c r="C152" s="4" t="inlineStr">
        <is>
          <t>M3-P1</t>
        </is>
      </c>
      <c r="D152" s="4" t="inlineStr">
        <is>
          <t>Customer definitions built through the product</t>
        </is>
      </c>
      <c r="E152" s="4" t="inlineStr">
        <is>
          <t>Frontend</t>
        </is>
      </c>
      <c r="F152" s="4" t="inlineStr">
        <is>
          <t>Authoring</t>
        </is>
      </c>
      <c r="G152" s="8" t="inlineStr">
        <is>
          <t>Very Important</t>
        </is>
      </c>
      <c r="H152" s="4" t="inlineStr">
        <is>
          <t>Build and validate the customer's real pages, relationships, measures, analyses, models and log rules using the product's own authoring surfaces.</t>
        </is>
      </c>
      <c r="I152" s="4" t="inlineStr">
        <is>
          <t>Every customer artifact exists as a definition in the store, created through the interface, with no manual database insert.</t>
        </is>
      </c>
      <c r="J152" s="6" t="n">
        <v>12</v>
      </c>
      <c r="K152" s="4" t="inlineStr">
        <is>
          <t>Not Started</t>
        </is>
      </c>
    </row>
    <row r="153" ht="96" customHeight="1">
      <c r="A153" s="2" t="inlineStr">
        <is>
          <t>T-152</t>
        </is>
      </c>
      <c r="B153" s="10" t="inlineStr">
        <is>
          <t>M3</t>
        </is>
      </c>
      <c r="C153" s="4" t="inlineStr">
        <is>
          <t>M3-P1</t>
        </is>
      </c>
      <c r="D153" s="4" t="inlineStr">
        <is>
          <t>Practice and prediction calibration</t>
        </is>
      </c>
      <c r="E153" s="4" t="inlineStr">
        <is>
          <t>AI+ML</t>
        </is>
      </c>
      <c r="F153" s="4" t="inlineStr">
        <is>
          <t>Calibration</t>
        </is>
      </c>
      <c r="G153" s="8" t="inlineStr">
        <is>
          <t>Very Important</t>
        </is>
      </c>
      <c r="H153" s="4" t="inlineStr">
        <is>
          <t>Longer data window, retrain and validate under governance, tune thresholds, measure deadline health.</t>
        </is>
      </c>
      <c r="I153" s="4" t="inlineStr">
        <is>
          <t>A governed retraining record exists for each model, with the drift test that gated its release.</t>
        </is>
      </c>
      <c r="J153" s="6" t="n">
        <v>12</v>
      </c>
      <c r="K153" s="4" t="inlineStr">
        <is>
          <t>Not Started</t>
        </is>
      </c>
    </row>
    <row r="154" ht="96" customHeight="1">
      <c r="A154" s="2" t="inlineStr">
        <is>
          <t>T-153</t>
        </is>
      </c>
      <c r="B154" s="10" t="inlineStr">
        <is>
          <t>M3</t>
        </is>
      </c>
      <c r="C154" s="4" t="inlineStr">
        <is>
          <t>M3-P1</t>
        </is>
      </c>
      <c r="D154" s="4" t="inlineStr">
        <is>
          <t>Remediation validation against real process constraints</t>
        </is>
      </c>
      <c r="E154" s="4" t="inlineStr">
        <is>
          <t>AI+ML</t>
        </is>
      </c>
      <c r="F154" s="4" t="inlineStr">
        <is>
          <t>Remediation</t>
        </is>
      </c>
      <c r="G154" s="8" t="inlineStr">
        <is>
          <t>Very Important</t>
        </is>
      </c>
      <c r="H154" s="4" t="inlineStr">
        <is>
          <t>Validate actionability rules against the customer's real process constraints. The human approval boundary stays intact.</t>
        </is>
      </c>
      <c r="I154" s="4" t="inlineStr">
        <is>
          <t>Each of the nine checks validated against a real constraint. No path permits automatic plant control.</t>
        </is>
      </c>
      <c r="J154" s="6" t="n">
        <v>12</v>
      </c>
      <c r="K154" s="4" t="inlineStr">
        <is>
          <t>Not Started</t>
        </is>
      </c>
    </row>
    <row r="155" ht="96" customHeight="1">
      <c r="A155" s="2" t="inlineStr">
        <is>
          <t>T-154</t>
        </is>
      </c>
      <c r="B155" s="10" t="inlineStr">
        <is>
          <t>M3</t>
        </is>
      </c>
      <c r="C155" s="4" t="inlineStr">
        <is>
          <t>M3-P2</t>
        </is>
      </c>
      <c r="D155" s="4" t="inlineStr">
        <is>
          <t>C1 to C4 capacity certification</t>
        </is>
      </c>
      <c r="E155" s="4" t="inlineStr">
        <is>
          <t>Infrastructure</t>
        </is>
      </c>
      <c r="F155" s="4" t="inlineStr">
        <is>
          <t>Certification</t>
        </is>
      </c>
      <c r="G155" s="5" t="inlineStr">
        <is>
          <t>Critical</t>
        </is>
      </c>
      <c r="H155" s="4" t="inlineStr">
        <is>
          <t>Run the four capacity profiles and site benchmarks, and replace the ten REFERENCE_ASSUMPTION constants in the Chapter 6 sizing model with measured values.</t>
        </is>
      </c>
      <c r="I155" s="4" t="inlineStr">
        <is>
          <t>Every worked example in Chapter 6 6.1.9.6 recomputes correctly from measured constants. Chapter 6 is then frozen.</t>
        </is>
      </c>
      <c r="J155" s="6" t="n">
        <v>12</v>
      </c>
      <c r="K155" s="4" t="inlineStr">
        <is>
          <t>Not Started</t>
        </is>
      </c>
    </row>
    <row r="156" ht="96" customHeight="1">
      <c r="A156" s="2" t="inlineStr">
        <is>
          <t>T-155</t>
        </is>
      </c>
      <c r="B156" s="10" t="inlineStr">
        <is>
          <t>M3</t>
        </is>
      </c>
      <c r="C156" s="4" t="inlineStr">
        <is>
          <t>M3-P2</t>
        </is>
      </c>
      <c r="D156" s="4" t="inlineStr">
        <is>
          <t>HA, DR and restore rehearsal</t>
        </is>
      </c>
      <c r="E156" s="4" t="inlineStr">
        <is>
          <t>Infrastructure</t>
        </is>
      </c>
      <c r="F156" s="4" t="inlineStr">
        <is>
          <t>Resilience</t>
        </is>
      </c>
      <c r="G156" s="5" t="inlineStr">
        <is>
          <t>Critical</t>
        </is>
      </c>
      <c r="H156" s="4" t="inlineStr">
        <is>
          <t>Production topology, RPO and RTO objectives, and a real disaster-recovery rehearsal.</t>
        </is>
      </c>
      <c r="I156" s="4" t="inlineStr">
        <is>
          <t>A full recovery rehearsal completes within the stated RPO and RTO, witnessed and recorded.</t>
        </is>
      </c>
      <c r="J156" s="6" t="n">
        <v>12</v>
      </c>
      <c r="K156" s="4" t="inlineStr">
        <is>
          <t>Not Started</t>
        </is>
      </c>
    </row>
    <row r="157" ht="96" customHeight="1">
      <c r="A157" s="2" t="inlineStr">
        <is>
          <t>T-156</t>
        </is>
      </c>
      <c r="B157" s="10" t="inlineStr">
        <is>
          <t>M3</t>
        </is>
      </c>
      <c r="C157" s="4" t="inlineStr">
        <is>
          <t>M3-P2</t>
        </is>
      </c>
      <c r="D157" s="4" t="inlineStr">
        <is>
          <t>SSO and identity integration</t>
        </is>
      </c>
      <c r="E157" s="4" t="inlineStr">
        <is>
          <t>Backend</t>
        </is>
      </c>
      <c r="F157" s="4" t="inlineStr">
        <is>
          <t>Security</t>
        </is>
      </c>
      <c r="G157" s="8" t="inlineStr">
        <is>
          <t>Very Important</t>
        </is>
      </c>
      <c r="H157" s="4" t="inlineStr">
        <is>
          <t>Integrate the customer identity provider with the final role catalogue, account lifecycle and emergency access.</t>
        </is>
      </c>
      <c r="I157" s="4" t="inlineStr">
        <is>
          <t>Account provisioning, de-provisioning and emergency access all tested against the customer directory.</t>
        </is>
      </c>
      <c r="J157" s="6" t="n">
        <v>12</v>
      </c>
      <c r="K157" s="4" t="inlineStr">
        <is>
          <t>Not Started</t>
        </is>
      </c>
    </row>
    <row r="158" ht="96" customHeight="1">
      <c r="A158" s="2" t="inlineStr">
        <is>
          <t>T-157</t>
        </is>
      </c>
      <c r="B158" s="10" t="inlineStr">
        <is>
          <t>M3</t>
        </is>
      </c>
      <c r="C158" s="4" t="inlineStr">
        <is>
          <t>M3-P2</t>
        </is>
      </c>
      <c r="D158" s="4" t="inlineStr">
        <is>
          <t>Site security hardening and sign-off</t>
        </is>
      </c>
      <c r="E158" s="4" t="inlineStr">
        <is>
          <t>Infrastructure</t>
        </is>
      </c>
      <c r="F158" s="4" t="inlineStr">
        <is>
          <t>Security</t>
        </is>
      </c>
      <c r="G158" s="5" t="inlineStr">
        <is>
          <t>Critical</t>
        </is>
      </c>
      <c r="H158" s="4" t="inlineStr">
        <is>
          <t>Network rules, secrets, certificate rotation, RLS and tenant proof, audit review.</t>
        </is>
      </c>
      <c r="I158" s="4" t="inlineStr">
        <is>
          <t>A tenant-isolation proof from the database alone, plus a signed security review.</t>
        </is>
      </c>
      <c r="J158" s="6" t="n">
        <v>12</v>
      </c>
      <c r="K158" s="4" t="inlineStr">
        <is>
          <t>Not Started</t>
        </is>
      </c>
    </row>
    <row r="159" ht="96" customHeight="1">
      <c r="A159" s="2" t="inlineStr">
        <is>
          <t>T-158</t>
        </is>
      </c>
      <c r="B159" s="10" t="inlineStr">
        <is>
          <t>M3</t>
        </is>
      </c>
      <c r="C159" s="4" t="inlineStr">
        <is>
          <t>M3-P2</t>
        </is>
      </c>
      <c r="D159" s="4" t="inlineStr">
        <is>
          <t>Monitoring, SLOs and support escalation</t>
        </is>
      </c>
      <c r="E159" s="4" t="inlineStr">
        <is>
          <t>Infrastructure</t>
        </is>
      </c>
      <c r="F159" s="4" t="inlineStr">
        <is>
          <t>Monitoring</t>
        </is>
      </c>
      <c r="G159" s="8" t="inlineStr">
        <is>
          <t>Very Important</t>
        </is>
      </c>
      <c r="H159" s="4" t="inlineStr">
        <is>
          <t>Operational dashboards, alerts, queue and latency and backup and certificate health, and the escalation path.</t>
        </is>
      </c>
      <c r="I159" s="4" t="inlineStr">
        <is>
          <t>Each SLO has a measured baseline and an alert that fires before it is breached.</t>
        </is>
      </c>
      <c r="J159" s="6" t="n">
        <v>12</v>
      </c>
      <c r="K159" s="4" t="inlineStr">
        <is>
          <t>Not Started</t>
        </is>
      </c>
    </row>
    <row r="160" ht="96" customHeight="1">
      <c r="A160" s="2" t="inlineStr">
        <is>
          <t>T-159</t>
        </is>
      </c>
      <c r="B160" s="10" t="inlineStr">
        <is>
          <t>M3</t>
        </is>
      </c>
      <c r="C160" s="4" t="inlineStr">
        <is>
          <t>M3-P2</t>
        </is>
      </c>
      <c r="D160" s="4" t="inlineStr">
        <is>
          <t>The Value Engine</t>
        </is>
      </c>
      <c r="E160" s="4" t="inlineStr">
        <is>
          <t>Backend</t>
        </is>
      </c>
      <c r="F160" s="4" t="inlineStr">
        <is>
          <t>Value</t>
        </is>
      </c>
      <c r="G160" s="5" t="inlineStr">
        <is>
          <t>Critical</t>
        </is>
      </c>
      <c r="H160" s="4" t="inlineStr">
        <is>
          <t>Build value_impacts, cost_assumptions, the value realisation ledger and the D7 Value Dashboard, honouring the two-downtime-quantity rule. This is the only work that moves the economic buyer, and the pilot supplies the real numbers it needs.</t>
        </is>
      </c>
      <c r="I160" s="4" t="inlineStr">
        <is>
          <t>A euro figure is only ever shown as a bounded range with its assumptions visible and its evidence resolvable. No number without evidence.</t>
        </is>
      </c>
      <c r="J160" s="6" t="n">
        <v>12</v>
      </c>
      <c r="K160" s="4" t="inlineStr">
        <is>
          <t>Not Started</t>
        </is>
      </c>
    </row>
    <row r="161" ht="96" customHeight="1">
      <c r="A161" s="2" t="inlineStr">
        <is>
          <t>T-160</t>
        </is>
      </c>
      <c r="B161" s="10" t="inlineStr">
        <is>
          <t>M3</t>
        </is>
      </c>
      <c r="C161" s="4" t="inlineStr">
        <is>
          <t>M3-P2</t>
        </is>
      </c>
      <c r="D161" s="4" t="inlineStr">
        <is>
          <t>Commercial capacity finalisation and the sales calculator</t>
        </is>
      </c>
      <c r="E161" s="4" t="inlineStr">
        <is>
          <t>Backend</t>
        </is>
      </c>
      <c r="F161" s="4" t="inlineStr">
        <is>
          <t>Commercial</t>
        </is>
      </c>
      <c r="G161" s="8" t="inlineStr">
        <is>
          <t>Very Important</t>
        </is>
      </c>
      <c r="H161" s="4" t="inlineStr">
        <is>
          <t>Validate the real user, page, job, DB-link and data bands against measured infrastructure, and build the Sales Administration and capacity calculator from Chapter 6 6.3.8.</t>
        </is>
      </c>
      <c r="I161" s="4" t="inlineStr">
        <is>
          <t>A quote produced by the calculator matches the measured server class for the same inputs.</t>
        </is>
      </c>
      <c r="J161" s="6" t="n">
        <v>12</v>
      </c>
      <c r="K161" s="4" t="inlineStr">
        <is>
          <t>Not Started</t>
        </is>
      </c>
    </row>
    <row r="162" ht="96" customHeight="1">
      <c r="A162" s="2" t="inlineStr">
        <is>
          <t>T-161</t>
        </is>
      </c>
      <c r="B162" s="10" t="inlineStr">
        <is>
          <t>M3</t>
        </is>
      </c>
      <c r="C162" s="4" t="inlineStr">
        <is>
          <t>M3-P2</t>
        </is>
      </c>
      <c r="D162" s="4" t="inlineStr">
        <is>
          <t>Five-product website production completion</t>
        </is>
      </c>
      <c r="E162" s="4" t="inlineStr">
        <is>
          <t>Website</t>
        </is>
      </c>
      <c r="F162" s="4" t="inlineStr">
        <is>
          <t>Public site</t>
        </is>
      </c>
      <c r="G162" s="7" t="inlineStr">
        <is>
          <t>Important</t>
        </is>
      </c>
      <c r="H162" s="4" t="inlineStr">
        <is>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is>
      </c>
      <c r="I162" s="4" t="inlineStr">
        <is>
          <t>Each of the five products has a complete page under the Golden Rule product-page contract. Every claim passes the Chapter 6 6.2.10 honesty rule and the certification is recorded. Lead flow tested end to end on each page.</t>
        </is>
      </c>
      <c r="J162" s="6" t="n">
        <v>12</v>
      </c>
      <c r="K162" s="4" t="inlineStr">
        <is>
          <t>Not Started</t>
        </is>
      </c>
    </row>
    <row r="163" ht="96" customHeight="1">
      <c r="A163" s="2" t="inlineStr">
        <is>
          <t>T-162</t>
        </is>
      </c>
      <c r="B163" s="10" t="inlineStr">
        <is>
          <t>M3</t>
        </is>
      </c>
      <c r="C163" s="4" t="inlineStr">
        <is>
          <t>M3-P2</t>
        </is>
      </c>
      <c r="D163" s="4" t="inlineStr">
        <is>
          <t>Documentation, training and production acceptance</t>
        </is>
      </c>
      <c r="E163" s="4" t="inlineStr">
        <is>
          <t>Documentation</t>
        </is>
      </c>
      <c r="F163" s="4" t="inlineStr">
        <is>
          <t>Handover</t>
        </is>
      </c>
      <c r="G163" s="5" t="inlineStr">
        <is>
          <t>Critical</t>
        </is>
      </c>
      <c r="H163" s="4" t="inlineStr">
        <is>
          <t>Runbook, operator and data-engineer and administrator guides, release notes, known limitations, rollback plan and the formal acceptance suite.</t>
        </is>
      </c>
      <c r="I163" s="4" t="inlineStr">
        <is>
          <t>The acceptance suite passes and is signed. Known limitations are written down before the customer finds them.</t>
        </is>
      </c>
      <c r="J163" s="6" t="n">
        <v>12</v>
      </c>
      <c r="K163" s="4" t="inlineStr">
        <is>
          <t>Not Started</t>
        </is>
      </c>
    </row>
  </sheetData>
  <autoFilter ref="A1:K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6" customWidth="1" min="3" max="3"/>
    <col width="80" customWidth="1" min="4" max="4"/>
    <col width="8" customWidth="1" min="5" max="5"/>
    <col width="9" customWidth="1" min="6" max="6"/>
  </cols>
  <sheetData>
    <row r="1">
      <c r="A1" s="11" t="inlineStr">
        <is>
          <t>Phase Id</t>
        </is>
      </c>
      <c r="B1" s="11" t="inlineStr">
        <is>
          <t>Milestone</t>
        </is>
      </c>
      <c r="C1" s="11" t="inlineStr">
        <is>
          <t>Phase Title</t>
        </is>
      </c>
      <c r="D1" s="11" t="inlineStr">
        <is>
          <t>Intent</t>
        </is>
      </c>
      <c r="E1" s="11" t="inlineStr">
        <is>
          <t>Tasks</t>
        </is>
      </c>
      <c r="F1" s="11" t="inlineStr">
        <is>
          <t>Hours</t>
        </is>
      </c>
    </row>
    <row r="2" ht="60" customHeight="1">
      <c r="A2" s="4" t="inlineStr">
        <is>
          <t>M1-P1</t>
        </is>
      </c>
      <c r="B2" s="12" t="inlineStr">
        <is>
          <t>M1</t>
        </is>
      </c>
      <c r="C2" s="4" t="inlineStr">
        <is>
          <t>Presentation Truth and Dataset Foundation</t>
        </is>
      </c>
      <c r="D2" s="4" t="inlineStr">
        <is>
          <t>Establish what will be shown, prove the environment rebuilds from source control, and plant the analytical phenomena the whole demonstration feeds on. Blocks M1-P3 and M1-P5.</t>
        </is>
      </c>
      <c r="E2" s="4">
        <f>COUNTIF(Backlog!C:C,A2)</f>
        <v/>
      </c>
      <c r="F2" s="4">
        <f>SUMIF(Backlog!C:C,A2,Backlog!J:J)</f>
        <v/>
      </c>
    </row>
    <row r="3" ht="60" customHeight="1">
      <c r="A3" s="4" t="inlineStr">
        <is>
          <t>M1-P1b</t>
        </is>
      </c>
      <c r="B3" s="12" t="inlineStr">
        <is>
          <t>M1</t>
        </is>
      </c>
      <c r="C3" s="4" t="inlineStr">
        <is>
          <t>Presentation Fleet v2 - reconcile, extend, regenerate, prove</t>
        </is>
      </c>
      <c r="D3" s="4" t="inlineStr">
        <is>
          <t>Reconcile what the emulation actually contains against what the 36 charts require, extend the existing generator rather than replacing it, regenerate through the full product path, and only then re-measure and close the reopened matrix.</t>
        </is>
      </c>
      <c r="E3" s="4">
        <f>COUNTIF(Backlog!C:C,A3)</f>
        <v/>
      </c>
      <c r="F3" s="4">
        <f>SUMIF(Backlog!C:C,A3,Backlog!J:J)</f>
        <v/>
      </c>
    </row>
    <row r="4" ht="60" customHeight="1">
      <c r="A4" s="4" t="inlineStr">
        <is>
          <t>M1-P2</t>
        </is>
      </c>
      <c r="B4" s="12" t="inlineStr">
        <is>
          <t>M1</t>
        </is>
      </c>
      <c r="C4" s="4" t="inlineStr">
        <is>
          <t>No-Code Authoring Shell - wiring, SQL and widget authoring</t>
        </is>
      </c>
      <c r="D4" s="4" t="inlineStr">
        <is>
          <t>Presentation beat 1 and half of beat 2. The one shell serving five purposes, in both modes, producing one governed definition. Visible contract is final; persistence behind it may be adapted.</t>
        </is>
      </c>
      <c r="E4" s="4">
        <f>COUNTIF(Backlog!C:C,A4)</f>
        <v/>
      </c>
      <c r="F4" s="4">
        <f>SUMIF(Backlog!C:C,A4,Backlog!J:J)</f>
        <v/>
      </c>
    </row>
    <row r="5" ht="60" customHeight="1">
      <c r="A5" s="4" t="inlineStr">
        <is>
          <t>M1-P3</t>
        </is>
      </c>
      <c r="B5" s="12" t="inlineStr">
        <is>
          <t>M1</t>
        </is>
      </c>
      <c r="C5" s="4" t="inlineStr">
        <is>
          <t>BI Workspace and the Seven Showcase Pages</t>
        </is>
      </c>
      <c r="D5" s="4" t="inlineStr">
        <is>
          <t>Presentation beat 2. Seven dashboards are already seeded; this phase is certification, differentiation and interaction quality, not construction.</t>
        </is>
      </c>
      <c r="E5" s="4">
        <f>COUNTIF(Backlog!C:C,A5)</f>
        <v/>
      </c>
      <c r="F5" s="4">
        <f>SUMIF(Backlog!C:C,A5,Backlog!J:J)</f>
        <v/>
      </c>
    </row>
    <row r="6" ht="60" customHeight="1">
      <c r="A6" s="4" t="inlineStr">
        <is>
          <t>M1-P4</t>
        </is>
      </c>
      <c r="B6" s="12" t="inlineStr">
        <is>
          <t>M1</t>
        </is>
      </c>
      <c r="C6" s="4" t="inlineStr">
        <is>
          <t>Journey J4 to J15 and the Engine Slice</t>
        </is>
      </c>
      <c r="D6" s="4" t="inlineStr">
        <is>
          <t>Presentation beats 3 and 4. RENAMED IN v2.2: the website tasks live in M1-P5, so this phase no longer carries beat 6. Every visible transition credible with no dead end. J1 to J3 are commissioning per Chapter 5 and are narrated, not demonstrated.</t>
        </is>
      </c>
      <c r="E6" s="4">
        <f>COUNTIF(Backlog!C:C,A6)</f>
        <v/>
      </c>
      <c r="F6" s="4">
        <f>SUMIF(Backlog!C:C,A6,Backlog!J:J)</f>
        <v/>
      </c>
    </row>
    <row r="7" ht="60" customHeight="1">
      <c r="A7" s="4" t="inlineStr">
        <is>
          <t>M1-P5</t>
        </is>
      </c>
      <c r="B7" s="12" t="inlineStr">
        <is>
          <t>M1</t>
        </is>
      </c>
      <c r="C7" s="4" t="inlineStr">
        <is>
          <t>Assistant Dock and Presentation Certification</t>
        </is>
      </c>
      <c r="D7" s="4" t="inlineStr">
        <is>
          <t>Presentation beat 5 plus the certification gate. Deliberately smaller than the other phases because it runs in the last week and must absorb slippage from M1-P1 and M1-P3.</t>
        </is>
      </c>
      <c r="E7" s="4">
        <f>COUNTIF(Backlog!C:C,A7)</f>
        <v/>
      </c>
      <c r="F7" s="4">
        <f>SUMIF(Backlog!C:C,A7,Backlog!J:J)</f>
        <v/>
      </c>
    </row>
    <row r="8" ht="60" customHeight="1">
      <c r="A8" s="4" t="inlineStr">
        <is>
          <t>M2a-P1</t>
        </is>
      </c>
      <c r="B8" s="13" t="inlineStr">
        <is>
          <t>M2a</t>
        </is>
      </c>
      <c r="C8" s="4" t="inlineStr">
        <is>
          <t>Canonical Schema Authority and the Unified Definition Store</t>
        </is>
      </c>
      <c r="D8" s="4" t="inlineStr">
        <is>
          <t>Replace the M1 compatibility adapter with the real definition store and move the schema to its final three-schema topology, without the customer-visible contract moving.</t>
        </is>
      </c>
      <c r="E8" s="4">
        <f>COUNTIF(Backlog!C:C,A8)</f>
        <v/>
      </c>
      <c r="F8" s="4">
        <f>SUMIF(Backlog!C:C,A8,Backlog!J:J)</f>
        <v/>
      </c>
    </row>
    <row r="9" ht="60" customHeight="1">
      <c r="A9" s="4" t="inlineStr">
        <is>
          <t>M2a-P2</t>
        </is>
      </c>
      <c r="B9" s="13" t="inlineStr">
        <is>
          <t>M2a</t>
        </is>
      </c>
      <c r="C9" s="4" t="inlineStr">
        <is>
          <t>Permanent Relationship Model and Projection Quarantine</t>
        </is>
      </c>
      <c r="D9" s="4" t="inlineStr">
        <is>
          <t>Turn the M1 single-relationship slice into the permanent product mechanism, and make customer data failures visible, typed and recoverable.</t>
        </is>
      </c>
      <c r="E9" s="4">
        <f>COUNTIF(Backlog!C:C,A9)</f>
        <v/>
      </c>
      <c r="F9" s="4">
        <f>SUMIF(Backlog!C:C,A9,Backlog!J:J)</f>
        <v/>
      </c>
    </row>
    <row r="10" ht="60" customHeight="1">
      <c r="A10" s="4" t="inlineStr">
        <is>
          <t>M2a-P3</t>
        </is>
      </c>
      <c r="B10" s="13" t="inlineStr">
        <is>
          <t>M2a</t>
        </is>
      </c>
      <c r="C10" s="4" t="inlineStr">
        <is>
          <t>Job Runtime, Delta Propagation and Security Hardening</t>
        </is>
      </c>
      <c r="D10" s="4" t="inlineStr">
        <is>
          <t>Make execution bounded and tenancy real. Chapter 4 5.3.9 proves that the answer to large data is architecture, not tighter licence limits.</t>
        </is>
      </c>
      <c r="E10" s="4">
        <f>COUNTIF(Backlog!C:C,A10)</f>
        <v/>
      </c>
      <c r="F10" s="4">
        <f>SUMIF(Backlog!C:C,A10,Backlog!J:J)</f>
        <v/>
      </c>
    </row>
    <row r="11" ht="60" customHeight="1">
      <c r="A11" s="4" t="inlineStr">
        <is>
          <t>M2a-P4</t>
        </is>
      </c>
      <c r="B11" s="13" t="inlineStr">
        <is>
          <t>M2a</t>
        </is>
      </c>
      <c r="C11" s="4" t="inlineStr">
        <is>
          <t>Commissioning, Roles, Licence and the On-Site Package</t>
        </is>
      </c>
      <c r="D11" s="4" t="inlineStr">
        <is>
          <t>Everything required to install and operate at the customer site. The visible surfaces were frozen in M1; this is the backend and the operational package behind them.</t>
        </is>
      </c>
      <c r="E11" s="4">
        <f>COUNTIF(Backlog!C:C,A11)</f>
        <v/>
      </c>
      <c r="F11" s="4">
        <f>SUMIF(Backlog!C:C,A11,Backlog!J:J)</f>
        <v/>
      </c>
    </row>
    <row r="12" ht="60" customHeight="1">
      <c r="A12" s="4" t="inlineStr">
        <is>
          <t>M2b-P1</t>
        </is>
      </c>
      <c r="B12" s="14" t="inlineStr">
        <is>
          <t>M2b</t>
        </is>
      </c>
      <c r="C12" s="4" t="inlineStr">
        <is>
          <t>Intelligence Substrate and Practice Learning</t>
        </is>
      </c>
      <c r="D12" s="4" t="inlineStr">
        <is>
          <t>Shipped as a governed update during the soft-test period. The readiness gate requires 60 independent units and 40 outcome events, so these engines must not be relied upon to become statistically ready during the initial soft-test window - a high-throughput plant can reach those thresholds quickly, and the wording matters because the absolute version was corrected once already in v2.0.</t>
        </is>
      </c>
      <c r="E12" s="4">
        <f>COUNTIF(Backlog!C:C,A12)</f>
        <v/>
      </c>
      <c r="F12" s="4">
        <f>SUMIF(Backlog!C:C,A12,Backlog!J:J)</f>
        <v/>
      </c>
    </row>
    <row r="13" ht="60" customHeight="1">
      <c r="A13" s="4" t="inlineStr">
        <is>
          <t>M2b-P2</t>
        </is>
      </c>
      <c r="B13" s="14" t="inlineStr">
        <is>
          <t>M2b</t>
        </is>
      </c>
      <c r="C13" s="4" t="inlineStr">
        <is>
          <t>Prediction, Remediation, Engine Consolidation and Gates</t>
        </is>
      </c>
      <c r="D13" s="4" t="inlineStr">
        <is>
          <t>The differentiating intelligence, plus the retirement of superseded engines and the completion of the test gates.</t>
        </is>
      </c>
      <c r="E13" s="4">
        <f>COUNTIF(Backlog!C:C,A13)</f>
        <v/>
      </c>
      <c r="F13" s="4">
        <f>SUMIF(Backlog!C:C,A13,Backlog!J:J)</f>
        <v/>
      </c>
    </row>
    <row r="14" ht="60" customHeight="1">
      <c r="A14" s="4" t="inlineStr">
        <is>
          <t>M3-P1</t>
        </is>
      </c>
      <c r="B14" s="15" t="inlineStr">
        <is>
          <t>M3</t>
        </is>
      </c>
      <c r="C14" s="4" t="inlineStr">
        <is>
          <t>Site Stabilisation and Real-Data Performance</t>
        </is>
      </c>
      <c r="D14" s="4" t="inlineStr">
        <is>
          <t>Reserved capacity. Half of M3 is written by the customer during the soft test; these phases exist so that work has a home and does not become unplanned scope.</t>
        </is>
      </c>
      <c r="E14" s="4">
        <f>COUNTIF(Backlog!C:C,A14)</f>
        <v/>
      </c>
      <c r="F14" s="4">
        <f>SUMIF(Backlog!C:C,A14,Backlog!J:J)</f>
        <v/>
      </c>
    </row>
    <row r="15" ht="60" customHeight="1">
      <c r="A15" s="4" t="inlineStr">
        <is>
          <t>M3-P2</t>
        </is>
      </c>
      <c r="B15" s="15" t="inlineStr">
        <is>
          <t>M3</t>
        </is>
      </c>
      <c r="C15" s="4" t="inlineStr">
        <is>
          <t>Production Certification, Enterprise Operations and Commercial Completion</t>
        </is>
      </c>
      <c r="D15" s="4" t="inlineStr">
        <is>
          <t>What the sale depends on. Chapter 6 cannot be frozen until C1 to C4 replace the reference assumptions.</t>
        </is>
      </c>
      <c r="E15" s="4">
        <f>COUNTIF(Backlog!C:C,A15)</f>
        <v/>
      </c>
      <c r="F15" s="4">
        <f>SUMIF(Backlog!C:C,A15,Backlog!J:J)</f>
        <v/>
      </c>
    </row>
    <row r="16">
      <c r="C16" s="16" t="inlineStr">
        <is>
          <t>TOTAL</t>
        </is>
      </c>
      <c r="E16" s="16">
        <f>SUM(E2:E15)</f>
        <v/>
      </c>
      <c r="F16" s="16">
        <f>SUM(F2:F15)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78" customWidth="1" min="2" max="2"/>
    <col width="9" customWidth="1" min="3" max="3"/>
    <col width="9" customWidth="1" min="4" max="4"/>
    <col width="10" customWidth="1" min="5" max="5"/>
    <col width="16" customWidth="1" min="6" max="6"/>
  </cols>
  <sheetData>
    <row r="1">
      <c r="A1" s="17" t="inlineStr">
        <is>
          <t>Milestone</t>
        </is>
      </c>
      <c r="B1" s="17" t="inlineStr">
        <is>
          <t>Definition</t>
        </is>
      </c>
      <c r="C1" s="17" t="inlineStr">
        <is>
          <t>Tasks</t>
        </is>
      </c>
      <c r="D1" s="17" t="inlineStr">
        <is>
          <t>Hours</t>
        </is>
      </c>
      <c r="E1" s="17" t="inlineStr">
        <is>
          <t>Critical</t>
        </is>
      </c>
      <c r="F1" s="17" t="inlineStr">
        <is>
          <t>Very Important</t>
        </is>
      </c>
    </row>
    <row r="2" ht="34" customHeight="1">
      <c r="A2" s="18" t="inlineStr">
        <is>
          <t>M1</t>
        </is>
      </c>
      <c r="B2" s="4" t="inlineStr">
        <is>
          <t>Customer presentation, 552 h of BASELINE SCOPE as corrected in v2.6. Freeze what the customer can see; adapt what sits behind it.</t>
        </is>
      </c>
      <c r="C2" s="4">
        <f>COUNTIF(Backlog!B:B,A2)</f>
        <v/>
      </c>
      <c r="D2" s="4">
        <f>SUMIF(Backlog!B:B,A2,Backlog!J:J)</f>
        <v/>
      </c>
      <c r="E2" s="4">
        <f>COUNTIFS(Backlog!B:B,A2,Backlog!G:G,"Critical")</f>
        <v/>
      </c>
      <c r="F2" s="4">
        <f>COUNTIFS(Backlog!B:B,A2,Backlog!G:G,"Very Important")</f>
        <v/>
      </c>
    </row>
    <row r="3" ht="34" customHeight="1">
      <c r="A3" s="19" t="inlineStr">
        <is>
          <t>M2a</t>
        </is>
      </c>
      <c r="B3" s="4" t="inlineStr">
        <is>
          <t>Deployable core, 404 h. Canonical journey and installability. Prediction and remediation surfaces present but legitimately readiness-blocked.</t>
        </is>
      </c>
      <c r="C3" s="4">
        <f>COUNTIF(Backlog!B:B,A3)</f>
        <v/>
      </c>
      <c r="D3" s="4">
        <f>SUMIF(Backlog!B:B,A3,Backlog!J:J)</f>
        <v/>
      </c>
      <c r="E3" s="4">
        <f>COUNTIFS(Backlog!B:B,A3,Backlog!G:G,"Critical")</f>
        <v/>
      </c>
      <c r="F3" s="4">
        <f>COUNTIFS(Backlog!B:B,A3,Backlog!G:G,"Very Important")</f>
        <v/>
      </c>
    </row>
    <row r="4" ht="34" customHeight="1">
      <c r="A4" s="20" t="inlineStr">
        <is>
          <t>M2b</t>
        </is>
      </c>
      <c r="B4" s="4" t="inlineStr">
        <is>
          <t>Intelligence completion, 233 h, shipped as a governed update during the soft test. Full functional J1-J15 acceptance happens here, not at M2a.</t>
        </is>
      </c>
      <c r="C4" s="4">
        <f>COUNTIF(Backlog!B:B,A4)</f>
        <v/>
      </c>
      <c r="D4" s="4">
        <f>SUMIF(Backlog!B:B,A4,Backlog!J:J)</f>
        <v/>
      </c>
      <c r="E4" s="4">
        <f>COUNTIFS(Backlog!B:B,A4,Backlog!G:G,"Critical")</f>
        <v/>
      </c>
      <c r="F4" s="4">
        <f>COUNTIFS(Backlog!B:B,A4,Backlog!G:G,"Very Important")</f>
        <v/>
      </c>
    </row>
    <row r="5" ht="34" customHeight="1">
      <c r="A5" s="21" t="inlineStr">
        <is>
          <t>M3</t>
        </is>
      </c>
      <c r="B5" s="4" t="inlineStr">
        <is>
          <t>Site stabilisation, real-data performance, certification and commercial completion.</t>
        </is>
      </c>
      <c r="C5" s="4">
        <f>COUNTIF(Backlog!B:B,A5)</f>
        <v/>
      </c>
      <c r="D5" s="4">
        <f>SUMIF(Backlog!B:B,A5,Backlog!J:J)</f>
        <v/>
      </c>
      <c r="E5" s="4">
        <f>COUNTIFS(Backlog!B:B,A5,Backlog!G:G,"Critical")</f>
        <v/>
      </c>
      <c r="F5" s="4">
        <f>COUNTIFS(Backlog!B:B,A5,Backlog!G:G,"Very Important")</f>
        <v/>
      </c>
    </row>
    <row r="6">
      <c r="B6" s="16" t="inlineStr">
        <is>
          <t>TOTAL</t>
        </is>
      </c>
      <c r="C6" s="22">
        <f>SUM(C2:C5)</f>
        <v/>
      </c>
      <c r="D6" s="22">
        <f>SUM(D2:D5)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23" t="inlineStr">
        <is>
          <t>PPIQ EXECUTABLE BACKLOG v2.6 - LEGEND</t>
        </is>
      </c>
      <c r="B1" t="inlineStr"/>
    </row>
    <row r="2">
      <c r="A2" t="inlineStr"/>
      <c r="B2" t="inlineStr"/>
    </row>
    <row r="3">
      <c r="A3" s="24" t="inlineStr">
        <is>
          <t>Edit only these columns</t>
        </is>
      </c>
      <c r="B3" s="25" t="inlineStr">
        <is>
          <t>Status (column K on the Backlog sheet). Everything else is generated from the plan.</t>
        </is>
      </c>
    </row>
    <row r="4">
      <c r="A4" s="24" t="inlineStr">
        <is>
          <t>Task Id</t>
        </is>
      </c>
      <c r="B4" s="25" t="inlineStr">
        <is>
          <t>PLANNED EXECUTION ORDER, dependency-aware. Not severity order - severity is the Priority column. Ids restart at each backlog epoch.</t>
        </is>
      </c>
    </row>
    <row r="5">
      <c r="A5" s="24" t="inlineStr">
        <is>
          <t>Milestone Id</t>
        </is>
      </c>
      <c r="B5" s="25" t="inlineStr">
        <is>
          <t>M1 presentation / M2a deployable core / M2b intelligence completion / M3 site and production.</t>
        </is>
      </c>
    </row>
    <row r="6">
      <c r="A6" s="24" t="inlineStr">
        <is>
          <t>Phase Id</t>
        </is>
      </c>
      <c r="B6" s="25" t="inlineStr">
        <is>
          <t>A group of tasks on one topic, 80 to 120 hours, no exceptions. Every phase ends pushable.</t>
        </is>
      </c>
    </row>
    <row r="7">
      <c r="A7" s="24" t="inlineStr">
        <is>
          <t>Priority</t>
        </is>
      </c>
      <c r="B7" s="25" t="inlineStr">
        <is>
          <t>Critical / Very Important / Important / Optional. This is SEVERITY, not sequence.</t>
        </is>
      </c>
    </row>
    <row r="8">
      <c r="A8" s="24" t="inlineStr">
        <is>
          <t>Hours</t>
        </is>
      </c>
      <c r="B8" s="25" t="inlineStr">
        <is>
          <t>No task exceeds 12 hours. Larger items were split.</t>
        </is>
      </c>
    </row>
    <row r="9">
      <c r="A9" s="24" t="inlineStr">
        <is>
          <t>Status values to use</t>
        </is>
      </c>
      <c r="B9" s="25" t="inlineStr">
        <is>
          <t>Not Started / In Progress / Blocked / Done. There is no Partial: a partial task is rewritten as its remainder with a fresh estimate. T-007 and T-008 were delivered and then invalidated by runtime measurement; they are REOPENED and carry Not Started, which is the no-Partial rule applied honestly rather than a claim that no work was done.</t>
        </is>
      </c>
    </row>
    <row r="10">
      <c r="A10" s="24" t="inlineStr">
        <is>
          <t>Definition of Done</t>
        </is>
      </c>
      <c r="B10" s="25" t="inlineStr">
        <is>
          <t>The Validation column passes in a browser or against a running system. Compiling is not done. Gates passing is not done.</t>
        </is>
      </c>
    </row>
    <row r="11">
      <c r="A11" s="24" t="inlineStr"/>
      <c r="B11" s="25" t="inlineStr"/>
    </row>
    <row r="12">
      <c r="A12" s="24" t="inlineStr">
        <is>
          <t>Governing law</t>
        </is>
      </c>
      <c r="B12" s="25" t="inlineStr">
        <is>
          <t>Temporary data is allowed. Temporary internal implementation is sometimes allowed. Temporary product identity, UX, workflow or behaviour is never allowed.</t>
        </is>
      </c>
    </row>
    <row r="13">
      <c r="A13" s="24" t="inlineStr">
        <is>
          <t>M1 visible contract</t>
        </is>
      </c>
      <c r="B13" s="25" t="inlineStr">
        <is>
          <t>UI appearance, UX flow, routes, terminology, control behaviour and placement, and visible state and refusal semantics are final in M1.</t>
        </is>
      </c>
    </row>
    <row r="14">
      <c r="A14" s="24" t="inlineStr">
        <is>
          <t>M1 hidden implementation</t>
        </is>
      </c>
      <c r="B14" s="25" t="inlineStr">
        <is>
          <t>May be a compatibility adapter, temporary schema, or partial algorithm, but only if replacing it later changes nothing the customer can see.</t>
        </is>
      </c>
    </row>
    <row r="15">
      <c r="A15" s="24" t="inlineStr">
        <is>
          <t>Never allowed</t>
        </is>
      </c>
      <c r="B15" s="25" t="inlineStr">
        <is>
          <t>A fake hardcoded product answer, at any milestone.</t>
        </is>
      </c>
    </row>
    <row r="16">
      <c r="A16" s="24" t="inlineStr"/>
      <c r="B16" s="25" t="inlineStr"/>
    </row>
    <row r="17">
      <c r="A17" s="24" t="inlineStr">
        <is>
          <t>Example row</t>
        </is>
      </c>
      <c r="B17" s="25" t="inlineStr">
        <is>
          <t>T-001 / M1 / M1-P1 / Build the six-beat Design Traceability Matrix / Documentation / Design contract / Critical / 8 h / Not Started</t>
        </is>
      </c>
    </row>
    <row r="18">
      <c r="A18" s="24" t="inlineStr">
        <is>
          <t>Source</t>
        </is>
      </c>
      <c r="B18" s="25" t="inlineStr">
        <is>
          <t>Estimates by Claude against Master Design Chapters 1 to 6 and the UltimateAudit_29Jul2026_233112 repository package. All hours are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2026-08-03T05:56:36Z</dcterms:created>
  <dcterms:modified xmlns:dcterms="http://purl.org/dc/terms/" xmlns:xsi="http://www.w3.org/2001/XMLSchema-instance" xsi:type="dcterms:W3CDTF">2026-08-03T05:56:36Z</dcterms:modified>
</cp:coreProperties>
</file>