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6116B57B-7D37-481D-81EE-F2E6EB54490F}"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I6" i="2"/>
  <c r="I4" i="2"/>
  <c r="F2" i="2"/>
  <c r="F5" i="3"/>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E2" i="2"/>
  <c r="C6" i="3" l="1"/>
  <c r="D6" i="3"/>
  <c r="E16" i="2"/>
  <c r="F16" i="2"/>
</calcChain>
</file>

<file path=xl/sharedStrings.xml><?xml version="1.0" encoding="utf-8"?>
<sst xmlns="http://schemas.openxmlformats.org/spreadsheetml/2006/main" count="1792" uniqueCount="834">
  <si>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</si>
  <si>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</si>
  <si>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</si>
  <si>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</si>
  <si>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</si>
  <si>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</si>
  <si>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</si>
  <si>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</si>
  <si>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</si>
  <si>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</si>
  <si>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</si>
  <si>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</si>
  <si>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</si>
  <si>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</si>
  <si>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</si>
  <si>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</si>
  <si>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</si>
  <si>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</si>
  <si>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</si>
  <si>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</si>
  <si>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</si>
  <si>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</si>
  <si>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</si>
  <si>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</si>
  <si>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</si>
  <si>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</si>
  <si>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</si>
  <si>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</si>
  <si>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</si>
  <si>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</si>
  <si>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</si>
  <si>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</si>
  <si>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</si>
  <si>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</si>
  <si>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</si>
  <si>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</si>
  <si>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</si>
  <si>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</si>
  <si>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</si>
  <si>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</si>
  <si>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</si>
  <si>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</si>
  <si>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</si>
  <si>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</si>
  <si>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</si>
  <si>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</si>
  <si>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</si>
  <si>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</si>
  <si>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</si>
  <si>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</si>
  <si>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</si>
  <si>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</si>
  <si>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</si>
  <si>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</si>
  <si>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</si>
  <si>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</si>
  <si>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</si>
  <si>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</si>
  <si>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</si>
  <si>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</si>
  <si>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</si>
  <si>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</si>
  <si>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</si>
  <si>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</si>
  <si>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</si>
  <si>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</si>
  <si>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</si>
  <si>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</si>
  <si>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</si>
  <si>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</si>
  <si>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</si>
  <si>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</si>
  <si>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</si>
  <si>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</si>
  <si>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</si>
  <si>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</si>
  <si>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</si>
  <si>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</si>
  <si>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</si>
  <si>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</si>
  <si>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</si>
  <si>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</si>
  <si>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</si>
  <si>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</si>
  <si>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</si>
  <si>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</si>
  <si>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</si>
  <si>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</si>
  <si>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</si>
  <si>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</si>
  <si>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</si>
  <si>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</si>
  <si>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</si>
  <si>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</si>
  <si>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</si>
  <si>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</si>
  <si>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</si>
  <si>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</si>
  <si>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</si>
  <si>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</si>
  <si>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</si>
  <si>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</si>
  <si>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</si>
  <si>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</si>
  <si>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</si>
  <si>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</si>
  <si>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</si>
  <si>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</si>
  <si>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</si>
  <si>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</si>
  <si>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</si>
  <si>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</si>
  <si>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</si>
  <si>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</si>
  <si>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</si>
  <si>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</si>
  <si>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</si>
  <si>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</si>
  <si>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</si>
  <si>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</si>
  <si>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</si>
  <si>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</si>
  <si>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</si>
  <si>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</si>
  <si>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</si>
  <si>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</si>
  <si>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</si>
  <si>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</si>
  <si>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</si>
  <si>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</si>
  <si>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</si>
  <si>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</si>
  <si>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</si>
  <si>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</si>
  <si>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</si>
  <si>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</si>
  <si>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</si>
  <si>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</si>
  <si>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</si>
  <si>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</si>
  <si>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</si>
  <si>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</si>
  <si>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</si>
  <si>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</si>
  <si>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</si>
  <si>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</si>
  <si>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</si>
  <si>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</si>
  <si>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</si>
  <si>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</si>
  <si>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</si>
  <si>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</si>
  <si>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</si>
  <si>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</si>
  <si>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</si>
  <si>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</si>
  <si>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</si>
  <si>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</si>
  <si>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</si>
  <si>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</si>
  <si>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</si>
  <si>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</si>
  <si>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</si>
  <si>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</si>
  <si>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</si>
  <si>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</si>
  <si>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</si>
  <si>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</si>
  <si>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</si>
  <si>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</si>
  <si>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</si>
  <si>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</si>
  <si>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</si>
  <si>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</si>
  <si>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</si>
  <si>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</si>
  <si>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</si>
  <si>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</si>
  <si>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</si>
  <si>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</si>
  <si>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</si>
  <si>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</si>
  <si>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</si>
  <si>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</si>
  <si>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</si>
  <si>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</si>
  <si>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</si>
  <si>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</si>
  <si>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</si>
  <si>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</si>
  <si>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</si>
  <si>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</si>
  <si>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</si>
  <si>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</si>
  <si>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</si>
  <si>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</si>
  <si>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</si>
  <si>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</si>
  <si>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</si>
  <si>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</si>
  <si>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</si>
  <si>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</si>
  <si>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</si>
  <si>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</si>
  <si>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</si>
  <si>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</si>
  <si>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</si>
  <si>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</si>
  <si>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</si>
  <si>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</si>
  <si>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</si>
  <si>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</si>
  <si>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</si>
  <si>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</si>
  <si>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</si>
  <si>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</si>
  <si>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</si>
  <si>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</si>
  <si>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</si>
  <si>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</si>
  <si>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</si>
  <si>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</si>
  <si>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</si>
  <si>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</si>
  <si>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</si>
  <si>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</si>
  <si>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</si>
  <si>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</si>
  <si>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</si>
  <si>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</si>
  <si>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</si>
  <si>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</si>
  <si>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</si>
  <si>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</si>
  <si>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</si>
  <si>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</si>
  <si>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</si>
  <si>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</si>
  <si>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</si>
  <si>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</si>
  <si>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</si>
  <si>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</si>
  <si>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</si>
  <si>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</si>
  <si>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</si>
  <si>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</si>
  <si>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</si>
  <si>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</si>
  <si>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</si>
  <si>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</si>
  <si>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</si>
  <si>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</si>
  <si>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</si>
  <si>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</si>
  <si>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</si>
  <si>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</si>
  <si>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</si>
  <si>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</si>
  <si>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</si>
  <si>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</si>
  <si>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</si>
  <si>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</si>
  <si>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</si>
  <si>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</si>
  <si>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</si>
  <si>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</si>
  <si>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</si>
  <si>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</si>
  <si>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</si>
  <si>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</si>
  <si>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</si>
  <si>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</si>
  <si>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</si>
  <si>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</si>
  <si>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</si>
  <si>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</si>
  <si>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</si>
  <si>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</si>
  <si>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</si>
  <si>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</si>
  <si>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</si>
  <si>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</si>
  <si>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</si>
  <si>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</si>
  <si>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</si>
  <si>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</si>
  <si>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</si>
  <si>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</si>
  <si>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</si>
  <si>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</si>
  <si>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</si>
  <si>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</si>
  <si>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</si>
  <si>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</si>
  <si>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</si>
  <si>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</si>
  <si>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</si>
  <si>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</si>
  <si>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</si>
  <si>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</si>
  <si>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</si>
  <si>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</si>
  <si>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</si>
  <si>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</si>
  <si>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</si>
  <si>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</si>
  <si>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</si>
  <si>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</si>
  <si>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</si>
  <si>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</si>
  <si>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</si>
  <si>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</si>
  <si>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</si>
  <si>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</si>
  <si>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</si>
  <si>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</si>
  <si>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</si>
  <si>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</si>
  <si>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</si>
  <si>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</si>
  <si>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</si>
  <si>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</si>
  <si>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</si>
  <si>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</si>
  <si>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</si>
  <si>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</si>
  <si>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</si>
  <si>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</si>
  <si>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</si>
  <si>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</si>
  <si>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</si>
  <si>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</si>
  <si>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</si>
  <si>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</si>
  <si>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</si>
  <si>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</si>
  <si>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</si>
  <si>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</si>
  <si>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</si>
  <si>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</si>
  <si>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</si>
  <si>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</si>
  <si>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</si>
  <si>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</si>
  <si>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</si>
  <si>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</si>
  <si>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</si>
  <si>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</si>
  <si>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</si>
  <si>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</si>
  <si>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</si>
  <si>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</si>
  <si>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</si>
  <si>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</si>
  <si>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</si>
  <si>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</si>
  <si>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</si>
  <si>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</si>
  <si>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</si>
  <si>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</si>
  <si>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</si>
  <si>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</si>
  <si>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</si>
  <si>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</si>
  <si>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</si>
  <si>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</si>
  <si>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</si>
  <si>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</si>
  <si>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</si>
  <si>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</si>
  <si>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</si>
  <si>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</si>
  <si>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</si>
  <si>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</si>
  <si>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</si>
  <si>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</si>
  <si>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</si>
  <si>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</si>
  <si>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</si>
  <si>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</si>
  <si>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</si>
  <si>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</si>
  <si>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</si>
  <si>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</si>
  <si>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</si>
  <si>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</si>
  <si>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</si>
  <si>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</si>
  <si>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</si>
  <si>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</si>
  <si>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</si>
  <si>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</si>
  <si>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</si>
  <si>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</si>
  <si>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</si>
  <si>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</si>
  <si>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</si>
  <si>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</si>
  <si>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</si>
  <si>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</si>
  <si>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</si>
  <si>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</si>
  <si>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</si>
  <si>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</si>
  <si>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</si>
  <si>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</si>
  <si>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</si>
  <si>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</si>
  <si>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</si>
  <si>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</si>
  <si>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</si>
  <si>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</si>
  <si>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</si>
  <si>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</si>
  <si>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</si>
  <si>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</si>
  <si>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</si>
  <si>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</si>
  <si>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</si>
  <si>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</si>
  <si>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</si>
  <si>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</si>
  <si>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</si>
  <si>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</si>
  <si>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</si>
  <si>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</si>
  <si>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</si>
  <si>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</si>
  <si>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</si>
  <si>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</si>
  <si>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</si>
  <si>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</si>
  <si>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</si>
  <si>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</si>
  <si>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</si>
  <si>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</si>
  <si>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</si>
  <si>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</si>
  <si>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</si>
  <si>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</si>
  <si>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</si>
  <si>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</si>
  <si>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</si>
  <si>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</si>
  <si>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</si>
  <si>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</si>
  <si>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</si>
  <si>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</si>
  <si>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</si>
  <si>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</si>
  <si>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</si>
  <si>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</si>
  <si>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</si>
  <si>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</si>
  <si>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</si>
  <si>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</si>
  <si>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</si>
  <si>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</si>
  <si>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</si>
  <si>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</si>
  <si>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</si>
  <si>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</si>
  <si>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</si>
  <si>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</si>
  <si>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</si>
  <si>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</si>
  <si>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</si>
  <si>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</si>
  <si>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</si>
  <si>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</si>
  <si>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</si>
  <si>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</si>
  <si>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</si>
  <si>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</si>
  <si>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</si>
  <si>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</si>
  <si>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</si>
  <si>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</si>
  <si>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</si>
  <si>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</si>
  <si>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</si>
  <si>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</si>
  <si>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</si>
  <si>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</si>
  <si>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</si>
  <si>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</si>
  <si>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</si>
  <si>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</si>
  <si>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</si>
  <si>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</si>
  <si>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</si>
  <si>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</si>
  <si>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</si>
  <si>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</si>
  <si>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</si>
  <si>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</si>
  <si>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</si>
  <si>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</si>
  <si>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</si>
  <si>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</si>
  <si>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</si>
  <si>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</si>
  <si>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</si>
  <si>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</si>
  <si>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</si>
  <si>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</si>
  <si>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</si>
  <si>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</si>
  <si>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</si>
  <si>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</si>
  <si>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</si>
  <si>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</si>
  <si>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</si>
  <si>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</si>
  <si>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</si>
  <si>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</si>
  <si>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</si>
  <si>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</si>
  <si>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</si>
  <si>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</si>
  <si>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</si>
  <si>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</si>
  <si>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</si>
  <si>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</si>
  <si>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</si>
  <si>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</si>
  <si>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</si>
  <si>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</si>
  <si>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</si>
  <si>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</si>
  <si>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</si>
  <si>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</si>
  <si>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</si>
  <si>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</si>
  <si>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</si>
  <si>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</si>
  <si>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</si>
  <si>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</si>
  <si>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</si>
  <si>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</si>
  <si>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</si>
  <si>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</si>
  <si>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</si>
  <si>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</si>
  <si>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</si>
  <si>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</si>
  <si>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</si>
  <si>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</si>
  <si>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</si>
  <si>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</si>
  <si>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</si>
  <si>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</si>
  <si>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</si>
  <si>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</si>
  <si>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</si>
  <si>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</si>
  <si>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</si>
  <si>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</si>
  <si>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</si>
  <si>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</si>
  <si>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</si>
  <si>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</si>
  <si>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</si>
  <si>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</si>
  <si>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</si>
  <si>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</si>
  <si>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</si>
  <si>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</si>
  <si>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</si>
  <si>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</si>
  <si>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</si>
  <si>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</si>
  <si>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</si>
  <si>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</si>
  <si>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</si>
  <si>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</si>
  <si>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</si>
  <si>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</si>
  <si>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</si>
  <si>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</si>
  <si>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</si>
  <si>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</si>
  <si>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</si>
  <si>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</si>
  <si>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</si>
  <si>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</si>
  <si>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</si>
  <si>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</si>
  <si>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</si>
  <si>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</si>
  <si>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</si>
  <si>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</si>
  <si>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</si>
  <si>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</si>
  <si>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</si>
  <si>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</si>
  <si>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</si>
  <si>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</si>
  <si>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</si>
  <si>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</si>
  <si>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</si>
  <si>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</si>
  <si>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</si>
  <si>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</si>
  <si>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</si>
  <si>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</si>
  <si>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</si>
  <si>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</si>
  <si>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</si>
  <si>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</si>
  <si>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</si>
  <si>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</si>
  <si>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</si>
  <si>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</si>
  <si>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</si>
  <si>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</si>
  <si>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</si>
  <si>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</si>
  <si>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</si>
  <si>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</si>
  <si>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</si>
  <si>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</si>
  <si>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</si>
  <si>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</si>
  <si>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</si>
  <si>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</si>
  <si>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</si>
  <si>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</si>
  <si>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</si>
  <si>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</si>
  <si>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</si>
  <si>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</si>
  <si>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</si>
  <si>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</si>
  <si>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</si>
  <si>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</si>
  <si>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</si>
  <si>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</si>
  <si>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</si>
  <si>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</si>
  <si>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</si>
  <si>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</si>
  <si>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</si>
  <si>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</si>
  <si>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</si>
  <si>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</si>
  <si>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</si>
  <si>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</si>
  <si>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</si>
  <si>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</si>
  <si>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</si>
  <si>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</si>
  <si>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</si>
  <si>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</si>
  <si>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</si>
  <si>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</si>
  <si>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</si>
  <si>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</si>
  <si>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</si>
  <si>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</si>
  <si>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</si>
  <si>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</si>
  <si>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</si>
  <si>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</si>
  <si>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</si>
  <si>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</si>
  <si>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</si>
  <si>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</si>
  <si>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</si>
  <si>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</si>
  <si>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</si>
  <si>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</si>
  <si>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</si>
  <si>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</si>
  <si>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</si>
  <si>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</si>
  <si>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</si>
  <si>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</si>
  <si>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</si>
  <si>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</si>
  <si>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</si>
  <si>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</si>
  <si>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</si>
  <si>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</si>
  <si>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</si>
  <si>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</si>
  <si>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</si>
  <si>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</si>
  <si>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</si>
  <si>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</si>
  <si>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</si>
  <si>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</si>
  <si>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</si>
  <si>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</si>
  <si>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</si>
  <si>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</si>
  <si>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</si>
  <si>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</si>
  <si>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</si>
  <si>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</si>
  <si>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</si>
  <si>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</si>
  <si>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</si>
  <si>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</si>
  <si>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</si>
  <si>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</si>
  <si>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</si>
  <si>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</si>
  <si>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</si>
  <si>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</si>
  <si>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</si>
  <si>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</si>
  <si>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</si>
  <si>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</si>
  <si>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</si>
  <si>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</si>
  <si>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</si>
  <si>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</si>
  <si>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</si>
  <si>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</si>
  <si>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</si>
  <si>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</si>
  <si>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</si>
  <si>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</si>
  <si>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</si>
  <si>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</si>
  <si>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</si>
  <si>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</si>
  <si>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</si>
  <si>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</si>
  <si>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</si>
  <si>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</si>
  <si>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</si>
  <si>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</si>
  <si>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</si>
  <si>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</si>
  <si>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</si>
  <si>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</si>
  <si>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</si>
  <si>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</si>
  <si>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</si>
  <si>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</si>
  <si>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</si>
  <si>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</si>
  <si>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</si>
  <si>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</si>
  <si>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</si>
  <si>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</si>
  <si>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</si>
  <si>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</si>
  <si>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</si>
  <si>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</si>
  <si>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</si>
  <si>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</si>
  <si>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</si>
  <si>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</si>
  <si>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</si>
  <si>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</si>
  <si>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</si>
  <si>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</si>
  <si>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</si>
  <si>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</si>
  <si>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</si>
  <si>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</si>
  <si>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</si>
  <si>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</si>
  <si>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</si>
  <si>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</si>
  <si>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</si>
  <si>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</si>
  <si>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</si>
  <si>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</si>
  <si>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</si>
  <si>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</si>
  <si>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</si>
  <si>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</si>
  <si>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</si>
  <si>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</si>
  <si>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</si>
  <si>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</si>
  <si>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</si>
  <si>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</si>
  <si>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</si>
  <si>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</si>
  <si>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</si>
  <si>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</si>
  <si>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</si>
  <si>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</si>
  <si>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</si>
  <si>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</si>
  <si>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</si>
  <si>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</si>
  <si>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</si>
  <si>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</si>
  <si>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</si>
  <si>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</si>
  <si>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</si>
  <si>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</si>
  <si>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</si>
  <si>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</si>
  <si>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</si>
  <si>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</si>
  <si>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</si>
  <si>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</si>
  <si>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</si>
  <si>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</si>
  <si>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</si>
  <si>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</si>
  <si>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</si>
  <si>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</si>
  <si>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</si>
  <si>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</si>
  <si>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</si>
  <si>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</si>
  <si>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</si>
  <si>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</si>
  <si>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</si>
  <si>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</si>
  <si>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</si>
  <si>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</si>
  <si>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</si>
  <si>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</si>
  <si>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</si>
  <si>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</si>
  <si>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</si>
  <si>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</si>
  <si>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</si>
  <si>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</si>
  <si>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</si>
  <si>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InProgress</t>
  </si>
  <si>
    <t xml:space="preserve">Total required till Presentation </t>
  </si>
  <si>
    <t xml:space="preserve">Total done </t>
  </si>
  <si>
    <t>Total remaining</t>
  </si>
  <si>
    <t>Percentage of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</si>
</sst>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8">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xf numFmtId="0" fontId="2" fillId="0" borderId="2" xfId="0" applyFont="1" applyFill="1" applyBorder="1" applyAlignment="1">
      <alignment horizontal="center" vertical="center" wrapText="1"/>
    </xf>
    <xf numFmtId="0" fontId="0" fillId="0" borderId="2" xfId="0" applyBorder="1" applyAlignment="1">
      <alignment horizontal="center" vertical="center"/>
    </xf>
    <xf numFmtId="164" fontId="0" fillId="0" borderId="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62" activePane="bottomLeft" state="frozen"/>
      <selection pane="bottomLeft" activeCell="M72" sqref="M72"/>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18" t="s">
        <v>157</v>
      </c>
      <c r="B32" s="18" t="s">
        <v>12</v>
      </c>
      <c r="C32" s="18" t="s">
        <v>153</v>
      </c>
      <c r="D32" s="18" t="s">
        <v>158</v>
      </c>
      <c r="E32" s="18" t="s">
        <v>40</v>
      </c>
      <c r="F32" s="18" t="s">
        <v>41</v>
      </c>
      <c r="G32" s="18" t="s">
        <v>17</v>
      </c>
      <c r="H32" s="23" t="s">
        <v>159</v>
      </c>
      <c r="I32" s="23" t="s">
        <v>160</v>
      </c>
      <c r="J32" s="18">
        <v>10</v>
      </c>
      <c r="K32" s="18" t="s">
        <v>829</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8" t="s">
        <v>183</v>
      </c>
      <c r="B38" s="18" t="s">
        <v>12</v>
      </c>
      <c r="C38" s="18" t="s">
        <v>153</v>
      </c>
      <c r="D38" s="18" t="s">
        <v>184</v>
      </c>
      <c r="E38" s="18" t="s">
        <v>23</v>
      </c>
      <c r="F38" s="18" t="s">
        <v>163</v>
      </c>
      <c r="G38" s="18" t="s">
        <v>35</v>
      </c>
      <c r="H38" s="23" t="s">
        <v>185</v>
      </c>
      <c r="I38" s="23" t="s">
        <v>186</v>
      </c>
      <c r="J38" s="18">
        <v>3</v>
      </c>
      <c r="K38" s="20" t="s">
        <v>20</v>
      </c>
    </row>
    <row r="39" spans="1:11" ht="45" x14ac:dyDescent="0.25">
      <c r="A39" s="18" t="s">
        <v>187</v>
      </c>
      <c r="B39" s="18" t="s">
        <v>12</v>
      </c>
      <c r="C39" s="18" t="s">
        <v>153</v>
      </c>
      <c r="D39" s="18" t="s">
        <v>188</v>
      </c>
      <c r="E39" s="18" t="s">
        <v>23</v>
      </c>
      <c r="F39" s="18" t="s">
        <v>55</v>
      </c>
      <c r="G39" s="18" t="s">
        <v>17</v>
      </c>
      <c r="H39" s="23" t="s">
        <v>189</v>
      </c>
      <c r="I39" s="23" t="s">
        <v>190</v>
      </c>
      <c r="J39" s="18">
        <v>12</v>
      </c>
      <c r="K39" s="20" t="s">
        <v>20</v>
      </c>
    </row>
    <row r="40" spans="1:11" ht="60" x14ac:dyDescent="0.25">
      <c r="A40" s="18" t="s">
        <v>191</v>
      </c>
      <c r="B40" s="18" t="s">
        <v>12</v>
      </c>
      <c r="C40" s="18" t="s">
        <v>153</v>
      </c>
      <c r="D40" s="18" t="s">
        <v>192</v>
      </c>
      <c r="E40" s="18" t="s">
        <v>60</v>
      </c>
      <c r="F40" s="18" t="s">
        <v>193</v>
      </c>
      <c r="G40" s="18" t="s">
        <v>17</v>
      </c>
      <c r="H40" s="23" t="s">
        <v>194</v>
      </c>
      <c r="I40" s="23" t="s">
        <v>195</v>
      </c>
      <c r="J40" s="18">
        <v>12</v>
      </c>
      <c r="K40" s="20" t="s">
        <v>20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8" t="s">
        <v>321</v>
      </c>
      <c r="B70" s="18" t="s">
        <v>12</v>
      </c>
      <c r="C70" s="18" t="s">
        <v>322</v>
      </c>
      <c r="D70" s="18" t="s">
        <v>323</v>
      </c>
      <c r="E70" s="18" t="s">
        <v>324</v>
      </c>
      <c r="F70" s="18" t="s">
        <v>325</v>
      </c>
      <c r="G70" s="18" t="s">
        <v>17</v>
      </c>
      <c r="H70" s="23" t="s">
        <v>326</v>
      </c>
      <c r="I70" s="23" t="s">
        <v>327</v>
      </c>
      <c r="J70" s="18">
        <v>8</v>
      </c>
      <c r="K70" s="18" t="s">
        <v>20</v>
      </c>
    </row>
    <row r="71" spans="1:11" ht="30" x14ac:dyDescent="0.25">
      <c r="A71" s="18" t="s">
        <v>328</v>
      </c>
      <c r="B71" s="18" t="s">
        <v>12</v>
      </c>
      <c r="C71" s="18" t="s">
        <v>322</v>
      </c>
      <c r="D71" s="18" t="s">
        <v>329</v>
      </c>
      <c r="E71" s="18" t="s">
        <v>324</v>
      </c>
      <c r="F71" s="18" t="s">
        <v>325</v>
      </c>
      <c r="G71" s="18" t="s">
        <v>35</v>
      </c>
      <c r="H71" s="23" t="s">
        <v>330</v>
      </c>
      <c r="I71" s="23" t="s">
        <v>331</v>
      </c>
      <c r="J71" s="18">
        <v>6</v>
      </c>
      <c r="K71" s="18" t="s">
        <v>20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workbookViewId="0">
      <pane ySplit="1" topLeftCell="A2" activePane="bottomLeft" state="frozen"/>
      <selection pane="bottomLeft" activeCell="I6" sqref="I6"/>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767</v>
      </c>
      <c r="C1" s="2" t="s">
        <v>768</v>
      </c>
      <c r="D1" s="2" t="s">
        <v>769</v>
      </c>
      <c r="E1" s="2" t="s">
        <v>770</v>
      </c>
      <c r="F1" s="2" t="s">
        <v>9</v>
      </c>
    </row>
    <row r="2" spans="1:9" ht="60" customHeight="1" x14ac:dyDescent="0.25">
      <c r="A2" s="1" t="s">
        <v>13</v>
      </c>
      <c r="B2" s="3" t="s">
        <v>12</v>
      </c>
      <c r="C2" s="1" t="s">
        <v>771</v>
      </c>
      <c r="D2" s="1" t="s">
        <v>772</v>
      </c>
      <c r="E2" s="1">
        <f>COUNTIF(Backlog!C:C,A2)</f>
        <v>12</v>
      </c>
      <c r="F2" s="1">
        <f>SUMIF(Backlog!C:C,A2,Backlog!J:J)</f>
        <v>84</v>
      </c>
    </row>
    <row r="3" spans="1:9" ht="60" customHeight="1" x14ac:dyDescent="0.25">
      <c r="A3" s="1" t="s">
        <v>81</v>
      </c>
      <c r="B3" s="3" t="s">
        <v>12</v>
      </c>
      <c r="C3" s="1" t="s">
        <v>773</v>
      </c>
      <c r="D3" s="1" t="s">
        <v>774</v>
      </c>
      <c r="E3" s="1">
        <f>COUNTIF(Backlog!C:C,A3)</f>
        <v>17</v>
      </c>
      <c r="F3" s="1">
        <f>SUMIF(Backlog!C:C,A3,Backlog!J:J)</f>
        <v>114</v>
      </c>
    </row>
    <row r="4" spans="1:9" ht="60" customHeight="1" x14ac:dyDescent="0.25">
      <c r="A4" s="1" t="s">
        <v>153</v>
      </c>
      <c r="B4" s="3" t="s">
        <v>12</v>
      </c>
      <c r="C4" s="1" t="s">
        <v>775</v>
      </c>
      <c r="D4" s="1" t="s">
        <v>776</v>
      </c>
      <c r="E4" s="1">
        <f>COUNTIF(Backlog!C:C,A4)</f>
        <v>11</v>
      </c>
      <c r="F4" s="1">
        <f>SUMIF(Backlog!C:C,A4,Backlog!J:J)</f>
        <v>107</v>
      </c>
      <c r="H4" s="29" t="s">
        <v>830</v>
      </c>
      <c r="I4" s="30">
        <f>SUM(F2:F7)</f>
        <v>574</v>
      </c>
    </row>
    <row r="5" spans="1:9" ht="60" customHeight="1" x14ac:dyDescent="0.25">
      <c r="A5" s="1" t="s">
        <v>201</v>
      </c>
      <c r="B5" s="3" t="s">
        <v>12</v>
      </c>
      <c r="C5" s="1" t="s">
        <v>777</v>
      </c>
      <c r="D5" s="1" t="s">
        <v>778</v>
      </c>
      <c r="E5" s="1">
        <f>COUNTIF(Backlog!C:C,A5)</f>
        <v>12</v>
      </c>
      <c r="F5" s="1">
        <f>SUMIF(Backlog!C:C,A5,Backlog!J:J)</f>
        <v>80</v>
      </c>
      <c r="H5" s="30" t="s">
        <v>831</v>
      </c>
      <c r="I5" s="30">
        <v>305</v>
      </c>
    </row>
    <row r="6" spans="1:9" ht="60" customHeight="1" x14ac:dyDescent="0.25">
      <c r="A6" s="1" t="s">
        <v>251</v>
      </c>
      <c r="B6" s="3" t="s">
        <v>12</v>
      </c>
      <c r="C6" s="1" t="s">
        <v>779</v>
      </c>
      <c r="D6" s="1" t="s">
        <v>780</v>
      </c>
      <c r="E6" s="1">
        <f>COUNTIF(Backlog!C:C,A6)</f>
        <v>16</v>
      </c>
      <c r="F6" s="1">
        <f>SUMIF(Backlog!C:C,A6,Backlog!J:J)</f>
        <v>106</v>
      </c>
      <c r="H6" s="30" t="s">
        <v>832</v>
      </c>
      <c r="I6" s="30">
        <f>I4-I5</f>
        <v>269</v>
      </c>
    </row>
    <row r="7" spans="1:9" ht="60" customHeight="1" x14ac:dyDescent="0.25">
      <c r="A7" s="1" t="s">
        <v>322</v>
      </c>
      <c r="B7" s="3" t="s">
        <v>12</v>
      </c>
      <c r="C7" s="1" t="s">
        <v>781</v>
      </c>
      <c r="D7" s="1" t="s">
        <v>782</v>
      </c>
      <c r="E7" s="1">
        <f>COUNTIF(Backlog!C:C,A7)</f>
        <v>15</v>
      </c>
      <c r="F7" s="1">
        <f>SUMIF(Backlog!C:C,A7,Backlog!J:J)</f>
        <v>83</v>
      </c>
      <c r="H7" s="30" t="s">
        <v>833</v>
      </c>
      <c r="I7" s="31">
        <f>(I5/I4)</f>
        <v>0.53135888501742157</v>
      </c>
    </row>
    <row r="8" spans="1:9" ht="60" customHeight="1" x14ac:dyDescent="0.25">
      <c r="A8" s="1" t="s">
        <v>392</v>
      </c>
      <c r="B8" s="4" t="s">
        <v>391</v>
      </c>
      <c r="C8" s="1" t="s">
        <v>783</v>
      </c>
      <c r="D8" s="1" t="s">
        <v>784</v>
      </c>
      <c r="E8" s="1">
        <f>COUNTIF(Backlog!C:C,A8)</f>
        <v>11</v>
      </c>
      <c r="F8" s="1">
        <f>SUMIF(Backlog!C:C,A8,Backlog!J:J)</f>
        <v>114</v>
      </c>
    </row>
    <row r="9" spans="1:9" ht="60" customHeight="1" x14ac:dyDescent="0.25">
      <c r="A9" s="1" t="s">
        <v>438</v>
      </c>
      <c r="B9" s="4" t="s">
        <v>391</v>
      </c>
      <c r="C9" s="1" t="s">
        <v>785</v>
      </c>
      <c r="D9" s="1" t="s">
        <v>786</v>
      </c>
      <c r="E9" s="1">
        <f>COUNTIF(Backlog!C:C,A9)</f>
        <v>11</v>
      </c>
      <c r="F9" s="1">
        <f>SUMIF(Backlog!C:C,A9,Backlog!J:J)</f>
        <v>92</v>
      </c>
    </row>
    <row r="10" spans="1:9" ht="60" customHeight="1" x14ac:dyDescent="0.25">
      <c r="A10" s="1" t="s">
        <v>485</v>
      </c>
      <c r="B10" s="4" t="s">
        <v>391</v>
      </c>
      <c r="C10" s="1" t="s">
        <v>787</v>
      </c>
      <c r="D10" s="1" t="s">
        <v>788</v>
      </c>
      <c r="E10" s="1">
        <f>COUNTIF(Backlog!C:C,A10)</f>
        <v>12</v>
      </c>
      <c r="F10" s="1">
        <f>SUMIF(Backlog!C:C,A10,Backlog!J:J)</f>
        <v>106</v>
      </c>
    </row>
    <row r="11" spans="1:9" ht="60" customHeight="1" x14ac:dyDescent="0.25">
      <c r="A11" s="1" t="s">
        <v>538</v>
      </c>
      <c r="B11" s="4" t="s">
        <v>391</v>
      </c>
      <c r="C11" s="1" t="s">
        <v>789</v>
      </c>
      <c r="D11" s="1" t="s">
        <v>790</v>
      </c>
      <c r="E11" s="1">
        <f>COUNTIF(Backlog!C:C,A11)</f>
        <v>10</v>
      </c>
      <c r="F11" s="1">
        <f>SUMIF(Backlog!C:C,A11,Backlog!J:J)</f>
        <v>120</v>
      </c>
    </row>
    <row r="12" spans="1:9" ht="60" customHeight="1" x14ac:dyDescent="0.25">
      <c r="A12" s="1" t="s">
        <v>586</v>
      </c>
      <c r="B12" s="5" t="s">
        <v>585</v>
      </c>
      <c r="C12" s="1" t="s">
        <v>791</v>
      </c>
      <c r="D12" s="1" t="s">
        <v>792</v>
      </c>
      <c r="E12" s="1">
        <f>COUNTIF(Backlog!C:C,A12)</f>
        <v>11</v>
      </c>
      <c r="F12" s="1">
        <f>SUMIF(Backlog!C:C,A12,Backlog!J:J)</f>
        <v>119</v>
      </c>
    </row>
    <row r="13" spans="1:9" ht="60" customHeight="1" x14ac:dyDescent="0.25">
      <c r="A13" s="1" t="s">
        <v>635</v>
      </c>
      <c r="B13" s="5" t="s">
        <v>585</v>
      </c>
      <c r="C13" s="1" t="s">
        <v>793</v>
      </c>
      <c r="D13" s="1" t="s">
        <v>794</v>
      </c>
      <c r="E13" s="1">
        <f>COUNTIF(Backlog!C:C,A13)</f>
        <v>12</v>
      </c>
      <c r="F13" s="1">
        <f>SUMIF(Backlog!C:C,A13,Backlog!J:J)</f>
        <v>114</v>
      </c>
    </row>
    <row r="14" spans="1:9" ht="60" customHeight="1" x14ac:dyDescent="0.25">
      <c r="A14" s="1" t="s">
        <v>689</v>
      </c>
      <c r="B14" s="6" t="s">
        <v>688</v>
      </c>
      <c r="C14" s="1" t="s">
        <v>795</v>
      </c>
      <c r="D14" s="1" t="s">
        <v>796</v>
      </c>
      <c r="E14" s="1">
        <f>COUNTIF(Backlog!C:C,A14)</f>
        <v>8</v>
      </c>
      <c r="F14" s="1">
        <f>SUMIF(Backlog!C:C,A14,Backlog!J:J)</f>
        <v>96</v>
      </c>
    </row>
    <row r="15" spans="1:9" ht="60" customHeight="1" x14ac:dyDescent="0.25">
      <c r="A15" s="1" t="s">
        <v>727</v>
      </c>
      <c r="B15" s="6" t="s">
        <v>688</v>
      </c>
      <c r="C15" s="1" t="s">
        <v>797</v>
      </c>
      <c r="D15" s="1" t="s">
        <v>798</v>
      </c>
      <c r="E15" s="1">
        <f>COUNTIF(Backlog!C:C,A15)</f>
        <v>9</v>
      </c>
      <c r="F15" s="1">
        <f>SUMIF(Backlog!C:C,A15,Backlog!J:J)</f>
        <v>108</v>
      </c>
    </row>
    <row r="16" spans="1:9"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2026-08-06T19:17:46Z</dcterms:modified>
</cp:coreProperties>
</file>