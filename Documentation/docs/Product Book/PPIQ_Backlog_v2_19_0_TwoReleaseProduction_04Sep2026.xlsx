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Workspace\PlantProcess-IQ\Documentation\docs\Product Book\"/>
    </mc:Choice>
  </mc:AlternateContent>
  <xr:revisionPtr revIDLastSave="0" documentId="13_ncr:1_{56857886-9AE5-4AB9-BFD8-FB1988249F6E}" xr6:coauthVersionLast="47" xr6:coauthVersionMax="47" xr10:uidLastSave="{00000000-0000-0000-0000-000000000000}"/>
  <bookViews>
    <workbookView xWindow="-120" yWindow="-120" windowWidth="29040" windowHeight="15720" activeTab="1" xr2:uid="{00000000-000D-0000-FFFF-FFFF00000000}"/>
  </bookViews>
  <sheets>
    <sheet name="Current Authority" sheetId="1" r:id="rId1"/>
    <sheet name="Backlog" sheetId="2" r:id="rId2"/>
    <sheet name="Release Plan" sheetId="3" r:id="rId3"/>
    <sheet name="Worker Tracks" sheetId="4" r:id="rId4"/>
    <sheet name="Requirement Traceability" sheetId="5" r:id="rId5"/>
    <sheet name="Dependency Graph" sheetId="6" r:id="rId6"/>
    <sheet name="Prior Baseline Archive" sheetId="7" r:id="rId7"/>
    <sheet name="Governanc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3" l="1"/>
  <c r="F13" i="3"/>
  <c r="E13" i="3"/>
  <c r="G12" i="3"/>
  <c r="F12" i="3"/>
  <c r="E12" i="3"/>
  <c r="G11" i="3"/>
  <c r="F11" i="3"/>
  <c r="E11" i="3"/>
  <c r="G10" i="3"/>
  <c r="F10" i="3"/>
  <c r="E10" i="3"/>
  <c r="G9" i="3"/>
  <c r="F9" i="3"/>
  <c r="E9" i="3"/>
  <c r="G8" i="3"/>
  <c r="F8" i="3"/>
  <c r="E8" i="3"/>
  <c r="G7" i="3"/>
  <c r="F7" i="3"/>
  <c r="E7" i="3"/>
  <c r="G6" i="3"/>
  <c r="F6" i="3"/>
  <c r="E6" i="3"/>
  <c r="G5" i="3"/>
  <c r="F5" i="3"/>
  <c r="E5" i="3"/>
  <c r="Q4" i="3"/>
  <c r="O4" i="3"/>
  <c r="M4" i="3"/>
  <c r="G4" i="3"/>
  <c r="F4" i="3"/>
  <c r="E4" i="3"/>
  <c r="Q3" i="3"/>
  <c r="O3" i="3"/>
  <c r="M3" i="3"/>
</calcChain>
</file>

<file path=xl/sharedStrings.xml><?xml version="1.0" encoding="utf-8"?>
<sst xmlns="http://schemas.openxmlformats.org/spreadsheetml/2006/main" count="7173" uniqueCount="1790">
  <si>
    <t>Authority</t>
  </si>
  <si>
    <t>Current value</t>
  </si>
  <si>
    <t>Date</t>
  </si>
  <si>
    <t>Meaning</t>
  </si>
  <si>
    <t>Master Design</t>
  </si>
  <si>
    <t>Six design chapters only</t>
  </si>
  <si>
    <t>Execution Backlog</t>
  </si>
  <si>
    <t>This workbook only</t>
  </si>
  <si>
    <t>Release 1</t>
  </si>
  <si>
    <t>M2 — 30 Sep 2026</t>
  </si>
  <si>
    <t>Early production / customer first-week ready</t>
  </si>
  <si>
    <t>Release 2</t>
  </si>
  <si>
    <t>M3 — 30 Oct 2026</t>
  </si>
  <si>
    <t>Heavy production / more users / more data</t>
  </si>
  <si>
    <t>Phase vocabulary</t>
  </si>
  <si>
    <t>P1 · P2 · P3 · P4 · P5</t>
  </si>
  <si>
    <t>No alternative milestone/phase codes are current authority</t>
  </si>
  <si>
    <t>Mirror law</t>
  </si>
  <si>
    <t>100% traceability required</t>
  </si>
  <si>
    <t>Every design requirement maps to backlog acceptance; every task maps to design</t>
  </si>
  <si>
    <t>Historical work</t>
  </si>
  <si>
    <t>Archive only</t>
  </si>
  <si>
    <t>Prior M1/Fleet-specific work is evidence, not current execution scope</t>
  </si>
  <si>
    <t>Task Id</t>
  </si>
  <si>
    <t>Milestone Id</t>
  </si>
  <si>
    <t>Phase Id</t>
  </si>
  <si>
    <t>Task Name</t>
  </si>
  <si>
    <t>Module</t>
  </si>
  <si>
    <t>Sub-module</t>
  </si>
  <si>
    <t>Priority</t>
  </si>
  <si>
    <t>Task Description</t>
  </si>
  <si>
    <t>Task Validation</t>
  </si>
  <si>
    <t>Hours</t>
  </si>
  <si>
    <t>Status</t>
  </si>
  <si>
    <t>AI Agent Owner</t>
  </si>
  <si>
    <t>Depends On (IDs only)</t>
  </si>
  <si>
    <t>Must Precede (IDs only)</t>
  </si>
  <si>
    <t>Delivery Target</t>
  </si>
  <si>
    <t>Release Criticality</t>
  </si>
  <si>
    <t>AI Execution Class</t>
  </si>
  <si>
    <t>AI Guarded Time P80 (h)</t>
  </si>
  <si>
    <t>AI Sequence Wave</t>
  </si>
  <si>
    <t>AI Start / Dependency Gate</t>
  </si>
  <si>
    <t>File / Subsystem Lock</t>
  </si>
  <si>
    <t>No-Rework Handoff Ruling</t>
  </si>
  <si>
    <t>Product Track</t>
  </si>
  <si>
    <t>Tech-Lead Ruling</t>
  </si>
  <si>
    <t>T-086</t>
  </si>
  <si>
    <t>M2</t>
  </si>
  <si>
    <t>P1</t>
  </si>
  <si>
    <t>Freeze the legacy Fleet v2 controlled regression oracle</t>
  </si>
  <si>
    <t>Testing</t>
  </si>
  <si>
    <t>Emulated sources</t>
  </si>
  <si>
    <t>Critical</t>
  </si>
  <si>
    <t>Freeze and certify the existing Fleet v2 dataset only as a legacy discrete-manufacturing regression oracle with predeclared known answers/negative controls. It is not the canonical product vocabulary, not the generic M2 fixture authority and not the source of customer schema semantics. T-208 owns new generic controlled fixtures, including the continuous-process known-answer pack.</t>
  </si>
  <si>
    <t>Fleet v2 is immutable and its declared phenomena/negative controls are reproducible. An architecture check proves no generic runtime/Layer-B/registry contract derives vocabulary or universal grain from Fleet. T-208 can run independently with neutral/continuous fixtures.</t>
  </si>
  <si>
    <t>Done</t>
  </si>
  <si>
    <t>Worker 1</t>
  </si>
  <si>
    <t>T-201</t>
  </si>
  <si>
    <t>T-087; T-088; T-131</t>
  </si>
  <si>
    <t>2026-09-30 Release 1</t>
  </si>
  <si>
    <t>Release 1 MUST</t>
  </si>
  <si>
    <t>Integration/E2E/certification</t>
  </si>
  <si>
    <t>M2-P1</t>
  </si>
  <si>
    <t>WAIT for Presentation RC freeze/tag + clean index/worktree. Then: Release 1 dependency order</t>
  </si>
  <si>
    <t>Own canonical DB/backend/security/API/infra. No W2-owned UI/admin task files and no W3 ML/Assistant runtime.</t>
  </si>
  <si>
    <t>Commit before downstream consumer starts; consumer must use the contract, not redesign producer-owned semantics.</t>
  </si>
  <si>
    <t>Product Foundation &amp; Release Truth</t>
  </si>
  <si>
    <t>M2 P1 — Product Foundation &amp; Release Truth. Release 1 is genuine early production / first-week customer work.</t>
  </si>
  <si>
    <t>T-087</t>
  </si>
  <si>
    <t>Physical three-schema migration</t>
  </si>
  <si>
    <t>Database</t>
  </si>
  <si>
    <t>Schema</t>
  </si>
  <si>
    <t>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t>
  </si>
  <si>
    <t>Rule 2 is provable in one query on a fresh database. All application tests pass. The canvas catalogue lists tables from the renamed schema with only a configuration change. AND THE BENCHMARK SURVIVES THE MOVE: the phenomenon and benchmark harness frozen in T-086 is re-run UNCHANGED after the schema migration and produces identical results. A migration that silently alters the reference dataset destroys every comparison made against it.</t>
  </si>
  <si>
    <t>T-086; T-088</t>
  </si>
  <si>
    <t>T-061; T-089; T-099; T-102; T-112; T-114; T-128; T-196; T-233</t>
  </si>
  <si>
    <t>DB/schema/migration</t>
  </si>
  <si>
    <t>WAIT for Presentation RC freeze/tag + clean index/worktree. Then: T-086 + T-088 canonical migration order/runner/truth gate established FIRST.</t>
  </si>
  <si>
    <t>T-088</t>
  </si>
  <si>
    <t>Canonical migration order and legacy script archival</t>
  </si>
  <si>
    <t>Very Important</t>
  </si>
  <si>
    <t>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t>
  </si>
  <si>
    <t>A fresh database builds from the canonical path with no manual step. The truth gate fails if a duplicate CREATE TABLE is introduced.</t>
  </si>
  <si>
    <t>T-087; T-089; T-112; T-128</t>
  </si>
  <si>
    <t>WAIT for Presentation RC freeze/tag + clean index/worktree. Then: T-086 frozen M2 reference dataset; define canonical migration order before T-...</t>
  </si>
  <si>
    <t>T-089</t>
  </si>
  <si>
    <t>definition_store, definition_versions and definition_dependencies</t>
  </si>
  <si>
    <t>Definition store</t>
  </si>
  <si>
    <t>Create the tables specified in Chapter 3 4.5.11 with immutable versions and a dependency graph, plus a trigger that rejects a dependency cycle.</t>
  </si>
  <si>
    <t>Integration tests: create, version, publish, and reject a cycle. Version rows must be immutable, proved by an update attempt that fails.</t>
  </si>
  <si>
    <t>T-087; T-088</t>
  </si>
  <si>
    <t>T-061; T-090; T-092; T-095; T-099; T-106; T-114; T-128; T-183; T-243; T-244</t>
  </si>
  <si>
    <t>WAIT for Presentation RC freeze/tag + clean index/worktree. Then: T-087 + T-088 canonical three-schema/migration authority green.</t>
  </si>
  <si>
    <t>T-090</t>
  </si>
  <si>
    <t>Move all five definition kinds onto the store</t>
  </si>
  <si>
    <t>Backend</t>
  </si>
  <si>
    <t>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 v2.10.1 OUTCOME SEMANTICS BINDING. As part of canonical definition convergence, bind the already-frozen SM-06 OutcomeDefinition to the canonical immutable versioned definition authority; do not design a second outcome authority. The canonical binding preserves outcome_code, outcome_type, class_taxonomy_ref, ordinal_rank_map, grain_code, detection_position_code, detection_timestamp_field, direction, unit_code, censoring_policy and definition/version identity. Any legacy ml_outcome_definitions representation may remain only as a compatibility projection during convergence and must not remain an independent semantic authority.</t>
  </si>
  <si>
    <t>The M1 integration test written against IDefinitionService must pass unchanged, since it references no table name. That is the proof that the visible contract did not move. Publish an SM-06 OutcomeDefinition and resolve it back by exact immutable version. Changing detection_position_code, detection_timestamp_field, grain, taxonomy, ordinal map, direction, unit or censoring policy creates a new definition version rather than silently mutating published meaning. If a compatibility outcome representation remains during convergence, prove it resolves to the same canonical definition/version and cannot diverge into a second authority.</t>
  </si>
  <si>
    <t>T-061; T-091; T-092; T-095; T-099; T-104; T-106; T-114; T-128; T-134; T-147; T-183; T-195; T-210; T-221; T-228; T-231; T-232; T-233; T-235; T-239; T-243; T-244</t>
  </si>
  <si>
    <t>Backend/domain contract</t>
  </si>
  <si>
    <t>IN PROGRESS — T-089 complete. Full T-090 remains one task and one final commit. Worker 1 must deliver one self-contained standard PowerShell apply pack; no scope split and no manual .cs/SQL installation.</t>
  </si>
  <si>
    <t>Downstream consumers wait for the committed T-090 authority. Handover/progress notes do not substitute for closure; the pack must apply, build, test, replay and commit on the user machine.</t>
  </si>
  <si>
    <t>CENTRAL 30-Aug-2026: canonical definition convergence remains full scope. Deliver the standard executable PowerShell pack; no Task-ID-less changes.</t>
  </si>
  <si>
    <t>T-091</t>
  </si>
  <si>
    <t>Impact preview, export and import</t>
  </si>
  <si>
    <t>Add dependency impact preview before a publish, and export and import of a definition with its dependencies, per Chapter 3 4.5.11.</t>
  </si>
  <si>
    <t>Publish a change to a definition three others depend on and confirm the preview lists all three before the publish is confirmed. Export and reimport into an empty database and confirm equality.</t>
  </si>
  <si>
    <t>T-128; T-183</t>
  </si>
  <si>
    <t>WAIT for Presentation RC freeze/tag + clean index/worktree. Then: T-090 all definition kinds bound to the canonical store.</t>
  </si>
  <si>
    <t>T-092</t>
  </si>
  <si>
    <t>Registry authority: dimensions and measures as rows</t>
  </si>
  <si>
    <t>Registry</t>
  </si>
  <si>
    <t>Replace compiled dimension/measure catalogues with canonical registry projections over published definition versions. Registry rows must support customer-defined dimensions/measures without rebuild, plus analysis-grain metadata, signal/aggregation semantics and reference-derived measure roles. It remains a projection/serving authority, not a competing mutable definition store.</t>
  </si>
  <si>
    <t>Using the same binary, add a customer-shaped dimension and measure through definitions/registry data only and use them in an authored widget. No C#/React/product-SQL edit. Registry exposes declared grain and aggregation/reference metadata and rejects unresolved semantics.</t>
  </si>
  <si>
    <t>T-089; T-090; T-210; T-231</t>
  </si>
  <si>
    <t>T-093; T-094; T-128; T-183; T-212; T-215; T-228; T-237; T-247</t>
  </si>
  <si>
    <t>WAIT for Presentation RC freeze/tag + clean index/worktree. Then: T-089 + T-090 canonical definition authority.</t>
  </si>
  <si>
    <t>T-093</t>
  </si>
  <si>
    <t>Plant-vocabulary sweep, part 1: build the term list and the architecture test</t>
  </si>
  <si>
    <t>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t>
  </si>
  <si>
    <t>Add a term to the list and confirm the build goes red on an existing violation, then goes green once that violation is fixed. Confirm removing a term from the list does not require a code change.</t>
  </si>
  <si>
    <t>T-092; T-206</t>
  </si>
  <si>
    <t>T-094; T-128; T-183</t>
  </si>
  <si>
    <t>WAIT for Presentation RC freeze/tag + clean index/worktree. Then: T-092 registry/definition authority available; architecture term list is comm...</t>
  </si>
  <si>
    <t>T-094</t>
  </si>
  <si>
    <t>Plant-vocabulary sweep, part 2: remove hardcoded universal grain and industry vocabulary</t>
  </si>
  <si>
    <t>T-092; T-093; T-209</t>
  </si>
  <si>
    <t>T-095; T-128; T-183; T-196</t>
  </si>
  <si>
    <t>Freeze the successful M1 presentation baseline and transfer programme authority to M2</t>
  </si>
  <si>
    <t>Programme</t>
  </si>
  <si>
    <t>Release baseline</t>
  </si>
  <si>
    <t>Resolve the shared dirty tree, keep/revert the associative change on evidence, commit exact owned files, tag/freeze the successful presentation baseline, and formally stop presentation-only feature/page/data work. Remaining generic defects move to M2-P0 owners rather than being completed as M1 content.</t>
  </si>
  <si>
    <t>Clean index and explicit foreign-file inventory; immutable release/tag or equivalent frozen artifact; presentation profile still launches; one ledger lists every unclosed M1 item as frozen, superseded, or consumed by a named M2 task. No customer-demo-only task remains on the September critical path.</t>
  </si>
  <si>
    <t>T-086; T-202; T-203; T-204; T-205; T-206; T-207; T-208; T-213; T-241</t>
  </si>
  <si>
    <t>Release / governance</t>
  </si>
  <si>
    <t>Start immediately. No later M2 mutating work begins on the shared tree before this close.</t>
  </si>
  <si>
    <t>Git/worktree ownership + release/tag only.</t>
  </si>
  <si>
    <t>After commit/tag, all workers consume the frozen baseline; nobody reopens M1 presentation scope without a proven regression.</t>
  </si>
  <si>
    <t>T-202</t>
  </si>
  <si>
    <t>Persisted page/widget definition replay gate</t>
  </si>
  <si>
    <t>Quality</t>
  </si>
  <si>
    <t>Release Truth</t>
  </si>
  <si>
    <t>Enumerate every active customer-facing page/widget definition from the real database and execute its actual query contract against the release API/database. Validate declared terminal semantics, row/population evidence and compatibility. This gate tests the product as persisted, not merely source-code paths.</t>
  </si>
  <si>
    <t>Every active persisted widget executes with 2xx plus Populated/Empty/Blocked/Refused as documented; unexpected 4xx/5xx is a failure. Deliberately corrupt one dimension/measure combination and prove the gate fails. Restore and prove green. Emit machine-readable report naming definition/page/widget.</t>
  </si>
  <si>
    <t>Worker 2</t>
  </si>
  <si>
    <t>T-150; T-212</t>
  </si>
  <si>
    <t>E2E / integration gate</t>
  </si>
  <si>
    <t>T-201 committed/frozen baseline.</t>
  </si>
  <si>
    <t>Frontend E2E + dashboard query test harness; no canonical schema edits.</t>
  </si>
  <si>
    <t>T-150 later consumes this gate; it does not redesign it.</t>
  </si>
  <si>
    <t>T-203</t>
  </si>
  <si>
    <t>Customer-route network, console and widget-state invariant</t>
  </si>
  <si>
    <t>For every customer-reachable route, navigate and settle against the real API; fail on unexpected HTTP &gt;=400, failed required request, uncaught JS exception, unhandled console error, error toast, or widget Failed state. Record route/request/widget evidence.</t>
  </si>
  <si>
    <t>Inject one failing API response and one uncaught render error and prove the route gate fails for the named cause. With faults removed, every customer route settles with zero unexpected network/console/widget failures.</t>
  </si>
  <si>
    <t>T-150; T-222</t>
  </si>
  <si>
    <t>Playwright / session</t>
  </si>
  <si>
    <t>T-201; may run in parallel with T-202 on non-overlapping test files.</t>
  </si>
  <si>
    <t>Frontend E2E/session harness.</t>
  </si>
  <si>
    <t>All later customer-facing feature tasks must add their route to this gate before close.</t>
  </si>
  <si>
    <t>T-204</t>
  </si>
  <si>
    <t>Associative cross-filter state-machine certification</t>
  </si>
  <si>
    <t>Frontend</t>
  </si>
  <si>
    <t>Associative BI</t>
  </si>
  <si>
    <t>Replace click-smoke acceptance with a state-machine proof: capture widgets A/B/C, click X in A, assert selection state, assert B/C re-query with X, assert returned populations and visible results change, clear X and assert restoration. Execute across interactive renderer families.</t>
  </si>
  <si>
    <t>Bar, line, scatter, heatmap, table-row and interactive KPI families each prove selection propagation, dependent request mutation, population/result change, and restoration. A deliberate broken dependency-array/bridge falsification must fail the test.</t>
  </si>
  <si>
    <t>Frontend behavioural E2E</t>
  </si>
  <si>
    <t>T-201; resolve current associative ownership first.</t>
  </si>
  <si>
    <t>AssociativeContext/filter bridge + E2E tests; no unrelated chart redesign.</t>
  </si>
  <si>
    <t>This task supersedes using browser walking as the acceptance of cross-filtering.</t>
  </si>
  <si>
    <t>T-205</t>
  </si>
  <si>
    <t>Frontend global suite termination and machine-readable gate</t>
  </si>
  <si>
    <t>Test infrastructure</t>
  </si>
  <si>
    <t>Make the global frontend unit/component suite terminate deterministically, produce a machine-readable result, and fail the pipeline on non-termination, timeout, skipped mandatory tests or leaked handles.</t>
  </si>
  <si>
    <t>Run the full suite twice from clean processes under the declared timeout; both terminate with identical pass/fail/skip counts and machine-readable output. Inject a leaked handle/non-terminating test and prove the gate goes red.</t>
  </si>
  <si>
    <t>T-150; T-250</t>
  </si>
  <si>
    <t>Frontend test infrastructure</t>
  </si>
  <si>
    <t>CLOSED GREEN 2026-08-30 at b7fcc890. Infrastructure gate certified. Do not rerun full T-205 Certify unless the T-205 gate/validator/watchdog/reaper/evidence contract itself changes.</t>
  </si>
  <si>
    <t>Frontend test runner/config only.</t>
  </si>
  <si>
    <t>T-205 remains closed. Deterministic suite-truth mutations are owned by T-250; do not amend or reopen T-205 for product/test corrections.</t>
  </si>
  <si>
    <t>CENTRAL 30-Aug-2026: T-205 CLOSED GREEN at b7fcc890. The gate correctly reports suite truth; bounded corrections are a separate explicit task.</t>
  </si>
  <si>
    <t>T-206</t>
  </si>
  <si>
    <t>Scope-aware genericity architecture gate</t>
  </si>
  <si>
    <t>Architecture</t>
  </si>
  <si>
    <t>Genericity</t>
  </si>
  <si>
    <t>Create a scope-aware architecture test that forbids customer/demo/industry vocabulary and compiled customer dimension/grain authorities inside generic runtime/engine/API contracts while allowing that vocabulary in explicitly classified fixtures, mappings and documentation. Include detection of compiled dimension arrays and implicit grain defaults.</t>
  </si>
  <si>
    <t>Falsify the gate with a generic-runtime 'coil' fallback, a compiled customer dimension, and an industry-specific class; each fails. The same terms in approved fixture paths remain allowed. Gate consumes configured path/authority classes, not a naive whole-repo negative text scan.</t>
  </si>
  <si>
    <t>Worker 3</t>
  </si>
  <si>
    <t>T-093; T-150; T-213</t>
  </si>
  <si>
    <t>Architecture/test</t>
  </si>
  <si>
    <t>T-201. Isolated architecture test files only until each product owner consumes findings.</t>
  </si>
  <si>
    <t>Architecture/genericity tests only; no W1 schema or W2 UI mutation.</t>
  </si>
  <si>
    <t>Violations are routed to the owning task/file; Worker 3 does not fix foreign files.</t>
  </si>
  <si>
    <t>T-208</t>
  </si>
  <si>
    <t>Generic controlled validation fixture authority and continuous-process known-answer pack</t>
  </si>
  <si>
    <t>Test data</t>
  </si>
  <si>
    <t>Create the dataset-neutral controlled fixture authority separate from product vocabulary. Keep Fleet v2 as legacy discrete regression oracle only; continuous-process fixture includes irregular analog samples, state intervals, counters, alarms, process windows, independent manual/business records, PLUS a declared transition/stabilisation event and conflicting multi-objective practice vectors with predeclared known answers.</t>
  </si>
  <si>
    <t>Fixture manifests are machine-readable, immutable by version, inaccessible as planted truth to runtime, and include SampleMean vs TimeWeightedMean, StateDuration, Delta, interval overlap, transition/stabilisation regime truth, a pooled-vs-steady-state confounding case, a known Pareto frontier, negative controls and refusal cases. Product code contains no fixture vocabulary.</t>
  </si>
  <si>
    <t>T-150; T-209; T-211; T-216; T-217; T-218; T-234; T-238</t>
  </si>
  <si>
    <t>Test fixture / kernel</t>
  </si>
  <si>
    <t>T-201. May run in parallel with T-206; no production DB migration/DI.</t>
  </si>
  <si>
    <t>New generic fixture/test assets only.</t>
  </si>
  <si>
    <t>T-211/T-217/T-219 consume this fixture; they never read planted expected answers at runtime.</t>
  </si>
  <si>
    <t>T-209</t>
  </si>
  <si>
    <t>Analysis Subject and Grain contract + schema-independent resolution kernel</t>
  </si>
  <si>
    <t>Architecture / Analytics Engine</t>
  </si>
  <si>
    <t>Generic subject/grain contract</t>
  </si>
  <si>
    <t>Freeze the generic AnalysisSubject/GrainDefinition contract and a schema-independent resolver/kernel. It defines subject kinds, grain identity, time-window semantics, typed GR01 refusal and the rule that no analytical result requires a material identifier. No production migration, DI registration or canonical table edit in this task.</t>
  </si>
  <si>
    <t>Known-answer tests resolve discrete, equipment-window and flow-interval subjects; missing grain refuses GR01; no industry noun/material-only assumption appears in the public contract. Runs without production DB access.</t>
  </si>
  <si>
    <t>T-094; T-210; T-214; T-231; T-234</t>
  </si>
  <si>
    <t>Kernel/contract</t>
  </si>
  <si>
    <t>T-208 only; no production DB dependency.</t>
  </si>
  <si>
    <t>New generic contract/kernel/tests only.</t>
  </si>
  <si>
    <t>T-231 persists this contract; downstream consumers bind to contract, not table shape.</t>
  </si>
  <si>
    <t>T-210</t>
  </si>
  <si>
    <t>Canonical signal and aggregation semantics authority</t>
  </si>
  <si>
    <t>Semantic measurement authority</t>
  </si>
  <si>
    <t>Extend parameter definitions and KPI bindings with signal_kind, aggregation_kind, interpolation, weight basis, maximum gap, quality policy, counter-reset and time basis. Remove any silent DEFAULT 'Average'. Store grammar as product-owned enums/registry; customer parameters select it.</t>
  </si>
  <si>
    <t>Create Analog/State/Counter definitions and prove no aggregate can execute from data_type alone. Parameter or KPI binding may declare a valid method; absent semantics returns AG01. Invalid method for signal returns AG02. Fresh DB/replay green and no default Average in canonical schema.</t>
  </si>
  <si>
    <t>T-090; T-209</t>
  </si>
  <si>
    <t>T-092; T-128; T-211; T-212; T-242</t>
  </si>
  <si>
    <t>DB/schema authority</t>
  </si>
  <si>
    <t>T-209 + T-090. Complete before T-092 exposes measures and before T-211 integration.</t>
  </si>
  <si>
    <t>Parameter definitions/KPI bindings/migrations/definition contract.</t>
  </si>
  <si>
    <t>T-211 executes exactly this contract; no second aggregation registry.</t>
  </si>
  <si>
    <t>T-216</t>
  </si>
  <si>
    <t>Source Time Authority contract and timestamp-semantics kernel</t>
  </si>
  <si>
    <t>Temporal authority contract</t>
  </si>
  <si>
    <t>Freeze the per-source time contract: timezone, timestamp basis/origin, DST policy, clock reference, observed skew, maximum tolerated skew, and source/server/ingest timestamp semantics. No production persistence in this task.</t>
  </si>
  <si>
    <t>Known-answer contract tests distinguish source/server/ingest timestamps and prove skew beyond tolerance yields TemporalUncertain rather than conflict. Runs without production DB access.</t>
  </si>
  <si>
    <t>T-200; T-217; T-233</t>
  </si>
  <si>
    <t>T-208 fixture; no canonical DB dependency.</t>
  </si>
  <si>
    <t>Temporal contract/tests only.</t>
  </si>
  <si>
    <t>T-233 persists source-time authority; T-217 consumes contract without waiting for persistence.</t>
  </si>
  <si>
    <t>T-231</t>
  </si>
  <si>
    <t>Persist Analysis Subject and Grain authority in canonical definition store</t>
  </si>
  <si>
    <t>Backend / Database</t>
  </si>
  <si>
    <t>Canonical subject/grain persistence</t>
  </si>
  <si>
    <t>Persist the frozen T-209 AnalysisSubject/GrainDefinition contract through canonical definitions and analysis_subjects/grain-definition tables. This task owns migration, tenant-safe keys, version binding and canonical APIs only; it does not redesign the contract.</t>
  </si>
  <si>
    <t>Fresh migration/replay green. Persist discrete, equipment-window and flow-interval grains; same binary resolves all via API. GR01 preserved. Tenant isolation and definition-version replay pass.</t>
  </si>
  <si>
    <t>T-092; T-128; T-139; T-232; T-235</t>
  </si>
  <si>
    <t>T-090 + committed T-209 contract.</t>
  </si>
  <si>
    <t>analysis_subjects/grain definitions + API/migrations.</t>
  </si>
  <si>
    <t>T-092/T-128/T-139/T-213 consume committed persistence; they do not invent subject identity.</t>
  </si>
  <si>
    <t>T-095</t>
  </si>
  <si>
    <t>P2</t>
  </si>
  <si>
    <t>Relationship members, cardinality, grain conversion and preferred paths</t>
  </si>
  <si>
    <t>Relationship model</t>
  </si>
  <si>
    <t>Extend the M1 slice to the full model in Chapter 3 4.5.10: members, cardinality, grain conversion between related entities, preferred path selection when more than one path exists, and published versions.
v2.10.2 CONVERGENCE CORRECTION — T-095 does not merely 'extend' M1 physical tables. It converges the M1 relationship service/compatibility persistence onto the canonical Chapter 3 4.5.10 tables after definition_store exists, including source_definition_id/version, grain conversion, preferred paths, ambiguity/validation state and retirement semantics, while keeping the M1 external contract stable.</t>
  </si>
  <si>
    <t>Declare two paths between the same pair of entities, mark one preferred, and confirm the resolver chooses it. Change the preference and confirm the resolution changes with no other edit.</t>
  </si>
  <si>
    <t>Not Started</t>
  </si>
  <si>
    <t>T-057; T-089; T-090; T-094</t>
  </si>
  <si>
    <t>T-096; T-098; T-102; T-103; T-104; T-107; T-109; T-114; T-128; T-134; T-183; T-196; T-221</t>
  </si>
  <si>
    <t>M2-P2</t>
  </si>
  <si>
    <t>WAIT for Presentation RC freeze/tag + clean index/worktree. Then: T-057 M1 relationship contract + T-089 + T-090 + T-094.</t>
  </si>
  <si>
    <t>Day-1 Data Workbench — DB Link, Canvas, Jobs &amp; OPC</t>
  </si>
  <si>
    <t>M2 P2 — Day-1 Data Workbench — DB Link, Canvas, Jobs &amp; OPC. Release 1 is genuine early production / first-week customer work.</t>
  </si>
  <si>
    <t>T-096</t>
  </si>
  <si>
    <t>Path resolver, part 1: resolver core and the first eight consumers</t>
  </si>
  <si>
    <t>Chapter 2 3.15.4 names sixteen consumers of the relationship model. Build the resolver core, then route the first eight through it: canonical projection, page and widget queries, associative filtering, drill-down, drill-through, genealogy, statistics and correlation.</t>
  </si>
  <si>
    <t>A regression test per consumer asserting it resolves through the published model, and refuses with a named reason when the relationship is unpublished. Eight tests, no exceptions.</t>
  </si>
  <si>
    <t>T-097; T-098; T-107; T-109; T-128; T-134; T-183; T-221</t>
  </si>
  <si>
    <t>WAIT for Presentation RC freeze/tag + clean index/worktree. Then: T-095 canonical relationship publication/model complete.</t>
  </si>
  <si>
    <t>T-097</t>
  </si>
  <si>
    <t>Path resolver, part 2: the remaining eight consumers and the regression suite</t>
  </si>
  <si>
    <t>Route the remaining eight through the resolver: feature engineering, model training, prediction, practice learning, remediation search, value calculation, assistant retrieval and evidence. Some of these are built in Release 2; add the resolver seam now so they cannot be written against an ad-hoc join later.</t>
  </si>
  <si>
    <t>Eight further regression tests. For consumers whose engine arrives in Release 2, the test asserts the seam exists and refuses when unpublished, which is what stops a later shortcut.</t>
  </si>
  <si>
    <t>T-098; T-107; T-109; T-128; T-183</t>
  </si>
  <si>
    <t>WAIT for Presentation RC freeze/tag + clean index/worktree. Then: T-096 first resolver consumers green.</t>
  </si>
  <si>
    <t>T-098</t>
  </si>
  <si>
    <t>Relationship Browser page and path evidence</t>
  </si>
  <si>
    <t>Build the C6 Relationship Browser from Chapter 3 4.4 with the ten-field page contract, showing declared relationships, their members, their paths and the evidence for each path.
v2.10.2 CONTINUITY CORRECTION — complete the existing T-060 /relationships page in place. Do not create a second C6 surface. Preserve the route, layout and M1 control contract while replacing/extending the hidden relationship authority and path evidence.</t>
  </si>
  <si>
    <t>Open a relationship and confirm its members, cardinality and path are shown with evidence. Confirm an unpublished relationship is visibly distinct from a published one.
Run the M1 C6 continuity snapshot before/after canonical cutover and prove no visible-contract regression.</t>
  </si>
  <si>
    <t>T-095; T-096; T-097</t>
  </si>
  <si>
    <t>T-107; T-109; T-128; T-183</t>
  </si>
  <si>
    <t>Frontend/UI feature</t>
  </si>
  <si>
    <t>WAIT for Presentation RC freeze/tag + clean index/worktree. Then: T-060 M1 C6 surface + T-095 + T-096 + T-097.</t>
  </si>
  <si>
    <t>Own named UI/admin task end-to-end only after producer APIs/security are committed.</t>
  </si>
  <si>
    <t>T-099</t>
  </si>
  <si>
    <t>Quarantine, part 1: the table, the reprocess API and the first eight PV classes</t>
  </si>
  <si>
    <t>Quarantine</t>
  </si>
  <si>
    <t>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t>
  </si>
  <si>
    <t>Craft one malformed input per implemented class and assert each is quarantined under the correct code, while the good rows in the same batch still project.</t>
  </si>
  <si>
    <t>T-087; T-089; T-090</t>
  </si>
  <si>
    <t>T-061; T-100; T-101; T-104; T-107; T-109; T-114; T-128; T-183</t>
  </si>
  <si>
    <t>WAIT for Presentation RC freeze/tag + clean index/worktree. Then: T-087 canonical staging schema + T-089/T-090 definition_versions authority.</t>
  </si>
  <si>
    <t>T-100</t>
  </si>
  <si>
    <t>Quarantine, part 2: the remaining seven PV classes and per-class tests</t>
  </si>
  <si>
    <t>Implement the remaining seven validation classes and give every class its own test fixture, so the class set is provably complete against Chapter 3 4.5.14 rather than approximately complete.</t>
  </si>
  <si>
    <t>Fifteen fixtures, fifteen codes, fifteen passing tests. A test that enumerates the PV enum and fails if any member has no fixture.</t>
  </si>
  <si>
    <t>T-101; T-107; T-109; T-128; T-183</t>
  </si>
  <si>
    <t>WAIT for Presentation RC freeze/tag + clean index/worktree. Then: T-099 canonical quarantine table/API and first eight PV classes.</t>
  </si>
  <si>
    <t>T-101</t>
  </si>
  <si>
    <t>Quarantine retry, reprocess and Mapping Health completion</t>
  </si>
  <si>
    <t>Complete the C2 Mapping Health page against Chapter 3 4.4 C2: issues grouped by code, example rows, and Reprocess after the mapping is corrected. The M1 version delivered the shape; this delivers the full class set and the retry semantics.</t>
  </si>
  <si>
    <t>Quarantine rows under three different codes, correct one mapping, reprocess, and confirm only the affected rows clear. The M1 continuity snapshot of this page must still match.</t>
  </si>
  <si>
    <t>T-099; T-100</t>
  </si>
  <si>
    <t>WAIT for Presentation RC freeze/tag + clean index/worktree. Then: T-061 final M1 API/page contract + T-099 + T-100 canonical quarantine impleme...</t>
  </si>
  <si>
    <t>T-102</t>
  </si>
  <si>
    <t>Identity resolution across sources</t>
  </si>
  <si>
    <t>Genealogy</t>
  </si>
  <si>
    <t>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t>
  </si>
  <si>
    <t>Import the same material under two different source identifiers and confirm one canonical unit results with both aliases recorded. Re-run the import and confirm no duplicate appears.</t>
  </si>
  <si>
    <t>T-087; T-095</t>
  </si>
  <si>
    <t>T-103; T-107; T-109; T-128; T-183</t>
  </si>
  <si>
    <t>WAIT for Presentation RC freeze/tag + clean index/worktree. Then: T-087 canonical plant schema + T-095 relationship/material identity authority.</t>
  </si>
  <si>
    <t>T-103</t>
  </si>
  <si>
    <t>Genealogy bidirectional walk hardening and weight proof</t>
  </si>
  <si>
    <t>Confirm the genealogy layer walks both directions on the customer's own keys and that attribution weights are enforced to sum to exactly 1.0 per child by the database trigger on genealogy_edges.contribution_weight numeric(9,6).</t>
  </si>
  <si>
    <t>Walk a chain backward and forward and confirm the same edges are traversed. Attempt an insert whose weights sum to 0.99 inside a transaction and confirm the trigger rejects it, then roll back.</t>
  </si>
  <si>
    <t>T-095; T-102</t>
  </si>
  <si>
    <t>WAIT for Presentation RC freeze/tag + clean index/worktree. Then: T-095 + T-102 canonical relationship/identity authority.</t>
  </si>
  <si>
    <t>T-104</t>
  </si>
  <si>
    <t>Projection through the versioned mapping, with version stamping</t>
  </si>
  <si>
    <t>Projection</t>
  </si>
  <si>
    <t>Complete the DF5 contract: source-shaped staging projects into the canonical plant model through the customer-authored versioned mapping, and every projected row records the mapping version that produced it.</t>
  </si>
  <si>
    <t>Project a batch, change the mapping version, project again, and confirm each row records the version that produced it. No row may carry a null mapping version.</t>
  </si>
  <si>
    <t>T-090; T-095; T-099</t>
  </si>
  <si>
    <t>T-105; T-107; T-109; T-128; T-183</t>
  </si>
  <si>
    <t>WAIT for Presentation RC freeze/tag + clean index/worktree. Then: T-090 canonical versioned mapping definitions + T-095 relationship authority ...</t>
  </si>
  <si>
    <t>T-105</t>
  </si>
  <si>
    <t>Idempotent reprojection and mapping-version regression</t>
  </si>
  <si>
    <t>Make reprojection idempotent and add the regression suite: reprojecting the same batch must not duplicate rows, and rolling a mapping back to a previous version must produce the earlier result exactly.</t>
  </si>
  <si>
    <t>Reproject the same batch three times and confirm row counts are unchanged. Roll a mapping back and confirm the canonical output matches the earlier snapshot byte for byte.</t>
  </si>
  <si>
    <t>WAIT for Presentation RC freeze/tag + clean index/worktree. Then: T-104 version-stamped projection complete.</t>
  </si>
  <si>
    <t>Critical hand-off: after T-089..T-105 + T-112/T-114 are committed, W3 may open T-183/T-195/T-128 lane.</t>
  </si>
  <si>
    <t>T-106</t>
  </si>
  <si>
    <t>Job target version policy and dependency DAG</t>
  </si>
  <si>
    <t>Jobs</t>
  </si>
  <si>
    <t>Build on the M1 target_definition_id work: add the full version policy (pinned or current published), the job dependency graph, and cycle validation.
v2.10.2 BOUNDARY CORRECTION — the pinned/current-published PUBLIC semantics are already frozen by T-064. This task performs canonical physical convergence: job_definitions FK -&gt; definition_store(id) ON DELETE RESTRICT, target-version policy CHECKs/target-surface trigger against the canonical store, target_parameters persistence, plus job_dependencies DAG/cycle validation. Do not redesign T-064's visible contract.</t>
  </si>
  <si>
    <t>Declare a three-job chain, run it, and confirm order. Introduce a cycle and confirm it is refused at save time with a named code.</t>
  </si>
  <si>
    <t>T-064; T-089; T-090</t>
  </si>
  <si>
    <t>T-107; T-122; T-245</t>
  </si>
  <si>
    <t>WAIT for Presentation RC freeze/tag + clean index/worktree. Then: T-064 functional contract + T-089 + T-090 canonical definition authority.</t>
  </si>
  <si>
    <t>Own T-106/T-107/T-109 only after W1 producer contracts; no schema authority rewrites.</t>
  </si>
  <si>
    <t>T-107</t>
  </si>
  <si>
    <t>Dual-predicate admission control and the three ML execution lanes</t>
  </si>
  <si>
    <t>Replace the old single weighted-pool assumption with the frozen resource contract. Each lane has max_concurrency and resource_capacity; admission requires both running_count &lt; max_concurrency and sum(compute_weight)+candidate &lt;= resource_capacity. The logical ml class resolves to ml.training, ml.batch_scoring and ml.online_scoring. Online capacity is hard-reserved and unavailable to training or batch. Keep this platform-level scheduler generic; Worker 3 supplies the ML job classes and later integration tests, but this task must not wire any new AI runtime into the M1 presentation path.
v2.10.2 MEASUREMENT RULING — this task implements the configurable dual-predicate admission mechanism and three-lane isolation. Test values may prove satisfiability, but no max_concurrency/resource_capacity/reserved fraction is a production-selected value here. Site values remain benchmark outputs owned by T-155/T-159.</t>
  </si>
  <si>
    <t>Prove a declared job can be admitted under a satisfiable configuration and a too-heavy job is refused by name. Saturate training and batch and prove an online-scoring job still admits inside its reservation. Prove batch never enters the online lane and the same compute_weight is never used as a concurrency count. Existing import/projection/analysis/report behaviour remains green.
The acceptance report labels resource values as TEST_CONFIGURATION unless they come from the named production/site benchmark manifest. No code default is presented as the final capacity decision.</t>
  </si>
  <si>
    <t>T-095; T-096; T-097; T-098; T-099; T-100; T-101; T-102; T-103; T-104; T-105; T-106</t>
  </si>
  <si>
    <t>T-122; T-141; T-187; T-192</t>
  </si>
  <si>
    <t>WAIT for Presentation RC freeze/tag + clean index/worktree. Then: T-106 canonical job contract + T-095..T-105 canonical data/relationship path;...</t>
  </si>
  <si>
    <t>T-108</t>
  </si>
  <si>
    <t>stage_watermarks and delta-scoped projection</t>
  </si>
  <si>
    <t>Delta propagation</t>
  </si>
  <si>
    <t>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t>
  </si>
  <si>
    <t>Change one source row and confirm projection processes a bounded delta rather than a full scan, evidenced by rows-scanned telemetry.</t>
  </si>
  <si>
    <t>T-109</t>
  </si>
  <si>
    <t>Delta-scoped feature refresh and analysis, with telemetry and ML hand-off</t>
  </si>
  <si>
    <t>Extend the stage-watermark mechanism into the canonical feature refresh and analysis path. The task owns delta discovery, dirty-feature identification and telemetry only; training must never read feature_store directly. Expose a bounded changed-population contract that Worker 3's Snapshot Materialiser consumes later. Do not add temporary M1/presentation schema dependencies.</t>
  </si>
  <si>
    <t>Insert one bounded delta and prove only affected feature rows and analyses are recomputed. Record rows scanned, rows changed and Scan Amplification. Assert no training/encoding component is reachable from this task and the output contract contains no customer table name.</t>
  </si>
  <si>
    <t>T-095; T-096; T-097; T-098; T-099; T-100; T-101; T-102; T-103; T-104; T-105; T-108</t>
  </si>
  <si>
    <t>T-136; T-187</t>
  </si>
  <si>
    <t>WAIT for Presentation RC freeze/tag + clean index/worktree. Then: T-095..T-105; T-108</t>
  </si>
  <si>
    <t>T-110</t>
  </si>
  <si>
    <t>Chunk manifests, checkpoint, resume and deterministic merge</t>
  </si>
  <si>
    <t>Implement Chapter 4 5.3.9.6a: bounded chunks with receipts, checkpoint and resume after interruption, and a deterministic merge so a resumed run produces the same result as an uninterrupted one.</t>
  </si>
  <si>
    <t>Kill a running job at 60 percent, restart it, and confirm the final result is byte-identical to an uninterrupted run over the same input.</t>
  </si>
  <si>
    <t>T-111</t>
  </si>
  <si>
    <t>Scan budget and the Scan Amplification metric</t>
  </si>
  <si>
    <t>Infrastructure</t>
  </si>
  <si>
    <t>Monitoring</t>
  </si>
  <si>
    <t>Add scan admission and the Scan Amplification Ratio from Chapter 6 6.1.12.2a, with a baseline and a regression gate that fails the build when amplification rises beyond the baseline.</t>
  </si>
  <si>
    <t>Record a baseline, then deliberately remove a delta scope and confirm the gate goes red. Restore and confirm green.</t>
  </si>
  <si>
    <t>Infrastructure/deployment</t>
  </si>
  <si>
    <t>T-207</t>
  </si>
  <si>
    <t>Connector capability truth: stop advertising unimplemented browse/read/subscription</t>
  </si>
  <si>
    <t>Acquisition</t>
  </si>
  <si>
    <t>Connector truth</t>
  </si>
  <si>
    <t>Make connector capability metadata executable truth. Current OPC/historian configuration validation or deterministic sample generation must not advertise live browse/bounded-read/subscription unless the connector build executes and tests that operation.</t>
  </si>
  <si>
    <t>Against the current implementation, unsupported browse/read/subscription report false/unavailable and attempts return typed OT01 rather than fabricated data. Add a contract test that makes any future advertised capability fail until an executable implementation passes.</t>
  </si>
  <si>
    <t>T-150; T-224</t>
  </si>
  <si>
    <t>Backend contract</t>
  </si>
  <si>
    <t>T-201. Does not implement production OPC; truth-corrects the current connector contract only.</t>
  </si>
  <si>
    <t>Connector metadata/API contract and tests.</t>
  </si>
  <si>
    <t>T-224..T-226 later may flip capabilities to true only by passing this contract.</t>
  </si>
  <si>
    <t>T-212</t>
  </si>
  <si>
    <t>Integrate aggregation semantics into Layer-A widget/query execution</t>
  </si>
  <si>
    <t>Backend/Frontend</t>
  </si>
  <si>
    <t>Dashboard query semantics</t>
  </si>
  <si>
    <t>Make dashboard/query aggregation resolve the canonical KPI/parameter semantics and certified kernel/database implementation. Remove raw-cap-before-aggregate and implicit average fallbacks in all customer-facing measures touched by this contract.</t>
  </si>
  <si>
    <t>Persisted-definition replay on discrete and continuous fixtures proves exact known answers; no raw row limit is applied before aggregate; AG01/AG02 render typed Blocked/Refused rather than API 500. Query plan performs bounded server-side aggregation.</t>
  </si>
  <si>
    <t>T-202; T-210; T-211; T-092; T-234; T-235; T-236</t>
  </si>
  <si>
    <t>Cross-layer integration</t>
  </si>
  <si>
    <t>T-202 + T-210/T-211 + T-092 + committed T-234/T-235/T-236.</t>
  </si>
  <si>
    <t>Dashboard query service/executor + focused frontend state mapping.</t>
  </si>
  <si>
    <t>Consumes W1 semantics and W3 kernel; no independent aggregation rules.</t>
  </si>
  <si>
    <t>T-213</t>
  </si>
  <si>
    <t>Customer Data Intake and Capability Assessment authority</t>
  </si>
  <si>
    <t>Onboarding</t>
  </si>
  <si>
    <t>Customer data assessment</t>
  </si>
  <si>
    <t>Create a versioned assessment workflow/report for an unknown customer: source inventory, entity/equipment map, time model, identity/join strategy, parameter catalogue, KPI candidates, references, aggregation gaps, data quality, historical coverage, reconciliation/ML eligibility, OT trial requirements and missing information. The intake MUST also capture same-calendar-window manual vs machine history availability, transition/changeover definitions and stabilisation rules, sequence/campaign boundaries, setup/preparation evidence, and customer objective sets/trade-off preferences. Accepted results become normal definitions/mappings; the assessment is not a second authority.</t>
  </si>
  <si>
    <t>Run against one foreign/customer-shaped fixture and produce a complete report with explicit UNKNOWN/MISSING states, including regime-context readiness and multi-objective readiness. Same-window reconciliation evidence is separately reported. No product-code change is made for customer vocabulary. Re-run after one new source/field creates a new assessment version and diff.</t>
  </si>
  <si>
    <t>T-201; T-206</t>
  </si>
  <si>
    <t>T-227; T-247</t>
  </si>
  <si>
    <t>Backend / product workflow</t>
  </si>
  <si>
    <t>External gate: customer data structure received (expected 2-Sep-2026) + T-201/T-206 green.</t>
  </si>
  <si>
    <t>Onboarding assessment service/report; no customer-specific schema code.</t>
  </si>
  <si>
    <t>Mappings/definitions become canonical through existing authorities; report does not become a shadow registry.</t>
  </si>
  <si>
    <t>T-224</t>
  </si>
  <si>
    <t>Production OPC UA edge runtime: endpoint security, certificates and session lifecycle</t>
  </si>
  <si>
    <t>OPC UA edge</t>
  </si>
  <si>
    <t>Implement real OPC UA client runtime inside the customer-side collector boundary: endpoint discovery/selection, security policy negotiation, application certificate/trust management, authenticated session lifecycle and read-only enforcement. Core never gains plant-network credentials/routes.</t>
  </si>
  <si>
    <t>Against a real SDK test server, establish trusted and rejected sessions, rotate trust, reconnect after server restart and prove no write/control verb/path exists. Capability metadata remains false until this task and downstream browse/subscription tasks pass.</t>
  </si>
  <si>
    <t>T-153; T-225</t>
  </si>
  <si>
    <t>External/site + backend</t>
  </si>
  <si>
    <t>Customer-side edge agent/OPC adapter only.</t>
  </si>
  <si>
    <t>T-225 consumes session adapter; site certification remains T-153/T-227-like acceptance, not hidden in code.</t>
  </si>
  <si>
    <t>T-225</t>
  </si>
  <si>
    <t>Production OPC UA edge runtime: browse, tag registration, subscription and monitored items</t>
  </si>
  <si>
    <t>Implement namespace browse, tag selection/registration, subscriptions/monitored items, sampling/publishing interval and deadband configuration behind generic collector contracts.</t>
  </si>
  <si>
    <t>Browse a test namespace, register N tags, subscribe, receive changed values and prove disconnect/reconnect resumes without fabricated deterministic samples. Read-only operations only. `supportsTagBrowse`/`supportsSubscription` become true only after these executed tests.</t>
  </si>
  <si>
    <t>T-153; T-226</t>
  </si>
  <si>
    <t>T-224.</t>
  </si>
  <si>
    <t>Edge OPC adapter + tag registry integration.</t>
  </si>
  <si>
    <t>T-226 consumes typed acquired values; no core API direct OPC connection.</t>
  </si>
  <si>
    <t>T-226</t>
  </si>
  <si>
    <t>Production OPC UA edge runtime: quality/timestamps, recovery and spool-to-canonical proof</t>
  </si>
  <si>
    <t>Preserve OPC StatusCode/quality plus source/server timestamps, integrate reconnect/sequence-loss handling and existing store-and-forward spool, map acquired values into canonical observations under Source Time Authority.</t>
  </si>
  <si>
    <t>Good/bad/uncertain quality and source-vs-server timestamp cases land correctly; network interruption queues locally and resumes idempotently; duplicate replay does not duplicate canonical observations; customer-core direction remains one-way.</t>
  </si>
  <si>
    <t>T-225; T-233</t>
  </si>
  <si>
    <t>T-153</t>
  </si>
  <si>
    <t>T-225 + T-216 Source Time Authority.</t>
  </si>
  <si>
    <t>Edge spool/acquisition mapper + canonical ingest contract.</t>
  </si>
  <si>
    <t>T-153 real-source connector certification consumes this implementation; do not call implementation itself site-certified.</t>
  </si>
  <si>
    <t>T-232</t>
  </si>
  <si>
    <t>Persist Performance Reference authority and projections</t>
  </si>
  <si>
    <t>Reference persistence</t>
  </si>
  <si>
    <t>Persist the frozen T-214 Performance Reference contract, including declared standards/targets/envelopes, deterministic scope precedence, effective dating, directionality, provenance and projections from existing specifications/operating limits. No second reference authority.</t>
  </si>
  <si>
    <t>Migration/replay green; Global/Site/Equipment reference precedence and effective-date replay pass; equal-authority ambiguity remains RF01; existing specification/limit projections resolve through one read authority.</t>
  </si>
  <si>
    <t>T-090; T-231; T-214</t>
  </si>
  <si>
    <t>T-215</t>
  </si>
  <si>
    <t>T-090 + T-231 + committed T-214 contract.</t>
  </si>
  <si>
    <t>performance reference tables/projections/API.</t>
  </si>
  <si>
    <t>T-215 consumes persistence; no local reference math.</t>
  </si>
  <si>
    <t>T-233</t>
  </si>
  <si>
    <t>Persist Source Time Authority and observation timestamp provenance</t>
  </si>
  <si>
    <t>Temporal authority persistence</t>
  </si>
  <si>
    <t>Persist the frozen T-216 Source Time Authority contract per source/site and preserve source/server/ingest timestamp provenance on observations. Own migrations, tenant-safe keys and canonical read API; no settings UI and no alignment algorithm here.</t>
  </si>
  <si>
    <t>Two sources with different declared timestamp origins and known skew persist/replay correctly; source/server/ingest timestamps survive ingestion; tenant isolation passes; the API exposes exactly the T-216 contract.</t>
  </si>
  <si>
    <t>T-087; T-090; T-216</t>
  </si>
  <si>
    <t>T-221; T-226</t>
  </si>
  <si>
    <t>T-087 + T-090 + committed T-216 contract.</t>
  </si>
  <si>
    <t>source_time_authorities/observation timestamp provenance/API.</t>
  </si>
  <si>
    <t>T-221/T-226 consume canonical persistence; T-217 kernel does not wait.</t>
  </si>
  <si>
    <t>T-235</t>
  </si>
  <si>
    <t>Persist transition/stabilisation authority and regime context</t>
  </si>
  <si>
    <t>Process regime persistence</t>
  </si>
  <si>
    <t>Persist process_transition_definitions and process_transition_events plus effective-dated stabilisation policy, provenance and query API under the canonical definition/tenant authority. Do not model changeover as downtime by default; overlap is allowed and explicit.</t>
  </si>
  <si>
    <t>Fresh migration/replay green. A customer-authored transition definition and event round-trip with scope/from-to context/stabilisation rule; no shipped industry values. Querying an interval returns exact transition/stabilisation overlaps and evidence.</t>
  </si>
  <si>
    <t>T-090; T-231; T-234</t>
  </si>
  <si>
    <t>T-164; T-212; T-237</t>
  </si>
  <si>
    <t>T-090 + T-231 + committed T-234 contract.</t>
  </si>
  <si>
    <t>process transition tables/API/migrations.</t>
  </si>
  <si>
    <t>T-237/customer onboarding consume committed persistence; do not redesign contract.</t>
  </si>
  <si>
    <t>T-241</t>
  </si>
  <si>
    <t>Canvas executable block contract, typed ports and graph validation</t>
  </si>
  <si>
    <t>No-code authoring</t>
  </si>
  <si>
    <t>Important</t>
  </si>
  <si>
    <t>Generalise the typed-port and graph semantics already proven in the M1 SharedAuthoringShell/VisualJoinCanvas slice into the production canvas contract. Reuse the existing shell and ports; do not create a second canvas. Define executable block kinds, typed input/output ports, required-port rules, graph validation and genericity constraints. No block or port may carry industry vocabulary.</t>
  </si>
  <si>
    <t>Architecture test proves one shared canvas contract. Typed-port known answers pass; an unconnected required port returns a typed refusal; incompatible ports refuse before execution; no industry noun/default grain appears in the generic block contract.</t>
  </si>
  <si>
    <t>T-032; T-201</t>
  </si>
  <si>
    <t>T-242; T-243</t>
  </si>
  <si>
    <t>Post-Sep product completion</t>
  </si>
  <si>
    <t>Frontend shared authoring shell, canvas graph/ports only.</t>
  </si>
  <si>
    <t>Reuse M1 SharedAuthoringShell and existing typed-port assets. No second canvas component.</t>
  </si>
  <si>
    <t>T-242</t>
  </si>
  <si>
    <t>Canvas production block library: relational, arithmetic, logic, window and governed aggregate</t>
  </si>
  <si>
    <t>Complete the executable block library behind the existing catalogue: source/filter/join, arithmetic, comparison, boolean logic, branch/window and governed aggregate blocks. Aggregate blocks resolve the canonical aggregation semantics authority and never default to Average. Include production arithmetic/comparison/Boolean blocks, IF/ELSE, ForEach, RepeatN and WhileBounded. WhileBounded requires max_iterations, runtime budget and cancellation; unbounded loops cannot publish.</t>
  </si>
  <si>
    <t>Every executable block has deterministic known-answer and type-mismatch tests. Aggregate blocks consume the canonical aggregation contract and refuse AG01 when semantics are undeclared. Unsupported catalogue entries remain visibly unavailable rather than silently no-op. Known-answer graphs prove +,-,*,/, comparisons, AND/OR/NOT, IF/ELSE, ForEach, RepeatN and bounded While. A graph with no finite loop bound refuses validation.</t>
  </si>
  <si>
    <t>T-241; T-210</t>
  </si>
  <si>
    <t>T-243</t>
  </si>
  <si>
    <t>Canvas block registry and executable block nodes.</t>
  </si>
  <si>
    <t>Do not duplicate analytics kernels; blocks call governed Layer-A/Layer-B contracts.</t>
  </si>
  <si>
    <t>Canvas persistence, immutable versioning and reopen/edit round-trip</t>
  </si>
  <si>
    <t>Persist the shared canvas graph through the unified definition_store/definition_versions authority. Save block positions, typed connections, parameters and purpose; reopen and edit a published/draft version under the existing lifecycle. No canvas-specific shadow store.</t>
  </si>
  <si>
    <t>Create/save/reopen/edit round-trip preserves semantic graph content; version history is immutable; rollback selects an existing version; no second definition lifecycle/table is introduced.</t>
  </si>
  <si>
    <t>T-241; T-242; T-089; T-090</t>
  </si>
  <si>
    <t>T-245; T-246</t>
  </si>
  <si>
    <t>Frontend canvas persistence + definition-store client contracts.</t>
  </si>
  <si>
    <t>No canvas-specific persistence schema.</t>
  </si>
  <si>
    <t>T-244</t>
  </si>
  <si>
    <t>SQL-mode production convergence: compile, validate, bounded dry-run and definition persistence</t>
  </si>
  <si>
    <t>Converge the SQL mode already delivered in T-035/T-036 onto the canonical M2 definition store and production query budgets. Reuse SafeSqlValidator and the existing editor; do not rebuild them. Add compile/validate-before-run, bounded dry-run/result preview, row/scan/cost telemetry and canonical persisted definition/version identity.</t>
  </si>
  <si>
    <t>The existing SQL safety suite remains green. An unvalidated or unbounded statement never executes. Dry-run returns bounded rows plus telemetry. Save/reopen uses the unified definition store. No duplicate SQL editor or validator is introduced.</t>
  </si>
  <si>
    <t>T-035; T-036; T-089; T-090</t>
  </si>
  <si>
    <t>T-245</t>
  </si>
  <si>
    <t>SharedAuthoringShell SQL mode + canonical definition API.</t>
  </si>
  <si>
    <t>Preserve SafeSqlValidator/editor behaviour and tests.</t>
  </si>
  <si>
    <t>Canvas-to-job compilation, binding, run monitor and per-block evidence</t>
  </si>
  <si>
    <t>Compile a validated canvas definition into the governed job/runtime contract, bind the declared target/version, launch it, monitor progress and correlate per-block diagnostics/evidence to the run id. Job target/version and dependency policy remain owned by the canonical job authority. Bind to the already accepted job runtime; do not wait for Release-2 advanced orchestration.</t>
  </si>
  <si>
    <t>A validated canvas runs through the normal job API; each block is traceable to run diagnostics/evidence; a block failure is isolated and typed; target/version follows T-106; no private canvas scheduler is created.</t>
  </si>
  <si>
    <t>T-243; T-244</t>
  </si>
  <si>
    <t>Canvas compiler/job binding + run monitor only.</t>
  </si>
  <si>
    <t>T-106 remains job policy authority.</t>
  </si>
  <si>
    <t>T-246</t>
  </si>
  <si>
    <t>Canvas governed model/intelligence block invocation</t>
  </si>
  <si>
    <t>Expose registered intelligence/model families as governed canvas blocks after the production model registry exists. Invocation resolves serving identity/model version and semantic manifest, calls the registered runtime, and returns governed result/evidence handles. No model framework or provider is exposed as the product contract.</t>
  </si>
  <si>
    <t>Invocation resolves an active registered serving identity and semantic manifest; an unregistered/not-ready model refuses; result carries evidence handles/claim class; no direct Python/provider call exists in the frontend.</t>
  </si>
  <si>
    <t>T-243; T-130; T-137</t>
  </si>
  <si>
    <t>Canvas model/intelligence block adapters only.</t>
  </si>
  <si>
    <t>T-130/model registry and T-137 serving runtime remain authorities.</t>
  </si>
  <si>
    <t>T-247</t>
  </si>
  <si>
    <t>First-customer Day-1 Golden Journey and same-binary onboarding proof</t>
  </si>
  <si>
    <t>Data Integration</t>
  </si>
  <si>
    <t>Customer onboarding</t>
  </si>
  <si>
    <t>Using the customer's own source shape/configuration, prove the same compiled product can create/test a DB Link, browse/preview, map/configure, prepare in Canvas, validate/dry-run, save/version, compile/bind to a Job, run/monitor/log, project canonical data and open a working BI result with zero customer-specific product code.</t>
  </si>
  <si>
    <t>One end-to-end evidence pack proves zero C# diff, zero TypeScript diff and zero product-SQL diff; configuration/metadata only. The customer-shaped journey completes through product surfaces and replays deterministically.</t>
  </si>
  <si>
    <t>T-092; T-207; T-212; T-213; T-241; T-242; T-243; T-244; T-245</t>
  </si>
  <si>
    <t>Customer configuration / integration</t>
  </si>
  <si>
    <t>T-213 complete + T-092 green.</t>
  </si>
  <si>
    <t>Configuration/mapping/registry definitions and customer-shaped demo profile; no product source files unless a generic defect is found.</t>
  </si>
  <si>
    <t>If onboarding requires C#/TypeScript/product-SQL changes, stop and raise a generic product gap; do not patch around it.</t>
  </si>
  <si>
    <t>T-148</t>
  </si>
  <si>
    <t>P3</t>
  </si>
  <si>
    <t>Map the 108 page files onto the 40 target pages</t>
  </si>
  <si>
    <t>Namespace</t>
  </si>
  <si>
    <t>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t>
  </si>
  <si>
    <t>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t>
  </si>
  <si>
    <t>T-196; T-197; T-198; T-199; T-200</t>
  </si>
  <si>
    <t>T-150</t>
  </si>
  <si>
    <t>M2-P3</t>
  </si>
  <si>
    <t>M1 continuity frozen + all target-route implementation owners available, incl...</t>
  </si>
  <si>
    <t>Own route inventory/redirect cleanup only; do not touch W3 intelligence surfaces.</t>
  </si>
  <si>
    <t>Enterprise BI &amp; Customer Experience</t>
  </si>
  <si>
    <t>M2 P3 — Enterprise BI &amp; Customer Experience. Release 1 is genuine early production / first-week customer work.</t>
  </si>
  <si>
    <t>Reference gap, attainment and envelope measures in registry/BI</t>
  </si>
  <si>
    <t>Frontend/Backend</t>
  </si>
  <si>
    <t>Reference analytics</t>
  </si>
  <si>
    <t>Expose governed derived measures: GapToReference, NormalizedDeviation, InEnvelope, DistanceToBoundary and Attainment where mathematically valid. Bind them as registry measures without creating a second reference authority.</t>
  </si>
  <si>
    <t>Top reference cases higher-is-better, lower-is-better and inside-range produce known answers and correct labels/provenance. An inapplicable attainment formula refuses rather than displaying a misleading percentage. Measures are usable in Page Builder without code per customer reference.</t>
  </si>
  <si>
    <t>T-092; T-214; T-232</t>
  </si>
  <si>
    <t>T-222</t>
  </si>
  <si>
    <t>Frontend/backend integration</t>
  </si>
  <si>
    <t>T-092 + T-214.</t>
  </si>
  <si>
    <t>Registry projection + query measures + widget labels.</t>
  </si>
  <si>
    <t>Consume reference ID/version and scoring semantics; no local UI formula.</t>
  </si>
  <si>
    <t>D1/D4 reconciliation evidence surface and reference overlay</t>
  </si>
  <si>
    <t>Reconciliation UI</t>
  </si>
  <si>
    <t>Render reconciliation cases through existing Findings/Interactive Workspace paths with reference overlays, causal-confidence level and transition/stabilisation regime evidence from T-236. No oil-specific page. September surface consumes the governed kernel result seam; canonical reconciliation tables remain post-demo.</t>
  </si>
  <si>
    <t>Customer-shaped historical fixture shows one case end-to-end; all values/evidence open; TemporalUncertain and MissingEvidence have distinct wording; no person/lie wording; cross-filtering remains functional and route/session gates stay green.</t>
  </si>
  <si>
    <t>T-219; T-220; T-215; T-203; T-204</t>
  </si>
  <si>
    <t>Frontend integration</t>
  </si>
  <si>
    <t>T-219/T-220 result contract + T-215 + T-203/T-204. Do not create a demo-only store.</t>
  </si>
  <si>
    <t>D1/D4 generic components only; no new oil route.</t>
  </si>
  <si>
    <t>Use existing governed evidence/result contract. T-221 later changes persistence behind the contract without UI redesign.</t>
  </si>
  <si>
    <t>T-137</t>
  </si>
  <si>
    <t>P4</t>
  </si>
  <si>
    <t>ModelServingRuntime and model-gateway adapter, isolated from the presentation dock</t>
  </si>
  <si>
    <t>AI+ML</t>
  </si>
  <si>
    <t>LLM runtime</t>
  </si>
  <si>
    <t>Replace the obsolete provider-specific POST assumption with a replaceable ModelServingRuntime plus model-gateway adapter. Support self-hosted/private/BYOM endpoints, minimum-scoped evidence payloads, provider/model release identity, timeout/cancellation and no-unapproved-fallback. IMPLEMENT NOW ONLY AS AN ISOLATED MODULE: do not register it into the current assistant DI or change the M1 dock/runtime. Canonical wiring happens in T-138.</t>
  </si>
  <si>
    <t>Standalone contract tests run against a deterministic fake runtime and an HTTP translating stub. They prove minimum-scoped payload, timeout/cancel, governed provider/model identity, and refusal on unapproved fallback. A repository dependency test proves no production assistant registration or M1 route/file changed in this task.</t>
  </si>
  <si>
    <t>CLOSED</t>
  </si>
  <si>
    <t>T-122; T-138; T-246</t>
  </si>
  <si>
    <t>Closed</t>
  </si>
  <si>
    <t>M2-P4</t>
  </si>
  <si>
    <t>Closed — do not reopen without contradictory regression evidence.</t>
  </si>
  <si>
    <t>No active lock.</t>
  </si>
  <si>
    <t>None — preserve evidence.</t>
  </si>
  <si>
    <t>Industrial Intelligence — Reference, Reconciliation &amp; Assistant</t>
  </si>
  <si>
    <t>M2 P4 — Industrial Intelligence — Reference, Reconciliation &amp; Assistant. Release 1 is genuine early production / first-week customer work.</t>
  </si>
  <si>
    <t>T-168</t>
  </si>
  <si>
    <t>Versioned C#↔Python ML job protocol and isolated runtime harness</t>
  </si>
  <si>
    <t>ML runtime</t>
  </si>
  <si>
    <t>Build the schema-independent execution protocol between the .NET job runner and Python ML processes. A versioned job spec carries job/tenant/site identity, model family, semantic manifest handle when available, snapshot/artifact URI+hash, seed, code identity, resource/cancellation/checkpoint settings and output location. Python returns a versioned result manifest with terminal state, metrics, artifact hashes, warnings/refusal and checkpoint identity. This task is deliberately NOT registered into production DI, scheduler or presentation runtime.</t>
  </si>
  <si>
    <t>Run deterministic fake trainers through success, honest refusal, crash, timeout, cancellation and checkpoint/resume. C# must preserve stdout/stderr and exit identity without parsing free-form text as truth. Re-running the same seeded fixture yields the same result-manifest content hashes. A dependency test proves no current M1 runtime registration changed.</t>
  </si>
  <si>
    <t>T-122; T-175; T-187</t>
  </si>
  <si>
    <t>T-169</t>
  </si>
  <si>
    <t>Typed columnar training-artifact library and B-03 harness</t>
  </si>
  <si>
    <t>Data artifacts</t>
  </si>
  <si>
    <t>Implement a typed columnar artifact abstraction used by sealed feature snapshots. Parquet/Arrow/equivalent remain implementation candidates behind the contract. Own schema/type mapping, column projection, content hash, byte/row counts, deterministic read order, corruption detection and a benchmark hook for B-03. No database table is the training read path and this task does not create final persistence.</t>
  </si>
  <si>
    <t>Write and read the same representative fixture through each enabled candidate. Assert stable row/schema/content identity, projected-column reads, bounded memory and explicit refusal for unsupported/corrupt schemas. Produce B-03 benchmark output format without choosing a winner or guessing a production threshold.</t>
  </si>
  <si>
    <t>T-175; T-184; T-187</t>
  </si>
  <si>
    <t>T-170</t>
  </si>
  <si>
    <t>Chunked sequence-artifact library and bounded loader</t>
  </si>
  <si>
    <t>Implement the schema-independent sequence payload contract: immutable chunked typed numeric arrays, compression seam, chunk index, content hashes and bounded streaming/memory-mapped reads where supported. PostgreSQL array payloads are forbidden; final sequence_manifests persistence is T-185. Include the B-04 benchmark hook.</t>
  </si>
  <si>
    <t>Generate a large synthetic multi-channel sequence fixture, read it without whole-payload materialisation, verify chunk order/content hash and detect a corrupted/missing chunk. Compare at least two chunk/compression settings and emit B-04 measurements without hardcoding the selected values.</t>
  </si>
  <si>
    <t>T-185; T-187</t>
  </si>
  <si>
    <t>T-171</t>
  </si>
  <si>
    <t>Capability Profiler and eligibility/refusal kernel</t>
  </si>
  <si>
    <t>Engine</t>
  </si>
  <si>
    <t>Readiness</t>
  </si>
  <si>
    <t>Implement a pure, industry-neutral Capability Profiler that converts declared semantic/data-product facts into measured capability states for statistics, similarity, novelty, supervised prediction, practice and remediation. Include collapsed-dimension handling, genealogy strength, outcome/label availability, population sufficiency and the canonical terminal/refusal taxonomy. No database access or presentation wiring.</t>
  </si>
  <si>
    <t>Table-driven fixtures cover a rich plant, a sparse plant, no-genealogy, single-level context, missing labels and unsupported method cases. The same input produces the same capability profile; a collapsed single-level dimension is removed rather than treated as an error; method absence is NOT_APPLICABLE rather than a false zero-variance claim.</t>
  </si>
  <si>
    <t>T-131; T-186; T-187</t>
  </si>
  <si>
    <t>T-172</t>
  </si>
  <si>
    <t>MF-01 Process Encoder runtime behind a replaceable contract</t>
  </si>
  <si>
    <t>MF-01 Encoder</t>
  </si>
  <si>
    <t>Implement ProcessEncoder as a replaceable runtime with a PyTorch candidate, channel_set_version, deterministic seed/environment manifest, train/encode/artifact contracts and serving-cost telemetry. The encoder is optional and no production promotion decision is made here. It consumes only sealed typed sequence/snapshot artifacts and never live feature_store.</t>
  </si>
  <si>
    <t>Train/encode a deterministic fixture twice and compare artifact/embedding reproducibility within declared tolerance. Change channel_set_version and prove the prior encoder is incompatible. Measure metric-lift input hooks, p95 cost and artifact size for B-05; no task declares the encoder deployable merely because it trains.</t>
  </si>
  <si>
    <t>T-187</t>
  </si>
  <si>
    <t>T-173</t>
  </si>
  <si>
    <t>MF-02 VectorSimilarityIndex with exact-Flat recall baseline</t>
  </si>
  <si>
    <t>MF-02 Similarity</t>
  </si>
  <si>
    <t>Implement the VectorSimilarityIndex product contract: build, seal, extend/new-generation, search and recall_probe. Exact Flat remains the permanent benchmark on a representative sample; ANN families such as HNSW/IVF/PQ/FAISS are candidates only. Index generations are immutable and identified by content/generation manifest.</t>
  </si>
  <si>
    <t>Build Exact Flat and at least one approximate candidate on synthetic vectors. Measure recall@k, p95 search, build time and memory; deliberately degrade the ANN and prove a build below recall_floor is not eligible to serve. Repeating a sealed generation yields stable identity and search evidence handles.</t>
  </si>
  <si>
    <t>T-140; T-187</t>
  </si>
  <si>
    <t>T-174</t>
  </si>
  <si>
    <t>MF-03 novelty-model runtime and honest refusal semantics</t>
  </si>
  <si>
    <t>MF-03 Novelty</t>
  </si>
  <si>
    <t>Implement the novelty/anomaly family behind a replaceable contract with a simple baseline first and an isolation/density candidate only where eligible. Persistable outputs must separate score, threshold/calibration identity, population context and refusal state. No source-schema or industry vocabulary is allowed.</t>
  </si>
  <si>
    <t>Known synthetic normal/outlier populations produce expected ranking; a too-small or degenerate population returns the correct refusal instead of a fabricated score. Run deterministic seed/environment checks and export artifact/metrics in the common T-168 result-manifest shape.</t>
  </si>
  <si>
    <t>T-175</t>
  </si>
  <si>
    <t>MF-04 supervised-outcome training runtime and mandatory simple baseline</t>
  </si>
  <si>
    <t>MF-04 Supervised</t>
  </si>
  <si>
    <t>Implement SupervisedOutcomeModel behind the common runtime: train a mandatory simple baseline first, then a LightGBM tabular candidate for supported binary/multiclass/ordinal/continuous outcomes. Enforce prediction_cutoff/feature availability before training and emit reproducible artifact, holdout and performance metadata. Do not wire registry activation in this task. v2.10.1 SAFE-NOW OUTCOME RULE. During SAFE-NOW work, outcome definitions, prediction points and detection cutoffs are fixture-declared typed contracts only. Do not bind this task to ppiq_app tables, current ml_outcome_definitions rows, presentation outcomes or any physical production schema. Production supervised training consumes the canonical published SM-06 OutcomeDefinition only after its Release 1 binding is certified.</t>
  </si>
  <si>
    <t>Known-answer fixtures cover at least binary and multiclass/ordinal outcomes. Inject a post-cutoff feature and prove training is blocked. The candidate and baseline train on the same sealed snapshot and report comparable metrics plus environment/artifact hashes; no candidate is called champion here. Leakage tests derive cutoff/detection semantics from the typed fixture OutcomeDefinition contract rather than hardcoded product/plant constants. No SAFE-NOW model code contains a production outcome code, canonical grain literal or production detection anchor. The runtime executes completely against sealed in-memory/file fixtures.</t>
  </si>
  <si>
    <t>T-168; T-169</t>
  </si>
  <si>
    <t>T-176</t>
  </si>
  <si>
    <t>Calibration, explanation stability and three-dimensional promotion kernel</t>
  </si>
  <si>
    <t>Model governance</t>
  </si>
  <si>
    <t>Implement the pure evaluation/promotion decision used by learned models. QUALITY covers discrimination/error, calibration, out-of-time, subgroup/regime stability, missingness robustness and explanation stability. SERVING covers p50/p95/p99, throughput, artifact size, RAM/VRAM and warm-up. TRAINING covers duration, peak memory and snapshot throughput. Include the encoder promotion inequality and TreeSHAP as an initial explanation candidate, not a product contract.</t>
  </si>
  <si>
    <t>A better-discriminating but worse-calibrated challenger is rejected. A model with unstable explanations is rejected. A simpler baseline that falls within the declared lift threshold defeats a costly encoder. Every promotion decision is reproducible from a frozen metrics document and names the failed dimension.</t>
  </si>
  <si>
    <t>T-140; T-187; T-191</t>
  </si>
  <si>
    <t>T-177</t>
  </si>
  <si>
    <t>Production statistical-method kernel, including Numeric×Categorical</t>
  </si>
  <si>
    <t>Statistics</t>
  </si>
  <si>
    <t>Build the schema-independent statistical kernel that T-146 will later wire into production. Preserve the proven Numeric×Numeric, Binary×Numeric and Categorical×Categorical paths and implement Numeric×Categorical with assumption-aware one-way ANOVA and Kruskal-Wallis fallback. Produce aligned population/group counts, effect size, p-value, q/FDR and explicit exclusion taxonomy. v2.10.1 TRACEABILITY TIGHTENING. Before replacing, retiring or reimplementing any existing statistical path, inspect the current reachable statistical implementations and their behavioural tests/source trace and record the proven behaviour that must be preserved. Known-answer fixtures may be authored first because they are mathematics-only and database-independent; fixture construction does not authorise replacement of an existing path before that source/test trace is available.</t>
  </si>
  <si>
    <t>Known-answer fixtures select the expected method and effect-size family. Assumption violation switches ANOVA to Kruskal-Wallis. Constant input, unsupported pairing and insufficient groups/sample are three distinct terminal reasons. The kernel has no DI registration, DB write or M1 presentation dependency. Existing proven Numeric×Numeric, Binary×Numeric and Categorical×Categorical behaviours are regression-compared against the new kernel after the current implementation/test trace is inspected. Known-answer fixtures independently certify the mathematics. T-177 may begin with fixture construction before source trace is available, but may not close, retire or replace an existing reachable statistical path until the source/test trace has been inspected and parity is evidenced.</t>
  </si>
  <si>
    <t>T-146; T-147</t>
  </si>
  <si>
    <t>T-178</t>
  </si>
  <si>
    <t>Pure remediation eligibility and can_accept decision kernel</t>
  </si>
  <si>
    <t>Remediation</t>
  </si>
  <si>
    <t>Implement the nine-check remediation eligibility logic and the complete seven-condition can_accept authority as a pure, table-driven domain service. Return actionable, evidence_only, exploratory or suppressed plus named failed checks. No persistence, UI wiring or plant-control client in this task.</t>
  </si>
  <si>
    <t>One deterministic case fails each check by name; combinations produce the correct final class. can_accept cannot be reconstructed from fewer fields. A safety-check failure always produces suppressed. Static/dependency tests prove the kernel has no customer-source write/control dependency.</t>
  </si>
  <si>
    <t>T-143</t>
  </si>
  <si>
    <t>T-179</t>
  </si>
  <si>
    <t>Deterministic Assistant tool planner</t>
  </si>
  <si>
    <t>LLM orchestration</t>
  </si>
  <si>
    <t>Implement the deterministic planner between resolved intent/entity context and declared Layer A/Layer B tools. The LLM never chooses tools. The planner is tenant/permission aware, asks on ambiguity, prioritises structured tools for facts and emits an auditable plan object. Build in a new isolated namespace with no current dock wiring.</t>
  </si>
  <si>
    <t>A fixed probe set covers paraphrases, ambiguous entities, permission differences and unsupported intents. Equivalent intents select the same tool set; ambiguity asks rather than guesses; a forbidden tool is never planned. No LLM call occurs during planning.</t>
  </si>
  <si>
    <t>T-138; T-223; T-228</t>
  </si>
  <si>
    <t>T-180</t>
  </si>
  <si>
    <t>Permission-first hybrid retrieval and evidence packer</t>
  </si>
  <si>
    <t>LLM grounding</t>
  </si>
  <si>
    <t>Implement hybrid lexical+semantic retrieval/fusion with permission filtering BEFORE ranking, deduplication, tool-result priority, evidence-handle retention and a hard token budget with reserved answer allowance. Truncation is recorded/disclosed. Re-ranking stays behind an optional benchmarked seam for B-08. Isolated module only; no current presentation corpus cutover.</t>
  </si>
  <si>
    <t>A forbidden high-scoring chunk cannot displace an allowed chunk. Duplicate evidence is collapsed without losing handles. A token-overflow fixture records truncation and still preserves higher-priority structured evidence. Run with and without the reranker seam and emit B-07/B-08 measurements.</t>
  </si>
  <si>
    <t>T-181</t>
  </si>
  <si>
    <t>Deterministic answer verifier and Q-01..Q-11 evaluation harness</t>
  </si>
  <si>
    <t>LLM verification</t>
  </si>
  <si>
    <t>Implement the post-LLM deterministic verifier plus a fixed Assistant quality harness. Verify numeric claims against supplied evidence handles, forbid claim-class upgrade, preserve engine refusal, distinguish transport failure from abstention and reject unsupported claims without another LLM call. Encode Q-01..Q-11 measurements including tool selection, groundedness, citation correctness, refusal and causal-overreach.</t>
  </si>
  <si>
    <t>Probe answers deliberately contain an uncited number, upgraded causal wording, erased refusal, fabricated handle and transport failure; each is blocked or classified correctly. A valid cited answer passes. Q-01..Q-11 results are machine-readable and reproducible on the fixed probe set.</t>
  </si>
  <si>
    <t>T-182</t>
  </si>
  <si>
    <t>Benchmark harness and result manifest for B-01..B-09</t>
  </si>
  <si>
    <t>AI/ML benchmarks</t>
  </si>
  <si>
    <t>Create the common benchmark runner/result schema for B-01 through B-09. Record hardware/runtime identity, commit, dataset/snapshot hash, parameters, warm-up, repetitions and p50/p95/p99/throughput/memory metrics as applicable. This task creates measurement machinery only; it must not guess production values.</t>
  </si>
  <si>
    <t>Run at least one synthetic smoke benchmark for each B-ID and produce a complete machine-readable result manifest. The harness refuses to publish a 'selected' value without the benchmark inputs/results that justify it. Re-running the same fixture preserves experiment identity and traceability.</t>
  </si>
  <si>
    <t>T-211</t>
  </si>
  <si>
    <t>Aggregation semantics execution kernel with continuous known answers</t>
  </si>
  <si>
    <t>Analytics Engine</t>
  </si>
  <si>
    <t>Aggregation kernel</t>
  </si>
  <si>
    <t>Implement schema-independent aggregation kernels for SampleMean, TimeWeightedMean, Integral, Delta, StateDuration, Count, Min, Max and Last with quality/gap/reset rules and typed refusal. Use controlled fixtures, including irregular sampling, states and counters.</t>
  </si>
  <si>
    <t>Known answers match analytical construction; deliberately irregular data proves SampleMean and TimeWeightedMean differ where expected; state duration and counter reset cases pass; undeclared/invalid semantics refuse AG01/AG02. Zero industry vocabulary and no DB access.</t>
  </si>
  <si>
    <t>T-208; T-210</t>
  </si>
  <si>
    <t>Kernel isolated</t>
  </si>
  <si>
    <t>T-208 fixture + T-210 frozen contract. No production DI/persistence until consumer hand-off.</t>
  </si>
  <si>
    <t>New analytics kernel/tests only.</t>
  </si>
  <si>
    <t>T-212 consumes this kernel unchanged; W3 does not edit dashboard query files.</t>
  </si>
  <si>
    <t>T-214</t>
  </si>
  <si>
    <t>Performance Reference contract, precedence and scoring-semantics kernel</t>
  </si>
  <si>
    <t>Reference contract</t>
  </si>
  <si>
    <t>Freeze declared Performance Reference kinds, scope precedence, directionality/scoring semantics, effective dating, ambiguity refusal RF01 and deterministic resolution as a schema-independent contract/kernel. No production persistence in this task.</t>
  </si>
  <si>
    <t>Known-answer contract tests cover HigherIsBetter, LowerIsBetter, InsideRange, ClosestToTarget, effective-date resolution and equal-authority ambiguity -&gt; RF01. Runs without production DB access.</t>
  </si>
  <si>
    <t>T-215; T-223; T-232; T-238; T-239</t>
  </si>
  <si>
    <t>T-209 frozen generic subject contract.</t>
  </si>
  <si>
    <t>Reference contract/resolver tests only.</t>
  </si>
  <si>
    <t>T-232 persists reference authority; consumers do not redefine scoring semantics.</t>
  </si>
  <si>
    <t>T-217</t>
  </si>
  <si>
    <t>Temporal evidence alignment kernel</t>
  </si>
  <si>
    <t>Temporal alignment</t>
  </si>
  <si>
    <t>Build an isolated kernel for source clock adjustment, interval overlap, tolerance windows, incomplete interval handling and TemporalUncertain refusal. It consumes Source Time Authority, not raw timezone assumptions.</t>
  </si>
  <si>
    <t>Known-answer skew/overlap fixtures pass; DST/local-vs-UTC case is aligned only with declared authority; skew beyond tolerance returns TM01/TemporalUncertain rather than conflict. Deterministic repeatability and no DB access.</t>
  </si>
  <si>
    <t>T-208; T-216</t>
  </si>
  <si>
    <t>T-219; T-236</t>
  </si>
  <si>
    <t>T-208 fixture + T-216 frozen contract.</t>
  </si>
  <si>
    <t>New temporal kernel/tests only.</t>
  </si>
  <si>
    <t>T-219 consumes alignment output; does not reimplement clock logic.</t>
  </si>
  <si>
    <t>T-218</t>
  </si>
  <si>
    <t>Fact Evidence Authority resolution kernel</t>
  </si>
  <si>
    <t>Evidence authority</t>
  </si>
  <si>
    <t>Define/implement fact-specific evidence authority resolution: for each semantic fact, resolve Primary/Supporting/Corroborating sources, quality floor and effective date. No global source ranking and no PLC-is-truth shortcut.</t>
  </si>
  <si>
    <t>Known-answer cases distinguish valve command vs valve feedback, motor electrical state vs production-order fact, and manual declared reason. Same source may be primary for one fact and irrelevant for another. Ambiguous/missing primary authority returns typed evidence-unavailable state.</t>
  </si>
  <si>
    <t>T-219</t>
  </si>
  <si>
    <t>T-090 semantic definitions + T-208 fixture. Persistence waits for T-112/T-114; pure kernel may start earlier.</t>
  </si>
  <si>
    <t>New evidence-authority contracts/kernel/tests.</t>
  </si>
  <si>
    <t>T-219 consumes authority result; no source priority duplicated elsewhere.</t>
  </si>
  <si>
    <t>Operational Evidence Reconciliation kernel and seven-state taxonomy</t>
  </si>
  <si>
    <t>Reconciliation</t>
  </si>
  <si>
    <t>Reconcile independently sourced assertions over the same aligned interval using temporal result, evidence quality and fact authority. Output Aligned, PartiallyAligned, MissingEvidence, TemporalUncertain, ConflictingEvidence, LikelyMisclassified or Unresolved with discrepancy evidence. For September, the kernel also emits the standard governed Finding/analysis-result projection with evidence handles so existing generic surfaces can consume it without a new persistence schema.</t>
  </si>
  <si>
    <t>Historical manual/business/machine fixture for the same calendar window produces predeclared states; missing machine/business evidence refuses classification; temporal-uncertain case never becomes conflict. No operator/person identity or intent field exists. The standard governed result projection is deterministic and carries the reconciliation state, evidence handles and causal-confidence input required by T-222/T-223.</t>
  </si>
  <si>
    <t>T-217; T-218; T-236</t>
  </si>
  <si>
    <t>T-220; T-221; T-222; T-223</t>
  </si>
  <si>
    <t>T-217 + T-218 + T-236.</t>
  </si>
  <si>
    <t>New reconciliation kernel/tests only.</t>
  </si>
  <si>
    <t>T-220 adds claim confidence; T-221 persists output after canonical/security hand-off.</t>
  </si>
  <si>
    <t>T-220</t>
  </si>
  <si>
    <t>Causal Confidence Ladder and root-cause hypothesis evaluator</t>
  </si>
  <si>
    <t>Claim governance</t>
  </si>
  <si>
    <t>Implement L0 Observed Fact, L1 Discrepancy, L2 Statistical Association, L3 Temporally Supported Hypothesis, L4 Mechanistically Supported Hypothesis, L5 Confirmed Cause. L5 requires governed external/human confirmation; language cannot upgrade level.</t>
  </si>
  <si>
    <t>Known cases land at each level for the exact evidence reasons. Removing confirmation downgrades L5. A test fails any phrase/API mapping that calls L2-L4 'confirmed root cause'. Output carries what evidence is missing for the next level.</t>
  </si>
  <si>
    <t>T-221; T-222; T-223</t>
  </si>
  <si>
    <t>T-219 + existing claim-class rules.</t>
  </si>
  <si>
    <t>Claim-confidence kernel/tests only.</t>
  </si>
  <si>
    <t>T-221/T-223 consume stored level; UI/LLM never re-derive it.</t>
  </si>
  <si>
    <t>T-221</t>
  </si>
  <si>
    <t>Canonical reconciliation persistence, evidence handles and bindable source</t>
  </si>
  <si>
    <t>Reconciliation persistence</t>
  </si>
  <si>
    <t>Persist reconciliation_cases/reconciliation_evidence under tenant/RLS authority, semantic manifest and evidence handles; register reconciliation as a bindable intelligence source so D1/D4/Assistant use the same evidence path.</t>
  </si>
  <si>
    <t>Insert/replay a case with two evidence sources, time state and L0-L5 level; tenant isolation/RLS passes; evidence handles resolve; registry binding returns typed columns; history is immutable when a later case/version is computed.</t>
  </si>
  <si>
    <t>T-112; T-114; T-090; T-095; T-096; T-219; T-220; T-233</t>
  </si>
  <si>
    <t>DB/integration</t>
  </si>
  <si>
    <t>T-112 + T-114 + T-090 + T-095/T-096 + T-219 + T-220. If security hand-off is not green, remain on pure-kernel evidence and do not create insecure tables.</t>
  </si>
  <si>
    <t>Reconciliation persistence/registry/evidence only.</t>
  </si>
  <si>
    <t>Post-demo canonical convergence. T-222/T-223 must not wait for this table and must not invent a temporary persistence schema.</t>
  </si>
  <si>
    <t>T-223</t>
  </si>
  <si>
    <t>Grounded Assistant tool for reconciliation and Performance Reference explanation</t>
  </si>
  <si>
    <t>Assistant</t>
  </si>
  <si>
    <t>Industrial investigation</t>
  </si>
  <si>
    <t>Add deterministic Assistant tool/result contracts that retrieve reconciliation, Performance Reference and transition/stabilisation evidence, state the strongest supported hypothesis and its causal-confidence level, and explain what evidence is missing. Consume CompareOperationalPeriods from T-237 when available, without making T-237 a blocker for the core reconciliation answer.</t>
  </si>
  <si>
    <t>Golden questions include 'why was equipment unavailable?', 'what conflicts with the recorded reason?', 'how far are we from the declared reference?'. Numeric claims resolve to evidence; missing evidence refuses; causal overreach and 'operator lied' language fail deterministic verification.</t>
  </si>
  <si>
    <t>T-179; T-180; T-181; T-214; T-219; T-220</t>
  </si>
  <si>
    <t>Assistant integration</t>
  </si>
  <si>
    <t>T-179/T-180/T-181 CLOSED + T-214 + T-219/T-220. No canonical persistence dependency for September explanation.</t>
  </si>
  <si>
    <t>Assistant tool/evidence pack/verifier only; current dock UI remains Worker-2 owned.</t>
  </si>
  <si>
    <t>T-221 later swaps persistence behind the same evidence contract; Assistant tool does not redesign.</t>
  </si>
  <si>
    <t>T-234</t>
  </si>
  <si>
    <t>Operational Transition and Stabilisation contract/kernel</t>
  </si>
  <si>
    <t>Analytics Core</t>
  </si>
  <si>
    <t>Process regime semantics</t>
  </si>
  <si>
    <t>Define the generic transition/stabilisation contract used by all industries: customer-declared transition kind/scope, from/to context, stabilisation basis (Time/SubjectCount/Condition/None), regime classification Stable/Transition/Stabilising/Mixed/Unknown and RG01 refusal. No industry vocabulary and no production DB migration.</t>
  </si>
  <si>
    <t>Known-answer fixture contains a transition, a declared stabilisation window and stable operation. The kernel classifies all five regime states, boundary cases and RG01 deterministically. Removing or moving the declared stabilisation boundary changes only the expected governed classification, never hidden heuristics.</t>
  </si>
  <si>
    <t>T-208; T-209</t>
  </si>
  <si>
    <t>T-212; T-235; T-236</t>
  </si>
  <si>
    <t>T-208 + T-209; may run in parallel with W1 canonical chain.</t>
  </si>
  <si>
    <t>New generic transition/stabilisation contract/tests only.</t>
  </si>
  <si>
    <t>T-235 persists unchanged contract; T-236 consumes it without redefining semantics.</t>
  </si>
  <si>
    <t>T-236</t>
  </si>
  <si>
    <t>Transition-aware aggregation, statistics and reconciliation guard</t>
  </si>
  <si>
    <t>Regime correctness</t>
  </si>
  <si>
    <t>Implement the schema-independent regime segmentation/eligibility guard consumed by interval aggregation, statistics, practice and reconciliation. Given governed interval segments + T-234 transition context, steady-state analysis partitions/excludes Transition/Stabilising; Mixed without authored policy refuses RG01; every guarded result carries regime state and overlap evidence. Production widget integration is T-212; this kernel does not wait for canonical persistence.</t>
  </si>
  <si>
    <t>Controlled fixture proves naive pooled analysis sees the planted ramp-up effect while governed steady-state analysis does not misattribute it. TimeWeightedMean clips at regime boundaries where required. Reconciliation sees transition context as evidence, never as automatic cause.</t>
  </si>
  <si>
    <t>T-217; T-234</t>
  </si>
  <si>
    <t>T-212; T-219</t>
  </si>
  <si>
    <t>Kernel/integration</t>
  </si>
  <si>
    <t>T-217 + T-234; may run while W1 canonical chain proceeds.</t>
  </si>
  <si>
    <t>Analytics/reconciliation kernels only.</t>
  </si>
  <si>
    <t>T-219 consumes the guard; consumers must not bypass RG01.</t>
  </si>
  <si>
    <t>T-237</t>
  </si>
  <si>
    <t>Operational Period Driver Decomposition exact API and evidence tool</t>
  </si>
  <si>
    <t>Backend / BI</t>
  </si>
  <si>
    <t>Exact period comparison</t>
  </si>
  <si>
    <t>Implement Layer-A CompareOperationalPeriods over two governed periods/scopes. Return exact A/B/delta metrics plus transition count/duration, stabilisation exposure, stable-run/sequence length, stopped and production-impact minutes, yield/scrap, energy and any further registry-backed exact measures with evidence handles. No causal claim and no assumption-based money.</t>
  </si>
  <si>
    <t>Known-answer periods reproduce exact deltas from source rows. Every numeric field has evidence; missing metrics are explicit unavailable/refused. The same query works for discrete and continuous fixtures. The Assistant tool adapter consumes this result without recalculating values.</t>
  </si>
  <si>
    <t>T-092; T-235</t>
  </si>
  <si>
    <t>T-164</t>
  </si>
  <si>
    <t>Backend/API integration</t>
  </si>
  <si>
    <t>T-092 + T-235; can run in parallel with T-222 on separate files.</t>
  </si>
  <si>
    <t>Layer-A period comparison API/evidence only.</t>
  </si>
  <si>
    <t>T-138/T-164 may consume the stable contract; neither may duplicate calculations.</t>
  </si>
  <si>
    <t>T-112</t>
  </si>
  <si>
    <t>P5</t>
  </si>
  <si>
    <t>Force RLS on every tenant-owned table with an architecture test</t>
  </si>
  <si>
    <t>Security</t>
  </si>
  <si>
    <t>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t>
  </si>
  <si>
    <t>A query listing tenant-owned tables without a policy returns zero rows. Add a new tenant table in a branch and confirm the architecture test goes red before it is merged.</t>
  </si>
  <si>
    <t>T-122; T-128; T-129; T-130; T-135; T-183; T-184; T-185; T-187; T-195; T-198; T-221; T-230</t>
  </si>
  <si>
    <t>M2-P5</t>
  </si>
  <si>
    <t>WAIT for Presentation RC freeze/tag + clean index/worktree. Then: T-087/T-088 canonical migration authority available; establish FORCE RLS guar...</t>
  </si>
  <si>
    <t>Release Hardening &amp; Week-1 Production Acceptance</t>
  </si>
  <si>
    <t>M2 P5 — Release Hardening &amp; Week-1 Production Acceptance. Release 1 is genuine early production / first-week customer work.</t>
  </si>
  <si>
    <t>T-113</t>
  </si>
  <si>
    <t>Secret and configuration hygiene</t>
  </si>
  <si>
    <t>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 AUDIT HARDENING IN v2.9.2. Do not stop at deleting today's literals. Make environment separation structural: Production must reject demo/test/bootstrap users, development signing keys, presentation-only source/database defaults and hardcoded host fallbacks. Local, test and presentation conveniences remain available only through explicitly selected non-Production profiles; the same deployable artifact moves environments.</t>
  </si>
  <si>
    <t>A secret scan across the repository returns no live credential. Generate an audit package and confirm secrets are masked. Confirm the E2E stack still runs with credentials supplied from the environment. Add a fail-closed Production configuration test that deliberately injects a bootstrap admin, a known demo/test credential marker, a development signing key and a presentation/local host fallback one at a time; each must stop startup or fail the configuration gate by name. A clean Production profile passes with all required values externally supplied.</t>
  </si>
  <si>
    <t>T-122; T-200</t>
  </si>
  <si>
    <t>T-114</t>
  </si>
  <si>
    <t>Tenant keys, tenant-aware uniqueness and canonical namespace on new APIs</t>
  </si>
  <si>
    <t>Apply tenant keys and tenant-aware uniqueness to every table introduced in M1 and Release 1, and put every new endpoint on the canonical namespace from the outset so the migration does not have to catch up with new work.</t>
  </si>
  <si>
    <t>Insert the same natural key for two tenants and confirm both persist. A test asserting every endpoint added after this date matches the canonical domain pattern.</t>
  </si>
  <si>
    <t>T-087; T-089; T-090; T-095; T-099</t>
  </si>
  <si>
    <t>WAIT for Presentation RC freeze/tag + clean index/worktree. Then: T-087 + T-089/T-090 + T-095/T-099 canonical Release 1 tables available; establish t...</t>
  </si>
  <si>
    <t>T-115</t>
  </si>
  <si>
    <t>Fresh-install Rule 2 acceptance test, ephemeral</t>
  </si>
  <si>
    <t>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t>
  </si>
  <si>
    <t>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t>
  </si>
  <si>
    <t>T-118</t>
  </si>
  <si>
    <t>J1 to J3 commissioning built for real</t>
  </si>
  <si>
    <t>Commissioning</t>
  </si>
  <si>
    <t>Chapter 5 classifies installation, licence activation and user provisioning as commissioning prerequisites, which is why M1 narrates rather than demonstrates them. Build them: first-run installation, licence activation with the Ed25519 signed token, and initial user provisioning. Respect the Admin Golden Rule: the SOU support account is auto-provisioned and undeletable, while the customer administrator is a manual commissioning step and is never auto-created.</t>
  </si>
  <si>
    <t>Commission a site from an empty database following only the runbook, with no developer intervention and no database console. Confirm the customer administrator is not created automatically.</t>
  </si>
  <si>
    <t>T-119</t>
  </si>
  <si>
    <t>Eight-role catalogue with three enforcement layers</t>
  </si>
  <si>
    <t>Users and roles</t>
  </si>
  <si>
    <t>Implement the role catalogue as the shipped default with a three-role minimum as the smallest legal configuration, enforced at the API, the query and the UI layers. FormalRoleAccessMatrix already models capabilities including AssistantChat; extend rather than replace it.</t>
  </si>
  <si>
    <t>A matrix test asserting every role against every capability, at all three layers. Confirm a viewer cannot author SQL at any licence tier, which is a standing ruling.</t>
  </si>
  <si>
    <t>T-121; T-197; T-198; T-200</t>
  </si>
  <si>
    <t>T-120</t>
  </si>
  <si>
    <t>Users and Roles administration surface</t>
  </si>
  <si>
    <t>Build the F1 Users and Roles page from Chapter 3 4.4 with the ten-field page contract. The code itself records that Users and Roles and System Health are missing from the UI.</t>
  </si>
  <si>
    <t>Create, edit, disable and re-enable a user, and change a role assignment, entirely through the interface. Confirm the audit layer records each change.</t>
  </si>
  <si>
    <t>T-121</t>
  </si>
  <si>
    <t>Licence and entitlement enforcement</t>
  </si>
  <si>
    <t>Licence</t>
  </si>
  <si>
    <t>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
v2.10.2 PAGE-COVERAGE EXPANSION — this owner also delivers the required F3 Authoring Quota and Limits route /admin/quota. F2 shows licence/entitlement and total meters; F3 allocates authoring quotas by role/user with current consumption, Amber at &gt;=80%, create disabled at 100%, and no lost draft.</t>
  </si>
  <si>
    <t>Exceed a meter and confirm the import queues and the job waits for a slot rather than failing. Confirm the customer can see their own approach to each meter in the interface, since a limit the customer cannot see is a trap.
In addition to licence-meter tests, open /admin/quota, change one role quota and one user override, approach 80% and 100%, and prove warning/disable semantics plus audit. Non-admin roles are denied by the final page contract.</t>
  </si>
  <si>
    <t>T-127</t>
  </si>
  <si>
    <t>WAIT for Presentation RC freeze/tag + clean index/worktree. Then: T-119 role catalogue/enforcement + licence authority.</t>
  </si>
  <si>
    <t>T-123</t>
  </si>
  <si>
    <t>Install package, migration runner, upgrade and rollback</t>
  </si>
  <si>
    <t>Deployment</t>
  </si>
  <si>
    <t>T-124</t>
  </si>
  <si>
    <t>Backup with a tested restore acceptance procedure</t>
  </si>
  <si>
    <t>Backup</t>
  </si>
  <si>
    <t>Chapter 6 6.1.11 requires not just backup but a tested restore acceptance procedure with a consistency rule. Implement schedule, retention, encryption and the restore rehearsal.</t>
  </si>
  <si>
    <t>Perform a real restore into a clean environment and run the acceptance procedure against it. A backup that has never been restored does not count as a backup.</t>
  </si>
  <si>
    <t>T-199</t>
  </si>
  <si>
    <t>T-125</t>
  </si>
  <si>
    <t>Minimum monitoring, health and alerting</t>
  </si>
  <si>
    <t>Implement the minimum from Chapter 6 6.1.12 required to operate a soft test: per-component metrics, alert severity and escalation, and the operational dashboard. Full observability and SLOs are M3.</t>
  </si>
  <si>
    <t>Trigger each alert condition deliberately and confirm it fires with the correct severity and reaches the configured channel.</t>
  </si>
  <si>
    <t>T-126</t>
  </si>
  <si>
    <t>Support runbook and UAT dataset and configuration import</t>
  </si>
  <si>
    <t>Documentation</t>
  </si>
  <si>
    <t>Handover</t>
  </si>
  <si>
    <t>Write the runbook the customer's own operator will follow, and build the path to import the customer's UAT dataset and configuration. Include the operator, data engineer and administrator sections.</t>
  </si>
  <si>
    <t>A person who has not worked on the project commissions a site and completes one import following only the runbook. Every step they had to ask about is a defect in the runbook.</t>
  </si>
  <si>
    <t>AI documentation/static analysis</t>
  </si>
  <si>
    <t>Release 1 final production gate: Day-1 workbench, BI, OPC, intelligence and hardening</t>
  </si>
  <si>
    <t>CI/CD</t>
  </si>
  <si>
    <t>T-192 + T-148 exact route/shell inventory + T-194 API-alias retirement + all ...</t>
  </si>
  <si>
    <t>T-150 only after W2/W3 component freeze; route failures back to owning agent.</t>
  </si>
  <si>
    <t>Final Release 2 gate. Fixes go back to exclusive owner; T-150 owner does not edit other agents' feature files.</t>
  </si>
  <si>
    <t>T-227</t>
  </si>
  <si>
    <t>Release 1 Week-1 Production Acceptance Contract and evidence scorecard</t>
  </si>
  <si>
    <t>Pilot governance</t>
  </si>
  <si>
    <t>Define the production acceptance scorecard before release: Day-1 workbench completion, source truth, Canvas/Job usability, BI reliability, OPC read-only proof, evidence/Assistant correctness, minimum security, recovery and support criteria.</t>
  </si>
  <si>
    <t>The scorecard is versioned before final certification and every criterion has an evidence owner, measurement and pass/fail rule.</t>
  </si>
  <si>
    <t>Documentation / governance</t>
  </si>
  <si>
    <t>Prepare before installation; can start after customer data assessment T-213.</t>
  </si>
  <si>
    <t>Pilot documentation/evidence scorecard only.</t>
  </si>
  <si>
    <t>Site/engineering teams later fill measured values; criteria are not rewritten after results are known without an audited amendment.</t>
  </si>
  <si>
    <t>T-122</t>
  </si>
  <si>
    <t>M3</t>
  </si>
  <si>
    <t>Container architecture and configuration profiles, including isolated ML runtimes</t>
  </si>
  <si>
    <t>Implement the Chapter 6 container/profile architecture and include the frozen AI runtime split: ppiq-worker for ordinary batch work including ml.batch_scoring, ppiq-ml-train for ml.training, and ppiq-ml-online for hard-reserved online scoring only. Keep assistant serving behind ModelServingRuntime/model gateway. No training module may be imported by the online container. Preserve the same signed application artifact and profile-driven deployment.</t>
  </si>
  <si>
    <t>Bring up each profile from a clean machine. Prove ppiq-ml-online admits online scoring only, has a warm-model readiness check, and fails a dependency test if a trainer module is imported. Prove training/batch saturation cannot consume the online reservation. All existing non-ML containers remain healthy.</t>
  </si>
  <si>
    <t>T-106; T-107; T-112; T-113; T-114; T-117; T-137; T-168</t>
  </si>
  <si>
    <t>T-141; T-185; T-192</t>
  </si>
  <si>
    <t>2026-10-30 Release 2</t>
  </si>
  <si>
    <t>Release 2 MUST</t>
  </si>
  <si>
    <t>M3-P1</t>
  </si>
  <si>
    <t>WAIT for Presentation RC freeze/tag + clean index/worktree. Then: T-106 + T-107 + T-112 + T-113 + T-114 + T-117; T-137/T-168 runtime contracts ...</t>
  </si>
  <si>
    <t>Scale &amp; OT Resilience</t>
  </si>
  <si>
    <t>M3 P1 — Scale &amp; OT Resilience. Release 2 is heavy production / scale / deeper enterprise use.</t>
  </si>
  <si>
    <t>T-151</t>
  </si>
  <si>
    <t>Site defect burn-down</t>
  </si>
  <si>
    <t>Site findings</t>
  </si>
  <si>
    <t>Fix what soft testing finds, without changing the frozen visible contract unless a formal product decision is approved and recorded.</t>
  </si>
  <si>
    <t>Each defect has a reproduction, a fix and a regression test. Any visible-contract change carries a written approval.</t>
  </si>
  <si>
    <t>External/site certification</t>
  </si>
  <si>
    <t>WAIT for deployed Release 1 + real customer/site evidence. M3 sequence</t>
  </si>
  <si>
    <t>Own site/platform/backend/infra. No AI/ML calibration or customer UX docs.</t>
  </si>
  <si>
    <t>T-152</t>
  </si>
  <si>
    <t>Customer data edge cases</t>
  </si>
  <si>
    <t>New source patterns, dirty data, unusual keys, timestamps, nulls, late arrivals and customer-specific mapping requirements, handled through the three doors.</t>
  </si>
  <si>
    <t>Each case handled through import, registry or authoring. Any case requiring a code branch is escalated as a design gap.</t>
  </si>
  <si>
    <t>Connector certification against real sources</t>
  </si>
  <si>
    <t>Connectors</t>
  </si>
  <si>
    <t>Enable and certify the customer's actual connectors. A catalogue row is not a connector; an unbuilt one stays dimmed and badged as planned.</t>
  </si>
  <si>
    <t>Each certified connector completes a read-only import against the real source with the load budget enforced.</t>
  </si>
  <si>
    <t>T-224; T-225; T-226</t>
  </si>
  <si>
    <t>T-154</t>
  </si>
  <si>
    <t>Query plans, indexes and partition boundaries</t>
  </si>
  <si>
    <t>Performance</t>
  </si>
  <si>
    <t>Tune against real measurements from the customer's volumes, not against assumptions.</t>
  </si>
  <si>
    <t>Before and after query plans recorded for the ten slowest queries, with the improvement measured.</t>
  </si>
  <si>
    <t>T-155</t>
  </si>
  <si>
    <t>B-01/B-02 capacity tuning, scan amplification and model-serving memory</t>
  </si>
  <si>
    <t>On site hardware, jointly execute resource measurements for lane max_concurrency/resource_capacity/compute_weight and the hard online reservation, plus scan-amplification and warm-model/assistant memory. This task supplies measured capacity values; it does not redesign the architecture.</t>
  </si>
  <si>
    <t>Record hardware, commit and load profile. Saturate training/batch and prove online p95 remains inside the actionable budget. Publish measured lane values and before/after Scan Amplification with no starvation.</t>
  </si>
  <si>
    <t>Real-data AI/ML/site measurement</t>
  </si>
  <si>
    <t>WAIT for deployed Release 1 + real customer/site evidence. Release 2 accepted + site hardware</t>
  </si>
  <si>
    <t>Own AI/ML calibration/capacity evidence only.</t>
  </si>
  <si>
    <t>T-159</t>
  </si>
  <si>
    <t>C1 to C4 capacity certification</t>
  </si>
  <si>
    <t>Certification</t>
  </si>
  <si>
    <t>Run the four Chapter 6 capacity profiles and site certification, consuming the measured benchmark outputs from B-01..B-09 where they affect sizing. Replace only CALIBRATION_REQUIRED/REFERENCE_ASSUMPTION constants with measured values and freeze Chapter 6 when all certification gates pass.</t>
  </si>
  <si>
    <t>Every worked sizing example recomputes from measured constants; C1-C4 profiles pass their promised envelope. The certification bundle records hardware, commit, dataset, benchmark outputs and sign-off.</t>
  </si>
  <si>
    <t>T-160</t>
  </si>
  <si>
    <t>HA, DR and restore rehearsal</t>
  </si>
  <si>
    <t>Resilience</t>
  </si>
  <si>
    <t>Production topology, RPO and RTO objectives, and a real disaster-recovery rehearsal.</t>
  </si>
  <si>
    <t>A full recovery rehearsal completes within the stated RPO and RTO, witnessed and recorded.</t>
  </si>
  <si>
    <t>T-163</t>
  </si>
  <si>
    <t>Monitoring, SLOs and support escalation</t>
  </si>
  <si>
    <t>Operational dashboards, alerts, queue and latency and backup and certificate health, and the escalation path.</t>
  </si>
  <si>
    <t>Each SLO has a measured baseline and an alert that fires before it is breached.</t>
  </si>
  <si>
    <t>T-116</t>
  </si>
  <si>
    <t>API namespace migration, part 1: map the 92 prefixes onto the 27 domains and stand up dual-serve</t>
  </si>
  <si>
    <t>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t>
  </si>
  <si>
    <t>Every one of the 544 routes appears exactly once in the mapping table. Both the old and the new path return identical responses for a sample of twenty routes.</t>
  </si>
  <si>
    <t>M3-P2</t>
  </si>
  <si>
    <t>Multi-user Enterprise Operations</t>
  </si>
  <si>
    <t>M3 P2 — Multi-user Enterprise Operations. Release 2 is heavy production / scale / deeper enterprise use.</t>
  </si>
  <si>
    <t>T-117</t>
  </si>
  <si>
    <t>API namespace migration, part 2: migrate the clients and add the token gate</t>
  </si>
  <si>
    <t>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t>
  </si>
  <si>
    <t>A test asserting no registered route matches /phase\d+|\/v\d+\/|p\d\d/. Open the browser network tab during the golden journey and confirm no request URL carries a phase or version token.</t>
  </si>
  <si>
    <t>T-122; T-194</t>
  </si>
  <si>
    <t>Canonical journey regression and the Continuity comparison</t>
  </si>
  <si>
    <t>Continuity</t>
  </si>
  <si>
    <t>Run J1 to J15 against a normal ppiq_app database with no presentation shortcut and no demonstration-only code path. Then run the Customer Contract Continuity comparison against the snapshots captured at the end of M1.</t>
  </si>
  <si>
    <t>The journey passes on the canonical database. The continuity comparison shows no change to navigation, control placement, authoring flow, terminology or refusal semantics. Any difference is a defect in M2, not an improvement.</t>
  </si>
  <si>
    <t>T-196; T-197; T-198; T-199; T-200; T-121</t>
  </si>
  <si>
    <t>T-194</t>
  </si>
  <si>
    <t>WAIT for Presentation RC freeze/tag + clean index/worktree. Then: All Release 1 canonical-core/user-visible owners complete, including T-196/T-197/T-...</t>
  </si>
  <si>
    <t>Continuity green → W1 executes T-194; Release 1 release gate may close.</t>
  </si>
  <si>
    <t>T-149</t>
  </si>
  <si>
    <t>Delete the legacy redirects and re-verify continuity</t>
  </si>
  <si>
    <t>Remove the roughly 20 legacy Navigate redirects and the live phase-token routes (/phase8/*, /phase9/*, /phase15/*) that App.tsx still declares among its 69 route paths, then re-run the Customer Contract Continuity comparison.</t>
  </si>
  <si>
    <t>No route path matches /phase\d+/. The continuity comparison against the M1 snapshots still shows no change to any presented page.</t>
  </si>
  <si>
    <t>M1 continuity frozen</t>
  </si>
  <si>
    <t>T-161</t>
  </si>
  <si>
    <t>SSO and identity integration</t>
  </si>
  <si>
    <t>Integrate the customer identity provider with the final role catalogue, account lifecycle and emergency access.</t>
  </si>
  <si>
    <t>Account provisioning, de-provisioning and emergency access all tested against the customer directory.</t>
  </si>
  <si>
    <t>T-162</t>
  </si>
  <si>
    <t>Site security hardening and sign-off</t>
  </si>
  <si>
    <t>Network rules, secrets, certificate rotation, RLS and tenant proof, audit review.</t>
  </si>
  <si>
    <t>A tenant-isolation proof from the database alone, plus a signed security review.</t>
  </si>
  <si>
    <t>Retire legacy API dual-serve aliases after canonical-client continuity proof</t>
  </si>
  <si>
    <t>API namespace</t>
  </si>
  <si>
    <t>T-117 deliberately introduces a dual-serve transition while clients migrate. Close that transition explicitly after T-127 proves the canonical journey and continuity. Remove every legacy phase/version/task-token API alias, preserve only canonical /api/{domain} routes, and keep a machine-readable mapping artifact so support can interpret old logs without keeping old endpoints alive.</t>
  </si>
  <si>
    <t>After T-127 is green, enumerate the route table and prove zero legacy alias remains. A representative old path returns the governed retired-route response or 404 according to the API policy, while the canonical path remains green. Re-run the route-token gate and a bounded canonical-journey regression. No frontend client calls an old alias.</t>
  </si>
  <si>
    <t>T-117; T-127</t>
  </si>
  <si>
    <t>WAIT for Presentation RC freeze/tag + clean index/worktree. Then: T-117 + T-127</t>
  </si>
  <si>
    <t>T-196</t>
  </si>
  <si>
    <t>C4 Plant Model Explorer canonical route and structural evidence surface</t>
  </si>
  <si>
    <t>Plant model</t>
  </si>
  <si>
    <t>Implement the missing Chapter 3 C4 /plant-model surface on the canonical plant authority. Show site/area/equipment hierarchy, search, unmapped-only state, selected-node details and the routes/operations that reference it. Unmapped equipment is explicit Amber evidence rather than silently dropped. The page is generic and uses imported plant vocabulary only.</t>
  </si>
  <si>
    <t>Route /plant-model exists exactly once. Load a canonical reference plant and prove hierarchy/details match GET /api/plant/layout and /api/plant/equipment/{id}. Introduce one unmapped equipment reference and prove it is visible with its source object. Empty install renders the designed no-projection state. Keyboard tree traversal and RTL contract pass.</t>
  </si>
  <si>
    <t>T-087; T-094; T-095</t>
  </si>
  <si>
    <t>T-127; T-148</t>
  </si>
  <si>
    <t>WAIT for Presentation RC freeze/tag + clean index/worktree. Then: T-087 + T-094 + T-095</t>
  </si>
  <si>
    <t>T-197</t>
  </si>
  <si>
    <t>E6 Alert Routing and Escalation with delivery, retry and dead-letter evidence</t>
  </si>
  <si>
    <t>Backend + Frontend</t>
  </si>
  <si>
    <t>Alert routing</t>
  </si>
  <si>
    <t>Implement Chapter 3 E6 /alert-routing: routing rules over log/plant-data channels, severity, recipients, delivery channels, escalation delay, working hours/quiet periods, deduplication, grouping key, rate limit, suppression, test delivery, retry and dead-letter visibility. Entries are held during quiet periods, never silently lost.</t>
  </si>
  <si>
    <t>Create and test a routing rule, force one delivery failure through its retry ceiling and prove it appears in dead letters with reason. Prove a rule with no recipient and an escalation with no escalation recipient are refused. Quiet-period traffic is held and later delivered. Role enforcement and audit evidence pass.</t>
  </si>
  <si>
    <t>T-119; T-198</t>
  </si>
  <si>
    <t>Full-stack governed feature</t>
  </si>
  <si>
    <t>WAIT for Presentation RC freeze/tag + clean index/worktree. Then: T-119 + T-198</t>
  </si>
  <si>
    <t>T-198</t>
  </si>
  <si>
    <t>F5 Logging and Audit plus F6 Log Channel Configuration</t>
  </si>
  <si>
    <t>Logging administration</t>
  </si>
  <si>
    <t>Implement the Chapter 3 canonical logging administration contract: /admin/logs with role-scoped System/Job/Data/Audit/Assistant/Plant Data families, filtering, live tail/replay, run correlation and export; plus /admin/log-channels for channel identity, severity mapping, routing/export target and reading roles. Built-in/audit channels are locked as specified; retention is read-only here and owned by F9.</t>
  </si>
  <si>
    <t>Every permitted family is queryable and a forbidden family is absent for the role. Drop and resume the live stream and prove replay. Correlate one run across families. Audit has no edit/delete control. Create a custom channel, prove built-ins remain locked, and refuse an attempt to create/retarget the audit family. Canonical log tables and audit trail are used.</t>
  </si>
  <si>
    <t>T-112; T-114; T-119</t>
  </si>
  <si>
    <t>T-127; T-148; T-197; T-199</t>
  </si>
  <si>
    <t>WAIT for Presentation RC freeze/tag + clean index/worktree. Then: T-112 + T-114 + T-119</t>
  </si>
  <si>
    <t>F9 Log Retention and Archival with dry-run, legal hold and no-delete-on-archive-failure</t>
  </si>
  <si>
    <t>Log retention</t>
  </si>
  <si>
    <t>Implement Chapter 3 F9 /admin/log-retention as the sole destructive log-history policy surface. Persist per-channel retention policy, archive-before-delete, destination, cleanup schedule/batch size, governed audit minimum and legal hold. Require pre-save dry-run impact. Cleanup history records cutoff, examined/archived/deleted rows, reclaimed storage, duration and failure reason.</t>
  </si>
  <si>
    <t>Attempt audit retention below the governed minimum and refuse it. Save without preview and refuse it. Put a channel on legal hold and prove cleanup is blocked. Make the archive destination fail and prove zero rows are deleted. Complete one successful preview+cleanup and reconcile counts/history. Only Administrator can access the page.</t>
  </si>
  <si>
    <t>T-124; T-198</t>
  </si>
  <si>
    <t>WAIT for Presentation RC freeze/tag + clean index/worktree. Then: T-124 + T-198</t>
  </si>
  <si>
    <t>T-200</t>
  </si>
  <si>
    <t>F7 System Settings and F8 Translation/Language canonical administration</t>
  </si>
  <si>
    <t>System administration</t>
  </si>
  <si>
    <t>Implement Chapter 3 F7 /admin/settings and F8 /admin/translation. System settings own site identity, units/formats, plant time zone, documented retention defaults and per-tenant no-egress data boundary. Translation owns language packs, review/mirror-verification state, context-aware labels, import/export and fallback language. Presentation-era hardcoded translation tables become compatibility data only.</t>
  </si>
  <si>
    <t>Change plant time zone through a confirmed action and prove the resulting setting is audited and used by a shift-aware display; toggle no-egress and prove affected capabilities report the new boundary. Add/edit a translation, mark review/mirror state, export and reimport a pack, and verify RTL rendering for Arabic. No machine-locale fallback silently changes formats.</t>
  </si>
  <si>
    <t>T-113; T-119; T-216</t>
  </si>
  <si>
    <t>WAIT for Presentation RC freeze/tag + clean index/worktree. Then: T-113 + T-119</t>
  </si>
  <si>
    <t>T-156</t>
  </si>
  <si>
    <t>Customer definitions built through the product</t>
  </si>
  <si>
    <t>Authoring</t>
  </si>
  <si>
    <t>Build and validate the customer's real pages, relationships, measures, analyses, models and log rules using the product's own authoring surfaces.</t>
  </si>
  <si>
    <t>Every customer artifact exists as a definition in the store, created through the interface, with no manual database insert.</t>
  </si>
  <si>
    <t>M3-P3</t>
  </si>
  <si>
    <t>Own customer-facing UX/docs/website only.</t>
  </si>
  <si>
    <t>Advanced BI, Authoring &amp; Insight Boards</t>
  </si>
  <si>
    <t>M3 P3 — Advanced BI, Authoring &amp; Insight Boards. Release 2 is heavy production / scale / deeper enterprise use.</t>
  </si>
  <si>
    <t>T-166</t>
  </si>
  <si>
    <t>Five-product website production completion</t>
  </si>
  <si>
    <t>Website</t>
  </si>
  <si>
    <t>Public site</t>
  </si>
  <si>
    <t>CORRECTED IN v2.2. The redirect replacement, the portfolio page and the mega-menu are now M1 work, because the customer sees the company architecture in the room. What remains here is production completion of the five product pages: full content, proof sections, SEO and metadata, analytics, lead flows, localization, and the final honesty certification across every claim. AUDIT HARDENING IN v2.9.2. Production completion also certifies one coherent visual identity across all five product pages and shared public-site sections. Typography, UI primitives, graphical language, motion, responsive hierarchy and accessibility must come from the same design system used by the strongest PPIQ sections. Remove mojibake, visible HTML entities and locally invented low-quality box/flowchart styling; motion must reinforce meaning and degrade cleanly under reduced-motion preferences.</t>
  </si>
  <si>
    <t>Each of the five products has a complete page under the Golden Rule product-page contract. Every claim passes the Chapter 6 6.2.10 honesty rule and the certification is recorded. Lead flow tested end to end on each page. Run a five-product visual-system audit at desktop, tablet and mobile. Zero mojibake/visible entities, text overflow, disconnected graphical connectors or page-local font/control systems. Automated visual/a11y checks are green, reduced-motion is honoured, and a reviewer comparison against the strongest PPIQ reference section records no page as visually less sophisticated.</t>
  </si>
  <si>
    <t>T-228</t>
  </si>
  <si>
    <t>Versioned InsightBoardPlan contract and deterministic validator</t>
  </si>
  <si>
    <t>Insight composition</t>
  </si>
  <si>
    <t>Define a versioned, reproducible InsightBoardPlan containing question, context snapshot, filters, evidence requirements, widget specs, planner version, definition versions and data-as-of. Deterministically validate registry, relationships, permissions, chart grammar and query safety. LLM cannot emit executable SQL/React authority.</t>
  </si>
  <si>
    <t>Known valid plans validate; fabricated dimension, unsafe expression, unavailable relationship and permission violation refuse with typed reasons. Identical historical plan snapshot replays; asking later may produce a new version without mutating history.</t>
  </si>
  <si>
    <t>T-090; T-092; T-134; T-179; T-180; T-181</t>
  </si>
  <si>
    <t>T-229</t>
  </si>
  <si>
    <t>After September customer RC; T-090/T-092 + T-134 + T-179..181.</t>
  </si>
  <si>
    <t>New Assistant plan contract/tests only.</t>
  </si>
  <si>
    <t>T-229 consumes validator; no direct UI generation.</t>
  </si>
  <si>
    <t>Governed Assistant plan-to-widget Investigation Board composition</t>
  </si>
  <si>
    <t>Assistant/Frontend</t>
  </si>
  <si>
    <t>Execute validated InsightBoardPlan through existing Page Builder/widget/query contracts to create an ephemeral Investigation Board of KPIs/charts/tables/evidence without React/customer code generation.</t>
  </si>
  <si>
    <t>Question -&gt; validated plan -&gt; real widget queries -&gt; evidence-backed board. Every value resolves evidence, invalid chart grammar refuses, and ordinary authored pages remain unchanged. Board runs on both discrete and continuous fixtures.</t>
  </si>
  <si>
    <t>T-228; T-134</t>
  </si>
  <si>
    <t>T-230</t>
  </si>
  <si>
    <t>T-228 + T-134 + stable Page Builder contract; coordinate UI consumption with Worker 2.</t>
  </si>
  <si>
    <t>Assistant composition service; UI host changes require explicit W2 hand-off.</t>
  </si>
  <si>
    <t>T-230 adds persistence; no separate rendering engine.</t>
  </si>
  <si>
    <t>Persisted Investigation Board version, replay and Save-as-Page handoff</t>
  </si>
  <si>
    <t>Insight governance</t>
  </si>
  <si>
    <t>Persist Investigation Board plan/result versions with question, context, filters, data-as-of, tool executions, definition versions, evidence handles and result snapshot. Add explicit Save-as-Page conversion into canonical definitions without mutating historical investigation evidence.</t>
  </si>
  <si>
    <t>Historical board replays exactly as known at its data-as-of/version. Re-asking today creates a new version. Save-as-Page creates a normal Page Builder definition whose future refresh is independent while the original investigation remains immutable.</t>
  </si>
  <si>
    <t>T-229; T-112; T-114</t>
  </si>
  <si>
    <t>Persistence/integration</t>
  </si>
  <si>
    <t>T-229 + canonical definition/evidence persistence + T-112/T-114.</t>
  </si>
  <si>
    <t>Investigation board persistence and conversion contract.</t>
  </si>
  <si>
    <t>Page Builder owns resulting page definitions; Assistant owns historical investigation artifact only.</t>
  </si>
  <si>
    <t>T-248</t>
  </si>
  <si>
    <t>Advanced enterprise BI and authoring parity closure against the 75-item outcome matrix</t>
  </si>
  <si>
    <t>Enterprise BI / Authoring</t>
  </si>
  <si>
    <t>Close the Release-2 remainder of the founder-approved F01-F15, S01-S30 and E01-E30 outcome matrix using native PPIQ semantics. Explicitly include Scoped Measure Context, Named Comparison State, pending lasso/range confirm-cancel, story/live-source return, complete current-state export matrix, advanced exploration, mini-overview navigation where applicable, and reusable versioned subflows as the PPIQ equivalent of script Include/Must_Include.</t>
  </si>
  <si>
    <t>A 75-row acceptance matrix has no Unowned or Missing row. Every row is Implemented or PPIQ-Equivalent, has an automated/visual acceptance or an explicit non-applicability proof, and no proprietary Qlik syntax is required.</t>
  </si>
  <si>
    <t>T-148; T-202; T-203; T-204; T-205; T-228; T-241; T-243; T-244; T-245; T-246</t>
  </si>
  <si>
    <t>T-249</t>
  </si>
  <si>
    <t>Bounded product convergence</t>
  </si>
  <si>
    <t>After M2 Release 1 and InsightBoard authoring base</t>
  </si>
  <si>
    <t>Frontend BI / authoring only</t>
  </si>
  <si>
    <t>Reuse the existing BI engine, Page Builder, Canvas, export and selection contracts; do not build a second dashboard engine.</t>
  </si>
  <si>
    <t>M3 P3 — advanced enterprise parity. M2 ships the Day-1 enterprise core; M3 closes the advanced authoring matrix.</t>
  </si>
  <si>
    <t>T-128</t>
  </si>
  <si>
    <t>Feature store, outcome store and immutable snapshot metadata</t>
  </si>
  <si>
    <t>Intelligence store</t>
  </si>
  <si>
    <t>Implement canonical feature/outcome stores and immutable snapshot metadata using generic analysis_subject_id + grain_code identity, never a universal material_unit_id. Persist semantic-manifest lineage, feature-set/outcome definitions and dirty/incremental state. Training still consumes sealed typed snapshot artifacts, not live JSONB.</t>
  </si>
  <si>
    <t>Persist features/outcomes for at least one discrete subject and one equipment/process-window subject using the same schema/runtime. No material-unit FK is mandatory for non-material subjects. Snapshot/hash/reproducibility and tenant/RLS gates pass.</t>
  </si>
  <si>
    <t>T-087; T-088; T-089; T-090; T-091; T-092; T-093; T-094; T-095; T-096; T-097; T-098; T-099; T-100; T-101; T-102; T-103; T-104; T-105; T-112; T-114; T-231; T-210</t>
  </si>
  <si>
    <t>T-129; T-130; T-131; T-135; T-146; T-147; T-184; T-186</t>
  </si>
  <si>
    <t>AI/ML production integration</t>
  </si>
  <si>
    <t>M3-P4</t>
  </si>
  <si>
    <t>T-087..T-105 + T-112 + T-114 security/tenant hand-off. Outcome semantics from...</t>
  </si>
  <si>
    <t>Own intelligence/ML/Assistant and named intelligence surfaces. W1/W2 forbidden after hand-off.</t>
  </si>
  <si>
    <t>Advanced ML, Optimisation &amp; Value</t>
  </si>
  <si>
    <t>M3 P4 — Advanced ML, Optimisation &amp; Value. Release 2 is heavy production / scale / deeper enterprise use.</t>
  </si>
  <si>
    <t>T-129</t>
  </si>
  <si>
    <t>Compute runs, findings and common evidence persistence</t>
  </si>
  <si>
    <t>Unify compute run records, terminal refusal states, gate state/evidence, correlation/findings persistence and evidence handles on the common intelligence substrate. Every new governed run carries semantic_manifest_id once T-183 is present. A refusal is a persisted result state, never an exception-shaped blank screen.</t>
  </si>
  <si>
    <t>For FINDING and each refusal class, resolve the row to run, manifest, gate evidence and source evidence. Break an evidence handle and prove the result is rejected. Break manifest coverage and prove G-55 refuses the new governed run.</t>
  </si>
  <si>
    <t>T-128; T-183; T-112; T-114</t>
  </si>
  <si>
    <t>T-134; T-135; T-146; T-147; T-186; T-188</t>
  </si>
  <si>
    <t>T-128 + T-183 + T-112 + T-114.</t>
  </si>
  <si>
    <t>T-130</t>
  </si>
  <si>
    <t>Model registry, serving identity, activation and fallback</t>
  </si>
  <si>
    <t>Model lifecycle</t>
  </si>
  <si>
    <t>Implement ppiq_plant.model_registry per serving identity (tenant_id, model_code, outcome_code, grain_code) plus model_version. status and serving_role are independent; at most one active and one approved fallback exist per serving identity, and one version can never be both. There is no ModelBundle. Store artifact identity, semantic_manifest_id, acceptance floors, quality/serving/training metrics and drift observations. Promotion policy itself is implemented by T-176 and wired by T-187.</t>
  </si>
  <si>
    <t>Create two serving identities with identical model_code but different outcome/grain and prove independent activation. Attempt duplicate active/fallback rows and primary=fallback and prove the database refuses them. Activate, retire and fall back atomically with every transition audited and manifest-resolvable.</t>
  </si>
  <si>
    <t>T-134; T-135; T-139; T-188; T-191; T-193; T-246</t>
  </si>
  <si>
    <t>T-131</t>
  </si>
  <si>
    <t>Practice signature, windowing, context and cohorts</t>
  </si>
  <si>
    <t>Practice learning</t>
  </si>
  <si>
    <t>Implement the production practice-learning core: canonical signature construction, parameter windowing, declared context and comparison cohort. The engine consumes governed data-product contracts only and contains no source table/industry vocabulary. Persistence and the D10 surface remain T-133.</t>
  </si>
  <si>
    <t>Against the certified M2 reference dataset, recover the planted good-practice band and refuse/avoid the null control. Run a genericity test showing the kernel receives only semantic codes/data-product fields, never source identifiers.</t>
  </si>
  <si>
    <t>T-086; T-128; T-171</t>
  </si>
  <si>
    <t>T-132; T-133; T-136; T-142; T-240</t>
  </si>
  <si>
    <t>T-086 + T-128 + T-171</t>
  </si>
  <si>
    <t>T-132</t>
  </si>
  <si>
    <t>Support, confidence, back-off ladder and tolerance sensitivity</t>
  </si>
  <si>
    <t>Add support/confidence ranking, sparse-cohort back-off, resampling stability and tolerance sensitivity to practice learning. A result that changes materially under reasonable tolerance changes is explicitly marked sensitive rather than promoted as stable.</t>
  </si>
  <si>
    <t>A stable practice survives resampling and is ranked with support. A sparse cohort walks the declared back-off ladder. Widen tolerance and prove a flipping practice is marked sensitive with the tested settings persisted.</t>
  </si>
  <si>
    <t>T-133; T-136; T-142; T-240</t>
  </si>
  <si>
    <t>T-133</t>
  </si>
  <si>
    <t>Practice persistence, drift and canonical D10 Practice Insights</t>
  </si>
  <si>
    <t>Persist practice_statistics/signatures with semantic_manifest_id and evidence, implement practice drift against the plant's own demonstrated best, and replace the M1 presentation adapter behind D10 with canonical sources without changing the frozen D10 visible contract.</t>
  </si>
  <si>
    <t>Move operating data away from the learned band and prove drift is detected, persisted and surfaced with evidence. Run the M1 continuity snapshot for D10 and prove no route, control, wording or state-semantics regression.</t>
  </si>
  <si>
    <t>T-131; T-132; T-183</t>
  </si>
  <si>
    <t>T-134; T-136; T-240</t>
  </si>
  <si>
    <t>T-131 + T-132 + T-183</t>
  </si>
  <si>
    <t>T-134</t>
  </si>
  <si>
    <t>Bindable intelligence registry and evidence handles</t>
  </si>
  <si>
    <t>Make intelligence a first-class bindable source through registry_intelligence_sources. Fact-shaped measures may project through WidgetFact; native-grain rich sources retain declared columns. Predictions, findings, practice, readiness and model-state sources appear in the normal authoring shell with resolvable evidence.
v2.10.2 PHASE CORRECTION — this task builds the generic bindable-intelligence registry/evidence mechanism and registers only canonical sources that actually exist at this point. Do not promise prediction bindings before T-139 creates canonical predictions; T-139/T-189 register those sources later through the same mechanism.</t>
  </si>
  <si>
    <t>Bind one fact-shaped and one native-rich intelligence source through the standard authoring shell, filter/drill both and open evidence. Break an evidence handle and prove the widget refuses rather than rendering an uncited number. No ML-specific widget branch exists.</t>
  </si>
  <si>
    <t>T-090; T-095; T-096; T-129; T-130; T-133; T-186; T-139</t>
  </si>
  <si>
    <t>T-138; T-228; T-229</t>
  </si>
  <si>
    <t>T-090 definition authority + T-095/T-096 relationship resolver + available ca...</t>
  </si>
  <si>
    <t>T-135</t>
  </si>
  <si>
    <t>Tenant-aware uniqueness across the intelligence tables</t>
  </si>
  <si>
    <t>Apply tenant ownership, tenant-first uniqueness and RLS to every new intelligence table in the frozen design, including model, prediction, practice, index-generation, capability/readiness and run/evidence tables. Semantic manifests use manifest_id PK plus UNIQUE(tenant_id, manifest_hash).
v2.10.2 SECURITY-RATChET RULING — T-135 is not the first time RLS is applied. T-112/T-114 establish the mandatory pattern before Release 2 persistence. T-135 audits current intelligence tables and adds/extends the architecture ratchet so every future tenant-owned intelligence table fails CI if tenant_id, tenant-first uniqueness or FORCE RLS is missing.</t>
  </si>
  <si>
    <t>Insert identical natural keys for two tenants and prove both persist. Prove cross-tenant reads fail from the database alone. The architecture test fails when any new tenant-owned intelligence table lacks forced RLS or tenant-first uniqueness.</t>
  </si>
  <si>
    <t>T-112; T-114; T-128; T-129; T-130; T-183</t>
  </si>
  <si>
    <t>T-184; T-185; T-186; T-187</t>
  </si>
  <si>
    <t>T-112 + T-114 + current Release 2 persistence tables (including T-128/T-129/T-130/T...</t>
  </si>
  <si>
    <t>T-136</t>
  </si>
  <si>
    <t>Incremental practice recomputation</t>
  </si>
  <si>
    <t>Make practice recomputation incremental using Release 1 stage watermarks and changed-population contracts. Recompute only affected cohorts/signatures and preserve prior immutable evidence for unaffected historical results.</t>
  </si>
  <si>
    <t>Add one day of data and prove recomputation scans a bounded delta, Scan Amplification stays inside the declared baseline, and unaffected practice rows/evidence hashes do not change.</t>
  </si>
  <si>
    <t>T-131; T-132; T-133; T-109</t>
  </si>
  <si>
    <t>T-109 + T-131..T-133</t>
  </si>
  <si>
    <t>T-138</t>
  </si>
  <si>
    <t>Canonical Assistant runtime cutover: planner, retrieval, evidence packing, serving and verifier</t>
  </si>
  <si>
    <t>Chatbot</t>
  </si>
  <si>
    <t>After M1 continuity is frozen and canonical intelligence is available, replace M1 retrieval/prepared-state internals behind the unchanged dock. Wire T-179 planner, T-180 retrieval/evidence packer, T-137 ModelServingRuntime and T-181 verifier. Structured Layer A/B tools take precedence. Expose stable CompareOperationalPeriods (T-237) and GetCompositePractices (T-240) when those producer contracts are complete; their absence must degrade honestly rather than block the core Assistant cutover.</t>
  </si>
  <si>
    <t>Re-run the certified M1 question pack and continuity snapshot. Every numeric claim resolves to a supplied handle, permission filtering occurs before ranking, truncation is disclosed, an engine refusal stays a refusal, and a fabricated/unsupported claim is blocked before display. No prepared presentation corpus is required.</t>
  </si>
  <si>
    <t>T-179; T-180; T-181; T-137; T-134; T-188</t>
  </si>
  <si>
    <t>T-137 + T-179..T-181 + T-134 + T-188</t>
  </si>
  <si>
    <t>T-139</t>
  </si>
  <si>
    <t>prediction_runs, predictions and prediction_current</t>
  </si>
  <si>
    <t>Prediction</t>
  </si>
  <si>
    <t>Persist prediction_runs, predictions and prediction_current per serving identity and generic analysis_subject_id + grain_code. A prediction may target a material unit, equipment state, campaign, batch or process window according to the published grain definition; no universal CoilId/material-unit assumption.</t>
  </si>
  <si>
    <t>Same prediction contract stores and retrieves at least one discrete subject and one non-material equipment/process-window subject, preserving evidence, horizon, uncertainty and tenant isolation.</t>
  </si>
  <si>
    <t>T-130; T-187; T-231</t>
  </si>
  <si>
    <t>T-134; T-140; T-141; T-142; T-189; T-193</t>
  </si>
  <si>
    <t>T-130 + T-187</t>
  </si>
  <si>
    <t>T-140</t>
  </si>
  <si>
    <t>Prediction drivers and comparables, persisted</t>
  </si>
  <si>
    <t>Persist prediction drivers, explanation metadata and comparable historical cases as evidence-grade rows. Drivers come from the governed explanation artifact and comparables from the served similarity generation; the UI never computes or narrates them from scratch.</t>
  </si>
  <si>
    <t>Open a prediction and resolve every driver/comparable to persisted model/index/evidence identity. Delete/deny the rows and prove the consuming surface refuses rather than inventing an explanation.</t>
  </si>
  <si>
    <t>T-139; T-173; T-176</t>
  </si>
  <si>
    <t>T-142; T-189</t>
  </si>
  <si>
    <t>T-139 + T-173/T-176</t>
  </si>
  <si>
    <t>T-141</t>
  </si>
  <si>
    <t>Actionable deadline and latency health</t>
  </si>
  <si>
    <t>Implement actionable_deadline_utc, delivery_latency_seconds, scoring_mode and met_actionable_deadline. Tie online scoring to the hard-reserved ml.online_scoring lane. A late prediction is historical evidence, never actionable.</t>
  </si>
  <si>
    <t>Saturate training and batch, submit online scoring and measure that the reserved lane still serves. Force a prediction past its actionable deadline and prove it is persisted as late and excluded from actionable presentation.</t>
  </si>
  <si>
    <t>T-107; T-122; T-139; T-187</t>
  </si>
  <si>
    <t>T-189</t>
  </si>
  <si>
    <t>T-107 + T-122 + T-139 + T-187</t>
  </si>
  <si>
    <t>T-142</t>
  </si>
  <si>
    <t>Remediation candidate generation from the customer's own history</t>
  </si>
  <si>
    <t>Generate remediation candidates from the customer's own governed history by finding comparable early conditions with better later outcomes and the later-stage practices that differed. Persist support, effect range, limitations, evidence and the semantic/model/index identities used. No candidate is a control instruction.</t>
  </si>
  <si>
    <t>On the certified M2 reference dataset, every emitted candidate meets the declared support threshold, has a bounded effect range and resolvable comparable evidence. Insufficient-support candidates do not emit. No source-system write API is reachable.</t>
  </si>
  <si>
    <t>T-131; T-132; T-139; T-140</t>
  </si>
  <si>
    <t>T-143; T-189; T-190</t>
  </si>
  <si>
    <t>T-131/T-132 + T-139/T-140</t>
  </si>
  <si>
    <t>Integrate the nine-check remediation gate, can_accept and suppression</t>
  </si>
  <si>
    <t>Wire the pure decision kernel from T-178 into prediction/remediation persistence and API contracts. Eligibility is per prediction. can_accept is the complete server authority and the client never re-derives it. Outcomes are actionable, evidence_only, exploratory or suppressed; suppressed rows are audited and never shown.</t>
  </si>
  <si>
    <t>Run one persisted/API case per nine-check failure and per can_accept condition. Prove the same template can be suppressed for one prediction and actionable for another. Search every consuming API/UI payload and prove a suppressed candidate is absent.</t>
  </si>
  <si>
    <t>T-178; T-142</t>
  </si>
  <si>
    <t>T-144; T-189; T-190</t>
  </si>
  <si>
    <t>T-178 + T-142</t>
  </si>
  <si>
    <t>T-144</t>
  </si>
  <si>
    <t>Accept, Reject and Defer with action recording</t>
  </si>
  <si>
    <t>Feedback loop</t>
  </si>
  <si>
    <t>Implement Accept, Reject and Defer behind the server-authoritative can_accept boundary, with actor, timestamp and reason. Each decision creates the governed action/decision state only when allowed. PPIQ records human action and never issues a plant control command.</t>
  </si>
  <si>
    <t>Exercise all three decisions with can_accept true and false. Allowed actions persist actor/reason/state; disallowed actions fail server-side even if a client is modified. A dependency/network test proves no customer-source write/control client is reachable.</t>
  </si>
  <si>
    <t>T-145; T-190</t>
  </si>
  <si>
    <t>T-145</t>
  </si>
  <si>
    <t>Outcome capture, evaluation and escalation</t>
  </si>
  <si>
    <t>Capture observed outcomes, prediction/remediation evaluation and escalation records. Intervened instances are reported separately from ordinary prediction-accuracy metrics. Escalation is a record, never an automatic decision.</t>
  </si>
  <si>
    <t>Accept a candidate, let the outcome arrive and prove evaluation closes the loop with intervention state preserved. Confirm intervened instances are excluded from ordinary accuracy calculation and an escalation creates no action automatically.</t>
  </si>
  <si>
    <t>T-190; T-193</t>
  </si>
  <si>
    <t>T-146</t>
  </si>
  <si>
    <t>Converge the production statistical engine onto the certified method kernel</t>
  </si>
  <si>
    <t>Consolidation</t>
  </si>
  <si>
    <t>Use the schema-independent statistical kernel from T-177 to converge the runtime onto one readiness-gated engine and retire the direct-SQL/superseded compute paths. Persist method, aligned population/group sizes, effect size, p-value, FDR/q-value, gate evidence and truthful exclusion reason. This is the production wiring/cutover task; do not perform it before M1 presentation continuity is frozen.</t>
  </si>
  <si>
    <t>Only one production correlation engine is reachable. Known-answer fixtures cover Numeric×Numeric, Binary×Numeric, Categorical×Categorical and Numeric×Categorical. Numeric×Categorical selects ANOVA when assumptions hold and Kruskal-Wallis otherwise. Constant, unsupported and insufficient-sample cases retain distinct reasons. Re-run the M1 analysis continuity checks and prove no visible regression.</t>
  </si>
  <si>
    <t>T-147; T-177; T-128; T-129</t>
  </si>
  <si>
    <t>T-147 COMPLETE + T-177 + T-128/T-129; M1 presentation continuity frozen.</t>
  </si>
  <si>
    <t>T-147</t>
  </si>
  <si>
    <t>Fix the outcome namespace, grain assignment and ordinal loader</t>
  </si>
  <si>
    <t>Converge outcome namespace, grain ownership and ordinal/categorical loading on the canonical outcome store. Refresh must never silently reassign grain, and ordinal/categorical labels/classes are preserved as real outcomes rather than coerced to fake numeric targets. v2.10.1 SM-06 CONSUMPTION. Converge Engine-side outcome consumption on the canonical published SM-06 OutcomeDefinition and canonical outcome store. Consume — never redefine — outcome_type, class taxonomy, ordinal rank map, outcome-specific grain, detection_position_code, detection_timestamp_field, direction, unit and censoring policy. The two detection fields are the leakage anchors consumed by G-06. Refresh may not silently reassign grain, classes or outcome semantics, and categorical/ordinal outcomes remain real classes rather than fake numeric targets.</t>
  </si>
  <si>
    <t>One namespace across registry, store and engines. Grain survives refresh. Load ordinal/multiclass outcomes and prove class labels/counts seen by T-177/T-146 exactly match the store without manual repair. For a published SM-06 definition, prove the Engine receives exactly the canonical grain, classes/ranks, direction/unit/censoring semantics and detection_position_code/detection_timestamp_field. Inject a feature that becomes available only after the declared detection anchor and prove G-06 blocks it fail-closed. Publish a new outcome-definition version and prove an older run/snapshot continues to resolve the old semantics rather than being silently reinterpreted.</t>
  </si>
  <si>
    <t>T-090; T-128; T-129; T-177</t>
  </si>
  <si>
    <t>T-090 canonical SM-06 binding + T-128/T-129 + T-177; complete BEFORE T-146 fi...</t>
  </si>
  <si>
    <t>T-157</t>
  </si>
  <si>
    <t>Practice, prediction and model calibration on real data</t>
  </si>
  <si>
    <t>Calibration</t>
  </si>
  <si>
    <t>With a longer real-data window, execute governed retraining/calibration, OOT/subgroup/missingness/explanation-stability checks, drift review and the site portions of B-05/B-06. Tune only benchmark-open parameters; no gate threshold is weakened to make a model pass.</t>
  </si>
  <si>
    <t>Each served model has a governed retraining/evaluation record, calibration evidence, drift decision and reproducible manifest. Any encoder/ANN choice is supported by the recorded benchmark against its simpler/exact baseline.</t>
  </si>
  <si>
    <t>WAIT for deployed Release 1 + real customer/site evidence. Release 2 accepted + customer data window</t>
  </si>
  <si>
    <t>T-158</t>
  </si>
  <si>
    <t>Remediation validation against real process constraints</t>
  </si>
  <si>
    <t>Validate remediation actionability, support thresholds, controllability and process-stage timing against the customer's real constraints. The human approval/read-only boundary remains absolute.</t>
  </si>
  <si>
    <t>Validate all nine checks against real constraints and replay at least one allowed and one refused case. No path permits automatic plant control and all refusal evidence is retained.</t>
  </si>
  <si>
    <t>The Value Engine</t>
  </si>
  <si>
    <t>Value</t>
  </si>
  <si>
    <t>Build value_impacts, cost_assumptions, the value realisation ledger and D7 Value Dashboard, honouring the two-downtime-quantity rule. Consume exact operational-period driver quantities from T-237 and transition/stabilisation evidence from T-235/T-236 so setup/changeover/ramp-up loss can be priced without inventing quantities. This is the only authority that converts assumption-based operational impact into bounded money.</t>
  </si>
  <si>
    <t>A euro figure is only ever shown as a bounded range with its assumptions visible and its evidence resolvable. No number without evidence.</t>
  </si>
  <si>
    <t>T-237; T-235</t>
  </si>
  <si>
    <t>T-165</t>
  </si>
  <si>
    <t>Commercial capacity finalisation and the sales calculator</t>
  </si>
  <si>
    <t>Commercial</t>
  </si>
  <si>
    <t>Validate the real user, page, job, DB-link and data bands against measured infrastructure, and build the Sales Administration and capacity calculator from Chapter 6 6.3.8.</t>
  </si>
  <si>
    <t>A quote produced by the calculator matches the measured server class for the same inputs.</t>
  </si>
  <si>
    <t>T-183</t>
  </si>
  <si>
    <t>Semantic Contract Manifest persistence, resolver and G-55 coverage</t>
  </si>
  <si>
    <t>Semantic reproducibility</t>
  </si>
  <si>
    <t>After Release 1-P1/P2 establish final definition/relationship authority, implement ppiq_meta.semantic_manifests as immutable tenant-owned reproducibility pins: manifest_id UUID PK, tenant_id, manifest_hash, referenced definition versions, relationship publication, registry/configuration hashes and UNIQUE(tenant_id, manifest_hash). Build ManifestResolver and semantic_manifest_id references on governed run/artifact/evidence tables. Legacy rows may be null; every new governed AI/ML execution must resolve a manifest.</t>
  </si>
  <si>
    <t>Create identical content in two tenants and prove separate rows; identical content twice in one tenant reuses the same manifest. Attempt mutation and refuse it. Start a new governed AI/ML run without a resolvable manifest and prove G-55 refuses before output persistence. A changed answer can be traced to a manifest diff.</t>
  </si>
  <si>
    <t>T-089; T-090; T-091; T-092; T-093; T-094; T-095; T-096; T-097; T-098; T-099; T-100; T-101; T-102; T-103; T-104; T-105; T-112; T-114</t>
  </si>
  <si>
    <t>T-129; T-130; T-133; T-135; T-184; T-185; T-186; T-187; T-192</t>
  </si>
  <si>
    <t>T-089..T-105 canonical definition/relationship authority + T-112 + T-114 secu...</t>
  </si>
  <si>
    <t>T-184</t>
  </si>
  <si>
    <t>Snapshot Materialiser: seal feature state into typed artifacts and enforce G-48</t>
  </si>
  <si>
    <t>Training data path</t>
  </si>
  <si>
    <t>Wire T-169 into production as the Snapshot Materialiser. It is the sole component permitted to read feature_store for sealing; training/encoding consume only the immutable typed artifact. Persist hash/format/size/row-count/semantic_manifest_id and optional declared audit sample. No full duplicate JSONB training population.
v2.10.2 BENCHMARK-STATE RULING — persist the artifact format actually used for each snapshot, but do not call one format the universal/site-selected winner merely because T-169/T-182 synthetic smoke runs. Selection remains measurement/site evidence; the materialiser must support explicit configured candidate identity.</t>
  </si>
  <si>
    <t>Seal a snapshot, mutate live feature_store, then train/read through the artifact and reproduce the original input. Architecture gate G-48 fails if any trainer/encoder queries feature_store directly. Corrupt the artifact and prove hash verification refuses it before training.</t>
  </si>
  <si>
    <t>T-128; T-169; T-183; T-112; T-114; T-135</t>
  </si>
  <si>
    <t>T-187; T-192</t>
  </si>
  <si>
    <t>T-128 + T-169 + T-183 + T-112/T-114/T-135 security ratchet.</t>
  </si>
  <si>
    <t>T-185</t>
  </si>
  <si>
    <t>sequence_manifests persistence and object-storage sequence path</t>
  </si>
  <si>
    <t>Wire T-170 into production: ppiq_plant.sequence_manifests stores subject/channel/time/count/hash/storage/chunk metadata while object storage holds immutable numeric payload chunks. Integrate retention/backup identity and bounded loader access. PostgreSQL stores no numeric sequence arrays.
v2.10.2 BENCHMARK-STATE RULING — chunk/compression policy remains configured/recorded until representative/site B-04 evidence freezes it. Persist exact codec/chunk identity per manifest; do not hide the choice behind an unmeasured global default.</t>
  </si>
  <si>
    <t>Persist and reload a large multi-chunk sequence with manifest/content verification and bounded memory. Search the canonical schema and prove no numeric sequence payload array column exists. Restore the artifact/DB pair and reproduce the sequence; a missing chunk produces a typed refusal.</t>
  </si>
  <si>
    <t>T-170; T-183; T-122; T-112; T-114; T-135</t>
  </si>
  <si>
    <t>T-170 + T-183 + T-122 final object-storage/container path + T-112/T-114/T-135...</t>
  </si>
  <si>
    <t>T-186</t>
  </si>
  <si>
    <t>Persist capability profiles, prediction points and the model-count governor</t>
  </si>
  <si>
    <t>Persist the T-171 capability profile per outcome/grain/manifest and implement governed prediction-point candidates plus the model-count governor. Only capabilities supported by measured data become eligible; collapsed dimensions and refusal reasons remain visible. Prediction points are activated under policy rather than multiplying models blindly.</t>
  </si>
  <si>
    <t>On one rich and one sparse reference population, persist different capability states with their measured basis. Generate prediction-point candidates and prove the governor caps/chooses them deterministically. An unsupported model family remains MODEL_NOT_READY/NOT_APPLICABLE rather than creating a placeholder model.</t>
  </si>
  <si>
    <t>T-171; T-183; T-128; T-129; T-195; T-135</t>
  </si>
  <si>
    <t>T-134; T-187; T-188; T-192</t>
  </si>
  <si>
    <t>T-171 + T-183 + T-128/T-129 + T-195 canonical readiness thresholds + T-135 se...</t>
  </si>
  <si>
    <t>Production training/index integration: snapshots → ML lanes → registry activation</t>
  </si>
  <si>
    <t>ML integration</t>
  </si>
  <si>
    <t>Integrate T-168 runtime, T-172/T-174/T-175 learned families, T-173 index builder, T-176 promotion, T-183 manifests and T-184/T-185 artifacts with the Release 1 scheduler lanes. Training/index jobs consume sealed artifacts, checkpoint where declared, write governed result manifests and register candidates; only gate-approved versions activate. No daytime request enters training.
v2.10.2 BENCHMARK-STATE RULING — integration may activate a candidate only against the declared frozen acceptance metrics for the environment. It must record candidate/runtime/index/artifact identities and may not convert synthetic benchmark smoke into a universal production selection. Site B-05/B-06 choices are frozen by T-157; final B-01..B-09 sizing/selection evidence is consumed by T-159.</t>
  </si>
  <si>
    <t>Run a full candidate job from sealed snapshot through training/evaluation/registry. Prove direct feature_store access is absent, a failed gate cannot activate, a passed candidate activates atomically per serving identity, and online serving remains available while training/batch are saturated. MF-02 recall floor blocks an inadequate index.</t>
  </si>
  <si>
    <t>T-168; T-169; T-170; T-171; T-172; T-173; T-174; T-175; T-176; T-183; T-184; T-185; T-186; T-107; T-109; T-112; T-114; T-135; T-195</t>
  </si>
  <si>
    <t>T-139; T-141; T-191; T-192; T-193</t>
  </si>
  <si>
    <t>T-107 + T-109 + T-168..T-176 + T-183..T-186 + T-112/T-114/T-135 + T-195.</t>
  </si>
  <si>
    <t>T-188</t>
  </si>
  <si>
    <t>Canonical D4 Findings and D8 ML Readiness/Models cutover</t>
  </si>
  <si>
    <t>Intelligence surfaces</t>
  </si>
  <si>
    <t>Replace the M1 presentation adapters behind D4 Findings and D8 ML Readiness/Models with canonical run/finding/capability/model-registry sources. Preserve the frozen route, layout, labels, controls and refusal semantics; only the hidden data authority changes. Expose method/population/q-value/effect evidence and real readiness/model lifecycle state.</t>
  </si>
  <si>
    <t>Run the M1 continuity snapshots for both pages and record no visible-contract regression. Kill a canonical source and prove the page shows the same bounded failure/refusal state rather than presentation fallback data. Every displayed model/finding resolves to manifest/run/evidence.</t>
  </si>
  <si>
    <t>T-129; T-130; T-186; T-195</t>
  </si>
  <si>
    <t>T-138; T-192</t>
  </si>
  <si>
    <t>T-129 + T-130 + T-186 + T-195 + M1 continuity snapshots.</t>
  </si>
  <si>
    <t>Canonical D5 Risk and D9 Early Warning cutover</t>
  </si>
  <si>
    <t>Prediction surfaces</t>
  </si>
  <si>
    <t>Bind D5 Risk and D9 Early Warning to prediction_current/prediction evidence. D5 remains aggregate current risk; D9 remains the per-unit actionable queue with deadline, drivers, fallback state, comparables and can_accept/remediation status. Preserve the M1 visual contract and remove presentation-only backing data.</t>
  </si>
  <si>
    <t>Continuity snapshots remain stable. Force a late prediction, fallback use, missing driver evidence and suppressed remediation; each renders the designed canonical state. No row appears actionable after its deadline and no client re-derives can_accept.</t>
  </si>
  <si>
    <t>T-139; T-140; T-141; T-142; T-143</t>
  </si>
  <si>
    <t>T-192</t>
  </si>
  <si>
    <t>T-139..T-143 + M1 continuity snapshots</t>
  </si>
  <si>
    <t>T-190</t>
  </si>
  <si>
    <t>Canonical D6 Suggestions and decision-action cutover</t>
  </si>
  <si>
    <t>Remediation surfaces</t>
  </si>
  <si>
    <t>Bind D6 Suggestions to canonical remediation candidates/eligibility/decision records. Suppressed candidates never render. Accept/Reject/Defer controls obey server can_accept and preserve the human/read-only boundary. Preserve the M1 visual contract while deleting presentation-only decision data paths.</t>
  </si>
  <si>
    <t>Run continuity snapshots. Attempt client-side manipulation to enable a forbidden decision and prove the server refuses it. Exercise actionable/evidence_only/exploratory/suppressed cases and confirm only allowed states appear with evidence and actor/reason history.</t>
  </si>
  <si>
    <t>T-142; T-143; T-144; T-145</t>
  </si>
  <si>
    <t>T-142..T-145 + M1 continuity snapshots</t>
  </si>
  <si>
    <t>T-191</t>
  </si>
  <si>
    <t>D11 Scenario Simulation: governed read-only modelled comparison</t>
  </si>
  <si>
    <t>Scenario simulation</t>
  </si>
  <si>
    <t>Implement the already-designed D11 scenario path as decision support, not plant control: choose declared variables within valid ranges, hold the rest fixed, run against a named active model version/semantic manifest, compare with baseline and persist scenario_runs with uncertainty/disclaimer/evidence. It never writes to a customer system and never masquerades as an observed prediction.</t>
  </si>
  <si>
    <t>Run a bounded scenario and resolve baseline/model/manifest/evidence. An out-of-range or non-controllable variable is refused. The result is labelled simulation, includes uncertainty, and no source-system write/control endpoint is reachable from the path.</t>
  </si>
  <si>
    <t>T-130; T-176; T-187</t>
  </si>
  <si>
    <t>T-130 + T-176 + T-187</t>
  </si>
  <si>
    <t>Target-architecture gate pack G-48..G-55</t>
  </si>
  <si>
    <t>Architecture gates</t>
  </si>
  <si>
    <t>Implement the eight target-architecture gates as executable tests: G-48 materialiser-only feature_store read; G-49 ML lane isolation; G-50 admission satisfiable; G-51 ANN recall floor; G-52 evidence-budget/truncation integrity; G-53 deterministic answer verification; G-54 governed-model-only learned multimodal output; G-55 semantic-manifest coverage. Keep them standalone and fail-closed; T-150 owns final pipeline wiring.</t>
  </si>
  <si>
    <t>Falsify every gate once. Each deliberate violation fails for the named reason and passes only after the defect is removed. A missing test input/dependency is a failure, not a skip/pass. Produce one machine-readable gate report consumable by T-150.</t>
  </si>
  <si>
    <t>T-183; T-184; T-185; T-186; T-187; T-188; T-189; T-190; T-191; T-107; T-122</t>
  </si>
  <si>
    <t>T-183..T-191 + T-107/T-122 as applicable</t>
  </si>
  <si>
    <t>T-193</t>
  </si>
  <si>
    <t>Drift Supervisor and governed model-action proposals</t>
  </si>
  <si>
    <t>Implement the Drift Supervisor over served model/index/practice state. Detect declared distribution/performance/calibration/explanation drift, propose bounded actions, shadow-run where applicable and require human approval before applying. It may never lower readiness thresholds, refusal rules, evidence requirements, leakage gates, tenant isolation or semantic contracts, and it never performs continuous online weight updates.</t>
  </si>
  <si>
    <t>Trigger each supported drift class on fixtures and prove a proposal is recorded with evidence. Attempt to propose a forbidden threshold/gate weakening and prove it is rejected structurally. Approve one allowed bounded action and confirm atomic application plus rollback pointer; reject one and confirm no state change.</t>
  </si>
  <si>
    <t>T-130; T-187; T-139; T-145</t>
  </si>
  <si>
    <t>T-130 + T-187 + T-139/T-145</t>
  </si>
  <si>
    <t>T-195</t>
  </si>
  <si>
    <t>Canonical readiness thresholds, governed change history and fail-closed readiness API</t>
  </si>
  <si>
    <t>Readiness governance</t>
  </si>
  <si>
    <t>Implement the Chapter 3 canonical readiness authority behind the M1-compatible facade: ppiq_meta.readiness_thresholds and readiness_threshold_changes, tenant/outcome-scoped thresholds, GET /api/readiness/evaluate, GET /api/readiness/matrix, GET /api/readiness/thresholds and governed PUT with required justification/audit. Evaluation failure is Blocked/readiness-could-not-be-measured, never Ready by default.</t>
  </si>
  <si>
    <t>Create thresholds for two tenants/outcomes and prove isolation. Change one threshold through the governed API with justification and prove change history/audit. Attempt a non-human/unauthorised change and refuse it. Force the population measurement to fail and prove the result is Blocked with the fail-closed reason. M1 T-066 visible contract remains unchanged.</t>
  </si>
  <si>
    <t>T-090; T-112; T-114</t>
  </si>
  <si>
    <t>T-066; T-186; T-187; T-188</t>
  </si>
  <si>
    <t>T-090 + T-112 + T-114</t>
  </si>
  <si>
    <t>T-238</t>
  </si>
  <si>
    <t>Multi-objective Objective Set and Pareto practice kernel</t>
  </si>
  <si>
    <t>Practice intelligence</t>
  </si>
  <si>
    <t>Implement schema-independent multi-objective practice semantics: Objective Set members, hard constraints, Pareto dominance/non-dominance, ParetoOnly/DeclaredUtility/LexicographicOrConstrained resolution and MO01/MO02 refusal. Normalisation consumes Performance Reference semantics; no default weights or sample min-max scaling.</t>
  </si>
  <si>
    <t>Known-answer practice vectors produce the exact Pareto frontier. A conflicting set with no preference refuses a single winner. Declared utility/lexicographic policies produce deterministic rankings and preserve the full objective vector/support/uncertainty.</t>
  </si>
  <si>
    <t>T-208; T-214</t>
  </si>
  <si>
    <t>T-239; T-240</t>
  </si>
  <si>
    <t>May start after T-214 contract; does not block September demo.</t>
  </si>
  <si>
    <t>New objective/Pareto kernel/tests only.</t>
  </si>
  <si>
    <t>T-239 persists objective authority; T-240 integrates practice family.</t>
  </si>
  <si>
    <t>T-239</t>
  </si>
  <si>
    <t>Persist Objective Set and preference authority</t>
  </si>
  <si>
    <t>Multi-objective persistence</t>
  </si>
  <si>
    <t>Persist objective_sets, objective_set_members and immutable objective_preference_versions under tenant/definition authority. Bind each member to registered outcomes/KPIs/measures and Performance Reference directionality/normalisation. No default weights.</t>
  </si>
  <si>
    <t>Round-trip ParetoOnly and declared preference versions; equal data under a new preference creates a new version rather than rewriting history. Invalid/missing direction/reference refuses MO02.</t>
  </si>
  <si>
    <t>T-090; T-214; T-238</t>
  </si>
  <si>
    <t>T-240</t>
  </si>
  <si>
    <t>After T-090 + frozen T-214/T-238 contracts.</t>
  </si>
  <si>
    <t>objective-set tables/API/migrations.</t>
  </si>
  <si>
    <t>T-240 consumes committed persistence.</t>
  </si>
  <si>
    <t>Composite practice results, trade-off explanation and Assistant tool integration</t>
  </si>
  <si>
    <t>AI+ML / Assistant</t>
  </si>
  <si>
    <t>Multi-objective practice integration</t>
  </si>
  <si>
    <t>Integrate T-238 with canonical practice learning: compute/persist composite_practice_results with objective vectors, support, uncertainty and dominance; expose GetCompositePractices to the deterministic Assistant tool layer. Reuse T-131/T-132/T-133 cohorts/stability/backoff; do not duplicate practice learning.</t>
  </si>
  <si>
    <t>One customer-neutral fixture returns a supported Pareto frontier; unsupported/conflicting objectives refuse correctly; preference-resolved rank is reproducible by version. Assistant explains trade-offs and never calls a Pareto point universally best without declared preference.</t>
  </si>
  <si>
    <t>T-131; T-132; T-133; T-238; T-239</t>
  </si>
  <si>
    <t>After practice core + objective persistence.</t>
  </si>
  <si>
    <t>Practice intelligence/Assistant tool only.</t>
  </si>
  <si>
    <t>T-138 may expose this tool after completion; no Assistant redesign.</t>
  </si>
  <si>
    <t>T-167</t>
  </si>
  <si>
    <t>Documentation, training and production acceptance</t>
  </si>
  <si>
    <t>Runbook, operator and data-engineer and administrator guides, release notes, known limitations, rollback plan and the formal acceptance suite.</t>
  </si>
  <si>
    <t>The acceptance suite passes and is signed. Known limitations are written down before the customer finds them.</t>
  </si>
  <si>
    <t>M3-P5</t>
  </si>
  <si>
    <t>Heavy-production Certification</t>
  </si>
  <si>
    <t>M3 P5 — Heavy-production Certification. Release 2 is heavy production / scale / deeper enterprise use.</t>
  </si>
  <si>
    <t>Release 2 heavy-production final certification gate</t>
  </si>
  <si>
    <t>Release certification</t>
  </si>
  <si>
    <t>Final M3 gate for sustained heavy production: higher volumes, more users, OT endurance, enterprise operations, advanced BI/authoring, advanced intelligence/value, recovery and support. No release if a required M3 production capability is only a demo/proof seam.</t>
  </si>
  <si>
    <t>One machine-readable M3 scorecard is GREEN across capacity, concurrency, customer-source endurance, security, backup/restore, monitoring, advanced BI/authoring, model lifecycle, value evidence and customer runbook. Zero unresolved Critical/Very Important release defects.</t>
  </si>
  <si>
    <t>T-153; T-159; T-160; T-161; T-162; T-163; T-164; T-167; T-193; T-230; T-240; T-248</t>
  </si>
  <si>
    <t>After all M3 MUST gates</t>
  </si>
  <si>
    <t>Cross-stack release evidence; exact staging only</t>
  </si>
  <si>
    <t>Certification task only. Defects go back to the owning task/worker; do not patch features inside the gate.</t>
  </si>
  <si>
    <t>M3 P5 final authority. Release 2 means heavy-production ready, not another demonstration.</t>
  </si>
  <si>
    <t>T-250</t>
  </si>
  <si>
    <t>Frontend suite truth convergence: Journey routing and design-system corrections</t>
  </si>
  <si>
    <t>Release truth / design system</t>
  </si>
  <si>
    <t>Resolve only the six deterministic findings exposed by T-205 without reopening T-205: correct stale JourneyRail certification for Connections=J4 and Supervisor=J15; map the real /assistant/configuration route directly to J15 and guard redirect aliases; move constant MetricCard inline styles to CSS; retain HeatmapChart only as an exact-file semantic-matrix exception; convert SpecificationTable to StandardTable while preserving observed-state semantics. No broad frontend cleanup.</t>
  </si>
  <si>
    <t>Narrow affected tests GREEN first: Connections=J4, Supervisor=J15, /assistant/configuration=J15, redirect-alias guard GREEN, MetricCard D2 violations=0, Heatmap exact-file exception only, SpecificationTable uses StandardTable and existing component tests stay GREEN. Then run the ordinary complete frontend suite once with failed=0 and skipped=0. Do not rerun T-205 Certify unless T-205 gate code changes.</t>
  </si>
  <si>
    <t>Frontend bounded correction</t>
  </si>
  <si>
    <t>T-205 CLOSED GREEN at b7fcc890. Two read-only adjudication extracts are sufficient; no third diagnostic runner. Build one corrective pack, run narrow tests, then one normal full frontend suite.</t>
  </si>
  <si>
    <t>Own only the bounded JourneyRail/Journey tests, MetricCard styling, exact Heatmap architecture exception and SpecificationTable convergence. No edits to T-205 runner/validator and no unrelated frontend cleanup.</t>
  </si>
  <si>
    <t>T-205 remains closed. After T-250 GREEN, move directly to the next eligible existing Worker-2 task. No unnamed corrective work and no repeated expensive certification loop.</t>
  </si>
  <si>
    <t>CENTRAL 30-Aug-2026: no Task ID = no repository mutation. T-250 is the sole owner of these six findings; bounded correction only, narrow tests first, one final normal suite.</t>
  </si>
  <si>
    <t>Release Roadmap — Only M2 and M3</t>
  </si>
  <si>
    <t>Release</t>
  </si>
  <si>
    <t>Phase</t>
  </si>
  <si>
    <t>Phase name</t>
  </si>
  <si>
    <t>Task count</t>
  </si>
  <si>
    <t>Nominal open h</t>
  </si>
  <si>
    <t>AI P80 open h</t>
  </si>
  <si>
    <t>Primary customer outcome</t>
  </si>
  <si>
    <t>Exit condition</t>
  </si>
  <si>
    <t>Owner pressure</t>
  </si>
  <si>
    <t>M2 open tasks</t>
  </si>
  <si>
    <t>M2 nominal h</t>
  </si>
  <si>
    <t>M2 AI P80 h</t>
  </si>
  <si>
    <t>2026-09-30</t>
  </si>
  <si>
    <t>Generic canonical foundation and tests fail before customer sees defects.</t>
  </si>
  <si>
    <t>Release 1 ships only if the Day-1 Golden Journey and T-150 are GREEN.</t>
  </si>
  <si>
    <t>Worker 1 15.1h, Worker 2 2.5h</t>
  </si>
  <si>
    <t>M3 open tasks</t>
  </si>
  <si>
    <t>M3 nominal h</t>
  </si>
  <si>
    <t>M3 AI P80 h</t>
  </si>
  <si>
    <t>Customer connects data, prepares it, runs jobs and reads live OPC without developer code.</t>
  </si>
  <si>
    <t>Worker 1 46.1h, Worker 2 12.3h, Worker 3 4.5h</t>
  </si>
  <si>
    <t>Reliable enterprise BI interaction, filtering, pages and evidence surfaces.</t>
  </si>
  <si>
    <t>Worker 2 9.6h</t>
  </si>
  <si>
    <t>References, reconciliation, transition-aware analysis and grounded Assistant.</t>
  </si>
  <si>
    <t>Worker 2 4.2h, Worker 3 13.7h</t>
  </si>
  <si>
    <t>Install/security/roles/licence/recovery minimums and week-1 production acceptance.</t>
  </si>
  <si>
    <t>Worker 1 27.4h, Worker 2 2.0h</t>
  </si>
  <si>
    <t>2026-10-30</t>
  </si>
  <si>
    <t>Sustained OT/data scale, capacity and resilience.</t>
  </si>
  <si>
    <t>Release 2 ships only if T-249 heavy-production certification is GREEN.</t>
  </si>
  <si>
    <t>Worker 1 46.4h, Worker 3 8.6h</t>
  </si>
  <si>
    <t>Many-user enterprise operations, deeper admin/security/logging.</t>
  </si>
  <si>
    <t>Worker 1 17.4h, Worker 2 16.5h</t>
  </si>
  <si>
    <t>Advanced BI/authoring and auto-generated investigation boards.</t>
  </si>
  <si>
    <t>Worker 2 25.6h, Worker 3 14.5h</t>
  </si>
  <si>
    <t>Advanced model lifecycle, optimisation, multi-objective practice and customer-grade value.</t>
  </si>
  <si>
    <t>Worker 1 17.8h, Worker 3 69.1h</t>
  </si>
  <si>
    <t>Heavy-production certification and production handover.</t>
  </si>
  <si>
    <t>Worker 1 6.0h, Worker 2 7.2h</t>
  </si>
  <si>
    <t>Worker Tracks — release/phase order, no alternative programme vocabulary</t>
  </si>
  <si>
    <t>Owner</t>
  </si>
  <si>
    <t>Nominal h</t>
  </si>
  <si>
    <t>AI P80 h</t>
  </si>
  <si>
    <t>Depends On</t>
  </si>
  <si>
    <t>Start/Gate</t>
  </si>
  <si>
    <t>Lock</t>
  </si>
  <si>
    <t>Handoff</t>
  </si>
  <si>
    <t>Design ↔ Backlog Mirror — Product Requirement Traceability</t>
  </si>
  <si>
    <t>Requirement family</t>
  </si>
  <si>
    <t>Design authority</t>
  </si>
  <si>
    <t>M2 Release 1</t>
  </si>
  <si>
    <t>M3 Release 2</t>
  </si>
  <si>
    <t>Primary tasks</t>
  </si>
  <si>
    <t>M2 acceptance</t>
  </si>
  <si>
    <t>M3 acceptance</t>
  </si>
  <si>
    <t>Customer use</t>
  </si>
  <si>
    <t>Mirror state</t>
  </si>
  <si>
    <t>Ruling</t>
  </si>
  <si>
    <t>DB Link / external databases</t>
  </si>
  <si>
    <t>Ch3 4.5 + Ch4 5.0.0</t>
  </si>
  <si>
    <t>Day-1 production</t>
  </si>
  <si>
    <t>Scale/certification</t>
  </si>
  <si>
    <t>T-207; T-247; T-095..105</t>
  </si>
  <si>
    <t>Connect→browse→preview→map→import→canonical with no product-code diff</t>
  </si>
  <si>
    <t>Real-source endurance and complex relationship certification</t>
  </si>
  <si>
    <t>Customer IT day 1</t>
  </si>
  <si>
    <t>MIRRORED</t>
  </si>
  <si>
    <t>M2 first priority</t>
  </si>
  <si>
    <t>Canvas / SQL / data preparation</t>
  </si>
  <si>
    <t>Ch4 5.0.0 + 5.2</t>
  </si>
  <si>
    <t>Day-1 production core</t>
  </si>
  <si>
    <t>Advanced authoring parity</t>
  </si>
  <si>
    <t>T-241..246; T-248</t>
  </si>
  <si>
    <t>Arithmetic/logic/IF/ELSE/ForEach/RepeatN/WhileBounded, SQL validate/dry-run, save/version, Job bind</t>
  </si>
  <si>
    <t>Scoped measure, named states, advanced story/export/subflow parity</t>
  </si>
  <si>
    <t>No unbounded loops</t>
  </si>
  <si>
    <t>Jobs / scheduling / logs</t>
  </si>
  <si>
    <t>Ch4 5.3 + Ch6 runtime</t>
  </si>
  <si>
    <t>Day-1 run/schedule/monitor/log</t>
  </si>
  <si>
    <t>High-volume lanes/capacity</t>
  </si>
  <si>
    <t>T-106..111; T-245; T-227</t>
  </si>
  <si>
    <t>Run now, schedule, history, errors, rows/duration, bounded execution</t>
  </si>
  <si>
    <t>Capacity, scan amplification, checkpoint/resume under heavy load</t>
  </si>
  <si>
    <t>Core in M2, scale in M3</t>
  </si>
  <si>
    <t>Enterprise BI/HMI</t>
  </si>
  <si>
    <t>Ch3 pages + Ch4 5.0.0/5.1</t>
  </si>
  <si>
    <t>Enterprise core</t>
  </si>
  <si>
    <t>Advanced parity</t>
  </si>
  <si>
    <t>T-148; T-202..205; T-250; T-212; T-215; T-222; T-248</t>
  </si>
  <si>
    <t>No page/API errors, associative filters, persisted pages, evidence/drill, and a clean truthful frontend suite after bounded T-250 correction</t>
  </si>
  <si>
    <t>75-item matrix fully closed incl advanced states/story/export</t>
  </si>
  <si>
    <t>All users day 1</t>
  </si>
  <si>
    <t>Qlik-class outcome, PPIQ semantics</t>
  </si>
  <si>
    <t>Production OPC UA</t>
  </si>
  <si>
    <t>Ch2 OT boundary + Ch6 edge</t>
  </si>
  <si>
    <t>Read-only production path</t>
  </si>
  <si>
    <t>Endurance/certification</t>
  </si>
  <si>
    <t>T-207; T-224..226; T-153</t>
  </si>
  <si>
    <t>Real session/browse/subscription/quality/timestamps/spool-to-canonical</t>
  </si>
  <si>
    <t>Real-source endurance and site certification</t>
  </si>
  <si>
    <t>Operations week 1</t>
  </si>
  <si>
    <t>No fake sample claim</t>
  </si>
  <si>
    <t>Performance Reference</t>
  </si>
  <si>
    <t>Ch3/Ch4 reference authority</t>
  </si>
  <si>
    <t>Visible and usable</t>
  </si>
  <si>
    <t>Deeper scale/authoring</t>
  </si>
  <si>
    <t>T-214; T-232; T-215</t>
  </si>
  <si>
    <t>Customer standard/target/envelope visible with correct scoring direction</t>
  </si>
  <si>
    <t>Advanced authoring and large-scale governance</t>
  </si>
  <si>
    <t>Operations/Quality</t>
  </si>
  <si>
    <t>Reference can be 100% aim</t>
  </si>
  <si>
    <t>Reconciliation / root cause</t>
  </si>
  <si>
    <t>Ch3/Ch4 evidence authority</t>
  </si>
  <si>
    <t>Historical + live evidence</t>
  </si>
  <si>
    <t>Persisted/advanced</t>
  </si>
  <si>
    <t>T-217..223; T-221</t>
  </si>
  <si>
    <t>Seven evidence states + causal confidence + grounded explanation</t>
  </si>
  <si>
    <t>Canonical persistence at scale and richer workflows</t>
  </si>
  <si>
    <t>Never claim human intent/lie</t>
  </si>
  <si>
    <t>Assistant / LLM</t>
  </si>
  <si>
    <t>Ch4 Layer-B + Assistant contracts</t>
  </si>
  <si>
    <t>Grounded investigation</t>
  </si>
  <si>
    <t>InsightBoard composition</t>
  </si>
  <si>
    <t>T-179..181; T-223; T-228..230</t>
  </si>
  <si>
    <t>Question→governed tools→evidence→answer/citations</t>
  </si>
  <si>
    <t>Auto-generated governed investigation boards</t>
  </si>
  <si>
    <t>All analytical users</t>
  </si>
  <si>
    <t>LLM never invents plant numbers</t>
  </si>
  <si>
    <t>Multi-objective best practice</t>
  </si>
  <si>
    <t>Ch4 practice intelligence</t>
  </si>
  <si>
    <t>Foundation available</t>
  </si>
  <si>
    <t>Full Pareto/product integration</t>
  </si>
  <si>
    <t>T-171..176; T-238..240</t>
  </si>
  <si>
    <t>Underlying kernels available; not Release-1 blocker</t>
  </si>
  <si>
    <t>Objective sets, Pareto/non-dominance, trade-off explanation</t>
  </si>
  <si>
    <t>Operations/CEO</t>
  </si>
  <si>
    <t>No hidden weights</t>
  </si>
  <si>
    <t>Transition / stabilisation</t>
  </si>
  <si>
    <t>Ch3/Ch4 regime context</t>
  </si>
  <si>
    <t>Correctness gate</t>
  </si>
  <si>
    <t>Scale/learning integration</t>
  </si>
  <si>
    <t>T-234..236; T-235</t>
  </si>
  <si>
    <t>Findings state stable/transition/stabilising/mixed and refuse unsafe pooling</t>
  </si>
  <si>
    <t>Extended real-data calibration</t>
  </si>
  <si>
    <t>Prevents confident wrong correlation</t>
  </si>
  <si>
    <t>Financial value / ROI</t>
  </si>
  <si>
    <t>Ch1 value promise + Ch4/Ch6 Value Engine</t>
  </si>
  <si>
    <t>Existing potential-value evidence may be shown bounded</t>
  </si>
  <si>
    <t>Customer-grade realised ROI</t>
  </si>
  <si>
    <t>T-164; existing value engine + T-237</t>
  </si>
  <si>
    <t>No ungoverned monetary promise</t>
  </si>
  <si>
    <t>Real assumptions, realised-value ledger, heavy-use value certification</t>
  </si>
  <si>
    <t>CEO</t>
  </si>
  <si>
    <t>M3 owns customer-certified €/$ value</t>
  </si>
  <si>
    <t>Users / roles / licence / security</t>
  </si>
  <si>
    <t>Ch3/Ch6 administration/security</t>
  </si>
  <si>
    <t>Minimum production-safe controls</t>
  </si>
  <si>
    <t>Deep enterprise administration</t>
  </si>
  <si>
    <t>T-112..121; T-161..162; T-198..200</t>
  </si>
  <si>
    <t>Real auth, role enforcement, entitlement, RLS/secret hygiene</t>
  </si>
  <si>
    <t>SSO, advanced admin/logging/retention/site hardening</t>
  </si>
  <si>
    <t>Admin/IT</t>
  </si>
  <si>
    <t>Important but not allowed to starve Day-1 workbench</t>
  </si>
  <si>
    <t>Schedule note</t>
  </si>
  <si>
    <t>Historical / Superseded Task Evidence — not current execution authority</t>
  </si>
  <si>
    <t>Historical status</t>
  </si>
  <si>
    <t>Evidence / Commit</t>
  </si>
  <si>
    <t>Archive ruling</t>
  </si>
  <si>
    <t>Column1</t>
  </si>
  <si>
    <t>Column2</t>
  </si>
  <si>
    <t>T-001</t>
  </si>
  <si>
    <t>Build the six-beat Design Traceability Matrix</t>
  </si>
  <si>
    <t>Historical baseline evidence only; not current execution authority.</t>
  </si>
  <si>
    <t>T-002</t>
  </si>
  <si>
    <t>Audit every presented route and control against the Chapter 3 page inventory</t>
  </si>
  <si>
    <t>T-003</t>
  </si>
  <si>
    <t>Lock the presentation profile as a data profile, not a branch</t>
  </si>
  <si>
    <t>T-004</t>
  </si>
  <si>
    <t>Create the M1 acceptance checklist and evidence folder</t>
  </si>
  <si>
    <t>T-005</t>
  </si>
  <si>
    <t>Rebuild ppiq_presentation into scratch and diff against live</t>
  </si>
  <si>
    <t>T-006</t>
  </si>
  <si>
    <t>Convert every diff finding into a seed or migration script</t>
  </si>
  <si>
    <t>T-007</t>
  </si>
  <si>
    <t>Presentation Phenomena and Widget Coverage Matrix, 
part 1: inventory and the 36-chart blueprint</t>
  </si>
  <si>
    <t>T-008</t>
  </si>
  <si>
    <t>Presentation Phenomena and Widget Coverage Matrix, part 2: map, classify, close</t>
  </si>
  <si>
    <t>T-009</t>
  </si>
  <si>
    <t>Downtime two-quantity contract: final schema and domain slice</t>
  </si>
  <si>
    <t>T-010</t>
  </si>
  <si>
    <t>Run the canonical semantic path end to end through the M1 compatibility boundaries</t>
  </si>
  <si>
    <t>T-011</t>
  </si>
  <si>
    <t>Establish and fix the architecture test pool reliability</t>
  </si>
  <si>
    <t>T-012</t>
  </si>
  <si>
    <t>Canonicalise the JourneyRail to J1 to J15</t>
  </si>
  <si>
    <t>T-013</t>
  </si>
  <si>
    <t>Three-way source reconciliation: KEEP, EXTEND or ADD</t>
  </si>
  <si>
    <t>T-014</t>
  </si>
  <si>
    <t>Capture the current source-shaped donor schemas in a committed generator</t>
  </si>
  <si>
    <t>T-015</t>
  </si>
  <si>
    <t>Presentation Fleet v2 target specification</t>
  </si>
  <si>
    <t>T-016</t>
  </si>
  <si>
    <t>Extend the generator: defect catalogue and chemistry elements</t>
  </si>
  <si>
    <t>T-017</t>
  </si>
  <si>
    <t>Extend the generator: grade specification, and shift as BEHAVIOUR</t>
  </si>
  <si>
    <t>T-018</t>
  </si>
  <si>
    <t>Extend the generator: downtime two quantities and buffer posture</t>
  </si>
  <si>
    <t>T-019</t>
  </si>
  <si>
    <t>Shift and crew operating-practice regimes</t>
  </si>
  <si>
    <t>T-020</t>
  </si>
  <si>
    <t>Post-maintenance recovery and campaign-ageing regimes</t>
  </si>
  <si>
    <t>T-021</t>
  </si>
  <si>
    <t>Equipment personality and temporal regime changes</t>
  </si>
  <si>
    <t>T-022</t>
  </si>
  <si>
    <t>Merge the best existing material into one Fleet v2 truth</t>
  </si>
  <si>
    <t>T-023</t>
  </si>
  <si>
    <t>Scale Fleet v2 to the target plant size</t>
  </si>
  <si>
    <t>T-024</t>
  </si>
  <si>
    <t>Emit and populate the presentation canonical operational entities</t>
  </si>
  <si>
    <t>T-025</t>
  </si>
  <si>
    <t>Compute and populate the presentation analysis entities with the real engines</t>
  </si>
  <si>
    <t>T-026</t>
  </si>
  <si>
    <t>Phenomenon test harness: manifest schema and runner</t>
  </si>
  <si>
    <t>T-027</t>
  </si>
  <si>
    <t>Populate the manifest and prove every phenomenon</t>
  </si>
  <si>
    <t>T-028</t>
  </si>
  <si>
    <t>Verify the confounded correlation and the insufficient-support refusal</t>
  </si>
  <si>
    <t>T-029</t>
  </si>
  <si>
    <t>Five-layer realism audit of the emulated plant</t>
  </si>
  <si>
    <t>T-030</t>
  </si>
  <si>
    <t>Emit and populate the presentation staging representation, source-shaped</t>
  </si>
  <si>
    <t>T-031</t>
  </si>
  <si>
    <t>Certify cross-layer consistency and retire the obsolete donor state</t>
  </si>
  <si>
    <t>T-032</t>
  </si>
  <si>
    <t>Shared Authoring Shell, part 1: the shell contract and the four regions</t>
  </si>
  <si>
    <t>T-033</t>
  </si>
  <si>
    <t>Shared Authoring Shell, part 2: relational block grammar on the board</t>
  </si>
  <si>
    <t>T-034</t>
  </si>
  <si>
    <t>Registry-driven schema, table and attribute tree</t>
  </si>
  <si>
    <t>T-035</t>
  </si>
  <si>
    <t>Compiled-SQL pane and debug log with rows and cost</t>
  </si>
  <si>
    <t>T-036</t>
  </si>
  <si>
    <t>SQL mode: safe editor, run test, returned columns and the reconstructability rule</t>
  </si>
  <si>
    <t>T-037</t>
  </si>
  <si>
    <t>Certify returned-column role mapping inside the S2 shell</t>
  </si>
  <si>
    <t>T-038</t>
  </si>
  <si>
    <t>Add Widget and Edit Widget open the shared shell in S2 mode</t>
  </si>
  <si>
    <t>T-039</t>
  </si>
  <si>
    <t>Final definition service interface with a compatibility adapter</t>
  </si>
  <si>
    <t>T-040</t>
  </si>
  <si>
    <t>Authoring states, keyboard path, RTL and error wording</t>
  </si>
  <si>
    <t>T-041</t>
  </si>
  <si>
    <t>D2 Page Builder, part 1: create a page and reach the shared shell</t>
  </si>
  <si>
    <t>T-042</t>
  </si>
  <si>
    <t>D2 Page Builder, part 2: arrange, save layout and publish</t>
  </si>
  <si>
    <t>T-043</t>
  </si>
  <si>
    <t>Bring the workspace to the final D1 anatomy</t>
  </si>
  <si>
    <t>T-044</t>
  </si>
  <si>
    <t>Certify the three operational dashboards and fix their bindings</t>
  </si>
  <si>
    <t>f966719f functional/data closure + 55157a98 EF/runtime migration parity</t>
  </si>
  <si>
    <t>T-045</t>
  </si>
  <si>
    <t>Certify the analysis and model dashboards and choose the six shown</t>
  </si>
  <si>
    <t>T-045-R1 closed: c56008c0 / dd9a6b04 / 39ce59ef / 283aae2c</t>
  </si>
  <si>
    <t>T-046</t>
  </si>
  <si>
    <t>Register the final chart grammar and implement the presentation subset</t>
  </si>
  <si>
    <t>56ade951 R1 generic heatmap/combo; prior grammar fc146483</t>
  </si>
  <si>
    <t>T-047</t>
  </si>
  <si>
    <t>Give the seven pages distinct visual grammars from the registered grammar</t>
  </si>
  <si>
    <t>4b431463 semantic/data certification + 3cdd3a23 frontend conformance</t>
  </si>
  <si>
    <t>T-048</t>
  </si>
  <si>
    <t>Associative model, part 1: the alternative state and registry-driven fields</t>
  </si>
  <si>
    <t>b687cba4 associative selection states</t>
  </si>
  <si>
    <t>T-049</t>
  </si>
  <si>
    <t>Certify layout drag, resize, save, reload and responsive behaviour</t>
  </si>
  <si>
    <t>16-Aug-2026 R1–R4: auth/license + canonical persistence green; current work is final test isolation/oracle convergence, not backend persistence.</t>
  </si>
  <si>
    <t>F-070 — Each viewport must snapshot/restore its original layout in finally, mutate relative to its starting state, use PATCH canonical as authoritative changed state, poll DOM to converge after save/reload, and then restore baseline. No more diagnostic-only packs.</t>
  </si>
  <si>
    <t>T-050</t>
  </si>
  <si>
    <t>Drill to population, provenance and evidence</t>
  </si>
  <si>
    <t>T-051</t>
  </si>
  <si>
    <t>Widget failure isolation and the seven states</t>
  </si>
  <si>
    <t>T-052</t>
  </si>
  <si>
    <t>Remove the hardcoded parameter default from the API client</t>
  </si>
  <si>
    <t>T-053</t>
  </si>
  <si>
    <t>Reduce the demonstration navigation and add the inventory ratchet</t>
  </si>
  <si>
    <t>Frozen</t>
  </si>
  <si>
    <t>Do not continue as M1 content. Preserve generic correctness findings only; execute them through named M2-P0/product-truth owners. | M1 programme scope frozen after the successful 21-Aug-2026 customer presentation. Prior live status was Not Started. Do not schedule this presentation-era task. Any reusable generic requirement must be owned by an M2 task.</t>
  </si>
  <si>
    <t>T-054</t>
  </si>
  <si>
    <t>J4 Connections: read-only proof and load budget made visible</t>
  </si>
  <si>
    <t>T-055</t>
  </si>
  <si>
    <t>J5 and J6 Dataset registry browse and watermark suggestion</t>
  </si>
  <si>
    <t>T-056</t>
  </si>
  <si>
    <t>J6 Import progress visibility</t>
  </si>
  <si>
    <t>T-057</t>
  </si>
  <si>
    <t>J7 Relationship model vertical slice, part 1: publish one relationship</t>
  </si>
  <si>
    <t>F-052 — T-057 must deliver the final external relationship service/API and M1-compatible persistence only. Do not claim final physical schema. T-095 owns canonical ppiq_meta.plant_relationships/_members/_paths convergence after T-089/T-090. T-058/T-059/T-060 consume the service, never table names.</t>
  </si>
  <si>
    <t>T-058</t>
  </si>
  <si>
    <t>J7 Relationship model vertical slice, part 2: one resolver consumer</t>
  </si>
  <si>
    <t>T-059</t>
  </si>
  <si>
    <t>Associative model, part 2: cross-source state through the published relationship</t>
  </si>
  <si>
    <t>Frozen as M1. Cross-widget selection correctness is re-owned by T-204 Customer-session associative state-machine certification. | M1 programme scope frozen after the successful 21-Aug-2026 customer presentation. Prior live status was Not Started. Do not schedule this presentation-era task. Any reusable generic requirement must be owned by an M2 task.</t>
  </si>
  <si>
    <t>T-060</t>
  </si>
  <si>
    <t>C6 Relationship Browser, minimal read-only slice</t>
  </si>
  <si>
    <t>Do not continue as M1 content. Preserve generic correctness findings only; execute them through named M2-P0/product-truth owners. | M1 programme scope frozen after the successful 21-Aug-2026 customer presentation. Prior live status was In Progress. Do not schedule this presentation-era task. Any reusable generic requirement must be owned by an M2 task.</t>
  </si>
  <si>
    <t>T-061</t>
  </si>
  <si>
    <t>C2 Mapping Health, part 1: the typed issue contract and the reprocess API</t>
  </si>
  <si>
    <t>T-062</t>
  </si>
  <si>
    <t>C2 Mapping Health, part 2: the final visible page</t>
  </si>
  <si>
    <t>T-063</t>
  </si>
  <si>
    <t>C5 Genealogy: converge the legacy workbench onto the final two-state surface</t>
  </si>
  <si>
    <t>T-064</t>
  </si>
  <si>
    <t>Add job_definitions.target_definition_id and the JB error codes</t>
  </si>
  <si>
    <t>F-053 — Keep T-064 mandatory for M1/J12/T7, but implement stable semantic fields through IDefinitionService/compatibility storage with no fake FK. Cover target_definition_id, target_definition_version, target_version_policy, target_parameters, executed-version history and JB01-JB04. T-106 performs canonical FK/check/trigger convergence after T-089/T-090 and adds the dependency DAG.
F-061 — T-064 owns the M1 functional/public contract and compatibility semantics. T-106 owns canonical physical convergence after definition_store exists plus job_dependencies/DAG/cycle validation; it must not redesign the visible target/version contract.</t>
  </si>
  <si>
    <t>T-065</t>
  </si>
  <si>
    <t>J12 Analysis authoring: converge onto D3 Analysis Toolbox in S3 mode</t>
  </si>
  <si>
    <t>T-066</t>
  </si>
  <si>
    <t>One visible readiness authority on Home and Analysis</t>
  </si>
  <si>
    <t>T-067</t>
  </si>
  <si>
    <t>Findings evidence panel, registry-driven throughout</t>
  </si>
  <si>
    <t>Do not plan downstream work on T-067 as Done until explicit commit/runtime evidence exists. | M1 programme scope frozen after the successful 21-Aug-2026 customer presentation. Prior live status was Not Started. Do not schedule this presentation-era task. Any reusable generic requirement must be owned by an M2 task.</t>
  </si>
  <si>
    <t>T-068</t>
  </si>
  <si>
    <t>Retire the hardcoded outcome and grain arrays</t>
  </si>
  <si>
    <t>F-056 — T-068 must consume a stable analysis-options/outcome-registry service contract, not a physical table or temporary route. Release 1 swaps storage behind the contract. Complete T-068 before T-065 so the S3 authoring page is built registry-first instead of being rewritten immediately.
F-059 — Remove hardcoded/default coil semantics. Preserve customer-declared multi-grain unit types and outcome-specific grain_code. Rename T-094 scope from 'rename canonical grain' to 'remove hardcoded canonical grain default and bind to registry/material-unit authority'.
F-062 — Dependency order is T-068 -&gt; T-065. T-065 consumes registry-driven outcome/grain options from first implementation.</t>
  </si>
  <si>
    <t>T-069</t>
  </si>
  <si>
    <t>Website, part 1: the five-product information architecture</t>
  </si>
  <si>
    <t>T-070</t>
  </si>
  <si>
    <t>Website, part 2: polish the presentation routes</t>
  </si>
  <si>
    <t>T-071</t>
  </si>
  <si>
    <t>Build the G1 persistent assistant dock</t>
  </si>
  <si>
    <t>T-072</t>
  </si>
  <si>
    <t>Page and widget context envelope</t>
  </si>
  <si>
    <t>T-073</t>
  </si>
  <si>
    <t>Add the page and widget chunk family to the retrieval corpus</t>
  </si>
  <si>
    <t>T-074</t>
  </si>
  <si>
    <t>Registry-typed quantity guard on assistant answers</t>
  </si>
  <si>
    <t>T-075</t>
  </si>
  <si>
    <t>Citation chips, evidence strip and suggested questions</t>
  </si>
  <si>
    <t>T-076</t>
  </si>
  <si>
    <t>Certified question pack and offline fallback</t>
  </si>
  <si>
    <t>T-077</t>
  </si>
  <si>
    <t>One Playwright journey covering all six beats</t>
  </si>
  <si>
    <t>Frozen as M1. Reusable release acceptance is absorbed by T-202/T-203/T-204/T-205; no more presentation-only gate work. | M1 programme scope frozen after the successful 21-Aug-2026 customer presentation. Prior live status was Not Started. Do not schedule this presentation-era task. Any reusable generic requirement must be owned by an M2 task.</t>
  </si>
  <si>
    <t>T-078</t>
  </si>
  <si>
    <t>Execute visual regression and accessibility on the presented routes</t>
  </si>
  <si>
    <t>T-079</t>
  </si>
  <si>
    <t>Failure injection suite</t>
  </si>
  <si>
    <t>T-080</t>
  </si>
  <si>
    <t>Capture the Customer Contract Continuity snapshots</t>
  </si>
  <si>
    <t>T-081</t>
  </si>
  <si>
    <t>Write the screen-by-screen demonstration script</t>
  </si>
  <si>
    <t>T-082</t>
  </si>
  <si>
    <t>Presentation environment preparation and clean-start verification</t>
  </si>
  <si>
    <t>T-083</t>
  </si>
  <si>
    <t>Three rehearsals, hostile hands and the fallback package</t>
  </si>
  <si>
    <t>T-084</t>
  </si>
  <si>
    <t>Emit the frozen Fleet v2 into native customer-source fixtures</t>
  </si>
  <si>
    <t>Superseded</t>
  </si>
  <si>
    <t>Removed from the current release roadmap. Generic fixture authority T-208 supersedes Fleet-v2-specific rebuild work.</t>
  </si>
  <si>
    <t>T-085</t>
  </si>
  <si>
    <t>Clean-room rebuild of the Fleet v2 emulator sources from source control</t>
  </si>
  <si>
    <t>Execution Governance &amp; Vocabulary</t>
  </si>
  <si>
    <t>Rule</t>
  </si>
  <si>
    <t>Current authority</t>
  </si>
  <si>
    <t>Why</t>
  </si>
  <si>
    <t>Release vocabulary</t>
  </si>
  <si>
    <t>Only M2 and M3</t>
  </si>
  <si>
    <t>No alternative roadmap names are current authority</t>
  </si>
  <si>
    <t>Only P1/P2/P3/P4/P5</t>
  </si>
  <si>
    <t>Immediately shows before/after and product purpose</t>
  </si>
  <si>
    <t>M2 meaning</t>
  </si>
  <si>
    <t>Release 1 — real early production</t>
  </si>
  <si>
    <t>Not demo, not pilot-only, not presentation branch</t>
  </si>
  <si>
    <t>M3 meaning</t>
  </si>
  <si>
    <t>Release 2 — heavy production</t>
  </si>
  <si>
    <t>More users, more data, sustained runtime and deeper capability</t>
  </si>
  <si>
    <t>One task / one owner</t>
  </si>
  <si>
    <t>Mandatory</t>
  </si>
  <si>
    <t>No cross-worker implementation ownership</t>
  </si>
  <si>
    <t>Dependencies</t>
  </si>
  <si>
    <t>IDs only</t>
  </si>
  <si>
    <t>Machine-readable semicolon-separated Task IDs</t>
  </si>
  <si>
    <t>Release truth</t>
  </si>
  <si>
    <t>Browser walk is final confirmation</t>
  </si>
  <si>
    <t>Basic defects must fail automated gates before browser walk</t>
  </si>
  <si>
    <t>Same binary; customer changes configuration, not product</t>
  </si>
  <si>
    <t>Customer-specific product code fails onboarding</t>
  </si>
  <si>
    <t>Canvas loops</t>
  </si>
  <si>
    <t>ForEach / RepeatN / WhileBounded only</t>
  </si>
  <si>
    <t>Scratch-like control flow is allowed but must have finite runtime bounds</t>
  </si>
  <si>
    <t>OPC</t>
  </si>
  <si>
    <t>Read-only/outbound edge</t>
  </si>
  <si>
    <t>No control/writeback path</t>
  </si>
  <si>
    <t>Evidence-first</t>
  </si>
  <si>
    <t>No invented numbers or unsupported root-cause certainty</t>
  </si>
  <si>
    <t>Bounded and evidenced</t>
  </si>
  <si>
    <t>Potential value ≠ realised value</t>
  </si>
  <si>
    <t>Repository mutation ownership</t>
  </si>
  <si>
    <t>No Task ID = no repository mutation</t>
  </si>
  <si>
    <t>Every code/test/config change or corrective finding maps to an existing task or a newly created task; closed tasks stay closed.</t>
  </si>
  <si>
    <t>Test execution economy</t>
  </si>
  <si>
    <t>Narrow affected tests first; expensive full certification only at the owning gate or when that gate changes</t>
  </si>
  <si>
    <t>Prevents repeated hour-scale reruns while preserving final release truth.</t>
  </si>
  <si>
    <t>PPIQ Backlog v2.19.0 — Two-Release Production + Database Authority Convergence</t>
  </si>
  <si>
    <t>v4.10.1</t>
  </si>
  <si>
    <t>2026-09-04</t>
  </si>
  <si>
    <t>v2.19.0</t>
  </si>
  <si>
    <t>Latest revision</t>
  </si>
  <si>
    <t>T-094 scope reconciled; release gate generated; DB catalogue/isolation tasks added</t>
  </si>
  <si>
    <t>Canvas/OPC schedule contradictions removed; T-150 now gates every Release-1 MUST row; physical database zero-unknown authority introduced.</t>
  </si>
  <si>
    <t>Clear generic-runtime/demo-vocabulary violations without replacing one industry noun with another. Complete the declared-dimension execution path on BOTH runtime wire surfaces: (A) persisted widget execution via DashboardWidgetFiltersDto/declared keyed dimensions and (B) workspace/global dashboard query execution via DashboardQueryDto and the overview/quality/risk/data-quality/materials routes. Remove fixed universal grain/industry vocabulary from DashboardReferenceDataDto and the frontend consumers by resolving published registry definitions, canonical members and governed Analysis Subject/relationship authority. The target contract is definition/registry member -&gt; relationship/path resolution -&gt; Analysis Subject -&gt; typed refusal; the current direct single-reference resolver is an interim implementation until T-095/T-096 path authority lands. No presentation vocabulary becomes product authority.</t>
  </si>
  <si>
    <t>Using the same binary, author a foreign/customer-shaped dimension and prove it filters both a persisted widget and the workspace/global route surface through the same published definition/member identity. Both surfaces must return the same typed refusal when the dimension is undeclared, inactive, unmapped, has no subject path, or becomes ambiguous. No compiled fallback to defectType/riskClass/shiftCode or a universal material grain. Frontend consumers use the keyed contract. Wave-C genericity arithmetic remains exact: every known fingerprint is retired or explicitly lawful; unknown=0.</t>
  </si>
  <si>
    <t>In Progress</t>
  </si>
  <si>
    <t>IN PROGRESS — T-092/T-093/T-209 authorities are green. Three part-commits exist but no closure. Finish the second wire, frontend consumers and Wave-C proof under the same T-094 scope; do not reopen after closure.</t>
  </si>
  <si>
    <t>CENTRAL 04-Sep-2026: T-094 remains open. Scope is formally amended from one wire to both declared-dimension execution surfaces. No new task is created while T-094 is open; after closure any new surface requires a new Task ID.</t>
  </si>
  <si>
    <t>Release 1 MUST — start after T-207 connector-truth authority. Site/customer OT certification may require customer access, but the executable production OPC UA runtime itself cannot be deferred past M2.</t>
  </si>
  <si>
    <t>CENTRAL 04-Sep-2026: remove the contradictory 'after 30-Sep demo' gate. M2 is genuine early production and its P2 outcome includes real read-only OPC UA runtime.</t>
  </si>
  <si>
    <t>CLOSED — Release-1 Canvas prerequisite. Preserve evidence; do not reopen absent contradictory regression evidence.</t>
  </si>
  <si>
    <t>Release 1 MUST — execute after T-241 and T-210; must close before T-243/T-247.</t>
  </si>
  <si>
    <t>CENTRAL 04-Sep-2026: remove 'After 30-Sep MUST lane'. A Release-1-MUST task cannot be scheduled after its own release date.</t>
  </si>
  <si>
    <t>Release 1 MUST — execute after T-241/T-242 and canonical definition-store authority; must close before T-245/T-247.</t>
  </si>
  <si>
    <t>Release 1 MUST — execute after T-243/T-244; must close before the Day-1 Golden Journey T-247.</t>
  </si>
  <si>
    <t>Release 1 MUST — execute after T-243 and governed model/intelligence contracts. Not a prerequisite of T-247 unless T-247 acceptance is amended to invoke a model block.</t>
  </si>
  <si>
    <t>Build the fresh installation and upgrade paths from Chapter 6 6.1.4, including what an upgrade may never do, and a rollback path. Migration runs as a deployment step rather than as a manual action. Explicitly own in-place upgrade of a long-lived installation: canonical migration ledger/watermark continuity, upgrade from an older valid schema without rebuild, rollback boundary, and reconciliation of a development DB whose migration ledger is missing/stale. Do not conflate populated plant data with migration-ledger correctness.</t>
  </si>
  <si>
    <t>Install on a clean machine, upgrade from the previous version, then roll back. All three complete without manual database intervention. Run the fourteen post-deployment acceptance checks from 6.1.4.6. Clone an older populated installation, upgrade it in place through the canonical runner, prove schema_migrations/EF history records the executed path, preserve customer rows, and prove rollback/failed-upgrade recovery without substituting a fresh empty database.</t>
  </si>
  <si>
    <t>Final Release-1 production gate. It does not rely on a hand-maintained dependency closure as the completeness definition. At execution time enumerate every Backlog row with Milestone Id=M2 and Release Criticality='Release 1 MUST'; require each to have current closure evidence and its owning acceptance green/replayable. Then execute Day-1 workbench, enterprise BI, production OPC, industrial intelligence, security/admin/install/recovery and clean frontend/CI truth gates. The Depends-On column remains sequencing hints, not the authoritative Release-1 completeness set.</t>
  </si>
  <si>
    <t>Gate fails if ANY M2 Release-1-MUST task is not closed with evidence, even when it is absent from the direct dependency list. Prove the enumerated task count equals the workbook's current Release-1-MUST count. Execute real frontend/backend gates: enumeration-only --list commands cannot satisfy execution acceptance; no catchError/forced-success path may turn a failing required suite green. Day-1 Golden Journey, fresh-install/upgrade, RLS/roles/licence, OPC runtime, BI interaction, evidence/Assistant, backup/recovery and database zero-unknown catalogue checks must all be green before Release 1 is certified.</t>
  </si>
  <si>
    <t>T-115; T-123; T-124; T-125; T-126; T-205; T-207; T-212; T-215; T-222; T-223; T-226; T-227; T-247; T-250; T-251; T-252</t>
  </si>
  <si>
    <t>CENTRAL 04-Sep-2026: T-150 release completeness is generated from Release Criticality, not inferred from transitive Depends-On. A green T-150 with any Release-1-MUST row unproven is mechanically impossible.</t>
  </si>
  <si>
    <t>T-251</t>
  </si>
  <si>
    <t>Physical database catalogue, naming authority and zero-unknown schema dictionary</t>
  </si>
  <si>
    <t>Schema governance</t>
  </si>
  <si>
    <t>Create the generated physical database catalogue required by Master Design v4.10.1. Reconcile canonical migration/EF authority with fresh ppiq_acceptance_empty and long-lived ppiq_app. Every table/view and every column in ppiq_meta, ppiq_plant, ppiq_staging and permitted public infrastructure receives schema, logical family, lifecycle class, owner, purpose, creator, readers/writers, keys/FKs, design clause, backlog owner, retention/RLS policy and naming-conformance state. Generate the relation graph. Define/enforce the forward snake_case/no-customer-vocabulary naming standard without mass-renaming grandfathered objects. Read-only census first; deletion/rename is outside this task.</t>
  </si>
  <si>
    <t>Fresh canonical DB: 100% tables/views/columns represented; zero unknown product objects; every table has logical family + lifecycle + owner + design clause; physical FK graph generated; public contains platform infrastructure only. Long-lived ppiq_app: every extra object classified, never auto-deleted. Generator reruns deterministically from executable schema authority. A new DDL object without catalogue classification makes the gate red.</t>
  </si>
  <si>
    <t>T-115; T-123; T-150</t>
  </si>
  <si>
    <t>Start immediately after current T-094 close or on a disjoint read-only lane. T-087/T-088 topology/migration authority is frozen.</t>
  </si>
  <si>
    <t>Own generated DB catalogue tooling/documentation and read-only pg_catalog queries. No product table deletion, rename or unrelated DDL.</t>
  </si>
  <si>
    <t>Publish semantic-named catalogue artifacts only; no task-number repository filename. Hand off the generated dictionary to T-115/T-123/T-150.</t>
  </si>
  <si>
    <t>CENTRAL 04-Sep-2026: table count is not a defect; unknown authority is. This task establishes zero-unknown physical schema governance before any cleanup.</t>
  </si>
  <si>
    <t>T-252</t>
  </si>
  <si>
    <t>Disposable database lifecycle and integration-test database isolation</t>
  </si>
  <si>
    <t>Database isolation</t>
  </si>
  <si>
    <t>Remove shared-live-database mutation from certification/test infrastructure. Integration suites and corrective packs create or clone a dedicated disposable database/template, record its name, execute against it, and drop it in an unconditional finally path on success/failure. Never flip or mutate live ppiq_app/ppiq_presentation as a test fixture. Add bounded cleanup for current orphan probe/backup/scratch databases after evidence-retention adjudication.</t>
  </si>
  <si>
    <t>Induced test failure, PowerShell/native-command failure and timeout each leave zero newly orphaned databases. Captured database names are gone after cleanup; ppiq_app, ppiq_acceptance_empty, ppiq_presentation and postgres are untouched. Two parallel suites use distinct DBs. A post-run orphan query is green. Current retained backups/probes are classified and removed only after retention proof.</t>
  </si>
  <si>
    <t>May begin on disjoint tooling/test files after T-094 closes; no shared DB mutation during another worker's runtime certification.</t>
  </si>
  <si>
    <t>Own integration-test DB fixture/runner and disposable-DB lifecycle tooling only. Do not change product schema semantics.</t>
  </si>
  <si>
    <t>Every pack that CREATE DATABASEs owns DROP in finally. Persistent DB roles are explicit and protected.</t>
  </si>
  <si>
    <t>CENTRAL 04-Sep-2026: closes the repeated orphan-probe/shared-DB failure class rather than cleaning symptoms task by task.</t>
  </si>
  <si>
    <t>Database schema authority / physical dictionary</t>
  </si>
  <si>
    <t>Ch3 4.5.2/4.5.5b/4.5.20a</t>
  </si>
  <si>
    <t>Zero-unknown fresh schema + upgrade reconciliation</t>
  </si>
  <si>
    <t>Heavy-use schema evolution and compatibility-safe convergence</t>
  </si>
  <si>
    <t>T-087; T-088; T-115; T-123; T-251; T-252</t>
  </si>
  <si>
    <t>Every fresh table/column/FK classified and documented; public platform-only; disposable tests isolated</t>
  </si>
  <si>
    <t>Schema evolution remains generated, reversible where possible and customer-operable at scale</t>
  </si>
  <si>
    <t>Developer + Customer IT</t>
  </si>
  <si>
    <t>Table count is not a defect; unowned/undocumented authority is.</t>
  </si>
  <si>
    <t>Release gate completeness</t>
  </si>
  <si>
    <t>T-150 enumerates every M2 row with Release Criticality = Release 1 MUST</t>
  </si>
  <si>
    <t>Direct Depends-On is sequencing metadata, never a substitute for complete release acceptance.</t>
  </si>
  <si>
    <t>Physical database authority</t>
  </si>
  <si>
    <t>Zero unknown product tables/columns on fresh certification DB</t>
  </si>
  <si>
    <t>Every object has schema, family, lifecycle, owner, design clause and generated dictionary entry.</t>
  </si>
  <si>
    <t>Disposable database lifecycle</t>
  </si>
  <si>
    <t>CREATE DATABASE implies owner + finally DROP unless explicitly declared persistent</t>
  </si>
  <si>
    <t>Prevents probe/scratch/backup debris and cross-worker shared-DB contamination.</t>
  </si>
  <si>
    <t>Database naming</t>
  </si>
  <si>
    <t>Forward snake_case + no customer vocabulary + no redundant ppiq_ prefix in governed schemas</t>
  </si>
  <si>
    <t>Existing names are grandfathered; no mass rename without owned compatibility proof.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</si>
</sst>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name val="Carlito"/>
    </font>
    <font>
      <b/>
      <sz val="16"/>
      <color rgb="FFFFFFFF"/>
      <name val="Carlito"/>
    </font>
    <font>
      <b/>
      <sz val="11"/>
      <color rgb="FFFFFFFF"/>
      <name val="Carlito"/>
    </font>
    <font>
      <b/>
      <sz val="11"/>
      <color rgb="FF17384A"/>
      <name val="Carlito"/>
    </font>
    <font>
      <b/>
      <sz val="14"/>
      <color rgb="FFFFFFFF"/>
      <name val="Carlito"/>
    </font>
  </fonts>
  <fills count="10">
    <fill>
      <patternFill patternType="none"/>
    </fill>
    <fill>
      <patternFill patternType="gray125"/>
    </fill>
    <fill>
      <patternFill patternType="solid">
        <fgColor rgb="FF0B1F33"/>
      </patternFill>
    </fill>
    <fill>
      <patternFill patternType="solid">
        <fgColor rgb="FF1E5A73"/>
      </patternFill>
    </fill>
    <fill>
      <patternFill patternType="solid">
        <fgColor rgb="FFF0F5F8"/>
      </patternFill>
    </fill>
    <fill>
      <patternFill patternType="solid">
        <fgColor theme="9" tint="0.39997558519241921"/>
        <bgColor indexed="65"/>
      </patternFill>
    </fill>
    <fill>
      <patternFill patternType="solid">
        <fgColor rgb="FF92D050"/>
      </patternFill>
    </fill>
    <fill>
      <patternFill patternType="solid">
        <fgColor rgb="FF0B1F2A"/>
      </patternFill>
    </fill>
    <fill>
      <patternFill patternType="solid">
        <fgColor rgb="FF92D050"/>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2" fillId="3" borderId="0" xfId="0" applyFont="1" applyFill="1" applyAlignment="1">
      <alignment vertical="center" wrapText="1"/>
    </xf>
    <xf numFmtId="0" fontId="0" fillId="0" borderId="0" xfId="0" applyAlignment="1">
      <alignment wrapText="1"/>
    </xf>
    <xf numFmtId="0" fontId="3" fillId="4" borderId="0" xfId="0" applyFont="1" applyFill="1" applyAlignment="1">
      <alignment wrapText="1"/>
    </xf>
    <xf numFmtId="0" fontId="0" fillId="5" borderId="0" xfId="0" applyFill="1" applyAlignment="1">
      <alignment wrapText="1"/>
    </xf>
    <xf numFmtId="0" fontId="0" fillId="6" borderId="0" xfId="0" applyFill="1" applyAlignment="1">
      <alignment wrapText="1"/>
    </xf>
    <xf numFmtId="1" fontId="0" fillId="0" borderId="0" xfId="0" applyNumberFormat="1" applyAlignment="1">
      <alignment wrapText="1"/>
    </xf>
    <xf numFmtId="164" fontId="0" fillId="0" borderId="0" xfId="0" applyNumberFormat="1" applyAlignment="1">
      <alignment wrapText="1"/>
    </xf>
    <xf numFmtId="1" fontId="0" fillId="4" borderId="0" xfId="0" applyNumberFormat="1" applyFill="1" applyAlignment="1">
      <alignment wrapText="1"/>
    </xf>
    <xf numFmtId="164" fontId="0" fillId="4" borderId="0" xfId="0" applyNumberFormat="1" applyFill="1" applyAlignment="1">
      <alignment wrapText="1"/>
    </xf>
    <xf numFmtId="0" fontId="0" fillId="8" borderId="0" xfId="0" applyFill="1"/>
    <xf numFmtId="0" fontId="0" fillId="8" borderId="0" xfId="0" applyFill="1" applyAlignment="1">
      <alignment wrapText="1"/>
    </xf>
    <xf numFmtId="0" fontId="4" fillId="7" borderId="0" xfId="0" applyFont="1" applyFill="1" applyAlignment="1">
      <alignment horizontal="left" vertical="center"/>
    </xf>
    <xf numFmtId="0" fontId="1" fillId="2" borderId="0" xfId="0" applyFont="1" applyFill="1" applyAlignment="1">
      <alignment vertical="center" wrapText="1"/>
    </xf>
    <xf numFmtId="0" fontId="0" fillId="9" borderId="0" xfId="0" applyFill="1" applyAlignment="1">
      <alignment wrapText="1"/>
    </xf>
  </cellXfs>
  <cellStyles count="1">
    <cellStyle name="Normal" xfId="0" builtinId="0"/>
  </cellStyles>
  <dxfs count="4">
    <dxf>
      <font>
        <b/>
        <color rgb="FF1D6B35"/>
      </font>
      <fill>
        <patternFill>
          <bgColor rgb="FFDDF5EC"/>
        </patternFill>
      </fill>
    </dxf>
    <dxf>
      <font>
        <color rgb="FF1D6B35"/>
      </font>
      <fill>
        <patternFill>
          <bgColor rgb="FFE8F6EA"/>
        </patternFill>
      </fill>
    </dxf>
    <dxf>
      <fill>
        <patternFill>
          <bgColor rgb="FFE7ECFF"/>
        </patternFill>
      </fill>
    </dxf>
    <dxf>
      <fill>
        <patternFill>
          <bgColor rgb="FFDDF5E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M2 Release 1</c:v>
          </c:tx>
          <c:invertIfNegative val="1"/>
          <c:cat>
            <c:strRef>
              <c:f>'Release Plan'!$C$4:$C$8</c:f>
              <c:strCache>
                <c:ptCount val="5"/>
                <c:pt idx="0">
                  <c:v>P1</c:v>
                </c:pt>
                <c:pt idx="1">
                  <c:v>P2</c:v>
                </c:pt>
                <c:pt idx="2">
                  <c:v>P3</c:v>
                </c:pt>
                <c:pt idx="3">
                  <c:v>P4</c:v>
                </c:pt>
                <c:pt idx="4">
                  <c:v>P5</c:v>
                </c:pt>
              </c:strCache>
            </c:strRef>
          </c:cat>
          <c:val>
            <c:numRef>
              <c:f>'Release Plan'!$G$4:$G$8</c:f>
              <c:numCache>
                <c:formatCode>0.0</c:formatCode>
                <c:ptCount val="5"/>
                <c:pt idx="0">
                  <c:v>1.8</c:v>
                </c:pt>
                <c:pt idx="1">
                  <c:v>59.717857142857142</c:v>
                </c:pt>
                <c:pt idx="2">
                  <c:v>9.5833333333333321</c:v>
                </c:pt>
                <c:pt idx="3">
                  <c:v>17.899999999999999</c:v>
                </c:pt>
                <c:pt idx="4">
                  <c:v>30.63</c:v>
                </c:pt>
              </c:numCache>
            </c:numRef>
          </c:val>
          <c:extLst>
            <c:ext xmlns:c16="http://schemas.microsoft.com/office/drawing/2014/chart" uri="{C3380CC4-5D6E-409C-BE32-E72D297353CC}">
              <c16:uniqueId val="{00000000-3E33-47EA-9887-E719116FCB54}"/>
            </c:ext>
          </c:extLst>
        </c:ser>
        <c:ser>
          <c:idx val="1"/>
          <c:order val="1"/>
          <c:tx>
            <c:v>M3 Release 2</c:v>
          </c:tx>
          <c:invertIfNegative val="1"/>
          <c:cat>
            <c:strRef>
              <c:f>'Release Plan'!$C$9:$C$13</c:f>
              <c:strCache>
                <c:ptCount val="5"/>
                <c:pt idx="0">
                  <c:v>P1</c:v>
                </c:pt>
                <c:pt idx="1">
                  <c:v>P2</c:v>
                </c:pt>
                <c:pt idx="2">
                  <c:v>P3</c:v>
                </c:pt>
                <c:pt idx="3">
                  <c:v>P4</c:v>
                </c:pt>
                <c:pt idx="4">
                  <c:v>P5</c:v>
                </c:pt>
              </c:strCache>
            </c:strRef>
          </c:cat>
          <c:val>
            <c:numRef>
              <c:f>'Release Plan'!$G$9:$G$13</c:f>
              <c:numCache>
                <c:formatCode>0.0</c:formatCode>
                <c:ptCount val="5"/>
                <c:pt idx="0">
                  <c:v>55.040000000000006</c:v>
                </c:pt>
                <c:pt idx="1">
                  <c:v>33.87047619047619</c:v>
                </c:pt>
                <c:pt idx="2">
                  <c:v>40.071428571428569</c:v>
                </c:pt>
                <c:pt idx="3">
                  <c:v>86.944166666666661</c:v>
                </c:pt>
                <c:pt idx="4">
                  <c:v>13.2</c:v>
                </c:pt>
              </c:numCache>
            </c:numRef>
          </c:val>
          <c:extLst>
            <c:ext xmlns:c16="http://schemas.microsoft.com/office/drawing/2014/chart" uri="{C3380CC4-5D6E-409C-BE32-E72D297353CC}">
              <c16:uniqueId val="{00000001-3E33-47EA-9887-E719116FCB5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0</xdr:colOff>
      <xdr:row>5</xdr:row>
      <xdr:rowOff>0</xdr:rowOff>
    </xdr:from>
    <xdr:to>
      <xdr:col>17</xdr:col>
      <xdr:colOff>0</xdr:colOff>
      <xdr:row>20</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rrentBacklogTable" displayName="CurrentBacklogTable" ref="A1:X166" totalsRowShown="0">
  <autoFilter ref="A1:X166" xr:uid="{00000000-0009-0000-0100-000001000000}">
    <filterColumn colId="2">
      <filters>
        <filter val="P1"/>
        <filter val="P2"/>
      </filters>
    </filterColumn>
    <filterColumn colId="10">
      <filters>
        <filter val="In Progress"/>
      </filters>
    </filterColumn>
  </autoFilter>
  <tableColumns count="24">
    <tableColumn id="1" xr3:uid="{00000000-0010-0000-0000-000001000000}" name="Task Id"/>
    <tableColumn id="2" xr3:uid="{00000000-0010-0000-0000-000002000000}" name="Milestone Id"/>
    <tableColumn id="3" xr3:uid="{00000000-0010-0000-0000-000003000000}" name="Phase Id"/>
    <tableColumn id="4" xr3:uid="{00000000-0010-0000-0000-000004000000}" name="Task Name"/>
    <tableColumn id="5" xr3:uid="{00000000-0010-0000-0000-000005000000}" name="Module"/>
    <tableColumn id="6" xr3:uid="{00000000-0010-0000-0000-000006000000}" name="Sub-module"/>
    <tableColumn id="7" xr3:uid="{00000000-0010-0000-0000-000007000000}" name="Priority"/>
    <tableColumn id="8" xr3:uid="{00000000-0010-0000-0000-000008000000}" name="Task Description"/>
    <tableColumn id="9" xr3:uid="{00000000-0010-0000-0000-000009000000}" name="Task Validation"/>
    <tableColumn id="10" xr3:uid="{00000000-0010-0000-0000-00000A000000}" name="Hours"/>
    <tableColumn id="11" xr3:uid="{00000000-0010-0000-0000-00000B000000}" name="Status"/>
    <tableColumn id="12" xr3:uid="{00000000-0010-0000-0000-00000C000000}" name="AI Agent Owner"/>
    <tableColumn id="13" xr3:uid="{00000000-0010-0000-0000-00000D000000}" name="Depends On (IDs only)"/>
    <tableColumn id="14" xr3:uid="{00000000-0010-0000-0000-00000E000000}" name="Must Precede (IDs only)"/>
    <tableColumn id="15" xr3:uid="{00000000-0010-0000-0000-00000F000000}" name="Delivery Target"/>
    <tableColumn id="16" xr3:uid="{00000000-0010-0000-0000-000010000000}" name="Release Criticality"/>
    <tableColumn id="17" xr3:uid="{00000000-0010-0000-0000-000011000000}" name="AI Execution Class"/>
    <tableColumn id="18" xr3:uid="{00000000-0010-0000-0000-000012000000}" name="AI Guarded Time P80 (h)"/>
    <tableColumn id="19" xr3:uid="{00000000-0010-0000-0000-000013000000}" name="AI Sequence Wave"/>
    <tableColumn id="20" xr3:uid="{00000000-0010-0000-0000-000014000000}" name="AI Start / Dependency Gate"/>
    <tableColumn id="21" xr3:uid="{00000000-0010-0000-0000-000015000000}" name="File / Subsystem Lock"/>
    <tableColumn id="22" xr3:uid="{00000000-0010-0000-0000-000016000000}" name="No-Rework Handoff Ruling"/>
    <tableColumn id="23" xr3:uid="{00000000-0010-0000-0000-000017000000}" name="Product Track"/>
    <tableColumn id="24" xr3:uid="{00000000-0010-0000-0000-000018000000}" name="Tech-Lead Rul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leasePlanTable" displayName="ReleasePlanTable" ref="A3:J13" totalsRowShown="0">
  <tableColumns count="10">
    <tableColumn id="1" xr3:uid="{00000000-0010-0000-0100-000001000000}" name="Release"/>
    <tableColumn id="2" xr3:uid="{00000000-0010-0000-0100-000002000000}" name="Date"/>
    <tableColumn id="3" xr3:uid="{00000000-0010-0000-0100-000003000000}" name="Phase"/>
    <tableColumn id="4" xr3:uid="{00000000-0010-0000-0100-000004000000}" name="Phase name"/>
    <tableColumn id="5" xr3:uid="{00000000-0010-0000-0100-000005000000}" name="Task count"/>
    <tableColumn id="6" xr3:uid="{00000000-0010-0000-0100-000006000000}" name="Nominal open h"/>
    <tableColumn id="7" xr3:uid="{00000000-0010-0000-0100-000007000000}" name="AI P80 open h"/>
    <tableColumn id="8" xr3:uid="{00000000-0010-0000-0100-000008000000}" name="Primary customer outcome"/>
    <tableColumn id="9" xr3:uid="{00000000-0010-0000-0100-000009000000}" name="Exit condition"/>
    <tableColumn id="10" xr3:uid="{00000000-0010-0000-0100-00000A000000}" name="Owner pressu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orkerTrackTable" displayName="WorkerTrackTable" ref="A3:L168" totalsRowShown="0">
  <tableColumns count="12">
    <tableColumn id="1" xr3:uid="{00000000-0010-0000-0200-000001000000}" name="Owner"/>
    <tableColumn id="2" xr3:uid="{00000000-0010-0000-0200-000002000000}" name="Release"/>
    <tableColumn id="3" xr3:uid="{00000000-0010-0000-0200-000003000000}" name="Phase"/>
    <tableColumn id="4" xr3:uid="{00000000-0010-0000-0200-000004000000}" name="Task Id"/>
    <tableColumn id="5" xr3:uid="{00000000-0010-0000-0200-000005000000}" name="Task Name"/>
    <tableColumn id="6" xr3:uid="{00000000-0010-0000-0200-000006000000}" name="Status"/>
    <tableColumn id="7" xr3:uid="{00000000-0010-0000-0200-000007000000}" name="Nominal h"/>
    <tableColumn id="8" xr3:uid="{00000000-0010-0000-0200-000008000000}" name="AI P80 h"/>
    <tableColumn id="9" xr3:uid="{00000000-0010-0000-0200-000009000000}" name="Depends On"/>
    <tableColumn id="10" xr3:uid="{00000000-0010-0000-0200-00000A000000}" name="Start/Gate"/>
    <tableColumn id="11" xr3:uid="{00000000-0010-0000-0200-00000B000000}" name="Lock"/>
    <tableColumn id="12" xr3:uid="{00000000-0010-0000-0200-00000C000000}" name="Handoff"/>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raceabilityTable" displayName="TraceabilityTable" ref="A3:J15" totalsRowShown="0">
  <tableColumns count="10">
    <tableColumn id="1" xr3:uid="{00000000-0010-0000-0300-000001000000}" name="Requirement family"/>
    <tableColumn id="2" xr3:uid="{00000000-0010-0000-0300-000002000000}" name="Design authority"/>
    <tableColumn id="3" xr3:uid="{00000000-0010-0000-0300-000003000000}" name="M2 Release 1"/>
    <tableColumn id="4" xr3:uid="{00000000-0010-0000-0300-000004000000}" name="M3 Release 2"/>
    <tableColumn id="5" xr3:uid="{00000000-0010-0000-0300-000005000000}" name="Primary tasks"/>
    <tableColumn id="6" xr3:uid="{00000000-0010-0000-0300-000006000000}" name="M2 acceptance"/>
    <tableColumn id="7" xr3:uid="{00000000-0010-0000-0300-000007000000}" name="M3 acceptance"/>
    <tableColumn id="8" xr3:uid="{00000000-0010-0000-0300-000008000000}" name="Customer use"/>
    <tableColumn id="9" xr3:uid="{00000000-0010-0000-0300-000009000000}" name="Mirror state"/>
    <tableColumn id="10" xr3:uid="{00000000-0010-0000-0300-00000A000000}" name="Rulin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ependencyTable" displayName="DependencyTable" ref="A1:I166" totalsRowShown="0">
  <tableColumns count="9">
    <tableColumn id="1" xr3:uid="{00000000-0010-0000-0400-000001000000}" name="Task Id"/>
    <tableColumn id="2" xr3:uid="{00000000-0010-0000-0400-000002000000}" name="Release"/>
    <tableColumn id="3" xr3:uid="{00000000-0010-0000-0400-000003000000}" name="Phase"/>
    <tableColumn id="4" xr3:uid="{00000000-0010-0000-0400-000004000000}" name="Owner"/>
    <tableColumn id="5" xr3:uid="{00000000-0010-0000-0400-000005000000}" name="Status"/>
    <tableColumn id="6" xr3:uid="{00000000-0010-0000-0400-000006000000}" name="AI P80 h"/>
    <tableColumn id="7" xr3:uid="{00000000-0010-0000-0400-000007000000}" name="Depends On (IDs only)"/>
    <tableColumn id="8" xr3:uid="{00000000-0010-0000-0400-000008000000}" name="Must Precede (IDs only)"/>
    <tableColumn id="9" xr3:uid="{00000000-0010-0000-0400-000009000000}" name="Schedule no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riorBaselineTable" displayName="PriorBaselineTable" ref="A3:H88" totalsRowShown="0">
  <tableColumns count="8">
    <tableColumn id="1" xr3:uid="{00000000-0010-0000-0500-000001000000}" name="Task Id"/>
    <tableColumn id="2" xr3:uid="{00000000-0010-0000-0500-000002000000}" name="Task Name"/>
    <tableColumn id="3" xr3:uid="{00000000-0010-0000-0500-000003000000}" name="Historical status"/>
    <tableColumn id="4" xr3:uid="{00000000-0010-0000-0500-000004000000}" name="Hours"/>
    <tableColumn id="5" xr3:uid="{00000000-0010-0000-0500-000005000000}" name="Evidence / Commit"/>
    <tableColumn id="6" xr3:uid="{00000000-0010-0000-0500-000006000000}" name="Archive ruling"/>
    <tableColumn id="7" xr3:uid="{00000000-0010-0000-0500-000007000000}" name="Column1"/>
    <tableColumn id="8" xr3:uid="{00000000-0010-0000-0500-000008000000}" name="Column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workbookViewId="0"/>
  </sheetViews>
  <sheetFormatPr defaultRowHeight="14.25"/>
  <cols>
    <col min="1" max="1" width="22" customWidth="1"/>
    <col min="2" max="2" width="28" customWidth="1"/>
    <col min="3" max="3" width="16" customWidth="1"/>
    <col min="4" max="4" width="62" customWidth="1"/>
    <col min="5" max="8" width="10" customWidth="1"/>
  </cols>
  <sheetData>
    <row r="1" spans="1:8" ht="24" customHeight="1">
      <c r="A1" s="12" t="s">
        <v>1724</v>
      </c>
      <c r="B1" s="12"/>
      <c r="C1" s="12"/>
      <c r="D1" s="12"/>
      <c r="E1" s="13"/>
      <c r="F1" s="13"/>
      <c r="G1" s="13"/>
      <c r="H1" s="13"/>
    </row>
    <row r="2" spans="1:8">
      <c r="A2" s="2"/>
      <c r="B2" s="2"/>
      <c r="C2" s="2"/>
      <c r="D2" s="2"/>
      <c r="E2" s="2"/>
      <c r="F2" s="2"/>
      <c r="G2" s="2"/>
      <c r="H2" s="2"/>
    </row>
    <row r="3" spans="1:8" ht="15">
      <c r="A3" s="1" t="s">
        <v>0</v>
      </c>
      <c r="B3" s="1" t="s">
        <v>1</v>
      </c>
      <c r="C3" s="1" t="s">
        <v>2</v>
      </c>
      <c r="D3" s="1" t="s">
        <v>3</v>
      </c>
      <c r="E3" s="1"/>
      <c r="F3" s="1"/>
      <c r="G3" s="1"/>
      <c r="H3" s="1"/>
    </row>
    <row r="4" spans="1:8">
      <c r="A4" s="2" t="s">
        <v>4</v>
      </c>
      <c r="B4" s="2" t="s">
        <v>1725</v>
      </c>
      <c r="C4" s="2" t="s">
        <v>1726</v>
      </c>
      <c r="D4" s="2" t="s">
        <v>5</v>
      </c>
      <c r="E4" s="2"/>
      <c r="F4" s="2"/>
      <c r="G4" s="2"/>
      <c r="H4" s="2"/>
    </row>
    <row r="5" spans="1:8">
      <c r="A5" s="2" t="s">
        <v>6</v>
      </c>
      <c r="B5" s="2" t="s">
        <v>1727</v>
      </c>
      <c r="C5" s="2" t="s">
        <v>1726</v>
      </c>
      <c r="D5" s="2" t="s">
        <v>7</v>
      </c>
      <c r="E5" s="2"/>
      <c r="F5" s="2"/>
      <c r="G5" s="2"/>
      <c r="H5" s="2"/>
    </row>
    <row r="6" spans="1:8">
      <c r="A6" s="2" t="s">
        <v>8</v>
      </c>
      <c r="B6" s="2" t="s">
        <v>9</v>
      </c>
      <c r="C6" s="2"/>
      <c r="D6" s="2" t="s">
        <v>10</v>
      </c>
      <c r="E6" s="2"/>
      <c r="F6" s="2"/>
      <c r="G6" s="2"/>
      <c r="H6" s="2"/>
    </row>
    <row r="7" spans="1:8">
      <c r="A7" s="2" t="s">
        <v>11</v>
      </c>
      <c r="B7" s="2" t="s">
        <v>12</v>
      </c>
      <c r="C7" s="2"/>
      <c r="D7" s="2" t="s">
        <v>13</v>
      </c>
      <c r="E7" s="2"/>
      <c r="F7" s="2"/>
      <c r="G7" s="2"/>
      <c r="H7" s="2"/>
    </row>
    <row r="8" spans="1:8">
      <c r="A8" s="2" t="s">
        <v>14</v>
      </c>
      <c r="B8" s="2" t="s">
        <v>15</v>
      </c>
      <c r="C8" s="2"/>
      <c r="D8" s="2" t="s">
        <v>16</v>
      </c>
      <c r="E8" s="2"/>
      <c r="F8" s="2"/>
      <c r="G8" s="2"/>
      <c r="H8" s="2"/>
    </row>
    <row r="9" spans="1:8" ht="28.5">
      <c r="A9" s="2" t="s">
        <v>17</v>
      </c>
      <c r="B9" s="2" t="s">
        <v>18</v>
      </c>
      <c r="C9" s="2"/>
      <c r="D9" s="2" t="s">
        <v>19</v>
      </c>
      <c r="E9" s="2"/>
      <c r="F9" s="2"/>
      <c r="G9" s="2"/>
      <c r="H9" s="2"/>
    </row>
    <row r="10" spans="1:8">
      <c r="A10" s="2" t="s">
        <v>20</v>
      </c>
      <c r="B10" s="2" t="s">
        <v>21</v>
      </c>
      <c r="C10" s="2"/>
      <c r="D10" s="2" t="s">
        <v>22</v>
      </c>
      <c r="E10" s="2"/>
      <c r="F10" s="2"/>
      <c r="G10" s="2"/>
      <c r="H10" s="2"/>
    </row>
    <row r="11" spans="1:8" ht="33.950000000000003" customHeight="1">
      <c r="A11" s="2" t="s">
        <v>1728</v>
      </c>
      <c r="B11" s="2" t="s">
        <v>1729</v>
      </c>
      <c r="C11" s="2" t="s">
        <v>1726</v>
      </c>
      <c r="D11" s="2" t="s">
        <v>1730</v>
      </c>
      <c r="E11" s="2"/>
      <c r="F11" s="2"/>
      <c r="G11" s="2"/>
      <c r="H11" s="2"/>
    </row>
    <row r="12" spans="1:8">
      <c r="A12" s="2"/>
      <c r="B12" s="2"/>
      <c r="C12" s="2"/>
      <c r="D12" s="2"/>
      <c r="E12" s="2"/>
      <c r="F12" s="2"/>
      <c r="G12" s="2"/>
      <c r="H12" s="2"/>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8"/>
  <sheetViews>
    <sheetView tabSelected="1" topLeftCell="A24" zoomScale="70" zoomScaleNormal="70" workbookViewId="0">
      <selection activeCell="K22" sqref="K22:K24"/>
    </sheetView>
  </sheetViews>
  <sheetFormatPr defaultRowHeight="14.25"/>
  <cols>
    <col min="1" max="1" width="10" customWidth="1"/>
    <col min="2" max="2" width="14.5" customWidth="1"/>
    <col min="3" max="3" width="11" customWidth="1"/>
    <col min="4" max="4" width="48" customWidth="1"/>
    <col min="5" max="5" width="16.25" customWidth="1"/>
    <col min="6" max="6" width="19.5" customWidth="1"/>
    <col min="7" max="7" width="14" customWidth="1"/>
    <col min="8" max="9" width="58" customWidth="1"/>
    <col min="10" max="10" width="9" customWidth="1"/>
    <col min="11" max="11" width="14" customWidth="1"/>
    <col min="12" max="12" width="16.375" customWidth="1"/>
    <col min="13" max="13" width="32" customWidth="1"/>
    <col min="14" max="14" width="30" customWidth="1"/>
    <col min="15" max="15" width="20" customWidth="1"/>
    <col min="16" max="16" width="18" customWidth="1"/>
    <col min="17" max="17" width="22" customWidth="1"/>
    <col min="18" max="18" width="16" customWidth="1"/>
    <col min="19" max="19" width="14" customWidth="1"/>
    <col min="20" max="21" width="28" customWidth="1"/>
    <col min="22" max="23" width="42" customWidth="1"/>
    <col min="24" max="24" width="48" customWidth="1"/>
  </cols>
  <sheetData>
    <row r="1" spans="1:24" ht="30">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c r="Q1" s="1" t="s">
        <v>39</v>
      </c>
      <c r="R1" s="1" t="s">
        <v>40</v>
      </c>
      <c r="S1" s="1" t="s">
        <v>41</v>
      </c>
      <c r="T1" s="1" t="s">
        <v>42</v>
      </c>
      <c r="U1" s="1" t="s">
        <v>43</v>
      </c>
      <c r="V1" s="1" t="s">
        <v>44</v>
      </c>
      <c r="W1" s="1" t="s">
        <v>45</v>
      </c>
      <c r="X1" s="1" t="s">
        <v>46</v>
      </c>
    </row>
    <row r="2" spans="1:24" ht="85.5" hidden="1">
      <c r="A2" s="5" t="s">
        <v>47</v>
      </c>
      <c r="B2" s="5" t="s">
        <v>48</v>
      </c>
      <c r="C2" s="5" t="s">
        <v>49</v>
      </c>
      <c r="D2" s="5" t="s">
        <v>50</v>
      </c>
      <c r="E2" s="5" t="s">
        <v>51</v>
      </c>
      <c r="F2" s="5" t="s">
        <v>52</v>
      </c>
      <c r="G2" s="5" t="s">
        <v>53</v>
      </c>
      <c r="H2" s="5" t="s">
        <v>54</v>
      </c>
      <c r="I2" s="5" t="s">
        <v>55</v>
      </c>
      <c r="J2" s="5">
        <v>8</v>
      </c>
      <c r="K2" s="4" t="s">
        <v>56</v>
      </c>
      <c r="L2" s="5" t="s">
        <v>57</v>
      </c>
      <c r="M2" s="2" t="s">
        <v>58</v>
      </c>
      <c r="N2" s="2" t="s">
        <v>59</v>
      </c>
      <c r="O2" s="2" t="s">
        <v>60</v>
      </c>
      <c r="P2" s="2" t="s">
        <v>61</v>
      </c>
      <c r="Q2" s="2" t="s">
        <v>62</v>
      </c>
      <c r="R2" s="2">
        <v>2.72</v>
      </c>
      <c r="S2" s="2" t="s">
        <v>63</v>
      </c>
      <c r="T2" s="2" t="s">
        <v>64</v>
      </c>
      <c r="U2" s="2" t="s">
        <v>65</v>
      </c>
      <c r="V2" s="2" t="s">
        <v>66</v>
      </c>
      <c r="W2" s="2" t="s">
        <v>67</v>
      </c>
      <c r="X2" s="2" t="s">
        <v>68</v>
      </c>
    </row>
    <row r="3" spans="1:24" ht="99.75" hidden="1">
      <c r="A3" s="5" t="s">
        <v>69</v>
      </c>
      <c r="B3" s="5" t="s">
        <v>48</v>
      </c>
      <c r="C3" s="5" t="s">
        <v>49</v>
      </c>
      <c r="D3" s="5" t="s">
        <v>70</v>
      </c>
      <c r="E3" s="5" t="s">
        <v>71</v>
      </c>
      <c r="F3" s="5" t="s">
        <v>72</v>
      </c>
      <c r="G3" s="5" t="s">
        <v>53</v>
      </c>
      <c r="H3" s="5" t="s">
        <v>73</v>
      </c>
      <c r="I3" s="5" t="s">
        <v>74</v>
      </c>
      <c r="J3" s="5">
        <v>12</v>
      </c>
      <c r="K3" s="4" t="s">
        <v>56</v>
      </c>
      <c r="L3" s="5" t="s">
        <v>57</v>
      </c>
      <c r="M3" s="2" t="s">
        <v>75</v>
      </c>
      <c r="N3" s="2" t="s">
        <v>76</v>
      </c>
      <c r="O3" s="2" t="s">
        <v>60</v>
      </c>
      <c r="P3" s="2" t="s">
        <v>61</v>
      </c>
      <c r="Q3" s="2" t="s">
        <v>77</v>
      </c>
      <c r="R3" s="2">
        <v>2.3250000000000002</v>
      </c>
      <c r="S3" s="2" t="s">
        <v>63</v>
      </c>
      <c r="T3" s="2" t="s">
        <v>78</v>
      </c>
      <c r="U3" s="2" t="s">
        <v>65</v>
      </c>
      <c r="V3" s="2" t="s">
        <v>66</v>
      </c>
      <c r="W3" s="2" t="s">
        <v>67</v>
      </c>
      <c r="X3" s="2" t="s">
        <v>68</v>
      </c>
    </row>
    <row r="4" spans="1:24" ht="85.5" hidden="1">
      <c r="A4" s="5" t="s">
        <v>79</v>
      </c>
      <c r="B4" s="5" t="s">
        <v>48</v>
      </c>
      <c r="C4" s="5" t="s">
        <v>49</v>
      </c>
      <c r="D4" s="5" t="s">
        <v>80</v>
      </c>
      <c r="E4" s="5" t="s">
        <v>71</v>
      </c>
      <c r="F4" s="5" t="s">
        <v>72</v>
      </c>
      <c r="G4" s="5" t="s">
        <v>81</v>
      </c>
      <c r="H4" s="5" t="s">
        <v>82</v>
      </c>
      <c r="I4" s="5" t="s">
        <v>83</v>
      </c>
      <c r="J4" s="5">
        <v>12</v>
      </c>
      <c r="K4" s="4" t="s">
        <v>56</v>
      </c>
      <c r="L4" s="5" t="s">
        <v>57</v>
      </c>
      <c r="M4" s="2" t="s">
        <v>47</v>
      </c>
      <c r="N4" s="2" t="s">
        <v>84</v>
      </c>
      <c r="O4" s="2" t="s">
        <v>60</v>
      </c>
      <c r="P4" s="2" t="s">
        <v>61</v>
      </c>
      <c r="Q4" s="2" t="s">
        <v>77</v>
      </c>
      <c r="R4" s="2">
        <v>2.3250000000000002</v>
      </c>
      <c r="S4" s="2" t="s">
        <v>63</v>
      </c>
      <c r="T4" s="2" t="s">
        <v>85</v>
      </c>
      <c r="U4" s="2" t="s">
        <v>65</v>
      </c>
      <c r="V4" s="2" t="s">
        <v>66</v>
      </c>
      <c r="W4" s="2" t="s">
        <v>67</v>
      </c>
      <c r="X4" s="2" t="s">
        <v>68</v>
      </c>
    </row>
    <row r="5" spans="1:24" ht="85.5" hidden="1">
      <c r="A5" s="5" t="s">
        <v>86</v>
      </c>
      <c r="B5" s="5" t="s">
        <v>48</v>
      </c>
      <c r="C5" s="5" t="s">
        <v>49</v>
      </c>
      <c r="D5" s="5" t="s">
        <v>87</v>
      </c>
      <c r="E5" s="5" t="s">
        <v>71</v>
      </c>
      <c r="F5" s="5" t="s">
        <v>88</v>
      </c>
      <c r="G5" s="5" t="s">
        <v>53</v>
      </c>
      <c r="H5" s="5" t="s">
        <v>89</v>
      </c>
      <c r="I5" s="5" t="s">
        <v>90</v>
      </c>
      <c r="J5" s="5">
        <v>12</v>
      </c>
      <c r="K5" s="4" t="s">
        <v>56</v>
      </c>
      <c r="L5" s="5" t="s">
        <v>57</v>
      </c>
      <c r="M5" s="2" t="s">
        <v>91</v>
      </c>
      <c r="N5" s="2" t="s">
        <v>92</v>
      </c>
      <c r="O5" s="2" t="s">
        <v>60</v>
      </c>
      <c r="P5" s="2" t="s">
        <v>61</v>
      </c>
      <c r="Q5" s="2" t="s">
        <v>77</v>
      </c>
      <c r="R5" s="2">
        <v>2.3250000000000002</v>
      </c>
      <c r="S5" s="2" t="s">
        <v>63</v>
      </c>
      <c r="T5" s="2" t="s">
        <v>93</v>
      </c>
      <c r="U5" s="2" t="s">
        <v>65</v>
      </c>
      <c r="V5" s="2" t="s">
        <v>66</v>
      </c>
      <c r="W5" s="2" t="s">
        <v>67</v>
      </c>
      <c r="X5" s="2" t="s">
        <v>68</v>
      </c>
    </row>
    <row r="6" spans="1:24" ht="213.75" hidden="1">
      <c r="A6" s="11" t="s">
        <v>94</v>
      </c>
      <c r="B6" s="11" t="s">
        <v>48</v>
      </c>
      <c r="C6" s="11" t="s">
        <v>49</v>
      </c>
      <c r="D6" s="11" t="s">
        <v>95</v>
      </c>
      <c r="E6" s="11" t="s">
        <v>96</v>
      </c>
      <c r="F6" s="11" t="s">
        <v>88</v>
      </c>
      <c r="G6" s="11" t="s">
        <v>53</v>
      </c>
      <c r="H6" s="11" t="s">
        <v>97</v>
      </c>
      <c r="I6" s="11" t="s">
        <v>98</v>
      </c>
      <c r="J6" s="11">
        <v>12</v>
      </c>
      <c r="K6" s="11" t="s">
        <v>56</v>
      </c>
      <c r="L6" s="11" t="s">
        <v>57</v>
      </c>
      <c r="M6" s="2" t="s">
        <v>86</v>
      </c>
      <c r="N6" s="2" t="s">
        <v>99</v>
      </c>
      <c r="O6" s="2" t="s">
        <v>60</v>
      </c>
      <c r="P6" s="2" t="s">
        <v>61</v>
      </c>
      <c r="Q6" s="2" t="s">
        <v>100</v>
      </c>
      <c r="R6" s="2">
        <v>1.7999999999999998</v>
      </c>
      <c r="S6" s="2" t="s">
        <v>63</v>
      </c>
      <c r="T6" s="2" t="s">
        <v>101</v>
      </c>
      <c r="U6" s="2" t="s">
        <v>65</v>
      </c>
      <c r="V6" s="2" t="s">
        <v>102</v>
      </c>
      <c r="W6" s="2" t="s">
        <v>67</v>
      </c>
      <c r="X6" s="2" t="s">
        <v>103</v>
      </c>
    </row>
    <row r="7" spans="1:24" ht="71.25" hidden="1">
      <c r="A7" s="11" t="s">
        <v>104</v>
      </c>
      <c r="B7" s="11" t="s">
        <v>48</v>
      </c>
      <c r="C7" s="11" t="s">
        <v>49</v>
      </c>
      <c r="D7" s="11" t="s">
        <v>105</v>
      </c>
      <c r="E7" s="11" t="s">
        <v>96</v>
      </c>
      <c r="F7" s="11" t="s">
        <v>88</v>
      </c>
      <c r="G7" s="11" t="s">
        <v>81</v>
      </c>
      <c r="H7" s="11" t="s">
        <v>106</v>
      </c>
      <c r="I7" s="11" t="s">
        <v>107</v>
      </c>
      <c r="J7" s="11">
        <v>12</v>
      </c>
      <c r="K7" s="11" t="s">
        <v>56</v>
      </c>
      <c r="L7" s="11" t="s">
        <v>57</v>
      </c>
      <c r="M7" s="2" t="s">
        <v>94</v>
      </c>
      <c r="N7" s="2" t="s">
        <v>108</v>
      </c>
      <c r="O7" s="2" t="s">
        <v>60</v>
      </c>
      <c r="P7" s="2" t="s">
        <v>61</v>
      </c>
      <c r="Q7" s="2" t="s">
        <v>100</v>
      </c>
      <c r="R7" s="2">
        <v>1.7999999999999998</v>
      </c>
      <c r="S7" s="2" t="s">
        <v>63</v>
      </c>
      <c r="T7" s="2" t="s">
        <v>109</v>
      </c>
      <c r="U7" s="2" t="s">
        <v>65</v>
      </c>
      <c r="V7" s="2" t="s">
        <v>66</v>
      </c>
      <c r="W7" s="2" t="s">
        <v>67</v>
      </c>
      <c r="X7" s="2" t="s">
        <v>68</v>
      </c>
    </row>
    <row r="8" spans="1:24" ht="85.5" hidden="1">
      <c r="A8" s="11" t="s">
        <v>110</v>
      </c>
      <c r="B8" s="11" t="s">
        <v>48</v>
      </c>
      <c r="C8" s="11" t="s">
        <v>49</v>
      </c>
      <c r="D8" s="11" t="s">
        <v>111</v>
      </c>
      <c r="E8" s="11" t="s">
        <v>96</v>
      </c>
      <c r="F8" s="11" t="s">
        <v>112</v>
      </c>
      <c r="G8" s="11" t="s">
        <v>53</v>
      </c>
      <c r="H8" s="11" t="s">
        <v>113</v>
      </c>
      <c r="I8" s="11" t="s">
        <v>114</v>
      </c>
      <c r="J8" s="11">
        <v>12</v>
      </c>
      <c r="K8" s="11" t="s">
        <v>56</v>
      </c>
      <c r="L8" s="11" t="s">
        <v>57</v>
      </c>
      <c r="M8" s="2" t="s">
        <v>115</v>
      </c>
      <c r="N8" s="2" t="s">
        <v>116</v>
      </c>
      <c r="O8" s="2" t="s">
        <v>60</v>
      </c>
      <c r="P8" s="2" t="s">
        <v>61</v>
      </c>
      <c r="Q8" s="2" t="s">
        <v>100</v>
      </c>
      <c r="R8" s="2">
        <v>1.7999999999999998</v>
      </c>
      <c r="S8" s="2" t="s">
        <v>63</v>
      </c>
      <c r="T8" s="2" t="s">
        <v>117</v>
      </c>
      <c r="U8" s="2" t="s">
        <v>65</v>
      </c>
      <c r="V8" s="2" t="s">
        <v>66</v>
      </c>
      <c r="W8" s="2" t="s">
        <v>67</v>
      </c>
      <c r="X8" s="2" t="s">
        <v>68</v>
      </c>
    </row>
    <row r="9" spans="1:24" ht="114" hidden="1">
      <c r="A9" s="11" t="s">
        <v>118</v>
      </c>
      <c r="B9" s="11" t="s">
        <v>48</v>
      </c>
      <c r="C9" s="11" t="s">
        <v>49</v>
      </c>
      <c r="D9" s="11" t="s">
        <v>119</v>
      </c>
      <c r="E9" s="11" t="s">
        <v>96</v>
      </c>
      <c r="F9" s="11" t="s">
        <v>112</v>
      </c>
      <c r="G9" s="11" t="s">
        <v>81</v>
      </c>
      <c r="H9" s="11" t="s">
        <v>120</v>
      </c>
      <c r="I9" s="11" t="s">
        <v>121</v>
      </c>
      <c r="J9" s="11">
        <v>6</v>
      </c>
      <c r="K9" s="11" t="s">
        <v>56</v>
      </c>
      <c r="L9" s="11" t="s">
        <v>57</v>
      </c>
      <c r="M9" s="2" t="s">
        <v>122</v>
      </c>
      <c r="N9" s="2" t="s">
        <v>123</v>
      </c>
      <c r="O9" s="2" t="s">
        <v>60</v>
      </c>
      <c r="P9" s="2" t="s">
        <v>61</v>
      </c>
      <c r="Q9" s="2" t="s">
        <v>100</v>
      </c>
      <c r="R9" s="2">
        <v>0.89999999999999991</v>
      </c>
      <c r="S9" s="2" t="s">
        <v>63</v>
      </c>
      <c r="T9" s="2" t="s">
        <v>124</v>
      </c>
      <c r="U9" s="2" t="s">
        <v>65</v>
      </c>
      <c r="V9" s="2" t="s">
        <v>66</v>
      </c>
      <c r="W9" s="2" t="s">
        <v>67</v>
      </c>
      <c r="X9" s="2" t="s">
        <v>68</v>
      </c>
    </row>
    <row r="10" spans="1:24" ht="213.75" hidden="1">
      <c r="A10" s="11" t="s">
        <v>125</v>
      </c>
      <c r="B10" s="11" t="s">
        <v>48</v>
      </c>
      <c r="C10" s="11" t="s">
        <v>49</v>
      </c>
      <c r="D10" s="11" t="s">
        <v>126</v>
      </c>
      <c r="E10" s="11" t="s">
        <v>96</v>
      </c>
      <c r="F10" s="11" t="s">
        <v>112</v>
      </c>
      <c r="G10" s="11" t="s">
        <v>81</v>
      </c>
      <c r="H10" s="11" t="s">
        <v>1731</v>
      </c>
      <c r="I10" s="11" t="s">
        <v>1732</v>
      </c>
      <c r="J10" s="11">
        <v>24</v>
      </c>
      <c r="K10" s="11" t="s">
        <v>56</v>
      </c>
      <c r="L10" s="11" t="s">
        <v>57</v>
      </c>
      <c r="M10" s="2" t="s">
        <v>127</v>
      </c>
      <c r="N10" s="2" t="s">
        <v>128</v>
      </c>
      <c r="O10" s="2" t="s">
        <v>60</v>
      </c>
      <c r="P10" s="2" t="s">
        <v>61</v>
      </c>
      <c r="Q10" s="2" t="s">
        <v>100</v>
      </c>
      <c r="R10" s="2">
        <v>3.6</v>
      </c>
      <c r="S10" s="2" t="s">
        <v>63</v>
      </c>
      <c r="T10" s="2" t="s">
        <v>1734</v>
      </c>
      <c r="U10" s="2" t="s">
        <v>65</v>
      </c>
      <c r="V10" s="2" t="s">
        <v>66</v>
      </c>
      <c r="W10" s="2" t="s">
        <v>67</v>
      </c>
      <c r="X10" s="2" t="s">
        <v>1735</v>
      </c>
    </row>
    <row r="11" spans="1:24" ht="71.25" hidden="1">
      <c r="A11" s="11" t="s">
        <v>58</v>
      </c>
      <c r="B11" s="11" t="s">
        <v>48</v>
      </c>
      <c r="C11" s="11" t="s">
        <v>49</v>
      </c>
      <c r="D11" s="11" t="s">
        <v>129</v>
      </c>
      <c r="E11" s="11" t="s">
        <v>130</v>
      </c>
      <c r="F11" s="11" t="s">
        <v>131</v>
      </c>
      <c r="G11" s="11" t="s">
        <v>53</v>
      </c>
      <c r="H11" s="11" t="s">
        <v>132</v>
      </c>
      <c r="I11" s="11" t="s">
        <v>133</v>
      </c>
      <c r="J11" s="11">
        <v>4</v>
      </c>
      <c r="K11" s="4" t="s">
        <v>56</v>
      </c>
      <c r="L11" s="5" t="s">
        <v>57</v>
      </c>
      <c r="M11" s="2"/>
      <c r="N11" s="2" t="s">
        <v>134</v>
      </c>
      <c r="O11" s="2" t="s">
        <v>60</v>
      </c>
      <c r="P11" s="2" t="s">
        <v>61</v>
      </c>
      <c r="Q11" s="2" t="s">
        <v>135</v>
      </c>
      <c r="R11" s="2">
        <v>1.5</v>
      </c>
      <c r="S11" s="2" t="s">
        <v>63</v>
      </c>
      <c r="T11" s="2" t="s">
        <v>136</v>
      </c>
      <c r="U11" s="2" t="s">
        <v>137</v>
      </c>
      <c r="V11" s="2" t="s">
        <v>138</v>
      </c>
      <c r="W11" s="2" t="s">
        <v>67</v>
      </c>
      <c r="X11" s="2" t="s">
        <v>68</v>
      </c>
    </row>
    <row r="12" spans="1:24" ht="71.25" hidden="1">
      <c r="A12" s="5" t="s">
        <v>139</v>
      </c>
      <c r="B12" s="5" t="s">
        <v>48</v>
      </c>
      <c r="C12" s="5" t="s">
        <v>49</v>
      </c>
      <c r="D12" s="5" t="s">
        <v>140</v>
      </c>
      <c r="E12" s="5" t="s">
        <v>141</v>
      </c>
      <c r="F12" s="5" t="s">
        <v>142</v>
      </c>
      <c r="G12" s="5" t="s">
        <v>53</v>
      </c>
      <c r="H12" s="5" t="s">
        <v>143</v>
      </c>
      <c r="I12" s="5" t="s">
        <v>144</v>
      </c>
      <c r="J12" s="5">
        <v>10</v>
      </c>
      <c r="K12" s="4" t="s">
        <v>56</v>
      </c>
      <c r="L12" s="5" t="s">
        <v>145</v>
      </c>
      <c r="M12" s="2" t="s">
        <v>58</v>
      </c>
      <c r="N12" s="2" t="s">
        <v>146</v>
      </c>
      <c r="O12" s="2" t="s">
        <v>60</v>
      </c>
      <c r="P12" s="2" t="s">
        <v>61</v>
      </c>
      <c r="Q12" s="2" t="s">
        <v>147</v>
      </c>
      <c r="R12" s="2">
        <v>4</v>
      </c>
      <c r="S12" s="2" t="s">
        <v>63</v>
      </c>
      <c r="T12" s="2" t="s">
        <v>148</v>
      </c>
      <c r="U12" s="2" t="s">
        <v>149</v>
      </c>
      <c r="V12" s="2" t="s">
        <v>150</v>
      </c>
      <c r="W12" s="2" t="s">
        <v>67</v>
      </c>
      <c r="X12" s="2" t="s">
        <v>68</v>
      </c>
    </row>
    <row r="13" spans="1:24" ht="57" hidden="1">
      <c r="A13" s="5" t="s">
        <v>151</v>
      </c>
      <c r="B13" s="5" t="s">
        <v>48</v>
      </c>
      <c r="C13" s="5" t="s">
        <v>49</v>
      </c>
      <c r="D13" s="5" t="s">
        <v>152</v>
      </c>
      <c r="E13" s="5" t="s">
        <v>141</v>
      </c>
      <c r="F13" s="5" t="s">
        <v>142</v>
      </c>
      <c r="G13" s="5" t="s">
        <v>53</v>
      </c>
      <c r="H13" s="5" t="s">
        <v>153</v>
      </c>
      <c r="I13" s="5" t="s">
        <v>154</v>
      </c>
      <c r="J13" s="5">
        <v>10</v>
      </c>
      <c r="K13" s="4" t="s">
        <v>56</v>
      </c>
      <c r="L13" s="5" t="s">
        <v>145</v>
      </c>
      <c r="M13" s="2" t="s">
        <v>58</v>
      </c>
      <c r="N13" s="2" t="s">
        <v>155</v>
      </c>
      <c r="O13" s="2" t="s">
        <v>60</v>
      </c>
      <c r="P13" s="2" t="s">
        <v>61</v>
      </c>
      <c r="Q13" s="2" t="s">
        <v>156</v>
      </c>
      <c r="R13" s="2">
        <v>4</v>
      </c>
      <c r="S13" s="2" t="s">
        <v>63</v>
      </c>
      <c r="T13" s="2" t="s">
        <v>157</v>
      </c>
      <c r="U13" s="2" t="s">
        <v>158</v>
      </c>
      <c r="V13" s="2" t="s">
        <v>159</v>
      </c>
      <c r="W13" s="2" t="s">
        <v>67</v>
      </c>
      <c r="X13" s="2" t="s">
        <v>68</v>
      </c>
    </row>
    <row r="14" spans="1:24" ht="71.25" hidden="1">
      <c r="A14" s="5" t="s">
        <v>160</v>
      </c>
      <c r="B14" s="5" t="s">
        <v>48</v>
      </c>
      <c r="C14" s="5" t="s">
        <v>49</v>
      </c>
      <c r="D14" s="5" t="s">
        <v>161</v>
      </c>
      <c r="E14" s="5" t="s">
        <v>162</v>
      </c>
      <c r="F14" s="5" t="s">
        <v>163</v>
      </c>
      <c r="G14" s="5" t="s">
        <v>53</v>
      </c>
      <c r="H14" s="5" t="s">
        <v>164</v>
      </c>
      <c r="I14" s="5" t="s">
        <v>165</v>
      </c>
      <c r="J14" s="5">
        <v>10</v>
      </c>
      <c r="K14" s="5" t="s">
        <v>56</v>
      </c>
      <c r="L14" s="5" t="s">
        <v>145</v>
      </c>
      <c r="M14" s="2" t="s">
        <v>58</v>
      </c>
      <c r="N14" s="2" t="s">
        <v>155</v>
      </c>
      <c r="O14" s="2" t="s">
        <v>60</v>
      </c>
      <c r="P14" s="2" t="s">
        <v>61</v>
      </c>
      <c r="Q14" s="2" t="s">
        <v>166</v>
      </c>
      <c r="R14" s="2">
        <v>4.25</v>
      </c>
      <c r="S14" s="2" t="s">
        <v>63</v>
      </c>
      <c r="T14" s="2" t="s">
        <v>167</v>
      </c>
      <c r="U14" s="2" t="s">
        <v>168</v>
      </c>
      <c r="V14" s="2" t="s">
        <v>169</v>
      </c>
      <c r="W14" s="2" t="s">
        <v>67</v>
      </c>
      <c r="X14" s="2" t="s">
        <v>68</v>
      </c>
    </row>
    <row r="15" spans="1:24" ht="85.5" hidden="1">
      <c r="A15" s="5" t="s">
        <v>170</v>
      </c>
      <c r="B15" s="5" t="s">
        <v>48</v>
      </c>
      <c r="C15" s="5" t="s">
        <v>49</v>
      </c>
      <c r="D15" s="5" t="s">
        <v>171</v>
      </c>
      <c r="E15" s="5" t="s">
        <v>162</v>
      </c>
      <c r="F15" s="5" t="s">
        <v>172</v>
      </c>
      <c r="G15" s="5" t="s">
        <v>81</v>
      </c>
      <c r="H15" s="5" t="s">
        <v>173</v>
      </c>
      <c r="I15" s="5" t="s">
        <v>174</v>
      </c>
      <c r="J15" s="5">
        <v>8</v>
      </c>
      <c r="K15" s="5" t="s">
        <v>56</v>
      </c>
      <c r="L15" s="5" t="s">
        <v>145</v>
      </c>
      <c r="M15" s="2" t="s">
        <v>58</v>
      </c>
      <c r="N15" s="2" t="s">
        <v>175</v>
      </c>
      <c r="O15" s="2" t="s">
        <v>60</v>
      </c>
      <c r="P15" s="2" t="s">
        <v>61</v>
      </c>
      <c r="Q15" s="2" t="s">
        <v>176</v>
      </c>
      <c r="R15" s="2">
        <v>3.2</v>
      </c>
      <c r="S15" s="2" t="s">
        <v>63</v>
      </c>
      <c r="T15" s="2" t="s">
        <v>177</v>
      </c>
      <c r="U15" s="2" t="s">
        <v>178</v>
      </c>
      <c r="V15" s="2" t="s">
        <v>179</v>
      </c>
      <c r="W15" s="2" t="s">
        <v>67</v>
      </c>
      <c r="X15" s="2" t="s">
        <v>180</v>
      </c>
    </row>
    <row r="16" spans="1:24" ht="85.5" hidden="1">
      <c r="A16" s="5" t="s">
        <v>181</v>
      </c>
      <c r="B16" s="5" t="s">
        <v>48</v>
      </c>
      <c r="C16" s="5" t="s">
        <v>49</v>
      </c>
      <c r="D16" s="5" t="s">
        <v>182</v>
      </c>
      <c r="E16" s="5" t="s">
        <v>183</v>
      </c>
      <c r="F16" s="5" t="s">
        <v>184</v>
      </c>
      <c r="G16" s="5" t="s">
        <v>53</v>
      </c>
      <c r="H16" s="5" t="s">
        <v>185</v>
      </c>
      <c r="I16" s="5" t="s">
        <v>186</v>
      </c>
      <c r="J16" s="5">
        <v>8</v>
      </c>
      <c r="K16" s="5" t="s">
        <v>56</v>
      </c>
      <c r="L16" s="5" t="s">
        <v>187</v>
      </c>
      <c r="M16" s="2" t="s">
        <v>58</v>
      </c>
      <c r="N16" s="2" t="s">
        <v>188</v>
      </c>
      <c r="O16" s="2" t="s">
        <v>60</v>
      </c>
      <c r="P16" s="2" t="s">
        <v>61</v>
      </c>
      <c r="Q16" s="2" t="s">
        <v>189</v>
      </c>
      <c r="R16" s="2">
        <v>2</v>
      </c>
      <c r="S16" s="2" t="s">
        <v>63</v>
      </c>
      <c r="T16" s="2" t="s">
        <v>190</v>
      </c>
      <c r="U16" s="2" t="s">
        <v>191</v>
      </c>
      <c r="V16" s="2" t="s">
        <v>192</v>
      </c>
      <c r="W16" s="2" t="s">
        <v>67</v>
      </c>
      <c r="X16" s="2" t="s">
        <v>68</v>
      </c>
    </row>
    <row r="17" spans="1:24" ht="99.75" hidden="1">
      <c r="A17" s="5" t="s">
        <v>193</v>
      </c>
      <c r="B17" s="5" t="s">
        <v>48</v>
      </c>
      <c r="C17" s="5" t="s">
        <v>49</v>
      </c>
      <c r="D17" s="5" t="s">
        <v>194</v>
      </c>
      <c r="E17" s="5" t="s">
        <v>141</v>
      </c>
      <c r="F17" s="5" t="s">
        <v>195</v>
      </c>
      <c r="G17" s="5" t="s">
        <v>53</v>
      </c>
      <c r="H17" s="5" t="s">
        <v>196</v>
      </c>
      <c r="I17" s="5" t="s">
        <v>197</v>
      </c>
      <c r="J17" s="5">
        <v>10</v>
      </c>
      <c r="K17" s="5" t="s">
        <v>56</v>
      </c>
      <c r="L17" s="5" t="s">
        <v>187</v>
      </c>
      <c r="M17" s="2" t="s">
        <v>58</v>
      </c>
      <c r="N17" s="2" t="s">
        <v>198</v>
      </c>
      <c r="O17" s="2" t="s">
        <v>60</v>
      </c>
      <c r="P17" s="2" t="s">
        <v>61</v>
      </c>
      <c r="Q17" s="2" t="s">
        <v>199</v>
      </c>
      <c r="R17" s="2">
        <v>2.5</v>
      </c>
      <c r="S17" s="2" t="s">
        <v>63</v>
      </c>
      <c r="T17" s="2" t="s">
        <v>200</v>
      </c>
      <c r="U17" s="2" t="s">
        <v>201</v>
      </c>
      <c r="V17" s="2" t="s">
        <v>202</v>
      </c>
      <c r="W17" s="2" t="s">
        <v>67</v>
      </c>
      <c r="X17" s="2" t="s">
        <v>68</v>
      </c>
    </row>
    <row r="18" spans="1:24" ht="71.25" hidden="1">
      <c r="A18" s="5" t="s">
        <v>203</v>
      </c>
      <c r="B18" s="5" t="s">
        <v>48</v>
      </c>
      <c r="C18" s="5" t="s">
        <v>49</v>
      </c>
      <c r="D18" s="5" t="s">
        <v>204</v>
      </c>
      <c r="E18" s="5" t="s">
        <v>205</v>
      </c>
      <c r="F18" s="5" t="s">
        <v>206</v>
      </c>
      <c r="G18" s="5" t="s">
        <v>53</v>
      </c>
      <c r="H18" s="5" t="s">
        <v>207</v>
      </c>
      <c r="I18" s="5" t="s">
        <v>208</v>
      </c>
      <c r="J18" s="5">
        <v>6</v>
      </c>
      <c r="K18" s="5" t="s">
        <v>56</v>
      </c>
      <c r="L18" s="5" t="s">
        <v>187</v>
      </c>
      <c r="M18" s="2" t="s">
        <v>193</v>
      </c>
      <c r="N18" s="2" t="s">
        <v>209</v>
      </c>
      <c r="O18" s="2" t="s">
        <v>60</v>
      </c>
      <c r="P18" s="2" t="s">
        <v>61</v>
      </c>
      <c r="Q18" s="2" t="s">
        <v>210</v>
      </c>
      <c r="R18" s="2">
        <v>1.5</v>
      </c>
      <c r="S18" s="2" t="s">
        <v>63</v>
      </c>
      <c r="T18" s="2" t="s">
        <v>211</v>
      </c>
      <c r="U18" s="2" t="s">
        <v>212</v>
      </c>
      <c r="V18" s="2" t="s">
        <v>213</v>
      </c>
      <c r="W18" s="2" t="s">
        <v>67</v>
      </c>
      <c r="X18" s="2" t="s">
        <v>68</v>
      </c>
    </row>
    <row r="19" spans="1:24" ht="71.25" hidden="1">
      <c r="A19" s="11" t="s">
        <v>214</v>
      </c>
      <c r="B19" s="11" t="s">
        <v>48</v>
      </c>
      <c r="C19" s="11" t="s">
        <v>49</v>
      </c>
      <c r="D19" s="11" t="s">
        <v>215</v>
      </c>
      <c r="E19" s="11" t="s">
        <v>96</v>
      </c>
      <c r="F19" s="11" t="s">
        <v>216</v>
      </c>
      <c r="G19" s="11" t="s">
        <v>53</v>
      </c>
      <c r="H19" s="11" t="s">
        <v>217</v>
      </c>
      <c r="I19" s="11" t="s">
        <v>218</v>
      </c>
      <c r="J19" s="11">
        <v>12</v>
      </c>
      <c r="K19" s="11" t="s">
        <v>56</v>
      </c>
      <c r="L19" s="11" t="s">
        <v>57</v>
      </c>
      <c r="M19" s="2" t="s">
        <v>219</v>
      </c>
      <c r="N19" s="2" t="s">
        <v>220</v>
      </c>
      <c r="O19" s="2" t="s">
        <v>60</v>
      </c>
      <c r="P19" s="2" t="s">
        <v>61</v>
      </c>
      <c r="Q19" s="2" t="s">
        <v>221</v>
      </c>
      <c r="R19" s="2">
        <v>5.0999999999999996</v>
      </c>
      <c r="S19" s="2" t="s">
        <v>63</v>
      </c>
      <c r="T19" s="2" t="s">
        <v>222</v>
      </c>
      <c r="U19" s="2" t="s">
        <v>223</v>
      </c>
      <c r="V19" s="2" t="s">
        <v>224</v>
      </c>
      <c r="W19" s="2" t="s">
        <v>67</v>
      </c>
      <c r="X19" s="2" t="s">
        <v>68</v>
      </c>
    </row>
    <row r="20" spans="1:24" ht="57" hidden="1">
      <c r="A20" s="5" t="s">
        <v>225</v>
      </c>
      <c r="B20" s="5" t="s">
        <v>48</v>
      </c>
      <c r="C20" s="5" t="s">
        <v>49</v>
      </c>
      <c r="D20" s="5" t="s">
        <v>226</v>
      </c>
      <c r="E20" s="5" t="s">
        <v>205</v>
      </c>
      <c r="F20" s="5" t="s">
        <v>227</v>
      </c>
      <c r="G20" s="5" t="s">
        <v>53</v>
      </c>
      <c r="H20" s="5" t="s">
        <v>228</v>
      </c>
      <c r="I20" s="5" t="s">
        <v>229</v>
      </c>
      <c r="J20" s="5">
        <v>5</v>
      </c>
      <c r="K20" s="5" t="s">
        <v>56</v>
      </c>
      <c r="L20" s="5" t="s">
        <v>187</v>
      </c>
      <c r="M20" s="2" t="s">
        <v>193</v>
      </c>
      <c r="N20" s="2" t="s">
        <v>230</v>
      </c>
      <c r="O20" s="2" t="s">
        <v>60</v>
      </c>
      <c r="P20" s="2" t="s">
        <v>61</v>
      </c>
      <c r="Q20" s="2" t="s">
        <v>210</v>
      </c>
      <c r="R20" s="2">
        <v>1.25</v>
      </c>
      <c r="S20" s="2" t="s">
        <v>63</v>
      </c>
      <c r="T20" s="2" t="s">
        <v>231</v>
      </c>
      <c r="U20" s="2" t="s">
        <v>232</v>
      </c>
      <c r="V20" s="2" t="s">
        <v>233</v>
      </c>
      <c r="W20" s="2" t="s">
        <v>67</v>
      </c>
      <c r="X20" s="2" t="s">
        <v>68</v>
      </c>
    </row>
    <row r="21" spans="1:24" ht="57" hidden="1">
      <c r="A21" s="11" t="s">
        <v>234</v>
      </c>
      <c r="B21" s="11" t="s">
        <v>48</v>
      </c>
      <c r="C21" s="11" t="s">
        <v>49</v>
      </c>
      <c r="D21" s="11" t="s">
        <v>235</v>
      </c>
      <c r="E21" s="11" t="s">
        <v>236</v>
      </c>
      <c r="F21" s="11" t="s">
        <v>237</v>
      </c>
      <c r="G21" s="11" t="s">
        <v>53</v>
      </c>
      <c r="H21" s="11" t="s">
        <v>238</v>
      </c>
      <c r="I21" s="11" t="s">
        <v>239</v>
      </c>
      <c r="J21" s="11">
        <v>6</v>
      </c>
      <c r="K21" s="11" t="s">
        <v>56</v>
      </c>
      <c r="L21" s="11" t="s">
        <v>57</v>
      </c>
      <c r="M21" s="2" t="s">
        <v>219</v>
      </c>
      <c r="N21" s="2" t="s">
        <v>240</v>
      </c>
      <c r="O21" s="2" t="s">
        <v>60</v>
      </c>
      <c r="P21" s="2" t="s">
        <v>61</v>
      </c>
      <c r="Q21" s="2" t="s">
        <v>221</v>
      </c>
      <c r="R21" s="2">
        <v>2.5499999999999998</v>
      </c>
      <c r="S21" s="2" t="s">
        <v>63</v>
      </c>
      <c r="T21" s="2" t="s">
        <v>241</v>
      </c>
      <c r="U21" s="2" t="s">
        <v>242</v>
      </c>
      <c r="V21" s="2" t="s">
        <v>243</v>
      </c>
      <c r="W21" s="2" t="s">
        <v>67</v>
      </c>
      <c r="X21" s="2" t="s">
        <v>68</v>
      </c>
    </row>
    <row r="22" spans="1:24" ht="156.75">
      <c r="A22" s="14" t="s">
        <v>244</v>
      </c>
      <c r="B22" s="14" t="s">
        <v>48</v>
      </c>
      <c r="C22" s="14" t="s">
        <v>245</v>
      </c>
      <c r="D22" s="14" t="s">
        <v>246</v>
      </c>
      <c r="E22" s="14" t="s">
        <v>96</v>
      </c>
      <c r="F22" s="14" t="s">
        <v>247</v>
      </c>
      <c r="G22" s="14" t="s">
        <v>53</v>
      </c>
      <c r="H22" s="14" t="s">
        <v>248</v>
      </c>
      <c r="I22" s="14" t="s">
        <v>249</v>
      </c>
      <c r="J22" s="14">
        <v>12</v>
      </c>
      <c r="K22" s="14" t="s">
        <v>1733</v>
      </c>
      <c r="L22" s="14" t="s">
        <v>57</v>
      </c>
      <c r="M22" s="2" t="s">
        <v>251</v>
      </c>
      <c r="N22" s="2" t="s">
        <v>252</v>
      </c>
      <c r="O22" s="2" t="s">
        <v>60</v>
      </c>
      <c r="P22" s="2" t="s">
        <v>61</v>
      </c>
      <c r="Q22" s="2" t="s">
        <v>100</v>
      </c>
      <c r="R22" s="2">
        <v>1.7999999999999998</v>
      </c>
      <c r="S22" s="2" t="s">
        <v>253</v>
      </c>
      <c r="T22" s="2" t="s">
        <v>254</v>
      </c>
      <c r="U22" s="2" t="s">
        <v>65</v>
      </c>
      <c r="V22" s="2" t="s">
        <v>66</v>
      </c>
      <c r="W22" s="2" t="s">
        <v>255</v>
      </c>
      <c r="X22" s="2" t="s">
        <v>256</v>
      </c>
    </row>
    <row r="23" spans="1:24" ht="71.25">
      <c r="A23" s="14" t="s">
        <v>257</v>
      </c>
      <c r="B23" s="14" t="s">
        <v>48</v>
      </c>
      <c r="C23" s="14" t="s">
        <v>245</v>
      </c>
      <c r="D23" s="14" t="s">
        <v>258</v>
      </c>
      <c r="E23" s="14" t="s">
        <v>96</v>
      </c>
      <c r="F23" s="14" t="s">
        <v>247</v>
      </c>
      <c r="G23" s="14" t="s">
        <v>53</v>
      </c>
      <c r="H23" s="14" t="s">
        <v>259</v>
      </c>
      <c r="I23" s="14" t="s">
        <v>260</v>
      </c>
      <c r="J23" s="14">
        <v>8</v>
      </c>
      <c r="K23" s="14" t="s">
        <v>1733</v>
      </c>
      <c r="L23" s="14" t="s">
        <v>57</v>
      </c>
      <c r="M23" s="2" t="s">
        <v>244</v>
      </c>
      <c r="N23" s="2" t="s">
        <v>261</v>
      </c>
      <c r="O23" s="2" t="s">
        <v>60</v>
      </c>
      <c r="P23" s="2" t="s">
        <v>61</v>
      </c>
      <c r="Q23" s="2" t="s">
        <v>100</v>
      </c>
      <c r="R23" s="2">
        <v>1.2000000000000002</v>
      </c>
      <c r="S23" s="2" t="s">
        <v>253</v>
      </c>
      <c r="T23" s="2" t="s">
        <v>262</v>
      </c>
      <c r="U23" s="2" t="s">
        <v>65</v>
      </c>
      <c r="V23" s="2" t="s">
        <v>66</v>
      </c>
      <c r="W23" s="2" t="s">
        <v>255</v>
      </c>
      <c r="X23" s="2" t="s">
        <v>256</v>
      </c>
    </row>
    <row r="24" spans="1:24" ht="71.25">
      <c r="A24" s="14" t="s">
        <v>263</v>
      </c>
      <c r="B24" s="14" t="s">
        <v>48</v>
      </c>
      <c r="C24" s="14" t="s">
        <v>245</v>
      </c>
      <c r="D24" s="14" t="s">
        <v>264</v>
      </c>
      <c r="E24" s="14" t="s">
        <v>96</v>
      </c>
      <c r="F24" s="14" t="s">
        <v>247</v>
      </c>
      <c r="G24" s="14" t="s">
        <v>53</v>
      </c>
      <c r="H24" s="14" t="s">
        <v>265</v>
      </c>
      <c r="I24" s="14" t="s">
        <v>266</v>
      </c>
      <c r="J24" s="14">
        <v>6</v>
      </c>
      <c r="K24" s="14" t="s">
        <v>1733</v>
      </c>
      <c r="L24" s="14" t="s">
        <v>57</v>
      </c>
      <c r="M24" s="2" t="s">
        <v>257</v>
      </c>
      <c r="N24" s="2" t="s">
        <v>267</v>
      </c>
      <c r="O24" s="2" t="s">
        <v>60</v>
      </c>
      <c r="P24" s="2" t="s">
        <v>61</v>
      </c>
      <c r="Q24" s="2" t="s">
        <v>100</v>
      </c>
      <c r="R24" s="2">
        <v>0.89999999999999991</v>
      </c>
      <c r="S24" s="2" t="s">
        <v>253</v>
      </c>
      <c r="T24" s="2" t="s">
        <v>268</v>
      </c>
      <c r="U24" s="2" t="s">
        <v>65</v>
      </c>
      <c r="V24" s="2" t="s">
        <v>66</v>
      </c>
      <c r="W24" s="2" t="s">
        <v>255</v>
      </c>
      <c r="X24" s="2" t="s">
        <v>256</v>
      </c>
    </row>
    <row r="25" spans="1:24" ht="128.25" hidden="1">
      <c r="A25" s="2" t="s">
        <v>269</v>
      </c>
      <c r="B25" s="2" t="s">
        <v>48</v>
      </c>
      <c r="C25" s="2" t="s">
        <v>245</v>
      </c>
      <c r="D25" s="2" t="s">
        <v>270</v>
      </c>
      <c r="E25" s="2" t="s">
        <v>162</v>
      </c>
      <c r="F25" s="2" t="s">
        <v>247</v>
      </c>
      <c r="G25" s="2" t="s">
        <v>81</v>
      </c>
      <c r="H25" s="2" t="s">
        <v>271</v>
      </c>
      <c r="I25" s="2" t="s">
        <v>272</v>
      </c>
      <c r="J25" s="2">
        <v>12</v>
      </c>
      <c r="K25" s="2" t="s">
        <v>250</v>
      </c>
      <c r="L25" s="2" t="s">
        <v>145</v>
      </c>
      <c r="M25" s="2" t="s">
        <v>273</v>
      </c>
      <c r="N25" s="2" t="s">
        <v>274</v>
      </c>
      <c r="O25" s="2" t="s">
        <v>60</v>
      </c>
      <c r="P25" s="2" t="s">
        <v>61</v>
      </c>
      <c r="Q25" s="2" t="s">
        <v>275</v>
      </c>
      <c r="R25" s="2">
        <v>2</v>
      </c>
      <c r="S25" s="2" t="s">
        <v>253</v>
      </c>
      <c r="T25" s="2" t="s">
        <v>276</v>
      </c>
      <c r="U25" s="2" t="s">
        <v>277</v>
      </c>
      <c r="V25" s="2" t="s">
        <v>66</v>
      </c>
      <c r="W25" s="2" t="s">
        <v>255</v>
      </c>
      <c r="X25" s="2" t="s">
        <v>256</v>
      </c>
    </row>
    <row r="26" spans="1:24" ht="85.5" hidden="1">
      <c r="A26" s="2" t="s">
        <v>278</v>
      </c>
      <c r="B26" s="2" t="s">
        <v>48</v>
      </c>
      <c r="C26" s="2" t="s">
        <v>245</v>
      </c>
      <c r="D26" s="2" t="s">
        <v>279</v>
      </c>
      <c r="E26" s="2" t="s">
        <v>96</v>
      </c>
      <c r="F26" s="2" t="s">
        <v>280</v>
      </c>
      <c r="G26" s="2" t="s">
        <v>53</v>
      </c>
      <c r="H26" s="2" t="s">
        <v>281</v>
      </c>
      <c r="I26" s="2" t="s">
        <v>282</v>
      </c>
      <c r="J26" s="2">
        <v>8</v>
      </c>
      <c r="K26" s="2" t="s">
        <v>250</v>
      </c>
      <c r="L26" s="2" t="s">
        <v>57</v>
      </c>
      <c r="M26" s="2" t="s">
        <v>283</v>
      </c>
      <c r="N26" s="2" t="s">
        <v>284</v>
      </c>
      <c r="O26" s="2" t="s">
        <v>60</v>
      </c>
      <c r="P26" s="2" t="s">
        <v>61</v>
      </c>
      <c r="Q26" s="2" t="s">
        <v>100</v>
      </c>
      <c r="R26" s="2">
        <v>1.2000000000000002</v>
      </c>
      <c r="S26" s="2" t="s">
        <v>253</v>
      </c>
      <c r="T26" s="2" t="s">
        <v>285</v>
      </c>
      <c r="U26" s="2" t="s">
        <v>65</v>
      </c>
      <c r="V26" s="2" t="s">
        <v>66</v>
      </c>
      <c r="W26" s="2" t="s">
        <v>255</v>
      </c>
      <c r="X26" s="2" t="s">
        <v>256</v>
      </c>
    </row>
    <row r="27" spans="1:24" ht="71.25" hidden="1">
      <c r="A27" s="2" t="s">
        <v>286</v>
      </c>
      <c r="B27" s="2" t="s">
        <v>48</v>
      </c>
      <c r="C27" s="2" t="s">
        <v>245</v>
      </c>
      <c r="D27" s="2" t="s">
        <v>287</v>
      </c>
      <c r="E27" s="2" t="s">
        <v>96</v>
      </c>
      <c r="F27" s="2" t="s">
        <v>280</v>
      </c>
      <c r="G27" s="2" t="s">
        <v>53</v>
      </c>
      <c r="H27" s="2" t="s">
        <v>288</v>
      </c>
      <c r="I27" s="2" t="s">
        <v>289</v>
      </c>
      <c r="J27" s="2">
        <v>6</v>
      </c>
      <c r="K27" s="2" t="s">
        <v>250</v>
      </c>
      <c r="L27" s="2" t="s">
        <v>57</v>
      </c>
      <c r="M27" s="2" t="s">
        <v>278</v>
      </c>
      <c r="N27" s="2" t="s">
        <v>290</v>
      </c>
      <c r="O27" s="2" t="s">
        <v>60</v>
      </c>
      <c r="P27" s="2" t="s">
        <v>61</v>
      </c>
      <c r="Q27" s="2" t="s">
        <v>100</v>
      </c>
      <c r="R27" s="2">
        <v>0.89999999999999991</v>
      </c>
      <c r="S27" s="2" t="s">
        <v>253</v>
      </c>
      <c r="T27" s="2" t="s">
        <v>291</v>
      </c>
      <c r="U27" s="2" t="s">
        <v>65</v>
      </c>
      <c r="V27" s="2" t="s">
        <v>66</v>
      </c>
      <c r="W27" s="2" t="s">
        <v>255</v>
      </c>
      <c r="X27" s="2" t="s">
        <v>256</v>
      </c>
    </row>
    <row r="28" spans="1:24" ht="85.5" hidden="1">
      <c r="A28" s="2" t="s">
        <v>292</v>
      </c>
      <c r="B28" s="2" t="s">
        <v>48</v>
      </c>
      <c r="C28" s="2" t="s">
        <v>245</v>
      </c>
      <c r="D28" s="2" t="s">
        <v>293</v>
      </c>
      <c r="E28" s="2" t="s">
        <v>162</v>
      </c>
      <c r="F28" s="2" t="s">
        <v>280</v>
      </c>
      <c r="G28" s="2" t="s">
        <v>81</v>
      </c>
      <c r="H28" s="2" t="s">
        <v>294</v>
      </c>
      <c r="I28" s="2" t="s">
        <v>295</v>
      </c>
      <c r="J28" s="2">
        <v>12</v>
      </c>
      <c r="K28" s="2" t="s">
        <v>250</v>
      </c>
      <c r="L28" s="2" t="s">
        <v>145</v>
      </c>
      <c r="M28" s="2" t="s">
        <v>296</v>
      </c>
      <c r="N28" s="2" t="s">
        <v>274</v>
      </c>
      <c r="O28" s="2" t="s">
        <v>60</v>
      </c>
      <c r="P28" s="2" t="s">
        <v>61</v>
      </c>
      <c r="Q28" s="2" t="s">
        <v>275</v>
      </c>
      <c r="R28" s="2">
        <v>2</v>
      </c>
      <c r="S28" s="2" t="s">
        <v>253</v>
      </c>
      <c r="T28" s="2" t="s">
        <v>297</v>
      </c>
      <c r="U28" s="2" t="s">
        <v>277</v>
      </c>
      <c r="V28" s="2" t="s">
        <v>66</v>
      </c>
      <c r="W28" s="2" t="s">
        <v>255</v>
      </c>
      <c r="X28" s="2" t="s">
        <v>256</v>
      </c>
    </row>
    <row r="29" spans="1:24" ht="99.75" hidden="1">
      <c r="A29" s="2" t="s">
        <v>298</v>
      </c>
      <c r="B29" s="2" t="s">
        <v>48</v>
      </c>
      <c r="C29" s="2" t="s">
        <v>245</v>
      </c>
      <c r="D29" s="2" t="s">
        <v>299</v>
      </c>
      <c r="E29" s="2" t="s">
        <v>96</v>
      </c>
      <c r="F29" s="2" t="s">
        <v>300</v>
      </c>
      <c r="G29" s="2" t="s">
        <v>81</v>
      </c>
      <c r="H29" s="2" t="s">
        <v>301</v>
      </c>
      <c r="I29" s="2" t="s">
        <v>302</v>
      </c>
      <c r="J29" s="2">
        <v>8</v>
      </c>
      <c r="K29" s="2" t="s">
        <v>250</v>
      </c>
      <c r="L29" s="2" t="s">
        <v>57</v>
      </c>
      <c r="M29" s="2" t="s">
        <v>303</v>
      </c>
      <c r="N29" s="2" t="s">
        <v>304</v>
      </c>
      <c r="O29" s="2" t="s">
        <v>60</v>
      </c>
      <c r="P29" s="2" t="s">
        <v>61</v>
      </c>
      <c r="Q29" s="2" t="s">
        <v>100</v>
      </c>
      <c r="R29" s="2">
        <v>1.2000000000000002</v>
      </c>
      <c r="S29" s="2" t="s">
        <v>253</v>
      </c>
      <c r="T29" s="2" t="s">
        <v>305</v>
      </c>
      <c r="U29" s="2" t="s">
        <v>65</v>
      </c>
      <c r="V29" s="2" t="s">
        <v>66</v>
      </c>
      <c r="W29" s="2" t="s">
        <v>255</v>
      </c>
      <c r="X29" s="2" t="s">
        <v>256</v>
      </c>
    </row>
    <row r="30" spans="1:24" ht="71.25" hidden="1">
      <c r="A30" s="2" t="s">
        <v>306</v>
      </c>
      <c r="B30" s="2" t="s">
        <v>48</v>
      </c>
      <c r="C30" s="2" t="s">
        <v>245</v>
      </c>
      <c r="D30" s="2" t="s">
        <v>307</v>
      </c>
      <c r="E30" s="2" t="s">
        <v>96</v>
      </c>
      <c r="F30" s="2" t="s">
        <v>300</v>
      </c>
      <c r="G30" s="2" t="s">
        <v>81</v>
      </c>
      <c r="H30" s="2" t="s">
        <v>308</v>
      </c>
      <c r="I30" s="2" t="s">
        <v>309</v>
      </c>
      <c r="J30" s="2">
        <v>6</v>
      </c>
      <c r="K30" s="2" t="s">
        <v>250</v>
      </c>
      <c r="L30" s="2" t="s">
        <v>57</v>
      </c>
      <c r="M30" s="2" t="s">
        <v>310</v>
      </c>
      <c r="N30" s="2" t="s">
        <v>274</v>
      </c>
      <c r="O30" s="2" t="s">
        <v>60</v>
      </c>
      <c r="P30" s="2" t="s">
        <v>61</v>
      </c>
      <c r="Q30" s="2" t="s">
        <v>100</v>
      </c>
      <c r="R30" s="2">
        <v>0.89999999999999991</v>
      </c>
      <c r="S30" s="2" t="s">
        <v>253</v>
      </c>
      <c r="T30" s="2" t="s">
        <v>311</v>
      </c>
      <c r="U30" s="2" t="s">
        <v>65</v>
      </c>
      <c r="V30" s="2" t="s">
        <v>66</v>
      </c>
      <c r="W30" s="2" t="s">
        <v>255</v>
      </c>
      <c r="X30" s="2" t="s">
        <v>256</v>
      </c>
    </row>
    <row r="31" spans="1:24" ht="85.5" hidden="1">
      <c r="A31" s="2" t="s">
        <v>312</v>
      </c>
      <c r="B31" s="2" t="s">
        <v>48</v>
      </c>
      <c r="C31" s="2" t="s">
        <v>245</v>
      </c>
      <c r="D31" s="2" t="s">
        <v>313</v>
      </c>
      <c r="E31" s="2" t="s">
        <v>96</v>
      </c>
      <c r="F31" s="2" t="s">
        <v>314</v>
      </c>
      <c r="G31" s="2" t="s">
        <v>53</v>
      </c>
      <c r="H31" s="2" t="s">
        <v>315</v>
      </c>
      <c r="I31" s="2" t="s">
        <v>316</v>
      </c>
      <c r="J31" s="2">
        <v>8</v>
      </c>
      <c r="K31" s="2" t="s">
        <v>250</v>
      </c>
      <c r="L31" s="2" t="s">
        <v>57</v>
      </c>
      <c r="M31" s="2" t="s">
        <v>317</v>
      </c>
      <c r="N31" s="2" t="s">
        <v>318</v>
      </c>
      <c r="O31" s="2" t="s">
        <v>60</v>
      </c>
      <c r="P31" s="2" t="s">
        <v>61</v>
      </c>
      <c r="Q31" s="2" t="s">
        <v>100</v>
      </c>
      <c r="R31" s="2">
        <v>1.2000000000000002</v>
      </c>
      <c r="S31" s="2" t="s">
        <v>253</v>
      </c>
      <c r="T31" s="2" t="s">
        <v>319</v>
      </c>
      <c r="U31" s="2" t="s">
        <v>65</v>
      </c>
      <c r="V31" s="2" t="s">
        <v>66</v>
      </c>
      <c r="W31" s="2" t="s">
        <v>255</v>
      </c>
      <c r="X31" s="2" t="s">
        <v>256</v>
      </c>
    </row>
    <row r="32" spans="1:24" ht="71.25" hidden="1">
      <c r="A32" s="2" t="s">
        <v>320</v>
      </c>
      <c r="B32" s="2" t="s">
        <v>48</v>
      </c>
      <c r="C32" s="2" t="s">
        <v>245</v>
      </c>
      <c r="D32" s="2" t="s">
        <v>321</v>
      </c>
      <c r="E32" s="2" t="s">
        <v>96</v>
      </c>
      <c r="F32" s="2" t="s">
        <v>314</v>
      </c>
      <c r="G32" s="2" t="s">
        <v>53</v>
      </c>
      <c r="H32" s="2" t="s">
        <v>322</v>
      </c>
      <c r="I32" s="2" t="s">
        <v>323</v>
      </c>
      <c r="J32" s="2">
        <v>6</v>
      </c>
      <c r="K32" s="2" t="s">
        <v>250</v>
      </c>
      <c r="L32" s="2" t="s">
        <v>57</v>
      </c>
      <c r="M32" s="2" t="s">
        <v>312</v>
      </c>
      <c r="N32" s="2" t="s">
        <v>274</v>
      </c>
      <c r="O32" s="2" t="s">
        <v>60</v>
      </c>
      <c r="P32" s="2" t="s">
        <v>61</v>
      </c>
      <c r="Q32" s="2" t="s">
        <v>100</v>
      </c>
      <c r="R32" s="2">
        <v>0.89999999999999991</v>
      </c>
      <c r="S32" s="2" t="s">
        <v>253</v>
      </c>
      <c r="T32" s="2" t="s">
        <v>324</v>
      </c>
      <c r="U32" s="2" t="s">
        <v>65</v>
      </c>
      <c r="V32" s="2" t="s">
        <v>325</v>
      </c>
      <c r="W32" s="2" t="s">
        <v>255</v>
      </c>
      <c r="X32" s="2" t="s">
        <v>256</v>
      </c>
    </row>
    <row r="33" spans="1:24" ht="156.75" hidden="1">
      <c r="A33" s="2" t="s">
        <v>326</v>
      </c>
      <c r="B33" s="2" t="s">
        <v>48</v>
      </c>
      <c r="C33" s="2" t="s">
        <v>245</v>
      </c>
      <c r="D33" s="2" t="s">
        <v>327</v>
      </c>
      <c r="E33" s="2" t="s">
        <v>96</v>
      </c>
      <c r="F33" s="2" t="s">
        <v>328</v>
      </c>
      <c r="G33" s="2" t="s">
        <v>53</v>
      </c>
      <c r="H33" s="2" t="s">
        <v>329</v>
      </c>
      <c r="I33" s="2" t="s">
        <v>330</v>
      </c>
      <c r="J33" s="2">
        <v>12</v>
      </c>
      <c r="K33" s="2" t="s">
        <v>250</v>
      </c>
      <c r="L33" s="2" t="s">
        <v>187</v>
      </c>
      <c r="M33" s="2" t="s">
        <v>331</v>
      </c>
      <c r="N33" s="2" t="s">
        <v>332</v>
      </c>
      <c r="O33" s="2" t="s">
        <v>60</v>
      </c>
      <c r="P33" s="2" t="s">
        <v>61</v>
      </c>
      <c r="Q33" s="2" t="s">
        <v>100</v>
      </c>
      <c r="R33" s="2">
        <v>1.7999999999999998</v>
      </c>
      <c r="S33" s="2" t="s">
        <v>253</v>
      </c>
      <c r="T33" s="2" t="s">
        <v>333</v>
      </c>
      <c r="U33" s="2" t="s">
        <v>334</v>
      </c>
      <c r="V33" s="2" t="s">
        <v>66</v>
      </c>
      <c r="W33" s="2" t="s">
        <v>255</v>
      </c>
      <c r="X33" s="2" t="s">
        <v>256</v>
      </c>
    </row>
    <row r="34" spans="1:24" ht="242.25" hidden="1">
      <c r="A34" s="2" t="s">
        <v>335</v>
      </c>
      <c r="B34" s="2" t="s">
        <v>48</v>
      </c>
      <c r="C34" s="2" t="s">
        <v>245</v>
      </c>
      <c r="D34" s="2" t="s">
        <v>336</v>
      </c>
      <c r="E34" s="2" t="s">
        <v>96</v>
      </c>
      <c r="F34" s="2" t="s">
        <v>328</v>
      </c>
      <c r="G34" s="2" t="s">
        <v>53</v>
      </c>
      <c r="H34" s="2" t="s">
        <v>337</v>
      </c>
      <c r="I34" s="2" t="s">
        <v>338</v>
      </c>
      <c r="J34" s="2">
        <v>12</v>
      </c>
      <c r="K34" s="2" t="s">
        <v>250</v>
      </c>
      <c r="L34" s="2" t="s">
        <v>187</v>
      </c>
      <c r="M34" s="2" t="s">
        <v>339</v>
      </c>
      <c r="N34" s="2" t="s">
        <v>340</v>
      </c>
      <c r="O34" s="2" t="s">
        <v>60</v>
      </c>
      <c r="P34" s="2" t="s">
        <v>61</v>
      </c>
      <c r="Q34" s="2" t="s">
        <v>100</v>
      </c>
      <c r="R34" s="2">
        <v>1.7999999999999998</v>
      </c>
      <c r="S34" s="2" t="s">
        <v>253</v>
      </c>
      <c r="T34" s="2" t="s">
        <v>341</v>
      </c>
      <c r="U34" s="2" t="s">
        <v>334</v>
      </c>
      <c r="V34" s="2" t="s">
        <v>66</v>
      </c>
      <c r="W34" s="2" t="s">
        <v>255</v>
      </c>
      <c r="X34" s="2" t="s">
        <v>256</v>
      </c>
    </row>
    <row r="35" spans="1:24" ht="85.5" hidden="1">
      <c r="A35" s="2" t="s">
        <v>342</v>
      </c>
      <c r="B35" s="2" t="s">
        <v>48</v>
      </c>
      <c r="C35" s="2" t="s">
        <v>245</v>
      </c>
      <c r="D35" s="2" t="s">
        <v>343</v>
      </c>
      <c r="E35" s="2" t="s">
        <v>96</v>
      </c>
      <c r="F35" s="2" t="s">
        <v>344</v>
      </c>
      <c r="G35" s="2" t="s">
        <v>53</v>
      </c>
      <c r="H35" s="2" t="s">
        <v>345</v>
      </c>
      <c r="I35" s="2" t="s">
        <v>346</v>
      </c>
      <c r="J35" s="2">
        <v>8</v>
      </c>
      <c r="K35" s="2" t="s">
        <v>250</v>
      </c>
      <c r="L35" s="2" t="s">
        <v>57</v>
      </c>
      <c r="M35" s="2"/>
      <c r="N35" s="2" t="s">
        <v>347</v>
      </c>
      <c r="O35" s="2" t="s">
        <v>60</v>
      </c>
      <c r="P35" s="2" t="s">
        <v>61</v>
      </c>
      <c r="Q35" s="2" t="s">
        <v>100</v>
      </c>
      <c r="R35" s="2">
        <v>1.2000000000000002</v>
      </c>
      <c r="S35" s="2" t="s">
        <v>253</v>
      </c>
      <c r="T35" s="2" t="s">
        <v>64</v>
      </c>
      <c r="U35" s="2" t="s">
        <v>65</v>
      </c>
      <c r="V35" s="2" t="s">
        <v>66</v>
      </c>
      <c r="W35" s="2" t="s">
        <v>255</v>
      </c>
      <c r="X35" s="2" t="s">
        <v>256</v>
      </c>
    </row>
    <row r="36" spans="1:24" ht="85.5" hidden="1">
      <c r="A36" s="2" t="s">
        <v>347</v>
      </c>
      <c r="B36" s="2" t="s">
        <v>48</v>
      </c>
      <c r="C36" s="2" t="s">
        <v>245</v>
      </c>
      <c r="D36" s="2" t="s">
        <v>348</v>
      </c>
      <c r="E36" s="2" t="s">
        <v>96</v>
      </c>
      <c r="F36" s="2" t="s">
        <v>344</v>
      </c>
      <c r="G36" s="2" t="s">
        <v>53</v>
      </c>
      <c r="H36" s="2" t="s">
        <v>349</v>
      </c>
      <c r="I36" s="2" t="s">
        <v>350</v>
      </c>
      <c r="J36" s="2">
        <v>6</v>
      </c>
      <c r="K36" s="2" t="s">
        <v>250</v>
      </c>
      <c r="L36" s="2" t="s">
        <v>187</v>
      </c>
      <c r="M36" s="2" t="s">
        <v>351</v>
      </c>
      <c r="N36" s="2" t="s">
        <v>352</v>
      </c>
      <c r="O36" s="2" t="s">
        <v>60</v>
      </c>
      <c r="P36" s="2" t="s">
        <v>61</v>
      </c>
      <c r="Q36" s="2" t="s">
        <v>100</v>
      </c>
      <c r="R36" s="2">
        <v>0.89999999999999991</v>
      </c>
      <c r="S36" s="2" t="s">
        <v>253</v>
      </c>
      <c r="T36" s="2" t="s">
        <v>353</v>
      </c>
      <c r="U36" s="2" t="s">
        <v>334</v>
      </c>
      <c r="V36" s="2" t="s">
        <v>66</v>
      </c>
      <c r="W36" s="2" t="s">
        <v>255</v>
      </c>
      <c r="X36" s="2" t="s">
        <v>256</v>
      </c>
    </row>
    <row r="37" spans="1:24" ht="71.25" hidden="1">
      <c r="A37" s="2" t="s">
        <v>354</v>
      </c>
      <c r="B37" s="2" t="s">
        <v>48</v>
      </c>
      <c r="C37" s="2" t="s">
        <v>245</v>
      </c>
      <c r="D37" s="2" t="s">
        <v>355</v>
      </c>
      <c r="E37" s="2" t="s">
        <v>96</v>
      </c>
      <c r="F37" s="2" t="s">
        <v>344</v>
      </c>
      <c r="G37" s="2" t="s">
        <v>53</v>
      </c>
      <c r="H37" s="2" t="s">
        <v>356</v>
      </c>
      <c r="I37" s="2" t="s">
        <v>357</v>
      </c>
      <c r="J37" s="2">
        <v>12</v>
      </c>
      <c r="K37" s="2" t="s">
        <v>250</v>
      </c>
      <c r="L37" s="2" t="s">
        <v>57</v>
      </c>
      <c r="M37" s="2"/>
      <c r="N37" s="2"/>
      <c r="O37" s="2" t="s">
        <v>60</v>
      </c>
      <c r="P37" s="2" t="s">
        <v>61</v>
      </c>
      <c r="Q37" s="2" t="s">
        <v>100</v>
      </c>
      <c r="R37" s="2">
        <v>1.7999999999999998</v>
      </c>
      <c r="S37" s="2" t="s">
        <v>253</v>
      </c>
      <c r="T37" s="2" t="s">
        <v>64</v>
      </c>
      <c r="U37" s="2" t="s">
        <v>65</v>
      </c>
      <c r="V37" s="2" t="s">
        <v>66</v>
      </c>
      <c r="W37" s="2" t="s">
        <v>255</v>
      </c>
      <c r="X37" s="2" t="s">
        <v>256</v>
      </c>
    </row>
    <row r="38" spans="1:24" ht="71.25" hidden="1">
      <c r="A38" s="2" t="s">
        <v>358</v>
      </c>
      <c r="B38" s="2" t="s">
        <v>48</v>
      </c>
      <c r="C38" s="2" t="s">
        <v>245</v>
      </c>
      <c r="D38" s="2" t="s">
        <v>359</v>
      </c>
      <c r="E38" s="2" t="s">
        <v>360</v>
      </c>
      <c r="F38" s="2" t="s">
        <v>361</v>
      </c>
      <c r="G38" s="2" t="s">
        <v>81</v>
      </c>
      <c r="H38" s="2" t="s">
        <v>362</v>
      </c>
      <c r="I38" s="2" t="s">
        <v>363</v>
      </c>
      <c r="J38" s="2">
        <v>12</v>
      </c>
      <c r="K38" s="2" t="s">
        <v>250</v>
      </c>
      <c r="L38" s="2" t="s">
        <v>57</v>
      </c>
      <c r="M38" s="2"/>
      <c r="N38" s="2"/>
      <c r="O38" s="2" t="s">
        <v>60</v>
      </c>
      <c r="P38" s="2" t="s">
        <v>61</v>
      </c>
      <c r="Q38" s="2" t="s">
        <v>364</v>
      </c>
      <c r="R38" s="2">
        <v>3.2</v>
      </c>
      <c r="S38" s="2" t="s">
        <v>253</v>
      </c>
      <c r="T38" s="2" t="s">
        <v>64</v>
      </c>
      <c r="U38" s="2" t="s">
        <v>65</v>
      </c>
      <c r="V38" s="2" t="s">
        <v>66</v>
      </c>
      <c r="W38" s="2" t="s">
        <v>255</v>
      </c>
      <c r="X38" s="2" t="s">
        <v>256</v>
      </c>
    </row>
    <row r="39" spans="1:24" ht="71.25" hidden="1">
      <c r="A39" s="5" t="s">
        <v>365</v>
      </c>
      <c r="B39" s="5" t="s">
        <v>48</v>
      </c>
      <c r="C39" s="5" t="s">
        <v>245</v>
      </c>
      <c r="D39" s="5" t="s">
        <v>366</v>
      </c>
      <c r="E39" s="5" t="s">
        <v>367</v>
      </c>
      <c r="F39" s="5" t="s">
        <v>368</v>
      </c>
      <c r="G39" s="5" t="s">
        <v>53</v>
      </c>
      <c r="H39" s="5" t="s">
        <v>369</v>
      </c>
      <c r="I39" s="5" t="s">
        <v>370</v>
      </c>
      <c r="J39" s="5">
        <v>6</v>
      </c>
      <c r="K39" s="5" t="s">
        <v>56</v>
      </c>
      <c r="L39" s="5" t="s">
        <v>57</v>
      </c>
      <c r="M39" s="2" t="s">
        <v>58</v>
      </c>
      <c r="N39" s="2" t="s">
        <v>371</v>
      </c>
      <c r="O39" s="2" t="s">
        <v>60</v>
      </c>
      <c r="P39" s="2" t="s">
        <v>61</v>
      </c>
      <c r="Q39" s="2" t="s">
        <v>372</v>
      </c>
      <c r="R39" s="2">
        <v>2.25</v>
      </c>
      <c r="S39" s="2" t="s">
        <v>253</v>
      </c>
      <c r="T39" s="2" t="s">
        <v>373</v>
      </c>
      <c r="U39" s="2" t="s">
        <v>374</v>
      </c>
      <c r="V39" s="2" t="s">
        <v>375</v>
      </c>
      <c r="W39" s="2" t="s">
        <v>255</v>
      </c>
      <c r="X39" s="2" t="s">
        <v>256</v>
      </c>
    </row>
    <row r="40" spans="1:24" ht="71.25" hidden="1">
      <c r="A40" s="2" t="s">
        <v>376</v>
      </c>
      <c r="B40" s="2" t="s">
        <v>48</v>
      </c>
      <c r="C40" s="2" t="s">
        <v>245</v>
      </c>
      <c r="D40" s="2" t="s">
        <v>377</v>
      </c>
      <c r="E40" s="2" t="s">
        <v>378</v>
      </c>
      <c r="F40" s="2" t="s">
        <v>379</v>
      </c>
      <c r="G40" s="2" t="s">
        <v>53</v>
      </c>
      <c r="H40" s="2" t="s">
        <v>380</v>
      </c>
      <c r="I40" s="2" t="s">
        <v>381</v>
      </c>
      <c r="J40" s="2">
        <v>10</v>
      </c>
      <c r="K40" s="2" t="s">
        <v>250</v>
      </c>
      <c r="L40" s="2" t="s">
        <v>145</v>
      </c>
      <c r="M40" s="2" t="s">
        <v>382</v>
      </c>
      <c r="N40" s="2"/>
      <c r="O40" s="2" t="s">
        <v>60</v>
      </c>
      <c r="P40" s="2" t="s">
        <v>61</v>
      </c>
      <c r="Q40" s="2" t="s">
        <v>383</v>
      </c>
      <c r="R40" s="2">
        <v>5.1428571428571432</v>
      </c>
      <c r="S40" s="2" t="s">
        <v>253</v>
      </c>
      <c r="T40" s="2" t="s">
        <v>384</v>
      </c>
      <c r="U40" s="2" t="s">
        <v>385</v>
      </c>
      <c r="V40" s="2" t="s">
        <v>386</v>
      </c>
      <c r="W40" s="2" t="s">
        <v>255</v>
      </c>
      <c r="X40" s="2" t="s">
        <v>256</v>
      </c>
    </row>
    <row r="41" spans="1:24" ht="156.75" hidden="1">
      <c r="A41" s="11" t="s">
        <v>387</v>
      </c>
      <c r="B41" s="11" t="s">
        <v>48</v>
      </c>
      <c r="C41" s="11" t="s">
        <v>245</v>
      </c>
      <c r="D41" s="11" t="s">
        <v>388</v>
      </c>
      <c r="E41" s="11" t="s">
        <v>389</v>
      </c>
      <c r="F41" s="11" t="s">
        <v>390</v>
      </c>
      <c r="G41" s="11" t="s">
        <v>53</v>
      </c>
      <c r="H41" s="11" t="s">
        <v>391</v>
      </c>
      <c r="I41" s="11" t="s">
        <v>392</v>
      </c>
      <c r="J41" s="11">
        <v>8</v>
      </c>
      <c r="K41" s="5" t="s">
        <v>56</v>
      </c>
      <c r="L41" s="11" t="s">
        <v>145</v>
      </c>
      <c r="M41" s="2" t="s">
        <v>393</v>
      </c>
      <c r="N41" s="2" t="s">
        <v>394</v>
      </c>
      <c r="O41" s="2" t="s">
        <v>60</v>
      </c>
      <c r="P41" s="2" t="s">
        <v>61</v>
      </c>
      <c r="Q41" s="2" t="s">
        <v>395</v>
      </c>
      <c r="R41" s="2">
        <v>3.2</v>
      </c>
      <c r="S41" s="2" t="s">
        <v>253</v>
      </c>
      <c r="T41" s="2" t="s">
        <v>396</v>
      </c>
      <c r="U41" s="2" t="s">
        <v>397</v>
      </c>
      <c r="V41" s="2" t="s">
        <v>398</v>
      </c>
      <c r="W41" s="2" t="s">
        <v>255</v>
      </c>
      <c r="X41" s="2" t="s">
        <v>256</v>
      </c>
    </row>
    <row r="42" spans="1:24" ht="99.75" hidden="1">
      <c r="A42" s="2" t="s">
        <v>399</v>
      </c>
      <c r="B42" s="2" t="s">
        <v>48</v>
      </c>
      <c r="C42" s="2" t="s">
        <v>245</v>
      </c>
      <c r="D42" s="2" t="s">
        <v>400</v>
      </c>
      <c r="E42" s="2" t="s">
        <v>367</v>
      </c>
      <c r="F42" s="2" t="s">
        <v>401</v>
      </c>
      <c r="G42" s="2" t="s">
        <v>53</v>
      </c>
      <c r="H42" s="2" t="s">
        <v>402</v>
      </c>
      <c r="I42" s="2" t="s">
        <v>403</v>
      </c>
      <c r="J42" s="2">
        <v>12</v>
      </c>
      <c r="K42" s="2" t="s">
        <v>250</v>
      </c>
      <c r="L42" s="2" t="s">
        <v>57</v>
      </c>
      <c r="M42" s="2" t="s">
        <v>365</v>
      </c>
      <c r="N42" s="2" t="s">
        <v>404</v>
      </c>
      <c r="O42" s="2" t="s">
        <v>60</v>
      </c>
      <c r="P42" s="2" t="s">
        <v>61</v>
      </c>
      <c r="Q42" s="2" t="s">
        <v>405</v>
      </c>
      <c r="R42" s="2">
        <v>7.2</v>
      </c>
      <c r="S42" s="2" t="s">
        <v>253</v>
      </c>
      <c r="T42" s="2" t="s">
        <v>1736</v>
      </c>
      <c r="U42" s="2" t="s">
        <v>406</v>
      </c>
      <c r="V42" s="2" t="s">
        <v>407</v>
      </c>
      <c r="W42" s="2" t="s">
        <v>255</v>
      </c>
      <c r="X42" s="2" t="s">
        <v>1737</v>
      </c>
    </row>
    <row r="43" spans="1:24" ht="71.25" hidden="1">
      <c r="A43" s="2" t="s">
        <v>408</v>
      </c>
      <c r="B43" s="2" t="s">
        <v>48</v>
      </c>
      <c r="C43" s="2" t="s">
        <v>245</v>
      </c>
      <c r="D43" s="2" t="s">
        <v>409</v>
      </c>
      <c r="E43" s="2" t="s">
        <v>367</v>
      </c>
      <c r="F43" s="2" t="s">
        <v>401</v>
      </c>
      <c r="G43" s="2" t="s">
        <v>53</v>
      </c>
      <c r="H43" s="2" t="s">
        <v>410</v>
      </c>
      <c r="I43" s="2" t="s">
        <v>411</v>
      </c>
      <c r="J43" s="2">
        <v>12</v>
      </c>
      <c r="K43" s="2" t="s">
        <v>250</v>
      </c>
      <c r="L43" s="2" t="s">
        <v>57</v>
      </c>
      <c r="M43" s="2" t="s">
        <v>399</v>
      </c>
      <c r="N43" s="2" t="s">
        <v>412</v>
      </c>
      <c r="O43" s="2" t="s">
        <v>60</v>
      </c>
      <c r="P43" s="2" t="s">
        <v>61</v>
      </c>
      <c r="Q43" s="2" t="s">
        <v>405</v>
      </c>
      <c r="R43" s="2">
        <v>7.2</v>
      </c>
      <c r="S43" s="2" t="s">
        <v>253</v>
      </c>
      <c r="T43" s="2" t="s">
        <v>413</v>
      </c>
      <c r="U43" s="2" t="s">
        <v>414</v>
      </c>
      <c r="V43" s="2" t="s">
        <v>415</v>
      </c>
      <c r="W43" s="2" t="s">
        <v>255</v>
      </c>
      <c r="X43" s="2" t="s">
        <v>256</v>
      </c>
    </row>
    <row r="44" spans="1:24" ht="57" hidden="1">
      <c r="A44" s="2" t="s">
        <v>416</v>
      </c>
      <c r="B44" s="2" t="s">
        <v>48</v>
      </c>
      <c r="C44" s="2" t="s">
        <v>245</v>
      </c>
      <c r="D44" s="2" t="s">
        <v>417</v>
      </c>
      <c r="E44" s="2" t="s">
        <v>367</v>
      </c>
      <c r="F44" s="2" t="s">
        <v>401</v>
      </c>
      <c r="G44" s="2" t="s">
        <v>53</v>
      </c>
      <c r="H44" s="2" t="s">
        <v>418</v>
      </c>
      <c r="I44" s="2" t="s">
        <v>419</v>
      </c>
      <c r="J44" s="2">
        <v>12</v>
      </c>
      <c r="K44" s="2" t="s">
        <v>250</v>
      </c>
      <c r="L44" s="2" t="s">
        <v>57</v>
      </c>
      <c r="M44" s="2" t="s">
        <v>420</v>
      </c>
      <c r="N44" s="2" t="s">
        <v>421</v>
      </c>
      <c r="O44" s="2" t="s">
        <v>60</v>
      </c>
      <c r="P44" s="2" t="s">
        <v>61</v>
      </c>
      <c r="Q44" s="2" t="s">
        <v>405</v>
      </c>
      <c r="R44" s="2">
        <v>7.2</v>
      </c>
      <c r="S44" s="2" t="s">
        <v>253</v>
      </c>
      <c r="T44" s="2" t="s">
        <v>422</v>
      </c>
      <c r="U44" s="2" t="s">
        <v>423</v>
      </c>
      <c r="V44" s="2" t="s">
        <v>424</v>
      </c>
      <c r="W44" s="2" t="s">
        <v>255</v>
      </c>
      <c r="X44" s="2" t="s">
        <v>256</v>
      </c>
    </row>
    <row r="45" spans="1:24" ht="71.25" hidden="1">
      <c r="A45" s="2" t="s">
        <v>425</v>
      </c>
      <c r="B45" s="2" t="s">
        <v>48</v>
      </c>
      <c r="C45" s="2" t="s">
        <v>245</v>
      </c>
      <c r="D45" s="2" t="s">
        <v>426</v>
      </c>
      <c r="E45" s="2" t="s">
        <v>236</v>
      </c>
      <c r="F45" s="2" t="s">
        <v>427</v>
      </c>
      <c r="G45" s="2" t="s">
        <v>53</v>
      </c>
      <c r="H45" s="2" t="s">
        <v>428</v>
      </c>
      <c r="I45" s="2" t="s">
        <v>429</v>
      </c>
      <c r="J45" s="2">
        <v>6</v>
      </c>
      <c r="K45" s="2" t="s">
        <v>250</v>
      </c>
      <c r="L45" s="2" t="s">
        <v>57</v>
      </c>
      <c r="M45" s="2" t="s">
        <v>430</v>
      </c>
      <c r="N45" s="2" t="s">
        <v>431</v>
      </c>
      <c r="O45" s="2" t="s">
        <v>60</v>
      </c>
      <c r="P45" s="2" t="s">
        <v>61</v>
      </c>
      <c r="Q45" s="2" t="s">
        <v>221</v>
      </c>
      <c r="R45" s="2">
        <v>2.5499999999999998</v>
      </c>
      <c r="S45" s="2" t="s">
        <v>253</v>
      </c>
      <c r="T45" s="2" t="s">
        <v>432</v>
      </c>
      <c r="U45" s="2" t="s">
        <v>433</v>
      </c>
      <c r="V45" s="2" t="s">
        <v>434</v>
      </c>
      <c r="W45" s="2" t="s">
        <v>255</v>
      </c>
      <c r="X45" s="2" t="s">
        <v>256</v>
      </c>
    </row>
    <row r="46" spans="1:24" ht="57" hidden="1">
      <c r="A46" s="2" t="s">
        <v>435</v>
      </c>
      <c r="B46" s="2" t="s">
        <v>48</v>
      </c>
      <c r="C46" s="2" t="s">
        <v>245</v>
      </c>
      <c r="D46" s="2" t="s">
        <v>436</v>
      </c>
      <c r="E46" s="2" t="s">
        <v>236</v>
      </c>
      <c r="F46" s="2" t="s">
        <v>437</v>
      </c>
      <c r="G46" s="2" t="s">
        <v>53</v>
      </c>
      <c r="H46" s="2" t="s">
        <v>438</v>
      </c>
      <c r="I46" s="2" t="s">
        <v>439</v>
      </c>
      <c r="J46" s="2">
        <v>5</v>
      </c>
      <c r="K46" s="2" t="s">
        <v>250</v>
      </c>
      <c r="L46" s="2" t="s">
        <v>57</v>
      </c>
      <c r="M46" s="2" t="s">
        <v>440</v>
      </c>
      <c r="N46" s="2" t="s">
        <v>441</v>
      </c>
      <c r="O46" s="2" t="s">
        <v>60</v>
      </c>
      <c r="P46" s="2" t="s">
        <v>61</v>
      </c>
      <c r="Q46" s="2" t="s">
        <v>221</v>
      </c>
      <c r="R46" s="2">
        <v>2.125</v>
      </c>
      <c r="S46" s="2" t="s">
        <v>253</v>
      </c>
      <c r="T46" s="2" t="s">
        <v>442</v>
      </c>
      <c r="U46" s="2" t="s">
        <v>443</v>
      </c>
      <c r="V46" s="2" t="s">
        <v>444</v>
      </c>
      <c r="W46" s="2" t="s">
        <v>255</v>
      </c>
      <c r="X46" s="2" t="s">
        <v>256</v>
      </c>
    </row>
    <row r="47" spans="1:24" ht="57" hidden="1">
      <c r="A47" s="2" t="s">
        <v>445</v>
      </c>
      <c r="B47" s="2" t="s">
        <v>48</v>
      </c>
      <c r="C47" s="2" t="s">
        <v>245</v>
      </c>
      <c r="D47" s="2" t="s">
        <v>446</v>
      </c>
      <c r="E47" s="2" t="s">
        <v>236</v>
      </c>
      <c r="F47" s="2" t="s">
        <v>447</v>
      </c>
      <c r="G47" s="2" t="s">
        <v>53</v>
      </c>
      <c r="H47" s="2" t="s">
        <v>448</v>
      </c>
      <c r="I47" s="2" t="s">
        <v>449</v>
      </c>
      <c r="J47" s="2">
        <v>8</v>
      </c>
      <c r="K47" s="2" t="s">
        <v>250</v>
      </c>
      <c r="L47" s="2" t="s">
        <v>57</v>
      </c>
      <c r="M47" s="2" t="s">
        <v>450</v>
      </c>
      <c r="N47" s="2" t="s">
        <v>451</v>
      </c>
      <c r="O47" s="2" t="s">
        <v>60</v>
      </c>
      <c r="P47" s="2" t="s">
        <v>61</v>
      </c>
      <c r="Q47" s="2" t="s">
        <v>221</v>
      </c>
      <c r="R47" s="2">
        <v>3.4</v>
      </c>
      <c r="S47" s="2" t="s">
        <v>253</v>
      </c>
      <c r="T47" s="2" t="s">
        <v>452</v>
      </c>
      <c r="U47" s="2" t="s">
        <v>453</v>
      </c>
      <c r="V47" s="2" t="s">
        <v>454</v>
      </c>
      <c r="W47" s="2" t="s">
        <v>255</v>
      </c>
      <c r="X47" s="2" t="s">
        <v>256</v>
      </c>
    </row>
    <row r="48" spans="1:24" ht="85.5" hidden="1">
      <c r="A48" s="11" t="s">
        <v>455</v>
      </c>
      <c r="B48" s="11" t="s">
        <v>48</v>
      </c>
      <c r="C48" s="11" t="s">
        <v>245</v>
      </c>
      <c r="D48" s="11" t="s">
        <v>456</v>
      </c>
      <c r="E48" s="11" t="s">
        <v>162</v>
      </c>
      <c r="F48" s="11" t="s">
        <v>457</v>
      </c>
      <c r="G48" s="11" t="s">
        <v>458</v>
      </c>
      <c r="H48" s="11" t="s">
        <v>459</v>
      </c>
      <c r="I48" s="11" t="s">
        <v>460</v>
      </c>
      <c r="J48" s="11">
        <v>10</v>
      </c>
      <c r="K48" s="11" t="s">
        <v>56</v>
      </c>
      <c r="L48" s="11" t="s">
        <v>145</v>
      </c>
      <c r="M48" s="2" t="s">
        <v>461</v>
      </c>
      <c r="N48" s="2" t="s">
        <v>462</v>
      </c>
      <c r="O48" s="2" t="s">
        <v>60</v>
      </c>
      <c r="P48" s="2" t="s">
        <v>61</v>
      </c>
      <c r="Q48" s="2" t="s">
        <v>463</v>
      </c>
      <c r="R48" s="2"/>
      <c r="S48" s="2" t="s">
        <v>253</v>
      </c>
      <c r="T48" s="2" t="s">
        <v>1738</v>
      </c>
      <c r="U48" s="2" t="s">
        <v>464</v>
      </c>
      <c r="V48" s="2" t="s">
        <v>465</v>
      </c>
      <c r="W48" s="2" t="s">
        <v>255</v>
      </c>
      <c r="X48" s="2" t="s">
        <v>256</v>
      </c>
    </row>
    <row r="49" spans="1:24" ht="114">
      <c r="A49" s="14" t="s">
        <v>466</v>
      </c>
      <c r="B49" s="14" t="s">
        <v>48</v>
      </c>
      <c r="C49" s="14" t="s">
        <v>245</v>
      </c>
      <c r="D49" s="14" t="s">
        <v>467</v>
      </c>
      <c r="E49" s="14" t="s">
        <v>162</v>
      </c>
      <c r="F49" s="14" t="s">
        <v>457</v>
      </c>
      <c r="G49" s="14" t="s">
        <v>458</v>
      </c>
      <c r="H49" s="14" t="s">
        <v>468</v>
      </c>
      <c r="I49" s="14" t="s">
        <v>469</v>
      </c>
      <c r="J49" s="14">
        <v>16</v>
      </c>
      <c r="K49" s="14" t="s">
        <v>1733</v>
      </c>
      <c r="L49" s="14" t="s">
        <v>145</v>
      </c>
      <c r="M49" s="2" t="s">
        <v>470</v>
      </c>
      <c r="N49" s="2" t="s">
        <v>471</v>
      </c>
      <c r="O49" s="2" t="s">
        <v>60</v>
      </c>
      <c r="P49" s="2" t="s">
        <v>61</v>
      </c>
      <c r="Q49" s="2" t="s">
        <v>463</v>
      </c>
      <c r="R49" s="2"/>
      <c r="S49" s="2" t="s">
        <v>253</v>
      </c>
      <c r="T49" s="2" t="s">
        <v>1739</v>
      </c>
      <c r="U49" s="2" t="s">
        <v>472</v>
      </c>
      <c r="V49" s="2" t="s">
        <v>473</v>
      </c>
      <c r="W49" s="2" t="s">
        <v>255</v>
      </c>
      <c r="X49" s="2" t="s">
        <v>1740</v>
      </c>
    </row>
    <row r="50" spans="1:24" ht="71.25">
      <c r="A50" s="14" t="s">
        <v>471</v>
      </c>
      <c r="B50" s="14" t="s">
        <v>48</v>
      </c>
      <c r="C50" s="14" t="s">
        <v>245</v>
      </c>
      <c r="D50" s="14" t="s">
        <v>474</v>
      </c>
      <c r="E50" s="14" t="s">
        <v>162</v>
      </c>
      <c r="F50" s="14" t="s">
        <v>457</v>
      </c>
      <c r="G50" s="14" t="s">
        <v>458</v>
      </c>
      <c r="H50" s="14" t="s">
        <v>475</v>
      </c>
      <c r="I50" s="14" t="s">
        <v>476</v>
      </c>
      <c r="J50" s="14">
        <v>12</v>
      </c>
      <c r="K50" s="14" t="s">
        <v>1733</v>
      </c>
      <c r="L50" s="14" t="s">
        <v>145</v>
      </c>
      <c r="M50" s="2" t="s">
        <v>477</v>
      </c>
      <c r="N50" s="2" t="s">
        <v>478</v>
      </c>
      <c r="O50" s="2" t="s">
        <v>60</v>
      </c>
      <c r="P50" s="2" t="s">
        <v>61</v>
      </c>
      <c r="Q50" s="2" t="s">
        <v>463</v>
      </c>
      <c r="R50" s="2"/>
      <c r="S50" s="2" t="s">
        <v>253</v>
      </c>
      <c r="T50" s="2" t="s">
        <v>1741</v>
      </c>
      <c r="U50" s="2" t="s">
        <v>479</v>
      </c>
      <c r="V50" s="2" t="s">
        <v>480</v>
      </c>
      <c r="W50" s="2" t="s">
        <v>255</v>
      </c>
      <c r="X50" s="2" t="s">
        <v>1740</v>
      </c>
    </row>
    <row r="51" spans="1:24" ht="85.5" hidden="1">
      <c r="A51" s="11" t="s">
        <v>481</v>
      </c>
      <c r="B51" s="11" t="s">
        <v>48</v>
      </c>
      <c r="C51" s="11" t="s">
        <v>245</v>
      </c>
      <c r="D51" s="11" t="s">
        <v>482</v>
      </c>
      <c r="E51" s="11" t="s">
        <v>162</v>
      </c>
      <c r="F51" s="11" t="s">
        <v>457</v>
      </c>
      <c r="G51" s="11" t="s">
        <v>458</v>
      </c>
      <c r="H51" s="11" t="s">
        <v>483</v>
      </c>
      <c r="I51" s="11" t="s">
        <v>484</v>
      </c>
      <c r="J51" s="11">
        <v>14</v>
      </c>
      <c r="K51" s="11" t="s">
        <v>56</v>
      </c>
      <c r="L51" s="11" t="s">
        <v>145</v>
      </c>
      <c r="M51" s="2" t="s">
        <v>485</v>
      </c>
      <c r="N51" s="2" t="s">
        <v>486</v>
      </c>
      <c r="O51" s="2" t="s">
        <v>60</v>
      </c>
      <c r="P51" s="2" t="s">
        <v>61</v>
      </c>
      <c r="Q51" s="2" t="s">
        <v>463</v>
      </c>
      <c r="R51" s="2"/>
      <c r="S51" s="2" t="s">
        <v>253</v>
      </c>
      <c r="T51" s="2" t="s">
        <v>1738</v>
      </c>
      <c r="U51" s="2" t="s">
        <v>487</v>
      </c>
      <c r="V51" s="2" t="s">
        <v>488</v>
      </c>
      <c r="W51" s="2" t="s">
        <v>255</v>
      </c>
      <c r="X51" s="2" t="s">
        <v>256</v>
      </c>
    </row>
    <row r="52" spans="1:24" ht="85.5">
      <c r="A52" s="14" t="s">
        <v>486</v>
      </c>
      <c r="B52" s="14" t="s">
        <v>48</v>
      </c>
      <c r="C52" s="14" t="s">
        <v>245</v>
      </c>
      <c r="D52" s="14" t="s">
        <v>489</v>
      </c>
      <c r="E52" s="14" t="s">
        <v>162</v>
      </c>
      <c r="F52" s="14" t="s">
        <v>457</v>
      </c>
      <c r="G52" s="14" t="s">
        <v>458</v>
      </c>
      <c r="H52" s="14" t="s">
        <v>490</v>
      </c>
      <c r="I52" s="14" t="s">
        <v>491</v>
      </c>
      <c r="J52" s="14">
        <v>12</v>
      </c>
      <c r="K52" s="14" t="s">
        <v>1733</v>
      </c>
      <c r="L52" s="14" t="s">
        <v>145</v>
      </c>
      <c r="M52" s="2" t="s">
        <v>492</v>
      </c>
      <c r="N52" s="2"/>
      <c r="O52" s="2" t="s">
        <v>60</v>
      </c>
      <c r="P52" s="2" t="s">
        <v>61</v>
      </c>
      <c r="Q52" s="2" t="s">
        <v>463</v>
      </c>
      <c r="R52" s="2"/>
      <c r="S52" s="2" t="s">
        <v>253</v>
      </c>
      <c r="T52" s="2" t="s">
        <v>1742</v>
      </c>
      <c r="U52" s="2" t="s">
        <v>493</v>
      </c>
      <c r="V52" s="2" t="s">
        <v>494</v>
      </c>
      <c r="W52" s="2" t="s">
        <v>255</v>
      </c>
      <c r="X52" s="2" t="s">
        <v>1740</v>
      </c>
    </row>
    <row r="53" spans="1:24" ht="85.5" hidden="1">
      <c r="A53" s="2" t="s">
        <v>495</v>
      </c>
      <c r="B53" s="2" t="s">
        <v>48</v>
      </c>
      <c r="C53" s="2" t="s">
        <v>245</v>
      </c>
      <c r="D53" s="2" t="s">
        <v>496</v>
      </c>
      <c r="E53" s="2" t="s">
        <v>162</v>
      </c>
      <c r="F53" s="2" t="s">
        <v>457</v>
      </c>
      <c r="G53" s="2" t="s">
        <v>458</v>
      </c>
      <c r="H53" s="2" t="s">
        <v>497</v>
      </c>
      <c r="I53" s="2" t="s">
        <v>498</v>
      </c>
      <c r="J53" s="2">
        <v>11</v>
      </c>
      <c r="K53" s="2" t="s">
        <v>250</v>
      </c>
      <c r="L53" s="2" t="s">
        <v>145</v>
      </c>
      <c r="M53" s="2" t="s">
        <v>499</v>
      </c>
      <c r="N53" s="2"/>
      <c r="O53" s="2" t="s">
        <v>60</v>
      </c>
      <c r="P53" s="2" t="s">
        <v>61</v>
      </c>
      <c r="Q53" s="2" t="s">
        <v>463</v>
      </c>
      <c r="R53" s="2"/>
      <c r="S53" s="2" t="s">
        <v>253</v>
      </c>
      <c r="T53" s="2" t="s">
        <v>1743</v>
      </c>
      <c r="U53" s="2" t="s">
        <v>500</v>
      </c>
      <c r="V53" s="2" t="s">
        <v>501</v>
      </c>
      <c r="W53" s="2" t="s">
        <v>255</v>
      </c>
      <c r="X53" s="2" t="s">
        <v>1740</v>
      </c>
    </row>
    <row r="54" spans="1:24" ht="71.25" hidden="1">
      <c r="A54" s="2" t="s">
        <v>502</v>
      </c>
      <c r="B54" s="2" t="s">
        <v>48</v>
      </c>
      <c r="C54" s="2" t="s">
        <v>245</v>
      </c>
      <c r="D54" s="2" t="s">
        <v>503</v>
      </c>
      <c r="E54" s="2" t="s">
        <v>504</v>
      </c>
      <c r="F54" s="2" t="s">
        <v>505</v>
      </c>
      <c r="G54" s="2" t="s">
        <v>53</v>
      </c>
      <c r="H54" s="2" t="s">
        <v>506</v>
      </c>
      <c r="I54" s="2" t="s">
        <v>507</v>
      </c>
      <c r="J54" s="2">
        <v>12</v>
      </c>
      <c r="K54" s="2" t="s">
        <v>250</v>
      </c>
      <c r="L54" s="2" t="s">
        <v>145</v>
      </c>
      <c r="M54" s="2" t="s">
        <v>508</v>
      </c>
      <c r="N54" s="2"/>
      <c r="O54" s="2" t="s">
        <v>60</v>
      </c>
      <c r="P54" s="2" t="s">
        <v>61</v>
      </c>
      <c r="Q54" s="2" t="s">
        <v>509</v>
      </c>
      <c r="R54" s="2"/>
      <c r="S54" s="2" t="s">
        <v>253</v>
      </c>
      <c r="T54" s="2" t="s">
        <v>510</v>
      </c>
      <c r="U54" s="2" t="s">
        <v>511</v>
      </c>
      <c r="V54" s="2" t="s">
        <v>512</v>
      </c>
      <c r="W54" s="2" t="s">
        <v>255</v>
      </c>
      <c r="X54" s="2" t="s">
        <v>256</v>
      </c>
    </row>
    <row r="55" spans="1:24" ht="142.5" hidden="1">
      <c r="A55" s="2" t="s">
        <v>513</v>
      </c>
      <c r="B55" s="2" t="s">
        <v>48</v>
      </c>
      <c r="C55" s="2" t="s">
        <v>514</v>
      </c>
      <c r="D55" s="2" t="s">
        <v>515</v>
      </c>
      <c r="E55" s="2" t="s">
        <v>162</v>
      </c>
      <c r="F55" s="2" t="s">
        <v>516</v>
      </c>
      <c r="G55" s="2" t="s">
        <v>81</v>
      </c>
      <c r="H55" s="2" t="s">
        <v>517</v>
      </c>
      <c r="I55" s="2" t="s">
        <v>518</v>
      </c>
      <c r="J55" s="2">
        <v>8</v>
      </c>
      <c r="K55" s="2" t="s">
        <v>250</v>
      </c>
      <c r="L55" s="2" t="s">
        <v>145</v>
      </c>
      <c r="M55" s="2" t="s">
        <v>519</v>
      </c>
      <c r="N55" s="2" t="s">
        <v>520</v>
      </c>
      <c r="O55" s="2" t="s">
        <v>60</v>
      </c>
      <c r="P55" s="2" t="s">
        <v>61</v>
      </c>
      <c r="Q55" s="2" t="s">
        <v>275</v>
      </c>
      <c r="R55" s="2">
        <v>1.3333333333333333</v>
      </c>
      <c r="S55" s="2" t="s">
        <v>521</v>
      </c>
      <c r="T55" s="2" t="s">
        <v>522</v>
      </c>
      <c r="U55" s="2" t="s">
        <v>523</v>
      </c>
      <c r="V55" s="2" t="s">
        <v>66</v>
      </c>
      <c r="W55" s="2" t="s">
        <v>524</v>
      </c>
      <c r="X55" s="2" t="s">
        <v>525</v>
      </c>
    </row>
    <row r="56" spans="1:24" ht="71.25" hidden="1">
      <c r="A56" s="2" t="s">
        <v>431</v>
      </c>
      <c r="B56" s="2" t="s">
        <v>48</v>
      </c>
      <c r="C56" s="2" t="s">
        <v>514</v>
      </c>
      <c r="D56" s="2" t="s">
        <v>526</v>
      </c>
      <c r="E56" s="2" t="s">
        <v>527</v>
      </c>
      <c r="F56" s="2" t="s">
        <v>528</v>
      </c>
      <c r="G56" s="2" t="s">
        <v>81</v>
      </c>
      <c r="H56" s="2" t="s">
        <v>529</v>
      </c>
      <c r="I56" s="2" t="s">
        <v>530</v>
      </c>
      <c r="J56" s="2">
        <v>10</v>
      </c>
      <c r="K56" s="2" t="s">
        <v>250</v>
      </c>
      <c r="L56" s="2" t="s">
        <v>145</v>
      </c>
      <c r="M56" s="2" t="s">
        <v>531</v>
      </c>
      <c r="N56" s="2" t="s">
        <v>532</v>
      </c>
      <c r="O56" s="2" t="s">
        <v>60</v>
      </c>
      <c r="P56" s="2" t="s">
        <v>61</v>
      </c>
      <c r="Q56" s="2" t="s">
        <v>533</v>
      </c>
      <c r="R56" s="2">
        <v>4</v>
      </c>
      <c r="S56" s="2" t="s">
        <v>521</v>
      </c>
      <c r="T56" s="2" t="s">
        <v>534</v>
      </c>
      <c r="U56" s="2" t="s">
        <v>535</v>
      </c>
      <c r="V56" s="2" t="s">
        <v>536</v>
      </c>
      <c r="W56" s="2" t="s">
        <v>524</v>
      </c>
      <c r="X56" s="2" t="s">
        <v>525</v>
      </c>
    </row>
    <row r="57" spans="1:24" ht="71.25" hidden="1">
      <c r="A57" s="2" t="s">
        <v>532</v>
      </c>
      <c r="B57" s="2" t="s">
        <v>48</v>
      </c>
      <c r="C57" s="2" t="s">
        <v>514</v>
      </c>
      <c r="D57" s="2" t="s">
        <v>537</v>
      </c>
      <c r="E57" s="2" t="s">
        <v>162</v>
      </c>
      <c r="F57" s="2" t="s">
        <v>538</v>
      </c>
      <c r="G57" s="2" t="s">
        <v>81</v>
      </c>
      <c r="H57" s="2" t="s">
        <v>539</v>
      </c>
      <c r="I57" s="2" t="s">
        <v>540</v>
      </c>
      <c r="J57" s="2">
        <v>10</v>
      </c>
      <c r="K57" s="2" t="s">
        <v>250</v>
      </c>
      <c r="L57" s="2" t="s">
        <v>145</v>
      </c>
      <c r="M57" s="2" t="s">
        <v>541</v>
      </c>
      <c r="N57" s="2"/>
      <c r="O57" s="2" t="s">
        <v>60</v>
      </c>
      <c r="P57" s="2" t="s">
        <v>61</v>
      </c>
      <c r="Q57" s="2" t="s">
        <v>542</v>
      </c>
      <c r="R57" s="2">
        <v>4.25</v>
      </c>
      <c r="S57" s="2" t="s">
        <v>521</v>
      </c>
      <c r="T57" s="2" t="s">
        <v>543</v>
      </c>
      <c r="U57" s="2" t="s">
        <v>544</v>
      </c>
      <c r="V57" s="2" t="s">
        <v>545</v>
      </c>
      <c r="W57" s="2" t="s">
        <v>524</v>
      </c>
      <c r="X57" s="2" t="s">
        <v>525</v>
      </c>
    </row>
    <row r="58" spans="1:24" ht="114" hidden="1">
      <c r="A58" s="2" t="s">
        <v>546</v>
      </c>
      <c r="B58" s="2" t="s">
        <v>48</v>
      </c>
      <c r="C58" s="2" t="s">
        <v>547</v>
      </c>
      <c r="D58" s="2" t="s">
        <v>548</v>
      </c>
      <c r="E58" s="2" t="s">
        <v>549</v>
      </c>
      <c r="F58" s="2" t="s">
        <v>550</v>
      </c>
      <c r="G58" s="2" t="s">
        <v>81</v>
      </c>
      <c r="H58" s="2" t="s">
        <v>551</v>
      </c>
      <c r="I58" s="2" t="s">
        <v>552</v>
      </c>
      <c r="J58" s="2">
        <v>10</v>
      </c>
      <c r="K58" s="2" t="s">
        <v>56</v>
      </c>
      <c r="L58" s="2" t="s">
        <v>553</v>
      </c>
      <c r="M58" s="2"/>
      <c r="N58" s="2" t="s">
        <v>554</v>
      </c>
      <c r="O58" s="2" t="s">
        <v>60</v>
      </c>
      <c r="P58" s="2" t="s">
        <v>61</v>
      </c>
      <c r="Q58" s="2" t="s">
        <v>555</v>
      </c>
      <c r="R58" s="2">
        <v>0</v>
      </c>
      <c r="S58" s="2" t="s">
        <v>556</v>
      </c>
      <c r="T58" s="2" t="s">
        <v>557</v>
      </c>
      <c r="U58" s="2" t="s">
        <v>558</v>
      </c>
      <c r="V58" s="2" t="s">
        <v>559</v>
      </c>
      <c r="W58" s="2" t="s">
        <v>560</v>
      </c>
      <c r="X58" s="2" t="s">
        <v>561</v>
      </c>
    </row>
    <row r="59" spans="1:24" ht="128.25" hidden="1">
      <c r="A59" s="2" t="s">
        <v>562</v>
      </c>
      <c r="B59" s="2" t="s">
        <v>48</v>
      </c>
      <c r="C59" s="2" t="s">
        <v>547</v>
      </c>
      <c r="D59" s="2" t="s">
        <v>563</v>
      </c>
      <c r="E59" s="2" t="s">
        <v>549</v>
      </c>
      <c r="F59" s="2" t="s">
        <v>564</v>
      </c>
      <c r="G59" s="2" t="s">
        <v>53</v>
      </c>
      <c r="H59" s="2" t="s">
        <v>565</v>
      </c>
      <c r="I59" s="2" t="s">
        <v>566</v>
      </c>
      <c r="J59" s="2">
        <v>12</v>
      </c>
      <c r="K59" s="2" t="s">
        <v>56</v>
      </c>
      <c r="L59" s="2" t="s">
        <v>553</v>
      </c>
      <c r="M59" s="2"/>
      <c r="N59" s="2" t="s">
        <v>567</v>
      </c>
      <c r="O59" s="2" t="s">
        <v>60</v>
      </c>
      <c r="P59" s="2" t="s">
        <v>61</v>
      </c>
      <c r="Q59" s="2" t="s">
        <v>555</v>
      </c>
      <c r="R59" s="2">
        <v>0</v>
      </c>
      <c r="S59" s="2" t="s">
        <v>556</v>
      </c>
      <c r="T59" s="2" t="s">
        <v>557</v>
      </c>
      <c r="U59" s="2" t="s">
        <v>558</v>
      </c>
      <c r="V59" s="2" t="s">
        <v>559</v>
      </c>
      <c r="W59" s="2" t="s">
        <v>560</v>
      </c>
      <c r="X59" s="2" t="s">
        <v>561</v>
      </c>
    </row>
    <row r="60" spans="1:24" ht="99.75" hidden="1">
      <c r="A60" s="2" t="s">
        <v>568</v>
      </c>
      <c r="B60" s="2" t="s">
        <v>48</v>
      </c>
      <c r="C60" s="2" t="s">
        <v>547</v>
      </c>
      <c r="D60" s="2" t="s">
        <v>569</v>
      </c>
      <c r="E60" s="2" t="s">
        <v>549</v>
      </c>
      <c r="F60" s="2" t="s">
        <v>570</v>
      </c>
      <c r="G60" s="2" t="s">
        <v>53</v>
      </c>
      <c r="H60" s="2" t="s">
        <v>571</v>
      </c>
      <c r="I60" s="2" t="s">
        <v>572</v>
      </c>
      <c r="J60" s="2">
        <v>10</v>
      </c>
      <c r="K60" s="2" t="s">
        <v>56</v>
      </c>
      <c r="L60" s="2" t="s">
        <v>553</v>
      </c>
      <c r="M60" s="2"/>
      <c r="N60" s="2" t="s">
        <v>573</v>
      </c>
      <c r="O60" s="2" t="s">
        <v>60</v>
      </c>
      <c r="P60" s="2" t="s">
        <v>61</v>
      </c>
      <c r="Q60" s="2" t="s">
        <v>555</v>
      </c>
      <c r="R60" s="2">
        <v>0</v>
      </c>
      <c r="S60" s="2" t="s">
        <v>556</v>
      </c>
      <c r="T60" s="2" t="s">
        <v>557</v>
      </c>
      <c r="U60" s="2" t="s">
        <v>558</v>
      </c>
      <c r="V60" s="2" t="s">
        <v>559</v>
      </c>
      <c r="W60" s="2" t="s">
        <v>560</v>
      </c>
      <c r="X60" s="2" t="s">
        <v>561</v>
      </c>
    </row>
    <row r="61" spans="1:24" ht="85.5" hidden="1">
      <c r="A61" s="2" t="s">
        <v>574</v>
      </c>
      <c r="B61" s="2" t="s">
        <v>48</v>
      </c>
      <c r="C61" s="2" t="s">
        <v>547</v>
      </c>
      <c r="D61" s="2" t="s">
        <v>575</v>
      </c>
      <c r="E61" s="2" t="s">
        <v>549</v>
      </c>
      <c r="F61" s="2" t="s">
        <v>570</v>
      </c>
      <c r="G61" s="2" t="s">
        <v>53</v>
      </c>
      <c r="H61" s="2" t="s">
        <v>576</v>
      </c>
      <c r="I61" s="2" t="s">
        <v>577</v>
      </c>
      <c r="J61" s="2">
        <v>10</v>
      </c>
      <c r="K61" s="2" t="s">
        <v>56</v>
      </c>
      <c r="L61" s="2" t="s">
        <v>553</v>
      </c>
      <c r="M61" s="2"/>
      <c r="N61" s="2" t="s">
        <v>578</v>
      </c>
      <c r="O61" s="2" t="s">
        <v>60</v>
      </c>
      <c r="P61" s="2" t="s">
        <v>61</v>
      </c>
      <c r="Q61" s="2" t="s">
        <v>555</v>
      </c>
      <c r="R61" s="2">
        <v>0</v>
      </c>
      <c r="S61" s="2" t="s">
        <v>556</v>
      </c>
      <c r="T61" s="2" t="s">
        <v>557</v>
      </c>
      <c r="U61" s="2" t="s">
        <v>558</v>
      </c>
      <c r="V61" s="2" t="s">
        <v>559</v>
      </c>
      <c r="W61" s="2" t="s">
        <v>560</v>
      </c>
      <c r="X61" s="2" t="s">
        <v>561</v>
      </c>
    </row>
    <row r="62" spans="1:24" ht="99.75" hidden="1">
      <c r="A62" s="2" t="s">
        <v>579</v>
      </c>
      <c r="B62" s="2" t="s">
        <v>48</v>
      </c>
      <c r="C62" s="2" t="s">
        <v>547</v>
      </c>
      <c r="D62" s="2" t="s">
        <v>580</v>
      </c>
      <c r="E62" s="2" t="s">
        <v>581</v>
      </c>
      <c r="F62" s="2" t="s">
        <v>582</v>
      </c>
      <c r="G62" s="2" t="s">
        <v>53</v>
      </c>
      <c r="H62" s="2" t="s">
        <v>583</v>
      </c>
      <c r="I62" s="2" t="s">
        <v>584</v>
      </c>
      <c r="J62" s="2">
        <v>10</v>
      </c>
      <c r="K62" s="2" t="s">
        <v>56</v>
      </c>
      <c r="L62" s="2" t="s">
        <v>553</v>
      </c>
      <c r="M62" s="2"/>
      <c r="N62" s="2" t="s">
        <v>585</v>
      </c>
      <c r="O62" s="2" t="s">
        <v>60</v>
      </c>
      <c r="P62" s="2" t="s">
        <v>61</v>
      </c>
      <c r="Q62" s="2" t="s">
        <v>555</v>
      </c>
      <c r="R62" s="2">
        <v>0</v>
      </c>
      <c r="S62" s="2" t="s">
        <v>556</v>
      </c>
      <c r="T62" s="2" t="s">
        <v>557</v>
      </c>
      <c r="U62" s="2" t="s">
        <v>558</v>
      </c>
      <c r="V62" s="2" t="s">
        <v>559</v>
      </c>
      <c r="W62" s="2" t="s">
        <v>560</v>
      </c>
      <c r="X62" s="2" t="s">
        <v>561</v>
      </c>
    </row>
    <row r="63" spans="1:24" ht="85.5" hidden="1">
      <c r="A63" s="2" t="s">
        <v>586</v>
      </c>
      <c r="B63" s="2" t="s">
        <v>48</v>
      </c>
      <c r="C63" s="2" t="s">
        <v>547</v>
      </c>
      <c r="D63" s="2" t="s">
        <v>587</v>
      </c>
      <c r="E63" s="2" t="s">
        <v>549</v>
      </c>
      <c r="F63" s="2" t="s">
        <v>588</v>
      </c>
      <c r="G63" s="2" t="s">
        <v>81</v>
      </c>
      <c r="H63" s="2" t="s">
        <v>589</v>
      </c>
      <c r="I63" s="2" t="s">
        <v>590</v>
      </c>
      <c r="J63" s="2">
        <v>12</v>
      </c>
      <c r="K63" s="2" t="s">
        <v>56</v>
      </c>
      <c r="L63" s="2" t="s">
        <v>553</v>
      </c>
      <c r="M63" s="2"/>
      <c r="N63" s="2" t="s">
        <v>591</v>
      </c>
      <c r="O63" s="2" t="s">
        <v>60</v>
      </c>
      <c r="P63" s="2" t="s">
        <v>61</v>
      </c>
      <c r="Q63" s="2" t="s">
        <v>555</v>
      </c>
      <c r="R63" s="2">
        <v>0</v>
      </c>
      <c r="S63" s="2" t="s">
        <v>556</v>
      </c>
      <c r="T63" s="2" t="s">
        <v>557</v>
      </c>
      <c r="U63" s="2" t="s">
        <v>558</v>
      </c>
      <c r="V63" s="2" t="s">
        <v>559</v>
      </c>
      <c r="W63" s="2" t="s">
        <v>560</v>
      </c>
      <c r="X63" s="2" t="s">
        <v>561</v>
      </c>
    </row>
    <row r="64" spans="1:24" ht="85.5" hidden="1">
      <c r="A64" s="2" t="s">
        <v>592</v>
      </c>
      <c r="B64" s="2" t="s">
        <v>48</v>
      </c>
      <c r="C64" s="2" t="s">
        <v>547</v>
      </c>
      <c r="D64" s="2" t="s">
        <v>593</v>
      </c>
      <c r="E64" s="2" t="s">
        <v>549</v>
      </c>
      <c r="F64" s="2" t="s">
        <v>594</v>
      </c>
      <c r="G64" s="2" t="s">
        <v>53</v>
      </c>
      <c r="H64" s="2" t="s">
        <v>595</v>
      </c>
      <c r="I64" s="2" t="s">
        <v>596</v>
      </c>
      <c r="J64" s="2">
        <v>12</v>
      </c>
      <c r="K64" s="2" t="s">
        <v>56</v>
      </c>
      <c r="L64" s="2" t="s">
        <v>553</v>
      </c>
      <c r="M64" s="2"/>
      <c r="N64" s="2" t="s">
        <v>597</v>
      </c>
      <c r="O64" s="2" t="s">
        <v>60</v>
      </c>
      <c r="P64" s="2" t="s">
        <v>61</v>
      </c>
      <c r="Q64" s="2" t="s">
        <v>555</v>
      </c>
      <c r="R64" s="2">
        <v>0</v>
      </c>
      <c r="S64" s="2" t="s">
        <v>556</v>
      </c>
      <c r="T64" s="2" t="s">
        <v>557</v>
      </c>
      <c r="U64" s="2" t="s">
        <v>558</v>
      </c>
      <c r="V64" s="2" t="s">
        <v>559</v>
      </c>
      <c r="W64" s="2" t="s">
        <v>560</v>
      </c>
      <c r="X64" s="2" t="s">
        <v>561</v>
      </c>
    </row>
    <row r="65" spans="1:24" ht="71.25" hidden="1">
      <c r="A65" s="2" t="s">
        <v>598</v>
      </c>
      <c r="B65" s="2" t="s">
        <v>48</v>
      </c>
      <c r="C65" s="2" t="s">
        <v>547</v>
      </c>
      <c r="D65" s="2" t="s">
        <v>599</v>
      </c>
      <c r="E65" s="2" t="s">
        <v>549</v>
      </c>
      <c r="F65" s="2" t="s">
        <v>600</v>
      </c>
      <c r="G65" s="2" t="s">
        <v>81</v>
      </c>
      <c r="H65" s="2" t="s">
        <v>601</v>
      </c>
      <c r="I65" s="2" t="s">
        <v>602</v>
      </c>
      <c r="J65" s="2">
        <v>10</v>
      </c>
      <c r="K65" s="2" t="s">
        <v>56</v>
      </c>
      <c r="L65" s="2" t="s">
        <v>553</v>
      </c>
      <c r="M65" s="2"/>
      <c r="N65" s="2" t="s">
        <v>591</v>
      </c>
      <c r="O65" s="2" t="s">
        <v>60</v>
      </c>
      <c r="P65" s="2" t="s">
        <v>61</v>
      </c>
      <c r="Q65" s="2" t="s">
        <v>555</v>
      </c>
      <c r="R65" s="2">
        <v>0</v>
      </c>
      <c r="S65" s="2" t="s">
        <v>556</v>
      </c>
      <c r="T65" s="2" t="s">
        <v>557</v>
      </c>
      <c r="U65" s="2" t="s">
        <v>558</v>
      </c>
      <c r="V65" s="2" t="s">
        <v>559</v>
      </c>
      <c r="W65" s="2" t="s">
        <v>560</v>
      </c>
      <c r="X65" s="2" t="s">
        <v>561</v>
      </c>
    </row>
    <row r="66" spans="1:24" ht="185.25" hidden="1">
      <c r="A66" s="2" t="s">
        <v>603</v>
      </c>
      <c r="B66" s="2" t="s">
        <v>48</v>
      </c>
      <c r="C66" s="2" t="s">
        <v>547</v>
      </c>
      <c r="D66" s="2" t="s">
        <v>604</v>
      </c>
      <c r="E66" s="2" t="s">
        <v>549</v>
      </c>
      <c r="F66" s="2" t="s">
        <v>605</v>
      </c>
      <c r="G66" s="2" t="s">
        <v>53</v>
      </c>
      <c r="H66" s="2" t="s">
        <v>606</v>
      </c>
      <c r="I66" s="2" t="s">
        <v>607</v>
      </c>
      <c r="J66" s="2">
        <v>12</v>
      </c>
      <c r="K66" s="2" t="s">
        <v>56</v>
      </c>
      <c r="L66" s="2" t="s">
        <v>553</v>
      </c>
      <c r="M66" s="2" t="s">
        <v>608</v>
      </c>
      <c r="N66" s="2" t="s">
        <v>591</v>
      </c>
      <c r="O66" s="2" t="s">
        <v>60</v>
      </c>
      <c r="P66" s="2" t="s">
        <v>61</v>
      </c>
      <c r="Q66" s="2" t="s">
        <v>555</v>
      </c>
      <c r="R66" s="2">
        <v>0</v>
      </c>
      <c r="S66" s="2" t="s">
        <v>556</v>
      </c>
      <c r="T66" s="2" t="s">
        <v>557</v>
      </c>
      <c r="U66" s="2" t="s">
        <v>558</v>
      </c>
      <c r="V66" s="2" t="s">
        <v>559</v>
      </c>
      <c r="W66" s="2" t="s">
        <v>560</v>
      </c>
      <c r="X66" s="2" t="s">
        <v>561</v>
      </c>
    </row>
    <row r="67" spans="1:24" ht="114" hidden="1">
      <c r="A67" s="2" t="s">
        <v>609</v>
      </c>
      <c r="B67" s="2" t="s">
        <v>48</v>
      </c>
      <c r="C67" s="2" t="s">
        <v>547</v>
      </c>
      <c r="D67" s="2" t="s">
        <v>610</v>
      </c>
      <c r="E67" s="2" t="s">
        <v>549</v>
      </c>
      <c r="F67" s="2" t="s">
        <v>611</v>
      </c>
      <c r="G67" s="2" t="s">
        <v>53</v>
      </c>
      <c r="H67" s="2" t="s">
        <v>612</v>
      </c>
      <c r="I67" s="2" t="s">
        <v>613</v>
      </c>
      <c r="J67" s="2">
        <v>12</v>
      </c>
      <c r="K67" s="2" t="s">
        <v>56</v>
      </c>
      <c r="L67" s="2" t="s">
        <v>553</v>
      </c>
      <c r="M67" s="2"/>
      <c r="N67" s="2" t="s">
        <v>614</v>
      </c>
      <c r="O67" s="2" t="s">
        <v>60</v>
      </c>
      <c r="P67" s="2" t="s">
        <v>61</v>
      </c>
      <c r="Q67" s="2" t="s">
        <v>555</v>
      </c>
      <c r="R67" s="2">
        <v>0</v>
      </c>
      <c r="S67" s="2" t="s">
        <v>556</v>
      </c>
      <c r="T67" s="2" t="s">
        <v>557</v>
      </c>
      <c r="U67" s="2" t="s">
        <v>558</v>
      </c>
      <c r="V67" s="2" t="s">
        <v>559</v>
      </c>
      <c r="W67" s="2" t="s">
        <v>560</v>
      </c>
      <c r="X67" s="2" t="s">
        <v>561</v>
      </c>
    </row>
    <row r="68" spans="1:24" ht="199.5" hidden="1">
      <c r="A68" s="2" t="s">
        <v>615</v>
      </c>
      <c r="B68" s="2" t="s">
        <v>48</v>
      </c>
      <c r="C68" s="2" t="s">
        <v>547</v>
      </c>
      <c r="D68" s="2" t="s">
        <v>616</v>
      </c>
      <c r="E68" s="2" t="s">
        <v>581</v>
      </c>
      <c r="F68" s="2" t="s">
        <v>617</v>
      </c>
      <c r="G68" s="2" t="s">
        <v>53</v>
      </c>
      <c r="H68" s="2" t="s">
        <v>618</v>
      </c>
      <c r="I68" s="2" t="s">
        <v>619</v>
      </c>
      <c r="J68" s="2">
        <v>10</v>
      </c>
      <c r="K68" s="2" t="s">
        <v>56</v>
      </c>
      <c r="L68" s="2" t="s">
        <v>553</v>
      </c>
      <c r="M68" s="2"/>
      <c r="N68" s="2" t="s">
        <v>620</v>
      </c>
      <c r="O68" s="2" t="s">
        <v>60</v>
      </c>
      <c r="P68" s="2" t="s">
        <v>61</v>
      </c>
      <c r="Q68" s="2" t="s">
        <v>555</v>
      </c>
      <c r="R68" s="2">
        <v>0</v>
      </c>
      <c r="S68" s="2" t="s">
        <v>556</v>
      </c>
      <c r="T68" s="2" t="s">
        <v>557</v>
      </c>
      <c r="U68" s="2" t="s">
        <v>558</v>
      </c>
      <c r="V68" s="2" t="s">
        <v>559</v>
      </c>
      <c r="W68" s="2" t="s">
        <v>560</v>
      </c>
      <c r="X68" s="2" t="s">
        <v>561</v>
      </c>
    </row>
    <row r="69" spans="1:24" ht="71.25" hidden="1">
      <c r="A69" s="2" t="s">
        <v>621</v>
      </c>
      <c r="B69" s="2" t="s">
        <v>48</v>
      </c>
      <c r="C69" s="2" t="s">
        <v>547</v>
      </c>
      <c r="D69" s="2" t="s">
        <v>622</v>
      </c>
      <c r="E69" s="2" t="s">
        <v>549</v>
      </c>
      <c r="F69" s="2" t="s">
        <v>623</v>
      </c>
      <c r="G69" s="2" t="s">
        <v>53</v>
      </c>
      <c r="H69" s="2" t="s">
        <v>624</v>
      </c>
      <c r="I69" s="2" t="s">
        <v>625</v>
      </c>
      <c r="J69" s="2">
        <v>8</v>
      </c>
      <c r="K69" s="2" t="s">
        <v>56</v>
      </c>
      <c r="L69" s="2" t="s">
        <v>553</v>
      </c>
      <c r="M69" s="2"/>
      <c r="N69" s="2" t="s">
        <v>626</v>
      </c>
      <c r="O69" s="2" t="s">
        <v>60</v>
      </c>
      <c r="P69" s="2" t="s">
        <v>61</v>
      </c>
      <c r="Q69" s="2" t="s">
        <v>555</v>
      </c>
      <c r="R69" s="2">
        <v>0</v>
      </c>
      <c r="S69" s="2" t="s">
        <v>556</v>
      </c>
      <c r="T69" s="2" t="s">
        <v>557</v>
      </c>
      <c r="U69" s="2" t="s">
        <v>558</v>
      </c>
      <c r="V69" s="2" t="s">
        <v>559</v>
      </c>
      <c r="W69" s="2" t="s">
        <v>560</v>
      </c>
      <c r="X69" s="2" t="s">
        <v>561</v>
      </c>
    </row>
    <row r="70" spans="1:24" ht="85.5" hidden="1">
      <c r="A70" s="2" t="s">
        <v>627</v>
      </c>
      <c r="B70" s="2" t="s">
        <v>48</v>
      </c>
      <c r="C70" s="2" t="s">
        <v>547</v>
      </c>
      <c r="D70" s="2" t="s">
        <v>628</v>
      </c>
      <c r="E70" s="2" t="s">
        <v>549</v>
      </c>
      <c r="F70" s="2" t="s">
        <v>629</v>
      </c>
      <c r="G70" s="2" t="s">
        <v>53</v>
      </c>
      <c r="H70" s="2" t="s">
        <v>630</v>
      </c>
      <c r="I70" s="2" t="s">
        <v>631</v>
      </c>
      <c r="J70" s="2">
        <v>10</v>
      </c>
      <c r="K70" s="2" t="s">
        <v>56</v>
      </c>
      <c r="L70" s="2" t="s">
        <v>553</v>
      </c>
      <c r="M70" s="2"/>
      <c r="N70" s="2" t="s">
        <v>632</v>
      </c>
      <c r="O70" s="2" t="s">
        <v>60</v>
      </c>
      <c r="P70" s="2" t="s">
        <v>61</v>
      </c>
      <c r="Q70" s="2" t="s">
        <v>555</v>
      </c>
      <c r="R70" s="2">
        <v>0</v>
      </c>
      <c r="S70" s="2" t="s">
        <v>556</v>
      </c>
      <c r="T70" s="2" t="s">
        <v>557</v>
      </c>
      <c r="U70" s="2" t="s">
        <v>558</v>
      </c>
      <c r="V70" s="2" t="s">
        <v>559</v>
      </c>
      <c r="W70" s="2" t="s">
        <v>560</v>
      </c>
      <c r="X70" s="2" t="s">
        <v>561</v>
      </c>
    </row>
    <row r="71" spans="1:24" ht="85.5" hidden="1">
      <c r="A71" s="2" t="s">
        <v>633</v>
      </c>
      <c r="B71" s="2" t="s">
        <v>48</v>
      </c>
      <c r="C71" s="2" t="s">
        <v>547</v>
      </c>
      <c r="D71" s="2" t="s">
        <v>634</v>
      </c>
      <c r="E71" s="2" t="s">
        <v>549</v>
      </c>
      <c r="F71" s="2" t="s">
        <v>635</v>
      </c>
      <c r="G71" s="2" t="s">
        <v>53</v>
      </c>
      <c r="H71" s="2" t="s">
        <v>636</v>
      </c>
      <c r="I71" s="2" t="s">
        <v>637</v>
      </c>
      <c r="J71" s="2">
        <v>12</v>
      </c>
      <c r="K71" s="2" t="s">
        <v>56</v>
      </c>
      <c r="L71" s="2" t="s">
        <v>553</v>
      </c>
      <c r="M71" s="2"/>
      <c r="N71" s="2" t="s">
        <v>632</v>
      </c>
      <c r="O71" s="2" t="s">
        <v>60</v>
      </c>
      <c r="P71" s="2" t="s">
        <v>61</v>
      </c>
      <c r="Q71" s="2" t="s">
        <v>555</v>
      </c>
      <c r="R71" s="2">
        <v>0</v>
      </c>
      <c r="S71" s="2" t="s">
        <v>556</v>
      </c>
      <c r="T71" s="2" t="s">
        <v>557</v>
      </c>
      <c r="U71" s="2" t="s">
        <v>558</v>
      </c>
      <c r="V71" s="2" t="s">
        <v>559</v>
      </c>
      <c r="W71" s="2" t="s">
        <v>560</v>
      </c>
      <c r="X71" s="2" t="s">
        <v>561</v>
      </c>
    </row>
    <row r="72" spans="1:24" ht="99.75" hidden="1">
      <c r="A72" s="2" t="s">
        <v>638</v>
      </c>
      <c r="B72" s="2" t="s">
        <v>48</v>
      </c>
      <c r="C72" s="2" t="s">
        <v>547</v>
      </c>
      <c r="D72" s="2" t="s">
        <v>639</v>
      </c>
      <c r="E72" s="2" t="s">
        <v>549</v>
      </c>
      <c r="F72" s="2" t="s">
        <v>640</v>
      </c>
      <c r="G72" s="2" t="s">
        <v>53</v>
      </c>
      <c r="H72" s="2" t="s">
        <v>641</v>
      </c>
      <c r="I72" s="2" t="s">
        <v>642</v>
      </c>
      <c r="J72" s="2">
        <v>12</v>
      </c>
      <c r="K72" s="2" t="s">
        <v>56</v>
      </c>
      <c r="L72" s="2" t="s">
        <v>553</v>
      </c>
      <c r="M72" s="2"/>
      <c r="N72" s="2" t="s">
        <v>632</v>
      </c>
      <c r="O72" s="2" t="s">
        <v>60</v>
      </c>
      <c r="P72" s="2" t="s">
        <v>61</v>
      </c>
      <c r="Q72" s="2" t="s">
        <v>555</v>
      </c>
      <c r="R72" s="2">
        <v>0</v>
      </c>
      <c r="S72" s="2" t="s">
        <v>556</v>
      </c>
      <c r="T72" s="2" t="s">
        <v>557</v>
      </c>
      <c r="U72" s="2" t="s">
        <v>558</v>
      </c>
      <c r="V72" s="2" t="s">
        <v>559</v>
      </c>
      <c r="W72" s="2" t="s">
        <v>560</v>
      </c>
      <c r="X72" s="2" t="s">
        <v>561</v>
      </c>
    </row>
    <row r="73" spans="1:24" ht="85.5" hidden="1">
      <c r="A73" s="2" t="s">
        <v>643</v>
      </c>
      <c r="B73" s="2" t="s">
        <v>48</v>
      </c>
      <c r="C73" s="2" t="s">
        <v>547</v>
      </c>
      <c r="D73" s="2" t="s">
        <v>644</v>
      </c>
      <c r="E73" s="2" t="s">
        <v>51</v>
      </c>
      <c r="F73" s="2" t="s">
        <v>645</v>
      </c>
      <c r="G73" s="2" t="s">
        <v>81</v>
      </c>
      <c r="H73" s="2" t="s">
        <v>646</v>
      </c>
      <c r="I73" s="2" t="s">
        <v>647</v>
      </c>
      <c r="J73" s="2">
        <v>10</v>
      </c>
      <c r="K73" s="2" t="s">
        <v>56</v>
      </c>
      <c r="L73" s="2" t="s">
        <v>553</v>
      </c>
      <c r="M73" s="2"/>
      <c r="N73" s="2"/>
      <c r="O73" s="2" t="s">
        <v>60</v>
      </c>
      <c r="P73" s="2" t="s">
        <v>61</v>
      </c>
      <c r="Q73" s="2" t="s">
        <v>555</v>
      </c>
      <c r="R73" s="2">
        <v>0</v>
      </c>
      <c r="S73" s="2" t="s">
        <v>556</v>
      </c>
      <c r="T73" s="2" t="s">
        <v>557</v>
      </c>
      <c r="U73" s="2" t="s">
        <v>558</v>
      </c>
      <c r="V73" s="2" t="s">
        <v>559</v>
      </c>
      <c r="W73" s="2" t="s">
        <v>560</v>
      </c>
      <c r="X73" s="2" t="s">
        <v>561</v>
      </c>
    </row>
    <row r="74" spans="1:24" ht="71.25" hidden="1">
      <c r="A74" s="2" t="s">
        <v>648</v>
      </c>
      <c r="B74" s="2" t="s">
        <v>48</v>
      </c>
      <c r="C74" s="2" t="s">
        <v>547</v>
      </c>
      <c r="D74" s="2" t="s">
        <v>649</v>
      </c>
      <c r="E74" s="2" t="s">
        <v>650</v>
      </c>
      <c r="F74" s="2" t="s">
        <v>651</v>
      </c>
      <c r="G74" s="2" t="s">
        <v>53</v>
      </c>
      <c r="H74" s="2" t="s">
        <v>652</v>
      </c>
      <c r="I74" s="2" t="s">
        <v>653</v>
      </c>
      <c r="J74" s="2">
        <v>10</v>
      </c>
      <c r="K74" s="2" t="s">
        <v>250</v>
      </c>
      <c r="L74" s="2" t="s">
        <v>187</v>
      </c>
      <c r="M74" s="2" t="s">
        <v>654</v>
      </c>
      <c r="N74" s="2" t="s">
        <v>376</v>
      </c>
      <c r="O74" s="2" t="s">
        <v>60</v>
      </c>
      <c r="P74" s="2" t="s">
        <v>61</v>
      </c>
      <c r="Q74" s="2" t="s">
        <v>655</v>
      </c>
      <c r="R74" s="2">
        <v>2.5</v>
      </c>
      <c r="S74" s="2" t="s">
        <v>556</v>
      </c>
      <c r="T74" s="2" t="s">
        <v>656</v>
      </c>
      <c r="U74" s="2" t="s">
        <v>657</v>
      </c>
      <c r="V74" s="2" t="s">
        <v>658</v>
      </c>
      <c r="W74" s="2" t="s">
        <v>560</v>
      </c>
      <c r="X74" s="2" t="s">
        <v>561</v>
      </c>
    </row>
    <row r="75" spans="1:24" ht="57" hidden="1">
      <c r="A75" s="2" t="s">
        <v>659</v>
      </c>
      <c r="B75" s="2" t="s">
        <v>48</v>
      </c>
      <c r="C75" s="2" t="s">
        <v>547</v>
      </c>
      <c r="D75" s="2" t="s">
        <v>660</v>
      </c>
      <c r="E75" s="2" t="s">
        <v>205</v>
      </c>
      <c r="F75" s="2" t="s">
        <v>661</v>
      </c>
      <c r="G75" s="2" t="s">
        <v>53</v>
      </c>
      <c r="H75" s="2" t="s">
        <v>662</v>
      </c>
      <c r="I75" s="2" t="s">
        <v>663</v>
      </c>
      <c r="J75" s="2">
        <v>6</v>
      </c>
      <c r="K75" s="2" t="s">
        <v>250</v>
      </c>
      <c r="L75" s="2" t="s">
        <v>187</v>
      </c>
      <c r="M75" s="2" t="s">
        <v>203</v>
      </c>
      <c r="N75" s="2" t="s">
        <v>664</v>
      </c>
      <c r="O75" s="2" t="s">
        <v>60</v>
      </c>
      <c r="P75" s="2" t="s">
        <v>61</v>
      </c>
      <c r="Q75" s="2" t="s">
        <v>210</v>
      </c>
      <c r="R75" s="2">
        <v>1.5</v>
      </c>
      <c r="S75" s="2" t="s">
        <v>556</v>
      </c>
      <c r="T75" s="2" t="s">
        <v>665</v>
      </c>
      <c r="U75" s="2" t="s">
        <v>666</v>
      </c>
      <c r="V75" s="2" t="s">
        <v>667</v>
      </c>
      <c r="W75" s="2" t="s">
        <v>560</v>
      </c>
      <c r="X75" s="2" t="s">
        <v>561</v>
      </c>
    </row>
    <row r="76" spans="1:24" ht="57" hidden="1">
      <c r="A76" s="5" t="s">
        <v>668</v>
      </c>
      <c r="B76" s="5" t="s">
        <v>48</v>
      </c>
      <c r="C76" s="5" t="s">
        <v>547</v>
      </c>
      <c r="D76" s="5" t="s">
        <v>669</v>
      </c>
      <c r="E76" s="5" t="s">
        <v>650</v>
      </c>
      <c r="F76" s="5" t="s">
        <v>670</v>
      </c>
      <c r="G76" s="5" t="s">
        <v>53</v>
      </c>
      <c r="H76" s="5" t="s">
        <v>671</v>
      </c>
      <c r="I76" s="5" t="s">
        <v>672</v>
      </c>
      <c r="J76" s="5">
        <v>10</v>
      </c>
      <c r="K76" s="5" t="s">
        <v>56</v>
      </c>
      <c r="L76" s="5" t="s">
        <v>187</v>
      </c>
      <c r="M76" s="2" t="s">
        <v>673</v>
      </c>
      <c r="N76" s="2" t="s">
        <v>674</v>
      </c>
      <c r="O76" s="2" t="s">
        <v>60</v>
      </c>
      <c r="P76" s="2" t="s">
        <v>61</v>
      </c>
      <c r="Q76" s="2" t="s">
        <v>655</v>
      </c>
      <c r="R76" s="2">
        <v>2.5</v>
      </c>
      <c r="S76" s="2" t="s">
        <v>556</v>
      </c>
      <c r="T76" s="2" t="s">
        <v>675</v>
      </c>
      <c r="U76" s="2" t="s">
        <v>676</v>
      </c>
      <c r="V76" s="2" t="s">
        <v>677</v>
      </c>
      <c r="W76" s="2" t="s">
        <v>560</v>
      </c>
      <c r="X76" s="2" t="s">
        <v>561</v>
      </c>
    </row>
    <row r="77" spans="1:24" ht="71.25" hidden="1">
      <c r="A77" s="5" t="s">
        <v>678</v>
      </c>
      <c r="B77" s="5" t="s">
        <v>48</v>
      </c>
      <c r="C77" s="5" t="s">
        <v>547</v>
      </c>
      <c r="D77" s="5" t="s">
        <v>679</v>
      </c>
      <c r="E77" s="5" t="s">
        <v>650</v>
      </c>
      <c r="F77" s="5" t="s">
        <v>680</v>
      </c>
      <c r="G77" s="5" t="s">
        <v>53</v>
      </c>
      <c r="H77" s="5" t="s">
        <v>681</v>
      </c>
      <c r="I77" s="5" t="s">
        <v>682</v>
      </c>
      <c r="J77" s="5">
        <v>8</v>
      </c>
      <c r="K77" s="5" t="s">
        <v>56</v>
      </c>
      <c r="L77" s="5" t="s">
        <v>187</v>
      </c>
      <c r="M77" s="2" t="s">
        <v>193</v>
      </c>
      <c r="N77" s="2" t="s">
        <v>683</v>
      </c>
      <c r="O77" s="2" t="s">
        <v>60</v>
      </c>
      <c r="P77" s="2" t="s">
        <v>61</v>
      </c>
      <c r="Q77" s="2" t="s">
        <v>655</v>
      </c>
      <c r="R77" s="2">
        <v>2</v>
      </c>
      <c r="S77" s="2" t="s">
        <v>556</v>
      </c>
      <c r="T77" s="2" t="s">
        <v>684</v>
      </c>
      <c r="U77" s="2" t="s">
        <v>685</v>
      </c>
      <c r="V77" s="2" t="s">
        <v>686</v>
      </c>
      <c r="W77" s="2" t="s">
        <v>560</v>
      </c>
      <c r="X77" s="2" t="s">
        <v>561</v>
      </c>
    </row>
    <row r="78" spans="1:24" ht="114" hidden="1">
      <c r="A78" s="5" t="s">
        <v>683</v>
      </c>
      <c r="B78" s="5" t="s">
        <v>48</v>
      </c>
      <c r="C78" s="5" t="s">
        <v>547</v>
      </c>
      <c r="D78" s="5" t="s">
        <v>687</v>
      </c>
      <c r="E78" s="5" t="s">
        <v>650</v>
      </c>
      <c r="F78" s="5" t="s">
        <v>688</v>
      </c>
      <c r="G78" s="5" t="s">
        <v>53</v>
      </c>
      <c r="H78" s="5" t="s">
        <v>689</v>
      </c>
      <c r="I78" s="5" t="s">
        <v>690</v>
      </c>
      <c r="J78" s="5">
        <v>12</v>
      </c>
      <c r="K78" s="5" t="s">
        <v>56</v>
      </c>
      <c r="L78" s="5" t="s">
        <v>187</v>
      </c>
      <c r="M78" s="2" t="s">
        <v>691</v>
      </c>
      <c r="N78" s="2" t="s">
        <v>692</v>
      </c>
      <c r="O78" s="2" t="s">
        <v>60</v>
      </c>
      <c r="P78" s="2" t="s">
        <v>61</v>
      </c>
      <c r="Q78" s="2" t="s">
        <v>655</v>
      </c>
      <c r="R78" s="2">
        <v>3.2</v>
      </c>
      <c r="S78" s="2" t="s">
        <v>556</v>
      </c>
      <c r="T78" s="2" t="s">
        <v>693</v>
      </c>
      <c r="U78" s="2" t="s">
        <v>694</v>
      </c>
      <c r="V78" s="2" t="s">
        <v>695</v>
      </c>
      <c r="W78" s="2" t="s">
        <v>560</v>
      </c>
      <c r="X78" s="2" t="s">
        <v>561</v>
      </c>
    </row>
    <row r="79" spans="1:24" ht="71.25" hidden="1">
      <c r="A79" s="5" t="s">
        <v>696</v>
      </c>
      <c r="B79" s="5" t="s">
        <v>48</v>
      </c>
      <c r="C79" s="5" t="s">
        <v>547</v>
      </c>
      <c r="D79" s="5" t="s">
        <v>697</v>
      </c>
      <c r="E79" s="5" t="s">
        <v>650</v>
      </c>
      <c r="F79" s="5" t="s">
        <v>698</v>
      </c>
      <c r="G79" s="5" t="s">
        <v>53</v>
      </c>
      <c r="H79" s="5" t="s">
        <v>699</v>
      </c>
      <c r="I79" s="5" t="s">
        <v>700</v>
      </c>
      <c r="J79" s="5">
        <v>8</v>
      </c>
      <c r="K79" s="5" t="s">
        <v>56</v>
      </c>
      <c r="L79" s="5" t="s">
        <v>187</v>
      </c>
      <c r="M79" s="2" t="s">
        <v>683</v>
      </c>
      <c r="N79" s="2" t="s">
        <v>701</v>
      </c>
      <c r="O79" s="2" t="s">
        <v>60</v>
      </c>
      <c r="P79" s="2" t="s">
        <v>61</v>
      </c>
      <c r="Q79" s="2" t="s">
        <v>655</v>
      </c>
      <c r="R79" s="2">
        <v>2</v>
      </c>
      <c r="S79" s="2" t="s">
        <v>556</v>
      </c>
      <c r="T79" s="2" t="s">
        <v>702</v>
      </c>
      <c r="U79" s="2" t="s">
        <v>703</v>
      </c>
      <c r="V79" s="2" t="s">
        <v>704</v>
      </c>
      <c r="W79" s="2" t="s">
        <v>560</v>
      </c>
      <c r="X79" s="2" t="s">
        <v>561</v>
      </c>
    </row>
    <row r="80" spans="1:24" ht="85.5" hidden="1">
      <c r="A80" s="2" t="s">
        <v>705</v>
      </c>
      <c r="B80" s="2" t="s">
        <v>48</v>
      </c>
      <c r="C80" s="2" t="s">
        <v>547</v>
      </c>
      <c r="D80" s="2" t="s">
        <v>706</v>
      </c>
      <c r="E80" s="2" t="s">
        <v>96</v>
      </c>
      <c r="F80" s="2" t="s">
        <v>707</v>
      </c>
      <c r="G80" s="2" t="s">
        <v>53</v>
      </c>
      <c r="H80" s="2" t="s">
        <v>708</v>
      </c>
      <c r="I80" s="2" t="s">
        <v>709</v>
      </c>
      <c r="J80" s="2">
        <v>12</v>
      </c>
      <c r="K80" s="2" t="s">
        <v>250</v>
      </c>
      <c r="L80" s="2" t="s">
        <v>187</v>
      </c>
      <c r="M80" s="2" t="s">
        <v>710</v>
      </c>
      <c r="N80" s="2"/>
      <c r="O80" s="2" t="s">
        <v>60</v>
      </c>
      <c r="P80" s="2" t="s">
        <v>61</v>
      </c>
      <c r="Q80" s="2" t="s">
        <v>711</v>
      </c>
      <c r="R80" s="2">
        <v>5.4</v>
      </c>
      <c r="S80" s="2" t="s">
        <v>556</v>
      </c>
      <c r="T80" s="2" t="s">
        <v>712</v>
      </c>
      <c r="U80" s="2" t="s">
        <v>713</v>
      </c>
      <c r="V80" s="2" t="s">
        <v>714</v>
      </c>
      <c r="W80" s="2" t="s">
        <v>560</v>
      </c>
      <c r="X80" s="2" t="s">
        <v>561</v>
      </c>
    </row>
    <row r="81" spans="1:24" ht="85.5" hidden="1">
      <c r="A81" s="2" t="s">
        <v>715</v>
      </c>
      <c r="B81" s="2" t="s">
        <v>48</v>
      </c>
      <c r="C81" s="2" t="s">
        <v>547</v>
      </c>
      <c r="D81" s="2" t="s">
        <v>716</v>
      </c>
      <c r="E81" s="2" t="s">
        <v>717</v>
      </c>
      <c r="F81" s="2" t="s">
        <v>718</v>
      </c>
      <c r="G81" s="2" t="s">
        <v>81</v>
      </c>
      <c r="H81" s="2" t="s">
        <v>719</v>
      </c>
      <c r="I81" s="2" t="s">
        <v>720</v>
      </c>
      <c r="J81" s="2">
        <v>10</v>
      </c>
      <c r="K81" s="2" t="s">
        <v>250</v>
      </c>
      <c r="L81" s="2" t="s">
        <v>187</v>
      </c>
      <c r="M81" s="2" t="s">
        <v>721</v>
      </c>
      <c r="N81" s="2"/>
      <c r="O81" s="2" t="s">
        <v>60</v>
      </c>
      <c r="P81" s="2" t="s">
        <v>61</v>
      </c>
      <c r="Q81" s="2" t="s">
        <v>722</v>
      </c>
      <c r="R81" s="2">
        <v>4.25</v>
      </c>
      <c r="S81" s="2" t="s">
        <v>556</v>
      </c>
      <c r="T81" s="2" t="s">
        <v>723</v>
      </c>
      <c r="U81" s="2" t="s">
        <v>724</v>
      </c>
      <c r="V81" s="2" t="s">
        <v>725</v>
      </c>
      <c r="W81" s="2" t="s">
        <v>560</v>
      </c>
      <c r="X81" s="2" t="s">
        <v>561</v>
      </c>
    </row>
    <row r="82" spans="1:24" ht="71.25" hidden="1">
      <c r="A82" s="5" t="s">
        <v>726</v>
      </c>
      <c r="B82" s="5" t="s">
        <v>48</v>
      </c>
      <c r="C82" s="5" t="s">
        <v>547</v>
      </c>
      <c r="D82" s="5" t="s">
        <v>727</v>
      </c>
      <c r="E82" s="5" t="s">
        <v>728</v>
      </c>
      <c r="F82" s="5" t="s">
        <v>729</v>
      </c>
      <c r="G82" s="5" t="s">
        <v>53</v>
      </c>
      <c r="H82" s="5" t="s">
        <v>730</v>
      </c>
      <c r="I82" s="5" t="s">
        <v>731</v>
      </c>
      <c r="J82" s="5">
        <v>8</v>
      </c>
      <c r="K82" s="5" t="s">
        <v>56</v>
      </c>
      <c r="L82" s="5" t="s">
        <v>187</v>
      </c>
      <c r="M82" s="2" t="s">
        <v>732</v>
      </c>
      <c r="N82" s="2" t="s">
        <v>733</v>
      </c>
      <c r="O82" s="2" t="s">
        <v>60</v>
      </c>
      <c r="P82" s="2" t="s">
        <v>61</v>
      </c>
      <c r="Q82" s="2" t="s">
        <v>210</v>
      </c>
      <c r="R82" s="2">
        <v>2</v>
      </c>
      <c r="S82" s="2" t="s">
        <v>556</v>
      </c>
      <c r="T82" s="2" t="s">
        <v>734</v>
      </c>
      <c r="U82" s="2" t="s">
        <v>735</v>
      </c>
      <c r="V82" s="2" t="s">
        <v>736</v>
      </c>
      <c r="W82" s="2" t="s">
        <v>560</v>
      </c>
      <c r="X82" s="2" t="s">
        <v>561</v>
      </c>
    </row>
    <row r="83" spans="1:24" ht="114" hidden="1">
      <c r="A83" s="5" t="s">
        <v>737</v>
      </c>
      <c r="B83" s="5" t="s">
        <v>48</v>
      </c>
      <c r="C83" s="5" t="s">
        <v>547</v>
      </c>
      <c r="D83" s="5" t="s">
        <v>738</v>
      </c>
      <c r="E83" s="5" t="s">
        <v>650</v>
      </c>
      <c r="F83" s="5" t="s">
        <v>739</v>
      </c>
      <c r="G83" s="5" t="s">
        <v>53</v>
      </c>
      <c r="H83" s="5" t="s">
        <v>740</v>
      </c>
      <c r="I83" s="5" t="s">
        <v>741</v>
      </c>
      <c r="J83" s="5">
        <v>10</v>
      </c>
      <c r="K83" s="5" t="s">
        <v>56</v>
      </c>
      <c r="L83" s="5" t="s">
        <v>187</v>
      </c>
      <c r="M83" s="2" t="s">
        <v>742</v>
      </c>
      <c r="N83" s="2" t="s">
        <v>743</v>
      </c>
      <c r="O83" s="2" t="s">
        <v>60</v>
      </c>
      <c r="P83" s="2" t="s">
        <v>61</v>
      </c>
      <c r="Q83" s="2" t="s">
        <v>744</v>
      </c>
      <c r="R83" s="2">
        <v>2.666666666666667</v>
      </c>
      <c r="S83" s="2" t="s">
        <v>556</v>
      </c>
      <c r="T83" s="2" t="s">
        <v>745</v>
      </c>
      <c r="U83" s="2" t="s">
        <v>746</v>
      </c>
      <c r="V83" s="2" t="s">
        <v>747</v>
      </c>
      <c r="W83" s="2" t="s">
        <v>560</v>
      </c>
      <c r="X83" s="2" t="s">
        <v>561</v>
      </c>
    </row>
    <row r="84" spans="1:24" ht="85.5" hidden="1">
      <c r="A84" s="2" t="s">
        <v>748</v>
      </c>
      <c r="B84" s="2" t="s">
        <v>48</v>
      </c>
      <c r="C84" s="2" t="s">
        <v>547</v>
      </c>
      <c r="D84" s="2" t="s">
        <v>749</v>
      </c>
      <c r="E84" s="2" t="s">
        <v>750</v>
      </c>
      <c r="F84" s="2" t="s">
        <v>751</v>
      </c>
      <c r="G84" s="2" t="s">
        <v>81</v>
      </c>
      <c r="H84" s="2" t="s">
        <v>752</v>
      </c>
      <c r="I84" s="2" t="s">
        <v>753</v>
      </c>
      <c r="J84" s="2">
        <v>10</v>
      </c>
      <c r="K84" s="2" t="s">
        <v>250</v>
      </c>
      <c r="L84" s="2" t="s">
        <v>145</v>
      </c>
      <c r="M84" s="2" t="s">
        <v>754</v>
      </c>
      <c r="N84" s="2" t="s">
        <v>755</v>
      </c>
      <c r="O84" s="2" t="s">
        <v>60</v>
      </c>
      <c r="P84" s="2" t="s">
        <v>61</v>
      </c>
      <c r="Q84" s="2" t="s">
        <v>756</v>
      </c>
      <c r="R84" s="2">
        <v>4.25</v>
      </c>
      <c r="S84" s="2" t="s">
        <v>556</v>
      </c>
      <c r="T84" s="2" t="s">
        <v>757</v>
      </c>
      <c r="U84" s="2" t="s">
        <v>758</v>
      </c>
      <c r="V84" s="2" t="s">
        <v>759</v>
      </c>
      <c r="W84" s="2" t="s">
        <v>560</v>
      </c>
      <c r="X84" s="2" t="s">
        <v>561</v>
      </c>
    </row>
    <row r="85" spans="1:24" ht="85.5" hidden="1">
      <c r="A85" s="2" t="s">
        <v>760</v>
      </c>
      <c r="B85" s="2" t="s">
        <v>48</v>
      </c>
      <c r="C85" s="2" t="s">
        <v>761</v>
      </c>
      <c r="D85" s="2" t="s">
        <v>762</v>
      </c>
      <c r="E85" s="2" t="s">
        <v>71</v>
      </c>
      <c r="F85" s="2" t="s">
        <v>763</v>
      </c>
      <c r="G85" s="2" t="s">
        <v>53</v>
      </c>
      <c r="H85" s="2" t="s">
        <v>764</v>
      </c>
      <c r="I85" s="2" t="s">
        <v>765</v>
      </c>
      <c r="J85" s="2">
        <v>12</v>
      </c>
      <c r="K85" s="2" t="s">
        <v>250</v>
      </c>
      <c r="L85" s="2" t="s">
        <v>57</v>
      </c>
      <c r="M85" s="2" t="s">
        <v>91</v>
      </c>
      <c r="N85" s="2" t="s">
        <v>766</v>
      </c>
      <c r="O85" s="2" t="s">
        <v>60</v>
      </c>
      <c r="P85" s="2" t="s">
        <v>61</v>
      </c>
      <c r="Q85" s="2" t="s">
        <v>77</v>
      </c>
      <c r="R85" s="2">
        <v>2.3250000000000002</v>
      </c>
      <c r="S85" s="2" t="s">
        <v>767</v>
      </c>
      <c r="T85" s="2" t="s">
        <v>768</v>
      </c>
      <c r="U85" s="2" t="s">
        <v>65</v>
      </c>
      <c r="V85" s="2" t="s">
        <v>325</v>
      </c>
      <c r="W85" s="2" t="s">
        <v>769</v>
      </c>
      <c r="X85" s="2" t="s">
        <v>770</v>
      </c>
    </row>
    <row r="86" spans="1:24" ht="213.75" hidden="1">
      <c r="A86" s="2" t="s">
        <v>771</v>
      </c>
      <c r="B86" s="2" t="s">
        <v>48</v>
      </c>
      <c r="C86" s="2" t="s">
        <v>761</v>
      </c>
      <c r="D86" s="2" t="s">
        <v>772</v>
      </c>
      <c r="E86" s="2" t="s">
        <v>96</v>
      </c>
      <c r="F86" s="2" t="s">
        <v>763</v>
      </c>
      <c r="G86" s="2" t="s">
        <v>81</v>
      </c>
      <c r="H86" s="2" t="s">
        <v>773</v>
      </c>
      <c r="I86" s="2" t="s">
        <v>774</v>
      </c>
      <c r="J86" s="2">
        <v>8</v>
      </c>
      <c r="K86" s="2" t="s">
        <v>250</v>
      </c>
      <c r="L86" s="2" t="s">
        <v>57</v>
      </c>
      <c r="M86" s="2"/>
      <c r="N86" s="2" t="s">
        <v>775</v>
      </c>
      <c r="O86" s="2" t="s">
        <v>60</v>
      </c>
      <c r="P86" s="2" t="s">
        <v>61</v>
      </c>
      <c r="Q86" s="2" t="s">
        <v>100</v>
      </c>
      <c r="R86" s="2">
        <v>1.2000000000000002</v>
      </c>
      <c r="S86" s="2" t="s">
        <v>767</v>
      </c>
      <c r="T86" s="2" t="s">
        <v>64</v>
      </c>
      <c r="U86" s="2" t="s">
        <v>65</v>
      </c>
      <c r="V86" s="2" t="s">
        <v>66</v>
      </c>
      <c r="W86" s="2" t="s">
        <v>769</v>
      </c>
      <c r="X86" s="2" t="s">
        <v>770</v>
      </c>
    </row>
    <row r="87" spans="1:24" ht="85.5" hidden="1">
      <c r="A87" s="2" t="s">
        <v>776</v>
      </c>
      <c r="B87" s="2" t="s">
        <v>48</v>
      </c>
      <c r="C87" s="2" t="s">
        <v>761</v>
      </c>
      <c r="D87" s="2" t="s">
        <v>777</v>
      </c>
      <c r="E87" s="2" t="s">
        <v>96</v>
      </c>
      <c r="F87" s="2" t="s">
        <v>763</v>
      </c>
      <c r="G87" s="2" t="s">
        <v>81</v>
      </c>
      <c r="H87" s="2" t="s">
        <v>778</v>
      </c>
      <c r="I87" s="2" t="s">
        <v>779</v>
      </c>
      <c r="J87" s="2">
        <v>6</v>
      </c>
      <c r="K87" s="2" t="s">
        <v>250</v>
      </c>
      <c r="L87" s="2" t="s">
        <v>57</v>
      </c>
      <c r="M87" s="2" t="s">
        <v>780</v>
      </c>
      <c r="N87" s="2" t="s">
        <v>766</v>
      </c>
      <c r="O87" s="2" t="s">
        <v>60</v>
      </c>
      <c r="P87" s="2" t="s">
        <v>61</v>
      </c>
      <c r="Q87" s="2" t="s">
        <v>100</v>
      </c>
      <c r="R87" s="2">
        <v>0.89999999999999991</v>
      </c>
      <c r="S87" s="2" t="s">
        <v>767</v>
      </c>
      <c r="T87" s="2" t="s">
        <v>781</v>
      </c>
      <c r="U87" s="2" t="s">
        <v>65</v>
      </c>
      <c r="V87" s="2" t="s">
        <v>325</v>
      </c>
      <c r="W87" s="2" t="s">
        <v>769</v>
      </c>
      <c r="X87" s="2" t="s">
        <v>770</v>
      </c>
    </row>
    <row r="88" spans="1:24" ht="270.75" hidden="1">
      <c r="A88" s="2" t="s">
        <v>782</v>
      </c>
      <c r="B88" s="2" t="s">
        <v>48</v>
      </c>
      <c r="C88" s="2" t="s">
        <v>761</v>
      </c>
      <c r="D88" s="2" t="s">
        <v>783</v>
      </c>
      <c r="E88" s="2" t="s">
        <v>71</v>
      </c>
      <c r="F88" s="2" t="s">
        <v>72</v>
      </c>
      <c r="G88" s="2" t="s">
        <v>81</v>
      </c>
      <c r="H88" s="2" t="s">
        <v>784</v>
      </c>
      <c r="I88" s="2" t="s">
        <v>785</v>
      </c>
      <c r="J88" s="2">
        <v>4</v>
      </c>
      <c r="K88" s="2" t="s">
        <v>250</v>
      </c>
      <c r="L88" s="2" t="s">
        <v>57</v>
      </c>
      <c r="M88" s="2"/>
      <c r="N88" s="2"/>
      <c r="O88" s="2" t="s">
        <v>60</v>
      </c>
      <c r="P88" s="2" t="s">
        <v>61</v>
      </c>
      <c r="Q88" s="2" t="s">
        <v>77</v>
      </c>
      <c r="R88" s="2">
        <v>0.77500000000000002</v>
      </c>
      <c r="S88" s="2" t="s">
        <v>767</v>
      </c>
      <c r="T88" s="2" t="s">
        <v>64</v>
      </c>
      <c r="U88" s="2" t="s">
        <v>65</v>
      </c>
      <c r="V88" s="2" t="s">
        <v>66</v>
      </c>
      <c r="W88" s="2" t="s">
        <v>769</v>
      </c>
      <c r="X88" s="2" t="s">
        <v>770</v>
      </c>
    </row>
    <row r="89" spans="1:24" ht="114" hidden="1">
      <c r="A89" s="2" t="s">
        <v>786</v>
      </c>
      <c r="B89" s="2" t="s">
        <v>48</v>
      </c>
      <c r="C89" s="2" t="s">
        <v>761</v>
      </c>
      <c r="D89" s="2" t="s">
        <v>787</v>
      </c>
      <c r="E89" s="2" t="s">
        <v>96</v>
      </c>
      <c r="F89" s="2" t="s">
        <v>788</v>
      </c>
      <c r="G89" s="2" t="s">
        <v>53</v>
      </c>
      <c r="H89" s="2" t="s">
        <v>789</v>
      </c>
      <c r="I89" s="2" t="s">
        <v>790</v>
      </c>
      <c r="J89" s="2">
        <v>12</v>
      </c>
      <c r="K89" s="2" t="s">
        <v>250</v>
      </c>
      <c r="L89" s="2" t="s">
        <v>57</v>
      </c>
      <c r="M89" s="2"/>
      <c r="N89" s="2"/>
      <c r="O89" s="2" t="s">
        <v>60</v>
      </c>
      <c r="P89" s="2" t="s">
        <v>61</v>
      </c>
      <c r="Q89" s="2" t="s">
        <v>100</v>
      </c>
      <c r="R89" s="2">
        <v>1.7999999999999998</v>
      </c>
      <c r="S89" s="2" t="s">
        <v>767</v>
      </c>
      <c r="T89" s="2" t="s">
        <v>64</v>
      </c>
      <c r="U89" s="2" t="s">
        <v>65</v>
      </c>
      <c r="V89" s="2" t="s">
        <v>66</v>
      </c>
      <c r="W89" s="2" t="s">
        <v>769</v>
      </c>
      <c r="X89" s="2" t="s">
        <v>770</v>
      </c>
    </row>
    <row r="90" spans="1:24" ht="71.25" hidden="1">
      <c r="A90" s="2" t="s">
        <v>791</v>
      </c>
      <c r="B90" s="2" t="s">
        <v>48</v>
      </c>
      <c r="C90" s="2" t="s">
        <v>761</v>
      </c>
      <c r="D90" s="2" t="s">
        <v>792</v>
      </c>
      <c r="E90" s="2" t="s">
        <v>96</v>
      </c>
      <c r="F90" s="2" t="s">
        <v>793</v>
      </c>
      <c r="G90" s="2" t="s">
        <v>53</v>
      </c>
      <c r="H90" s="2" t="s">
        <v>794</v>
      </c>
      <c r="I90" s="2" t="s">
        <v>795</v>
      </c>
      <c r="J90" s="2">
        <v>12</v>
      </c>
      <c r="K90" s="2" t="s">
        <v>250</v>
      </c>
      <c r="L90" s="2" t="s">
        <v>57</v>
      </c>
      <c r="M90" s="2"/>
      <c r="N90" s="2" t="s">
        <v>796</v>
      </c>
      <c r="O90" s="2" t="s">
        <v>60</v>
      </c>
      <c r="P90" s="2" t="s">
        <v>61</v>
      </c>
      <c r="Q90" s="2" t="s">
        <v>100</v>
      </c>
      <c r="R90" s="2">
        <v>1.7999999999999998</v>
      </c>
      <c r="S90" s="2" t="s">
        <v>767</v>
      </c>
      <c r="T90" s="2" t="s">
        <v>64</v>
      </c>
      <c r="U90" s="2" t="s">
        <v>65</v>
      </c>
      <c r="V90" s="2" t="s">
        <v>66</v>
      </c>
      <c r="W90" s="2" t="s">
        <v>769</v>
      </c>
      <c r="X90" s="2" t="s">
        <v>770</v>
      </c>
    </row>
    <row r="91" spans="1:24" ht="57" hidden="1">
      <c r="A91" s="2" t="s">
        <v>797</v>
      </c>
      <c r="B91" s="2" t="s">
        <v>48</v>
      </c>
      <c r="C91" s="2" t="s">
        <v>761</v>
      </c>
      <c r="D91" s="2" t="s">
        <v>798</v>
      </c>
      <c r="E91" s="2" t="s">
        <v>162</v>
      </c>
      <c r="F91" s="2" t="s">
        <v>793</v>
      </c>
      <c r="G91" s="2" t="s">
        <v>81</v>
      </c>
      <c r="H91" s="2" t="s">
        <v>799</v>
      </c>
      <c r="I91" s="2" t="s">
        <v>800</v>
      </c>
      <c r="J91" s="2">
        <v>12</v>
      </c>
      <c r="K91" s="2" t="s">
        <v>250</v>
      </c>
      <c r="L91" s="2" t="s">
        <v>145</v>
      </c>
      <c r="M91" s="2"/>
      <c r="N91" s="2"/>
      <c r="O91" s="2" t="s">
        <v>60</v>
      </c>
      <c r="P91" s="2" t="s">
        <v>61</v>
      </c>
      <c r="Q91" s="2" t="s">
        <v>275</v>
      </c>
      <c r="R91" s="2">
        <v>2</v>
      </c>
      <c r="S91" s="2" t="s">
        <v>767</v>
      </c>
      <c r="T91" s="2" t="s">
        <v>64</v>
      </c>
      <c r="U91" s="2" t="s">
        <v>277</v>
      </c>
      <c r="V91" s="2" t="s">
        <v>66</v>
      </c>
      <c r="W91" s="2" t="s">
        <v>769</v>
      </c>
      <c r="X91" s="2" t="s">
        <v>770</v>
      </c>
    </row>
    <row r="92" spans="1:24" ht="199.5" hidden="1">
      <c r="A92" s="2" t="s">
        <v>801</v>
      </c>
      <c r="B92" s="2" t="s">
        <v>48</v>
      </c>
      <c r="C92" s="2" t="s">
        <v>761</v>
      </c>
      <c r="D92" s="2" t="s">
        <v>802</v>
      </c>
      <c r="E92" s="2" t="s">
        <v>96</v>
      </c>
      <c r="F92" s="2" t="s">
        <v>803</v>
      </c>
      <c r="G92" s="2" t="s">
        <v>53</v>
      </c>
      <c r="H92" s="2" t="s">
        <v>804</v>
      </c>
      <c r="I92" s="2" t="s">
        <v>805</v>
      </c>
      <c r="J92" s="2">
        <v>12</v>
      </c>
      <c r="K92" s="2" t="s">
        <v>250</v>
      </c>
      <c r="L92" s="2" t="s">
        <v>57</v>
      </c>
      <c r="M92" s="2" t="s">
        <v>791</v>
      </c>
      <c r="N92" s="2" t="s">
        <v>806</v>
      </c>
      <c r="O92" s="2" t="s">
        <v>60</v>
      </c>
      <c r="P92" s="2" t="s">
        <v>61</v>
      </c>
      <c r="Q92" s="2" t="s">
        <v>100</v>
      </c>
      <c r="R92" s="2">
        <v>1.7999999999999998</v>
      </c>
      <c r="S92" s="2" t="s">
        <v>767</v>
      </c>
      <c r="T92" s="2" t="s">
        <v>807</v>
      </c>
      <c r="U92" s="2" t="s">
        <v>65</v>
      </c>
      <c r="V92" s="2" t="s">
        <v>66</v>
      </c>
      <c r="W92" s="2" t="s">
        <v>769</v>
      </c>
      <c r="X92" s="2" t="s">
        <v>770</v>
      </c>
    </row>
    <row r="93" spans="1:24" ht="114" hidden="1">
      <c r="A93" s="2" t="s">
        <v>808</v>
      </c>
      <c r="B93" s="2" t="s">
        <v>48</v>
      </c>
      <c r="C93" s="2" t="s">
        <v>761</v>
      </c>
      <c r="D93" s="2" t="s">
        <v>809</v>
      </c>
      <c r="E93" s="2" t="s">
        <v>360</v>
      </c>
      <c r="F93" s="2" t="s">
        <v>810</v>
      </c>
      <c r="G93" s="2" t="s">
        <v>53</v>
      </c>
      <c r="H93" s="2" t="s">
        <v>1744</v>
      </c>
      <c r="I93" s="2" t="s">
        <v>1745</v>
      </c>
      <c r="J93" s="2">
        <v>12</v>
      </c>
      <c r="K93" s="2" t="s">
        <v>250</v>
      </c>
      <c r="L93" s="2" t="s">
        <v>57</v>
      </c>
      <c r="M93" s="2"/>
      <c r="N93" s="2"/>
      <c r="O93" s="2" t="s">
        <v>60</v>
      </c>
      <c r="P93" s="2" t="s">
        <v>61</v>
      </c>
      <c r="Q93" s="2" t="s">
        <v>364</v>
      </c>
      <c r="R93" s="2">
        <v>3.2</v>
      </c>
      <c r="S93" s="2" t="s">
        <v>767</v>
      </c>
      <c r="T93" s="2" t="s">
        <v>64</v>
      </c>
      <c r="U93" s="2" t="s">
        <v>65</v>
      </c>
      <c r="V93" s="2" t="s">
        <v>66</v>
      </c>
      <c r="W93" s="2" t="s">
        <v>769</v>
      </c>
      <c r="X93" s="2" t="s">
        <v>770</v>
      </c>
    </row>
    <row r="94" spans="1:24" ht="71.25" hidden="1">
      <c r="A94" s="2" t="s">
        <v>811</v>
      </c>
      <c r="B94" s="2" t="s">
        <v>48</v>
      </c>
      <c r="C94" s="2" t="s">
        <v>761</v>
      </c>
      <c r="D94" s="2" t="s">
        <v>812</v>
      </c>
      <c r="E94" s="2" t="s">
        <v>360</v>
      </c>
      <c r="F94" s="2" t="s">
        <v>813</v>
      </c>
      <c r="G94" s="2" t="s">
        <v>53</v>
      </c>
      <c r="H94" s="2" t="s">
        <v>814</v>
      </c>
      <c r="I94" s="2" t="s">
        <v>815</v>
      </c>
      <c r="J94" s="2">
        <v>12</v>
      </c>
      <c r="K94" s="2" t="s">
        <v>250</v>
      </c>
      <c r="L94" s="2" t="s">
        <v>57</v>
      </c>
      <c r="M94" s="2"/>
      <c r="N94" s="2" t="s">
        <v>816</v>
      </c>
      <c r="O94" s="2" t="s">
        <v>60</v>
      </c>
      <c r="P94" s="2" t="s">
        <v>61</v>
      </c>
      <c r="Q94" s="2" t="s">
        <v>364</v>
      </c>
      <c r="R94" s="2">
        <v>3.2</v>
      </c>
      <c r="S94" s="2" t="s">
        <v>767</v>
      </c>
      <c r="T94" s="2" t="s">
        <v>64</v>
      </c>
      <c r="U94" s="2" t="s">
        <v>65</v>
      </c>
      <c r="V94" s="2" t="s">
        <v>66</v>
      </c>
      <c r="W94" s="2" t="s">
        <v>769</v>
      </c>
      <c r="X94" s="2" t="s">
        <v>770</v>
      </c>
    </row>
    <row r="95" spans="1:24" ht="71.25" hidden="1">
      <c r="A95" s="2" t="s">
        <v>817</v>
      </c>
      <c r="B95" s="2" t="s">
        <v>48</v>
      </c>
      <c r="C95" s="2" t="s">
        <v>761</v>
      </c>
      <c r="D95" s="2" t="s">
        <v>818</v>
      </c>
      <c r="E95" s="2" t="s">
        <v>360</v>
      </c>
      <c r="F95" s="2" t="s">
        <v>361</v>
      </c>
      <c r="G95" s="2" t="s">
        <v>81</v>
      </c>
      <c r="H95" s="2" t="s">
        <v>819</v>
      </c>
      <c r="I95" s="2" t="s">
        <v>820</v>
      </c>
      <c r="J95" s="2">
        <v>12</v>
      </c>
      <c r="K95" s="2" t="s">
        <v>250</v>
      </c>
      <c r="L95" s="2" t="s">
        <v>57</v>
      </c>
      <c r="M95" s="2"/>
      <c r="N95" s="2"/>
      <c r="O95" s="2" t="s">
        <v>60</v>
      </c>
      <c r="P95" s="2" t="s">
        <v>61</v>
      </c>
      <c r="Q95" s="2" t="s">
        <v>364</v>
      </c>
      <c r="R95" s="2">
        <v>3.2</v>
      </c>
      <c r="S95" s="2" t="s">
        <v>767</v>
      </c>
      <c r="T95" s="2" t="s">
        <v>64</v>
      </c>
      <c r="U95" s="2" t="s">
        <v>65</v>
      </c>
      <c r="V95" s="2" t="s">
        <v>66</v>
      </c>
      <c r="W95" s="2" t="s">
        <v>769</v>
      </c>
      <c r="X95" s="2" t="s">
        <v>770</v>
      </c>
    </row>
    <row r="96" spans="1:24" ht="71.25" hidden="1">
      <c r="A96" s="2" t="s">
        <v>821</v>
      </c>
      <c r="B96" s="2" t="s">
        <v>48</v>
      </c>
      <c r="C96" s="2" t="s">
        <v>761</v>
      </c>
      <c r="D96" s="2" t="s">
        <v>822</v>
      </c>
      <c r="E96" s="2" t="s">
        <v>823</v>
      </c>
      <c r="F96" s="2" t="s">
        <v>824</v>
      </c>
      <c r="G96" s="2" t="s">
        <v>81</v>
      </c>
      <c r="H96" s="2" t="s">
        <v>825</v>
      </c>
      <c r="I96" s="2" t="s">
        <v>826</v>
      </c>
      <c r="J96" s="2">
        <v>12</v>
      </c>
      <c r="K96" s="2" t="s">
        <v>250</v>
      </c>
      <c r="L96" s="2" t="s">
        <v>57</v>
      </c>
      <c r="M96" s="2"/>
      <c r="N96" s="2"/>
      <c r="O96" s="2" t="s">
        <v>60</v>
      </c>
      <c r="P96" s="2" t="s">
        <v>61</v>
      </c>
      <c r="Q96" s="2" t="s">
        <v>827</v>
      </c>
      <c r="R96" s="2">
        <v>0.9</v>
      </c>
      <c r="S96" s="2" t="s">
        <v>767</v>
      </c>
      <c r="T96" s="2" t="s">
        <v>64</v>
      </c>
      <c r="U96" s="2" t="s">
        <v>65</v>
      </c>
      <c r="V96" s="2" t="s">
        <v>66</v>
      </c>
      <c r="W96" s="2" t="s">
        <v>769</v>
      </c>
      <c r="X96" s="2" t="s">
        <v>770</v>
      </c>
    </row>
    <row r="97" spans="1:24" ht="142.5" hidden="1">
      <c r="A97" s="2" t="s">
        <v>520</v>
      </c>
      <c r="B97" s="2" t="s">
        <v>48</v>
      </c>
      <c r="C97" s="2" t="s">
        <v>761</v>
      </c>
      <c r="D97" s="2" t="s">
        <v>828</v>
      </c>
      <c r="E97" s="2" t="s">
        <v>51</v>
      </c>
      <c r="F97" s="2" t="s">
        <v>829</v>
      </c>
      <c r="G97" s="2" t="s">
        <v>53</v>
      </c>
      <c r="H97" s="2" t="s">
        <v>1746</v>
      </c>
      <c r="I97" s="2" t="s">
        <v>1747</v>
      </c>
      <c r="J97" s="2">
        <v>12</v>
      </c>
      <c r="K97" s="2" t="s">
        <v>250</v>
      </c>
      <c r="L97" s="2" t="s">
        <v>57</v>
      </c>
      <c r="M97" s="2" t="s">
        <v>1748</v>
      </c>
      <c r="N97" s="2"/>
      <c r="O97" s="2" t="s">
        <v>60</v>
      </c>
      <c r="P97" s="2" t="s">
        <v>61</v>
      </c>
      <c r="Q97" s="2" t="s">
        <v>62</v>
      </c>
      <c r="R97" s="2">
        <v>4.08</v>
      </c>
      <c r="S97" s="2" t="s">
        <v>767</v>
      </c>
      <c r="T97" s="2" t="s">
        <v>830</v>
      </c>
      <c r="U97" s="2" t="s">
        <v>831</v>
      </c>
      <c r="V97" s="2" t="s">
        <v>832</v>
      </c>
      <c r="W97" s="2" t="s">
        <v>769</v>
      </c>
      <c r="X97" s="2" t="s">
        <v>1749</v>
      </c>
    </row>
    <row r="98" spans="1:24" ht="57" hidden="1">
      <c r="A98" s="2" t="s">
        <v>833</v>
      </c>
      <c r="B98" s="2" t="s">
        <v>48</v>
      </c>
      <c r="C98" s="2" t="s">
        <v>761</v>
      </c>
      <c r="D98" s="2" t="s">
        <v>834</v>
      </c>
      <c r="E98" s="2" t="s">
        <v>823</v>
      </c>
      <c r="F98" s="2" t="s">
        <v>835</v>
      </c>
      <c r="G98" s="2" t="s">
        <v>81</v>
      </c>
      <c r="H98" s="2" t="s">
        <v>836</v>
      </c>
      <c r="I98" s="2" t="s">
        <v>837</v>
      </c>
      <c r="J98" s="2">
        <v>6</v>
      </c>
      <c r="K98" s="2" t="s">
        <v>250</v>
      </c>
      <c r="L98" s="2" t="s">
        <v>57</v>
      </c>
      <c r="M98" s="2" t="s">
        <v>387</v>
      </c>
      <c r="N98" s="2"/>
      <c r="O98" s="2" t="s">
        <v>60</v>
      </c>
      <c r="P98" s="2" t="s">
        <v>61</v>
      </c>
      <c r="Q98" s="2" t="s">
        <v>838</v>
      </c>
      <c r="R98" s="2">
        <v>2.25</v>
      </c>
      <c r="S98" s="2" t="s">
        <v>767</v>
      </c>
      <c r="T98" s="2" t="s">
        <v>839</v>
      </c>
      <c r="U98" s="2" t="s">
        <v>840</v>
      </c>
      <c r="V98" s="2" t="s">
        <v>841</v>
      </c>
      <c r="W98" s="2" t="s">
        <v>769</v>
      </c>
      <c r="X98" s="2" t="s">
        <v>770</v>
      </c>
    </row>
    <row r="99" spans="1:24" ht="99.75" hidden="1">
      <c r="A99" s="2" t="s">
        <v>842</v>
      </c>
      <c r="B99" s="2" t="s">
        <v>843</v>
      </c>
      <c r="C99" s="2" t="s">
        <v>49</v>
      </c>
      <c r="D99" s="2" t="s">
        <v>844</v>
      </c>
      <c r="E99" s="2" t="s">
        <v>360</v>
      </c>
      <c r="F99" s="2" t="s">
        <v>810</v>
      </c>
      <c r="G99" s="2" t="s">
        <v>53</v>
      </c>
      <c r="H99" s="2" t="s">
        <v>845</v>
      </c>
      <c r="I99" s="2" t="s">
        <v>846</v>
      </c>
      <c r="J99" s="2">
        <v>12</v>
      </c>
      <c r="K99" s="2" t="s">
        <v>250</v>
      </c>
      <c r="L99" s="2" t="s">
        <v>57</v>
      </c>
      <c r="M99" s="2" t="s">
        <v>847</v>
      </c>
      <c r="N99" s="2" t="s">
        <v>848</v>
      </c>
      <c r="O99" s="2" t="s">
        <v>849</v>
      </c>
      <c r="P99" s="2" t="s">
        <v>850</v>
      </c>
      <c r="Q99" s="2" t="s">
        <v>364</v>
      </c>
      <c r="R99" s="2">
        <v>3.2</v>
      </c>
      <c r="S99" s="2" t="s">
        <v>851</v>
      </c>
      <c r="T99" s="2" t="s">
        <v>852</v>
      </c>
      <c r="U99" s="2" t="s">
        <v>65</v>
      </c>
      <c r="V99" s="2" t="s">
        <v>66</v>
      </c>
      <c r="W99" s="2" t="s">
        <v>853</v>
      </c>
      <c r="X99" s="2" t="s">
        <v>854</v>
      </c>
    </row>
    <row r="100" spans="1:24" ht="42.75" hidden="1">
      <c r="A100" s="2" t="s">
        <v>855</v>
      </c>
      <c r="B100" s="2" t="s">
        <v>843</v>
      </c>
      <c r="C100" s="2" t="s">
        <v>49</v>
      </c>
      <c r="D100" s="2" t="s">
        <v>856</v>
      </c>
      <c r="E100" s="2" t="s">
        <v>96</v>
      </c>
      <c r="F100" s="2" t="s">
        <v>857</v>
      </c>
      <c r="G100" s="2" t="s">
        <v>53</v>
      </c>
      <c r="H100" s="2" t="s">
        <v>858</v>
      </c>
      <c r="I100" s="2" t="s">
        <v>859</v>
      </c>
      <c r="J100" s="2">
        <v>12</v>
      </c>
      <c r="K100" s="2" t="s">
        <v>250</v>
      </c>
      <c r="L100" s="2" t="s">
        <v>57</v>
      </c>
      <c r="M100" s="2"/>
      <c r="N100" s="2"/>
      <c r="O100" s="2" t="s">
        <v>849</v>
      </c>
      <c r="P100" s="2" t="s">
        <v>850</v>
      </c>
      <c r="Q100" s="2" t="s">
        <v>860</v>
      </c>
      <c r="R100" s="2">
        <v>7.2</v>
      </c>
      <c r="S100" s="2" t="s">
        <v>851</v>
      </c>
      <c r="T100" s="2" t="s">
        <v>861</v>
      </c>
      <c r="U100" s="2" t="s">
        <v>862</v>
      </c>
      <c r="V100" s="2" t="s">
        <v>66</v>
      </c>
      <c r="W100" s="2" t="s">
        <v>853</v>
      </c>
      <c r="X100" s="2" t="s">
        <v>854</v>
      </c>
    </row>
    <row r="101" spans="1:24" ht="42.75" hidden="1">
      <c r="A101" s="2" t="s">
        <v>863</v>
      </c>
      <c r="B101" s="2" t="s">
        <v>843</v>
      </c>
      <c r="C101" s="2" t="s">
        <v>49</v>
      </c>
      <c r="D101" s="2" t="s">
        <v>864</v>
      </c>
      <c r="E101" s="2" t="s">
        <v>71</v>
      </c>
      <c r="F101" s="2" t="s">
        <v>857</v>
      </c>
      <c r="G101" s="2" t="s">
        <v>53</v>
      </c>
      <c r="H101" s="2" t="s">
        <v>865</v>
      </c>
      <c r="I101" s="2" t="s">
        <v>866</v>
      </c>
      <c r="J101" s="2">
        <v>12</v>
      </c>
      <c r="K101" s="2" t="s">
        <v>250</v>
      </c>
      <c r="L101" s="2" t="s">
        <v>57</v>
      </c>
      <c r="M101" s="2"/>
      <c r="N101" s="2"/>
      <c r="O101" s="2" t="s">
        <v>849</v>
      </c>
      <c r="P101" s="2" t="s">
        <v>850</v>
      </c>
      <c r="Q101" s="2" t="s">
        <v>860</v>
      </c>
      <c r="R101" s="2">
        <v>7.2</v>
      </c>
      <c r="S101" s="2" t="s">
        <v>851</v>
      </c>
      <c r="T101" s="2" t="s">
        <v>861</v>
      </c>
      <c r="U101" s="2" t="s">
        <v>862</v>
      </c>
      <c r="V101" s="2" t="s">
        <v>66</v>
      </c>
      <c r="W101" s="2" t="s">
        <v>853</v>
      </c>
      <c r="X101" s="2" t="s">
        <v>854</v>
      </c>
    </row>
    <row r="102" spans="1:24" ht="42.75" hidden="1">
      <c r="A102" s="2" t="s">
        <v>421</v>
      </c>
      <c r="B102" s="2" t="s">
        <v>843</v>
      </c>
      <c r="C102" s="2" t="s">
        <v>49</v>
      </c>
      <c r="D102" s="2" t="s">
        <v>867</v>
      </c>
      <c r="E102" s="2" t="s">
        <v>96</v>
      </c>
      <c r="F102" s="2" t="s">
        <v>868</v>
      </c>
      <c r="G102" s="2" t="s">
        <v>53</v>
      </c>
      <c r="H102" s="2" t="s">
        <v>869</v>
      </c>
      <c r="I102" s="2" t="s">
        <v>870</v>
      </c>
      <c r="J102" s="2">
        <v>12</v>
      </c>
      <c r="K102" s="2" t="s">
        <v>250</v>
      </c>
      <c r="L102" s="2" t="s">
        <v>57</v>
      </c>
      <c r="M102" s="2" t="s">
        <v>871</v>
      </c>
      <c r="N102" s="2"/>
      <c r="O102" s="2" t="s">
        <v>849</v>
      </c>
      <c r="P102" s="2" t="s">
        <v>850</v>
      </c>
      <c r="Q102" s="2" t="s">
        <v>860</v>
      </c>
      <c r="R102" s="2">
        <v>7.2</v>
      </c>
      <c r="S102" s="2" t="s">
        <v>851</v>
      </c>
      <c r="T102" s="2" t="s">
        <v>861</v>
      </c>
      <c r="U102" s="2" t="s">
        <v>862</v>
      </c>
      <c r="V102" s="2" t="s">
        <v>66</v>
      </c>
      <c r="W102" s="2" t="s">
        <v>853</v>
      </c>
      <c r="X102" s="2" t="s">
        <v>854</v>
      </c>
    </row>
    <row r="103" spans="1:24" ht="42.75" hidden="1">
      <c r="A103" s="2" t="s">
        <v>872</v>
      </c>
      <c r="B103" s="2" t="s">
        <v>843</v>
      </c>
      <c r="C103" s="2" t="s">
        <v>49</v>
      </c>
      <c r="D103" s="2" t="s">
        <v>873</v>
      </c>
      <c r="E103" s="2" t="s">
        <v>71</v>
      </c>
      <c r="F103" s="2" t="s">
        <v>874</v>
      </c>
      <c r="G103" s="2" t="s">
        <v>81</v>
      </c>
      <c r="H103" s="2" t="s">
        <v>875</v>
      </c>
      <c r="I103" s="2" t="s">
        <v>876</v>
      </c>
      <c r="J103" s="2">
        <v>12</v>
      </c>
      <c r="K103" s="2" t="s">
        <v>250</v>
      </c>
      <c r="L103" s="2" t="s">
        <v>57</v>
      </c>
      <c r="M103" s="2"/>
      <c r="N103" s="2"/>
      <c r="O103" s="2" t="s">
        <v>849</v>
      </c>
      <c r="P103" s="2" t="s">
        <v>850</v>
      </c>
      <c r="Q103" s="2" t="s">
        <v>860</v>
      </c>
      <c r="R103" s="2">
        <v>7.2</v>
      </c>
      <c r="S103" s="2" t="s">
        <v>851</v>
      </c>
      <c r="T103" s="2" t="s">
        <v>861</v>
      </c>
      <c r="U103" s="2" t="s">
        <v>862</v>
      </c>
      <c r="V103" s="2" t="s">
        <v>66</v>
      </c>
      <c r="W103" s="2" t="s">
        <v>853</v>
      </c>
      <c r="X103" s="2" t="s">
        <v>854</v>
      </c>
    </row>
    <row r="104" spans="1:24" ht="71.25" hidden="1">
      <c r="A104" s="2" t="s">
        <v>877</v>
      </c>
      <c r="B104" s="2" t="s">
        <v>843</v>
      </c>
      <c r="C104" s="2" t="s">
        <v>49</v>
      </c>
      <c r="D104" s="2" t="s">
        <v>878</v>
      </c>
      <c r="E104" s="2" t="s">
        <v>360</v>
      </c>
      <c r="F104" s="2" t="s">
        <v>874</v>
      </c>
      <c r="G104" s="2" t="s">
        <v>81</v>
      </c>
      <c r="H104" s="2" t="s">
        <v>879</v>
      </c>
      <c r="I104" s="2" t="s">
        <v>880</v>
      </c>
      <c r="J104" s="2">
        <v>12</v>
      </c>
      <c r="K104" s="2" t="s">
        <v>250</v>
      </c>
      <c r="L104" s="2" t="s">
        <v>187</v>
      </c>
      <c r="M104" s="2"/>
      <c r="N104" s="2"/>
      <c r="O104" s="2" t="s">
        <v>849</v>
      </c>
      <c r="P104" s="2" t="s">
        <v>850</v>
      </c>
      <c r="Q104" s="2" t="s">
        <v>881</v>
      </c>
      <c r="R104" s="2">
        <v>4.32</v>
      </c>
      <c r="S104" s="2" t="s">
        <v>851</v>
      </c>
      <c r="T104" s="2" t="s">
        <v>882</v>
      </c>
      <c r="U104" s="2" t="s">
        <v>883</v>
      </c>
      <c r="V104" s="2" t="s">
        <v>66</v>
      </c>
      <c r="W104" s="2" t="s">
        <v>853</v>
      </c>
      <c r="X104" s="2" t="s">
        <v>854</v>
      </c>
    </row>
    <row r="105" spans="1:24" ht="85.5" hidden="1">
      <c r="A105" s="2" t="s">
        <v>884</v>
      </c>
      <c r="B105" s="2" t="s">
        <v>843</v>
      </c>
      <c r="C105" s="2" t="s">
        <v>49</v>
      </c>
      <c r="D105" s="2" t="s">
        <v>885</v>
      </c>
      <c r="E105" s="2" t="s">
        <v>360</v>
      </c>
      <c r="F105" s="2" t="s">
        <v>886</v>
      </c>
      <c r="G105" s="2" t="s">
        <v>53</v>
      </c>
      <c r="H105" s="2" t="s">
        <v>887</v>
      </c>
      <c r="I105" s="2" t="s">
        <v>888</v>
      </c>
      <c r="J105" s="2">
        <v>12</v>
      </c>
      <c r="K105" s="2" t="s">
        <v>250</v>
      </c>
      <c r="L105" s="2" t="s">
        <v>187</v>
      </c>
      <c r="M105" s="2"/>
      <c r="N105" s="2"/>
      <c r="O105" s="2" t="s">
        <v>849</v>
      </c>
      <c r="P105" s="2" t="s">
        <v>850</v>
      </c>
      <c r="Q105" s="2" t="s">
        <v>881</v>
      </c>
      <c r="R105" s="2">
        <v>4.32</v>
      </c>
      <c r="S105" s="2" t="s">
        <v>851</v>
      </c>
      <c r="T105" s="2" t="s">
        <v>882</v>
      </c>
      <c r="U105" s="2" t="s">
        <v>883</v>
      </c>
      <c r="V105" s="2" t="s">
        <v>66</v>
      </c>
      <c r="W105" s="2" t="s">
        <v>853</v>
      </c>
      <c r="X105" s="2" t="s">
        <v>854</v>
      </c>
    </row>
    <row r="106" spans="1:24" ht="42.75" hidden="1">
      <c r="A106" s="2" t="s">
        <v>889</v>
      </c>
      <c r="B106" s="2" t="s">
        <v>843</v>
      </c>
      <c r="C106" s="2" t="s">
        <v>49</v>
      </c>
      <c r="D106" s="2" t="s">
        <v>890</v>
      </c>
      <c r="E106" s="2" t="s">
        <v>360</v>
      </c>
      <c r="F106" s="2" t="s">
        <v>891</v>
      </c>
      <c r="G106" s="2" t="s">
        <v>53</v>
      </c>
      <c r="H106" s="2" t="s">
        <v>892</v>
      </c>
      <c r="I106" s="2" t="s">
        <v>893</v>
      </c>
      <c r="J106" s="2">
        <v>12</v>
      </c>
      <c r="K106" s="2" t="s">
        <v>250</v>
      </c>
      <c r="L106" s="2" t="s">
        <v>57</v>
      </c>
      <c r="M106" s="2"/>
      <c r="N106" s="2"/>
      <c r="O106" s="2" t="s">
        <v>849</v>
      </c>
      <c r="P106" s="2" t="s">
        <v>850</v>
      </c>
      <c r="Q106" s="2" t="s">
        <v>860</v>
      </c>
      <c r="R106" s="2">
        <v>7.2</v>
      </c>
      <c r="S106" s="2" t="s">
        <v>851</v>
      </c>
      <c r="T106" s="2" t="s">
        <v>861</v>
      </c>
      <c r="U106" s="2" t="s">
        <v>862</v>
      </c>
      <c r="V106" s="2" t="s">
        <v>66</v>
      </c>
      <c r="W106" s="2" t="s">
        <v>853</v>
      </c>
      <c r="X106" s="2" t="s">
        <v>854</v>
      </c>
    </row>
    <row r="107" spans="1:24" ht="42.75" hidden="1">
      <c r="A107" s="2" t="s">
        <v>894</v>
      </c>
      <c r="B107" s="2" t="s">
        <v>843</v>
      </c>
      <c r="C107" s="2" t="s">
        <v>49</v>
      </c>
      <c r="D107" s="2" t="s">
        <v>895</v>
      </c>
      <c r="E107" s="2" t="s">
        <v>360</v>
      </c>
      <c r="F107" s="2" t="s">
        <v>361</v>
      </c>
      <c r="G107" s="2" t="s">
        <v>81</v>
      </c>
      <c r="H107" s="2" t="s">
        <v>896</v>
      </c>
      <c r="I107" s="2" t="s">
        <v>897</v>
      </c>
      <c r="J107" s="2">
        <v>12</v>
      </c>
      <c r="K107" s="2" t="s">
        <v>250</v>
      </c>
      <c r="L107" s="2" t="s">
        <v>57</v>
      </c>
      <c r="M107" s="2"/>
      <c r="N107" s="2"/>
      <c r="O107" s="2" t="s">
        <v>849</v>
      </c>
      <c r="P107" s="2" t="s">
        <v>850</v>
      </c>
      <c r="Q107" s="2" t="s">
        <v>860</v>
      </c>
      <c r="R107" s="2">
        <v>7.2</v>
      </c>
      <c r="S107" s="2" t="s">
        <v>851</v>
      </c>
      <c r="T107" s="2" t="s">
        <v>861</v>
      </c>
      <c r="U107" s="2" t="s">
        <v>862</v>
      </c>
      <c r="V107" s="2" t="s">
        <v>66</v>
      </c>
      <c r="W107" s="2" t="s">
        <v>853</v>
      </c>
      <c r="X107" s="2" t="s">
        <v>854</v>
      </c>
    </row>
    <row r="108" spans="1:24" ht="85.5" hidden="1">
      <c r="A108" s="2" t="s">
        <v>898</v>
      </c>
      <c r="B108" s="2" t="s">
        <v>843</v>
      </c>
      <c r="C108" s="2" t="s">
        <v>245</v>
      </c>
      <c r="D108" s="2" t="s">
        <v>899</v>
      </c>
      <c r="E108" s="2" t="s">
        <v>96</v>
      </c>
      <c r="F108" s="2" t="s">
        <v>516</v>
      </c>
      <c r="G108" s="2" t="s">
        <v>81</v>
      </c>
      <c r="H108" s="2" t="s">
        <v>900</v>
      </c>
      <c r="I108" s="2" t="s">
        <v>901</v>
      </c>
      <c r="J108" s="2">
        <v>8</v>
      </c>
      <c r="K108" s="2" t="s">
        <v>250</v>
      </c>
      <c r="L108" s="2" t="s">
        <v>57</v>
      </c>
      <c r="M108" s="2"/>
      <c r="N108" s="2"/>
      <c r="O108" s="2" t="s">
        <v>849</v>
      </c>
      <c r="P108" s="2" t="s">
        <v>850</v>
      </c>
      <c r="Q108" s="2" t="s">
        <v>100</v>
      </c>
      <c r="R108" s="2">
        <v>1.2000000000000002</v>
      </c>
      <c r="S108" s="2" t="s">
        <v>902</v>
      </c>
      <c r="T108" s="2" t="s">
        <v>64</v>
      </c>
      <c r="U108" s="2" t="s">
        <v>65</v>
      </c>
      <c r="V108" s="2" t="s">
        <v>66</v>
      </c>
      <c r="W108" s="2" t="s">
        <v>903</v>
      </c>
      <c r="X108" s="2" t="s">
        <v>904</v>
      </c>
    </row>
    <row r="109" spans="1:24" ht="85.5" hidden="1">
      <c r="A109" s="2" t="s">
        <v>905</v>
      </c>
      <c r="B109" s="2" t="s">
        <v>843</v>
      </c>
      <c r="C109" s="2" t="s">
        <v>245</v>
      </c>
      <c r="D109" s="2" t="s">
        <v>906</v>
      </c>
      <c r="E109" s="2" t="s">
        <v>96</v>
      </c>
      <c r="F109" s="2" t="s">
        <v>516</v>
      </c>
      <c r="G109" s="2" t="s">
        <v>81</v>
      </c>
      <c r="H109" s="2" t="s">
        <v>907</v>
      </c>
      <c r="I109" s="2" t="s">
        <v>908</v>
      </c>
      <c r="J109" s="2">
        <v>6</v>
      </c>
      <c r="K109" s="2" t="s">
        <v>250</v>
      </c>
      <c r="L109" s="2" t="s">
        <v>57</v>
      </c>
      <c r="M109" s="2"/>
      <c r="N109" s="2" t="s">
        <v>909</v>
      </c>
      <c r="O109" s="2" t="s">
        <v>849</v>
      </c>
      <c r="P109" s="2" t="s">
        <v>850</v>
      </c>
      <c r="Q109" s="2" t="s">
        <v>100</v>
      </c>
      <c r="R109" s="2">
        <v>0.89999999999999991</v>
      </c>
      <c r="S109" s="2" t="s">
        <v>902</v>
      </c>
      <c r="T109" s="2" t="s">
        <v>64</v>
      </c>
      <c r="U109" s="2" t="s">
        <v>65</v>
      </c>
      <c r="V109" s="2" t="s">
        <v>66</v>
      </c>
      <c r="W109" s="2" t="s">
        <v>903</v>
      </c>
      <c r="X109" s="2" t="s">
        <v>904</v>
      </c>
    </row>
    <row r="110" spans="1:24" ht="85.5" hidden="1">
      <c r="A110" s="2" t="s">
        <v>806</v>
      </c>
      <c r="B110" s="2" t="s">
        <v>843</v>
      </c>
      <c r="C110" s="2" t="s">
        <v>245</v>
      </c>
      <c r="D110" s="2" t="s">
        <v>910</v>
      </c>
      <c r="E110" s="2" t="s">
        <v>51</v>
      </c>
      <c r="F110" s="2" t="s">
        <v>911</v>
      </c>
      <c r="G110" s="2" t="s">
        <v>53</v>
      </c>
      <c r="H110" s="2" t="s">
        <v>912</v>
      </c>
      <c r="I110" s="2" t="s">
        <v>913</v>
      </c>
      <c r="J110" s="2">
        <v>12</v>
      </c>
      <c r="K110" s="2" t="s">
        <v>250</v>
      </c>
      <c r="L110" s="2" t="s">
        <v>145</v>
      </c>
      <c r="M110" s="2" t="s">
        <v>914</v>
      </c>
      <c r="N110" s="2" t="s">
        <v>915</v>
      </c>
      <c r="O110" s="2" t="s">
        <v>849</v>
      </c>
      <c r="P110" s="2" t="s">
        <v>850</v>
      </c>
      <c r="Q110" s="2" t="s">
        <v>62</v>
      </c>
      <c r="R110" s="2">
        <v>4.08</v>
      </c>
      <c r="S110" s="2" t="s">
        <v>902</v>
      </c>
      <c r="T110" s="2" t="s">
        <v>916</v>
      </c>
      <c r="U110" s="2" t="s">
        <v>277</v>
      </c>
      <c r="V110" s="2" t="s">
        <v>917</v>
      </c>
      <c r="W110" s="2" t="s">
        <v>903</v>
      </c>
      <c r="X110" s="2" t="s">
        <v>904</v>
      </c>
    </row>
    <row r="111" spans="1:24" ht="57" hidden="1">
      <c r="A111" s="2" t="s">
        <v>918</v>
      </c>
      <c r="B111" s="2" t="s">
        <v>843</v>
      </c>
      <c r="C111" s="2" t="s">
        <v>245</v>
      </c>
      <c r="D111" s="2" t="s">
        <v>919</v>
      </c>
      <c r="E111" s="2" t="s">
        <v>162</v>
      </c>
      <c r="F111" s="2" t="s">
        <v>516</v>
      </c>
      <c r="G111" s="2" t="s">
        <v>81</v>
      </c>
      <c r="H111" s="2" t="s">
        <v>920</v>
      </c>
      <c r="I111" s="2" t="s">
        <v>921</v>
      </c>
      <c r="J111" s="2">
        <v>6</v>
      </c>
      <c r="K111" s="2" t="s">
        <v>250</v>
      </c>
      <c r="L111" s="2" t="s">
        <v>145</v>
      </c>
      <c r="M111" s="2"/>
      <c r="N111" s="2"/>
      <c r="O111" s="2" t="s">
        <v>849</v>
      </c>
      <c r="P111" s="2" t="s">
        <v>850</v>
      </c>
      <c r="Q111" s="2" t="s">
        <v>275</v>
      </c>
      <c r="R111" s="2">
        <v>1</v>
      </c>
      <c r="S111" s="2" t="s">
        <v>902</v>
      </c>
      <c r="T111" s="2" t="s">
        <v>922</v>
      </c>
      <c r="U111" s="2" t="s">
        <v>523</v>
      </c>
      <c r="V111" s="2" t="s">
        <v>66</v>
      </c>
      <c r="W111" s="2" t="s">
        <v>903</v>
      </c>
      <c r="X111" s="2" t="s">
        <v>904</v>
      </c>
    </row>
    <row r="112" spans="1:24" ht="42.75" hidden="1">
      <c r="A112" s="2" t="s">
        <v>923</v>
      </c>
      <c r="B112" s="2" t="s">
        <v>843</v>
      </c>
      <c r="C112" s="2" t="s">
        <v>245</v>
      </c>
      <c r="D112" s="2" t="s">
        <v>924</v>
      </c>
      <c r="E112" s="2" t="s">
        <v>96</v>
      </c>
      <c r="F112" s="2" t="s">
        <v>763</v>
      </c>
      <c r="G112" s="2" t="s">
        <v>81</v>
      </c>
      <c r="H112" s="2" t="s">
        <v>925</v>
      </c>
      <c r="I112" s="2" t="s">
        <v>926</v>
      </c>
      <c r="J112" s="2">
        <v>12</v>
      </c>
      <c r="K112" s="2" t="s">
        <v>250</v>
      </c>
      <c r="L112" s="2" t="s">
        <v>57</v>
      </c>
      <c r="M112" s="2"/>
      <c r="N112" s="2"/>
      <c r="O112" s="2" t="s">
        <v>849</v>
      </c>
      <c r="P112" s="2" t="s">
        <v>850</v>
      </c>
      <c r="Q112" s="2" t="s">
        <v>860</v>
      </c>
      <c r="R112" s="2">
        <v>7.2</v>
      </c>
      <c r="S112" s="2" t="s">
        <v>902</v>
      </c>
      <c r="T112" s="2" t="s">
        <v>861</v>
      </c>
      <c r="U112" s="2" t="s">
        <v>862</v>
      </c>
      <c r="V112" s="2" t="s">
        <v>66</v>
      </c>
      <c r="W112" s="2" t="s">
        <v>903</v>
      </c>
      <c r="X112" s="2" t="s">
        <v>904</v>
      </c>
    </row>
    <row r="113" spans="1:24" ht="42.75" hidden="1">
      <c r="A113" s="2" t="s">
        <v>927</v>
      </c>
      <c r="B113" s="2" t="s">
        <v>843</v>
      </c>
      <c r="C113" s="2" t="s">
        <v>245</v>
      </c>
      <c r="D113" s="2" t="s">
        <v>928</v>
      </c>
      <c r="E113" s="2" t="s">
        <v>360</v>
      </c>
      <c r="F113" s="2" t="s">
        <v>763</v>
      </c>
      <c r="G113" s="2" t="s">
        <v>53</v>
      </c>
      <c r="H113" s="2" t="s">
        <v>929</v>
      </c>
      <c r="I113" s="2" t="s">
        <v>930</v>
      </c>
      <c r="J113" s="2">
        <v>12</v>
      </c>
      <c r="K113" s="2" t="s">
        <v>250</v>
      </c>
      <c r="L113" s="2" t="s">
        <v>57</v>
      </c>
      <c r="M113" s="2"/>
      <c r="N113" s="2"/>
      <c r="O113" s="2" t="s">
        <v>849</v>
      </c>
      <c r="P113" s="2" t="s">
        <v>850</v>
      </c>
      <c r="Q113" s="2" t="s">
        <v>860</v>
      </c>
      <c r="R113" s="2">
        <v>7.2</v>
      </c>
      <c r="S113" s="2" t="s">
        <v>902</v>
      </c>
      <c r="T113" s="2" t="s">
        <v>861</v>
      </c>
      <c r="U113" s="2" t="s">
        <v>862</v>
      </c>
      <c r="V113" s="2" t="s">
        <v>66</v>
      </c>
      <c r="W113" s="2" t="s">
        <v>903</v>
      </c>
      <c r="X113" s="2" t="s">
        <v>904</v>
      </c>
    </row>
    <row r="114" spans="1:24" ht="85.5" hidden="1">
      <c r="A114" s="2" t="s">
        <v>915</v>
      </c>
      <c r="B114" s="2" t="s">
        <v>843</v>
      </c>
      <c r="C114" s="2" t="s">
        <v>245</v>
      </c>
      <c r="D114" s="2" t="s">
        <v>931</v>
      </c>
      <c r="E114" s="2" t="s">
        <v>96</v>
      </c>
      <c r="F114" s="2" t="s">
        <v>932</v>
      </c>
      <c r="G114" s="2" t="s">
        <v>81</v>
      </c>
      <c r="H114" s="2" t="s">
        <v>933</v>
      </c>
      <c r="I114" s="2" t="s">
        <v>934</v>
      </c>
      <c r="J114" s="2">
        <v>6</v>
      </c>
      <c r="K114" s="2" t="s">
        <v>250</v>
      </c>
      <c r="L114" s="2" t="s">
        <v>57</v>
      </c>
      <c r="M114" s="2" t="s">
        <v>935</v>
      </c>
      <c r="N114" s="2" t="s">
        <v>520</v>
      </c>
      <c r="O114" s="2" t="s">
        <v>849</v>
      </c>
      <c r="P114" s="2" t="s">
        <v>850</v>
      </c>
      <c r="Q114" s="2" t="s">
        <v>100</v>
      </c>
      <c r="R114" s="2">
        <v>0.89999999999999991</v>
      </c>
      <c r="S114" s="2" t="s">
        <v>902</v>
      </c>
      <c r="T114" s="2" t="s">
        <v>936</v>
      </c>
      <c r="U114" s="2" t="s">
        <v>65</v>
      </c>
      <c r="V114" s="2" t="s">
        <v>66</v>
      </c>
      <c r="W114" s="2" t="s">
        <v>903</v>
      </c>
      <c r="X114" s="2" t="s">
        <v>904</v>
      </c>
    </row>
    <row r="115" spans="1:24" ht="85.5" hidden="1">
      <c r="A115" s="2" t="s">
        <v>937</v>
      </c>
      <c r="B115" s="2" t="s">
        <v>843</v>
      </c>
      <c r="C115" s="2" t="s">
        <v>245</v>
      </c>
      <c r="D115" s="2" t="s">
        <v>938</v>
      </c>
      <c r="E115" s="2" t="s">
        <v>162</v>
      </c>
      <c r="F115" s="2" t="s">
        <v>939</v>
      </c>
      <c r="G115" s="2" t="s">
        <v>81</v>
      </c>
      <c r="H115" s="2" t="s">
        <v>940</v>
      </c>
      <c r="I115" s="2" t="s">
        <v>941</v>
      </c>
      <c r="J115" s="2">
        <v>8</v>
      </c>
      <c r="K115" s="2" t="s">
        <v>250</v>
      </c>
      <c r="L115" s="2" t="s">
        <v>145</v>
      </c>
      <c r="M115" s="2" t="s">
        <v>942</v>
      </c>
      <c r="N115" s="2" t="s">
        <v>943</v>
      </c>
      <c r="O115" s="2" t="s">
        <v>849</v>
      </c>
      <c r="P115" s="2" t="s">
        <v>850</v>
      </c>
      <c r="Q115" s="2" t="s">
        <v>275</v>
      </c>
      <c r="R115" s="2">
        <v>1.3333333333333333</v>
      </c>
      <c r="S115" s="2" t="s">
        <v>902</v>
      </c>
      <c r="T115" s="2" t="s">
        <v>944</v>
      </c>
      <c r="U115" s="2" t="s">
        <v>277</v>
      </c>
      <c r="V115" s="2" t="s">
        <v>66</v>
      </c>
      <c r="W115" s="2" t="s">
        <v>903</v>
      </c>
      <c r="X115" s="2" t="s">
        <v>904</v>
      </c>
    </row>
    <row r="116" spans="1:24" ht="71.25" hidden="1">
      <c r="A116" s="2" t="s">
        <v>945</v>
      </c>
      <c r="B116" s="2" t="s">
        <v>843</v>
      </c>
      <c r="C116" s="2" t="s">
        <v>245</v>
      </c>
      <c r="D116" s="2" t="s">
        <v>946</v>
      </c>
      <c r="E116" s="2" t="s">
        <v>947</v>
      </c>
      <c r="F116" s="2" t="s">
        <v>948</v>
      </c>
      <c r="G116" s="2" t="s">
        <v>81</v>
      </c>
      <c r="H116" s="2" t="s">
        <v>949</v>
      </c>
      <c r="I116" s="2" t="s">
        <v>950</v>
      </c>
      <c r="J116" s="2">
        <v>10</v>
      </c>
      <c r="K116" s="2" t="s">
        <v>250</v>
      </c>
      <c r="L116" s="2" t="s">
        <v>145</v>
      </c>
      <c r="M116" s="2" t="s">
        <v>951</v>
      </c>
      <c r="N116" s="2" t="s">
        <v>943</v>
      </c>
      <c r="O116" s="2" t="s">
        <v>849</v>
      </c>
      <c r="P116" s="2" t="s">
        <v>850</v>
      </c>
      <c r="Q116" s="2" t="s">
        <v>952</v>
      </c>
      <c r="R116" s="2">
        <v>2.285714285714286</v>
      </c>
      <c r="S116" s="2" t="s">
        <v>902</v>
      </c>
      <c r="T116" s="2" t="s">
        <v>953</v>
      </c>
      <c r="U116" s="2" t="s">
        <v>277</v>
      </c>
      <c r="V116" s="2" t="s">
        <v>66</v>
      </c>
      <c r="W116" s="2" t="s">
        <v>903</v>
      </c>
      <c r="X116" s="2" t="s">
        <v>904</v>
      </c>
    </row>
    <row r="117" spans="1:24" ht="85.5" hidden="1">
      <c r="A117" s="2" t="s">
        <v>954</v>
      </c>
      <c r="B117" s="2" t="s">
        <v>843</v>
      </c>
      <c r="C117" s="2" t="s">
        <v>245</v>
      </c>
      <c r="D117" s="2" t="s">
        <v>955</v>
      </c>
      <c r="E117" s="2" t="s">
        <v>947</v>
      </c>
      <c r="F117" s="2" t="s">
        <v>956</v>
      </c>
      <c r="G117" s="2" t="s">
        <v>53</v>
      </c>
      <c r="H117" s="2" t="s">
        <v>957</v>
      </c>
      <c r="I117" s="2" t="s">
        <v>958</v>
      </c>
      <c r="J117" s="2">
        <v>12</v>
      </c>
      <c r="K117" s="2" t="s">
        <v>250</v>
      </c>
      <c r="L117" s="2" t="s">
        <v>145</v>
      </c>
      <c r="M117" s="2" t="s">
        <v>959</v>
      </c>
      <c r="N117" s="2" t="s">
        <v>960</v>
      </c>
      <c r="O117" s="2" t="s">
        <v>849</v>
      </c>
      <c r="P117" s="2" t="s">
        <v>850</v>
      </c>
      <c r="Q117" s="2" t="s">
        <v>952</v>
      </c>
      <c r="R117" s="2">
        <v>2.7428571428571429</v>
      </c>
      <c r="S117" s="2" t="s">
        <v>902</v>
      </c>
      <c r="T117" s="2" t="s">
        <v>961</v>
      </c>
      <c r="U117" s="2" t="s">
        <v>277</v>
      </c>
      <c r="V117" s="2" t="s">
        <v>66</v>
      </c>
      <c r="W117" s="2" t="s">
        <v>903</v>
      </c>
      <c r="X117" s="2" t="s">
        <v>904</v>
      </c>
    </row>
    <row r="118" spans="1:24" ht="85.5" hidden="1">
      <c r="A118" s="2" t="s">
        <v>816</v>
      </c>
      <c r="B118" s="2" t="s">
        <v>843</v>
      </c>
      <c r="C118" s="2" t="s">
        <v>245</v>
      </c>
      <c r="D118" s="2" t="s">
        <v>962</v>
      </c>
      <c r="E118" s="2" t="s">
        <v>947</v>
      </c>
      <c r="F118" s="2" t="s">
        <v>963</v>
      </c>
      <c r="G118" s="2" t="s">
        <v>53</v>
      </c>
      <c r="H118" s="2" t="s">
        <v>964</v>
      </c>
      <c r="I118" s="2" t="s">
        <v>965</v>
      </c>
      <c r="J118" s="2">
        <v>12</v>
      </c>
      <c r="K118" s="2" t="s">
        <v>250</v>
      </c>
      <c r="L118" s="2" t="s">
        <v>145</v>
      </c>
      <c r="M118" s="2" t="s">
        <v>966</v>
      </c>
      <c r="N118" s="2" t="s">
        <v>943</v>
      </c>
      <c r="O118" s="2" t="s">
        <v>849</v>
      </c>
      <c r="P118" s="2" t="s">
        <v>850</v>
      </c>
      <c r="Q118" s="2" t="s">
        <v>952</v>
      </c>
      <c r="R118" s="2">
        <v>2.7428571428571429</v>
      </c>
      <c r="S118" s="2" t="s">
        <v>902</v>
      </c>
      <c r="T118" s="2" t="s">
        <v>967</v>
      </c>
      <c r="U118" s="2" t="s">
        <v>277</v>
      </c>
      <c r="V118" s="2" t="s">
        <v>66</v>
      </c>
      <c r="W118" s="2" t="s">
        <v>903</v>
      </c>
      <c r="X118" s="2" t="s">
        <v>904</v>
      </c>
    </row>
    <row r="119" spans="1:24" ht="99.75" hidden="1">
      <c r="A119" s="2" t="s">
        <v>968</v>
      </c>
      <c r="B119" s="2" t="s">
        <v>843</v>
      </c>
      <c r="C119" s="2" t="s">
        <v>245</v>
      </c>
      <c r="D119" s="2" t="s">
        <v>969</v>
      </c>
      <c r="E119" s="2" t="s">
        <v>947</v>
      </c>
      <c r="F119" s="2" t="s">
        <v>970</v>
      </c>
      <c r="G119" s="2" t="s">
        <v>81</v>
      </c>
      <c r="H119" s="2" t="s">
        <v>971</v>
      </c>
      <c r="I119" s="2" t="s">
        <v>972</v>
      </c>
      <c r="J119" s="2">
        <v>10</v>
      </c>
      <c r="K119" s="2" t="s">
        <v>250</v>
      </c>
      <c r="L119" s="2" t="s">
        <v>145</v>
      </c>
      <c r="M119" s="2" t="s">
        <v>973</v>
      </c>
      <c r="N119" s="2" t="s">
        <v>943</v>
      </c>
      <c r="O119" s="2" t="s">
        <v>849</v>
      </c>
      <c r="P119" s="2" t="s">
        <v>850</v>
      </c>
      <c r="Q119" s="2" t="s">
        <v>952</v>
      </c>
      <c r="R119" s="2">
        <v>2.285714285714286</v>
      </c>
      <c r="S119" s="2" t="s">
        <v>902</v>
      </c>
      <c r="T119" s="2" t="s">
        <v>974</v>
      </c>
      <c r="U119" s="2" t="s">
        <v>277</v>
      </c>
      <c r="V119" s="2" t="s">
        <v>66</v>
      </c>
      <c r="W119" s="2" t="s">
        <v>903</v>
      </c>
      <c r="X119" s="2" t="s">
        <v>904</v>
      </c>
    </row>
    <row r="120" spans="1:24" ht="42.75" hidden="1">
      <c r="A120" s="2" t="s">
        <v>975</v>
      </c>
      <c r="B120" s="2" t="s">
        <v>843</v>
      </c>
      <c r="C120" s="2" t="s">
        <v>514</v>
      </c>
      <c r="D120" s="2" t="s">
        <v>976</v>
      </c>
      <c r="E120" s="2" t="s">
        <v>162</v>
      </c>
      <c r="F120" s="2" t="s">
        <v>977</v>
      </c>
      <c r="G120" s="2" t="s">
        <v>81</v>
      </c>
      <c r="H120" s="2" t="s">
        <v>978</v>
      </c>
      <c r="I120" s="2" t="s">
        <v>979</v>
      </c>
      <c r="J120" s="2">
        <v>12</v>
      </c>
      <c r="K120" s="2" t="s">
        <v>250</v>
      </c>
      <c r="L120" s="2" t="s">
        <v>145</v>
      </c>
      <c r="M120" s="2"/>
      <c r="N120" s="2"/>
      <c r="O120" s="2" t="s">
        <v>849</v>
      </c>
      <c r="P120" s="2" t="s">
        <v>850</v>
      </c>
      <c r="Q120" s="2" t="s">
        <v>860</v>
      </c>
      <c r="R120" s="2">
        <v>7.2</v>
      </c>
      <c r="S120" s="2" t="s">
        <v>980</v>
      </c>
      <c r="T120" s="2" t="s">
        <v>861</v>
      </c>
      <c r="U120" s="2" t="s">
        <v>981</v>
      </c>
      <c r="V120" s="2" t="s">
        <v>66</v>
      </c>
      <c r="W120" s="2" t="s">
        <v>982</v>
      </c>
      <c r="X120" s="2" t="s">
        <v>983</v>
      </c>
    </row>
    <row r="121" spans="1:24" ht="199.5" hidden="1">
      <c r="A121" s="2" t="s">
        <v>984</v>
      </c>
      <c r="B121" s="2" t="s">
        <v>843</v>
      </c>
      <c r="C121" s="2" t="s">
        <v>514</v>
      </c>
      <c r="D121" s="2" t="s">
        <v>985</v>
      </c>
      <c r="E121" s="2" t="s">
        <v>986</v>
      </c>
      <c r="F121" s="2" t="s">
        <v>987</v>
      </c>
      <c r="G121" s="2" t="s">
        <v>458</v>
      </c>
      <c r="H121" s="2" t="s">
        <v>988</v>
      </c>
      <c r="I121" s="2" t="s">
        <v>989</v>
      </c>
      <c r="J121" s="2">
        <v>12</v>
      </c>
      <c r="K121" s="2" t="s">
        <v>250</v>
      </c>
      <c r="L121" s="2" t="s">
        <v>145</v>
      </c>
      <c r="M121" s="2"/>
      <c r="N121" s="2"/>
      <c r="O121" s="2" t="s">
        <v>849</v>
      </c>
      <c r="P121" s="2" t="s">
        <v>850</v>
      </c>
      <c r="Q121" s="2" t="s">
        <v>860</v>
      </c>
      <c r="R121" s="2">
        <v>7.2</v>
      </c>
      <c r="S121" s="2" t="s">
        <v>980</v>
      </c>
      <c r="T121" s="2" t="s">
        <v>861</v>
      </c>
      <c r="U121" s="2" t="s">
        <v>981</v>
      </c>
      <c r="V121" s="2" t="s">
        <v>66</v>
      </c>
      <c r="W121" s="2" t="s">
        <v>982</v>
      </c>
      <c r="X121" s="2" t="s">
        <v>983</v>
      </c>
    </row>
    <row r="122" spans="1:24" ht="85.5" hidden="1">
      <c r="A122" s="2" t="s">
        <v>990</v>
      </c>
      <c r="B122" s="2" t="s">
        <v>843</v>
      </c>
      <c r="C122" s="2" t="s">
        <v>514</v>
      </c>
      <c r="D122" s="2" t="s">
        <v>991</v>
      </c>
      <c r="E122" s="2" t="s">
        <v>717</v>
      </c>
      <c r="F122" s="2" t="s">
        <v>992</v>
      </c>
      <c r="G122" s="2" t="s">
        <v>81</v>
      </c>
      <c r="H122" s="2" t="s">
        <v>993</v>
      </c>
      <c r="I122" s="2" t="s">
        <v>994</v>
      </c>
      <c r="J122" s="2">
        <v>10</v>
      </c>
      <c r="K122" s="2" t="s">
        <v>250</v>
      </c>
      <c r="L122" s="2" t="s">
        <v>187</v>
      </c>
      <c r="M122" s="2" t="s">
        <v>995</v>
      </c>
      <c r="N122" s="2" t="s">
        <v>996</v>
      </c>
      <c r="O122" s="2" t="s">
        <v>849</v>
      </c>
      <c r="P122" s="2" t="s">
        <v>850</v>
      </c>
      <c r="Q122" s="2" t="s">
        <v>210</v>
      </c>
      <c r="R122" s="2">
        <v>3.2</v>
      </c>
      <c r="S122" s="2" t="s">
        <v>980</v>
      </c>
      <c r="T122" s="2" t="s">
        <v>997</v>
      </c>
      <c r="U122" s="2" t="s">
        <v>998</v>
      </c>
      <c r="V122" s="2" t="s">
        <v>999</v>
      </c>
      <c r="W122" s="2" t="s">
        <v>982</v>
      </c>
      <c r="X122" s="2" t="s">
        <v>983</v>
      </c>
    </row>
    <row r="123" spans="1:24" ht="57" hidden="1">
      <c r="A123" s="2" t="s">
        <v>996</v>
      </c>
      <c r="B123" s="2" t="s">
        <v>843</v>
      </c>
      <c r="C123" s="2" t="s">
        <v>514</v>
      </c>
      <c r="D123" s="2" t="s">
        <v>1000</v>
      </c>
      <c r="E123" s="2" t="s">
        <v>1001</v>
      </c>
      <c r="F123" s="2" t="s">
        <v>992</v>
      </c>
      <c r="G123" s="2" t="s">
        <v>81</v>
      </c>
      <c r="H123" s="2" t="s">
        <v>1002</v>
      </c>
      <c r="I123" s="2" t="s">
        <v>1003</v>
      </c>
      <c r="J123" s="2">
        <v>12</v>
      </c>
      <c r="K123" s="2" t="s">
        <v>250</v>
      </c>
      <c r="L123" s="2" t="s">
        <v>187</v>
      </c>
      <c r="M123" s="2" t="s">
        <v>1004</v>
      </c>
      <c r="N123" s="2" t="s">
        <v>1005</v>
      </c>
      <c r="O123" s="2" t="s">
        <v>849</v>
      </c>
      <c r="P123" s="2" t="s">
        <v>850</v>
      </c>
      <c r="Q123" s="2" t="s">
        <v>383</v>
      </c>
      <c r="R123" s="2">
        <v>6.1714285714285708</v>
      </c>
      <c r="S123" s="2" t="s">
        <v>980</v>
      </c>
      <c r="T123" s="2" t="s">
        <v>1006</v>
      </c>
      <c r="U123" s="2" t="s">
        <v>1007</v>
      </c>
      <c r="V123" s="2" t="s">
        <v>1008</v>
      </c>
      <c r="W123" s="2" t="s">
        <v>982</v>
      </c>
      <c r="X123" s="2" t="s">
        <v>983</v>
      </c>
    </row>
    <row r="124" spans="1:24" ht="71.25" hidden="1">
      <c r="A124" s="2" t="s">
        <v>1005</v>
      </c>
      <c r="B124" s="2" t="s">
        <v>843</v>
      </c>
      <c r="C124" s="2" t="s">
        <v>514</v>
      </c>
      <c r="D124" s="2" t="s">
        <v>1009</v>
      </c>
      <c r="E124" s="2" t="s">
        <v>717</v>
      </c>
      <c r="F124" s="2" t="s">
        <v>1010</v>
      </c>
      <c r="G124" s="2" t="s">
        <v>458</v>
      </c>
      <c r="H124" s="2" t="s">
        <v>1011</v>
      </c>
      <c r="I124" s="2" t="s">
        <v>1012</v>
      </c>
      <c r="J124" s="2">
        <v>12</v>
      </c>
      <c r="K124" s="2" t="s">
        <v>250</v>
      </c>
      <c r="L124" s="2" t="s">
        <v>187</v>
      </c>
      <c r="M124" s="2" t="s">
        <v>1013</v>
      </c>
      <c r="N124" s="2"/>
      <c r="O124" s="2" t="s">
        <v>849</v>
      </c>
      <c r="P124" s="2" t="s">
        <v>850</v>
      </c>
      <c r="Q124" s="2" t="s">
        <v>1014</v>
      </c>
      <c r="R124" s="2">
        <v>5.0999999999999996</v>
      </c>
      <c r="S124" s="2" t="s">
        <v>980</v>
      </c>
      <c r="T124" s="2" t="s">
        <v>1015</v>
      </c>
      <c r="U124" s="2" t="s">
        <v>1016</v>
      </c>
      <c r="V124" s="2" t="s">
        <v>1017</v>
      </c>
      <c r="W124" s="2" t="s">
        <v>982</v>
      </c>
      <c r="X124" s="2" t="s">
        <v>983</v>
      </c>
    </row>
    <row r="125" spans="1:24" ht="114" hidden="1">
      <c r="A125" s="2" t="s">
        <v>1018</v>
      </c>
      <c r="B125" s="2" t="s">
        <v>843</v>
      </c>
      <c r="C125" s="2" t="s">
        <v>514</v>
      </c>
      <c r="D125" s="2" t="s">
        <v>1019</v>
      </c>
      <c r="E125" s="2" t="s">
        <v>162</v>
      </c>
      <c r="F125" s="2" t="s">
        <v>1020</v>
      </c>
      <c r="G125" s="2" t="s">
        <v>81</v>
      </c>
      <c r="H125" s="2" t="s">
        <v>1021</v>
      </c>
      <c r="I125" s="2" t="s">
        <v>1022</v>
      </c>
      <c r="J125" s="2">
        <v>24</v>
      </c>
      <c r="K125" s="2" t="s">
        <v>250</v>
      </c>
      <c r="L125" s="2" t="s">
        <v>145</v>
      </c>
      <c r="M125" s="2" t="s">
        <v>1023</v>
      </c>
      <c r="N125" s="2" t="s">
        <v>1024</v>
      </c>
      <c r="O125" s="2" t="s">
        <v>849</v>
      </c>
      <c r="P125" s="2" t="s">
        <v>850</v>
      </c>
      <c r="Q125" s="2" t="s">
        <v>1025</v>
      </c>
      <c r="R125" s="2">
        <v>11.2</v>
      </c>
      <c r="S125" s="2" t="s">
        <v>980</v>
      </c>
      <c r="T125" s="2" t="s">
        <v>1026</v>
      </c>
      <c r="U125" s="2" t="s">
        <v>1027</v>
      </c>
      <c r="V125" s="2" t="s">
        <v>1028</v>
      </c>
      <c r="W125" s="2" t="s">
        <v>982</v>
      </c>
      <c r="X125" s="2" t="s">
        <v>1029</v>
      </c>
    </row>
    <row r="126" spans="1:24" ht="85.5" hidden="1">
      <c r="A126" s="2" t="s">
        <v>1030</v>
      </c>
      <c r="B126" s="2" t="s">
        <v>843</v>
      </c>
      <c r="C126" s="2" t="s">
        <v>547</v>
      </c>
      <c r="D126" s="2" t="s">
        <v>1031</v>
      </c>
      <c r="E126" s="2" t="s">
        <v>549</v>
      </c>
      <c r="F126" s="2" t="s">
        <v>1032</v>
      </c>
      <c r="G126" s="2" t="s">
        <v>53</v>
      </c>
      <c r="H126" s="2" t="s">
        <v>1033</v>
      </c>
      <c r="I126" s="2" t="s">
        <v>1034</v>
      </c>
      <c r="J126" s="2">
        <v>10</v>
      </c>
      <c r="K126" s="2" t="s">
        <v>250</v>
      </c>
      <c r="L126" s="2" t="s">
        <v>187</v>
      </c>
      <c r="M126" s="2" t="s">
        <v>1035</v>
      </c>
      <c r="N126" s="2" t="s">
        <v>1036</v>
      </c>
      <c r="O126" s="2" t="s">
        <v>849</v>
      </c>
      <c r="P126" s="2" t="s">
        <v>850</v>
      </c>
      <c r="Q126" s="2" t="s">
        <v>1037</v>
      </c>
      <c r="R126" s="2">
        <v>1.5</v>
      </c>
      <c r="S126" s="2" t="s">
        <v>1038</v>
      </c>
      <c r="T126" s="2" t="s">
        <v>1039</v>
      </c>
      <c r="U126" s="2" t="s">
        <v>1040</v>
      </c>
      <c r="V126" s="2" t="s">
        <v>66</v>
      </c>
      <c r="W126" s="2" t="s">
        <v>1041</v>
      </c>
      <c r="X126" s="2" t="s">
        <v>1042</v>
      </c>
    </row>
    <row r="127" spans="1:24" ht="71.25" hidden="1">
      <c r="A127" s="2" t="s">
        <v>1043</v>
      </c>
      <c r="B127" s="2" t="s">
        <v>843</v>
      </c>
      <c r="C127" s="2" t="s">
        <v>547</v>
      </c>
      <c r="D127" s="2" t="s">
        <v>1044</v>
      </c>
      <c r="E127" s="2" t="s">
        <v>549</v>
      </c>
      <c r="F127" s="2" t="s">
        <v>1032</v>
      </c>
      <c r="G127" s="2" t="s">
        <v>53</v>
      </c>
      <c r="H127" s="2" t="s">
        <v>1045</v>
      </c>
      <c r="I127" s="2" t="s">
        <v>1046</v>
      </c>
      <c r="J127" s="2">
        <v>12</v>
      </c>
      <c r="K127" s="2" t="s">
        <v>250</v>
      </c>
      <c r="L127" s="2" t="s">
        <v>187</v>
      </c>
      <c r="M127" s="2" t="s">
        <v>1047</v>
      </c>
      <c r="N127" s="2" t="s">
        <v>1048</v>
      </c>
      <c r="O127" s="2" t="s">
        <v>849</v>
      </c>
      <c r="P127" s="2" t="s">
        <v>850</v>
      </c>
      <c r="Q127" s="2" t="s">
        <v>1037</v>
      </c>
      <c r="R127" s="2">
        <v>1.7999999999999998</v>
      </c>
      <c r="S127" s="2" t="s">
        <v>1038</v>
      </c>
      <c r="T127" s="2" t="s">
        <v>1049</v>
      </c>
      <c r="U127" s="2" t="s">
        <v>1040</v>
      </c>
      <c r="V127" s="2" t="s">
        <v>66</v>
      </c>
      <c r="W127" s="2" t="s">
        <v>1041</v>
      </c>
      <c r="X127" s="2" t="s">
        <v>1042</v>
      </c>
    </row>
    <row r="128" spans="1:24" ht="114" hidden="1">
      <c r="A128" s="2" t="s">
        <v>1050</v>
      </c>
      <c r="B128" s="2" t="s">
        <v>843</v>
      </c>
      <c r="C128" s="2" t="s">
        <v>547</v>
      </c>
      <c r="D128" s="2" t="s">
        <v>1051</v>
      </c>
      <c r="E128" s="2" t="s">
        <v>549</v>
      </c>
      <c r="F128" s="2" t="s">
        <v>1052</v>
      </c>
      <c r="G128" s="2" t="s">
        <v>53</v>
      </c>
      <c r="H128" s="2" t="s">
        <v>1053</v>
      </c>
      <c r="I128" s="2" t="s">
        <v>1054</v>
      </c>
      <c r="J128" s="2">
        <v>12</v>
      </c>
      <c r="K128" s="2" t="s">
        <v>250</v>
      </c>
      <c r="L128" s="2" t="s">
        <v>187</v>
      </c>
      <c r="M128" s="2" t="s">
        <v>1047</v>
      </c>
      <c r="N128" s="2" t="s">
        <v>1055</v>
      </c>
      <c r="O128" s="2" t="s">
        <v>849</v>
      </c>
      <c r="P128" s="2" t="s">
        <v>850</v>
      </c>
      <c r="Q128" s="2" t="s">
        <v>1037</v>
      </c>
      <c r="R128" s="2">
        <v>1.7999999999999998</v>
      </c>
      <c r="S128" s="2" t="s">
        <v>1038</v>
      </c>
      <c r="T128" s="2" t="s">
        <v>1049</v>
      </c>
      <c r="U128" s="2" t="s">
        <v>1040</v>
      </c>
      <c r="V128" s="2" t="s">
        <v>66</v>
      </c>
      <c r="W128" s="2" t="s">
        <v>1041</v>
      </c>
      <c r="X128" s="2" t="s">
        <v>1042</v>
      </c>
    </row>
    <row r="129" spans="1:24" ht="71.25" hidden="1">
      <c r="A129" s="2" t="s">
        <v>1056</v>
      </c>
      <c r="B129" s="2" t="s">
        <v>843</v>
      </c>
      <c r="C129" s="2" t="s">
        <v>547</v>
      </c>
      <c r="D129" s="2" t="s">
        <v>1057</v>
      </c>
      <c r="E129" s="2" t="s">
        <v>549</v>
      </c>
      <c r="F129" s="2" t="s">
        <v>1058</v>
      </c>
      <c r="G129" s="2" t="s">
        <v>53</v>
      </c>
      <c r="H129" s="2" t="s">
        <v>1059</v>
      </c>
      <c r="I129" s="2" t="s">
        <v>1060</v>
      </c>
      <c r="J129" s="2">
        <v>12</v>
      </c>
      <c r="K129" s="2" t="s">
        <v>250</v>
      </c>
      <c r="L129" s="2" t="s">
        <v>187</v>
      </c>
      <c r="M129" s="2" t="s">
        <v>1061</v>
      </c>
      <c r="N129" s="2" t="s">
        <v>1062</v>
      </c>
      <c r="O129" s="2" t="s">
        <v>849</v>
      </c>
      <c r="P129" s="2" t="s">
        <v>850</v>
      </c>
      <c r="Q129" s="2" t="s">
        <v>1037</v>
      </c>
      <c r="R129" s="2">
        <v>1.7999999999999998</v>
      </c>
      <c r="S129" s="2" t="s">
        <v>1038</v>
      </c>
      <c r="T129" s="2" t="s">
        <v>1063</v>
      </c>
      <c r="U129" s="2" t="s">
        <v>1040</v>
      </c>
      <c r="V129" s="2" t="s">
        <v>66</v>
      </c>
      <c r="W129" s="2" t="s">
        <v>1041</v>
      </c>
      <c r="X129" s="2" t="s">
        <v>1042</v>
      </c>
    </row>
    <row r="130" spans="1:24" ht="57" hidden="1">
      <c r="A130" s="2" t="s">
        <v>1064</v>
      </c>
      <c r="B130" s="2" t="s">
        <v>843</v>
      </c>
      <c r="C130" s="2" t="s">
        <v>547</v>
      </c>
      <c r="D130" s="2" t="s">
        <v>1065</v>
      </c>
      <c r="E130" s="2" t="s">
        <v>549</v>
      </c>
      <c r="F130" s="2" t="s">
        <v>1058</v>
      </c>
      <c r="G130" s="2" t="s">
        <v>53</v>
      </c>
      <c r="H130" s="2" t="s">
        <v>1066</v>
      </c>
      <c r="I130" s="2" t="s">
        <v>1067</v>
      </c>
      <c r="J130" s="2">
        <v>12</v>
      </c>
      <c r="K130" s="2" t="s">
        <v>250</v>
      </c>
      <c r="L130" s="2" t="s">
        <v>187</v>
      </c>
      <c r="M130" s="2" t="s">
        <v>1056</v>
      </c>
      <c r="N130" s="2" t="s">
        <v>1068</v>
      </c>
      <c r="O130" s="2" t="s">
        <v>849</v>
      </c>
      <c r="P130" s="2" t="s">
        <v>850</v>
      </c>
      <c r="Q130" s="2" t="s">
        <v>1037</v>
      </c>
      <c r="R130" s="2">
        <v>1.7999999999999998</v>
      </c>
      <c r="S130" s="2" t="s">
        <v>1038</v>
      </c>
      <c r="T130" s="2" t="s">
        <v>1056</v>
      </c>
      <c r="U130" s="2" t="s">
        <v>1040</v>
      </c>
      <c r="V130" s="2" t="s">
        <v>66</v>
      </c>
      <c r="W130" s="2" t="s">
        <v>1041</v>
      </c>
      <c r="X130" s="2" t="s">
        <v>1042</v>
      </c>
    </row>
    <row r="131" spans="1:24" ht="71.25" hidden="1">
      <c r="A131" s="2" t="s">
        <v>1069</v>
      </c>
      <c r="B131" s="2" t="s">
        <v>843</v>
      </c>
      <c r="C131" s="2" t="s">
        <v>547</v>
      </c>
      <c r="D131" s="2" t="s">
        <v>1070</v>
      </c>
      <c r="E131" s="2" t="s">
        <v>549</v>
      </c>
      <c r="F131" s="2" t="s">
        <v>1058</v>
      </c>
      <c r="G131" s="2" t="s">
        <v>81</v>
      </c>
      <c r="H131" s="2" t="s">
        <v>1071</v>
      </c>
      <c r="I131" s="2" t="s">
        <v>1072</v>
      </c>
      <c r="J131" s="2">
        <v>12</v>
      </c>
      <c r="K131" s="2" t="s">
        <v>250</v>
      </c>
      <c r="L131" s="2" t="s">
        <v>187</v>
      </c>
      <c r="M131" s="2" t="s">
        <v>1073</v>
      </c>
      <c r="N131" s="2" t="s">
        <v>1074</v>
      </c>
      <c r="O131" s="2" t="s">
        <v>849</v>
      </c>
      <c r="P131" s="2" t="s">
        <v>850</v>
      </c>
      <c r="Q131" s="2" t="s">
        <v>1037</v>
      </c>
      <c r="R131" s="2">
        <v>1.7999999999999998</v>
      </c>
      <c r="S131" s="2" t="s">
        <v>1038</v>
      </c>
      <c r="T131" s="2" t="s">
        <v>1075</v>
      </c>
      <c r="U131" s="2" t="s">
        <v>1040</v>
      </c>
      <c r="V131" s="2" t="s">
        <v>66</v>
      </c>
      <c r="W131" s="2" t="s">
        <v>1041</v>
      </c>
      <c r="X131" s="2" t="s">
        <v>1042</v>
      </c>
    </row>
    <row r="132" spans="1:24" ht="185.25" hidden="1">
      <c r="A132" s="2" t="s">
        <v>1076</v>
      </c>
      <c r="B132" s="2" t="s">
        <v>843</v>
      </c>
      <c r="C132" s="2" t="s">
        <v>547</v>
      </c>
      <c r="D132" s="2" t="s">
        <v>1077</v>
      </c>
      <c r="E132" s="2" t="s">
        <v>549</v>
      </c>
      <c r="F132" s="2" t="s">
        <v>1032</v>
      </c>
      <c r="G132" s="2" t="s">
        <v>53</v>
      </c>
      <c r="H132" s="2" t="s">
        <v>1078</v>
      </c>
      <c r="I132" s="2" t="s">
        <v>1079</v>
      </c>
      <c r="J132" s="2">
        <v>12</v>
      </c>
      <c r="K132" s="2" t="s">
        <v>250</v>
      </c>
      <c r="L132" s="2" t="s">
        <v>187</v>
      </c>
      <c r="M132" s="2" t="s">
        <v>1080</v>
      </c>
      <c r="N132" s="2" t="s">
        <v>1081</v>
      </c>
      <c r="O132" s="2" t="s">
        <v>849</v>
      </c>
      <c r="P132" s="2" t="s">
        <v>850</v>
      </c>
      <c r="Q132" s="2" t="s">
        <v>1037</v>
      </c>
      <c r="R132" s="2">
        <v>1.7999999999999998</v>
      </c>
      <c r="S132" s="2" t="s">
        <v>1038</v>
      </c>
      <c r="T132" s="2" t="s">
        <v>1082</v>
      </c>
      <c r="U132" s="2" t="s">
        <v>1040</v>
      </c>
      <c r="V132" s="2" t="s">
        <v>66</v>
      </c>
      <c r="W132" s="2" t="s">
        <v>1041</v>
      </c>
      <c r="X132" s="2" t="s">
        <v>1042</v>
      </c>
    </row>
    <row r="133" spans="1:24" ht="171" hidden="1">
      <c r="A133" s="2" t="s">
        <v>1083</v>
      </c>
      <c r="B133" s="2" t="s">
        <v>843</v>
      </c>
      <c r="C133" s="2" t="s">
        <v>547</v>
      </c>
      <c r="D133" s="2" t="s">
        <v>1084</v>
      </c>
      <c r="E133" s="2" t="s">
        <v>71</v>
      </c>
      <c r="F133" s="2" t="s">
        <v>1032</v>
      </c>
      <c r="G133" s="2" t="s">
        <v>81</v>
      </c>
      <c r="H133" s="2" t="s">
        <v>1085</v>
      </c>
      <c r="I133" s="2" t="s">
        <v>1086</v>
      </c>
      <c r="J133" s="2">
        <v>10</v>
      </c>
      <c r="K133" s="2" t="s">
        <v>250</v>
      </c>
      <c r="L133" s="2" t="s">
        <v>187</v>
      </c>
      <c r="M133" s="2" t="s">
        <v>1087</v>
      </c>
      <c r="N133" s="2" t="s">
        <v>1088</v>
      </c>
      <c r="O133" s="2" t="s">
        <v>849</v>
      </c>
      <c r="P133" s="2" t="s">
        <v>850</v>
      </c>
      <c r="Q133" s="2" t="s">
        <v>77</v>
      </c>
      <c r="R133" s="2">
        <v>1.9375</v>
      </c>
      <c r="S133" s="2" t="s">
        <v>1038</v>
      </c>
      <c r="T133" s="2" t="s">
        <v>1089</v>
      </c>
      <c r="U133" s="2" t="s">
        <v>1040</v>
      </c>
      <c r="V133" s="2" t="s">
        <v>66</v>
      </c>
      <c r="W133" s="2" t="s">
        <v>1041</v>
      </c>
      <c r="X133" s="2" t="s">
        <v>1042</v>
      </c>
    </row>
    <row r="134" spans="1:24" ht="57" hidden="1">
      <c r="A134" s="2" t="s">
        <v>1090</v>
      </c>
      <c r="B134" s="2" t="s">
        <v>843</v>
      </c>
      <c r="C134" s="2" t="s">
        <v>547</v>
      </c>
      <c r="D134" s="2" t="s">
        <v>1091</v>
      </c>
      <c r="E134" s="2" t="s">
        <v>549</v>
      </c>
      <c r="F134" s="2" t="s">
        <v>1058</v>
      </c>
      <c r="G134" s="2" t="s">
        <v>458</v>
      </c>
      <c r="H134" s="2" t="s">
        <v>1092</v>
      </c>
      <c r="I134" s="2" t="s">
        <v>1093</v>
      </c>
      <c r="J134" s="2">
        <v>10</v>
      </c>
      <c r="K134" s="2" t="s">
        <v>250</v>
      </c>
      <c r="L134" s="2" t="s">
        <v>187</v>
      </c>
      <c r="M134" s="2" t="s">
        <v>1094</v>
      </c>
      <c r="N134" s="2"/>
      <c r="O134" s="2" t="s">
        <v>849</v>
      </c>
      <c r="P134" s="2" t="s">
        <v>850</v>
      </c>
      <c r="Q134" s="2" t="s">
        <v>1037</v>
      </c>
      <c r="R134" s="2">
        <v>1.5</v>
      </c>
      <c r="S134" s="2" t="s">
        <v>1038</v>
      </c>
      <c r="T134" s="2" t="s">
        <v>1095</v>
      </c>
      <c r="U134" s="2" t="s">
        <v>1040</v>
      </c>
      <c r="V134" s="2" t="s">
        <v>66</v>
      </c>
      <c r="W134" s="2" t="s">
        <v>1041</v>
      </c>
      <c r="X134" s="2" t="s">
        <v>1042</v>
      </c>
    </row>
    <row r="135" spans="1:24" ht="114" hidden="1">
      <c r="A135" s="2" t="s">
        <v>1096</v>
      </c>
      <c r="B135" s="2" t="s">
        <v>843</v>
      </c>
      <c r="C135" s="2" t="s">
        <v>547</v>
      </c>
      <c r="D135" s="2" t="s">
        <v>1097</v>
      </c>
      <c r="E135" s="2" t="s">
        <v>549</v>
      </c>
      <c r="F135" s="2" t="s">
        <v>1098</v>
      </c>
      <c r="G135" s="2" t="s">
        <v>53</v>
      </c>
      <c r="H135" s="2" t="s">
        <v>1099</v>
      </c>
      <c r="I135" s="2" t="s">
        <v>1100</v>
      </c>
      <c r="J135" s="2">
        <v>12</v>
      </c>
      <c r="K135" s="2" t="s">
        <v>250</v>
      </c>
      <c r="L135" s="2" t="s">
        <v>187</v>
      </c>
      <c r="M135" s="2" t="s">
        <v>1101</v>
      </c>
      <c r="N135" s="2"/>
      <c r="O135" s="2" t="s">
        <v>849</v>
      </c>
      <c r="P135" s="2" t="s">
        <v>850</v>
      </c>
      <c r="Q135" s="2" t="s">
        <v>1037</v>
      </c>
      <c r="R135" s="2">
        <v>1.7999999999999998</v>
      </c>
      <c r="S135" s="2" t="s">
        <v>1038</v>
      </c>
      <c r="T135" s="2" t="s">
        <v>1102</v>
      </c>
      <c r="U135" s="2" t="s">
        <v>1040</v>
      </c>
      <c r="V135" s="2" t="s">
        <v>66</v>
      </c>
      <c r="W135" s="2" t="s">
        <v>1041</v>
      </c>
      <c r="X135" s="2" t="s">
        <v>1042</v>
      </c>
    </row>
    <row r="136" spans="1:24" ht="71.25" hidden="1">
      <c r="A136" s="2" t="s">
        <v>1103</v>
      </c>
      <c r="B136" s="2" t="s">
        <v>843</v>
      </c>
      <c r="C136" s="2" t="s">
        <v>547</v>
      </c>
      <c r="D136" s="2" t="s">
        <v>1104</v>
      </c>
      <c r="E136" s="2" t="s">
        <v>549</v>
      </c>
      <c r="F136" s="2" t="s">
        <v>1105</v>
      </c>
      <c r="G136" s="2" t="s">
        <v>53</v>
      </c>
      <c r="H136" s="2" t="s">
        <v>1106</v>
      </c>
      <c r="I136" s="2" t="s">
        <v>1107</v>
      </c>
      <c r="J136" s="2">
        <v>12</v>
      </c>
      <c r="K136" s="2" t="s">
        <v>250</v>
      </c>
      <c r="L136" s="2" t="s">
        <v>187</v>
      </c>
      <c r="M136" s="2" t="s">
        <v>1108</v>
      </c>
      <c r="N136" s="2" t="s">
        <v>1109</v>
      </c>
      <c r="O136" s="2" t="s">
        <v>849</v>
      </c>
      <c r="P136" s="2" t="s">
        <v>850</v>
      </c>
      <c r="Q136" s="2" t="s">
        <v>1037</v>
      </c>
      <c r="R136" s="2">
        <v>1.7999999999999998</v>
      </c>
      <c r="S136" s="2" t="s">
        <v>1038</v>
      </c>
      <c r="T136" s="2" t="s">
        <v>1110</v>
      </c>
      <c r="U136" s="2" t="s">
        <v>1040</v>
      </c>
      <c r="V136" s="2" t="s">
        <v>66</v>
      </c>
      <c r="W136" s="2" t="s">
        <v>1041</v>
      </c>
      <c r="X136" s="2" t="s">
        <v>1042</v>
      </c>
    </row>
    <row r="137" spans="1:24" ht="71.25" hidden="1">
      <c r="A137" s="2" t="s">
        <v>1111</v>
      </c>
      <c r="B137" s="2" t="s">
        <v>843</v>
      </c>
      <c r="C137" s="2" t="s">
        <v>547</v>
      </c>
      <c r="D137" s="2" t="s">
        <v>1112</v>
      </c>
      <c r="E137" s="2" t="s">
        <v>549</v>
      </c>
      <c r="F137" s="2" t="s">
        <v>1105</v>
      </c>
      <c r="G137" s="2" t="s">
        <v>53</v>
      </c>
      <c r="H137" s="2" t="s">
        <v>1113</v>
      </c>
      <c r="I137" s="2" t="s">
        <v>1114</v>
      </c>
      <c r="J137" s="2">
        <v>12</v>
      </c>
      <c r="K137" s="2" t="s">
        <v>250</v>
      </c>
      <c r="L137" s="2" t="s">
        <v>187</v>
      </c>
      <c r="M137" s="2" t="s">
        <v>1115</v>
      </c>
      <c r="N137" s="2" t="s">
        <v>1116</v>
      </c>
      <c r="O137" s="2" t="s">
        <v>849</v>
      </c>
      <c r="P137" s="2" t="s">
        <v>850</v>
      </c>
      <c r="Q137" s="2" t="s">
        <v>1037</v>
      </c>
      <c r="R137" s="2">
        <v>1.7999999999999998</v>
      </c>
      <c r="S137" s="2" t="s">
        <v>1038</v>
      </c>
      <c r="T137" s="2" t="s">
        <v>1117</v>
      </c>
      <c r="U137" s="2" t="s">
        <v>1040</v>
      </c>
      <c r="V137" s="2" t="s">
        <v>66</v>
      </c>
      <c r="W137" s="2" t="s">
        <v>1041</v>
      </c>
      <c r="X137" s="2" t="s">
        <v>1042</v>
      </c>
    </row>
    <row r="138" spans="1:24" ht="57" hidden="1">
      <c r="A138" s="2" t="s">
        <v>1118</v>
      </c>
      <c r="B138" s="2" t="s">
        <v>843</v>
      </c>
      <c r="C138" s="2" t="s">
        <v>547</v>
      </c>
      <c r="D138" s="2" t="s">
        <v>1119</v>
      </c>
      <c r="E138" s="2" t="s">
        <v>549</v>
      </c>
      <c r="F138" s="2" t="s">
        <v>1105</v>
      </c>
      <c r="G138" s="2" t="s">
        <v>81</v>
      </c>
      <c r="H138" s="2" t="s">
        <v>1120</v>
      </c>
      <c r="I138" s="2" t="s">
        <v>1121</v>
      </c>
      <c r="J138" s="2">
        <v>12</v>
      </c>
      <c r="K138" s="2" t="s">
        <v>250</v>
      </c>
      <c r="L138" s="2" t="s">
        <v>187</v>
      </c>
      <c r="M138" s="2" t="s">
        <v>1122</v>
      </c>
      <c r="N138" s="2" t="s">
        <v>1123</v>
      </c>
      <c r="O138" s="2" t="s">
        <v>849</v>
      </c>
      <c r="P138" s="2" t="s">
        <v>850</v>
      </c>
      <c r="Q138" s="2" t="s">
        <v>1037</v>
      </c>
      <c r="R138" s="2">
        <v>1.7999999999999998</v>
      </c>
      <c r="S138" s="2" t="s">
        <v>1038</v>
      </c>
      <c r="T138" s="2" t="s">
        <v>1124</v>
      </c>
      <c r="U138" s="2" t="s">
        <v>1040</v>
      </c>
      <c r="V138" s="2" t="s">
        <v>66</v>
      </c>
      <c r="W138" s="2" t="s">
        <v>1041</v>
      </c>
      <c r="X138" s="2" t="s">
        <v>1042</v>
      </c>
    </row>
    <row r="139" spans="1:24" ht="71.25" hidden="1">
      <c r="A139" s="2" t="s">
        <v>1125</v>
      </c>
      <c r="B139" s="2" t="s">
        <v>843</v>
      </c>
      <c r="C139" s="2" t="s">
        <v>547</v>
      </c>
      <c r="D139" s="2" t="s">
        <v>1126</v>
      </c>
      <c r="E139" s="2" t="s">
        <v>549</v>
      </c>
      <c r="F139" s="2" t="s">
        <v>623</v>
      </c>
      <c r="G139" s="2" t="s">
        <v>53</v>
      </c>
      <c r="H139" s="2" t="s">
        <v>1127</v>
      </c>
      <c r="I139" s="2" t="s">
        <v>1128</v>
      </c>
      <c r="J139" s="2">
        <v>8</v>
      </c>
      <c r="K139" s="2" t="s">
        <v>250</v>
      </c>
      <c r="L139" s="2" t="s">
        <v>187</v>
      </c>
      <c r="M139" s="2" t="s">
        <v>1129</v>
      </c>
      <c r="N139" s="2" t="s">
        <v>1130</v>
      </c>
      <c r="O139" s="2" t="s">
        <v>849</v>
      </c>
      <c r="P139" s="2" t="s">
        <v>850</v>
      </c>
      <c r="Q139" s="2" t="s">
        <v>1037</v>
      </c>
      <c r="R139" s="2">
        <v>1.2000000000000002</v>
      </c>
      <c r="S139" s="2" t="s">
        <v>1038</v>
      </c>
      <c r="T139" s="2" t="s">
        <v>1131</v>
      </c>
      <c r="U139" s="2" t="s">
        <v>1040</v>
      </c>
      <c r="V139" s="2" t="s">
        <v>66</v>
      </c>
      <c r="W139" s="2" t="s">
        <v>1041</v>
      </c>
      <c r="X139" s="2" t="s">
        <v>1042</v>
      </c>
    </row>
    <row r="140" spans="1:24" ht="71.25" hidden="1">
      <c r="A140" s="2" t="s">
        <v>626</v>
      </c>
      <c r="B140" s="2" t="s">
        <v>843</v>
      </c>
      <c r="C140" s="2" t="s">
        <v>547</v>
      </c>
      <c r="D140" s="2" t="s">
        <v>1132</v>
      </c>
      <c r="E140" s="2" t="s">
        <v>549</v>
      </c>
      <c r="F140" s="2" t="s">
        <v>623</v>
      </c>
      <c r="G140" s="2" t="s">
        <v>53</v>
      </c>
      <c r="H140" s="2" t="s">
        <v>1133</v>
      </c>
      <c r="I140" s="2" t="s">
        <v>1134</v>
      </c>
      <c r="J140" s="2">
        <v>8</v>
      </c>
      <c r="K140" s="2" t="s">
        <v>250</v>
      </c>
      <c r="L140" s="2" t="s">
        <v>187</v>
      </c>
      <c r="M140" s="2" t="s">
        <v>1135</v>
      </c>
      <c r="N140" s="2" t="s">
        <v>1136</v>
      </c>
      <c r="O140" s="2" t="s">
        <v>849</v>
      </c>
      <c r="P140" s="2" t="s">
        <v>850</v>
      </c>
      <c r="Q140" s="2" t="s">
        <v>1037</v>
      </c>
      <c r="R140" s="2">
        <v>1.2000000000000002</v>
      </c>
      <c r="S140" s="2" t="s">
        <v>1038</v>
      </c>
      <c r="T140" s="2" t="s">
        <v>1137</v>
      </c>
      <c r="U140" s="2" t="s">
        <v>1040</v>
      </c>
      <c r="V140" s="2" t="s">
        <v>66</v>
      </c>
      <c r="W140" s="2" t="s">
        <v>1041</v>
      </c>
      <c r="X140" s="2" t="s">
        <v>1042</v>
      </c>
    </row>
    <row r="141" spans="1:24" ht="71.25" hidden="1">
      <c r="A141" s="2" t="s">
        <v>1138</v>
      </c>
      <c r="B141" s="2" t="s">
        <v>843</v>
      </c>
      <c r="C141" s="2" t="s">
        <v>547</v>
      </c>
      <c r="D141" s="2" t="s">
        <v>1139</v>
      </c>
      <c r="E141" s="2" t="s">
        <v>549</v>
      </c>
      <c r="F141" s="2" t="s">
        <v>1140</v>
      </c>
      <c r="G141" s="2" t="s">
        <v>53</v>
      </c>
      <c r="H141" s="2" t="s">
        <v>1141</v>
      </c>
      <c r="I141" s="2" t="s">
        <v>1142</v>
      </c>
      <c r="J141" s="2">
        <v>8</v>
      </c>
      <c r="K141" s="2" t="s">
        <v>250</v>
      </c>
      <c r="L141" s="2" t="s">
        <v>187</v>
      </c>
      <c r="M141" s="2" t="s">
        <v>626</v>
      </c>
      <c r="N141" s="2" t="s">
        <v>1143</v>
      </c>
      <c r="O141" s="2" t="s">
        <v>849</v>
      </c>
      <c r="P141" s="2" t="s">
        <v>850</v>
      </c>
      <c r="Q141" s="2" t="s">
        <v>1037</v>
      </c>
      <c r="R141" s="2">
        <v>1.2000000000000002</v>
      </c>
      <c r="S141" s="2" t="s">
        <v>1038</v>
      </c>
      <c r="T141" s="2" t="s">
        <v>626</v>
      </c>
      <c r="U141" s="2" t="s">
        <v>1040</v>
      </c>
      <c r="V141" s="2" t="s">
        <v>66</v>
      </c>
      <c r="W141" s="2" t="s">
        <v>1041</v>
      </c>
      <c r="X141" s="2" t="s">
        <v>1042</v>
      </c>
    </row>
    <row r="142" spans="1:24" ht="57" hidden="1">
      <c r="A142" s="2" t="s">
        <v>1144</v>
      </c>
      <c r="B142" s="2" t="s">
        <v>843</v>
      </c>
      <c r="C142" s="2" t="s">
        <v>547</v>
      </c>
      <c r="D142" s="2" t="s">
        <v>1145</v>
      </c>
      <c r="E142" s="2" t="s">
        <v>549</v>
      </c>
      <c r="F142" s="2" t="s">
        <v>1140</v>
      </c>
      <c r="G142" s="2" t="s">
        <v>53</v>
      </c>
      <c r="H142" s="2" t="s">
        <v>1146</v>
      </c>
      <c r="I142" s="2" t="s">
        <v>1147</v>
      </c>
      <c r="J142" s="2">
        <v>8</v>
      </c>
      <c r="K142" s="2" t="s">
        <v>250</v>
      </c>
      <c r="L142" s="2" t="s">
        <v>187</v>
      </c>
      <c r="M142" s="2" t="s">
        <v>1138</v>
      </c>
      <c r="N142" s="2" t="s">
        <v>1148</v>
      </c>
      <c r="O142" s="2" t="s">
        <v>849</v>
      </c>
      <c r="P142" s="2" t="s">
        <v>850</v>
      </c>
      <c r="Q142" s="2" t="s">
        <v>1037</v>
      </c>
      <c r="R142" s="2">
        <v>1.2000000000000002</v>
      </c>
      <c r="S142" s="2" t="s">
        <v>1038</v>
      </c>
      <c r="T142" s="2" t="s">
        <v>1138</v>
      </c>
      <c r="U142" s="2" t="s">
        <v>1040</v>
      </c>
      <c r="V142" s="2" t="s">
        <v>66</v>
      </c>
      <c r="W142" s="2" t="s">
        <v>1041</v>
      </c>
      <c r="X142" s="2" t="s">
        <v>1042</v>
      </c>
    </row>
    <row r="143" spans="1:24" ht="99.75" hidden="1">
      <c r="A143" s="2" t="s">
        <v>1149</v>
      </c>
      <c r="B143" s="2" t="s">
        <v>843</v>
      </c>
      <c r="C143" s="2" t="s">
        <v>547</v>
      </c>
      <c r="D143" s="2" t="s">
        <v>1150</v>
      </c>
      <c r="E143" s="2" t="s">
        <v>581</v>
      </c>
      <c r="F143" s="2" t="s">
        <v>1151</v>
      </c>
      <c r="G143" s="2" t="s">
        <v>81</v>
      </c>
      <c r="H143" s="2" t="s">
        <v>1152</v>
      </c>
      <c r="I143" s="2" t="s">
        <v>1153</v>
      </c>
      <c r="J143" s="2">
        <v>10</v>
      </c>
      <c r="K143" s="2" t="s">
        <v>250</v>
      </c>
      <c r="L143" s="2" t="s">
        <v>187</v>
      </c>
      <c r="M143" s="2" t="s">
        <v>1154</v>
      </c>
      <c r="N143" s="2"/>
      <c r="O143" s="2" t="s">
        <v>849</v>
      </c>
      <c r="P143" s="2" t="s">
        <v>850</v>
      </c>
      <c r="Q143" s="2" t="s">
        <v>1037</v>
      </c>
      <c r="R143" s="2">
        <v>1.5</v>
      </c>
      <c r="S143" s="2" t="s">
        <v>1038</v>
      </c>
      <c r="T143" s="2" t="s">
        <v>1155</v>
      </c>
      <c r="U143" s="2" t="s">
        <v>1040</v>
      </c>
      <c r="V143" s="2" t="s">
        <v>66</v>
      </c>
      <c r="W143" s="2" t="s">
        <v>1041</v>
      </c>
      <c r="X143" s="2" t="s">
        <v>1042</v>
      </c>
    </row>
    <row r="144" spans="1:24" ht="199.5" hidden="1">
      <c r="A144" s="2" t="s">
        <v>1156</v>
      </c>
      <c r="B144" s="2" t="s">
        <v>843</v>
      </c>
      <c r="C144" s="2" t="s">
        <v>547</v>
      </c>
      <c r="D144" s="2" t="s">
        <v>1157</v>
      </c>
      <c r="E144" s="2" t="s">
        <v>581</v>
      </c>
      <c r="F144" s="2" t="s">
        <v>1151</v>
      </c>
      <c r="G144" s="2" t="s">
        <v>53</v>
      </c>
      <c r="H144" s="2" t="s">
        <v>1158</v>
      </c>
      <c r="I144" s="2" t="s">
        <v>1159</v>
      </c>
      <c r="J144" s="2">
        <v>12</v>
      </c>
      <c r="K144" s="2" t="s">
        <v>250</v>
      </c>
      <c r="L144" s="2" t="s">
        <v>187</v>
      </c>
      <c r="M144" s="2" t="s">
        <v>1160</v>
      </c>
      <c r="N144" s="2" t="s">
        <v>1149</v>
      </c>
      <c r="O144" s="2" t="s">
        <v>849</v>
      </c>
      <c r="P144" s="2" t="s">
        <v>850</v>
      </c>
      <c r="Q144" s="2" t="s">
        <v>1037</v>
      </c>
      <c r="R144" s="2">
        <v>1.7999999999999998</v>
      </c>
      <c r="S144" s="2" t="s">
        <v>1038</v>
      </c>
      <c r="T144" s="2" t="s">
        <v>1161</v>
      </c>
      <c r="U144" s="2" t="s">
        <v>1040</v>
      </c>
      <c r="V144" s="2" t="s">
        <v>66</v>
      </c>
      <c r="W144" s="2" t="s">
        <v>1041</v>
      </c>
      <c r="X144" s="2" t="s">
        <v>1042</v>
      </c>
    </row>
    <row r="145" spans="1:24" ht="71.25" hidden="1">
      <c r="A145" s="2" t="s">
        <v>1162</v>
      </c>
      <c r="B145" s="2" t="s">
        <v>843</v>
      </c>
      <c r="C145" s="2" t="s">
        <v>547</v>
      </c>
      <c r="D145" s="2" t="s">
        <v>1163</v>
      </c>
      <c r="E145" s="2" t="s">
        <v>549</v>
      </c>
      <c r="F145" s="2" t="s">
        <v>1164</v>
      </c>
      <c r="G145" s="2" t="s">
        <v>81</v>
      </c>
      <c r="H145" s="2" t="s">
        <v>1165</v>
      </c>
      <c r="I145" s="2" t="s">
        <v>1166</v>
      </c>
      <c r="J145" s="2">
        <v>12</v>
      </c>
      <c r="K145" s="2" t="s">
        <v>250</v>
      </c>
      <c r="L145" s="2" t="s">
        <v>187</v>
      </c>
      <c r="M145" s="2"/>
      <c r="N145" s="2"/>
      <c r="O145" s="2" t="s">
        <v>849</v>
      </c>
      <c r="P145" s="2" t="s">
        <v>850</v>
      </c>
      <c r="Q145" s="2" t="s">
        <v>881</v>
      </c>
      <c r="R145" s="2">
        <v>4.32</v>
      </c>
      <c r="S145" s="2" t="s">
        <v>1038</v>
      </c>
      <c r="T145" s="2" t="s">
        <v>1167</v>
      </c>
      <c r="U145" s="2" t="s">
        <v>883</v>
      </c>
      <c r="V145" s="2" t="s">
        <v>66</v>
      </c>
      <c r="W145" s="2" t="s">
        <v>1041</v>
      </c>
      <c r="X145" s="2" t="s">
        <v>1042</v>
      </c>
    </row>
    <row r="146" spans="1:24" ht="57" hidden="1">
      <c r="A146" s="2" t="s">
        <v>1168</v>
      </c>
      <c r="B146" s="2" t="s">
        <v>843</v>
      </c>
      <c r="C146" s="2" t="s">
        <v>547</v>
      </c>
      <c r="D146" s="2" t="s">
        <v>1169</v>
      </c>
      <c r="E146" s="2" t="s">
        <v>549</v>
      </c>
      <c r="F146" s="2" t="s">
        <v>623</v>
      </c>
      <c r="G146" s="2" t="s">
        <v>81</v>
      </c>
      <c r="H146" s="2" t="s">
        <v>1170</v>
      </c>
      <c r="I146" s="2" t="s">
        <v>1171</v>
      </c>
      <c r="J146" s="2">
        <v>12</v>
      </c>
      <c r="K146" s="2" t="s">
        <v>250</v>
      </c>
      <c r="L146" s="2" t="s">
        <v>187</v>
      </c>
      <c r="M146" s="2"/>
      <c r="N146" s="2"/>
      <c r="O146" s="2" t="s">
        <v>849</v>
      </c>
      <c r="P146" s="2" t="s">
        <v>850</v>
      </c>
      <c r="Q146" s="2" t="s">
        <v>881</v>
      </c>
      <c r="R146" s="2">
        <v>4.32</v>
      </c>
      <c r="S146" s="2" t="s">
        <v>1038</v>
      </c>
      <c r="T146" s="2" t="s">
        <v>1167</v>
      </c>
      <c r="U146" s="2" t="s">
        <v>883</v>
      </c>
      <c r="V146" s="2" t="s">
        <v>66</v>
      </c>
      <c r="W146" s="2" t="s">
        <v>1041</v>
      </c>
      <c r="X146" s="2" t="s">
        <v>1042</v>
      </c>
    </row>
    <row r="147" spans="1:24" ht="99.75" hidden="1">
      <c r="A147" s="2" t="s">
        <v>755</v>
      </c>
      <c r="B147" s="2" t="s">
        <v>843</v>
      </c>
      <c r="C147" s="2" t="s">
        <v>547</v>
      </c>
      <c r="D147" s="2" t="s">
        <v>1172</v>
      </c>
      <c r="E147" s="2" t="s">
        <v>96</v>
      </c>
      <c r="F147" s="2" t="s">
        <v>1173</v>
      </c>
      <c r="G147" s="2" t="s">
        <v>53</v>
      </c>
      <c r="H147" s="2" t="s">
        <v>1174</v>
      </c>
      <c r="I147" s="2" t="s">
        <v>1175</v>
      </c>
      <c r="J147" s="2">
        <v>12</v>
      </c>
      <c r="K147" s="2" t="s">
        <v>250</v>
      </c>
      <c r="L147" s="2" t="s">
        <v>57</v>
      </c>
      <c r="M147" s="2" t="s">
        <v>1176</v>
      </c>
      <c r="N147" s="2"/>
      <c r="O147" s="2" t="s">
        <v>849</v>
      </c>
      <c r="P147" s="2" t="s">
        <v>850</v>
      </c>
      <c r="Q147" s="2" t="s">
        <v>860</v>
      </c>
      <c r="R147" s="2">
        <v>7.2</v>
      </c>
      <c r="S147" s="2" t="s">
        <v>1038</v>
      </c>
      <c r="T147" s="2" t="s">
        <v>861</v>
      </c>
      <c r="U147" s="2" t="s">
        <v>862</v>
      </c>
      <c r="V147" s="2" t="s">
        <v>66</v>
      </c>
      <c r="W147" s="2" t="s">
        <v>1041</v>
      </c>
      <c r="X147" s="2" t="s">
        <v>1042</v>
      </c>
    </row>
    <row r="148" spans="1:24" ht="42.75" hidden="1">
      <c r="A148" s="2" t="s">
        <v>1177</v>
      </c>
      <c r="B148" s="2" t="s">
        <v>843</v>
      </c>
      <c r="C148" s="2" t="s">
        <v>547</v>
      </c>
      <c r="D148" s="2" t="s">
        <v>1178</v>
      </c>
      <c r="E148" s="2" t="s">
        <v>96</v>
      </c>
      <c r="F148" s="2" t="s">
        <v>1179</v>
      </c>
      <c r="G148" s="2" t="s">
        <v>81</v>
      </c>
      <c r="H148" s="2" t="s">
        <v>1180</v>
      </c>
      <c r="I148" s="2" t="s">
        <v>1181</v>
      </c>
      <c r="J148" s="2">
        <v>12</v>
      </c>
      <c r="K148" s="2" t="s">
        <v>250</v>
      </c>
      <c r="L148" s="2" t="s">
        <v>57</v>
      </c>
      <c r="M148" s="2"/>
      <c r="N148" s="2"/>
      <c r="O148" s="2" t="s">
        <v>849</v>
      </c>
      <c r="P148" s="2" t="s">
        <v>850</v>
      </c>
      <c r="Q148" s="2" t="s">
        <v>860</v>
      </c>
      <c r="R148" s="2">
        <v>7.2</v>
      </c>
      <c r="S148" s="2" t="s">
        <v>1038</v>
      </c>
      <c r="T148" s="2" t="s">
        <v>861</v>
      </c>
      <c r="U148" s="2" t="s">
        <v>862</v>
      </c>
      <c r="V148" s="2" t="s">
        <v>66</v>
      </c>
      <c r="W148" s="2" t="s">
        <v>1041</v>
      </c>
      <c r="X148" s="2" t="s">
        <v>1042</v>
      </c>
    </row>
    <row r="149" spans="1:24" ht="128.25" hidden="1">
      <c r="A149" s="2" t="s">
        <v>1182</v>
      </c>
      <c r="B149" s="2" t="s">
        <v>843</v>
      </c>
      <c r="C149" s="2" t="s">
        <v>547</v>
      </c>
      <c r="D149" s="2" t="s">
        <v>1183</v>
      </c>
      <c r="E149" s="2" t="s">
        <v>96</v>
      </c>
      <c r="F149" s="2" t="s">
        <v>1184</v>
      </c>
      <c r="G149" s="2" t="s">
        <v>53</v>
      </c>
      <c r="H149" s="2" t="s">
        <v>1185</v>
      </c>
      <c r="I149" s="2" t="s">
        <v>1186</v>
      </c>
      <c r="J149" s="2">
        <v>12</v>
      </c>
      <c r="K149" s="2" t="s">
        <v>250</v>
      </c>
      <c r="L149" s="2" t="s">
        <v>187</v>
      </c>
      <c r="M149" s="2" t="s">
        <v>1187</v>
      </c>
      <c r="N149" s="2" t="s">
        <v>1188</v>
      </c>
      <c r="O149" s="2" t="s">
        <v>849</v>
      </c>
      <c r="P149" s="2" t="s">
        <v>850</v>
      </c>
      <c r="Q149" s="2" t="s">
        <v>100</v>
      </c>
      <c r="R149" s="2">
        <v>1.7999999999999998</v>
      </c>
      <c r="S149" s="2" t="s">
        <v>1038</v>
      </c>
      <c r="T149" s="2" t="s">
        <v>1189</v>
      </c>
      <c r="U149" s="2" t="s">
        <v>1040</v>
      </c>
      <c r="V149" s="2" t="s">
        <v>66</v>
      </c>
      <c r="W149" s="2" t="s">
        <v>1041</v>
      </c>
      <c r="X149" s="2" t="s">
        <v>1042</v>
      </c>
    </row>
    <row r="150" spans="1:24" ht="156.75" hidden="1">
      <c r="A150" s="2" t="s">
        <v>1190</v>
      </c>
      <c r="B150" s="2" t="s">
        <v>843</v>
      </c>
      <c r="C150" s="2" t="s">
        <v>547</v>
      </c>
      <c r="D150" s="2" t="s">
        <v>1191</v>
      </c>
      <c r="E150" s="2" t="s">
        <v>549</v>
      </c>
      <c r="F150" s="2" t="s">
        <v>1192</v>
      </c>
      <c r="G150" s="2" t="s">
        <v>53</v>
      </c>
      <c r="H150" s="2" t="s">
        <v>1193</v>
      </c>
      <c r="I150" s="2" t="s">
        <v>1194</v>
      </c>
      <c r="J150" s="2">
        <v>12</v>
      </c>
      <c r="K150" s="2" t="s">
        <v>250</v>
      </c>
      <c r="L150" s="2" t="s">
        <v>187</v>
      </c>
      <c r="M150" s="2" t="s">
        <v>1195</v>
      </c>
      <c r="N150" s="2" t="s">
        <v>1196</v>
      </c>
      <c r="O150" s="2" t="s">
        <v>849</v>
      </c>
      <c r="P150" s="2" t="s">
        <v>850</v>
      </c>
      <c r="Q150" s="2" t="s">
        <v>1037</v>
      </c>
      <c r="R150" s="2">
        <v>1.7999999999999998</v>
      </c>
      <c r="S150" s="2" t="s">
        <v>1038</v>
      </c>
      <c r="T150" s="2" t="s">
        <v>1197</v>
      </c>
      <c r="U150" s="2" t="s">
        <v>1040</v>
      </c>
      <c r="V150" s="2" t="s">
        <v>66</v>
      </c>
      <c r="W150" s="2" t="s">
        <v>1041</v>
      </c>
      <c r="X150" s="2" t="s">
        <v>1042</v>
      </c>
    </row>
    <row r="151" spans="1:24" ht="142.5" hidden="1">
      <c r="A151" s="2" t="s">
        <v>1198</v>
      </c>
      <c r="B151" s="2" t="s">
        <v>843</v>
      </c>
      <c r="C151" s="2" t="s">
        <v>547</v>
      </c>
      <c r="D151" s="2" t="s">
        <v>1199</v>
      </c>
      <c r="E151" s="2" t="s">
        <v>549</v>
      </c>
      <c r="F151" s="2" t="s">
        <v>1192</v>
      </c>
      <c r="G151" s="2" t="s">
        <v>53</v>
      </c>
      <c r="H151" s="2" t="s">
        <v>1200</v>
      </c>
      <c r="I151" s="2" t="s">
        <v>1201</v>
      </c>
      <c r="J151" s="2">
        <v>12</v>
      </c>
      <c r="K151" s="2" t="s">
        <v>250</v>
      </c>
      <c r="L151" s="2" t="s">
        <v>187</v>
      </c>
      <c r="M151" s="2" t="s">
        <v>1202</v>
      </c>
      <c r="N151" s="2" t="s">
        <v>1196</v>
      </c>
      <c r="O151" s="2" t="s">
        <v>849</v>
      </c>
      <c r="P151" s="2" t="s">
        <v>850</v>
      </c>
      <c r="Q151" s="2" t="s">
        <v>1037</v>
      </c>
      <c r="R151" s="2">
        <v>1.7999999999999998</v>
      </c>
      <c r="S151" s="2" t="s">
        <v>1038</v>
      </c>
      <c r="T151" s="2" t="s">
        <v>1203</v>
      </c>
      <c r="U151" s="2" t="s">
        <v>1040</v>
      </c>
      <c r="V151" s="2" t="s">
        <v>66</v>
      </c>
      <c r="W151" s="2" t="s">
        <v>1041</v>
      </c>
      <c r="X151" s="2" t="s">
        <v>1042</v>
      </c>
    </row>
    <row r="152" spans="1:24" ht="85.5" hidden="1">
      <c r="A152" s="2" t="s">
        <v>1204</v>
      </c>
      <c r="B152" s="2" t="s">
        <v>843</v>
      </c>
      <c r="C152" s="2" t="s">
        <v>547</v>
      </c>
      <c r="D152" s="2" t="s">
        <v>1205</v>
      </c>
      <c r="E152" s="2" t="s">
        <v>581</v>
      </c>
      <c r="F152" s="2" t="s">
        <v>582</v>
      </c>
      <c r="G152" s="2" t="s">
        <v>53</v>
      </c>
      <c r="H152" s="2" t="s">
        <v>1206</v>
      </c>
      <c r="I152" s="2" t="s">
        <v>1207</v>
      </c>
      <c r="J152" s="2">
        <v>12</v>
      </c>
      <c r="K152" s="2" t="s">
        <v>250</v>
      </c>
      <c r="L152" s="2" t="s">
        <v>187</v>
      </c>
      <c r="M152" s="2" t="s">
        <v>1208</v>
      </c>
      <c r="N152" s="2" t="s">
        <v>1209</v>
      </c>
      <c r="O152" s="2" t="s">
        <v>849</v>
      </c>
      <c r="P152" s="2" t="s">
        <v>850</v>
      </c>
      <c r="Q152" s="2" t="s">
        <v>1037</v>
      </c>
      <c r="R152" s="2">
        <v>1.7999999999999998</v>
      </c>
      <c r="S152" s="2" t="s">
        <v>1038</v>
      </c>
      <c r="T152" s="2" t="s">
        <v>1210</v>
      </c>
      <c r="U152" s="2" t="s">
        <v>1040</v>
      </c>
      <c r="V152" s="2" t="s">
        <v>66</v>
      </c>
      <c r="W152" s="2" t="s">
        <v>1041</v>
      </c>
      <c r="X152" s="2" t="s">
        <v>1042</v>
      </c>
    </row>
    <row r="153" spans="1:24" ht="199.5" hidden="1">
      <c r="A153" s="2" t="s">
        <v>591</v>
      </c>
      <c r="B153" s="2" t="s">
        <v>843</v>
      </c>
      <c r="C153" s="2" t="s">
        <v>547</v>
      </c>
      <c r="D153" s="2" t="s">
        <v>1211</v>
      </c>
      <c r="E153" s="2" t="s">
        <v>549</v>
      </c>
      <c r="F153" s="2" t="s">
        <v>1212</v>
      </c>
      <c r="G153" s="2" t="s">
        <v>53</v>
      </c>
      <c r="H153" s="2" t="s">
        <v>1213</v>
      </c>
      <c r="I153" s="2" t="s">
        <v>1214</v>
      </c>
      <c r="J153" s="2">
        <v>12</v>
      </c>
      <c r="K153" s="2" t="s">
        <v>250</v>
      </c>
      <c r="L153" s="2" t="s">
        <v>187</v>
      </c>
      <c r="M153" s="2" t="s">
        <v>1215</v>
      </c>
      <c r="N153" s="2" t="s">
        <v>1216</v>
      </c>
      <c r="O153" s="2" t="s">
        <v>849</v>
      </c>
      <c r="P153" s="2" t="s">
        <v>850</v>
      </c>
      <c r="Q153" s="2" t="s">
        <v>1037</v>
      </c>
      <c r="R153" s="2">
        <v>1.7999999999999998</v>
      </c>
      <c r="S153" s="2" t="s">
        <v>1038</v>
      </c>
      <c r="T153" s="2" t="s">
        <v>1217</v>
      </c>
      <c r="U153" s="2" t="s">
        <v>1040</v>
      </c>
      <c r="V153" s="2" t="s">
        <v>66</v>
      </c>
      <c r="W153" s="2" t="s">
        <v>1041</v>
      </c>
      <c r="X153" s="2" t="s">
        <v>1042</v>
      </c>
    </row>
    <row r="154" spans="1:24" ht="85.5" hidden="1">
      <c r="A154" s="2" t="s">
        <v>1218</v>
      </c>
      <c r="B154" s="2" t="s">
        <v>843</v>
      </c>
      <c r="C154" s="2" t="s">
        <v>547</v>
      </c>
      <c r="D154" s="2" t="s">
        <v>1219</v>
      </c>
      <c r="E154" s="2" t="s">
        <v>162</v>
      </c>
      <c r="F154" s="2" t="s">
        <v>1220</v>
      </c>
      <c r="G154" s="2" t="s">
        <v>53</v>
      </c>
      <c r="H154" s="2" t="s">
        <v>1221</v>
      </c>
      <c r="I154" s="2" t="s">
        <v>1222</v>
      </c>
      <c r="J154" s="2">
        <v>10</v>
      </c>
      <c r="K154" s="2" t="s">
        <v>250</v>
      </c>
      <c r="L154" s="2" t="s">
        <v>187</v>
      </c>
      <c r="M154" s="2" t="s">
        <v>1223</v>
      </c>
      <c r="N154" s="2" t="s">
        <v>1224</v>
      </c>
      <c r="O154" s="2" t="s">
        <v>849</v>
      </c>
      <c r="P154" s="2" t="s">
        <v>850</v>
      </c>
      <c r="Q154" s="2" t="s">
        <v>275</v>
      </c>
      <c r="R154" s="2">
        <v>1.6666666666666667</v>
      </c>
      <c r="S154" s="2" t="s">
        <v>1038</v>
      </c>
      <c r="T154" s="2" t="s">
        <v>1225</v>
      </c>
      <c r="U154" s="2" t="s">
        <v>1040</v>
      </c>
      <c r="V154" s="2" t="s">
        <v>66</v>
      </c>
      <c r="W154" s="2" t="s">
        <v>1041</v>
      </c>
      <c r="X154" s="2" t="s">
        <v>1042</v>
      </c>
    </row>
    <row r="155" spans="1:24" ht="71.25" hidden="1">
      <c r="A155" s="2" t="s">
        <v>1123</v>
      </c>
      <c r="B155" s="2" t="s">
        <v>843</v>
      </c>
      <c r="C155" s="2" t="s">
        <v>547</v>
      </c>
      <c r="D155" s="2" t="s">
        <v>1226</v>
      </c>
      <c r="E155" s="2" t="s">
        <v>162</v>
      </c>
      <c r="F155" s="2" t="s">
        <v>1227</v>
      </c>
      <c r="G155" s="2" t="s">
        <v>53</v>
      </c>
      <c r="H155" s="2" t="s">
        <v>1228</v>
      </c>
      <c r="I155" s="2" t="s">
        <v>1229</v>
      </c>
      <c r="J155" s="2">
        <v>12</v>
      </c>
      <c r="K155" s="2" t="s">
        <v>250</v>
      </c>
      <c r="L155" s="2" t="s">
        <v>187</v>
      </c>
      <c r="M155" s="2" t="s">
        <v>1230</v>
      </c>
      <c r="N155" s="2" t="s">
        <v>1231</v>
      </c>
      <c r="O155" s="2" t="s">
        <v>849</v>
      </c>
      <c r="P155" s="2" t="s">
        <v>850</v>
      </c>
      <c r="Q155" s="2" t="s">
        <v>275</v>
      </c>
      <c r="R155" s="2">
        <v>2</v>
      </c>
      <c r="S155" s="2" t="s">
        <v>1038</v>
      </c>
      <c r="T155" s="2" t="s">
        <v>1232</v>
      </c>
      <c r="U155" s="2" t="s">
        <v>1040</v>
      </c>
      <c r="V155" s="2" t="s">
        <v>66</v>
      </c>
      <c r="W155" s="2" t="s">
        <v>1041</v>
      </c>
      <c r="X155" s="2" t="s">
        <v>1042</v>
      </c>
    </row>
    <row r="156" spans="1:24" ht="71.25" hidden="1">
      <c r="A156" s="2" t="s">
        <v>1233</v>
      </c>
      <c r="B156" s="2" t="s">
        <v>843</v>
      </c>
      <c r="C156" s="2" t="s">
        <v>547</v>
      </c>
      <c r="D156" s="2" t="s">
        <v>1234</v>
      </c>
      <c r="E156" s="2" t="s">
        <v>162</v>
      </c>
      <c r="F156" s="2" t="s">
        <v>1235</v>
      </c>
      <c r="G156" s="2" t="s">
        <v>53</v>
      </c>
      <c r="H156" s="2" t="s">
        <v>1236</v>
      </c>
      <c r="I156" s="2" t="s">
        <v>1237</v>
      </c>
      <c r="J156" s="2">
        <v>12</v>
      </c>
      <c r="K156" s="2" t="s">
        <v>250</v>
      </c>
      <c r="L156" s="2" t="s">
        <v>187</v>
      </c>
      <c r="M156" s="2" t="s">
        <v>1238</v>
      </c>
      <c r="N156" s="2" t="s">
        <v>1231</v>
      </c>
      <c r="O156" s="2" t="s">
        <v>849</v>
      </c>
      <c r="P156" s="2" t="s">
        <v>850</v>
      </c>
      <c r="Q156" s="2" t="s">
        <v>275</v>
      </c>
      <c r="R156" s="2">
        <v>2</v>
      </c>
      <c r="S156" s="2" t="s">
        <v>1038</v>
      </c>
      <c r="T156" s="2" t="s">
        <v>1239</v>
      </c>
      <c r="U156" s="2" t="s">
        <v>1040</v>
      </c>
      <c r="V156" s="2" t="s">
        <v>66</v>
      </c>
      <c r="W156" s="2" t="s">
        <v>1041</v>
      </c>
      <c r="X156" s="2" t="s">
        <v>1042</v>
      </c>
    </row>
    <row r="157" spans="1:24" ht="99.75" hidden="1">
      <c r="A157" s="2" t="s">
        <v>1240</v>
      </c>
      <c r="B157" s="2" t="s">
        <v>843</v>
      </c>
      <c r="C157" s="2" t="s">
        <v>547</v>
      </c>
      <c r="D157" s="2" t="s">
        <v>1241</v>
      </c>
      <c r="E157" s="2" t="s">
        <v>549</v>
      </c>
      <c r="F157" s="2" t="s">
        <v>1242</v>
      </c>
      <c r="G157" s="2" t="s">
        <v>81</v>
      </c>
      <c r="H157" s="2" t="s">
        <v>1243</v>
      </c>
      <c r="I157" s="2" t="s">
        <v>1244</v>
      </c>
      <c r="J157" s="2">
        <v>12</v>
      </c>
      <c r="K157" s="2" t="s">
        <v>250</v>
      </c>
      <c r="L157" s="2" t="s">
        <v>187</v>
      </c>
      <c r="M157" s="2" t="s">
        <v>1245</v>
      </c>
      <c r="N157" s="2" t="s">
        <v>1231</v>
      </c>
      <c r="O157" s="2" t="s">
        <v>849</v>
      </c>
      <c r="P157" s="2" t="s">
        <v>850</v>
      </c>
      <c r="Q157" s="2" t="s">
        <v>1037</v>
      </c>
      <c r="R157" s="2">
        <v>1.7999999999999998</v>
      </c>
      <c r="S157" s="2" t="s">
        <v>1038</v>
      </c>
      <c r="T157" s="2" t="s">
        <v>1246</v>
      </c>
      <c r="U157" s="2" t="s">
        <v>1040</v>
      </c>
      <c r="V157" s="2" t="s">
        <v>66</v>
      </c>
      <c r="W157" s="2" t="s">
        <v>1041</v>
      </c>
      <c r="X157" s="2" t="s">
        <v>1042</v>
      </c>
    </row>
    <row r="158" spans="1:24" ht="99.75" hidden="1">
      <c r="A158" s="2" t="s">
        <v>1231</v>
      </c>
      <c r="B158" s="2" t="s">
        <v>843</v>
      </c>
      <c r="C158" s="2" t="s">
        <v>547</v>
      </c>
      <c r="D158" s="2" t="s">
        <v>1247</v>
      </c>
      <c r="E158" s="2" t="s">
        <v>51</v>
      </c>
      <c r="F158" s="2" t="s">
        <v>1248</v>
      </c>
      <c r="G158" s="2" t="s">
        <v>53</v>
      </c>
      <c r="H158" s="2" t="s">
        <v>1249</v>
      </c>
      <c r="I158" s="2" t="s">
        <v>1250</v>
      </c>
      <c r="J158" s="2">
        <v>10</v>
      </c>
      <c r="K158" s="2" t="s">
        <v>250</v>
      </c>
      <c r="L158" s="2" t="s">
        <v>187</v>
      </c>
      <c r="M158" s="2" t="s">
        <v>1251</v>
      </c>
      <c r="N158" s="2" t="s">
        <v>520</v>
      </c>
      <c r="O158" s="2" t="s">
        <v>849</v>
      </c>
      <c r="P158" s="2" t="s">
        <v>850</v>
      </c>
      <c r="Q158" s="2" t="s">
        <v>62</v>
      </c>
      <c r="R158" s="2">
        <v>1.7</v>
      </c>
      <c r="S158" s="2" t="s">
        <v>1038</v>
      </c>
      <c r="T158" s="2" t="s">
        <v>1252</v>
      </c>
      <c r="U158" s="2" t="s">
        <v>1040</v>
      </c>
      <c r="V158" s="2" t="s">
        <v>66</v>
      </c>
      <c r="W158" s="2" t="s">
        <v>1041</v>
      </c>
      <c r="X158" s="2" t="s">
        <v>1042</v>
      </c>
    </row>
    <row r="159" spans="1:24" ht="114" hidden="1">
      <c r="A159" s="2" t="s">
        <v>1253</v>
      </c>
      <c r="B159" s="2" t="s">
        <v>843</v>
      </c>
      <c r="C159" s="2" t="s">
        <v>547</v>
      </c>
      <c r="D159" s="2" t="s">
        <v>1254</v>
      </c>
      <c r="E159" s="2" t="s">
        <v>549</v>
      </c>
      <c r="F159" s="2" t="s">
        <v>611</v>
      </c>
      <c r="G159" s="2" t="s">
        <v>81</v>
      </c>
      <c r="H159" s="2" t="s">
        <v>1255</v>
      </c>
      <c r="I159" s="2" t="s">
        <v>1256</v>
      </c>
      <c r="J159" s="2">
        <v>10</v>
      </c>
      <c r="K159" s="2" t="s">
        <v>250</v>
      </c>
      <c r="L159" s="2" t="s">
        <v>187</v>
      </c>
      <c r="M159" s="2" t="s">
        <v>1257</v>
      </c>
      <c r="N159" s="2"/>
      <c r="O159" s="2" t="s">
        <v>849</v>
      </c>
      <c r="P159" s="2" t="s">
        <v>850</v>
      </c>
      <c r="Q159" s="2" t="s">
        <v>1037</v>
      </c>
      <c r="R159" s="2">
        <v>1.5</v>
      </c>
      <c r="S159" s="2" t="s">
        <v>1038</v>
      </c>
      <c r="T159" s="2" t="s">
        <v>1258</v>
      </c>
      <c r="U159" s="2" t="s">
        <v>1040</v>
      </c>
      <c r="V159" s="2" t="s">
        <v>66</v>
      </c>
      <c r="W159" s="2" t="s">
        <v>1041</v>
      </c>
      <c r="X159" s="2" t="s">
        <v>1042</v>
      </c>
    </row>
    <row r="160" spans="1:24" ht="99.75" hidden="1">
      <c r="A160" s="2" t="s">
        <v>1259</v>
      </c>
      <c r="B160" s="2" t="s">
        <v>843</v>
      </c>
      <c r="C160" s="2" t="s">
        <v>547</v>
      </c>
      <c r="D160" s="2" t="s">
        <v>1260</v>
      </c>
      <c r="E160" s="2" t="s">
        <v>96</v>
      </c>
      <c r="F160" s="2" t="s">
        <v>1261</v>
      </c>
      <c r="G160" s="2" t="s">
        <v>53</v>
      </c>
      <c r="H160" s="2" t="s">
        <v>1262</v>
      </c>
      <c r="I160" s="2" t="s">
        <v>1263</v>
      </c>
      <c r="J160" s="2">
        <v>10</v>
      </c>
      <c r="K160" s="2" t="s">
        <v>250</v>
      </c>
      <c r="L160" s="2" t="s">
        <v>187</v>
      </c>
      <c r="M160" s="2" t="s">
        <v>1264</v>
      </c>
      <c r="N160" s="2" t="s">
        <v>1265</v>
      </c>
      <c r="O160" s="2" t="s">
        <v>849</v>
      </c>
      <c r="P160" s="2" t="s">
        <v>850</v>
      </c>
      <c r="Q160" s="2" t="s">
        <v>100</v>
      </c>
      <c r="R160" s="2">
        <v>1.5</v>
      </c>
      <c r="S160" s="2" t="s">
        <v>1038</v>
      </c>
      <c r="T160" s="2" t="s">
        <v>1266</v>
      </c>
      <c r="U160" s="2" t="s">
        <v>1040</v>
      </c>
      <c r="V160" s="2" t="s">
        <v>66</v>
      </c>
      <c r="W160" s="2" t="s">
        <v>1041</v>
      </c>
      <c r="X160" s="2" t="s">
        <v>1042</v>
      </c>
    </row>
    <row r="161" spans="1:24" ht="85.5" hidden="1">
      <c r="A161" s="2" t="s">
        <v>1267</v>
      </c>
      <c r="B161" s="2" t="s">
        <v>843</v>
      </c>
      <c r="C161" s="2" t="s">
        <v>547</v>
      </c>
      <c r="D161" s="2" t="s">
        <v>1268</v>
      </c>
      <c r="E161" s="2" t="s">
        <v>549</v>
      </c>
      <c r="F161" s="2" t="s">
        <v>1269</v>
      </c>
      <c r="G161" s="2" t="s">
        <v>81</v>
      </c>
      <c r="H161" s="2" t="s">
        <v>1270</v>
      </c>
      <c r="I161" s="2" t="s">
        <v>1271</v>
      </c>
      <c r="J161" s="2">
        <v>12</v>
      </c>
      <c r="K161" s="2" t="s">
        <v>250</v>
      </c>
      <c r="L161" s="2" t="s">
        <v>187</v>
      </c>
      <c r="M161" s="2" t="s">
        <v>1272</v>
      </c>
      <c r="N161" s="2" t="s">
        <v>1273</v>
      </c>
      <c r="O161" s="2" t="s">
        <v>849</v>
      </c>
      <c r="P161" s="2" t="s">
        <v>850</v>
      </c>
      <c r="Q161" s="2" t="s">
        <v>210</v>
      </c>
      <c r="R161" s="2">
        <v>3.2</v>
      </c>
      <c r="S161" s="2" t="s">
        <v>1038</v>
      </c>
      <c r="T161" s="2" t="s">
        <v>1274</v>
      </c>
      <c r="U161" s="2" t="s">
        <v>1275</v>
      </c>
      <c r="V161" s="2" t="s">
        <v>1276</v>
      </c>
      <c r="W161" s="2" t="s">
        <v>1041</v>
      </c>
      <c r="X161" s="2" t="s">
        <v>1042</v>
      </c>
    </row>
    <row r="162" spans="1:24" ht="71.25" hidden="1">
      <c r="A162" s="2" t="s">
        <v>1277</v>
      </c>
      <c r="B162" s="2" t="s">
        <v>843</v>
      </c>
      <c r="C162" s="2" t="s">
        <v>547</v>
      </c>
      <c r="D162" s="2" t="s">
        <v>1278</v>
      </c>
      <c r="E162" s="2" t="s">
        <v>236</v>
      </c>
      <c r="F162" s="2" t="s">
        <v>1279</v>
      </c>
      <c r="G162" s="2" t="s">
        <v>81</v>
      </c>
      <c r="H162" s="2" t="s">
        <v>1280</v>
      </c>
      <c r="I162" s="2" t="s">
        <v>1281</v>
      </c>
      <c r="J162" s="2">
        <v>8</v>
      </c>
      <c r="K162" s="2" t="s">
        <v>250</v>
      </c>
      <c r="L162" s="2" t="s">
        <v>57</v>
      </c>
      <c r="M162" s="2" t="s">
        <v>1282</v>
      </c>
      <c r="N162" s="2" t="s">
        <v>1283</v>
      </c>
      <c r="O162" s="2" t="s">
        <v>849</v>
      </c>
      <c r="P162" s="2" t="s">
        <v>850</v>
      </c>
      <c r="Q162" s="2" t="s">
        <v>221</v>
      </c>
      <c r="R162" s="2">
        <v>3.4</v>
      </c>
      <c r="S162" s="2" t="s">
        <v>1038</v>
      </c>
      <c r="T162" s="2" t="s">
        <v>1284</v>
      </c>
      <c r="U162" s="2" t="s">
        <v>1285</v>
      </c>
      <c r="V162" s="2" t="s">
        <v>1286</v>
      </c>
      <c r="W162" s="2" t="s">
        <v>1041</v>
      </c>
      <c r="X162" s="2" t="s">
        <v>1042</v>
      </c>
    </row>
    <row r="163" spans="1:24" ht="71.25" hidden="1">
      <c r="A163" s="2" t="s">
        <v>1283</v>
      </c>
      <c r="B163" s="2" t="s">
        <v>843</v>
      </c>
      <c r="C163" s="2" t="s">
        <v>547</v>
      </c>
      <c r="D163" s="2" t="s">
        <v>1287</v>
      </c>
      <c r="E163" s="2" t="s">
        <v>1288</v>
      </c>
      <c r="F163" s="2" t="s">
        <v>1289</v>
      </c>
      <c r="G163" s="2" t="s">
        <v>81</v>
      </c>
      <c r="H163" s="2" t="s">
        <v>1290</v>
      </c>
      <c r="I163" s="2" t="s">
        <v>1291</v>
      </c>
      <c r="J163" s="2">
        <v>12</v>
      </c>
      <c r="K163" s="2" t="s">
        <v>250</v>
      </c>
      <c r="L163" s="2" t="s">
        <v>187</v>
      </c>
      <c r="M163" s="2" t="s">
        <v>1292</v>
      </c>
      <c r="N163" s="2"/>
      <c r="O163" s="2" t="s">
        <v>849</v>
      </c>
      <c r="P163" s="2" t="s">
        <v>850</v>
      </c>
      <c r="Q163" s="2" t="s">
        <v>1037</v>
      </c>
      <c r="R163" s="2">
        <v>5.0999999999999996</v>
      </c>
      <c r="S163" s="2" t="s">
        <v>1038</v>
      </c>
      <c r="T163" s="2" t="s">
        <v>1293</v>
      </c>
      <c r="U163" s="2" t="s">
        <v>1294</v>
      </c>
      <c r="V163" s="2" t="s">
        <v>1295</v>
      </c>
      <c r="W163" s="2" t="s">
        <v>1041</v>
      </c>
      <c r="X163" s="2" t="s">
        <v>1042</v>
      </c>
    </row>
    <row r="164" spans="1:24" ht="42.75" hidden="1">
      <c r="A164" s="2" t="s">
        <v>1296</v>
      </c>
      <c r="B164" s="2" t="s">
        <v>843</v>
      </c>
      <c r="C164" s="2" t="s">
        <v>761</v>
      </c>
      <c r="D164" s="2" t="s">
        <v>1297</v>
      </c>
      <c r="E164" s="2" t="s">
        <v>823</v>
      </c>
      <c r="F164" s="2" t="s">
        <v>824</v>
      </c>
      <c r="G164" s="2" t="s">
        <v>53</v>
      </c>
      <c r="H164" s="2" t="s">
        <v>1298</v>
      </c>
      <c r="I164" s="2" t="s">
        <v>1299</v>
      </c>
      <c r="J164" s="2">
        <v>12</v>
      </c>
      <c r="K164" s="2" t="s">
        <v>250</v>
      </c>
      <c r="L164" s="2" t="s">
        <v>145</v>
      </c>
      <c r="M164" s="2"/>
      <c r="N164" s="2"/>
      <c r="O164" s="2" t="s">
        <v>849</v>
      </c>
      <c r="P164" s="2" t="s">
        <v>850</v>
      </c>
      <c r="Q164" s="2" t="s">
        <v>860</v>
      </c>
      <c r="R164" s="2">
        <v>7.2</v>
      </c>
      <c r="S164" s="2" t="s">
        <v>1300</v>
      </c>
      <c r="T164" s="2" t="s">
        <v>861</v>
      </c>
      <c r="U164" s="2" t="s">
        <v>981</v>
      </c>
      <c r="V164" s="2" t="s">
        <v>66</v>
      </c>
      <c r="W164" s="2" t="s">
        <v>1301</v>
      </c>
      <c r="X164" s="2" t="s">
        <v>1302</v>
      </c>
    </row>
    <row r="165" spans="1:24" ht="71.25" hidden="1">
      <c r="A165" s="2" t="s">
        <v>1024</v>
      </c>
      <c r="B165" s="2" t="s">
        <v>843</v>
      </c>
      <c r="C165" s="2" t="s">
        <v>761</v>
      </c>
      <c r="D165" s="2" t="s">
        <v>1303</v>
      </c>
      <c r="E165" s="2" t="s">
        <v>51</v>
      </c>
      <c r="F165" s="2" t="s">
        <v>1304</v>
      </c>
      <c r="G165" s="2" t="s">
        <v>53</v>
      </c>
      <c r="H165" s="2" t="s">
        <v>1305</v>
      </c>
      <c r="I165" s="2" t="s">
        <v>1306</v>
      </c>
      <c r="J165" s="2">
        <v>12</v>
      </c>
      <c r="K165" s="2" t="s">
        <v>250</v>
      </c>
      <c r="L165" s="2" t="s">
        <v>57</v>
      </c>
      <c r="M165" s="2" t="s">
        <v>1307</v>
      </c>
      <c r="N165" s="2"/>
      <c r="O165" s="2" t="s">
        <v>849</v>
      </c>
      <c r="P165" s="2" t="s">
        <v>850</v>
      </c>
      <c r="Q165" s="2" t="s">
        <v>1304</v>
      </c>
      <c r="R165" s="2">
        <v>6</v>
      </c>
      <c r="S165" s="2" t="s">
        <v>1300</v>
      </c>
      <c r="T165" s="2" t="s">
        <v>1308</v>
      </c>
      <c r="U165" s="2" t="s">
        <v>1309</v>
      </c>
      <c r="V165" s="2" t="s">
        <v>1310</v>
      </c>
      <c r="W165" s="2" t="s">
        <v>1301</v>
      </c>
      <c r="X165" s="2" t="s">
        <v>1311</v>
      </c>
    </row>
    <row r="166" spans="1:24" hidden="1">
      <c r="A166" s="10" t="s">
        <v>1312</v>
      </c>
      <c r="B166" s="5" t="s">
        <v>48</v>
      </c>
      <c r="C166" s="10" t="s">
        <v>49</v>
      </c>
      <c r="D166" s="10" t="s">
        <v>1313</v>
      </c>
      <c r="E166" s="10" t="s">
        <v>162</v>
      </c>
      <c r="F166" s="10" t="s">
        <v>1314</v>
      </c>
      <c r="G166" s="10" t="s">
        <v>81</v>
      </c>
      <c r="H166" s="10" t="s">
        <v>1315</v>
      </c>
      <c r="I166" s="10" t="s">
        <v>1316</v>
      </c>
      <c r="J166" s="10">
        <v>6</v>
      </c>
      <c r="K166" s="5" t="s">
        <v>56</v>
      </c>
      <c r="L166" s="10" t="s">
        <v>145</v>
      </c>
      <c r="M166" t="s">
        <v>170</v>
      </c>
      <c r="N166" t="s">
        <v>520</v>
      </c>
      <c r="O166" t="s">
        <v>60</v>
      </c>
      <c r="P166" t="s">
        <v>61</v>
      </c>
      <c r="Q166" t="s">
        <v>1317</v>
      </c>
      <c r="R166">
        <v>2.5</v>
      </c>
      <c r="S166" t="s">
        <v>63</v>
      </c>
      <c r="T166" t="s">
        <v>1318</v>
      </c>
      <c r="U166" t="s">
        <v>1319</v>
      </c>
      <c r="V166" t="s">
        <v>1320</v>
      </c>
      <c r="W166" t="s">
        <v>67</v>
      </c>
      <c r="X166" t="s">
        <v>1321</v>
      </c>
    </row>
    <row r="167" spans="1:24" ht="156.75">
      <c r="A167" s="2" t="s">
        <v>1750</v>
      </c>
      <c r="B167" s="2" t="s">
        <v>48</v>
      </c>
      <c r="C167" s="2" t="s">
        <v>49</v>
      </c>
      <c r="D167" s="2" t="s">
        <v>1751</v>
      </c>
      <c r="E167" s="2" t="s">
        <v>71</v>
      </c>
      <c r="F167" s="2" t="s">
        <v>1752</v>
      </c>
      <c r="G167" s="2" t="s">
        <v>53</v>
      </c>
      <c r="H167" s="2" t="s">
        <v>1753</v>
      </c>
      <c r="I167" s="2" t="s">
        <v>1754</v>
      </c>
      <c r="J167" s="2">
        <v>12</v>
      </c>
      <c r="K167" s="2" t="s">
        <v>250</v>
      </c>
      <c r="L167" s="2" t="s">
        <v>57</v>
      </c>
      <c r="M167" s="2" t="s">
        <v>91</v>
      </c>
      <c r="N167" s="2" t="s">
        <v>1755</v>
      </c>
      <c r="O167" s="2" t="s">
        <v>60</v>
      </c>
      <c r="P167" s="2" t="s">
        <v>61</v>
      </c>
      <c r="Q167" s="2" t="s">
        <v>77</v>
      </c>
      <c r="R167" s="2">
        <v>1.8</v>
      </c>
      <c r="S167" s="2" t="s">
        <v>63</v>
      </c>
      <c r="T167" s="2" t="s">
        <v>1756</v>
      </c>
      <c r="U167" s="2" t="s">
        <v>1757</v>
      </c>
      <c r="V167" s="2" t="s">
        <v>1758</v>
      </c>
      <c r="W167" s="2" t="s">
        <v>67</v>
      </c>
      <c r="X167" s="2" t="s">
        <v>1759</v>
      </c>
    </row>
    <row r="168" spans="1:24" ht="114">
      <c r="A168" s="2" t="s">
        <v>1760</v>
      </c>
      <c r="B168" s="2" t="s">
        <v>48</v>
      </c>
      <c r="C168" s="2" t="s">
        <v>761</v>
      </c>
      <c r="D168" s="2" t="s">
        <v>1761</v>
      </c>
      <c r="E168" s="2" t="s">
        <v>141</v>
      </c>
      <c r="F168" s="2" t="s">
        <v>1762</v>
      </c>
      <c r="G168" s="2" t="s">
        <v>53</v>
      </c>
      <c r="H168" s="2" t="s">
        <v>1763</v>
      </c>
      <c r="I168" s="2" t="s">
        <v>1764</v>
      </c>
      <c r="J168" s="2">
        <v>8</v>
      </c>
      <c r="K168" s="2" t="s">
        <v>250</v>
      </c>
      <c r="L168" s="2" t="s">
        <v>57</v>
      </c>
      <c r="M168" s="2" t="s">
        <v>91</v>
      </c>
      <c r="N168" s="2" t="s">
        <v>520</v>
      </c>
      <c r="O168" s="2" t="s">
        <v>60</v>
      </c>
      <c r="P168" s="2" t="s">
        <v>61</v>
      </c>
      <c r="Q168" s="2" t="s">
        <v>62</v>
      </c>
      <c r="R168" s="2">
        <v>1.2</v>
      </c>
      <c r="S168" s="2" t="s">
        <v>767</v>
      </c>
      <c r="T168" s="2" t="s">
        <v>1765</v>
      </c>
      <c r="U168" s="2" t="s">
        <v>1766</v>
      </c>
      <c r="V168" s="2" t="s">
        <v>1767</v>
      </c>
      <c r="W168" s="2" t="s">
        <v>769</v>
      </c>
      <c r="X168" s="2" t="s">
        <v>1768</v>
      </c>
    </row>
  </sheetData>
  <conditionalFormatting sqref="B2:B166">
    <cfRule type="expression" dxfId="3" priority="1">
      <formula>B2="M2"</formula>
    </cfRule>
    <cfRule type="expression" dxfId="2" priority="2">
      <formula>B2="M3"</formula>
    </cfRule>
  </conditionalFormatting>
  <conditionalFormatting sqref="K2:K166">
    <cfRule type="expression" dxfId="1" priority="3">
      <formula>K2="Done"</formula>
    </cfRule>
  </conditionalFormatting>
  <dataValidations count="1">
    <dataValidation type="list" sqref="C2:C165" xr:uid="{00000000-0002-0000-0100-000000000000}">
      <formula1>"P1,P2,P3,P4,P5"</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3"/>
  <sheetViews>
    <sheetView topLeftCell="H1" workbookViewId="0">
      <selection activeCell="D6" sqref="D6"/>
    </sheetView>
  </sheetViews>
  <sheetFormatPr defaultRowHeight="14.25"/>
  <cols>
    <col min="1" max="1" width="10" customWidth="1"/>
    <col min="2" max="2" width="14" customWidth="1"/>
    <col min="3" max="3" width="8" customWidth="1"/>
    <col min="4" max="4" width="44" customWidth="1"/>
    <col min="5" max="5" width="12" customWidth="1"/>
    <col min="6" max="7" width="16" customWidth="1"/>
    <col min="8" max="8" width="60" customWidth="1"/>
    <col min="9" max="9" width="58" customWidth="1"/>
    <col min="10" max="10" width="34" customWidth="1"/>
    <col min="12" max="12" width="18" customWidth="1"/>
    <col min="13" max="13" width="12" customWidth="1"/>
    <col min="14" max="14" width="18" customWidth="1"/>
    <col min="15" max="15" width="12" customWidth="1"/>
    <col min="16" max="16" width="18" customWidth="1"/>
    <col min="17" max="17" width="12" customWidth="1"/>
  </cols>
  <sheetData>
    <row r="1" spans="1:17" ht="20.25">
      <c r="A1" s="13" t="s">
        <v>1322</v>
      </c>
      <c r="B1" s="13"/>
      <c r="C1" s="13"/>
      <c r="D1" s="13"/>
      <c r="E1" s="13"/>
      <c r="F1" s="13"/>
      <c r="G1" s="13"/>
      <c r="H1" s="13"/>
      <c r="I1" s="13"/>
      <c r="J1" s="13"/>
    </row>
    <row r="2" spans="1:17">
      <c r="A2" s="2"/>
      <c r="B2" s="2"/>
      <c r="C2" s="2"/>
      <c r="D2" s="2"/>
      <c r="E2" s="2"/>
      <c r="F2" s="2"/>
      <c r="G2" s="2"/>
      <c r="H2" s="2"/>
      <c r="I2" s="2"/>
      <c r="J2" s="2"/>
    </row>
    <row r="3" spans="1:17" ht="15">
      <c r="A3" s="1" t="s">
        <v>1323</v>
      </c>
      <c r="B3" s="1" t="s">
        <v>2</v>
      </c>
      <c r="C3" s="1" t="s">
        <v>1324</v>
      </c>
      <c r="D3" s="1" t="s">
        <v>1325</v>
      </c>
      <c r="E3" s="1" t="s">
        <v>1326</v>
      </c>
      <c r="F3" s="1" t="s">
        <v>1327</v>
      </c>
      <c r="G3" s="1" t="s">
        <v>1328</v>
      </c>
      <c r="H3" s="1" t="s">
        <v>1329</v>
      </c>
      <c r="I3" s="1" t="s">
        <v>1330</v>
      </c>
      <c r="J3" s="1" t="s">
        <v>1331</v>
      </c>
      <c r="L3" s="3" t="s">
        <v>1332</v>
      </c>
      <c r="M3" s="8">
        <f>COUNTIFS(Backlog!$B:$B,"M2",Backlog!$K:$K,"&lt;&gt;Done")</f>
        <v>53</v>
      </c>
      <c r="N3" s="3" t="s">
        <v>1333</v>
      </c>
      <c r="O3" s="8">
        <f>SUMIFS(Backlog!$J:$J,Backlog!$B:$B,"M2",Backlog!$K:$K,"&lt;&gt;Done")</f>
        <v>522</v>
      </c>
      <c r="P3" s="3" t="s">
        <v>1334</v>
      </c>
      <c r="Q3" s="9">
        <f>SUMIFS(Backlog!$R:$R,Backlog!$B:$B,"M2",Backlog!$K:$K,"&lt;&gt;Done")</f>
        <v>119.6311904761905</v>
      </c>
    </row>
    <row r="4" spans="1:17" ht="29.25">
      <c r="A4" s="2" t="s">
        <v>48</v>
      </c>
      <c r="B4" s="2" t="s">
        <v>1335</v>
      </c>
      <c r="C4" s="2" t="s">
        <v>49</v>
      </c>
      <c r="D4" s="2" t="s">
        <v>67</v>
      </c>
      <c r="E4" s="6">
        <f>COUNTIFS(Backlog!$B:$B,$A4,Backlog!$C:$C,$C4,Backlog!$K:$K,"&lt;&gt;Done")</f>
        <v>1</v>
      </c>
      <c r="F4" s="6">
        <f>SUMIFS(Backlog!$J:$J,Backlog!$B:$B,$A4,Backlog!$C:$C,$C4,Backlog!$K:$K,"&lt;&gt;Done")</f>
        <v>12</v>
      </c>
      <c r="G4" s="7">
        <f>SUMIFS(Backlog!$R:$R,Backlog!$B:$B,$A4,Backlog!$C:$C,$C4,Backlog!$K:$K,"&lt;&gt;Done")</f>
        <v>1.8</v>
      </c>
      <c r="H4" s="2" t="s">
        <v>1336</v>
      </c>
      <c r="I4" s="2" t="s">
        <v>1337</v>
      </c>
      <c r="J4" s="2" t="s">
        <v>1338</v>
      </c>
      <c r="L4" s="3" t="s">
        <v>1339</v>
      </c>
      <c r="M4" s="8">
        <f>COUNTIFS(Backlog!$B:$B,"M3",Backlog!$K:$K,"&lt;&gt;Done")</f>
        <v>67</v>
      </c>
      <c r="N4" s="3" t="s">
        <v>1340</v>
      </c>
      <c r="O4" s="8">
        <f>SUMIFS(Backlog!$J:$J,Backlog!$B:$B,"M3",Backlog!$K:$K,"&lt;&gt;Done")</f>
        <v>748</v>
      </c>
      <c r="P4" s="3" t="s">
        <v>1341</v>
      </c>
      <c r="Q4" s="9">
        <f>SUMIFS(Backlog!$R:$R,Backlog!$B:$B,"M3",Backlog!$K:$K,"&lt;&gt;Done")</f>
        <v>229.12607142857152</v>
      </c>
    </row>
    <row r="5" spans="1:17" ht="28.5">
      <c r="A5" s="2" t="s">
        <v>48</v>
      </c>
      <c r="B5" s="2" t="s">
        <v>1335</v>
      </c>
      <c r="C5" s="2" t="s">
        <v>245</v>
      </c>
      <c r="D5" s="2" t="s">
        <v>255</v>
      </c>
      <c r="E5" s="6">
        <f>COUNTIFS(Backlog!$B:$B,$A5,Backlog!$C:$C,$C5,Backlog!$K:$K,"&lt;&gt;Done")</f>
        <v>29</v>
      </c>
      <c r="F5" s="6">
        <f>SUMIFS(Backlog!$J:$J,Backlog!$B:$B,$A5,Backlog!$C:$C,$C5,Backlog!$K:$K,"&lt;&gt;Done")</f>
        <v>282</v>
      </c>
      <c r="G5" s="7">
        <f>SUMIFS(Backlog!$R:$R,Backlog!$B:$B,$A5,Backlog!$C:$C,$C5,Backlog!$K:$K,"&lt;&gt;Done")</f>
        <v>59.717857142857142</v>
      </c>
      <c r="H5" s="2" t="s">
        <v>1342</v>
      </c>
      <c r="I5" s="2" t="s">
        <v>1337</v>
      </c>
      <c r="J5" s="2" t="s">
        <v>1343</v>
      </c>
    </row>
    <row r="6" spans="1:17" ht="28.5">
      <c r="A6" s="2" t="s">
        <v>48</v>
      </c>
      <c r="B6" s="2" t="s">
        <v>1335</v>
      </c>
      <c r="C6" s="2" t="s">
        <v>514</v>
      </c>
      <c r="D6" s="2" t="s">
        <v>524</v>
      </c>
      <c r="E6" s="6">
        <f>COUNTIFS(Backlog!$B:$B,$A6,Backlog!$C:$C,$C6,Backlog!$K:$K,"&lt;&gt;Done")</f>
        <v>3</v>
      </c>
      <c r="F6" s="6">
        <f>SUMIFS(Backlog!$J:$J,Backlog!$B:$B,$A6,Backlog!$C:$C,$C6,Backlog!$K:$K,"&lt;&gt;Done")</f>
        <v>28</v>
      </c>
      <c r="G6" s="7">
        <f>SUMIFS(Backlog!$R:$R,Backlog!$B:$B,$A6,Backlog!$C:$C,$C6,Backlog!$K:$K,"&lt;&gt;Done")</f>
        <v>9.5833333333333321</v>
      </c>
      <c r="H6" s="2" t="s">
        <v>1344</v>
      </c>
      <c r="I6" s="2" t="s">
        <v>1337</v>
      </c>
      <c r="J6" s="2" t="s">
        <v>1345</v>
      </c>
    </row>
    <row r="7" spans="1:17" ht="28.5">
      <c r="A7" s="2" t="s">
        <v>48</v>
      </c>
      <c r="B7" s="2" t="s">
        <v>1335</v>
      </c>
      <c r="C7" s="2" t="s">
        <v>547</v>
      </c>
      <c r="D7" s="2" t="s">
        <v>560</v>
      </c>
      <c r="E7" s="6">
        <f>COUNTIFS(Backlog!$B:$B,$A7,Backlog!$C:$C,$C7,Backlog!$K:$K,"&lt;&gt;Done")</f>
        <v>5</v>
      </c>
      <c r="F7" s="6">
        <f>SUMIFS(Backlog!$J:$J,Backlog!$B:$B,$A7,Backlog!$C:$C,$C7,Backlog!$K:$K,"&lt;&gt;Done")</f>
        <v>48</v>
      </c>
      <c r="G7" s="7">
        <f>SUMIFS(Backlog!$R:$R,Backlog!$B:$B,$A7,Backlog!$C:$C,$C7,Backlog!$K:$K,"&lt;&gt;Done")</f>
        <v>17.899999999999999</v>
      </c>
      <c r="H7" s="2" t="s">
        <v>1346</v>
      </c>
      <c r="I7" s="2" t="s">
        <v>1337</v>
      </c>
      <c r="J7" s="2" t="s">
        <v>1347</v>
      </c>
    </row>
    <row r="8" spans="1:17" ht="28.5">
      <c r="A8" s="2" t="s">
        <v>48</v>
      </c>
      <c r="B8" s="2" t="s">
        <v>1335</v>
      </c>
      <c r="C8" s="2" t="s">
        <v>761</v>
      </c>
      <c r="D8" s="2" t="s">
        <v>769</v>
      </c>
      <c r="E8" s="6">
        <f>COUNTIFS(Backlog!$B:$B,$A8,Backlog!$C:$C,$C8,Backlog!$K:$K,"&lt;&gt;Done")</f>
        <v>15</v>
      </c>
      <c r="F8" s="6">
        <f>SUMIFS(Backlog!$J:$J,Backlog!$B:$B,$A8,Backlog!$C:$C,$C8,Backlog!$K:$K,"&lt;&gt;Done")</f>
        <v>152</v>
      </c>
      <c r="G8" s="7">
        <f>SUMIFS(Backlog!$R:$R,Backlog!$B:$B,$A8,Backlog!$C:$C,$C8,Backlog!$K:$K,"&lt;&gt;Done")</f>
        <v>30.63</v>
      </c>
      <c r="H8" s="2" t="s">
        <v>1348</v>
      </c>
      <c r="I8" s="2" t="s">
        <v>1337</v>
      </c>
      <c r="J8" s="2" t="s">
        <v>1349</v>
      </c>
    </row>
    <row r="9" spans="1:17" ht="28.5">
      <c r="A9" s="2" t="s">
        <v>843</v>
      </c>
      <c r="B9" s="2" t="s">
        <v>1350</v>
      </c>
      <c r="C9" s="2" t="s">
        <v>49</v>
      </c>
      <c r="D9" s="2" t="s">
        <v>853</v>
      </c>
      <c r="E9" s="6">
        <f>COUNTIFS(Backlog!$B:$B,$A9,Backlog!$C:$C,$C9,Backlog!$K:$K,"&lt;&gt;Done")</f>
        <v>9</v>
      </c>
      <c r="F9" s="6">
        <f>SUMIFS(Backlog!$J:$J,Backlog!$B:$B,$A9,Backlog!$C:$C,$C9,Backlog!$K:$K,"&lt;&gt;Done")</f>
        <v>108</v>
      </c>
      <c r="G9" s="7">
        <f>SUMIFS(Backlog!$R:$R,Backlog!$B:$B,$A9,Backlog!$C:$C,$C9,Backlog!$K:$K,"&lt;&gt;Done")</f>
        <v>55.040000000000006</v>
      </c>
      <c r="H9" s="2" t="s">
        <v>1351</v>
      </c>
      <c r="I9" s="2" t="s">
        <v>1352</v>
      </c>
      <c r="J9" s="2" t="s">
        <v>1353</v>
      </c>
    </row>
    <row r="10" spans="1:17" ht="28.5">
      <c r="A10" s="2" t="s">
        <v>843</v>
      </c>
      <c r="B10" s="2" t="s">
        <v>1350</v>
      </c>
      <c r="C10" s="2" t="s">
        <v>245</v>
      </c>
      <c r="D10" s="2" t="s">
        <v>903</v>
      </c>
      <c r="E10" s="6">
        <f>COUNTIFS(Backlog!$B:$B,$A10,Backlog!$C:$C,$C10,Backlog!$K:$K,"&lt;&gt;Done")</f>
        <v>12</v>
      </c>
      <c r="F10" s="6">
        <f>SUMIFS(Backlog!$J:$J,Backlog!$B:$B,$A10,Backlog!$C:$C,$C10,Backlog!$K:$K,"&lt;&gt;Done")</f>
        <v>114</v>
      </c>
      <c r="G10" s="7">
        <f>SUMIFS(Backlog!$R:$R,Backlog!$B:$B,$A10,Backlog!$C:$C,$C10,Backlog!$K:$K,"&lt;&gt;Done")</f>
        <v>33.87047619047619</v>
      </c>
      <c r="H10" s="2" t="s">
        <v>1354</v>
      </c>
      <c r="I10" s="2" t="s">
        <v>1352</v>
      </c>
      <c r="J10" s="2" t="s">
        <v>1355</v>
      </c>
    </row>
    <row r="11" spans="1:17" ht="28.5">
      <c r="A11" s="2" t="s">
        <v>843</v>
      </c>
      <c r="B11" s="2" t="s">
        <v>1350</v>
      </c>
      <c r="C11" s="2" t="s">
        <v>514</v>
      </c>
      <c r="D11" s="2" t="s">
        <v>982</v>
      </c>
      <c r="E11" s="6">
        <f>COUNTIFS(Backlog!$B:$B,$A11,Backlog!$C:$C,$C11,Backlog!$K:$K,"&lt;&gt;Done")</f>
        <v>6</v>
      </c>
      <c r="F11" s="6">
        <f>SUMIFS(Backlog!$J:$J,Backlog!$B:$B,$A11,Backlog!$C:$C,$C11,Backlog!$K:$K,"&lt;&gt;Done")</f>
        <v>82</v>
      </c>
      <c r="G11" s="7">
        <f>SUMIFS(Backlog!$R:$R,Backlog!$B:$B,$A11,Backlog!$C:$C,$C11,Backlog!$K:$K,"&lt;&gt;Done")</f>
        <v>40.071428571428569</v>
      </c>
      <c r="H11" s="2" t="s">
        <v>1356</v>
      </c>
      <c r="I11" s="2" t="s">
        <v>1352</v>
      </c>
      <c r="J11" s="2" t="s">
        <v>1357</v>
      </c>
    </row>
    <row r="12" spans="1:17" ht="28.5">
      <c r="A12" s="2" t="s">
        <v>843</v>
      </c>
      <c r="B12" s="2" t="s">
        <v>1350</v>
      </c>
      <c r="C12" s="2" t="s">
        <v>547</v>
      </c>
      <c r="D12" s="2" t="s">
        <v>1041</v>
      </c>
      <c r="E12" s="6">
        <f>COUNTIFS(Backlog!$B:$B,$A12,Backlog!$C:$C,$C12,Backlog!$K:$K,"&lt;&gt;Done")</f>
        <v>38</v>
      </c>
      <c r="F12" s="6">
        <f>SUMIFS(Backlog!$J:$J,Backlog!$B:$B,$A12,Backlog!$C:$C,$C12,Backlog!$K:$K,"&lt;&gt;Done")</f>
        <v>420</v>
      </c>
      <c r="G12" s="7">
        <f>SUMIFS(Backlog!$R:$R,Backlog!$B:$B,$A12,Backlog!$C:$C,$C12,Backlog!$K:$K,"&lt;&gt;Done")</f>
        <v>86.944166666666661</v>
      </c>
      <c r="H12" s="2" t="s">
        <v>1358</v>
      </c>
      <c r="I12" s="2" t="s">
        <v>1352</v>
      </c>
      <c r="J12" s="2" t="s">
        <v>1359</v>
      </c>
    </row>
    <row r="13" spans="1:17" ht="28.5">
      <c r="A13" s="2" t="s">
        <v>843</v>
      </c>
      <c r="B13" s="2" t="s">
        <v>1350</v>
      </c>
      <c r="C13" s="2" t="s">
        <v>761</v>
      </c>
      <c r="D13" s="2" t="s">
        <v>1301</v>
      </c>
      <c r="E13" s="6">
        <f>COUNTIFS(Backlog!$B:$B,$A13,Backlog!$C:$C,$C13,Backlog!$K:$K,"&lt;&gt;Done")</f>
        <v>2</v>
      </c>
      <c r="F13" s="6">
        <f>SUMIFS(Backlog!$J:$J,Backlog!$B:$B,$A13,Backlog!$C:$C,$C13,Backlog!$K:$K,"&lt;&gt;Done")</f>
        <v>24</v>
      </c>
      <c r="G13" s="7">
        <f>SUMIFS(Backlog!$R:$R,Backlog!$B:$B,$A13,Backlog!$C:$C,$C13,Backlog!$K:$K,"&lt;&gt;Done")</f>
        <v>13.2</v>
      </c>
      <c r="H13" s="2" t="s">
        <v>1360</v>
      </c>
      <c r="I13" s="2" t="s">
        <v>1352</v>
      </c>
      <c r="J13" s="2" t="s">
        <v>1361</v>
      </c>
    </row>
  </sheetData>
  <mergeCells count="1">
    <mergeCell ref="A1:J1"/>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0"/>
  <sheetViews>
    <sheetView workbookViewId="0"/>
  </sheetViews>
  <sheetFormatPr defaultRowHeight="14.25"/>
  <cols>
    <col min="1" max="1" width="15" customWidth="1"/>
    <col min="2" max="2" width="10" customWidth="1"/>
    <col min="3" max="3" width="8" customWidth="1"/>
    <col min="4" max="4" width="12" customWidth="1"/>
    <col min="5" max="5" width="48" customWidth="1"/>
    <col min="6" max="6" width="14" customWidth="1"/>
    <col min="7" max="8" width="11" customWidth="1"/>
    <col min="9" max="9" width="36" customWidth="1"/>
    <col min="10" max="11" width="34" customWidth="1"/>
    <col min="12" max="12" width="48" customWidth="1"/>
  </cols>
  <sheetData>
    <row r="1" spans="1:12" ht="20.25">
      <c r="A1" s="13" t="s">
        <v>1362</v>
      </c>
      <c r="B1" s="13"/>
      <c r="C1" s="13"/>
      <c r="D1" s="13"/>
      <c r="E1" s="13"/>
      <c r="F1" s="13"/>
      <c r="G1" s="13"/>
      <c r="H1" s="13"/>
      <c r="I1" s="13"/>
      <c r="J1" s="13"/>
      <c r="K1" s="13"/>
      <c r="L1" s="13"/>
    </row>
    <row r="2" spans="1:12">
      <c r="A2" s="2"/>
      <c r="B2" s="2"/>
      <c r="C2" s="2"/>
      <c r="D2" s="2"/>
      <c r="E2" s="2"/>
      <c r="F2" s="2"/>
      <c r="G2" s="2"/>
      <c r="H2" s="2"/>
      <c r="I2" s="2"/>
      <c r="J2" s="2"/>
      <c r="K2" s="2"/>
      <c r="L2" s="2"/>
    </row>
    <row r="3" spans="1:12" ht="15">
      <c r="A3" s="1" t="s">
        <v>1363</v>
      </c>
      <c r="B3" s="1" t="s">
        <v>1323</v>
      </c>
      <c r="C3" s="1" t="s">
        <v>1324</v>
      </c>
      <c r="D3" s="1" t="s">
        <v>23</v>
      </c>
      <c r="E3" s="1" t="s">
        <v>26</v>
      </c>
      <c r="F3" s="1" t="s">
        <v>33</v>
      </c>
      <c r="G3" s="1" t="s">
        <v>1364</v>
      </c>
      <c r="H3" s="1" t="s">
        <v>1365</v>
      </c>
      <c r="I3" s="1" t="s">
        <v>1366</v>
      </c>
      <c r="J3" s="1" t="s">
        <v>1367</v>
      </c>
      <c r="K3" s="1" t="s">
        <v>1368</v>
      </c>
      <c r="L3" s="1" t="s">
        <v>1369</v>
      </c>
    </row>
    <row r="4" spans="1:12" ht="57">
      <c r="A4" s="2" t="s">
        <v>553</v>
      </c>
      <c r="B4" s="2" t="s">
        <v>48</v>
      </c>
      <c r="C4" s="2" t="s">
        <v>49</v>
      </c>
      <c r="D4" s="2" t="s">
        <v>47</v>
      </c>
      <c r="E4" s="2" t="s">
        <v>50</v>
      </c>
      <c r="F4" s="2" t="s">
        <v>56</v>
      </c>
      <c r="G4" s="2">
        <v>8</v>
      </c>
      <c r="H4" s="2">
        <v>2.72</v>
      </c>
      <c r="I4" s="2" t="s">
        <v>58</v>
      </c>
      <c r="J4" s="2" t="s">
        <v>64</v>
      </c>
      <c r="K4" s="2" t="s">
        <v>65</v>
      </c>
      <c r="L4" s="2" t="s">
        <v>66</v>
      </c>
    </row>
    <row r="5" spans="1:12" ht="71.25">
      <c r="A5" s="2" t="s">
        <v>553</v>
      </c>
      <c r="B5" s="2" t="s">
        <v>48</v>
      </c>
      <c r="C5" s="2" t="s">
        <v>49</v>
      </c>
      <c r="D5" s="2" t="s">
        <v>69</v>
      </c>
      <c r="E5" s="2" t="s">
        <v>70</v>
      </c>
      <c r="F5" s="2" t="s">
        <v>56</v>
      </c>
      <c r="G5" s="2">
        <v>12</v>
      </c>
      <c r="H5" s="2">
        <v>2.3250000000000002</v>
      </c>
      <c r="I5" s="2" t="s">
        <v>75</v>
      </c>
      <c r="J5" s="2" t="s">
        <v>78</v>
      </c>
      <c r="K5" s="2" t="s">
        <v>65</v>
      </c>
      <c r="L5" s="2" t="s">
        <v>66</v>
      </c>
    </row>
    <row r="6" spans="1:12" ht="57">
      <c r="A6" s="2" t="s">
        <v>553</v>
      </c>
      <c r="B6" s="2" t="s">
        <v>48</v>
      </c>
      <c r="C6" s="2" t="s">
        <v>49</v>
      </c>
      <c r="D6" s="2" t="s">
        <v>79</v>
      </c>
      <c r="E6" s="2" t="s">
        <v>80</v>
      </c>
      <c r="F6" s="2" t="s">
        <v>56</v>
      </c>
      <c r="G6" s="2">
        <v>12</v>
      </c>
      <c r="H6" s="2">
        <v>2.3250000000000002</v>
      </c>
      <c r="I6" s="2" t="s">
        <v>47</v>
      </c>
      <c r="J6" s="2" t="s">
        <v>85</v>
      </c>
      <c r="K6" s="2" t="s">
        <v>65</v>
      </c>
      <c r="L6" s="2" t="s">
        <v>66</v>
      </c>
    </row>
    <row r="7" spans="1:12" ht="57">
      <c r="A7" s="2" t="s">
        <v>553</v>
      </c>
      <c r="B7" s="2" t="s">
        <v>48</v>
      </c>
      <c r="C7" s="2" t="s">
        <v>49</v>
      </c>
      <c r="D7" s="2" t="s">
        <v>86</v>
      </c>
      <c r="E7" s="2" t="s">
        <v>87</v>
      </c>
      <c r="F7" s="2" t="s">
        <v>56</v>
      </c>
      <c r="G7" s="2">
        <v>12</v>
      </c>
      <c r="H7" s="2">
        <v>2.3250000000000002</v>
      </c>
      <c r="I7" s="2" t="s">
        <v>91</v>
      </c>
      <c r="J7" s="2" t="s">
        <v>93</v>
      </c>
      <c r="K7" s="2" t="s">
        <v>65</v>
      </c>
      <c r="L7" s="2" t="s">
        <v>66</v>
      </c>
    </row>
    <row r="8" spans="1:12" ht="85.5">
      <c r="A8" s="2" t="s">
        <v>553</v>
      </c>
      <c r="B8" s="2" t="s">
        <v>48</v>
      </c>
      <c r="C8" s="2" t="s">
        <v>49</v>
      </c>
      <c r="D8" s="2" t="s">
        <v>94</v>
      </c>
      <c r="E8" s="2" t="s">
        <v>95</v>
      </c>
      <c r="F8" s="2" t="s">
        <v>56</v>
      </c>
      <c r="G8" s="2">
        <v>12</v>
      </c>
      <c r="H8" s="2">
        <v>1.7999999999999998</v>
      </c>
      <c r="I8" s="2" t="s">
        <v>86</v>
      </c>
      <c r="J8" s="2" t="s">
        <v>101</v>
      </c>
      <c r="K8" s="2" t="s">
        <v>65</v>
      </c>
      <c r="L8" s="2" t="s">
        <v>102</v>
      </c>
    </row>
    <row r="9" spans="1:12" ht="57">
      <c r="A9" s="2" t="s">
        <v>553</v>
      </c>
      <c r="B9" s="2" t="s">
        <v>48</v>
      </c>
      <c r="C9" s="2" t="s">
        <v>49</v>
      </c>
      <c r="D9" s="2" t="s">
        <v>104</v>
      </c>
      <c r="E9" s="2" t="s">
        <v>105</v>
      </c>
      <c r="F9" s="2" t="s">
        <v>56</v>
      </c>
      <c r="G9" s="2">
        <v>12</v>
      </c>
      <c r="H9" s="2">
        <v>1.7999999999999998</v>
      </c>
      <c r="I9" s="2" t="s">
        <v>94</v>
      </c>
      <c r="J9" s="2" t="s">
        <v>109</v>
      </c>
      <c r="K9" s="2" t="s">
        <v>65</v>
      </c>
      <c r="L9" s="2" t="s">
        <v>66</v>
      </c>
    </row>
    <row r="10" spans="1:12" ht="57">
      <c r="A10" s="2" t="s">
        <v>553</v>
      </c>
      <c r="B10" s="2" t="s">
        <v>48</v>
      </c>
      <c r="C10" s="2" t="s">
        <v>49</v>
      </c>
      <c r="D10" s="2" t="s">
        <v>110</v>
      </c>
      <c r="E10" s="2" t="s">
        <v>111</v>
      </c>
      <c r="F10" s="2" t="s">
        <v>56</v>
      </c>
      <c r="G10" s="2">
        <v>12</v>
      </c>
      <c r="H10" s="2">
        <v>1.7999999999999998</v>
      </c>
      <c r="I10" s="2" t="s">
        <v>115</v>
      </c>
      <c r="J10" s="2" t="s">
        <v>117</v>
      </c>
      <c r="K10" s="2" t="s">
        <v>65</v>
      </c>
      <c r="L10" s="2" t="s">
        <v>66</v>
      </c>
    </row>
    <row r="11" spans="1:12" ht="57">
      <c r="A11" s="2" t="s">
        <v>553</v>
      </c>
      <c r="B11" s="2" t="s">
        <v>48</v>
      </c>
      <c r="C11" s="2" t="s">
        <v>49</v>
      </c>
      <c r="D11" s="2" t="s">
        <v>118</v>
      </c>
      <c r="E11" s="2" t="s">
        <v>119</v>
      </c>
      <c r="F11" s="2" t="s">
        <v>56</v>
      </c>
      <c r="G11" s="2">
        <v>6</v>
      </c>
      <c r="H11" s="2">
        <v>0.89999999999999991</v>
      </c>
      <c r="I11" s="2" t="s">
        <v>122</v>
      </c>
      <c r="J11" s="2" t="s">
        <v>124</v>
      </c>
      <c r="K11" s="2" t="s">
        <v>65</v>
      </c>
      <c r="L11" s="2" t="s">
        <v>66</v>
      </c>
    </row>
    <row r="12" spans="1:12" ht="85.5">
      <c r="A12" s="2" t="s">
        <v>57</v>
      </c>
      <c r="B12" s="2" t="s">
        <v>48</v>
      </c>
      <c r="C12" s="2" t="s">
        <v>49</v>
      </c>
      <c r="D12" s="2" t="s">
        <v>125</v>
      </c>
      <c r="E12" s="2" t="s">
        <v>126</v>
      </c>
      <c r="F12" s="2" t="s">
        <v>1733</v>
      </c>
      <c r="G12" s="2">
        <v>24</v>
      </c>
      <c r="H12" s="2">
        <v>3.6</v>
      </c>
      <c r="I12" s="2" t="s">
        <v>127</v>
      </c>
      <c r="J12" s="2" t="s">
        <v>1734</v>
      </c>
      <c r="K12" s="2" t="s">
        <v>65</v>
      </c>
      <c r="L12" s="2" t="s">
        <v>66</v>
      </c>
    </row>
    <row r="13" spans="1:12" ht="42.75">
      <c r="A13" s="2" t="s">
        <v>553</v>
      </c>
      <c r="B13" s="2" t="s">
        <v>48</v>
      </c>
      <c r="C13" s="2" t="s">
        <v>49</v>
      </c>
      <c r="D13" s="2" t="s">
        <v>58</v>
      </c>
      <c r="E13" s="2" t="s">
        <v>129</v>
      </c>
      <c r="F13" s="2" t="s">
        <v>56</v>
      </c>
      <c r="G13" s="2">
        <v>4</v>
      </c>
      <c r="H13" s="2">
        <v>1.5</v>
      </c>
      <c r="I13" s="2"/>
      <c r="J13" s="2" t="s">
        <v>136</v>
      </c>
      <c r="K13" s="2" t="s">
        <v>137</v>
      </c>
      <c r="L13" s="2" t="s">
        <v>138</v>
      </c>
    </row>
    <row r="14" spans="1:12" ht="28.5">
      <c r="A14" s="2" t="s">
        <v>553</v>
      </c>
      <c r="B14" s="2" t="s">
        <v>48</v>
      </c>
      <c r="C14" s="2" t="s">
        <v>49</v>
      </c>
      <c r="D14" s="2" t="s">
        <v>139</v>
      </c>
      <c r="E14" s="2" t="s">
        <v>140</v>
      </c>
      <c r="F14" s="2" t="s">
        <v>56</v>
      </c>
      <c r="G14" s="2">
        <v>10</v>
      </c>
      <c r="H14" s="2">
        <v>4</v>
      </c>
      <c r="I14" s="2" t="s">
        <v>58</v>
      </c>
      <c r="J14" s="2" t="s">
        <v>148</v>
      </c>
      <c r="K14" s="2" t="s">
        <v>149</v>
      </c>
      <c r="L14" s="2" t="s">
        <v>150</v>
      </c>
    </row>
    <row r="15" spans="1:12" ht="28.5">
      <c r="A15" s="2" t="s">
        <v>553</v>
      </c>
      <c r="B15" s="2" t="s">
        <v>48</v>
      </c>
      <c r="C15" s="2" t="s">
        <v>49</v>
      </c>
      <c r="D15" s="2" t="s">
        <v>151</v>
      </c>
      <c r="E15" s="2" t="s">
        <v>152</v>
      </c>
      <c r="F15" s="2" t="s">
        <v>56</v>
      </c>
      <c r="G15" s="2">
        <v>10</v>
      </c>
      <c r="H15" s="2">
        <v>4</v>
      </c>
      <c r="I15" s="2" t="s">
        <v>58</v>
      </c>
      <c r="J15" s="2" t="s">
        <v>157</v>
      </c>
      <c r="K15" s="2" t="s">
        <v>158</v>
      </c>
      <c r="L15" s="2" t="s">
        <v>159</v>
      </c>
    </row>
    <row r="16" spans="1:12" ht="28.5">
      <c r="A16" s="2" t="s">
        <v>553</v>
      </c>
      <c r="B16" s="2" t="s">
        <v>48</v>
      </c>
      <c r="C16" s="2" t="s">
        <v>49</v>
      </c>
      <c r="D16" s="2" t="s">
        <v>160</v>
      </c>
      <c r="E16" s="2" t="s">
        <v>161</v>
      </c>
      <c r="F16" s="2" t="s">
        <v>56</v>
      </c>
      <c r="G16" s="2">
        <v>10</v>
      </c>
      <c r="H16" s="2">
        <v>4.25</v>
      </c>
      <c r="I16" s="2" t="s">
        <v>58</v>
      </c>
      <c r="J16" s="2" t="s">
        <v>167</v>
      </c>
      <c r="K16" s="2" t="s">
        <v>168</v>
      </c>
      <c r="L16" s="2" t="s">
        <v>169</v>
      </c>
    </row>
    <row r="17" spans="1:12" ht="85.5">
      <c r="A17" s="2" t="s">
        <v>553</v>
      </c>
      <c r="B17" s="2" t="s">
        <v>48</v>
      </c>
      <c r="C17" s="2" t="s">
        <v>49</v>
      </c>
      <c r="D17" s="2" t="s">
        <v>170</v>
      </c>
      <c r="E17" s="2" t="s">
        <v>171</v>
      </c>
      <c r="F17" s="2" t="s">
        <v>56</v>
      </c>
      <c r="G17" s="2">
        <v>8</v>
      </c>
      <c r="H17" s="2">
        <v>3.2</v>
      </c>
      <c r="I17" s="2" t="s">
        <v>58</v>
      </c>
      <c r="J17" s="2" t="s">
        <v>177</v>
      </c>
      <c r="K17" s="2" t="s">
        <v>178</v>
      </c>
      <c r="L17" s="2" t="s">
        <v>179</v>
      </c>
    </row>
    <row r="18" spans="1:12" ht="42.75">
      <c r="A18" s="2" t="s">
        <v>553</v>
      </c>
      <c r="B18" s="2" t="s">
        <v>48</v>
      </c>
      <c r="C18" s="2" t="s">
        <v>49</v>
      </c>
      <c r="D18" s="2" t="s">
        <v>181</v>
      </c>
      <c r="E18" s="2" t="s">
        <v>182</v>
      </c>
      <c r="F18" s="2" t="s">
        <v>56</v>
      </c>
      <c r="G18" s="2">
        <v>8</v>
      </c>
      <c r="H18" s="2">
        <v>2</v>
      </c>
      <c r="I18" s="2" t="s">
        <v>58</v>
      </c>
      <c r="J18" s="2" t="s">
        <v>190</v>
      </c>
      <c r="K18" s="2" t="s">
        <v>191</v>
      </c>
      <c r="L18" s="2" t="s">
        <v>192</v>
      </c>
    </row>
    <row r="19" spans="1:12" ht="28.5">
      <c r="A19" s="2" t="s">
        <v>553</v>
      </c>
      <c r="B19" s="2" t="s">
        <v>48</v>
      </c>
      <c r="C19" s="2" t="s">
        <v>49</v>
      </c>
      <c r="D19" s="2" t="s">
        <v>193</v>
      </c>
      <c r="E19" s="2" t="s">
        <v>194</v>
      </c>
      <c r="F19" s="2" t="s">
        <v>56</v>
      </c>
      <c r="G19" s="2">
        <v>10</v>
      </c>
      <c r="H19" s="2">
        <v>2.5</v>
      </c>
      <c r="I19" s="2" t="s">
        <v>58</v>
      </c>
      <c r="J19" s="2" t="s">
        <v>200</v>
      </c>
      <c r="K19" s="2" t="s">
        <v>201</v>
      </c>
      <c r="L19" s="2" t="s">
        <v>202</v>
      </c>
    </row>
    <row r="20" spans="1:12" ht="28.5">
      <c r="A20" s="2" t="s">
        <v>553</v>
      </c>
      <c r="B20" s="2" t="s">
        <v>48</v>
      </c>
      <c r="C20" s="2" t="s">
        <v>49</v>
      </c>
      <c r="D20" s="2" t="s">
        <v>203</v>
      </c>
      <c r="E20" s="2" t="s">
        <v>204</v>
      </c>
      <c r="F20" s="2" t="s">
        <v>56</v>
      </c>
      <c r="G20" s="2">
        <v>6</v>
      </c>
      <c r="H20" s="2">
        <v>1.5</v>
      </c>
      <c r="I20" s="2" t="s">
        <v>193</v>
      </c>
      <c r="J20" s="2" t="s">
        <v>211</v>
      </c>
      <c r="K20" s="2" t="s">
        <v>212</v>
      </c>
      <c r="L20" s="2" t="s">
        <v>213</v>
      </c>
    </row>
    <row r="21" spans="1:12" ht="42.75">
      <c r="A21" s="2" t="s">
        <v>553</v>
      </c>
      <c r="B21" s="2" t="s">
        <v>48</v>
      </c>
      <c r="C21" s="2" t="s">
        <v>49</v>
      </c>
      <c r="D21" s="2" t="s">
        <v>214</v>
      </c>
      <c r="E21" s="2" t="s">
        <v>215</v>
      </c>
      <c r="F21" s="2" t="s">
        <v>56</v>
      </c>
      <c r="G21" s="2">
        <v>12</v>
      </c>
      <c r="H21" s="2">
        <v>5.0999999999999996</v>
      </c>
      <c r="I21" s="2" t="s">
        <v>219</v>
      </c>
      <c r="J21" s="2" t="s">
        <v>222</v>
      </c>
      <c r="K21" s="2" t="s">
        <v>223</v>
      </c>
      <c r="L21" s="2" t="s">
        <v>224</v>
      </c>
    </row>
    <row r="22" spans="1:12" ht="28.5">
      <c r="A22" s="2" t="s">
        <v>553</v>
      </c>
      <c r="B22" s="2" t="s">
        <v>48</v>
      </c>
      <c r="C22" s="2" t="s">
        <v>49</v>
      </c>
      <c r="D22" s="2" t="s">
        <v>225</v>
      </c>
      <c r="E22" s="2" t="s">
        <v>226</v>
      </c>
      <c r="F22" s="2" t="s">
        <v>56</v>
      </c>
      <c r="G22" s="2">
        <v>5</v>
      </c>
      <c r="H22" s="2">
        <v>1.25</v>
      </c>
      <c r="I22" s="2" t="s">
        <v>193</v>
      </c>
      <c r="J22" s="2" t="s">
        <v>231</v>
      </c>
      <c r="K22" s="2" t="s">
        <v>232</v>
      </c>
      <c r="L22" s="2" t="s">
        <v>233</v>
      </c>
    </row>
    <row r="23" spans="1:12" ht="28.5">
      <c r="A23" s="2" t="s">
        <v>553</v>
      </c>
      <c r="B23" s="2" t="s">
        <v>48</v>
      </c>
      <c r="C23" s="2" t="s">
        <v>49</v>
      </c>
      <c r="D23" s="2" t="s">
        <v>234</v>
      </c>
      <c r="E23" s="2" t="s">
        <v>235</v>
      </c>
      <c r="F23" s="2" t="s">
        <v>56</v>
      </c>
      <c r="G23" s="2">
        <v>6</v>
      </c>
      <c r="H23" s="2">
        <v>2.5499999999999998</v>
      </c>
      <c r="I23" s="2" t="s">
        <v>219</v>
      </c>
      <c r="J23" s="2" t="s">
        <v>241</v>
      </c>
      <c r="K23" s="2" t="s">
        <v>242</v>
      </c>
      <c r="L23" s="2" t="s">
        <v>243</v>
      </c>
    </row>
    <row r="24" spans="1:12" ht="57">
      <c r="A24" s="2" t="s">
        <v>57</v>
      </c>
      <c r="B24" s="2" t="s">
        <v>48</v>
      </c>
      <c r="C24" s="2" t="s">
        <v>245</v>
      </c>
      <c r="D24" s="2" t="s">
        <v>244</v>
      </c>
      <c r="E24" s="2" t="s">
        <v>246</v>
      </c>
      <c r="F24" s="2" t="s">
        <v>250</v>
      </c>
      <c r="G24" s="2">
        <v>12</v>
      </c>
      <c r="H24" s="2">
        <v>1.7999999999999998</v>
      </c>
      <c r="I24" s="2" t="s">
        <v>251</v>
      </c>
      <c r="J24" s="2" t="s">
        <v>254</v>
      </c>
      <c r="K24" s="2" t="s">
        <v>65</v>
      </c>
      <c r="L24" s="2" t="s">
        <v>66</v>
      </c>
    </row>
    <row r="25" spans="1:12" ht="57">
      <c r="A25" s="2" t="s">
        <v>57</v>
      </c>
      <c r="B25" s="2" t="s">
        <v>48</v>
      </c>
      <c r="C25" s="2" t="s">
        <v>245</v>
      </c>
      <c r="D25" s="2" t="s">
        <v>257</v>
      </c>
      <c r="E25" s="2" t="s">
        <v>258</v>
      </c>
      <c r="F25" s="2" t="s">
        <v>250</v>
      </c>
      <c r="G25" s="2">
        <v>8</v>
      </c>
      <c r="H25" s="2">
        <v>1.2000000000000002</v>
      </c>
      <c r="I25" s="2" t="s">
        <v>244</v>
      </c>
      <c r="J25" s="2" t="s">
        <v>262</v>
      </c>
      <c r="K25" s="2" t="s">
        <v>65</v>
      </c>
      <c r="L25" s="2" t="s">
        <v>66</v>
      </c>
    </row>
    <row r="26" spans="1:12" ht="57">
      <c r="A26" s="2" t="s">
        <v>57</v>
      </c>
      <c r="B26" s="2" t="s">
        <v>48</v>
      </c>
      <c r="C26" s="2" t="s">
        <v>245</v>
      </c>
      <c r="D26" s="2" t="s">
        <v>263</v>
      </c>
      <c r="E26" s="2" t="s">
        <v>264</v>
      </c>
      <c r="F26" s="2" t="s">
        <v>250</v>
      </c>
      <c r="G26" s="2">
        <v>6</v>
      </c>
      <c r="H26" s="2">
        <v>0.89999999999999991</v>
      </c>
      <c r="I26" s="2" t="s">
        <v>257</v>
      </c>
      <c r="J26" s="2" t="s">
        <v>268</v>
      </c>
      <c r="K26" s="2" t="s">
        <v>65</v>
      </c>
      <c r="L26" s="2" t="s">
        <v>66</v>
      </c>
    </row>
    <row r="27" spans="1:12" ht="42.75">
      <c r="A27" s="2" t="s">
        <v>145</v>
      </c>
      <c r="B27" s="2" t="s">
        <v>48</v>
      </c>
      <c r="C27" s="2" t="s">
        <v>245</v>
      </c>
      <c r="D27" s="2" t="s">
        <v>269</v>
      </c>
      <c r="E27" s="2" t="s">
        <v>270</v>
      </c>
      <c r="F27" s="2" t="s">
        <v>250</v>
      </c>
      <c r="G27" s="2">
        <v>12</v>
      </c>
      <c r="H27" s="2">
        <v>2</v>
      </c>
      <c r="I27" s="2" t="s">
        <v>273</v>
      </c>
      <c r="J27" s="2" t="s">
        <v>276</v>
      </c>
      <c r="K27" s="2" t="s">
        <v>277</v>
      </c>
      <c r="L27" s="2" t="s">
        <v>66</v>
      </c>
    </row>
    <row r="28" spans="1:12" ht="57">
      <c r="A28" s="2" t="s">
        <v>57</v>
      </c>
      <c r="B28" s="2" t="s">
        <v>48</v>
      </c>
      <c r="C28" s="2" t="s">
        <v>245</v>
      </c>
      <c r="D28" s="2" t="s">
        <v>278</v>
      </c>
      <c r="E28" s="2" t="s">
        <v>279</v>
      </c>
      <c r="F28" s="2" t="s">
        <v>250</v>
      </c>
      <c r="G28" s="2">
        <v>8</v>
      </c>
      <c r="H28" s="2">
        <v>1.2000000000000002</v>
      </c>
      <c r="I28" s="2" t="s">
        <v>283</v>
      </c>
      <c r="J28" s="2" t="s">
        <v>285</v>
      </c>
      <c r="K28" s="2" t="s">
        <v>65</v>
      </c>
      <c r="L28" s="2" t="s">
        <v>66</v>
      </c>
    </row>
    <row r="29" spans="1:12" ht="57">
      <c r="A29" s="2" t="s">
        <v>57</v>
      </c>
      <c r="B29" s="2" t="s">
        <v>48</v>
      </c>
      <c r="C29" s="2" t="s">
        <v>245</v>
      </c>
      <c r="D29" s="2" t="s">
        <v>286</v>
      </c>
      <c r="E29" s="2" t="s">
        <v>287</v>
      </c>
      <c r="F29" s="2" t="s">
        <v>250</v>
      </c>
      <c r="G29" s="2">
        <v>6</v>
      </c>
      <c r="H29" s="2">
        <v>0.89999999999999991</v>
      </c>
      <c r="I29" s="2" t="s">
        <v>278</v>
      </c>
      <c r="J29" s="2" t="s">
        <v>291</v>
      </c>
      <c r="K29" s="2" t="s">
        <v>65</v>
      </c>
      <c r="L29" s="2" t="s">
        <v>66</v>
      </c>
    </row>
    <row r="30" spans="1:12" ht="57">
      <c r="A30" s="2" t="s">
        <v>145</v>
      </c>
      <c r="B30" s="2" t="s">
        <v>48</v>
      </c>
      <c r="C30" s="2" t="s">
        <v>245</v>
      </c>
      <c r="D30" s="2" t="s">
        <v>292</v>
      </c>
      <c r="E30" s="2" t="s">
        <v>293</v>
      </c>
      <c r="F30" s="2" t="s">
        <v>250</v>
      </c>
      <c r="G30" s="2">
        <v>12</v>
      </c>
      <c r="H30" s="2">
        <v>2</v>
      </c>
      <c r="I30" s="2" t="s">
        <v>296</v>
      </c>
      <c r="J30" s="2" t="s">
        <v>297</v>
      </c>
      <c r="K30" s="2" t="s">
        <v>277</v>
      </c>
      <c r="L30" s="2" t="s">
        <v>66</v>
      </c>
    </row>
    <row r="31" spans="1:12" ht="57">
      <c r="A31" s="2" t="s">
        <v>57</v>
      </c>
      <c r="B31" s="2" t="s">
        <v>48</v>
      </c>
      <c r="C31" s="2" t="s">
        <v>245</v>
      </c>
      <c r="D31" s="2" t="s">
        <v>298</v>
      </c>
      <c r="E31" s="2" t="s">
        <v>299</v>
      </c>
      <c r="F31" s="2" t="s">
        <v>250</v>
      </c>
      <c r="G31" s="2">
        <v>8</v>
      </c>
      <c r="H31" s="2">
        <v>1.2000000000000002</v>
      </c>
      <c r="I31" s="2" t="s">
        <v>303</v>
      </c>
      <c r="J31" s="2" t="s">
        <v>305</v>
      </c>
      <c r="K31" s="2" t="s">
        <v>65</v>
      </c>
      <c r="L31" s="2" t="s">
        <v>66</v>
      </c>
    </row>
    <row r="32" spans="1:12" ht="57">
      <c r="A32" s="2" t="s">
        <v>57</v>
      </c>
      <c r="B32" s="2" t="s">
        <v>48</v>
      </c>
      <c r="C32" s="2" t="s">
        <v>245</v>
      </c>
      <c r="D32" s="2" t="s">
        <v>306</v>
      </c>
      <c r="E32" s="2" t="s">
        <v>307</v>
      </c>
      <c r="F32" s="2" t="s">
        <v>250</v>
      </c>
      <c r="G32" s="2">
        <v>6</v>
      </c>
      <c r="H32" s="2">
        <v>0.89999999999999991</v>
      </c>
      <c r="I32" s="2" t="s">
        <v>310</v>
      </c>
      <c r="J32" s="2" t="s">
        <v>311</v>
      </c>
      <c r="K32" s="2" t="s">
        <v>65</v>
      </c>
      <c r="L32" s="2" t="s">
        <v>66</v>
      </c>
    </row>
    <row r="33" spans="1:12" ht="57">
      <c r="A33" s="2" t="s">
        <v>57</v>
      </c>
      <c r="B33" s="2" t="s">
        <v>48</v>
      </c>
      <c r="C33" s="2" t="s">
        <v>245</v>
      </c>
      <c r="D33" s="2" t="s">
        <v>312</v>
      </c>
      <c r="E33" s="2" t="s">
        <v>313</v>
      </c>
      <c r="F33" s="2" t="s">
        <v>250</v>
      </c>
      <c r="G33" s="2">
        <v>8</v>
      </c>
      <c r="H33" s="2">
        <v>1.2000000000000002</v>
      </c>
      <c r="I33" s="2" t="s">
        <v>317</v>
      </c>
      <c r="J33" s="2" t="s">
        <v>319</v>
      </c>
      <c r="K33" s="2" t="s">
        <v>65</v>
      </c>
      <c r="L33" s="2" t="s">
        <v>66</v>
      </c>
    </row>
    <row r="34" spans="1:12" ht="57">
      <c r="A34" s="2" t="s">
        <v>57</v>
      </c>
      <c r="B34" s="2" t="s">
        <v>48</v>
      </c>
      <c r="C34" s="2" t="s">
        <v>245</v>
      </c>
      <c r="D34" s="2" t="s">
        <v>320</v>
      </c>
      <c r="E34" s="2" t="s">
        <v>321</v>
      </c>
      <c r="F34" s="2" t="s">
        <v>250</v>
      </c>
      <c r="G34" s="2">
        <v>6</v>
      </c>
      <c r="H34" s="2">
        <v>0.89999999999999991</v>
      </c>
      <c r="I34" s="2" t="s">
        <v>312</v>
      </c>
      <c r="J34" s="2" t="s">
        <v>324</v>
      </c>
      <c r="K34" s="2" t="s">
        <v>65</v>
      </c>
      <c r="L34" s="2" t="s">
        <v>325</v>
      </c>
    </row>
    <row r="35" spans="1:12" ht="57">
      <c r="A35" s="2" t="s">
        <v>187</v>
      </c>
      <c r="B35" s="2" t="s">
        <v>48</v>
      </c>
      <c r="C35" s="2" t="s">
        <v>245</v>
      </c>
      <c r="D35" s="2" t="s">
        <v>326</v>
      </c>
      <c r="E35" s="2" t="s">
        <v>327</v>
      </c>
      <c r="F35" s="2" t="s">
        <v>250</v>
      </c>
      <c r="G35" s="2">
        <v>12</v>
      </c>
      <c r="H35" s="2">
        <v>1.7999999999999998</v>
      </c>
      <c r="I35" s="2" t="s">
        <v>331</v>
      </c>
      <c r="J35" s="2" t="s">
        <v>333</v>
      </c>
      <c r="K35" s="2" t="s">
        <v>334</v>
      </c>
      <c r="L35" s="2" t="s">
        <v>66</v>
      </c>
    </row>
    <row r="36" spans="1:12" ht="57">
      <c r="A36" s="2" t="s">
        <v>187</v>
      </c>
      <c r="B36" s="2" t="s">
        <v>48</v>
      </c>
      <c r="C36" s="2" t="s">
        <v>245</v>
      </c>
      <c r="D36" s="2" t="s">
        <v>335</v>
      </c>
      <c r="E36" s="2" t="s">
        <v>336</v>
      </c>
      <c r="F36" s="2" t="s">
        <v>250</v>
      </c>
      <c r="G36" s="2">
        <v>12</v>
      </c>
      <c r="H36" s="2">
        <v>1.7999999999999998</v>
      </c>
      <c r="I36" s="2" t="s">
        <v>339</v>
      </c>
      <c r="J36" s="2" t="s">
        <v>341</v>
      </c>
      <c r="K36" s="2" t="s">
        <v>334</v>
      </c>
      <c r="L36" s="2" t="s">
        <v>66</v>
      </c>
    </row>
    <row r="37" spans="1:12" ht="57">
      <c r="A37" s="2" t="s">
        <v>57</v>
      </c>
      <c r="B37" s="2" t="s">
        <v>48</v>
      </c>
      <c r="C37" s="2" t="s">
        <v>245</v>
      </c>
      <c r="D37" s="2" t="s">
        <v>342</v>
      </c>
      <c r="E37" s="2" t="s">
        <v>343</v>
      </c>
      <c r="F37" s="2" t="s">
        <v>250</v>
      </c>
      <c r="G37" s="2">
        <v>8</v>
      </c>
      <c r="H37" s="2">
        <v>1.2000000000000002</v>
      </c>
      <c r="I37" s="2"/>
      <c r="J37" s="2" t="s">
        <v>64</v>
      </c>
      <c r="K37" s="2" t="s">
        <v>65</v>
      </c>
      <c r="L37" s="2" t="s">
        <v>66</v>
      </c>
    </row>
    <row r="38" spans="1:12" ht="42.75">
      <c r="A38" s="2" t="s">
        <v>187</v>
      </c>
      <c r="B38" s="2" t="s">
        <v>48</v>
      </c>
      <c r="C38" s="2" t="s">
        <v>245</v>
      </c>
      <c r="D38" s="2" t="s">
        <v>347</v>
      </c>
      <c r="E38" s="2" t="s">
        <v>348</v>
      </c>
      <c r="F38" s="2" t="s">
        <v>250</v>
      </c>
      <c r="G38" s="2">
        <v>6</v>
      </c>
      <c r="H38" s="2">
        <v>0.89999999999999991</v>
      </c>
      <c r="I38" s="2" t="s">
        <v>351</v>
      </c>
      <c r="J38" s="2" t="s">
        <v>353</v>
      </c>
      <c r="K38" s="2" t="s">
        <v>334</v>
      </c>
      <c r="L38" s="2" t="s">
        <v>66</v>
      </c>
    </row>
    <row r="39" spans="1:12" ht="57">
      <c r="A39" s="2" t="s">
        <v>57</v>
      </c>
      <c r="B39" s="2" t="s">
        <v>48</v>
      </c>
      <c r="C39" s="2" t="s">
        <v>245</v>
      </c>
      <c r="D39" s="2" t="s">
        <v>354</v>
      </c>
      <c r="E39" s="2" t="s">
        <v>355</v>
      </c>
      <c r="F39" s="2" t="s">
        <v>250</v>
      </c>
      <c r="G39" s="2">
        <v>12</v>
      </c>
      <c r="H39" s="2">
        <v>1.7999999999999998</v>
      </c>
      <c r="I39" s="2"/>
      <c r="J39" s="2" t="s">
        <v>64</v>
      </c>
      <c r="K39" s="2" t="s">
        <v>65</v>
      </c>
      <c r="L39" s="2" t="s">
        <v>66</v>
      </c>
    </row>
    <row r="40" spans="1:12" ht="57">
      <c r="A40" s="2" t="s">
        <v>57</v>
      </c>
      <c r="B40" s="2" t="s">
        <v>48</v>
      </c>
      <c r="C40" s="2" t="s">
        <v>245</v>
      </c>
      <c r="D40" s="2" t="s">
        <v>358</v>
      </c>
      <c r="E40" s="2" t="s">
        <v>359</v>
      </c>
      <c r="F40" s="2" t="s">
        <v>250</v>
      </c>
      <c r="G40" s="2">
        <v>12</v>
      </c>
      <c r="H40" s="2">
        <v>3.2</v>
      </c>
      <c r="I40" s="2"/>
      <c r="J40" s="2" t="s">
        <v>64</v>
      </c>
      <c r="K40" s="2" t="s">
        <v>65</v>
      </c>
      <c r="L40" s="2" t="s">
        <v>66</v>
      </c>
    </row>
    <row r="41" spans="1:12" ht="42.75">
      <c r="A41" s="2" t="s">
        <v>553</v>
      </c>
      <c r="B41" s="2" t="s">
        <v>48</v>
      </c>
      <c r="C41" s="2" t="s">
        <v>245</v>
      </c>
      <c r="D41" s="2" t="s">
        <v>365</v>
      </c>
      <c r="E41" s="2" t="s">
        <v>366</v>
      </c>
      <c r="F41" s="2" t="s">
        <v>56</v>
      </c>
      <c r="G41" s="2">
        <v>6</v>
      </c>
      <c r="H41" s="2">
        <v>2.25</v>
      </c>
      <c r="I41" s="2" t="s">
        <v>58</v>
      </c>
      <c r="J41" s="2" t="s">
        <v>373</v>
      </c>
      <c r="K41" s="2" t="s">
        <v>374</v>
      </c>
      <c r="L41" s="2" t="s">
        <v>375</v>
      </c>
    </row>
    <row r="42" spans="1:12" ht="28.5">
      <c r="A42" s="2" t="s">
        <v>145</v>
      </c>
      <c r="B42" s="2" t="s">
        <v>48</v>
      </c>
      <c r="C42" s="2" t="s">
        <v>245</v>
      </c>
      <c r="D42" s="2" t="s">
        <v>376</v>
      </c>
      <c r="E42" s="2" t="s">
        <v>377</v>
      </c>
      <c r="F42" s="2" t="s">
        <v>250</v>
      </c>
      <c r="G42" s="2">
        <v>10</v>
      </c>
      <c r="H42" s="2">
        <v>5.1428571428571432</v>
      </c>
      <c r="I42" s="2" t="s">
        <v>382</v>
      </c>
      <c r="J42" s="2" t="s">
        <v>384</v>
      </c>
      <c r="K42" s="2" t="s">
        <v>385</v>
      </c>
      <c r="L42" s="2" t="s">
        <v>386</v>
      </c>
    </row>
    <row r="43" spans="1:12" ht="42.75">
      <c r="A43" s="2" t="s">
        <v>553</v>
      </c>
      <c r="B43" s="2" t="s">
        <v>48</v>
      </c>
      <c r="C43" s="2" t="s">
        <v>245</v>
      </c>
      <c r="D43" s="2" t="s">
        <v>387</v>
      </c>
      <c r="E43" s="2" t="s">
        <v>388</v>
      </c>
      <c r="F43" s="2" t="s">
        <v>56</v>
      </c>
      <c r="G43" s="2">
        <v>8</v>
      </c>
      <c r="H43" s="2">
        <v>3.2</v>
      </c>
      <c r="I43" s="2" t="s">
        <v>393</v>
      </c>
      <c r="J43" s="2" t="s">
        <v>396</v>
      </c>
      <c r="K43" s="2" t="s">
        <v>397</v>
      </c>
      <c r="L43" s="2" t="s">
        <v>398</v>
      </c>
    </row>
    <row r="44" spans="1:12" ht="85.5">
      <c r="A44" s="2" t="s">
        <v>57</v>
      </c>
      <c r="B44" s="2" t="s">
        <v>48</v>
      </c>
      <c r="C44" s="2" t="s">
        <v>245</v>
      </c>
      <c r="D44" s="2" t="s">
        <v>399</v>
      </c>
      <c r="E44" s="2" t="s">
        <v>400</v>
      </c>
      <c r="F44" s="2" t="s">
        <v>250</v>
      </c>
      <c r="G44" s="2">
        <v>12</v>
      </c>
      <c r="H44" s="2">
        <v>7.2</v>
      </c>
      <c r="I44" s="2" t="s">
        <v>365</v>
      </c>
      <c r="J44" s="2" t="s">
        <v>1736</v>
      </c>
      <c r="K44" s="2" t="s">
        <v>406</v>
      </c>
      <c r="L44" s="2" t="s">
        <v>407</v>
      </c>
    </row>
    <row r="45" spans="1:12" ht="28.5">
      <c r="A45" s="2" t="s">
        <v>57</v>
      </c>
      <c r="B45" s="2" t="s">
        <v>48</v>
      </c>
      <c r="C45" s="2" t="s">
        <v>245</v>
      </c>
      <c r="D45" s="2" t="s">
        <v>408</v>
      </c>
      <c r="E45" s="2" t="s">
        <v>409</v>
      </c>
      <c r="F45" s="2" t="s">
        <v>250</v>
      </c>
      <c r="G45" s="2">
        <v>12</v>
      </c>
      <c r="H45" s="2">
        <v>7.2</v>
      </c>
      <c r="I45" s="2" t="s">
        <v>399</v>
      </c>
      <c r="J45" s="2" t="s">
        <v>413</v>
      </c>
      <c r="K45" s="2" t="s">
        <v>414</v>
      </c>
      <c r="L45" s="2" t="s">
        <v>415</v>
      </c>
    </row>
    <row r="46" spans="1:12" ht="42.75">
      <c r="A46" s="2" t="s">
        <v>57</v>
      </c>
      <c r="B46" s="2" t="s">
        <v>48</v>
      </c>
      <c r="C46" s="2" t="s">
        <v>245</v>
      </c>
      <c r="D46" s="2" t="s">
        <v>416</v>
      </c>
      <c r="E46" s="2" t="s">
        <v>417</v>
      </c>
      <c r="F46" s="2" t="s">
        <v>250</v>
      </c>
      <c r="G46" s="2">
        <v>12</v>
      </c>
      <c r="H46" s="2">
        <v>7.2</v>
      </c>
      <c r="I46" s="2" t="s">
        <v>420</v>
      </c>
      <c r="J46" s="2" t="s">
        <v>422</v>
      </c>
      <c r="K46" s="2" t="s">
        <v>423</v>
      </c>
      <c r="L46" s="2" t="s">
        <v>424</v>
      </c>
    </row>
    <row r="47" spans="1:12" ht="28.5">
      <c r="A47" s="2" t="s">
        <v>57</v>
      </c>
      <c r="B47" s="2" t="s">
        <v>48</v>
      </c>
      <c r="C47" s="2" t="s">
        <v>245</v>
      </c>
      <c r="D47" s="2" t="s">
        <v>425</v>
      </c>
      <c r="E47" s="2" t="s">
        <v>426</v>
      </c>
      <c r="F47" s="2" t="s">
        <v>250</v>
      </c>
      <c r="G47" s="2">
        <v>6</v>
      </c>
      <c r="H47" s="2">
        <v>2.5499999999999998</v>
      </c>
      <c r="I47" s="2" t="s">
        <v>430</v>
      </c>
      <c r="J47" s="2" t="s">
        <v>432</v>
      </c>
      <c r="K47" s="2" t="s">
        <v>433</v>
      </c>
      <c r="L47" s="2" t="s">
        <v>434</v>
      </c>
    </row>
    <row r="48" spans="1:12" ht="28.5">
      <c r="A48" s="2" t="s">
        <v>57</v>
      </c>
      <c r="B48" s="2" t="s">
        <v>48</v>
      </c>
      <c r="C48" s="2" t="s">
        <v>245</v>
      </c>
      <c r="D48" s="2" t="s">
        <v>435</v>
      </c>
      <c r="E48" s="2" t="s">
        <v>436</v>
      </c>
      <c r="F48" s="2" t="s">
        <v>250</v>
      </c>
      <c r="G48" s="2">
        <v>5</v>
      </c>
      <c r="H48" s="2">
        <v>2.125</v>
      </c>
      <c r="I48" s="2" t="s">
        <v>440</v>
      </c>
      <c r="J48" s="2" t="s">
        <v>442</v>
      </c>
      <c r="K48" s="2" t="s">
        <v>443</v>
      </c>
      <c r="L48" s="2" t="s">
        <v>444</v>
      </c>
    </row>
    <row r="49" spans="1:12" ht="28.5">
      <c r="A49" s="2" t="s">
        <v>57</v>
      </c>
      <c r="B49" s="2" t="s">
        <v>48</v>
      </c>
      <c r="C49" s="2" t="s">
        <v>245</v>
      </c>
      <c r="D49" s="2" t="s">
        <v>445</v>
      </c>
      <c r="E49" s="2" t="s">
        <v>446</v>
      </c>
      <c r="F49" s="2" t="s">
        <v>250</v>
      </c>
      <c r="G49" s="2">
        <v>8</v>
      </c>
      <c r="H49" s="2">
        <v>3.4</v>
      </c>
      <c r="I49" s="2" t="s">
        <v>450</v>
      </c>
      <c r="J49" s="2" t="s">
        <v>452</v>
      </c>
      <c r="K49" s="2" t="s">
        <v>453</v>
      </c>
      <c r="L49" s="2" t="s">
        <v>454</v>
      </c>
    </row>
    <row r="50" spans="1:12" ht="57">
      <c r="A50" s="2" t="s">
        <v>553</v>
      </c>
      <c r="B50" s="2" t="s">
        <v>48</v>
      </c>
      <c r="C50" s="2" t="s">
        <v>245</v>
      </c>
      <c r="D50" s="2" t="s">
        <v>455</v>
      </c>
      <c r="E50" s="2" t="s">
        <v>456</v>
      </c>
      <c r="F50" s="2" t="s">
        <v>56</v>
      </c>
      <c r="G50" s="2">
        <v>10</v>
      </c>
      <c r="H50" s="2"/>
      <c r="I50" s="2" t="s">
        <v>461</v>
      </c>
      <c r="J50" s="2" t="s">
        <v>1738</v>
      </c>
      <c r="K50" s="2" t="s">
        <v>464</v>
      </c>
      <c r="L50" s="2" t="s">
        <v>465</v>
      </c>
    </row>
    <row r="51" spans="1:12" ht="42.75">
      <c r="A51" s="2" t="s">
        <v>145</v>
      </c>
      <c r="B51" s="2" t="s">
        <v>48</v>
      </c>
      <c r="C51" s="2" t="s">
        <v>245</v>
      </c>
      <c r="D51" s="2" t="s">
        <v>466</v>
      </c>
      <c r="E51" s="2" t="s">
        <v>467</v>
      </c>
      <c r="F51" s="2" t="s">
        <v>250</v>
      </c>
      <c r="G51" s="2">
        <v>16</v>
      </c>
      <c r="H51" s="2"/>
      <c r="I51" s="2" t="s">
        <v>470</v>
      </c>
      <c r="J51" s="2" t="s">
        <v>1739</v>
      </c>
      <c r="K51" s="2" t="s">
        <v>472</v>
      </c>
      <c r="L51" s="2" t="s">
        <v>473</v>
      </c>
    </row>
    <row r="52" spans="1:12" ht="57">
      <c r="A52" s="2" t="s">
        <v>145</v>
      </c>
      <c r="B52" s="2" t="s">
        <v>48</v>
      </c>
      <c r="C52" s="2" t="s">
        <v>245</v>
      </c>
      <c r="D52" s="2" t="s">
        <v>471</v>
      </c>
      <c r="E52" s="2" t="s">
        <v>474</v>
      </c>
      <c r="F52" s="2" t="s">
        <v>250</v>
      </c>
      <c r="G52" s="2">
        <v>12</v>
      </c>
      <c r="H52" s="2"/>
      <c r="I52" s="2" t="s">
        <v>477</v>
      </c>
      <c r="J52" s="2" t="s">
        <v>1741</v>
      </c>
      <c r="K52" s="2" t="s">
        <v>479</v>
      </c>
      <c r="L52" s="2" t="s">
        <v>480</v>
      </c>
    </row>
    <row r="53" spans="1:12" ht="57">
      <c r="A53" s="2" t="s">
        <v>553</v>
      </c>
      <c r="B53" s="2" t="s">
        <v>48</v>
      </c>
      <c r="C53" s="2" t="s">
        <v>245</v>
      </c>
      <c r="D53" s="2" t="s">
        <v>481</v>
      </c>
      <c r="E53" s="2" t="s">
        <v>482</v>
      </c>
      <c r="F53" s="2" t="s">
        <v>56</v>
      </c>
      <c r="G53" s="2">
        <v>14</v>
      </c>
      <c r="H53" s="2"/>
      <c r="I53" s="2" t="s">
        <v>485</v>
      </c>
      <c r="J53" s="2" t="s">
        <v>1738</v>
      </c>
      <c r="K53" s="2" t="s">
        <v>487</v>
      </c>
      <c r="L53" s="2" t="s">
        <v>488</v>
      </c>
    </row>
    <row r="54" spans="1:12" ht="42.75">
      <c r="A54" s="2" t="s">
        <v>145</v>
      </c>
      <c r="B54" s="2" t="s">
        <v>48</v>
      </c>
      <c r="C54" s="2" t="s">
        <v>245</v>
      </c>
      <c r="D54" s="2" t="s">
        <v>486</v>
      </c>
      <c r="E54" s="2" t="s">
        <v>489</v>
      </c>
      <c r="F54" s="2" t="s">
        <v>250</v>
      </c>
      <c r="G54" s="2">
        <v>12</v>
      </c>
      <c r="H54" s="2"/>
      <c r="I54" s="2" t="s">
        <v>492</v>
      </c>
      <c r="J54" s="2" t="s">
        <v>1742</v>
      </c>
      <c r="K54" s="2" t="s">
        <v>493</v>
      </c>
      <c r="L54" s="2" t="s">
        <v>494</v>
      </c>
    </row>
    <row r="55" spans="1:12" ht="71.25">
      <c r="A55" s="2" t="s">
        <v>145</v>
      </c>
      <c r="B55" s="2" t="s">
        <v>48</v>
      </c>
      <c r="C55" s="2" t="s">
        <v>245</v>
      </c>
      <c r="D55" s="2" t="s">
        <v>495</v>
      </c>
      <c r="E55" s="2" t="s">
        <v>496</v>
      </c>
      <c r="F55" s="2" t="s">
        <v>250</v>
      </c>
      <c r="G55" s="2">
        <v>11</v>
      </c>
      <c r="H55" s="2"/>
      <c r="I55" s="2" t="s">
        <v>499</v>
      </c>
      <c r="J55" s="2" t="s">
        <v>1743</v>
      </c>
      <c r="K55" s="2" t="s">
        <v>500</v>
      </c>
      <c r="L55" s="2" t="s">
        <v>501</v>
      </c>
    </row>
    <row r="56" spans="1:12" ht="57">
      <c r="A56" s="2" t="s">
        <v>145</v>
      </c>
      <c r="B56" s="2" t="s">
        <v>48</v>
      </c>
      <c r="C56" s="2" t="s">
        <v>245</v>
      </c>
      <c r="D56" s="2" t="s">
        <v>502</v>
      </c>
      <c r="E56" s="2" t="s">
        <v>503</v>
      </c>
      <c r="F56" s="2" t="s">
        <v>250</v>
      </c>
      <c r="G56" s="2">
        <v>12</v>
      </c>
      <c r="H56" s="2"/>
      <c r="I56" s="2" t="s">
        <v>508</v>
      </c>
      <c r="J56" s="2" t="s">
        <v>510</v>
      </c>
      <c r="K56" s="2" t="s">
        <v>511</v>
      </c>
      <c r="L56" s="2" t="s">
        <v>512</v>
      </c>
    </row>
    <row r="57" spans="1:12" ht="42.75">
      <c r="A57" s="2" t="s">
        <v>145</v>
      </c>
      <c r="B57" s="2" t="s">
        <v>48</v>
      </c>
      <c r="C57" s="2" t="s">
        <v>514</v>
      </c>
      <c r="D57" s="2" t="s">
        <v>513</v>
      </c>
      <c r="E57" s="2" t="s">
        <v>515</v>
      </c>
      <c r="F57" s="2" t="s">
        <v>250</v>
      </c>
      <c r="G57" s="2">
        <v>8</v>
      </c>
      <c r="H57" s="2">
        <v>1.3333333333333333</v>
      </c>
      <c r="I57" s="2" t="s">
        <v>519</v>
      </c>
      <c r="J57" s="2" t="s">
        <v>522</v>
      </c>
      <c r="K57" s="2" t="s">
        <v>523</v>
      </c>
      <c r="L57" s="2" t="s">
        <v>66</v>
      </c>
    </row>
    <row r="58" spans="1:12" ht="28.5">
      <c r="A58" s="2" t="s">
        <v>145</v>
      </c>
      <c r="B58" s="2" t="s">
        <v>48</v>
      </c>
      <c r="C58" s="2" t="s">
        <v>514</v>
      </c>
      <c r="D58" s="2" t="s">
        <v>431</v>
      </c>
      <c r="E58" s="2" t="s">
        <v>526</v>
      </c>
      <c r="F58" s="2" t="s">
        <v>250</v>
      </c>
      <c r="G58" s="2">
        <v>10</v>
      </c>
      <c r="H58" s="2">
        <v>4</v>
      </c>
      <c r="I58" s="2" t="s">
        <v>531</v>
      </c>
      <c r="J58" s="2" t="s">
        <v>534</v>
      </c>
      <c r="K58" s="2" t="s">
        <v>535</v>
      </c>
      <c r="L58" s="2" t="s">
        <v>536</v>
      </c>
    </row>
    <row r="59" spans="1:12" ht="42.75">
      <c r="A59" s="2" t="s">
        <v>145</v>
      </c>
      <c r="B59" s="2" t="s">
        <v>48</v>
      </c>
      <c r="C59" s="2" t="s">
        <v>514</v>
      </c>
      <c r="D59" s="2" t="s">
        <v>532</v>
      </c>
      <c r="E59" s="2" t="s">
        <v>537</v>
      </c>
      <c r="F59" s="2" t="s">
        <v>250</v>
      </c>
      <c r="G59" s="2">
        <v>10</v>
      </c>
      <c r="H59" s="2">
        <v>4.25</v>
      </c>
      <c r="I59" s="2" t="s">
        <v>541</v>
      </c>
      <c r="J59" s="2" t="s">
        <v>543</v>
      </c>
      <c r="K59" s="2" t="s">
        <v>544</v>
      </c>
      <c r="L59" s="2" t="s">
        <v>545</v>
      </c>
    </row>
    <row r="60" spans="1:12" ht="28.5">
      <c r="A60" s="2" t="s">
        <v>553</v>
      </c>
      <c r="B60" s="2" t="s">
        <v>48</v>
      </c>
      <c r="C60" s="2" t="s">
        <v>547</v>
      </c>
      <c r="D60" s="2" t="s">
        <v>546</v>
      </c>
      <c r="E60" s="2" t="s">
        <v>548</v>
      </c>
      <c r="F60" s="2" t="s">
        <v>56</v>
      </c>
      <c r="G60" s="2">
        <v>10</v>
      </c>
      <c r="H60" s="2">
        <v>0</v>
      </c>
      <c r="I60" s="2"/>
      <c r="J60" s="2" t="s">
        <v>557</v>
      </c>
      <c r="K60" s="2" t="s">
        <v>558</v>
      </c>
      <c r="L60" s="2" t="s">
        <v>559</v>
      </c>
    </row>
    <row r="61" spans="1:12" ht="28.5">
      <c r="A61" s="2" t="s">
        <v>553</v>
      </c>
      <c r="B61" s="2" t="s">
        <v>48</v>
      </c>
      <c r="C61" s="2" t="s">
        <v>547</v>
      </c>
      <c r="D61" s="2" t="s">
        <v>562</v>
      </c>
      <c r="E61" s="2" t="s">
        <v>563</v>
      </c>
      <c r="F61" s="2" t="s">
        <v>56</v>
      </c>
      <c r="G61" s="2">
        <v>12</v>
      </c>
      <c r="H61" s="2">
        <v>0</v>
      </c>
      <c r="I61" s="2"/>
      <c r="J61" s="2" t="s">
        <v>557</v>
      </c>
      <c r="K61" s="2" t="s">
        <v>558</v>
      </c>
      <c r="L61" s="2" t="s">
        <v>559</v>
      </c>
    </row>
    <row r="62" spans="1:12" ht="28.5">
      <c r="A62" s="2" t="s">
        <v>553</v>
      </c>
      <c r="B62" s="2" t="s">
        <v>48</v>
      </c>
      <c r="C62" s="2" t="s">
        <v>547</v>
      </c>
      <c r="D62" s="2" t="s">
        <v>568</v>
      </c>
      <c r="E62" s="2" t="s">
        <v>569</v>
      </c>
      <c r="F62" s="2" t="s">
        <v>56</v>
      </c>
      <c r="G62" s="2">
        <v>10</v>
      </c>
      <c r="H62" s="2">
        <v>0</v>
      </c>
      <c r="I62" s="2"/>
      <c r="J62" s="2" t="s">
        <v>557</v>
      </c>
      <c r="K62" s="2" t="s">
        <v>558</v>
      </c>
      <c r="L62" s="2" t="s">
        <v>559</v>
      </c>
    </row>
    <row r="63" spans="1:12" ht="28.5">
      <c r="A63" s="2" t="s">
        <v>553</v>
      </c>
      <c r="B63" s="2" t="s">
        <v>48</v>
      </c>
      <c r="C63" s="2" t="s">
        <v>547</v>
      </c>
      <c r="D63" s="2" t="s">
        <v>574</v>
      </c>
      <c r="E63" s="2" t="s">
        <v>575</v>
      </c>
      <c r="F63" s="2" t="s">
        <v>56</v>
      </c>
      <c r="G63" s="2">
        <v>10</v>
      </c>
      <c r="H63" s="2">
        <v>0</v>
      </c>
      <c r="I63" s="2"/>
      <c r="J63" s="2" t="s">
        <v>557</v>
      </c>
      <c r="K63" s="2" t="s">
        <v>558</v>
      </c>
      <c r="L63" s="2" t="s">
        <v>559</v>
      </c>
    </row>
    <row r="64" spans="1:12" ht="28.5">
      <c r="A64" s="2" t="s">
        <v>553</v>
      </c>
      <c r="B64" s="2" t="s">
        <v>48</v>
      </c>
      <c r="C64" s="2" t="s">
        <v>547</v>
      </c>
      <c r="D64" s="2" t="s">
        <v>579</v>
      </c>
      <c r="E64" s="2" t="s">
        <v>580</v>
      </c>
      <c r="F64" s="2" t="s">
        <v>56</v>
      </c>
      <c r="G64" s="2">
        <v>10</v>
      </c>
      <c r="H64" s="2">
        <v>0</v>
      </c>
      <c r="I64" s="2"/>
      <c r="J64" s="2" t="s">
        <v>557</v>
      </c>
      <c r="K64" s="2" t="s">
        <v>558</v>
      </c>
      <c r="L64" s="2" t="s">
        <v>559</v>
      </c>
    </row>
    <row r="65" spans="1:12" ht="28.5">
      <c r="A65" s="2" t="s">
        <v>553</v>
      </c>
      <c r="B65" s="2" t="s">
        <v>48</v>
      </c>
      <c r="C65" s="2" t="s">
        <v>547</v>
      </c>
      <c r="D65" s="2" t="s">
        <v>586</v>
      </c>
      <c r="E65" s="2" t="s">
        <v>587</v>
      </c>
      <c r="F65" s="2" t="s">
        <v>56</v>
      </c>
      <c r="G65" s="2">
        <v>12</v>
      </c>
      <c r="H65" s="2">
        <v>0</v>
      </c>
      <c r="I65" s="2"/>
      <c r="J65" s="2" t="s">
        <v>557</v>
      </c>
      <c r="K65" s="2" t="s">
        <v>558</v>
      </c>
      <c r="L65" s="2" t="s">
        <v>559</v>
      </c>
    </row>
    <row r="66" spans="1:12" ht="28.5">
      <c r="A66" s="2" t="s">
        <v>553</v>
      </c>
      <c r="B66" s="2" t="s">
        <v>48</v>
      </c>
      <c r="C66" s="2" t="s">
        <v>547</v>
      </c>
      <c r="D66" s="2" t="s">
        <v>592</v>
      </c>
      <c r="E66" s="2" t="s">
        <v>593</v>
      </c>
      <c r="F66" s="2" t="s">
        <v>56</v>
      </c>
      <c r="G66" s="2">
        <v>12</v>
      </c>
      <c r="H66" s="2">
        <v>0</v>
      </c>
      <c r="I66" s="2"/>
      <c r="J66" s="2" t="s">
        <v>557</v>
      </c>
      <c r="K66" s="2" t="s">
        <v>558</v>
      </c>
      <c r="L66" s="2" t="s">
        <v>559</v>
      </c>
    </row>
    <row r="67" spans="1:12" ht="28.5">
      <c r="A67" s="2" t="s">
        <v>553</v>
      </c>
      <c r="B67" s="2" t="s">
        <v>48</v>
      </c>
      <c r="C67" s="2" t="s">
        <v>547</v>
      </c>
      <c r="D67" s="2" t="s">
        <v>598</v>
      </c>
      <c r="E67" s="2" t="s">
        <v>599</v>
      </c>
      <c r="F67" s="2" t="s">
        <v>56</v>
      </c>
      <c r="G67" s="2">
        <v>10</v>
      </c>
      <c r="H67" s="2">
        <v>0</v>
      </c>
      <c r="I67" s="2"/>
      <c r="J67" s="2" t="s">
        <v>557</v>
      </c>
      <c r="K67" s="2" t="s">
        <v>558</v>
      </c>
      <c r="L67" s="2" t="s">
        <v>559</v>
      </c>
    </row>
    <row r="68" spans="1:12" ht="28.5">
      <c r="A68" s="2" t="s">
        <v>553</v>
      </c>
      <c r="B68" s="2" t="s">
        <v>48</v>
      </c>
      <c r="C68" s="2" t="s">
        <v>547</v>
      </c>
      <c r="D68" s="2" t="s">
        <v>603</v>
      </c>
      <c r="E68" s="2" t="s">
        <v>604</v>
      </c>
      <c r="F68" s="2" t="s">
        <v>56</v>
      </c>
      <c r="G68" s="2">
        <v>12</v>
      </c>
      <c r="H68" s="2">
        <v>0</v>
      </c>
      <c r="I68" s="2" t="s">
        <v>608</v>
      </c>
      <c r="J68" s="2" t="s">
        <v>557</v>
      </c>
      <c r="K68" s="2" t="s">
        <v>558</v>
      </c>
      <c r="L68" s="2" t="s">
        <v>559</v>
      </c>
    </row>
    <row r="69" spans="1:12" ht="28.5">
      <c r="A69" s="2" t="s">
        <v>553</v>
      </c>
      <c r="B69" s="2" t="s">
        <v>48</v>
      </c>
      <c r="C69" s="2" t="s">
        <v>547</v>
      </c>
      <c r="D69" s="2" t="s">
        <v>609</v>
      </c>
      <c r="E69" s="2" t="s">
        <v>610</v>
      </c>
      <c r="F69" s="2" t="s">
        <v>56</v>
      </c>
      <c r="G69" s="2">
        <v>12</v>
      </c>
      <c r="H69" s="2">
        <v>0</v>
      </c>
      <c r="I69" s="2"/>
      <c r="J69" s="2" t="s">
        <v>557</v>
      </c>
      <c r="K69" s="2" t="s">
        <v>558</v>
      </c>
      <c r="L69" s="2" t="s">
        <v>559</v>
      </c>
    </row>
    <row r="70" spans="1:12" ht="28.5">
      <c r="A70" s="2" t="s">
        <v>553</v>
      </c>
      <c r="B70" s="2" t="s">
        <v>48</v>
      </c>
      <c r="C70" s="2" t="s">
        <v>547</v>
      </c>
      <c r="D70" s="2" t="s">
        <v>615</v>
      </c>
      <c r="E70" s="2" t="s">
        <v>616</v>
      </c>
      <c r="F70" s="2" t="s">
        <v>56</v>
      </c>
      <c r="G70" s="2">
        <v>10</v>
      </c>
      <c r="H70" s="2">
        <v>0</v>
      </c>
      <c r="I70" s="2"/>
      <c r="J70" s="2" t="s">
        <v>557</v>
      </c>
      <c r="K70" s="2" t="s">
        <v>558</v>
      </c>
      <c r="L70" s="2" t="s">
        <v>559</v>
      </c>
    </row>
    <row r="71" spans="1:12" ht="28.5">
      <c r="A71" s="2" t="s">
        <v>553</v>
      </c>
      <c r="B71" s="2" t="s">
        <v>48</v>
      </c>
      <c r="C71" s="2" t="s">
        <v>547</v>
      </c>
      <c r="D71" s="2" t="s">
        <v>621</v>
      </c>
      <c r="E71" s="2" t="s">
        <v>622</v>
      </c>
      <c r="F71" s="2" t="s">
        <v>56</v>
      </c>
      <c r="G71" s="2">
        <v>8</v>
      </c>
      <c r="H71" s="2">
        <v>0</v>
      </c>
      <c r="I71" s="2"/>
      <c r="J71" s="2" t="s">
        <v>557</v>
      </c>
      <c r="K71" s="2" t="s">
        <v>558</v>
      </c>
      <c r="L71" s="2" t="s">
        <v>559</v>
      </c>
    </row>
    <row r="72" spans="1:12" ht="28.5">
      <c r="A72" s="2" t="s">
        <v>553</v>
      </c>
      <c r="B72" s="2" t="s">
        <v>48</v>
      </c>
      <c r="C72" s="2" t="s">
        <v>547</v>
      </c>
      <c r="D72" s="2" t="s">
        <v>627</v>
      </c>
      <c r="E72" s="2" t="s">
        <v>628</v>
      </c>
      <c r="F72" s="2" t="s">
        <v>56</v>
      </c>
      <c r="G72" s="2">
        <v>10</v>
      </c>
      <c r="H72" s="2">
        <v>0</v>
      </c>
      <c r="I72" s="2"/>
      <c r="J72" s="2" t="s">
        <v>557</v>
      </c>
      <c r="K72" s="2" t="s">
        <v>558</v>
      </c>
      <c r="L72" s="2" t="s">
        <v>559</v>
      </c>
    </row>
    <row r="73" spans="1:12" ht="28.5">
      <c r="A73" s="2" t="s">
        <v>553</v>
      </c>
      <c r="B73" s="2" t="s">
        <v>48</v>
      </c>
      <c r="C73" s="2" t="s">
        <v>547</v>
      </c>
      <c r="D73" s="2" t="s">
        <v>633</v>
      </c>
      <c r="E73" s="2" t="s">
        <v>634</v>
      </c>
      <c r="F73" s="2" t="s">
        <v>56</v>
      </c>
      <c r="G73" s="2">
        <v>12</v>
      </c>
      <c r="H73" s="2">
        <v>0</v>
      </c>
      <c r="I73" s="2"/>
      <c r="J73" s="2" t="s">
        <v>557</v>
      </c>
      <c r="K73" s="2" t="s">
        <v>558</v>
      </c>
      <c r="L73" s="2" t="s">
        <v>559</v>
      </c>
    </row>
    <row r="74" spans="1:12" ht="28.5">
      <c r="A74" s="2" t="s">
        <v>553</v>
      </c>
      <c r="B74" s="2" t="s">
        <v>48</v>
      </c>
      <c r="C74" s="2" t="s">
        <v>547</v>
      </c>
      <c r="D74" s="2" t="s">
        <v>638</v>
      </c>
      <c r="E74" s="2" t="s">
        <v>639</v>
      </c>
      <c r="F74" s="2" t="s">
        <v>56</v>
      </c>
      <c r="G74" s="2">
        <v>12</v>
      </c>
      <c r="H74" s="2">
        <v>0</v>
      </c>
      <c r="I74" s="2"/>
      <c r="J74" s="2" t="s">
        <v>557</v>
      </c>
      <c r="K74" s="2" t="s">
        <v>558</v>
      </c>
      <c r="L74" s="2" t="s">
        <v>559</v>
      </c>
    </row>
    <row r="75" spans="1:12" ht="28.5">
      <c r="A75" s="2" t="s">
        <v>553</v>
      </c>
      <c r="B75" s="2" t="s">
        <v>48</v>
      </c>
      <c r="C75" s="2" t="s">
        <v>547</v>
      </c>
      <c r="D75" s="2" t="s">
        <v>643</v>
      </c>
      <c r="E75" s="2" t="s">
        <v>644</v>
      </c>
      <c r="F75" s="2" t="s">
        <v>56</v>
      </c>
      <c r="G75" s="2">
        <v>10</v>
      </c>
      <c r="H75" s="2">
        <v>0</v>
      </c>
      <c r="I75" s="2"/>
      <c r="J75" s="2" t="s">
        <v>557</v>
      </c>
      <c r="K75" s="2" t="s">
        <v>558</v>
      </c>
      <c r="L75" s="2" t="s">
        <v>559</v>
      </c>
    </row>
    <row r="76" spans="1:12" ht="42.75">
      <c r="A76" s="2" t="s">
        <v>187</v>
      </c>
      <c r="B76" s="2" t="s">
        <v>48</v>
      </c>
      <c r="C76" s="2" t="s">
        <v>547</v>
      </c>
      <c r="D76" s="2" t="s">
        <v>648</v>
      </c>
      <c r="E76" s="2" t="s">
        <v>649</v>
      </c>
      <c r="F76" s="2" t="s">
        <v>250</v>
      </c>
      <c r="G76" s="2">
        <v>10</v>
      </c>
      <c r="H76" s="2">
        <v>2.5</v>
      </c>
      <c r="I76" s="2" t="s">
        <v>654</v>
      </c>
      <c r="J76" s="2" t="s">
        <v>656</v>
      </c>
      <c r="K76" s="2" t="s">
        <v>657</v>
      </c>
      <c r="L76" s="2" t="s">
        <v>658</v>
      </c>
    </row>
    <row r="77" spans="1:12" ht="28.5">
      <c r="A77" s="2" t="s">
        <v>187</v>
      </c>
      <c r="B77" s="2" t="s">
        <v>48</v>
      </c>
      <c r="C77" s="2" t="s">
        <v>547</v>
      </c>
      <c r="D77" s="2" t="s">
        <v>659</v>
      </c>
      <c r="E77" s="2" t="s">
        <v>660</v>
      </c>
      <c r="F77" s="2" t="s">
        <v>250</v>
      </c>
      <c r="G77" s="2">
        <v>6</v>
      </c>
      <c r="H77" s="2">
        <v>1.5</v>
      </c>
      <c r="I77" s="2" t="s">
        <v>203</v>
      </c>
      <c r="J77" s="2" t="s">
        <v>665</v>
      </c>
      <c r="K77" s="2" t="s">
        <v>666</v>
      </c>
      <c r="L77" s="2" t="s">
        <v>667</v>
      </c>
    </row>
    <row r="78" spans="1:12" ht="28.5">
      <c r="A78" s="2" t="s">
        <v>553</v>
      </c>
      <c r="B78" s="2" t="s">
        <v>48</v>
      </c>
      <c r="C78" s="2" t="s">
        <v>547</v>
      </c>
      <c r="D78" s="2" t="s">
        <v>668</v>
      </c>
      <c r="E78" s="2" t="s">
        <v>669</v>
      </c>
      <c r="F78" s="2" t="s">
        <v>56</v>
      </c>
      <c r="G78" s="2">
        <v>10</v>
      </c>
      <c r="H78" s="2">
        <v>2.5</v>
      </c>
      <c r="I78" s="2" t="s">
        <v>673</v>
      </c>
      <c r="J78" s="2" t="s">
        <v>675</v>
      </c>
      <c r="K78" s="2" t="s">
        <v>676</v>
      </c>
      <c r="L78" s="2" t="s">
        <v>677</v>
      </c>
    </row>
    <row r="79" spans="1:12" ht="42.75">
      <c r="A79" s="2" t="s">
        <v>553</v>
      </c>
      <c r="B79" s="2" t="s">
        <v>48</v>
      </c>
      <c r="C79" s="2" t="s">
        <v>547</v>
      </c>
      <c r="D79" s="2" t="s">
        <v>678</v>
      </c>
      <c r="E79" s="2" t="s">
        <v>679</v>
      </c>
      <c r="F79" s="2" t="s">
        <v>56</v>
      </c>
      <c r="G79" s="2">
        <v>8</v>
      </c>
      <c r="H79" s="2">
        <v>2</v>
      </c>
      <c r="I79" s="2" t="s">
        <v>193</v>
      </c>
      <c r="J79" s="2" t="s">
        <v>684</v>
      </c>
      <c r="K79" s="2" t="s">
        <v>685</v>
      </c>
      <c r="L79" s="2" t="s">
        <v>686</v>
      </c>
    </row>
    <row r="80" spans="1:12" ht="28.5">
      <c r="A80" s="2" t="s">
        <v>553</v>
      </c>
      <c r="B80" s="2" t="s">
        <v>48</v>
      </c>
      <c r="C80" s="2" t="s">
        <v>547</v>
      </c>
      <c r="D80" s="2" t="s">
        <v>683</v>
      </c>
      <c r="E80" s="2" t="s">
        <v>687</v>
      </c>
      <c r="F80" s="2" t="s">
        <v>56</v>
      </c>
      <c r="G80" s="2">
        <v>12</v>
      </c>
      <c r="H80" s="2">
        <v>3.2</v>
      </c>
      <c r="I80" s="2" t="s">
        <v>691</v>
      </c>
      <c r="J80" s="2" t="s">
        <v>693</v>
      </c>
      <c r="K80" s="2" t="s">
        <v>694</v>
      </c>
      <c r="L80" s="2" t="s">
        <v>695</v>
      </c>
    </row>
    <row r="81" spans="1:12" ht="28.5">
      <c r="A81" s="2" t="s">
        <v>553</v>
      </c>
      <c r="B81" s="2" t="s">
        <v>48</v>
      </c>
      <c r="C81" s="2" t="s">
        <v>547</v>
      </c>
      <c r="D81" s="2" t="s">
        <v>696</v>
      </c>
      <c r="E81" s="2" t="s">
        <v>697</v>
      </c>
      <c r="F81" s="2" t="s">
        <v>56</v>
      </c>
      <c r="G81" s="2">
        <v>8</v>
      </c>
      <c r="H81" s="2">
        <v>2</v>
      </c>
      <c r="I81" s="2" t="s">
        <v>683</v>
      </c>
      <c r="J81" s="2" t="s">
        <v>702</v>
      </c>
      <c r="K81" s="2" t="s">
        <v>703</v>
      </c>
      <c r="L81" s="2" t="s">
        <v>704</v>
      </c>
    </row>
    <row r="82" spans="1:12" ht="57">
      <c r="A82" s="2" t="s">
        <v>187</v>
      </c>
      <c r="B82" s="2" t="s">
        <v>48</v>
      </c>
      <c r="C82" s="2" t="s">
        <v>547</v>
      </c>
      <c r="D82" s="2" t="s">
        <v>705</v>
      </c>
      <c r="E82" s="2" t="s">
        <v>706</v>
      </c>
      <c r="F82" s="2" t="s">
        <v>250</v>
      </c>
      <c r="G82" s="2">
        <v>12</v>
      </c>
      <c r="H82" s="2">
        <v>5.4</v>
      </c>
      <c r="I82" s="2" t="s">
        <v>710</v>
      </c>
      <c r="J82" s="2" t="s">
        <v>712</v>
      </c>
      <c r="K82" s="2" t="s">
        <v>713</v>
      </c>
      <c r="L82" s="2" t="s">
        <v>714</v>
      </c>
    </row>
    <row r="83" spans="1:12" ht="42.75">
      <c r="A83" s="2" t="s">
        <v>187</v>
      </c>
      <c r="B83" s="2" t="s">
        <v>48</v>
      </c>
      <c r="C83" s="2" t="s">
        <v>547</v>
      </c>
      <c r="D83" s="2" t="s">
        <v>715</v>
      </c>
      <c r="E83" s="2" t="s">
        <v>716</v>
      </c>
      <c r="F83" s="2" t="s">
        <v>250</v>
      </c>
      <c r="G83" s="2">
        <v>10</v>
      </c>
      <c r="H83" s="2">
        <v>4.25</v>
      </c>
      <c r="I83" s="2" t="s">
        <v>721</v>
      </c>
      <c r="J83" s="2" t="s">
        <v>723</v>
      </c>
      <c r="K83" s="2" t="s">
        <v>724</v>
      </c>
      <c r="L83" s="2" t="s">
        <v>725</v>
      </c>
    </row>
    <row r="84" spans="1:12" ht="28.5">
      <c r="A84" s="2" t="s">
        <v>553</v>
      </c>
      <c r="B84" s="2" t="s">
        <v>48</v>
      </c>
      <c r="C84" s="2" t="s">
        <v>547</v>
      </c>
      <c r="D84" s="2" t="s">
        <v>726</v>
      </c>
      <c r="E84" s="2" t="s">
        <v>727</v>
      </c>
      <c r="F84" s="2" t="s">
        <v>56</v>
      </c>
      <c r="G84" s="2">
        <v>8</v>
      </c>
      <c r="H84" s="2">
        <v>2</v>
      </c>
      <c r="I84" s="2" t="s">
        <v>732</v>
      </c>
      <c r="J84" s="2" t="s">
        <v>734</v>
      </c>
      <c r="K84" s="2" t="s">
        <v>735</v>
      </c>
      <c r="L84" s="2" t="s">
        <v>736</v>
      </c>
    </row>
    <row r="85" spans="1:12" ht="28.5">
      <c r="A85" s="2" t="s">
        <v>553</v>
      </c>
      <c r="B85" s="2" t="s">
        <v>48</v>
      </c>
      <c r="C85" s="2" t="s">
        <v>547</v>
      </c>
      <c r="D85" s="2" t="s">
        <v>737</v>
      </c>
      <c r="E85" s="2" t="s">
        <v>738</v>
      </c>
      <c r="F85" s="2" t="s">
        <v>56</v>
      </c>
      <c r="G85" s="2">
        <v>10</v>
      </c>
      <c r="H85" s="2">
        <v>2.666666666666667</v>
      </c>
      <c r="I85" s="2" t="s">
        <v>742</v>
      </c>
      <c r="J85" s="2" t="s">
        <v>745</v>
      </c>
      <c r="K85" s="2" t="s">
        <v>746</v>
      </c>
      <c r="L85" s="2" t="s">
        <v>747</v>
      </c>
    </row>
    <row r="86" spans="1:12" ht="28.5">
      <c r="A86" s="2" t="s">
        <v>145</v>
      </c>
      <c r="B86" s="2" t="s">
        <v>48</v>
      </c>
      <c r="C86" s="2" t="s">
        <v>547</v>
      </c>
      <c r="D86" s="2" t="s">
        <v>748</v>
      </c>
      <c r="E86" s="2" t="s">
        <v>749</v>
      </c>
      <c r="F86" s="2" t="s">
        <v>250</v>
      </c>
      <c r="G86" s="2">
        <v>10</v>
      </c>
      <c r="H86" s="2">
        <v>4.25</v>
      </c>
      <c r="I86" s="2" t="s">
        <v>754</v>
      </c>
      <c r="J86" s="2" t="s">
        <v>757</v>
      </c>
      <c r="K86" s="2" t="s">
        <v>758</v>
      </c>
      <c r="L86" s="2" t="s">
        <v>759</v>
      </c>
    </row>
    <row r="87" spans="1:12" ht="57">
      <c r="A87" s="2" t="s">
        <v>57</v>
      </c>
      <c r="B87" s="2" t="s">
        <v>48</v>
      </c>
      <c r="C87" s="2" t="s">
        <v>761</v>
      </c>
      <c r="D87" s="2" t="s">
        <v>760</v>
      </c>
      <c r="E87" s="2" t="s">
        <v>762</v>
      </c>
      <c r="F87" s="2" t="s">
        <v>250</v>
      </c>
      <c r="G87" s="2">
        <v>12</v>
      </c>
      <c r="H87" s="2">
        <v>2.3250000000000002</v>
      </c>
      <c r="I87" s="2" t="s">
        <v>91</v>
      </c>
      <c r="J87" s="2" t="s">
        <v>768</v>
      </c>
      <c r="K87" s="2" t="s">
        <v>65</v>
      </c>
      <c r="L87" s="2" t="s">
        <v>325</v>
      </c>
    </row>
    <row r="88" spans="1:12" ht="57">
      <c r="A88" s="2" t="s">
        <v>57</v>
      </c>
      <c r="B88" s="2" t="s">
        <v>48</v>
      </c>
      <c r="C88" s="2" t="s">
        <v>761</v>
      </c>
      <c r="D88" s="2" t="s">
        <v>771</v>
      </c>
      <c r="E88" s="2" t="s">
        <v>772</v>
      </c>
      <c r="F88" s="2" t="s">
        <v>250</v>
      </c>
      <c r="G88" s="2">
        <v>8</v>
      </c>
      <c r="H88" s="2">
        <v>1.2000000000000002</v>
      </c>
      <c r="I88" s="2"/>
      <c r="J88" s="2" t="s">
        <v>64</v>
      </c>
      <c r="K88" s="2" t="s">
        <v>65</v>
      </c>
      <c r="L88" s="2" t="s">
        <v>66</v>
      </c>
    </row>
    <row r="89" spans="1:12" ht="57">
      <c r="A89" s="2" t="s">
        <v>57</v>
      </c>
      <c r="B89" s="2" t="s">
        <v>48</v>
      </c>
      <c r="C89" s="2" t="s">
        <v>761</v>
      </c>
      <c r="D89" s="2" t="s">
        <v>776</v>
      </c>
      <c r="E89" s="2" t="s">
        <v>777</v>
      </c>
      <c r="F89" s="2" t="s">
        <v>250</v>
      </c>
      <c r="G89" s="2">
        <v>6</v>
      </c>
      <c r="H89" s="2">
        <v>0.89999999999999991</v>
      </c>
      <c r="I89" s="2" t="s">
        <v>780</v>
      </c>
      <c r="J89" s="2" t="s">
        <v>781</v>
      </c>
      <c r="K89" s="2" t="s">
        <v>65</v>
      </c>
      <c r="L89" s="2" t="s">
        <v>325</v>
      </c>
    </row>
    <row r="90" spans="1:12" ht="57">
      <c r="A90" s="2" t="s">
        <v>57</v>
      </c>
      <c r="B90" s="2" t="s">
        <v>48</v>
      </c>
      <c r="C90" s="2" t="s">
        <v>761</v>
      </c>
      <c r="D90" s="2" t="s">
        <v>782</v>
      </c>
      <c r="E90" s="2" t="s">
        <v>783</v>
      </c>
      <c r="F90" s="2" t="s">
        <v>250</v>
      </c>
      <c r="G90" s="2">
        <v>4</v>
      </c>
      <c r="H90" s="2">
        <v>0.77500000000000002</v>
      </c>
      <c r="I90" s="2"/>
      <c r="J90" s="2" t="s">
        <v>64</v>
      </c>
      <c r="K90" s="2" t="s">
        <v>65</v>
      </c>
      <c r="L90" s="2" t="s">
        <v>66</v>
      </c>
    </row>
    <row r="91" spans="1:12" ht="57">
      <c r="A91" s="2" t="s">
        <v>57</v>
      </c>
      <c r="B91" s="2" t="s">
        <v>48</v>
      </c>
      <c r="C91" s="2" t="s">
        <v>761</v>
      </c>
      <c r="D91" s="2" t="s">
        <v>786</v>
      </c>
      <c r="E91" s="2" t="s">
        <v>787</v>
      </c>
      <c r="F91" s="2" t="s">
        <v>250</v>
      </c>
      <c r="G91" s="2">
        <v>12</v>
      </c>
      <c r="H91" s="2">
        <v>1.7999999999999998</v>
      </c>
      <c r="I91" s="2"/>
      <c r="J91" s="2" t="s">
        <v>64</v>
      </c>
      <c r="K91" s="2" t="s">
        <v>65</v>
      </c>
      <c r="L91" s="2" t="s">
        <v>66</v>
      </c>
    </row>
    <row r="92" spans="1:12" ht="57">
      <c r="A92" s="2" t="s">
        <v>57</v>
      </c>
      <c r="B92" s="2" t="s">
        <v>48</v>
      </c>
      <c r="C92" s="2" t="s">
        <v>761</v>
      </c>
      <c r="D92" s="2" t="s">
        <v>791</v>
      </c>
      <c r="E92" s="2" t="s">
        <v>792</v>
      </c>
      <c r="F92" s="2" t="s">
        <v>250</v>
      </c>
      <c r="G92" s="2">
        <v>12</v>
      </c>
      <c r="H92" s="2">
        <v>1.7999999999999998</v>
      </c>
      <c r="I92" s="2"/>
      <c r="J92" s="2" t="s">
        <v>64</v>
      </c>
      <c r="K92" s="2" t="s">
        <v>65</v>
      </c>
      <c r="L92" s="2" t="s">
        <v>66</v>
      </c>
    </row>
    <row r="93" spans="1:12" ht="42.75">
      <c r="A93" s="2" t="s">
        <v>145</v>
      </c>
      <c r="B93" s="2" t="s">
        <v>48</v>
      </c>
      <c r="C93" s="2" t="s">
        <v>761</v>
      </c>
      <c r="D93" s="2" t="s">
        <v>797</v>
      </c>
      <c r="E93" s="2" t="s">
        <v>798</v>
      </c>
      <c r="F93" s="2" t="s">
        <v>250</v>
      </c>
      <c r="G93" s="2">
        <v>12</v>
      </c>
      <c r="H93" s="2">
        <v>2</v>
      </c>
      <c r="I93" s="2"/>
      <c r="J93" s="2" t="s">
        <v>64</v>
      </c>
      <c r="K93" s="2" t="s">
        <v>277</v>
      </c>
      <c r="L93" s="2" t="s">
        <v>66</v>
      </c>
    </row>
    <row r="94" spans="1:12" ht="57">
      <c r="A94" s="2" t="s">
        <v>57</v>
      </c>
      <c r="B94" s="2" t="s">
        <v>48</v>
      </c>
      <c r="C94" s="2" t="s">
        <v>761</v>
      </c>
      <c r="D94" s="2" t="s">
        <v>801</v>
      </c>
      <c r="E94" s="2" t="s">
        <v>802</v>
      </c>
      <c r="F94" s="2" t="s">
        <v>250</v>
      </c>
      <c r="G94" s="2">
        <v>12</v>
      </c>
      <c r="H94" s="2">
        <v>1.7999999999999998</v>
      </c>
      <c r="I94" s="2" t="s">
        <v>791</v>
      </c>
      <c r="J94" s="2" t="s">
        <v>807</v>
      </c>
      <c r="K94" s="2" t="s">
        <v>65</v>
      </c>
      <c r="L94" s="2" t="s">
        <v>66</v>
      </c>
    </row>
    <row r="95" spans="1:12" ht="57">
      <c r="A95" s="2" t="s">
        <v>57</v>
      </c>
      <c r="B95" s="2" t="s">
        <v>48</v>
      </c>
      <c r="C95" s="2" t="s">
        <v>761</v>
      </c>
      <c r="D95" s="2" t="s">
        <v>808</v>
      </c>
      <c r="E95" s="2" t="s">
        <v>809</v>
      </c>
      <c r="F95" s="2" t="s">
        <v>250</v>
      </c>
      <c r="G95" s="2">
        <v>12</v>
      </c>
      <c r="H95" s="2">
        <v>3.2</v>
      </c>
      <c r="I95" s="2"/>
      <c r="J95" s="2" t="s">
        <v>64</v>
      </c>
      <c r="K95" s="2" t="s">
        <v>65</v>
      </c>
      <c r="L95" s="2" t="s">
        <v>66</v>
      </c>
    </row>
    <row r="96" spans="1:12" ht="57">
      <c r="A96" s="2" t="s">
        <v>57</v>
      </c>
      <c r="B96" s="2" t="s">
        <v>48</v>
      </c>
      <c r="C96" s="2" t="s">
        <v>761</v>
      </c>
      <c r="D96" s="2" t="s">
        <v>811</v>
      </c>
      <c r="E96" s="2" t="s">
        <v>812</v>
      </c>
      <c r="F96" s="2" t="s">
        <v>250</v>
      </c>
      <c r="G96" s="2">
        <v>12</v>
      </c>
      <c r="H96" s="2">
        <v>3.2</v>
      </c>
      <c r="I96" s="2"/>
      <c r="J96" s="2" t="s">
        <v>64</v>
      </c>
      <c r="K96" s="2" t="s">
        <v>65</v>
      </c>
      <c r="L96" s="2" t="s">
        <v>66</v>
      </c>
    </row>
    <row r="97" spans="1:12" ht="57">
      <c r="A97" s="2" t="s">
        <v>57</v>
      </c>
      <c r="B97" s="2" t="s">
        <v>48</v>
      </c>
      <c r="C97" s="2" t="s">
        <v>761</v>
      </c>
      <c r="D97" s="2" t="s">
        <v>817</v>
      </c>
      <c r="E97" s="2" t="s">
        <v>818</v>
      </c>
      <c r="F97" s="2" t="s">
        <v>250</v>
      </c>
      <c r="G97" s="2">
        <v>12</v>
      </c>
      <c r="H97" s="2">
        <v>3.2</v>
      </c>
      <c r="I97" s="2"/>
      <c r="J97" s="2" t="s">
        <v>64</v>
      </c>
      <c r="K97" s="2" t="s">
        <v>65</v>
      </c>
      <c r="L97" s="2" t="s">
        <v>66</v>
      </c>
    </row>
    <row r="98" spans="1:12" ht="57">
      <c r="A98" s="2" t="s">
        <v>57</v>
      </c>
      <c r="B98" s="2" t="s">
        <v>48</v>
      </c>
      <c r="C98" s="2" t="s">
        <v>761</v>
      </c>
      <c r="D98" s="2" t="s">
        <v>821</v>
      </c>
      <c r="E98" s="2" t="s">
        <v>822</v>
      </c>
      <c r="F98" s="2" t="s">
        <v>250</v>
      </c>
      <c r="G98" s="2">
        <v>12</v>
      </c>
      <c r="H98" s="2">
        <v>0.9</v>
      </c>
      <c r="I98" s="2"/>
      <c r="J98" s="2" t="s">
        <v>64</v>
      </c>
      <c r="K98" s="2" t="s">
        <v>65</v>
      </c>
      <c r="L98" s="2" t="s">
        <v>66</v>
      </c>
    </row>
    <row r="99" spans="1:12" ht="42.75">
      <c r="A99" s="2" t="s">
        <v>57</v>
      </c>
      <c r="B99" s="2" t="s">
        <v>48</v>
      </c>
      <c r="C99" s="2" t="s">
        <v>761</v>
      </c>
      <c r="D99" s="2" t="s">
        <v>520</v>
      </c>
      <c r="E99" s="2" t="s">
        <v>828</v>
      </c>
      <c r="F99" s="2" t="s">
        <v>250</v>
      </c>
      <c r="G99" s="2">
        <v>12</v>
      </c>
      <c r="H99" s="2">
        <v>4.08</v>
      </c>
      <c r="I99" s="2" t="s">
        <v>1748</v>
      </c>
      <c r="J99" s="2" t="s">
        <v>830</v>
      </c>
      <c r="K99" s="2" t="s">
        <v>831</v>
      </c>
      <c r="L99" s="2" t="s">
        <v>832</v>
      </c>
    </row>
    <row r="100" spans="1:12" ht="42.75">
      <c r="A100" s="2" t="s">
        <v>57</v>
      </c>
      <c r="B100" s="2" t="s">
        <v>48</v>
      </c>
      <c r="C100" s="2" t="s">
        <v>761</v>
      </c>
      <c r="D100" s="2" t="s">
        <v>833</v>
      </c>
      <c r="E100" s="2" t="s">
        <v>834</v>
      </c>
      <c r="F100" s="2" t="s">
        <v>250</v>
      </c>
      <c r="G100" s="2">
        <v>6</v>
      </c>
      <c r="H100" s="2">
        <v>2.25</v>
      </c>
      <c r="I100" s="2" t="s">
        <v>387</v>
      </c>
      <c r="J100" s="2" t="s">
        <v>839</v>
      </c>
      <c r="K100" s="2" t="s">
        <v>840</v>
      </c>
      <c r="L100" s="2" t="s">
        <v>841</v>
      </c>
    </row>
    <row r="101" spans="1:12" ht="57">
      <c r="A101" s="2" t="s">
        <v>57</v>
      </c>
      <c r="B101" s="2" t="s">
        <v>843</v>
      </c>
      <c r="C101" s="2" t="s">
        <v>49</v>
      </c>
      <c r="D101" s="2" t="s">
        <v>842</v>
      </c>
      <c r="E101" s="2" t="s">
        <v>844</v>
      </c>
      <c r="F101" s="2" t="s">
        <v>250</v>
      </c>
      <c r="G101" s="2">
        <v>12</v>
      </c>
      <c r="H101" s="2">
        <v>3.2</v>
      </c>
      <c r="I101" s="2" t="s">
        <v>847</v>
      </c>
      <c r="J101" s="2" t="s">
        <v>852</v>
      </c>
      <c r="K101" s="2" t="s">
        <v>65</v>
      </c>
      <c r="L101" s="2" t="s">
        <v>66</v>
      </c>
    </row>
    <row r="102" spans="1:12" ht="42.75">
      <c r="A102" s="2" t="s">
        <v>57</v>
      </c>
      <c r="B102" s="2" t="s">
        <v>843</v>
      </c>
      <c r="C102" s="2" t="s">
        <v>49</v>
      </c>
      <c r="D102" s="2" t="s">
        <v>855</v>
      </c>
      <c r="E102" s="2" t="s">
        <v>856</v>
      </c>
      <c r="F102" s="2" t="s">
        <v>250</v>
      </c>
      <c r="G102" s="2">
        <v>12</v>
      </c>
      <c r="H102" s="2">
        <v>7.2</v>
      </c>
      <c r="I102" s="2"/>
      <c r="J102" s="2" t="s">
        <v>861</v>
      </c>
      <c r="K102" s="2" t="s">
        <v>862</v>
      </c>
      <c r="L102" s="2" t="s">
        <v>66</v>
      </c>
    </row>
    <row r="103" spans="1:12" ht="42.75">
      <c r="A103" s="2" t="s">
        <v>57</v>
      </c>
      <c r="B103" s="2" t="s">
        <v>843</v>
      </c>
      <c r="C103" s="2" t="s">
        <v>49</v>
      </c>
      <c r="D103" s="2" t="s">
        <v>863</v>
      </c>
      <c r="E103" s="2" t="s">
        <v>864</v>
      </c>
      <c r="F103" s="2" t="s">
        <v>250</v>
      </c>
      <c r="G103" s="2">
        <v>12</v>
      </c>
      <c r="H103" s="2">
        <v>7.2</v>
      </c>
      <c r="I103" s="2"/>
      <c r="J103" s="2" t="s">
        <v>861</v>
      </c>
      <c r="K103" s="2" t="s">
        <v>862</v>
      </c>
      <c r="L103" s="2" t="s">
        <v>66</v>
      </c>
    </row>
    <row r="104" spans="1:12" ht="42.75">
      <c r="A104" s="2" t="s">
        <v>57</v>
      </c>
      <c r="B104" s="2" t="s">
        <v>843</v>
      </c>
      <c r="C104" s="2" t="s">
        <v>49</v>
      </c>
      <c r="D104" s="2" t="s">
        <v>421</v>
      </c>
      <c r="E104" s="2" t="s">
        <v>867</v>
      </c>
      <c r="F104" s="2" t="s">
        <v>250</v>
      </c>
      <c r="G104" s="2">
        <v>12</v>
      </c>
      <c r="H104" s="2">
        <v>7.2</v>
      </c>
      <c r="I104" s="2" t="s">
        <v>871</v>
      </c>
      <c r="J104" s="2" t="s">
        <v>861</v>
      </c>
      <c r="K104" s="2" t="s">
        <v>862</v>
      </c>
      <c r="L104" s="2" t="s">
        <v>66</v>
      </c>
    </row>
    <row r="105" spans="1:12" ht="42.75">
      <c r="A105" s="2" t="s">
        <v>57</v>
      </c>
      <c r="B105" s="2" t="s">
        <v>843</v>
      </c>
      <c r="C105" s="2" t="s">
        <v>49</v>
      </c>
      <c r="D105" s="2" t="s">
        <v>872</v>
      </c>
      <c r="E105" s="2" t="s">
        <v>873</v>
      </c>
      <c r="F105" s="2" t="s">
        <v>250</v>
      </c>
      <c r="G105" s="2">
        <v>12</v>
      </c>
      <c r="H105" s="2">
        <v>7.2</v>
      </c>
      <c r="I105" s="2"/>
      <c r="J105" s="2" t="s">
        <v>861</v>
      </c>
      <c r="K105" s="2" t="s">
        <v>862</v>
      </c>
      <c r="L105" s="2" t="s">
        <v>66</v>
      </c>
    </row>
    <row r="106" spans="1:12" ht="42.75">
      <c r="A106" s="2" t="s">
        <v>187</v>
      </c>
      <c r="B106" s="2" t="s">
        <v>843</v>
      </c>
      <c r="C106" s="2" t="s">
        <v>49</v>
      </c>
      <c r="D106" s="2" t="s">
        <v>877</v>
      </c>
      <c r="E106" s="2" t="s">
        <v>878</v>
      </c>
      <c r="F106" s="2" t="s">
        <v>250</v>
      </c>
      <c r="G106" s="2">
        <v>12</v>
      </c>
      <c r="H106" s="2">
        <v>4.32</v>
      </c>
      <c r="I106" s="2"/>
      <c r="J106" s="2" t="s">
        <v>882</v>
      </c>
      <c r="K106" s="2" t="s">
        <v>883</v>
      </c>
      <c r="L106" s="2" t="s">
        <v>66</v>
      </c>
    </row>
    <row r="107" spans="1:12" ht="42.75">
      <c r="A107" s="2" t="s">
        <v>187</v>
      </c>
      <c r="B107" s="2" t="s">
        <v>843</v>
      </c>
      <c r="C107" s="2" t="s">
        <v>49</v>
      </c>
      <c r="D107" s="2" t="s">
        <v>884</v>
      </c>
      <c r="E107" s="2" t="s">
        <v>885</v>
      </c>
      <c r="F107" s="2" t="s">
        <v>250</v>
      </c>
      <c r="G107" s="2">
        <v>12</v>
      </c>
      <c r="H107" s="2">
        <v>4.32</v>
      </c>
      <c r="I107" s="2"/>
      <c r="J107" s="2" t="s">
        <v>882</v>
      </c>
      <c r="K107" s="2" t="s">
        <v>883</v>
      </c>
      <c r="L107" s="2" t="s">
        <v>66</v>
      </c>
    </row>
    <row r="108" spans="1:12" ht="42.75">
      <c r="A108" s="2" t="s">
        <v>57</v>
      </c>
      <c r="B108" s="2" t="s">
        <v>843</v>
      </c>
      <c r="C108" s="2" t="s">
        <v>49</v>
      </c>
      <c r="D108" s="2" t="s">
        <v>889</v>
      </c>
      <c r="E108" s="2" t="s">
        <v>890</v>
      </c>
      <c r="F108" s="2" t="s">
        <v>250</v>
      </c>
      <c r="G108" s="2">
        <v>12</v>
      </c>
      <c r="H108" s="2">
        <v>7.2</v>
      </c>
      <c r="I108" s="2"/>
      <c r="J108" s="2" t="s">
        <v>861</v>
      </c>
      <c r="K108" s="2" t="s">
        <v>862</v>
      </c>
      <c r="L108" s="2" t="s">
        <v>66</v>
      </c>
    </row>
    <row r="109" spans="1:12" ht="42.75">
      <c r="A109" s="2" t="s">
        <v>57</v>
      </c>
      <c r="B109" s="2" t="s">
        <v>843</v>
      </c>
      <c r="C109" s="2" t="s">
        <v>49</v>
      </c>
      <c r="D109" s="2" t="s">
        <v>894</v>
      </c>
      <c r="E109" s="2" t="s">
        <v>895</v>
      </c>
      <c r="F109" s="2" t="s">
        <v>250</v>
      </c>
      <c r="G109" s="2">
        <v>12</v>
      </c>
      <c r="H109" s="2">
        <v>7.2</v>
      </c>
      <c r="I109" s="2"/>
      <c r="J109" s="2" t="s">
        <v>861</v>
      </c>
      <c r="K109" s="2" t="s">
        <v>862</v>
      </c>
      <c r="L109" s="2" t="s">
        <v>66</v>
      </c>
    </row>
    <row r="110" spans="1:12" ht="57">
      <c r="A110" s="2" t="s">
        <v>57</v>
      </c>
      <c r="B110" s="2" t="s">
        <v>843</v>
      </c>
      <c r="C110" s="2" t="s">
        <v>245</v>
      </c>
      <c r="D110" s="2" t="s">
        <v>898</v>
      </c>
      <c r="E110" s="2" t="s">
        <v>899</v>
      </c>
      <c r="F110" s="2" t="s">
        <v>250</v>
      </c>
      <c r="G110" s="2">
        <v>8</v>
      </c>
      <c r="H110" s="2">
        <v>1.2000000000000002</v>
      </c>
      <c r="I110" s="2"/>
      <c r="J110" s="2" t="s">
        <v>64</v>
      </c>
      <c r="K110" s="2" t="s">
        <v>65</v>
      </c>
      <c r="L110" s="2" t="s">
        <v>66</v>
      </c>
    </row>
    <row r="111" spans="1:12" ht="57">
      <c r="A111" s="2" t="s">
        <v>57</v>
      </c>
      <c r="B111" s="2" t="s">
        <v>843</v>
      </c>
      <c r="C111" s="2" t="s">
        <v>245</v>
      </c>
      <c r="D111" s="2" t="s">
        <v>905</v>
      </c>
      <c r="E111" s="2" t="s">
        <v>906</v>
      </c>
      <c r="F111" s="2" t="s">
        <v>250</v>
      </c>
      <c r="G111" s="2">
        <v>6</v>
      </c>
      <c r="H111" s="2">
        <v>0.89999999999999991</v>
      </c>
      <c r="I111" s="2"/>
      <c r="J111" s="2" t="s">
        <v>64</v>
      </c>
      <c r="K111" s="2" t="s">
        <v>65</v>
      </c>
      <c r="L111" s="2" t="s">
        <v>66</v>
      </c>
    </row>
    <row r="112" spans="1:12" ht="57">
      <c r="A112" s="2" t="s">
        <v>145</v>
      </c>
      <c r="B112" s="2" t="s">
        <v>843</v>
      </c>
      <c r="C112" s="2" t="s">
        <v>245</v>
      </c>
      <c r="D112" s="2" t="s">
        <v>806</v>
      </c>
      <c r="E112" s="2" t="s">
        <v>910</v>
      </c>
      <c r="F112" s="2" t="s">
        <v>250</v>
      </c>
      <c r="G112" s="2">
        <v>12</v>
      </c>
      <c r="H112" s="2">
        <v>4.08</v>
      </c>
      <c r="I112" s="2" t="s">
        <v>914</v>
      </c>
      <c r="J112" s="2" t="s">
        <v>916</v>
      </c>
      <c r="K112" s="2" t="s">
        <v>277</v>
      </c>
      <c r="L112" s="2" t="s">
        <v>917</v>
      </c>
    </row>
    <row r="113" spans="1:12" ht="42.75">
      <c r="A113" s="2" t="s">
        <v>145</v>
      </c>
      <c r="B113" s="2" t="s">
        <v>843</v>
      </c>
      <c r="C113" s="2" t="s">
        <v>245</v>
      </c>
      <c r="D113" s="2" t="s">
        <v>918</v>
      </c>
      <c r="E113" s="2" t="s">
        <v>919</v>
      </c>
      <c r="F113" s="2" t="s">
        <v>250</v>
      </c>
      <c r="G113" s="2">
        <v>6</v>
      </c>
      <c r="H113" s="2">
        <v>1</v>
      </c>
      <c r="I113" s="2"/>
      <c r="J113" s="2" t="s">
        <v>922</v>
      </c>
      <c r="K113" s="2" t="s">
        <v>523</v>
      </c>
      <c r="L113" s="2" t="s">
        <v>66</v>
      </c>
    </row>
    <row r="114" spans="1:12" ht="42.75">
      <c r="A114" s="2" t="s">
        <v>57</v>
      </c>
      <c r="B114" s="2" t="s">
        <v>843</v>
      </c>
      <c r="C114" s="2" t="s">
        <v>245</v>
      </c>
      <c r="D114" s="2" t="s">
        <v>923</v>
      </c>
      <c r="E114" s="2" t="s">
        <v>924</v>
      </c>
      <c r="F114" s="2" t="s">
        <v>250</v>
      </c>
      <c r="G114" s="2">
        <v>12</v>
      </c>
      <c r="H114" s="2">
        <v>7.2</v>
      </c>
      <c r="I114" s="2"/>
      <c r="J114" s="2" t="s">
        <v>861</v>
      </c>
      <c r="K114" s="2" t="s">
        <v>862</v>
      </c>
      <c r="L114" s="2" t="s">
        <v>66</v>
      </c>
    </row>
    <row r="115" spans="1:12" ht="42.75">
      <c r="A115" s="2" t="s">
        <v>57</v>
      </c>
      <c r="B115" s="2" t="s">
        <v>843</v>
      </c>
      <c r="C115" s="2" t="s">
        <v>245</v>
      </c>
      <c r="D115" s="2" t="s">
        <v>927</v>
      </c>
      <c r="E115" s="2" t="s">
        <v>928</v>
      </c>
      <c r="F115" s="2" t="s">
        <v>250</v>
      </c>
      <c r="G115" s="2">
        <v>12</v>
      </c>
      <c r="H115" s="2">
        <v>7.2</v>
      </c>
      <c r="I115" s="2"/>
      <c r="J115" s="2" t="s">
        <v>861</v>
      </c>
      <c r="K115" s="2" t="s">
        <v>862</v>
      </c>
      <c r="L115" s="2" t="s">
        <v>66</v>
      </c>
    </row>
    <row r="116" spans="1:12" ht="57">
      <c r="A116" s="2" t="s">
        <v>57</v>
      </c>
      <c r="B116" s="2" t="s">
        <v>843</v>
      </c>
      <c r="C116" s="2" t="s">
        <v>245</v>
      </c>
      <c r="D116" s="2" t="s">
        <v>915</v>
      </c>
      <c r="E116" s="2" t="s">
        <v>931</v>
      </c>
      <c r="F116" s="2" t="s">
        <v>250</v>
      </c>
      <c r="G116" s="2">
        <v>6</v>
      </c>
      <c r="H116" s="2">
        <v>0.89999999999999991</v>
      </c>
      <c r="I116" s="2" t="s">
        <v>935</v>
      </c>
      <c r="J116" s="2" t="s">
        <v>936</v>
      </c>
      <c r="K116" s="2" t="s">
        <v>65</v>
      </c>
      <c r="L116" s="2" t="s">
        <v>66</v>
      </c>
    </row>
    <row r="117" spans="1:12" ht="42.75">
      <c r="A117" s="2" t="s">
        <v>145</v>
      </c>
      <c r="B117" s="2" t="s">
        <v>843</v>
      </c>
      <c r="C117" s="2" t="s">
        <v>245</v>
      </c>
      <c r="D117" s="2" t="s">
        <v>937</v>
      </c>
      <c r="E117" s="2" t="s">
        <v>938</v>
      </c>
      <c r="F117" s="2" t="s">
        <v>250</v>
      </c>
      <c r="G117" s="2">
        <v>8</v>
      </c>
      <c r="H117" s="2">
        <v>1.3333333333333333</v>
      </c>
      <c r="I117" s="2" t="s">
        <v>942</v>
      </c>
      <c r="J117" s="2" t="s">
        <v>944</v>
      </c>
      <c r="K117" s="2" t="s">
        <v>277</v>
      </c>
      <c r="L117" s="2" t="s">
        <v>66</v>
      </c>
    </row>
    <row r="118" spans="1:12" ht="42.75">
      <c r="A118" s="2" t="s">
        <v>145</v>
      </c>
      <c r="B118" s="2" t="s">
        <v>843</v>
      </c>
      <c r="C118" s="2" t="s">
        <v>245</v>
      </c>
      <c r="D118" s="2" t="s">
        <v>945</v>
      </c>
      <c r="E118" s="2" t="s">
        <v>946</v>
      </c>
      <c r="F118" s="2" t="s">
        <v>250</v>
      </c>
      <c r="G118" s="2">
        <v>10</v>
      </c>
      <c r="H118" s="2">
        <v>2.285714285714286</v>
      </c>
      <c r="I118" s="2" t="s">
        <v>951</v>
      </c>
      <c r="J118" s="2" t="s">
        <v>953</v>
      </c>
      <c r="K118" s="2" t="s">
        <v>277</v>
      </c>
      <c r="L118" s="2" t="s">
        <v>66</v>
      </c>
    </row>
    <row r="119" spans="1:12" ht="42.75">
      <c r="A119" s="2" t="s">
        <v>145</v>
      </c>
      <c r="B119" s="2" t="s">
        <v>843</v>
      </c>
      <c r="C119" s="2" t="s">
        <v>245</v>
      </c>
      <c r="D119" s="2" t="s">
        <v>954</v>
      </c>
      <c r="E119" s="2" t="s">
        <v>955</v>
      </c>
      <c r="F119" s="2" t="s">
        <v>250</v>
      </c>
      <c r="G119" s="2">
        <v>12</v>
      </c>
      <c r="H119" s="2">
        <v>2.7428571428571429</v>
      </c>
      <c r="I119" s="2" t="s">
        <v>959</v>
      </c>
      <c r="J119" s="2" t="s">
        <v>961</v>
      </c>
      <c r="K119" s="2" t="s">
        <v>277</v>
      </c>
      <c r="L119" s="2" t="s">
        <v>66</v>
      </c>
    </row>
    <row r="120" spans="1:12" ht="42.75">
      <c r="A120" s="2" t="s">
        <v>145</v>
      </c>
      <c r="B120" s="2" t="s">
        <v>843</v>
      </c>
      <c r="C120" s="2" t="s">
        <v>245</v>
      </c>
      <c r="D120" s="2" t="s">
        <v>816</v>
      </c>
      <c r="E120" s="2" t="s">
        <v>962</v>
      </c>
      <c r="F120" s="2" t="s">
        <v>250</v>
      </c>
      <c r="G120" s="2">
        <v>12</v>
      </c>
      <c r="H120" s="2">
        <v>2.7428571428571429</v>
      </c>
      <c r="I120" s="2" t="s">
        <v>966</v>
      </c>
      <c r="J120" s="2" t="s">
        <v>967</v>
      </c>
      <c r="K120" s="2" t="s">
        <v>277</v>
      </c>
      <c r="L120" s="2" t="s">
        <v>66</v>
      </c>
    </row>
    <row r="121" spans="1:12" ht="42.75">
      <c r="A121" s="2" t="s">
        <v>145</v>
      </c>
      <c r="B121" s="2" t="s">
        <v>843</v>
      </c>
      <c r="C121" s="2" t="s">
        <v>245</v>
      </c>
      <c r="D121" s="2" t="s">
        <v>968</v>
      </c>
      <c r="E121" s="2" t="s">
        <v>969</v>
      </c>
      <c r="F121" s="2" t="s">
        <v>250</v>
      </c>
      <c r="G121" s="2">
        <v>10</v>
      </c>
      <c r="H121" s="2">
        <v>2.285714285714286</v>
      </c>
      <c r="I121" s="2" t="s">
        <v>973</v>
      </c>
      <c r="J121" s="2" t="s">
        <v>974</v>
      </c>
      <c r="K121" s="2" t="s">
        <v>277</v>
      </c>
      <c r="L121" s="2" t="s">
        <v>66</v>
      </c>
    </row>
    <row r="122" spans="1:12" ht="42.75">
      <c r="A122" s="2" t="s">
        <v>145</v>
      </c>
      <c r="B122" s="2" t="s">
        <v>843</v>
      </c>
      <c r="C122" s="2" t="s">
        <v>514</v>
      </c>
      <c r="D122" s="2" t="s">
        <v>975</v>
      </c>
      <c r="E122" s="2" t="s">
        <v>976</v>
      </c>
      <c r="F122" s="2" t="s">
        <v>250</v>
      </c>
      <c r="G122" s="2">
        <v>12</v>
      </c>
      <c r="H122" s="2">
        <v>7.2</v>
      </c>
      <c r="I122" s="2"/>
      <c r="J122" s="2" t="s">
        <v>861</v>
      </c>
      <c r="K122" s="2" t="s">
        <v>981</v>
      </c>
      <c r="L122" s="2" t="s">
        <v>66</v>
      </c>
    </row>
    <row r="123" spans="1:12" ht="42.75">
      <c r="A123" s="2" t="s">
        <v>145</v>
      </c>
      <c r="B123" s="2" t="s">
        <v>843</v>
      </c>
      <c r="C123" s="2" t="s">
        <v>514</v>
      </c>
      <c r="D123" s="2" t="s">
        <v>984</v>
      </c>
      <c r="E123" s="2" t="s">
        <v>985</v>
      </c>
      <c r="F123" s="2" t="s">
        <v>250</v>
      </c>
      <c r="G123" s="2">
        <v>12</v>
      </c>
      <c r="H123" s="2">
        <v>7.2</v>
      </c>
      <c r="I123" s="2"/>
      <c r="J123" s="2" t="s">
        <v>861</v>
      </c>
      <c r="K123" s="2" t="s">
        <v>981</v>
      </c>
      <c r="L123" s="2" t="s">
        <v>66</v>
      </c>
    </row>
    <row r="124" spans="1:12" ht="28.5">
      <c r="A124" s="2" t="s">
        <v>187</v>
      </c>
      <c r="B124" s="2" t="s">
        <v>843</v>
      </c>
      <c r="C124" s="2" t="s">
        <v>514</v>
      </c>
      <c r="D124" s="2" t="s">
        <v>990</v>
      </c>
      <c r="E124" s="2" t="s">
        <v>991</v>
      </c>
      <c r="F124" s="2" t="s">
        <v>250</v>
      </c>
      <c r="G124" s="2">
        <v>10</v>
      </c>
      <c r="H124" s="2">
        <v>3.2</v>
      </c>
      <c r="I124" s="2" t="s">
        <v>995</v>
      </c>
      <c r="J124" s="2" t="s">
        <v>997</v>
      </c>
      <c r="K124" s="2" t="s">
        <v>998</v>
      </c>
      <c r="L124" s="2" t="s">
        <v>999</v>
      </c>
    </row>
    <row r="125" spans="1:12" ht="42.75">
      <c r="A125" s="2" t="s">
        <v>187</v>
      </c>
      <c r="B125" s="2" t="s">
        <v>843</v>
      </c>
      <c r="C125" s="2" t="s">
        <v>514</v>
      </c>
      <c r="D125" s="2" t="s">
        <v>996</v>
      </c>
      <c r="E125" s="2" t="s">
        <v>1000</v>
      </c>
      <c r="F125" s="2" t="s">
        <v>250</v>
      </c>
      <c r="G125" s="2">
        <v>12</v>
      </c>
      <c r="H125" s="2">
        <v>6.1714285714285708</v>
      </c>
      <c r="I125" s="2" t="s">
        <v>1004</v>
      </c>
      <c r="J125" s="2" t="s">
        <v>1006</v>
      </c>
      <c r="K125" s="2" t="s">
        <v>1007</v>
      </c>
      <c r="L125" s="2" t="s">
        <v>1008</v>
      </c>
    </row>
    <row r="126" spans="1:12" ht="28.5">
      <c r="A126" s="2" t="s">
        <v>187</v>
      </c>
      <c r="B126" s="2" t="s">
        <v>843</v>
      </c>
      <c r="C126" s="2" t="s">
        <v>514</v>
      </c>
      <c r="D126" s="2" t="s">
        <v>1005</v>
      </c>
      <c r="E126" s="2" t="s">
        <v>1009</v>
      </c>
      <c r="F126" s="2" t="s">
        <v>250</v>
      </c>
      <c r="G126" s="2">
        <v>12</v>
      </c>
      <c r="H126" s="2">
        <v>5.0999999999999996</v>
      </c>
      <c r="I126" s="2" t="s">
        <v>1013</v>
      </c>
      <c r="J126" s="2" t="s">
        <v>1015</v>
      </c>
      <c r="K126" s="2" t="s">
        <v>1016</v>
      </c>
      <c r="L126" s="2" t="s">
        <v>1017</v>
      </c>
    </row>
    <row r="127" spans="1:12" ht="42.75">
      <c r="A127" s="2" t="s">
        <v>145</v>
      </c>
      <c r="B127" s="2" t="s">
        <v>843</v>
      </c>
      <c r="C127" s="2" t="s">
        <v>514</v>
      </c>
      <c r="D127" s="2" t="s">
        <v>1018</v>
      </c>
      <c r="E127" s="2" t="s">
        <v>1019</v>
      </c>
      <c r="F127" s="2" t="s">
        <v>250</v>
      </c>
      <c r="G127" s="2">
        <v>24</v>
      </c>
      <c r="H127" s="2">
        <v>11.2</v>
      </c>
      <c r="I127" s="2" t="s">
        <v>1023</v>
      </c>
      <c r="J127" s="2" t="s">
        <v>1026</v>
      </c>
      <c r="K127" s="2" t="s">
        <v>1027</v>
      </c>
      <c r="L127" s="2" t="s">
        <v>1028</v>
      </c>
    </row>
    <row r="128" spans="1:12" ht="57">
      <c r="A128" s="2" t="s">
        <v>187</v>
      </c>
      <c r="B128" s="2" t="s">
        <v>843</v>
      </c>
      <c r="C128" s="2" t="s">
        <v>547</v>
      </c>
      <c r="D128" s="2" t="s">
        <v>1030</v>
      </c>
      <c r="E128" s="2" t="s">
        <v>1031</v>
      </c>
      <c r="F128" s="2" t="s">
        <v>250</v>
      </c>
      <c r="G128" s="2">
        <v>10</v>
      </c>
      <c r="H128" s="2">
        <v>1.5</v>
      </c>
      <c r="I128" s="2" t="s">
        <v>1035</v>
      </c>
      <c r="J128" s="2" t="s">
        <v>1039</v>
      </c>
      <c r="K128" s="2" t="s">
        <v>1040</v>
      </c>
      <c r="L128" s="2" t="s">
        <v>66</v>
      </c>
    </row>
    <row r="129" spans="1:12" ht="42.75">
      <c r="A129" s="2" t="s">
        <v>187</v>
      </c>
      <c r="B129" s="2" t="s">
        <v>843</v>
      </c>
      <c r="C129" s="2" t="s">
        <v>547</v>
      </c>
      <c r="D129" s="2" t="s">
        <v>1043</v>
      </c>
      <c r="E129" s="2" t="s">
        <v>1044</v>
      </c>
      <c r="F129" s="2" t="s">
        <v>250</v>
      </c>
      <c r="G129" s="2">
        <v>12</v>
      </c>
      <c r="H129" s="2">
        <v>1.7999999999999998</v>
      </c>
      <c r="I129" s="2" t="s">
        <v>1047</v>
      </c>
      <c r="J129" s="2" t="s">
        <v>1049</v>
      </c>
      <c r="K129" s="2" t="s">
        <v>1040</v>
      </c>
      <c r="L129" s="2" t="s">
        <v>66</v>
      </c>
    </row>
    <row r="130" spans="1:12" ht="42.75">
      <c r="A130" s="2" t="s">
        <v>187</v>
      </c>
      <c r="B130" s="2" t="s">
        <v>843</v>
      </c>
      <c r="C130" s="2" t="s">
        <v>547</v>
      </c>
      <c r="D130" s="2" t="s">
        <v>1050</v>
      </c>
      <c r="E130" s="2" t="s">
        <v>1051</v>
      </c>
      <c r="F130" s="2" t="s">
        <v>250</v>
      </c>
      <c r="G130" s="2">
        <v>12</v>
      </c>
      <c r="H130" s="2">
        <v>1.7999999999999998</v>
      </c>
      <c r="I130" s="2" t="s">
        <v>1047</v>
      </c>
      <c r="J130" s="2" t="s">
        <v>1049</v>
      </c>
      <c r="K130" s="2" t="s">
        <v>1040</v>
      </c>
      <c r="L130" s="2" t="s">
        <v>66</v>
      </c>
    </row>
    <row r="131" spans="1:12" ht="42.75">
      <c r="A131" s="2" t="s">
        <v>187</v>
      </c>
      <c r="B131" s="2" t="s">
        <v>843</v>
      </c>
      <c r="C131" s="2" t="s">
        <v>547</v>
      </c>
      <c r="D131" s="2" t="s">
        <v>1056</v>
      </c>
      <c r="E131" s="2" t="s">
        <v>1057</v>
      </c>
      <c r="F131" s="2" t="s">
        <v>250</v>
      </c>
      <c r="G131" s="2">
        <v>12</v>
      </c>
      <c r="H131" s="2">
        <v>1.7999999999999998</v>
      </c>
      <c r="I131" s="2" t="s">
        <v>1061</v>
      </c>
      <c r="J131" s="2" t="s">
        <v>1063</v>
      </c>
      <c r="K131" s="2" t="s">
        <v>1040</v>
      </c>
      <c r="L131" s="2" t="s">
        <v>66</v>
      </c>
    </row>
    <row r="132" spans="1:12" ht="42.75">
      <c r="A132" s="2" t="s">
        <v>187</v>
      </c>
      <c r="B132" s="2" t="s">
        <v>843</v>
      </c>
      <c r="C132" s="2" t="s">
        <v>547</v>
      </c>
      <c r="D132" s="2" t="s">
        <v>1064</v>
      </c>
      <c r="E132" s="2" t="s">
        <v>1065</v>
      </c>
      <c r="F132" s="2" t="s">
        <v>250</v>
      </c>
      <c r="G132" s="2">
        <v>12</v>
      </c>
      <c r="H132" s="2">
        <v>1.7999999999999998</v>
      </c>
      <c r="I132" s="2" t="s">
        <v>1056</v>
      </c>
      <c r="J132" s="2" t="s">
        <v>1056</v>
      </c>
      <c r="K132" s="2" t="s">
        <v>1040</v>
      </c>
      <c r="L132" s="2" t="s">
        <v>66</v>
      </c>
    </row>
    <row r="133" spans="1:12" ht="42.75">
      <c r="A133" s="2" t="s">
        <v>187</v>
      </c>
      <c r="B133" s="2" t="s">
        <v>843</v>
      </c>
      <c r="C133" s="2" t="s">
        <v>547</v>
      </c>
      <c r="D133" s="2" t="s">
        <v>1069</v>
      </c>
      <c r="E133" s="2" t="s">
        <v>1070</v>
      </c>
      <c r="F133" s="2" t="s">
        <v>250</v>
      </c>
      <c r="G133" s="2">
        <v>12</v>
      </c>
      <c r="H133" s="2">
        <v>1.7999999999999998</v>
      </c>
      <c r="I133" s="2" t="s">
        <v>1073</v>
      </c>
      <c r="J133" s="2" t="s">
        <v>1075</v>
      </c>
      <c r="K133" s="2" t="s">
        <v>1040</v>
      </c>
      <c r="L133" s="2" t="s">
        <v>66</v>
      </c>
    </row>
    <row r="134" spans="1:12" ht="42.75">
      <c r="A134" s="2" t="s">
        <v>187</v>
      </c>
      <c r="B134" s="2" t="s">
        <v>843</v>
      </c>
      <c r="C134" s="2" t="s">
        <v>547</v>
      </c>
      <c r="D134" s="2" t="s">
        <v>1076</v>
      </c>
      <c r="E134" s="2" t="s">
        <v>1077</v>
      </c>
      <c r="F134" s="2" t="s">
        <v>250</v>
      </c>
      <c r="G134" s="2">
        <v>12</v>
      </c>
      <c r="H134" s="2">
        <v>1.7999999999999998</v>
      </c>
      <c r="I134" s="2" t="s">
        <v>1080</v>
      </c>
      <c r="J134" s="2" t="s">
        <v>1082</v>
      </c>
      <c r="K134" s="2" t="s">
        <v>1040</v>
      </c>
      <c r="L134" s="2" t="s">
        <v>66</v>
      </c>
    </row>
    <row r="135" spans="1:12" ht="42.75">
      <c r="A135" s="2" t="s">
        <v>187</v>
      </c>
      <c r="B135" s="2" t="s">
        <v>843</v>
      </c>
      <c r="C135" s="2" t="s">
        <v>547</v>
      </c>
      <c r="D135" s="2" t="s">
        <v>1083</v>
      </c>
      <c r="E135" s="2" t="s">
        <v>1084</v>
      </c>
      <c r="F135" s="2" t="s">
        <v>250</v>
      </c>
      <c r="G135" s="2">
        <v>10</v>
      </c>
      <c r="H135" s="2">
        <v>1.9375</v>
      </c>
      <c r="I135" s="2" t="s">
        <v>1087</v>
      </c>
      <c r="J135" s="2" t="s">
        <v>1089</v>
      </c>
      <c r="K135" s="2" t="s">
        <v>1040</v>
      </c>
      <c r="L135" s="2" t="s">
        <v>66</v>
      </c>
    </row>
    <row r="136" spans="1:12" ht="42.75">
      <c r="A136" s="2" t="s">
        <v>187</v>
      </c>
      <c r="B136" s="2" t="s">
        <v>843</v>
      </c>
      <c r="C136" s="2" t="s">
        <v>547</v>
      </c>
      <c r="D136" s="2" t="s">
        <v>1090</v>
      </c>
      <c r="E136" s="2" t="s">
        <v>1091</v>
      </c>
      <c r="F136" s="2" t="s">
        <v>250</v>
      </c>
      <c r="G136" s="2">
        <v>10</v>
      </c>
      <c r="H136" s="2">
        <v>1.5</v>
      </c>
      <c r="I136" s="2" t="s">
        <v>1094</v>
      </c>
      <c r="J136" s="2" t="s">
        <v>1095</v>
      </c>
      <c r="K136" s="2" t="s">
        <v>1040</v>
      </c>
      <c r="L136" s="2" t="s">
        <v>66</v>
      </c>
    </row>
    <row r="137" spans="1:12" ht="42.75">
      <c r="A137" s="2" t="s">
        <v>187</v>
      </c>
      <c r="B137" s="2" t="s">
        <v>843</v>
      </c>
      <c r="C137" s="2" t="s">
        <v>547</v>
      </c>
      <c r="D137" s="2" t="s">
        <v>1096</v>
      </c>
      <c r="E137" s="2" t="s">
        <v>1097</v>
      </c>
      <c r="F137" s="2" t="s">
        <v>250</v>
      </c>
      <c r="G137" s="2">
        <v>12</v>
      </c>
      <c r="H137" s="2">
        <v>1.7999999999999998</v>
      </c>
      <c r="I137" s="2" t="s">
        <v>1101</v>
      </c>
      <c r="J137" s="2" t="s">
        <v>1102</v>
      </c>
      <c r="K137" s="2" t="s">
        <v>1040</v>
      </c>
      <c r="L137" s="2" t="s">
        <v>66</v>
      </c>
    </row>
    <row r="138" spans="1:12" ht="42.75">
      <c r="A138" s="2" t="s">
        <v>187</v>
      </c>
      <c r="B138" s="2" t="s">
        <v>843</v>
      </c>
      <c r="C138" s="2" t="s">
        <v>547</v>
      </c>
      <c r="D138" s="2" t="s">
        <v>1103</v>
      </c>
      <c r="E138" s="2" t="s">
        <v>1104</v>
      </c>
      <c r="F138" s="2" t="s">
        <v>250</v>
      </c>
      <c r="G138" s="2">
        <v>12</v>
      </c>
      <c r="H138" s="2">
        <v>1.7999999999999998</v>
      </c>
      <c r="I138" s="2" t="s">
        <v>1108</v>
      </c>
      <c r="J138" s="2" t="s">
        <v>1110</v>
      </c>
      <c r="K138" s="2" t="s">
        <v>1040</v>
      </c>
      <c r="L138" s="2" t="s">
        <v>66</v>
      </c>
    </row>
    <row r="139" spans="1:12" ht="42.75">
      <c r="A139" s="2" t="s">
        <v>187</v>
      </c>
      <c r="B139" s="2" t="s">
        <v>843</v>
      </c>
      <c r="C139" s="2" t="s">
        <v>547</v>
      </c>
      <c r="D139" s="2" t="s">
        <v>1111</v>
      </c>
      <c r="E139" s="2" t="s">
        <v>1112</v>
      </c>
      <c r="F139" s="2" t="s">
        <v>250</v>
      </c>
      <c r="G139" s="2">
        <v>12</v>
      </c>
      <c r="H139" s="2">
        <v>1.7999999999999998</v>
      </c>
      <c r="I139" s="2" t="s">
        <v>1115</v>
      </c>
      <c r="J139" s="2" t="s">
        <v>1117</v>
      </c>
      <c r="K139" s="2" t="s">
        <v>1040</v>
      </c>
      <c r="L139" s="2" t="s">
        <v>66</v>
      </c>
    </row>
    <row r="140" spans="1:12" ht="42.75">
      <c r="A140" s="2" t="s">
        <v>187</v>
      </c>
      <c r="B140" s="2" t="s">
        <v>843</v>
      </c>
      <c r="C140" s="2" t="s">
        <v>547</v>
      </c>
      <c r="D140" s="2" t="s">
        <v>1118</v>
      </c>
      <c r="E140" s="2" t="s">
        <v>1119</v>
      </c>
      <c r="F140" s="2" t="s">
        <v>250</v>
      </c>
      <c r="G140" s="2">
        <v>12</v>
      </c>
      <c r="H140" s="2">
        <v>1.7999999999999998</v>
      </c>
      <c r="I140" s="2" t="s">
        <v>1122</v>
      </c>
      <c r="J140" s="2" t="s">
        <v>1124</v>
      </c>
      <c r="K140" s="2" t="s">
        <v>1040</v>
      </c>
      <c r="L140" s="2" t="s">
        <v>66</v>
      </c>
    </row>
    <row r="141" spans="1:12" ht="42.75">
      <c r="A141" s="2" t="s">
        <v>187</v>
      </c>
      <c r="B141" s="2" t="s">
        <v>843</v>
      </c>
      <c r="C141" s="2" t="s">
        <v>547</v>
      </c>
      <c r="D141" s="2" t="s">
        <v>1125</v>
      </c>
      <c r="E141" s="2" t="s">
        <v>1126</v>
      </c>
      <c r="F141" s="2" t="s">
        <v>250</v>
      </c>
      <c r="G141" s="2">
        <v>8</v>
      </c>
      <c r="H141" s="2">
        <v>1.2000000000000002</v>
      </c>
      <c r="I141" s="2" t="s">
        <v>1129</v>
      </c>
      <c r="J141" s="2" t="s">
        <v>1131</v>
      </c>
      <c r="K141" s="2" t="s">
        <v>1040</v>
      </c>
      <c r="L141" s="2" t="s">
        <v>66</v>
      </c>
    </row>
    <row r="142" spans="1:12" ht="42.75">
      <c r="A142" s="2" t="s">
        <v>187</v>
      </c>
      <c r="B142" s="2" t="s">
        <v>843</v>
      </c>
      <c r="C142" s="2" t="s">
        <v>547</v>
      </c>
      <c r="D142" s="2" t="s">
        <v>626</v>
      </c>
      <c r="E142" s="2" t="s">
        <v>1132</v>
      </c>
      <c r="F142" s="2" t="s">
        <v>250</v>
      </c>
      <c r="G142" s="2">
        <v>8</v>
      </c>
      <c r="H142" s="2">
        <v>1.2000000000000002</v>
      </c>
      <c r="I142" s="2" t="s">
        <v>1135</v>
      </c>
      <c r="J142" s="2" t="s">
        <v>1137</v>
      </c>
      <c r="K142" s="2" t="s">
        <v>1040</v>
      </c>
      <c r="L142" s="2" t="s">
        <v>66</v>
      </c>
    </row>
    <row r="143" spans="1:12" ht="42.75">
      <c r="A143" s="2" t="s">
        <v>187</v>
      </c>
      <c r="B143" s="2" t="s">
        <v>843</v>
      </c>
      <c r="C143" s="2" t="s">
        <v>547</v>
      </c>
      <c r="D143" s="2" t="s">
        <v>1138</v>
      </c>
      <c r="E143" s="2" t="s">
        <v>1139</v>
      </c>
      <c r="F143" s="2" t="s">
        <v>250</v>
      </c>
      <c r="G143" s="2">
        <v>8</v>
      </c>
      <c r="H143" s="2">
        <v>1.2000000000000002</v>
      </c>
      <c r="I143" s="2" t="s">
        <v>626</v>
      </c>
      <c r="J143" s="2" t="s">
        <v>626</v>
      </c>
      <c r="K143" s="2" t="s">
        <v>1040</v>
      </c>
      <c r="L143" s="2" t="s">
        <v>66</v>
      </c>
    </row>
    <row r="144" spans="1:12" ht="42.75">
      <c r="A144" s="2" t="s">
        <v>187</v>
      </c>
      <c r="B144" s="2" t="s">
        <v>843</v>
      </c>
      <c r="C144" s="2" t="s">
        <v>547</v>
      </c>
      <c r="D144" s="2" t="s">
        <v>1144</v>
      </c>
      <c r="E144" s="2" t="s">
        <v>1145</v>
      </c>
      <c r="F144" s="2" t="s">
        <v>250</v>
      </c>
      <c r="G144" s="2">
        <v>8</v>
      </c>
      <c r="H144" s="2">
        <v>1.2000000000000002</v>
      </c>
      <c r="I144" s="2" t="s">
        <v>1138</v>
      </c>
      <c r="J144" s="2" t="s">
        <v>1138</v>
      </c>
      <c r="K144" s="2" t="s">
        <v>1040</v>
      </c>
      <c r="L144" s="2" t="s">
        <v>66</v>
      </c>
    </row>
    <row r="145" spans="1:12" ht="42.75">
      <c r="A145" s="2" t="s">
        <v>187</v>
      </c>
      <c r="B145" s="2" t="s">
        <v>843</v>
      </c>
      <c r="C145" s="2" t="s">
        <v>547</v>
      </c>
      <c r="D145" s="2" t="s">
        <v>1149</v>
      </c>
      <c r="E145" s="2" t="s">
        <v>1150</v>
      </c>
      <c r="F145" s="2" t="s">
        <v>250</v>
      </c>
      <c r="G145" s="2">
        <v>10</v>
      </c>
      <c r="H145" s="2">
        <v>1.5</v>
      </c>
      <c r="I145" s="2" t="s">
        <v>1154</v>
      </c>
      <c r="J145" s="2" t="s">
        <v>1155</v>
      </c>
      <c r="K145" s="2" t="s">
        <v>1040</v>
      </c>
      <c r="L145" s="2" t="s">
        <v>66</v>
      </c>
    </row>
    <row r="146" spans="1:12" ht="42.75">
      <c r="A146" s="2" t="s">
        <v>187</v>
      </c>
      <c r="B146" s="2" t="s">
        <v>843</v>
      </c>
      <c r="C146" s="2" t="s">
        <v>547</v>
      </c>
      <c r="D146" s="2" t="s">
        <v>1156</v>
      </c>
      <c r="E146" s="2" t="s">
        <v>1157</v>
      </c>
      <c r="F146" s="2" t="s">
        <v>250</v>
      </c>
      <c r="G146" s="2">
        <v>12</v>
      </c>
      <c r="H146" s="2">
        <v>1.7999999999999998</v>
      </c>
      <c r="I146" s="2" t="s">
        <v>1160</v>
      </c>
      <c r="J146" s="2" t="s">
        <v>1161</v>
      </c>
      <c r="K146" s="2" t="s">
        <v>1040</v>
      </c>
      <c r="L146" s="2" t="s">
        <v>66</v>
      </c>
    </row>
    <row r="147" spans="1:12" ht="42.75">
      <c r="A147" s="2" t="s">
        <v>187</v>
      </c>
      <c r="B147" s="2" t="s">
        <v>843</v>
      </c>
      <c r="C147" s="2" t="s">
        <v>547</v>
      </c>
      <c r="D147" s="2" t="s">
        <v>1162</v>
      </c>
      <c r="E147" s="2" t="s">
        <v>1163</v>
      </c>
      <c r="F147" s="2" t="s">
        <v>250</v>
      </c>
      <c r="G147" s="2">
        <v>12</v>
      </c>
      <c r="H147" s="2">
        <v>4.32</v>
      </c>
      <c r="I147" s="2"/>
      <c r="J147" s="2" t="s">
        <v>1167</v>
      </c>
      <c r="K147" s="2" t="s">
        <v>883</v>
      </c>
      <c r="L147" s="2" t="s">
        <v>66</v>
      </c>
    </row>
    <row r="148" spans="1:12" ht="42.75">
      <c r="A148" s="2" t="s">
        <v>187</v>
      </c>
      <c r="B148" s="2" t="s">
        <v>843</v>
      </c>
      <c r="C148" s="2" t="s">
        <v>547</v>
      </c>
      <c r="D148" s="2" t="s">
        <v>1168</v>
      </c>
      <c r="E148" s="2" t="s">
        <v>1169</v>
      </c>
      <c r="F148" s="2" t="s">
        <v>250</v>
      </c>
      <c r="G148" s="2">
        <v>12</v>
      </c>
      <c r="H148" s="2">
        <v>4.32</v>
      </c>
      <c r="I148" s="2"/>
      <c r="J148" s="2" t="s">
        <v>1167</v>
      </c>
      <c r="K148" s="2" t="s">
        <v>883</v>
      </c>
      <c r="L148" s="2" t="s">
        <v>66</v>
      </c>
    </row>
    <row r="149" spans="1:12" ht="42.75">
      <c r="A149" s="2" t="s">
        <v>57</v>
      </c>
      <c r="B149" s="2" t="s">
        <v>843</v>
      </c>
      <c r="C149" s="2" t="s">
        <v>547</v>
      </c>
      <c r="D149" s="2" t="s">
        <v>755</v>
      </c>
      <c r="E149" s="2" t="s">
        <v>1172</v>
      </c>
      <c r="F149" s="2" t="s">
        <v>250</v>
      </c>
      <c r="G149" s="2">
        <v>12</v>
      </c>
      <c r="H149" s="2">
        <v>7.2</v>
      </c>
      <c r="I149" s="2" t="s">
        <v>1176</v>
      </c>
      <c r="J149" s="2" t="s">
        <v>861</v>
      </c>
      <c r="K149" s="2" t="s">
        <v>862</v>
      </c>
      <c r="L149" s="2" t="s">
        <v>66</v>
      </c>
    </row>
    <row r="150" spans="1:12" ht="42.75">
      <c r="A150" s="2" t="s">
        <v>57</v>
      </c>
      <c r="B150" s="2" t="s">
        <v>843</v>
      </c>
      <c r="C150" s="2" t="s">
        <v>547</v>
      </c>
      <c r="D150" s="2" t="s">
        <v>1177</v>
      </c>
      <c r="E150" s="2" t="s">
        <v>1178</v>
      </c>
      <c r="F150" s="2" t="s">
        <v>250</v>
      </c>
      <c r="G150" s="2">
        <v>12</v>
      </c>
      <c r="H150" s="2">
        <v>7.2</v>
      </c>
      <c r="I150" s="2"/>
      <c r="J150" s="2" t="s">
        <v>861</v>
      </c>
      <c r="K150" s="2" t="s">
        <v>862</v>
      </c>
      <c r="L150" s="2" t="s">
        <v>66</v>
      </c>
    </row>
    <row r="151" spans="1:12" ht="57">
      <c r="A151" s="2" t="s">
        <v>187</v>
      </c>
      <c r="B151" s="2" t="s">
        <v>843</v>
      </c>
      <c r="C151" s="2" t="s">
        <v>547</v>
      </c>
      <c r="D151" s="2" t="s">
        <v>1182</v>
      </c>
      <c r="E151" s="2" t="s">
        <v>1183</v>
      </c>
      <c r="F151" s="2" t="s">
        <v>250</v>
      </c>
      <c r="G151" s="2">
        <v>12</v>
      </c>
      <c r="H151" s="2">
        <v>1.7999999999999998</v>
      </c>
      <c r="I151" s="2" t="s">
        <v>1187</v>
      </c>
      <c r="J151" s="2" t="s">
        <v>1189</v>
      </c>
      <c r="K151" s="2" t="s">
        <v>1040</v>
      </c>
      <c r="L151" s="2" t="s">
        <v>66</v>
      </c>
    </row>
    <row r="152" spans="1:12" ht="42.75">
      <c r="A152" s="2" t="s">
        <v>187</v>
      </c>
      <c r="B152" s="2" t="s">
        <v>843</v>
      </c>
      <c r="C152" s="2" t="s">
        <v>547</v>
      </c>
      <c r="D152" s="2" t="s">
        <v>1190</v>
      </c>
      <c r="E152" s="2" t="s">
        <v>1191</v>
      </c>
      <c r="F152" s="2" t="s">
        <v>250</v>
      </c>
      <c r="G152" s="2">
        <v>12</v>
      </c>
      <c r="H152" s="2">
        <v>1.7999999999999998</v>
      </c>
      <c r="I152" s="2" t="s">
        <v>1195</v>
      </c>
      <c r="J152" s="2" t="s">
        <v>1197</v>
      </c>
      <c r="K152" s="2" t="s">
        <v>1040</v>
      </c>
      <c r="L152" s="2" t="s">
        <v>66</v>
      </c>
    </row>
    <row r="153" spans="1:12" ht="42.75">
      <c r="A153" s="2" t="s">
        <v>187</v>
      </c>
      <c r="B153" s="2" t="s">
        <v>843</v>
      </c>
      <c r="C153" s="2" t="s">
        <v>547</v>
      </c>
      <c r="D153" s="2" t="s">
        <v>1198</v>
      </c>
      <c r="E153" s="2" t="s">
        <v>1199</v>
      </c>
      <c r="F153" s="2" t="s">
        <v>250</v>
      </c>
      <c r="G153" s="2">
        <v>12</v>
      </c>
      <c r="H153" s="2">
        <v>1.7999999999999998</v>
      </c>
      <c r="I153" s="2" t="s">
        <v>1202</v>
      </c>
      <c r="J153" s="2" t="s">
        <v>1203</v>
      </c>
      <c r="K153" s="2" t="s">
        <v>1040</v>
      </c>
      <c r="L153" s="2" t="s">
        <v>66</v>
      </c>
    </row>
    <row r="154" spans="1:12" ht="42.75">
      <c r="A154" s="2" t="s">
        <v>187</v>
      </c>
      <c r="B154" s="2" t="s">
        <v>843</v>
      </c>
      <c r="C154" s="2" t="s">
        <v>547</v>
      </c>
      <c r="D154" s="2" t="s">
        <v>1204</v>
      </c>
      <c r="E154" s="2" t="s">
        <v>1205</v>
      </c>
      <c r="F154" s="2" t="s">
        <v>250</v>
      </c>
      <c r="G154" s="2">
        <v>12</v>
      </c>
      <c r="H154" s="2">
        <v>1.7999999999999998</v>
      </c>
      <c r="I154" s="2" t="s">
        <v>1208</v>
      </c>
      <c r="J154" s="2" t="s">
        <v>1210</v>
      </c>
      <c r="K154" s="2" t="s">
        <v>1040</v>
      </c>
      <c r="L154" s="2" t="s">
        <v>66</v>
      </c>
    </row>
    <row r="155" spans="1:12" ht="57">
      <c r="A155" s="2" t="s">
        <v>187</v>
      </c>
      <c r="B155" s="2" t="s">
        <v>843</v>
      </c>
      <c r="C155" s="2" t="s">
        <v>547</v>
      </c>
      <c r="D155" s="2" t="s">
        <v>591</v>
      </c>
      <c r="E155" s="2" t="s">
        <v>1211</v>
      </c>
      <c r="F155" s="2" t="s">
        <v>250</v>
      </c>
      <c r="G155" s="2">
        <v>12</v>
      </c>
      <c r="H155" s="2">
        <v>1.7999999999999998</v>
      </c>
      <c r="I155" s="2" t="s">
        <v>1215</v>
      </c>
      <c r="J155" s="2" t="s">
        <v>1217</v>
      </c>
      <c r="K155" s="2" t="s">
        <v>1040</v>
      </c>
      <c r="L155" s="2" t="s">
        <v>66</v>
      </c>
    </row>
    <row r="156" spans="1:12" ht="42.75">
      <c r="A156" s="2" t="s">
        <v>187</v>
      </c>
      <c r="B156" s="2" t="s">
        <v>843</v>
      </c>
      <c r="C156" s="2" t="s">
        <v>547</v>
      </c>
      <c r="D156" s="2" t="s">
        <v>1218</v>
      </c>
      <c r="E156" s="2" t="s">
        <v>1219</v>
      </c>
      <c r="F156" s="2" t="s">
        <v>250</v>
      </c>
      <c r="G156" s="2">
        <v>10</v>
      </c>
      <c r="H156" s="2">
        <v>1.6666666666666667</v>
      </c>
      <c r="I156" s="2" t="s">
        <v>1223</v>
      </c>
      <c r="J156" s="2" t="s">
        <v>1225</v>
      </c>
      <c r="K156" s="2" t="s">
        <v>1040</v>
      </c>
      <c r="L156" s="2" t="s">
        <v>66</v>
      </c>
    </row>
    <row r="157" spans="1:12" ht="42.75">
      <c r="A157" s="2" t="s">
        <v>187</v>
      </c>
      <c r="B157" s="2" t="s">
        <v>843</v>
      </c>
      <c r="C157" s="2" t="s">
        <v>547</v>
      </c>
      <c r="D157" s="2" t="s">
        <v>1123</v>
      </c>
      <c r="E157" s="2" t="s">
        <v>1226</v>
      </c>
      <c r="F157" s="2" t="s">
        <v>250</v>
      </c>
      <c r="G157" s="2">
        <v>12</v>
      </c>
      <c r="H157" s="2">
        <v>2</v>
      </c>
      <c r="I157" s="2" t="s">
        <v>1230</v>
      </c>
      <c r="J157" s="2" t="s">
        <v>1232</v>
      </c>
      <c r="K157" s="2" t="s">
        <v>1040</v>
      </c>
      <c r="L157" s="2" t="s">
        <v>66</v>
      </c>
    </row>
    <row r="158" spans="1:12" ht="42.75">
      <c r="A158" s="2" t="s">
        <v>187</v>
      </c>
      <c r="B158" s="2" t="s">
        <v>843</v>
      </c>
      <c r="C158" s="2" t="s">
        <v>547</v>
      </c>
      <c r="D158" s="2" t="s">
        <v>1233</v>
      </c>
      <c r="E158" s="2" t="s">
        <v>1234</v>
      </c>
      <c r="F158" s="2" t="s">
        <v>250</v>
      </c>
      <c r="G158" s="2">
        <v>12</v>
      </c>
      <c r="H158" s="2">
        <v>2</v>
      </c>
      <c r="I158" s="2" t="s">
        <v>1238</v>
      </c>
      <c r="J158" s="2" t="s">
        <v>1239</v>
      </c>
      <c r="K158" s="2" t="s">
        <v>1040</v>
      </c>
      <c r="L158" s="2" t="s">
        <v>66</v>
      </c>
    </row>
    <row r="159" spans="1:12" ht="42.75">
      <c r="A159" s="2" t="s">
        <v>187</v>
      </c>
      <c r="B159" s="2" t="s">
        <v>843</v>
      </c>
      <c r="C159" s="2" t="s">
        <v>547</v>
      </c>
      <c r="D159" s="2" t="s">
        <v>1240</v>
      </c>
      <c r="E159" s="2" t="s">
        <v>1241</v>
      </c>
      <c r="F159" s="2" t="s">
        <v>250</v>
      </c>
      <c r="G159" s="2">
        <v>12</v>
      </c>
      <c r="H159" s="2">
        <v>1.7999999999999998</v>
      </c>
      <c r="I159" s="2" t="s">
        <v>1245</v>
      </c>
      <c r="J159" s="2" t="s">
        <v>1246</v>
      </c>
      <c r="K159" s="2" t="s">
        <v>1040</v>
      </c>
      <c r="L159" s="2" t="s">
        <v>66</v>
      </c>
    </row>
    <row r="160" spans="1:12" ht="42.75">
      <c r="A160" s="2" t="s">
        <v>187</v>
      </c>
      <c r="B160" s="2" t="s">
        <v>843</v>
      </c>
      <c r="C160" s="2" t="s">
        <v>547</v>
      </c>
      <c r="D160" s="2" t="s">
        <v>1231</v>
      </c>
      <c r="E160" s="2" t="s">
        <v>1247</v>
      </c>
      <c r="F160" s="2" t="s">
        <v>250</v>
      </c>
      <c r="G160" s="2">
        <v>10</v>
      </c>
      <c r="H160" s="2">
        <v>1.7</v>
      </c>
      <c r="I160" s="2" t="s">
        <v>1251</v>
      </c>
      <c r="J160" s="2" t="s">
        <v>1252</v>
      </c>
      <c r="K160" s="2" t="s">
        <v>1040</v>
      </c>
      <c r="L160" s="2" t="s">
        <v>66</v>
      </c>
    </row>
    <row r="161" spans="1:12" ht="42.75">
      <c r="A161" s="2" t="s">
        <v>187</v>
      </c>
      <c r="B161" s="2" t="s">
        <v>843</v>
      </c>
      <c r="C161" s="2" t="s">
        <v>547</v>
      </c>
      <c r="D161" s="2" t="s">
        <v>1253</v>
      </c>
      <c r="E161" s="2" t="s">
        <v>1254</v>
      </c>
      <c r="F161" s="2" t="s">
        <v>250</v>
      </c>
      <c r="G161" s="2">
        <v>10</v>
      </c>
      <c r="H161" s="2">
        <v>1.5</v>
      </c>
      <c r="I161" s="2" t="s">
        <v>1257</v>
      </c>
      <c r="J161" s="2" t="s">
        <v>1258</v>
      </c>
      <c r="K161" s="2" t="s">
        <v>1040</v>
      </c>
      <c r="L161" s="2" t="s">
        <v>66</v>
      </c>
    </row>
    <row r="162" spans="1:12" ht="42.75">
      <c r="A162" s="2" t="s">
        <v>187</v>
      </c>
      <c r="B162" s="2" t="s">
        <v>843</v>
      </c>
      <c r="C162" s="2" t="s">
        <v>547</v>
      </c>
      <c r="D162" s="2" t="s">
        <v>1259</v>
      </c>
      <c r="E162" s="2" t="s">
        <v>1260</v>
      </c>
      <c r="F162" s="2" t="s">
        <v>250</v>
      </c>
      <c r="G162" s="2">
        <v>10</v>
      </c>
      <c r="H162" s="2">
        <v>1.5</v>
      </c>
      <c r="I162" s="2" t="s">
        <v>1264</v>
      </c>
      <c r="J162" s="2" t="s">
        <v>1266</v>
      </c>
      <c r="K162" s="2" t="s">
        <v>1040</v>
      </c>
      <c r="L162" s="2" t="s">
        <v>66</v>
      </c>
    </row>
    <row r="163" spans="1:12" ht="28.5">
      <c r="A163" s="2" t="s">
        <v>187</v>
      </c>
      <c r="B163" s="2" t="s">
        <v>843</v>
      </c>
      <c r="C163" s="2" t="s">
        <v>547</v>
      </c>
      <c r="D163" s="2" t="s">
        <v>1267</v>
      </c>
      <c r="E163" s="2" t="s">
        <v>1268</v>
      </c>
      <c r="F163" s="2" t="s">
        <v>250</v>
      </c>
      <c r="G163" s="2">
        <v>12</v>
      </c>
      <c r="H163" s="2">
        <v>3.2</v>
      </c>
      <c r="I163" s="2" t="s">
        <v>1272</v>
      </c>
      <c r="J163" s="2" t="s">
        <v>1274</v>
      </c>
      <c r="K163" s="2" t="s">
        <v>1275</v>
      </c>
      <c r="L163" s="2" t="s">
        <v>1276</v>
      </c>
    </row>
    <row r="164" spans="1:12" ht="28.5">
      <c r="A164" s="2" t="s">
        <v>57</v>
      </c>
      <c r="B164" s="2" t="s">
        <v>843</v>
      </c>
      <c r="C164" s="2" t="s">
        <v>547</v>
      </c>
      <c r="D164" s="2" t="s">
        <v>1277</v>
      </c>
      <c r="E164" s="2" t="s">
        <v>1278</v>
      </c>
      <c r="F164" s="2" t="s">
        <v>250</v>
      </c>
      <c r="G164" s="2">
        <v>8</v>
      </c>
      <c r="H164" s="2">
        <v>3.4</v>
      </c>
      <c r="I164" s="2" t="s">
        <v>1282</v>
      </c>
      <c r="J164" s="2" t="s">
        <v>1284</v>
      </c>
      <c r="K164" s="2" t="s">
        <v>1285</v>
      </c>
      <c r="L164" s="2" t="s">
        <v>1286</v>
      </c>
    </row>
    <row r="165" spans="1:12" ht="28.5">
      <c r="A165" s="2" t="s">
        <v>187</v>
      </c>
      <c r="B165" s="2" t="s">
        <v>843</v>
      </c>
      <c r="C165" s="2" t="s">
        <v>547</v>
      </c>
      <c r="D165" s="2" t="s">
        <v>1283</v>
      </c>
      <c r="E165" s="2" t="s">
        <v>1287</v>
      </c>
      <c r="F165" s="2" t="s">
        <v>250</v>
      </c>
      <c r="G165" s="2">
        <v>12</v>
      </c>
      <c r="H165" s="2">
        <v>5.0999999999999996</v>
      </c>
      <c r="I165" s="2" t="s">
        <v>1292</v>
      </c>
      <c r="J165" s="2" t="s">
        <v>1293</v>
      </c>
      <c r="K165" s="2" t="s">
        <v>1294</v>
      </c>
      <c r="L165" s="2" t="s">
        <v>1295</v>
      </c>
    </row>
    <row r="166" spans="1:12" ht="42.75">
      <c r="A166" s="2" t="s">
        <v>145</v>
      </c>
      <c r="B166" s="2" t="s">
        <v>843</v>
      </c>
      <c r="C166" s="2" t="s">
        <v>761</v>
      </c>
      <c r="D166" s="2" t="s">
        <v>1296</v>
      </c>
      <c r="E166" s="2" t="s">
        <v>1297</v>
      </c>
      <c r="F166" s="2" t="s">
        <v>250</v>
      </c>
      <c r="G166" s="2">
        <v>12</v>
      </c>
      <c r="H166" s="2">
        <v>7.2</v>
      </c>
      <c r="I166" s="2"/>
      <c r="J166" s="2" t="s">
        <v>861</v>
      </c>
      <c r="K166" s="2" t="s">
        <v>981</v>
      </c>
      <c r="L166" s="2" t="s">
        <v>66</v>
      </c>
    </row>
    <row r="167" spans="1:12" ht="28.5">
      <c r="A167" s="2" t="s">
        <v>57</v>
      </c>
      <c r="B167" s="2" t="s">
        <v>843</v>
      </c>
      <c r="C167" s="2" t="s">
        <v>761</v>
      </c>
      <c r="D167" s="2" t="s">
        <v>1024</v>
      </c>
      <c r="E167" s="2" t="s">
        <v>1303</v>
      </c>
      <c r="F167" s="2" t="s">
        <v>250</v>
      </c>
      <c r="G167" s="2">
        <v>12</v>
      </c>
      <c r="H167" s="2">
        <v>6</v>
      </c>
      <c r="I167" s="2" t="s">
        <v>1307</v>
      </c>
      <c r="J167" s="2" t="s">
        <v>1308</v>
      </c>
      <c r="K167" s="2" t="s">
        <v>1309</v>
      </c>
      <c r="L167" s="2" t="s">
        <v>1310</v>
      </c>
    </row>
    <row r="168" spans="1:12">
      <c r="A168" t="s">
        <v>553</v>
      </c>
      <c r="B168" t="s">
        <v>48</v>
      </c>
      <c r="C168" t="s">
        <v>49</v>
      </c>
      <c r="D168" t="s">
        <v>1312</v>
      </c>
      <c r="E168" t="s">
        <v>1313</v>
      </c>
      <c r="F168" t="s">
        <v>56</v>
      </c>
      <c r="G168">
        <v>6</v>
      </c>
      <c r="H168">
        <v>2.5</v>
      </c>
      <c r="I168" t="s">
        <v>170</v>
      </c>
      <c r="J168" t="s">
        <v>1318</v>
      </c>
      <c r="K168" t="s">
        <v>1319</v>
      </c>
      <c r="L168" t="s">
        <v>1320</v>
      </c>
    </row>
    <row r="169" spans="1:12">
      <c r="A169" t="s">
        <v>57</v>
      </c>
      <c r="B169" t="s">
        <v>48</v>
      </c>
      <c r="C169" t="s">
        <v>49</v>
      </c>
      <c r="D169" t="s">
        <v>1750</v>
      </c>
      <c r="E169" t="s">
        <v>1751</v>
      </c>
      <c r="F169" t="s">
        <v>250</v>
      </c>
      <c r="G169">
        <v>12</v>
      </c>
      <c r="H169">
        <v>1.8</v>
      </c>
      <c r="I169" t="s">
        <v>91</v>
      </c>
      <c r="J169" t="s">
        <v>1756</v>
      </c>
      <c r="K169" t="s">
        <v>1757</v>
      </c>
      <c r="L169" t="s">
        <v>1758</v>
      </c>
    </row>
    <row r="170" spans="1:12">
      <c r="A170" t="s">
        <v>57</v>
      </c>
      <c r="B170" t="s">
        <v>48</v>
      </c>
      <c r="C170" t="s">
        <v>761</v>
      </c>
      <c r="D170" t="s">
        <v>1760</v>
      </c>
      <c r="E170" t="s">
        <v>1761</v>
      </c>
      <c r="F170" t="s">
        <v>250</v>
      </c>
      <c r="G170">
        <v>8</v>
      </c>
      <c r="H170">
        <v>1.2</v>
      </c>
      <c r="I170" t="s">
        <v>91</v>
      </c>
      <c r="J170" t="s">
        <v>1765</v>
      </c>
      <c r="K170" t="s">
        <v>1766</v>
      </c>
      <c r="L170" t="s">
        <v>1767</v>
      </c>
    </row>
  </sheetData>
  <mergeCells count="1">
    <mergeCell ref="A1:L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6"/>
  <sheetViews>
    <sheetView workbookViewId="0"/>
  </sheetViews>
  <sheetFormatPr defaultRowHeight="14.25"/>
  <cols>
    <col min="1" max="1" width="25" customWidth="1"/>
    <col min="2" max="2" width="30" customWidth="1"/>
    <col min="3" max="4" width="24" customWidth="1"/>
    <col min="5" max="5" width="28" customWidth="1"/>
    <col min="6" max="7" width="52" customWidth="1"/>
    <col min="8" max="8" width="26" customWidth="1"/>
    <col min="9" max="9" width="14" customWidth="1"/>
    <col min="10" max="10" width="42" customWidth="1"/>
  </cols>
  <sheetData>
    <row r="1" spans="1:10" ht="20.25">
      <c r="A1" s="13" t="s">
        <v>1370</v>
      </c>
      <c r="B1" s="13"/>
      <c r="C1" s="13"/>
      <c r="D1" s="13"/>
      <c r="E1" s="13"/>
      <c r="F1" s="13"/>
      <c r="G1" s="13"/>
      <c r="H1" s="13"/>
      <c r="I1" s="13"/>
      <c r="J1" s="13"/>
    </row>
    <row r="2" spans="1:10">
      <c r="A2" s="2"/>
      <c r="B2" s="2"/>
      <c r="C2" s="2"/>
      <c r="D2" s="2"/>
      <c r="E2" s="2"/>
      <c r="F2" s="2"/>
      <c r="G2" s="2"/>
      <c r="H2" s="2"/>
      <c r="I2" s="2"/>
      <c r="J2" s="2"/>
    </row>
    <row r="3" spans="1:10" ht="15">
      <c r="A3" s="1" t="s">
        <v>1371</v>
      </c>
      <c r="B3" s="1" t="s">
        <v>1372</v>
      </c>
      <c r="C3" s="1" t="s">
        <v>1373</v>
      </c>
      <c r="D3" s="1" t="s">
        <v>1374</v>
      </c>
      <c r="E3" s="1" t="s">
        <v>1375</v>
      </c>
      <c r="F3" s="1" t="s">
        <v>1376</v>
      </c>
      <c r="G3" s="1" t="s">
        <v>1377</v>
      </c>
      <c r="H3" s="1" t="s">
        <v>1378</v>
      </c>
      <c r="I3" s="1" t="s">
        <v>1379</v>
      </c>
      <c r="J3" s="1" t="s">
        <v>1380</v>
      </c>
    </row>
    <row r="4" spans="1:10" ht="29.25">
      <c r="A4" s="2" t="s">
        <v>1381</v>
      </c>
      <c r="B4" s="2" t="s">
        <v>1382</v>
      </c>
      <c r="C4" s="2" t="s">
        <v>1383</v>
      </c>
      <c r="D4" s="2" t="s">
        <v>1384</v>
      </c>
      <c r="E4" s="2" t="s">
        <v>1385</v>
      </c>
      <c r="F4" s="2" t="s">
        <v>1386</v>
      </c>
      <c r="G4" s="2" t="s">
        <v>1387</v>
      </c>
      <c r="H4" s="2" t="s">
        <v>1388</v>
      </c>
      <c r="I4" s="2" t="s">
        <v>1389</v>
      </c>
      <c r="J4" s="2" t="s">
        <v>1390</v>
      </c>
    </row>
    <row r="5" spans="1:10" ht="29.25">
      <c r="A5" s="2" t="s">
        <v>1391</v>
      </c>
      <c r="B5" s="2" t="s">
        <v>1392</v>
      </c>
      <c r="C5" s="2" t="s">
        <v>1393</v>
      </c>
      <c r="D5" s="2" t="s">
        <v>1394</v>
      </c>
      <c r="E5" s="2" t="s">
        <v>1395</v>
      </c>
      <c r="F5" s="2" t="s">
        <v>1396</v>
      </c>
      <c r="G5" s="2" t="s">
        <v>1397</v>
      </c>
      <c r="H5" s="2" t="s">
        <v>1388</v>
      </c>
      <c r="I5" s="2" t="s">
        <v>1389</v>
      </c>
      <c r="J5" s="2" t="s">
        <v>1398</v>
      </c>
    </row>
    <row r="6" spans="1:10" ht="29.25">
      <c r="A6" s="2" t="s">
        <v>1399</v>
      </c>
      <c r="B6" s="2" t="s">
        <v>1400</v>
      </c>
      <c r="C6" s="2" t="s">
        <v>1401</v>
      </c>
      <c r="D6" s="2" t="s">
        <v>1402</v>
      </c>
      <c r="E6" s="2" t="s">
        <v>1403</v>
      </c>
      <c r="F6" s="2" t="s">
        <v>1404</v>
      </c>
      <c r="G6" s="2" t="s">
        <v>1405</v>
      </c>
      <c r="H6" s="2" t="s">
        <v>1388</v>
      </c>
      <c r="I6" s="2" t="s">
        <v>1389</v>
      </c>
      <c r="J6" s="2" t="s">
        <v>1406</v>
      </c>
    </row>
    <row r="7" spans="1:10" ht="43.5">
      <c r="A7" s="2" t="s">
        <v>1407</v>
      </c>
      <c r="B7" s="2" t="s">
        <v>1408</v>
      </c>
      <c r="C7" s="2" t="s">
        <v>1409</v>
      </c>
      <c r="D7" s="2" t="s">
        <v>1410</v>
      </c>
      <c r="E7" s="2" t="s">
        <v>1411</v>
      </c>
      <c r="F7" s="2" t="s">
        <v>1412</v>
      </c>
      <c r="G7" s="2" t="s">
        <v>1413</v>
      </c>
      <c r="H7" s="2" t="s">
        <v>1414</v>
      </c>
      <c r="I7" s="2" t="s">
        <v>1389</v>
      </c>
      <c r="J7" s="2" t="s">
        <v>1415</v>
      </c>
    </row>
    <row r="8" spans="1:10" ht="29.25">
      <c r="A8" s="2" t="s">
        <v>1416</v>
      </c>
      <c r="B8" s="2" t="s">
        <v>1417</v>
      </c>
      <c r="C8" s="2" t="s">
        <v>1418</v>
      </c>
      <c r="D8" s="2" t="s">
        <v>1419</v>
      </c>
      <c r="E8" s="2" t="s">
        <v>1420</v>
      </c>
      <c r="F8" s="2" t="s">
        <v>1421</v>
      </c>
      <c r="G8" s="2" t="s">
        <v>1422</v>
      </c>
      <c r="H8" s="2" t="s">
        <v>1423</v>
      </c>
      <c r="I8" s="2" t="s">
        <v>1389</v>
      </c>
      <c r="J8" s="2" t="s">
        <v>1424</v>
      </c>
    </row>
    <row r="9" spans="1:10" ht="29.25">
      <c r="A9" s="2" t="s">
        <v>1425</v>
      </c>
      <c r="B9" s="2" t="s">
        <v>1426</v>
      </c>
      <c r="C9" s="2" t="s">
        <v>1427</v>
      </c>
      <c r="D9" s="2" t="s">
        <v>1428</v>
      </c>
      <c r="E9" s="2" t="s">
        <v>1429</v>
      </c>
      <c r="F9" s="2" t="s">
        <v>1430</v>
      </c>
      <c r="G9" s="2" t="s">
        <v>1431</v>
      </c>
      <c r="H9" s="2" t="s">
        <v>1432</v>
      </c>
      <c r="I9" s="2" t="s">
        <v>1389</v>
      </c>
      <c r="J9" s="2" t="s">
        <v>1433</v>
      </c>
    </row>
    <row r="10" spans="1:10" ht="29.25">
      <c r="A10" s="2" t="s">
        <v>1434</v>
      </c>
      <c r="B10" s="2" t="s">
        <v>1435</v>
      </c>
      <c r="C10" s="2" t="s">
        <v>1436</v>
      </c>
      <c r="D10" s="2" t="s">
        <v>1437</v>
      </c>
      <c r="E10" s="2" t="s">
        <v>1438</v>
      </c>
      <c r="F10" s="2" t="s">
        <v>1439</v>
      </c>
      <c r="G10" s="2" t="s">
        <v>1440</v>
      </c>
      <c r="H10" s="2" t="s">
        <v>1432</v>
      </c>
      <c r="I10" s="2" t="s">
        <v>1389</v>
      </c>
      <c r="J10" s="2" t="s">
        <v>1441</v>
      </c>
    </row>
    <row r="11" spans="1:10" ht="15">
      <c r="A11" s="2" t="s">
        <v>1442</v>
      </c>
      <c r="B11" s="2" t="s">
        <v>1443</v>
      </c>
      <c r="C11" s="2" t="s">
        <v>1444</v>
      </c>
      <c r="D11" s="2" t="s">
        <v>1445</v>
      </c>
      <c r="E11" s="2" t="s">
        <v>1446</v>
      </c>
      <c r="F11" s="2" t="s">
        <v>1447</v>
      </c>
      <c r="G11" s="2" t="s">
        <v>1448</v>
      </c>
      <c r="H11" s="2" t="s">
        <v>1449</v>
      </c>
      <c r="I11" s="2" t="s">
        <v>1389</v>
      </c>
      <c r="J11" s="2" t="s">
        <v>1450</v>
      </c>
    </row>
    <row r="12" spans="1:10" ht="29.25">
      <c r="A12" s="2" t="s">
        <v>1451</v>
      </c>
      <c r="B12" s="2" t="s">
        <v>1452</v>
      </c>
      <c r="C12" s="2" t="s">
        <v>1453</v>
      </c>
      <c r="D12" s="2" t="s">
        <v>1454</v>
      </c>
      <c r="E12" s="2" t="s">
        <v>1455</v>
      </c>
      <c r="F12" s="2" t="s">
        <v>1456</v>
      </c>
      <c r="G12" s="2" t="s">
        <v>1457</v>
      </c>
      <c r="H12" s="2" t="s">
        <v>1458</v>
      </c>
      <c r="I12" s="2" t="s">
        <v>1389</v>
      </c>
      <c r="J12" s="2" t="s">
        <v>1459</v>
      </c>
    </row>
    <row r="13" spans="1:10" ht="29.25">
      <c r="A13" s="2" t="s">
        <v>1460</v>
      </c>
      <c r="B13" s="2" t="s">
        <v>1461</v>
      </c>
      <c r="C13" s="2" t="s">
        <v>1462</v>
      </c>
      <c r="D13" s="2" t="s">
        <v>1463</v>
      </c>
      <c r="E13" s="2" t="s">
        <v>1464</v>
      </c>
      <c r="F13" s="2" t="s">
        <v>1465</v>
      </c>
      <c r="G13" s="2" t="s">
        <v>1466</v>
      </c>
      <c r="H13" s="2" t="s">
        <v>1432</v>
      </c>
      <c r="I13" s="2" t="s">
        <v>1389</v>
      </c>
      <c r="J13" s="2" t="s">
        <v>1467</v>
      </c>
    </row>
    <row r="14" spans="1:10" ht="43.5">
      <c r="A14" s="2" t="s">
        <v>1468</v>
      </c>
      <c r="B14" s="2" t="s">
        <v>1469</v>
      </c>
      <c r="C14" s="2" t="s">
        <v>1470</v>
      </c>
      <c r="D14" s="2" t="s">
        <v>1471</v>
      </c>
      <c r="E14" s="2" t="s">
        <v>1472</v>
      </c>
      <c r="F14" s="2" t="s">
        <v>1473</v>
      </c>
      <c r="G14" s="2" t="s">
        <v>1474</v>
      </c>
      <c r="H14" s="2" t="s">
        <v>1475</v>
      </c>
      <c r="I14" s="2" t="s">
        <v>1389</v>
      </c>
      <c r="J14" s="2" t="s">
        <v>1476</v>
      </c>
    </row>
    <row r="15" spans="1:10" ht="29.25">
      <c r="A15" s="2" t="s">
        <v>1477</v>
      </c>
      <c r="B15" s="2" t="s">
        <v>1478</v>
      </c>
      <c r="C15" s="2" t="s">
        <v>1479</v>
      </c>
      <c r="D15" s="2" t="s">
        <v>1480</v>
      </c>
      <c r="E15" s="2" t="s">
        <v>1481</v>
      </c>
      <c r="F15" s="2" t="s">
        <v>1482</v>
      </c>
      <c r="G15" s="2" t="s">
        <v>1483</v>
      </c>
      <c r="H15" s="2" t="s">
        <v>1484</v>
      </c>
      <c r="I15" s="2" t="s">
        <v>1389</v>
      </c>
      <c r="J15" s="2" t="s">
        <v>1485</v>
      </c>
    </row>
    <row r="16" spans="1:10" ht="42.75">
      <c r="A16" s="2" t="s">
        <v>1769</v>
      </c>
      <c r="B16" s="2" t="s">
        <v>1770</v>
      </c>
      <c r="C16" s="2" t="s">
        <v>1771</v>
      </c>
      <c r="D16" s="2" t="s">
        <v>1772</v>
      </c>
      <c r="E16" s="2" t="s">
        <v>1773</v>
      </c>
      <c r="F16" s="2" t="s">
        <v>1774</v>
      </c>
      <c r="G16" s="2" t="s">
        <v>1775</v>
      </c>
      <c r="H16" s="2" t="s">
        <v>1776</v>
      </c>
      <c r="I16" s="2" t="s">
        <v>1389</v>
      </c>
      <c r="J16" s="2" t="s">
        <v>1777</v>
      </c>
    </row>
  </sheetData>
  <mergeCells count="1">
    <mergeCell ref="A1:J1"/>
  </mergeCells>
  <conditionalFormatting sqref="I4:I15">
    <cfRule type="expression" dxfId="0" priority="1">
      <formula>I4="MIRRORED"</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68"/>
  <sheetViews>
    <sheetView workbookViewId="0"/>
  </sheetViews>
  <sheetFormatPr defaultRowHeight="14.25"/>
  <cols>
    <col min="1" max="1" width="12" customWidth="1"/>
    <col min="2" max="2" width="10" customWidth="1"/>
    <col min="3" max="3" width="8" customWidth="1"/>
    <col min="4" max="4" width="15" customWidth="1"/>
    <col min="5" max="5" width="14" customWidth="1"/>
    <col min="6" max="6" width="12" customWidth="1"/>
    <col min="7" max="8" width="42" customWidth="1"/>
    <col min="9" max="9" width="46" customWidth="1"/>
  </cols>
  <sheetData>
    <row r="1" spans="1:9" ht="15">
      <c r="A1" s="1" t="s">
        <v>23</v>
      </c>
      <c r="B1" s="1" t="s">
        <v>1323</v>
      </c>
      <c r="C1" s="1" t="s">
        <v>1324</v>
      </c>
      <c r="D1" s="1" t="s">
        <v>1363</v>
      </c>
      <c r="E1" s="1" t="s">
        <v>33</v>
      </c>
      <c r="F1" s="1" t="s">
        <v>1365</v>
      </c>
      <c r="G1" s="1" t="s">
        <v>35</v>
      </c>
      <c r="H1" s="1" t="s">
        <v>36</v>
      </c>
      <c r="I1" s="1" t="s">
        <v>1486</v>
      </c>
    </row>
    <row r="2" spans="1:9" ht="28.5">
      <c r="A2" s="2" t="s">
        <v>47</v>
      </c>
      <c r="B2" s="2" t="s">
        <v>48</v>
      </c>
      <c r="C2" s="2" t="s">
        <v>49</v>
      </c>
      <c r="D2" s="2" t="s">
        <v>57</v>
      </c>
      <c r="E2" s="2" t="s">
        <v>56</v>
      </c>
      <c r="F2" s="2">
        <v>2.72</v>
      </c>
      <c r="G2" s="2" t="s">
        <v>58</v>
      </c>
      <c r="H2" s="2" t="s">
        <v>59</v>
      </c>
      <c r="I2" s="2" t="s">
        <v>64</v>
      </c>
    </row>
    <row r="3" spans="1:9" ht="42.75">
      <c r="A3" s="2" t="s">
        <v>69</v>
      </c>
      <c r="B3" s="2" t="s">
        <v>48</v>
      </c>
      <c r="C3" s="2" t="s">
        <v>49</v>
      </c>
      <c r="D3" s="2" t="s">
        <v>57</v>
      </c>
      <c r="E3" s="2" t="s">
        <v>56</v>
      </c>
      <c r="F3" s="2">
        <v>2.3250000000000002</v>
      </c>
      <c r="G3" s="2" t="s">
        <v>75</v>
      </c>
      <c r="H3" s="2" t="s">
        <v>76</v>
      </c>
      <c r="I3" s="2" t="s">
        <v>78</v>
      </c>
    </row>
    <row r="4" spans="1:9" ht="42.75">
      <c r="A4" s="2" t="s">
        <v>79</v>
      </c>
      <c r="B4" s="2" t="s">
        <v>48</v>
      </c>
      <c r="C4" s="2" t="s">
        <v>49</v>
      </c>
      <c r="D4" s="2" t="s">
        <v>57</v>
      </c>
      <c r="E4" s="2" t="s">
        <v>56</v>
      </c>
      <c r="F4" s="2">
        <v>2.3250000000000002</v>
      </c>
      <c r="G4" s="2" t="s">
        <v>47</v>
      </c>
      <c r="H4" s="2" t="s">
        <v>84</v>
      </c>
      <c r="I4" s="2" t="s">
        <v>85</v>
      </c>
    </row>
    <row r="5" spans="1:9" ht="42.75">
      <c r="A5" s="2" t="s">
        <v>86</v>
      </c>
      <c r="B5" s="2" t="s">
        <v>48</v>
      </c>
      <c r="C5" s="2" t="s">
        <v>49</v>
      </c>
      <c r="D5" s="2" t="s">
        <v>57</v>
      </c>
      <c r="E5" s="2" t="s">
        <v>56</v>
      </c>
      <c r="F5" s="2">
        <v>2.3250000000000002</v>
      </c>
      <c r="G5" s="2" t="s">
        <v>91</v>
      </c>
      <c r="H5" s="2" t="s">
        <v>92</v>
      </c>
      <c r="I5" s="2" t="s">
        <v>93</v>
      </c>
    </row>
    <row r="6" spans="1:9" ht="71.25">
      <c r="A6" s="2" t="s">
        <v>94</v>
      </c>
      <c r="B6" s="2" t="s">
        <v>48</v>
      </c>
      <c r="C6" s="2" t="s">
        <v>49</v>
      </c>
      <c r="D6" s="2" t="s">
        <v>57</v>
      </c>
      <c r="E6" s="2" t="s">
        <v>56</v>
      </c>
      <c r="F6" s="2">
        <v>1.7999999999999998</v>
      </c>
      <c r="G6" s="2" t="s">
        <v>86</v>
      </c>
      <c r="H6" s="2" t="s">
        <v>99</v>
      </c>
      <c r="I6" s="2" t="s">
        <v>101</v>
      </c>
    </row>
    <row r="7" spans="1:9" ht="42.75">
      <c r="A7" s="2" t="s">
        <v>104</v>
      </c>
      <c r="B7" s="2" t="s">
        <v>48</v>
      </c>
      <c r="C7" s="2" t="s">
        <v>49</v>
      </c>
      <c r="D7" s="2" t="s">
        <v>57</v>
      </c>
      <c r="E7" s="2" t="s">
        <v>56</v>
      </c>
      <c r="F7" s="2">
        <v>1.7999999999999998</v>
      </c>
      <c r="G7" s="2" t="s">
        <v>94</v>
      </c>
      <c r="H7" s="2" t="s">
        <v>108</v>
      </c>
      <c r="I7" s="2" t="s">
        <v>109</v>
      </c>
    </row>
    <row r="8" spans="1:9" ht="42.75">
      <c r="A8" s="2" t="s">
        <v>110</v>
      </c>
      <c r="B8" s="2" t="s">
        <v>48</v>
      </c>
      <c r="C8" s="2" t="s">
        <v>49</v>
      </c>
      <c r="D8" s="2" t="s">
        <v>57</v>
      </c>
      <c r="E8" s="2" t="s">
        <v>56</v>
      </c>
      <c r="F8" s="2">
        <v>1.7999999999999998</v>
      </c>
      <c r="G8" s="2" t="s">
        <v>115</v>
      </c>
      <c r="H8" s="2" t="s">
        <v>116</v>
      </c>
      <c r="I8" s="2" t="s">
        <v>117</v>
      </c>
    </row>
    <row r="9" spans="1:9" ht="42.75">
      <c r="A9" s="2" t="s">
        <v>118</v>
      </c>
      <c r="B9" s="2" t="s">
        <v>48</v>
      </c>
      <c r="C9" s="2" t="s">
        <v>49</v>
      </c>
      <c r="D9" s="2" t="s">
        <v>57</v>
      </c>
      <c r="E9" s="2" t="s">
        <v>56</v>
      </c>
      <c r="F9" s="2">
        <v>0.89999999999999991</v>
      </c>
      <c r="G9" s="2" t="s">
        <v>122</v>
      </c>
      <c r="H9" s="2" t="s">
        <v>123</v>
      </c>
      <c r="I9" s="2" t="s">
        <v>124</v>
      </c>
    </row>
    <row r="10" spans="1:9" ht="71.25">
      <c r="A10" s="2" t="s">
        <v>125</v>
      </c>
      <c r="B10" s="2" t="s">
        <v>48</v>
      </c>
      <c r="C10" s="2" t="s">
        <v>49</v>
      </c>
      <c r="D10" s="2" t="s">
        <v>57</v>
      </c>
      <c r="E10" s="2" t="s">
        <v>1733</v>
      </c>
      <c r="F10" s="2">
        <v>3.6</v>
      </c>
      <c r="G10" s="2" t="s">
        <v>127</v>
      </c>
      <c r="H10" s="2" t="s">
        <v>128</v>
      </c>
      <c r="I10" s="2" t="s">
        <v>1734</v>
      </c>
    </row>
    <row r="11" spans="1:9" ht="28.5">
      <c r="A11" s="2" t="s">
        <v>58</v>
      </c>
      <c r="B11" s="2" t="s">
        <v>48</v>
      </c>
      <c r="C11" s="2" t="s">
        <v>49</v>
      </c>
      <c r="D11" s="2" t="s">
        <v>57</v>
      </c>
      <c r="E11" s="2" t="s">
        <v>56</v>
      </c>
      <c r="F11" s="2">
        <v>1.5</v>
      </c>
      <c r="G11" s="2"/>
      <c r="H11" s="2" t="s">
        <v>134</v>
      </c>
      <c r="I11" s="2" t="s">
        <v>136</v>
      </c>
    </row>
    <row r="12" spans="1:9">
      <c r="A12" s="2" t="s">
        <v>139</v>
      </c>
      <c r="B12" s="2" t="s">
        <v>48</v>
      </c>
      <c r="C12" s="2" t="s">
        <v>49</v>
      </c>
      <c r="D12" s="2" t="s">
        <v>145</v>
      </c>
      <c r="E12" s="2" t="s">
        <v>56</v>
      </c>
      <c r="F12" s="2">
        <v>4</v>
      </c>
      <c r="G12" s="2" t="s">
        <v>58</v>
      </c>
      <c r="H12" s="2" t="s">
        <v>146</v>
      </c>
      <c r="I12" s="2" t="s">
        <v>148</v>
      </c>
    </row>
    <row r="13" spans="1:9" ht="28.5">
      <c r="A13" s="2" t="s">
        <v>151</v>
      </c>
      <c r="B13" s="2" t="s">
        <v>48</v>
      </c>
      <c r="C13" s="2" t="s">
        <v>49</v>
      </c>
      <c r="D13" s="2" t="s">
        <v>145</v>
      </c>
      <c r="E13" s="2" t="s">
        <v>56</v>
      </c>
      <c r="F13" s="2">
        <v>4</v>
      </c>
      <c r="G13" s="2" t="s">
        <v>58</v>
      </c>
      <c r="H13" s="2" t="s">
        <v>155</v>
      </c>
      <c r="I13" s="2" t="s">
        <v>157</v>
      </c>
    </row>
    <row r="14" spans="1:9">
      <c r="A14" s="2" t="s">
        <v>160</v>
      </c>
      <c r="B14" s="2" t="s">
        <v>48</v>
      </c>
      <c r="C14" s="2" t="s">
        <v>49</v>
      </c>
      <c r="D14" s="2" t="s">
        <v>145</v>
      </c>
      <c r="E14" s="2" t="s">
        <v>56</v>
      </c>
      <c r="F14" s="2">
        <v>4.25</v>
      </c>
      <c r="G14" s="2" t="s">
        <v>58</v>
      </c>
      <c r="H14" s="2" t="s">
        <v>155</v>
      </c>
      <c r="I14" s="2" t="s">
        <v>167</v>
      </c>
    </row>
    <row r="15" spans="1:9" ht="71.25">
      <c r="A15" s="2" t="s">
        <v>170</v>
      </c>
      <c r="B15" s="2" t="s">
        <v>48</v>
      </c>
      <c r="C15" s="2" t="s">
        <v>49</v>
      </c>
      <c r="D15" s="2" t="s">
        <v>145</v>
      </c>
      <c r="E15" s="2" t="s">
        <v>56</v>
      </c>
      <c r="F15" s="2">
        <v>3.2</v>
      </c>
      <c r="G15" s="2" t="s">
        <v>58</v>
      </c>
      <c r="H15" s="2" t="s">
        <v>175</v>
      </c>
      <c r="I15" s="2" t="s">
        <v>177</v>
      </c>
    </row>
    <row r="16" spans="1:9" ht="28.5">
      <c r="A16" s="2" t="s">
        <v>181</v>
      </c>
      <c r="B16" s="2" t="s">
        <v>48</v>
      </c>
      <c r="C16" s="2" t="s">
        <v>49</v>
      </c>
      <c r="D16" s="2" t="s">
        <v>187</v>
      </c>
      <c r="E16" s="2" t="s">
        <v>56</v>
      </c>
      <c r="F16" s="2">
        <v>2</v>
      </c>
      <c r="G16" s="2" t="s">
        <v>58</v>
      </c>
      <c r="H16" s="2" t="s">
        <v>188</v>
      </c>
      <c r="I16" s="2" t="s">
        <v>190</v>
      </c>
    </row>
    <row r="17" spans="1:9" ht="28.5">
      <c r="A17" s="2" t="s">
        <v>193</v>
      </c>
      <c r="B17" s="2" t="s">
        <v>48</v>
      </c>
      <c r="C17" s="2" t="s">
        <v>49</v>
      </c>
      <c r="D17" s="2" t="s">
        <v>187</v>
      </c>
      <c r="E17" s="2" t="s">
        <v>56</v>
      </c>
      <c r="F17" s="2">
        <v>2.5</v>
      </c>
      <c r="G17" s="2" t="s">
        <v>58</v>
      </c>
      <c r="H17" s="2" t="s">
        <v>198</v>
      </c>
      <c r="I17" s="2" t="s">
        <v>200</v>
      </c>
    </row>
    <row r="18" spans="1:9">
      <c r="A18" s="2" t="s">
        <v>203</v>
      </c>
      <c r="B18" s="2" t="s">
        <v>48</v>
      </c>
      <c r="C18" s="2" t="s">
        <v>49</v>
      </c>
      <c r="D18" s="2" t="s">
        <v>187</v>
      </c>
      <c r="E18" s="2" t="s">
        <v>56</v>
      </c>
      <c r="F18" s="2">
        <v>1.5</v>
      </c>
      <c r="G18" s="2" t="s">
        <v>193</v>
      </c>
      <c r="H18" s="2" t="s">
        <v>209</v>
      </c>
      <c r="I18" s="2" t="s">
        <v>211</v>
      </c>
    </row>
    <row r="19" spans="1:9" ht="28.5">
      <c r="A19" s="2" t="s">
        <v>214</v>
      </c>
      <c r="B19" s="2" t="s">
        <v>48</v>
      </c>
      <c r="C19" s="2" t="s">
        <v>49</v>
      </c>
      <c r="D19" s="2" t="s">
        <v>57</v>
      </c>
      <c r="E19" s="2" t="s">
        <v>56</v>
      </c>
      <c r="F19" s="2">
        <v>5.0999999999999996</v>
      </c>
      <c r="G19" s="2" t="s">
        <v>219</v>
      </c>
      <c r="H19" s="2" t="s">
        <v>220</v>
      </c>
      <c r="I19" s="2" t="s">
        <v>222</v>
      </c>
    </row>
    <row r="20" spans="1:9">
      <c r="A20" s="2" t="s">
        <v>225</v>
      </c>
      <c r="B20" s="2" t="s">
        <v>48</v>
      </c>
      <c r="C20" s="2" t="s">
        <v>49</v>
      </c>
      <c r="D20" s="2" t="s">
        <v>187</v>
      </c>
      <c r="E20" s="2" t="s">
        <v>56</v>
      </c>
      <c r="F20" s="2">
        <v>1.25</v>
      </c>
      <c r="G20" s="2" t="s">
        <v>193</v>
      </c>
      <c r="H20" s="2" t="s">
        <v>230</v>
      </c>
      <c r="I20" s="2" t="s">
        <v>231</v>
      </c>
    </row>
    <row r="21" spans="1:9">
      <c r="A21" s="2" t="s">
        <v>234</v>
      </c>
      <c r="B21" s="2" t="s">
        <v>48</v>
      </c>
      <c r="C21" s="2" t="s">
        <v>49</v>
      </c>
      <c r="D21" s="2" t="s">
        <v>57</v>
      </c>
      <c r="E21" s="2" t="s">
        <v>56</v>
      </c>
      <c r="F21" s="2">
        <v>2.5499999999999998</v>
      </c>
      <c r="G21" s="2" t="s">
        <v>219</v>
      </c>
      <c r="H21" s="2" t="s">
        <v>240</v>
      </c>
      <c r="I21" s="2" t="s">
        <v>241</v>
      </c>
    </row>
    <row r="22" spans="1:9" ht="42.75">
      <c r="A22" s="2" t="s">
        <v>244</v>
      </c>
      <c r="B22" s="2" t="s">
        <v>48</v>
      </c>
      <c r="C22" s="2" t="s">
        <v>245</v>
      </c>
      <c r="D22" s="2" t="s">
        <v>57</v>
      </c>
      <c r="E22" s="2" t="s">
        <v>250</v>
      </c>
      <c r="F22" s="2">
        <v>1.7999999999999998</v>
      </c>
      <c r="G22" s="2" t="s">
        <v>251</v>
      </c>
      <c r="H22" s="2" t="s">
        <v>252</v>
      </c>
      <c r="I22" s="2" t="s">
        <v>254</v>
      </c>
    </row>
    <row r="23" spans="1:9" ht="42.75">
      <c r="A23" s="2" t="s">
        <v>257</v>
      </c>
      <c r="B23" s="2" t="s">
        <v>48</v>
      </c>
      <c r="C23" s="2" t="s">
        <v>245</v>
      </c>
      <c r="D23" s="2" t="s">
        <v>57</v>
      </c>
      <c r="E23" s="2" t="s">
        <v>250</v>
      </c>
      <c r="F23" s="2">
        <v>1.2000000000000002</v>
      </c>
      <c r="G23" s="2" t="s">
        <v>244</v>
      </c>
      <c r="H23" s="2" t="s">
        <v>261</v>
      </c>
      <c r="I23" s="2" t="s">
        <v>262</v>
      </c>
    </row>
    <row r="24" spans="1:9" ht="42.75">
      <c r="A24" s="2" t="s">
        <v>263</v>
      </c>
      <c r="B24" s="2" t="s">
        <v>48</v>
      </c>
      <c r="C24" s="2" t="s">
        <v>245</v>
      </c>
      <c r="D24" s="2" t="s">
        <v>57</v>
      </c>
      <c r="E24" s="2" t="s">
        <v>250</v>
      </c>
      <c r="F24" s="2">
        <v>0.89999999999999991</v>
      </c>
      <c r="G24" s="2" t="s">
        <v>257</v>
      </c>
      <c r="H24" s="2" t="s">
        <v>267</v>
      </c>
      <c r="I24" s="2" t="s">
        <v>268</v>
      </c>
    </row>
    <row r="25" spans="1:9" ht="42.75">
      <c r="A25" s="2" t="s">
        <v>269</v>
      </c>
      <c r="B25" s="2" t="s">
        <v>48</v>
      </c>
      <c r="C25" s="2" t="s">
        <v>245</v>
      </c>
      <c r="D25" s="2" t="s">
        <v>145</v>
      </c>
      <c r="E25" s="2" t="s">
        <v>250</v>
      </c>
      <c r="F25" s="2">
        <v>2</v>
      </c>
      <c r="G25" s="2" t="s">
        <v>273</v>
      </c>
      <c r="H25" s="2" t="s">
        <v>274</v>
      </c>
      <c r="I25" s="2" t="s">
        <v>276</v>
      </c>
    </row>
    <row r="26" spans="1:9" ht="42.75">
      <c r="A26" s="2" t="s">
        <v>278</v>
      </c>
      <c r="B26" s="2" t="s">
        <v>48</v>
      </c>
      <c r="C26" s="2" t="s">
        <v>245</v>
      </c>
      <c r="D26" s="2" t="s">
        <v>57</v>
      </c>
      <c r="E26" s="2" t="s">
        <v>250</v>
      </c>
      <c r="F26" s="2">
        <v>1.2000000000000002</v>
      </c>
      <c r="G26" s="2" t="s">
        <v>283</v>
      </c>
      <c r="H26" s="2" t="s">
        <v>284</v>
      </c>
      <c r="I26" s="2" t="s">
        <v>285</v>
      </c>
    </row>
    <row r="27" spans="1:9" ht="42.75">
      <c r="A27" s="2" t="s">
        <v>286</v>
      </c>
      <c r="B27" s="2" t="s">
        <v>48</v>
      </c>
      <c r="C27" s="2" t="s">
        <v>245</v>
      </c>
      <c r="D27" s="2" t="s">
        <v>57</v>
      </c>
      <c r="E27" s="2" t="s">
        <v>250</v>
      </c>
      <c r="F27" s="2">
        <v>0.89999999999999991</v>
      </c>
      <c r="G27" s="2" t="s">
        <v>278</v>
      </c>
      <c r="H27" s="2" t="s">
        <v>290</v>
      </c>
      <c r="I27" s="2" t="s">
        <v>291</v>
      </c>
    </row>
    <row r="28" spans="1:9" ht="57">
      <c r="A28" s="2" t="s">
        <v>292</v>
      </c>
      <c r="B28" s="2" t="s">
        <v>48</v>
      </c>
      <c r="C28" s="2" t="s">
        <v>245</v>
      </c>
      <c r="D28" s="2" t="s">
        <v>145</v>
      </c>
      <c r="E28" s="2" t="s">
        <v>250</v>
      </c>
      <c r="F28" s="2">
        <v>2</v>
      </c>
      <c r="G28" s="2" t="s">
        <v>296</v>
      </c>
      <c r="H28" s="2" t="s">
        <v>274</v>
      </c>
      <c r="I28" s="2" t="s">
        <v>297</v>
      </c>
    </row>
    <row r="29" spans="1:9" ht="42.75">
      <c r="A29" s="2" t="s">
        <v>298</v>
      </c>
      <c r="B29" s="2" t="s">
        <v>48</v>
      </c>
      <c r="C29" s="2" t="s">
        <v>245</v>
      </c>
      <c r="D29" s="2" t="s">
        <v>57</v>
      </c>
      <c r="E29" s="2" t="s">
        <v>250</v>
      </c>
      <c r="F29" s="2">
        <v>1.2000000000000002</v>
      </c>
      <c r="G29" s="2" t="s">
        <v>303</v>
      </c>
      <c r="H29" s="2" t="s">
        <v>304</v>
      </c>
      <c r="I29" s="2" t="s">
        <v>305</v>
      </c>
    </row>
    <row r="30" spans="1:9" ht="42.75">
      <c r="A30" s="2" t="s">
        <v>306</v>
      </c>
      <c r="B30" s="2" t="s">
        <v>48</v>
      </c>
      <c r="C30" s="2" t="s">
        <v>245</v>
      </c>
      <c r="D30" s="2" t="s">
        <v>57</v>
      </c>
      <c r="E30" s="2" t="s">
        <v>250</v>
      </c>
      <c r="F30" s="2">
        <v>0.89999999999999991</v>
      </c>
      <c r="G30" s="2" t="s">
        <v>310</v>
      </c>
      <c r="H30" s="2" t="s">
        <v>274</v>
      </c>
      <c r="I30" s="2" t="s">
        <v>311</v>
      </c>
    </row>
    <row r="31" spans="1:9" ht="42.75">
      <c r="A31" s="2" t="s">
        <v>312</v>
      </c>
      <c r="B31" s="2" t="s">
        <v>48</v>
      </c>
      <c r="C31" s="2" t="s">
        <v>245</v>
      </c>
      <c r="D31" s="2" t="s">
        <v>57</v>
      </c>
      <c r="E31" s="2" t="s">
        <v>250</v>
      </c>
      <c r="F31" s="2">
        <v>1.2000000000000002</v>
      </c>
      <c r="G31" s="2" t="s">
        <v>317</v>
      </c>
      <c r="H31" s="2" t="s">
        <v>318</v>
      </c>
      <c r="I31" s="2" t="s">
        <v>319</v>
      </c>
    </row>
    <row r="32" spans="1:9" ht="42.75">
      <c r="A32" s="2" t="s">
        <v>320</v>
      </c>
      <c r="B32" s="2" t="s">
        <v>48</v>
      </c>
      <c r="C32" s="2" t="s">
        <v>245</v>
      </c>
      <c r="D32" s="2" t="s">
        <v>57</v>
      </c>
      <c r="E32" s="2" t="s">
        <v>250</v>
      </c>
      <c r="F32" s="2">
        <v>0.89999999999999991</v>
      </c>
      <c r="G32" s="2" t="s">
        <v>312</v>
      </c>
      <c r="H32" s="2" t="s">
        <v>274</v>
      </c>
      <c r="I32" s="2" t="s">
        <v>324</v>
      </c>
    </row>
    <row r="33" spans="1:9" ht="42.75">
      <c r="A33" s="2" t="s">
        <v>326</v>
      </c>
      <c r="B33" s="2" t="s">
        <v>48</v>
      </c>
      <c r="C33" s="2" t="s">
        <v>245</v>
      </c>
      <c r="D33" s="2" t="s">
        <v>187</v>
      </c>
      <c r="E33" s="2" t="s">
        <v>250</v>
      </c>
      <c r="F33" s="2">
        <v>1.7999999999999998</v>
      </c>
      <c r="G33" s="2" t="s">
        <v>331</v>
      </c>
      <c r="H33" s="2" t="s">
        <v>332</v>
      </c>
      <c r="I33" s="2" t="s">
        <v>333</v>
      </c>
    </row>
    <row r="34" spans="1:9" ht="42.75">
      <c r="A34" s="2" t="s">
        <v>335</v>
      </c>
      <c r="B34" s="2" t="s">
        <v>48</v>
      </c>
      <c r="C34" s="2" t="s">
        <v>245</v>
      </c>
      <c r="D34" s="2" t="s">
        <v>187</v>
      </c>
      <c r="E34" s="2" t="s">
        <v>250</v>
      </c>
      <c r="F34" s="2">
        <v>1.7999999999999998</v>
      </c>
      <c r="G34" s="2" t="s">
        <v>339</v>
      </c>
      <c r="H34" s="2" t="s">
        <v>340</v>
      </c>
      <c r="I34" s="2" t="s">
        <v>341</v>
      </c>
    </row>
    <row r="35" spans="1:9" ht="28.5">
      <c r="A35" s="2" t="s">
        <v>342</v>
      </c>
      <c r="B35" s="2" t="s">
        <v>48</v>
      </c>
      <c r="C35" s="2" t="s">
        <v>245</v>
      </c>
      <c r="D35" s="2" t="s">
        <v>57</v>
      </c>
      <c r="E35" s="2" t="s">
        <v>250</v>
      </c>
      <c r="F35" s="2">
        <v>1.2000000000000002</v>
      </c>
      <c r="G35" s="2"/>
      <c r="H35" s="2" t="s">
        <v>347</v>
      </c>
      <c r="I35" s="2" t="s">
        <v>64</v>
      </c>
    </row>
    <row r="36" spans="1:9" ht="28.5">
      <c r="A36" s="2" t="s">
        <v>347</v>
      </c>
      <c r="B36" s="2" t="s">
        <v>48</v>
      </c>
      <c r="C36" s="2" t="s">
        <v>245</v>
      </c>
      <c r="D36" s="2" t="s">
        <v>187</v>
      </c>
      <c r="E36" s="2" t="s">
        <v>250</v>
      </c>
      <c r="F36" s="2">
        <v>0.89999999999999991</v>
      </c>
      <c r="G36" s="2" t="s">
        <v>351</v>
      </c>
      <c r="H36" s="2" t="s">
        <v>352</v>
      </c>
      <c r="I36" s="2" t="s">
        <v>353</v>
      </c>
    </row>
    <row r="37" spans="1:9" ht="28.5">
      <c r="A37" s="2" t="s">
        <v>354</v>
      </c>
      <c r="B37" s="2" t="s">
        <v>48</v>
      </c>
      <c r="C37" s="2" t="s">
        <v>245</v>
      </c>
      <c r="D37" s="2" t="s">
        <v>57</v>
      </c>
      <c r="E37" s="2" t="s">
        <v>250</v>
      </c>
      <c r="F37" s="2">
        <v>1.7999999999999998</v>
      </c>
      <c r="G37" s="2"/>
      <c r="H37" s="2"/>
      <c r="I37" s="2" t="s">
        <v>64</v>
      </c>
    </row>
    <row r="38" spans="1:9" ht="28.5">
      <c r="A38" s="2" t="s">
        <v>358</v>
      </c>
      <c r="B38" s="2" t="s">
        <v>48</v>
      </c>
      <c r="C38" s="2" t="s">
        <v>245</v>
      </c>
      <c r="D38" s="2" t="s">
        <v>57</v>
      </c>
      <c r="E38" s="2" t="s">
        <v>250</v>
      </c>
      <c r="F38" s="2">
        <v>3.2</v>
      </c>
      <c r="G38" s="2"/>
      <c r="H38" s="2"/>
      <c r="I38" s="2" t="s">
        <v>64</v>
      </c>
    </row>
    <row r="39" spans="1:9" ht="28.5">
      <c r="A39" s="2" t="s">
        <v>365</v>
      </c>
      <c r="B39" s="2" t="s">
        <v>48</v>
      </c>
      <c r="C39" s="2" t="s">
        <v>245</v>
      </c>
      <c r="D39" s="2" t="s">
        <v>57</v>
      </c>
      <c r="E39" s="2" t="s">
        <v>56</v>
      </c>
      <c r="F39" s="2">
        <v>2.25</v>
      </c>
      <c r="G39" s="2" t="s">
        <v>58</v>
      </c>
      <c r="H39" s="2" t="s">
        <v>371</v>
      </c>
      <c r="I39" s="2" t="s">
        <v>373</v>
      </c>
    </row>
    <row r="40" spans="1:9" ht="28.5">
      <c r="A40" s="2" t="s">
        <v>376</v>
      </c>
      <c r="B40" s="2" t="s">
        <v>48</v>
      </c>
      <c r="C40" s="2" t="s">
        <v>245</v>
      </c>
      <c r="D40" s="2" t="s">
        <v>145</v>
      </c>
      <c r="E40" s="2" t="s">
        <v>250</v>
      </c>
      <c r="F40" s="2">
        <v>5.1428571428571432</v>
      </c>
      <c r="G40" s="2" t="s">
        <v>382</v>
      </c>
      <c r="H40" s="2"/>
      <c r="I40" s="2" t="s">
        <v>384</v>
      </c>
    </row>
    <row r="41" spans="1:9" ht="28.5">
      <c r="A41" s="2" t="s">
        <v>387</v>
      </c>
      <c r="B41" s="2" t="s">
        <v>48</v>
      </c>
      <c r="C41" s="2" t="s">
        <v>245</v>
      </c>
      <c r="D41" s="2" t="s">
        <v>145</v>
      </c>
      <c r="E41" s="2" t="s">
        <v>56</v>
      </c>
      <c r="F41" s="2">
        <v>3.2</v>
      </c>
      <c r="G41" s="2" t="s">
        <v>393</v>
      </c>
      <c r="H41" s="2" t="s">
        <v>394</v>
      </c>
      <c r="I41" s="2" t="s">
        <v>396</v>
      </c>
    </row>
    <row r="42" spans="1:9" ht="57">
      <c r="A42" s="2" t="s">
        <v>399</v>
      </c>
      <c r="B42" s="2" t="s">
        <v>48</v>
      </c>
      <c r="C42" s="2" t="s">
        <v>245</v>
      </c>
      <c r="D42" s="2" t="s">
        <v>57</v>
      </c>
      <c r="E42" s="2" t="s">
        <v>250</v>
      </c>
      <c r="F42" s="2">
        <v>7.2</v>
      </c>
      <c r="G42" s="2" t="s">
        <v>365</v>
      </c>
      <c r="H42" s="2" t="s">
        <v>404</v>
      </c>
      <c r="I42" s="2" t="s">
        <v>1736</v>
      </c>
    </row>
    <row r="43" spans="1:9">
      <c r="A43" s="2" t="s">
        <v>408</v>
      </c>
      <c r="B43" s="2" t="s">
        <v>48</v>
      </c>
      <c r="C43" s="2" t="s">
        <v>245</v>
      </c>
      <c r="D43" s="2" t="s">
        <v>57</v>
      </c>
      <c r="E43" s="2" t="s">
        <v>250</v>
      </c>
      <c r="F43" s="2">
        <v>7.2</v>
      </c>
      <c r="G43" s="2" t="s">
        <v>399</v>
      </c>
      <c r="H43" s="2" t="s">
        <v>412</v>
      </c>
      <c r="I43" s="2" t="s">
        <v>413</v>
      </c>
    </row>
    <row r="44" spans="1:9">
      <c r="A44" s="2" t="s">
        <v>416</v>
      </c>
      <c r="B44" s="2" t="s">
        <v>48</v>
      </c>
      <c r="C44" s="2" t="s">
        <v>245</v>
      </c>
      <c r="D44" s="2" t="s">
        <v>57</v>
      </c>
      <c r="E44" s="2" t="s">
        <v>250</v>
      </c>
      <c r="F44" s="2">
        <v>7.2</v>
      </c>
      <c r="G44" s="2" t="s">
        <v>420</v>
      </c>
      <c r="H44" s="2" t="s">
        <v>421</v>
      </c>
      <c r="I44" s="2" t="s">
        <v>422</v>
      </c>
    </row>
    <row r="45" spans="1:9">
      <c r="A45" s="2" t="s">
        <v>425</v>
      </c>
      <c r="B45" s="2" t="s">
        <v>48</v>
      </c>
      <c r="C45" s="2" t="s">
        <v>245</v>
      </c>
      <c r="D45" s="2" t="s">
        <v>57</v>
      </c>
      <c r="E45" s="2" t="s">
        <v>250</v>
      </c>
      <c r="F45" s="2">
        <v>2.5499999999999998</v>
      </c>
      <c r="G45" s="2" t="s">
        <v>430</v>
      </c>
      <c r="H45" s="2" t="s">
        <v>431</v>
      </c>
      <c r="I45" s="2" t="s">
        <v>432</v>
      </c>
    </row>
    <row r="46" spans="1:9">
      <c r="A46" s="2" t="s">
        <v>435</v>
      </c>
      <c r="B46" s="2" t="s">
        <v>48</v>
      </c>
      <c r="C46" s="2" t="s">
        <v>245</v>
      </c>
      <c r="D46" s="2" t="s">
        <v>57</v>
      </c>
      <c r="E46" s="2" t="s">
        <v>250</v>
      </c>
      <c r="F46" s="2">
        <v>2.125</v>
      </c>
      <c r="G46" s="2" t="s">
        <v>440</v>
      </c>
      <c r="H46" s="2" t="s">
        <v>441</v>
      </c>
      <c r="I46" s="2" t="s">
        <v>442</v>
      </c>
    </row>
    <row r="47" spans="1:9">
      <c r="A47" s="2" t="s">
        <v>445</v>
      </c>
      <c r="B47" s="2" t="s">
        <v>48</v>
      </c>
      <c r="C47" s="2" t="s">
        <v>245</v>
      </c>
      <c r="D47" s="2" t="s">
        <v>57</v>
      </c>
      <c r="E47" s="2" t="s">
        <v>250</v>
      </c>
      <c r="F47" s="2">
        <v>3.4</v>
      </c>
      <c r="G47" s="2" t="s">
        <v>450</v>
      </c>
      <c r="H47" s="2" t="s">
        <v>451</v>
      </c>
      <c r="I47" s="2" t="s">
        <v>452</v>
      </c>
    </row>
    <row r="48" spans="1:9" ht="42.75">
      <c r="A48" s="2" t="s">
        <v>455</v>
      </c>
      <c r="B48" s="2" t="s">
        <v>48</v>
      </c>
      <c r="C48" s="2" t="s">
        <v>245</v>
      </c>
      <c r="D48" s="2" t="s">
        <v>145</v>
      </c>
      <c r="E48" s="2" t="s">
        <v>56</v>
      </c>
      <c r="F48" s="2"/>
      <c r="G48" s="2" t="s">
        <v>461</v>
      </c>
      <c r="H48" s="2" t="s">
        <v>462</v>
      </c>
      <c r="I48" s="2" t="s">
        <v>1738</v>
      </c>
    </row>
    <row r="49" spans="1:9" ht="28.5">
      <c r="A49" s="2" t="s">
        <v>466</v>
      </c>
      <c r="B49" s="2" t="s">
        <v>48</v>
      </c>
      <c r="C49" s="2" t="s">
        <v>245</v>
      </c>
      <c r="D49" s="2" t="s">
        <v>145</v>
      </c>
      <c r="E49" s="2" t="s">
        <v>250</v>
      </c>
      <c r="F49" s="2"/>
      <c r="G49" s="2" t="s">
        <v>470</v>
      </c>
      <c r="H49" s="2" t="s">
        <v>471</v>
      </c>
      <c r="I49" s="2" t="s">
        <v>1739</v>
      </c>
    </row>
    <row r="50" spans="1:9" ht="42.75">
      <c r="A50" s="2" t="s">
        <v>471</v>
      </c>
      <c r="B50" s="2" t="s">
        <v>48</v>
      </c>
      <c r="C50" s="2" t="s">
        <v>245</v>
      </c>
      <c r="D50" s="2" t="s">
        <v>145</v>
      </c>
      <c r="E50" s="2" t="s">
        <v>250</v>
      </c>
      <c r="F50" s="2"/>
      <c r="G50" s="2" t="s">
        <v>477</v>
      </c>
      <c r="H50" s="2" t="s">
        <v>478</v>
      </c>
      <c r="I50" s="2" t="s">
        <v>1741</v>
      </c>
    </row>
    <row r="51" spans="1:9" ht="42.75">
      <c r="A51" s="2" t="s">
        <v>481</v>
      </c>
      <c r="B51" s="2" t="s">
        <v>48</v>
      </c>
      <c r="C51" s="2" t="s">
        <v>245</v>
      </c>
      <c r="D51" s="2" t="s">
        <v>145</v>
      </c>
      <c r="E51" s="2" t="s">
        <v>56</v>
      </c>
      <c r="F51" s="2"/>
      <c r="G51" s="2" t="s">
        <v>485</v>
      </c>
      <c r="H51" s="2" t="s">
        <v>486</v>
      </c>
      <c r="I51" s="2" t="s">
        <v>1738</v>
      </c>
    </row>
    <row r="52" spans="1:9" ht="28.5">
      <c r="A52" s="2" t="s">
        <v>486</v>
      </c>
      <c r="B52" s="2" t="s">
        <v>48</v>
      </c>
      <c r="C52" s="2" t="s">
        <v>245</v>
      </c>
      <c r="D52" s="2" t="s">
        <v>145</v>
      </c>
      <c r="E52" s="2" t="s">
        <v>250</v>
      </c>
      <c r="F52" s="2"/>
      <c r="G52" s="2" t="s">
        <v>492</v>
      </c>
      <c r="H52" s="2"/>
      <c r="I52" s="2" t="s">
        <v>1742</v>
      </c>
    </row>
    <row r="53" spans="1:9" ht="57">
      <c r="A53" s="2" t="s">
        <v>495</v>
      </c>
      <c r="B53" s="2" t="s">
        <v>48</v>
      </c>
      <c r="C53" s="2" t="s">
        <v>245</v>
      </c>
      <c r="D53" s="2" t="s">
        <v>145</v>
      </c>
      <c r="E53" s="2" t="s">
        <v>250</v>
      </c>
      <c r="F53" s="2"/>
      <c r="G53" s="2" t="s">
        <v>499</v>
      </c>
      <c r="H53" s="2"/>
      <c r="I53" s="2" t="s">
        <v>1743</v>
      </c>
    </row>
    <row r="54" spans="1:9" ht="28.5">
      <c r="A54" s="2" t="s">
        <v>502</v>
      </c>
      <c r="B54" s="2" t="s">
        <v>48</v>
      </c>
      <c r="C54" s="2" t="s">
        <v>245</v>
      </c>
      <c r="D54" s="2" t="s">
        <v>145</v>
      </c>
      <c r="E54" s="2" t="s">
        <v>250</v>
      </c>
      <c r="F54" s="2"/>
      <c r="G54" s="2" t="s">
        <v>508</v>
      </c>
      <c r="H54" s="2"/>
      <c r="I54" s="2" t="s">
        <v>510</v>
      </c>
    </row>
    <row r="55" spans="1:9" ht="28.5">
      <c r="A55" s="2" t="s">
        <v>513</v>
      </c>
      <c r="B55" s="2" t="s">
        <v>48</v>
      </c>
      <c r="C55" s="2" t="s">
        <v>514</v>
      </c>
      <c r="D55" s="2" t="s">
        <v>145</v>
      </c>
      <c r="E55" s="2" t="s">
        <v>250</v>
      </c>
      <c r="F55" s="2">
        <v>1.3333333333333333</v>
      </c>
      <c r="G55" s="2" t="s">
        <v>519</v>
      </c>
      <c r="H55" s="2" t="s">
        <v>520</v>
      </c>
      <c r="I55" s="2" t="s">
        <v>522</v>
      </c>
    </row>
    <row r="56" spans="1:9">
      <c r="A56" s="2" t="s">
        <v>431</v>
      </c>
      <c r="B56" s="2" t="s">
        <v>48</v>
      </c>
      <c r="C56" s="2" t="s">
        <v>514</v>
      </c>
      <c r="D56" s="2" t="s">
        <v>145</v>
      </c>
      <c r="E56" s="2" t="s">
        <v>250</v>
      </c>
      <c r="F56" s="2">
        <v>4</v>
      </c>
      <c r="G56" s="2" t="s">
        <v>531</v>
      </c>
      <c r="H56" s="2" t="s">
        <v>532</v>
      </c>
      <c r="I56" s="2" t="s">
        <v>534</v>
      </c>
    </row>
    <row r="57" spans="1:9" ht="28.5">
      <c r="A57" s="2" t="s">
        <v>532</v>
      </c>
      <c r="B57" s="2" t="s">
        <v>48</v>
      </c>
      <c r="C57" s="2" t="s">
        <v>514</v>
      </c>
      <c r="D57" s="2" t="s">
        <v>145</v>
      </c>
      <c r="E57" s="2" t="s">
        <v>250</v>
      </c>
      <c r="F57" s="2">
        <v>4.25</v>
      </c>
      <c r="G57" s="2" t="s">
        <v>541</v>
      </c>
      <c r="H57" s="2"/>
      <c r="I57" s="2" t="s">
        <v>543</v>
      </c>
    </row>
    <row r="58" spans="1:9" ht="28.5">
      <c r="A58" s="2" t="s">
        <v>546</v>
      </c>
      <c r="B58" s="2" t="s">
        <v>48</v>
      </c>
      <c r="C58" s="2" t="s">
        <v>547</v>
      </c>
      <c r="D58" s="2" t="s">
        <v>553</v>
      </c>
      <c r="E58" s="2" t="s">
        <v>56</v>
      </c>
      <c r="F58" s="2">
        <v>0</v>
      </c>
      <c r="G58" s="2"/>
      <c r="H58" s="2" t="s">
        <v>554</v>
      </c>
      <c r="I58" s="2" t="s">
        <v>557</v>
      </c>
    </row>
    <row r="59" spans="1:9" ht="28.5">
      <c r="A59" s="2" t="s">
        <v>562</v>
      </c>
      <c r="B59" s="2" t="s">
        <v>48</v>
      </c>
      <c r="C59" s="2" t="s">
        <v>547</v>
      </c>
      <c r="D59" s="2" t="s">
        <v>553</v>
      </c>
      <c r="E59" s="2" t="s">
        <v>56</v>
      </c>
      <c r="F59" s="2">
        <v>0</v>
      </c>
      <c r="G59" s="2"/>
      <c r="H59" s="2" t="s">
        <v>567</v>
      </c>
      <c r="I59" s="2" t="s">
        <v>557</v>
      </c>
    </row>
    <row r="60" spans="1:9" ht="28.5">
      <c r="A60" s="2" t="s">
        <v>568</v>
      </c>
      <c r="B60" s="2" t="s">
        <v>48</v>
      </c>
      <c r="C60" s="2" t="s">
        <v>547</v>
      </c>
      <c r="D60" s="2" t="s">
        <v>553</v>
      </c>
      <c r="E60" s="2" t="s">
        <v>56</v>
      </c>
      <c r="F60" s="2">
        <v>0</v>
      </c>
      <c r="G60" s="2"/>
      <c r="H60" s="2" t="s">
        <v>573</v>
      </c>
      <c r="I60" s="2" t="s">
        <v>557</v>
      </c>
    </row>
    <row r="61" spans="1:9" ht="28.5">
      <c r="A61" s="2" t="s">
        <v>574</v>
      </c>
      <c r="B61" s="2" t="s">
        <v>48</v>
      </c>
      <c r="C61" s="2" t="s">
        <v>547</v>
      </c>
      <c r="D61" s="2" t="s">
        <v>553</v>
      </c>
      <c r="E61" s="2" t="s">
        <v>56</v>
      </c>
      <c r="F61" s="2">
        <v>0</v>
      </c>
      <c r="G61" s="2"/>
      <c r="H61" s="2" t="s">
        <v>578</v>
      </c>
      <c r="I61" s="2" t="s">
        <v>557</v>
      </c>
    </row>
    <row r="62" spans="1:9" ht="28.5">
      <c r="A62" s="2" t="s">
        <v>579</v>
      </c>
      <c r="B62" s="2" t="s">
        <v>48</v>
      </c>
      <c r="C62" s="2" t="s">
        <v>547</v>
      </c>
      <c r="D62" s="2" t="s">
        <v>553</v>
      </c>
      <c r="E62" s="2" t="s">
        <v>56</v>
      </c>
      <c r="F62" s="2">
        <v>0</v>
      </c>
      <c r="G62" s="2"/>
      <c r="H62" s="2" t="s">
        <v>585</v>
      </c>
      <c r="I62" s="2" t="s">
        <v>557</v>
      </c>
    </row>
    <row r="63" spans="1:9" ht="28.5">
      <c r="A63" s="2" t="s">
        <v>586</v>
      </c>
      <c r="B63" s="2" t="s">
        <v>48</v>
      </c>
      <c r="C63" s="2" t="s">
        <v>547</v>
      </c>
      <c r="D63" s="2" t="s">
        <v>553</v>
      </c>
      <c r="E63" s="2" t="s">
        <v>56</v>
      </c>
      <c r="F63" s="2">
        <v>0</v>
      </c>
      <c r="G63" s="2"/>
      <c r="H63" s="2" t="s">
        <v>591</v>
      </c>
      <c r="I63" s="2" t="s">
        <v>557</v>
      </c>
    </row>
    <row r="64" spans="1:9" ht="28.5">
      <c r="A64" s="2" t="s">
        <v>592</v>
      </c>
      <c r="B64" s="2" t="s">
        <v>48</v>
      </c>
      <c r="C64" s="2" t="s">
        <v>547</v>
      </c>
      <c r="D64" s="2" t="s">
        <v>553</v>
      </c>
      <c r="E64" s="2" t="s">
        <v>56</v>
      </c>
      <c r="F64" s="2">
        <v>0</v>
      </c>
      <c r="G64" s="2"/>
      <c r="H64" s="2" t="s">
        <v>597</v>
      </c>
      <c r="I64" s="2" t="s">
        <v>557</v>
      </c>
    </row>
    <row r="65" spans="1:9" ht="28.5">
      <c r="A65" s="2" t="s">
        <v>598</v>
      </c>
      <c r="B65" s="2" t="s">
        <v>48</v>
      </c>
      <c r="C65" s="2" t="s">
        <v>547</v>
      </c>
      <c r="D65" s="2" t="s">
        <v>553</v>
      </c>
      <c r="E65" s="2" t="s">
        <v>56</v>
      </c>
      <c r="F65" s="2">
        <v>0</v>
      </c>
      <c r="G65" s="2"/>
      <c r="H65" s="2" t="s">
        <v>591</v>
      </c>
      <c r="I65" s="2" t="s">
        <v>557</v>
      </c>
    </row>
    <row r="66" spans="1:9" ht="28.5">
      <c r="A66" s="2" t="s">
        <v>603</v>
      </c>
      <c r="B66" s="2" t="s">
        <v>48</v>
      </c>
      <c r="C66" s="2" t="s">
        <v>547</v>
      </c>
      <c r="D66" s="2" t="s">
        <v>553</v>
      </c>
      <c r="E66" s="2" t="s">
        <v>56</v>
      </c>
      <c r="F66" s="2">
        <v>0</v>
      </c>
      <c r="G66" s="2" t="s">
        <v>608</v>
      </c>
      <c r="H66" s="2" t="s">
        <v>591</v>
      </c>
      <c r="I66" s="2" t="s">
        <v>557</v>
      </c>
    </row>
    <row r="67" spans="1:9" ht="28.5">
      <c r="A67" s="2" t="s">
        <v>609</v>
      </c>
      <c r="B67" s="2" t="s">
        <v>48</v>
      </c>
      <c r="C67" s="2" t="s">
        <v>547</v>
      </c>
      <c r="D67" s="2" t="s">
        <v>553</v>
      </c>
      <c r="E67" s="2" t="s">
        <v>56</v>
      </c>
      <c r="F67" s="2">
        <v>0</v>
      </c>
      <c r="G67" s="2"/>
      <c r="H67" s="2" t="s">
        <v>614</v>
      </c>
      <c r="I67" s="2" t="s">
        <v>557</v>
      </c>
    </row>
    <row r="68" spans="1:9" ht="28.5">
      <c r="A68" s="2" t="s">
        <v>615</v>
      </c>
      <c r="B68" s="2" t="s">
        <v>48</v>
      </c>
      <c r="C68" s="2" t="s">
        <v>547</v>
      </c>
      <c r="D68" s="2" t="s">
        <v>553</v>
      </c>
      <c r="E68" s="2" t="s">
        <v>56</v>
      </c>
      <c r="F68" s="2">
        <v>0</v>
      </c>
      <c r="G68" s="2"/>
      <c r="H68" s="2" t="s">
        <v>620</v>
      </c>
      <c r="I68" s="2" t="s">
        <v>557</v>
      </c>
    </row>
    <row r="69" spans="1:9" ht="28.5">
      <c r="A69" s="2" t="s">
        <v>621</v>
      </c>
      <c r="B69" s="2" t="s">
        <v>48</v>
      </c>
      <c r="C69" s="2" t="s">
        <v>547</v>
      </c>
      <c r="D69" s="2" t="s">
        <v>553</v>
      </c>
      <c r="E69" s="2" t="s">
        <v>56</v>
      </c>
      <c r="F69" s="2">
        <v>0</v>
      </c>
      <c r="G69" s="2"/>
      <c r="H69" s="2" t="s">
        <v>626</v>
      </c>
      <c r="I69" s="2" t="s">
        <v>557</v>
      </c>
    </row>
    <row r="70" spans="1:9" ht="28.5">
      <c r="A70" s="2" t="s">
        <v>627</v>
      </c>
      <c r="B70" s="2" t="s">
        <v>48</v>
      </c>
      <c r="C70" s="2" t="s">
        <v>547</v>
      </c>
      <c r="D70" s="2" t="s">
        <v>553</v>
      </c>
      <c r="E70" s="2" t="s">
        <v>56</v>
      </c>
      <c r="F70" s="2">
        <v>0</v>
      </c>
      <c r="G70" s="2"/>
      <c r="H70" s="2" t="s">
        <v>632</v>
      </c>
      <c r="I70" s="2" t="s">
        <v>557</v>
      </c>
    </row>
    <row r="71" spans="1:9" ht="28.5">
      <c r="A71" s="2" t="s">
        <v>633</v>
      </c>
      <c r="B71" s="2" t="s">
        <v>48</v>
      </c>
      <c r="C71" s="2" t="s">
        <v>547</v>
      </c>
      <c r="D71" s="2" t="s">
        <v>553</v>
      </c>
      <c r="E71" s="2" t="s">
        <v>56</v>
      </c>
      <c r="F71" s="2">
        <v>0</v>
      </c>
      <c r="G71" s="2"/>
      <c r="H71" s="2" t="s">
        <v>632</v>
      </c>
      <c r="I71" s="2" t="s">
        <v>557</v>
      </c>
    </row>
    <row r="72" spans="1:9" ht="28.5">
      <c r="A72" s="2" t="s">
        <v>638</v>
      </c>
      <c r="B72" s="2" t="s">
        <v>48</v>
      </c>
      <c r="C72" s="2" t="s">
        <v>547</v>
      </c>
      <c r="D72" s="2" t="s">
        <v>553</v>
      </c>
      <c r="E72" s="2" t="s">
        <v>56</v>
      </c>
      <c r="F72" s="2">
        <v>0</v>
      </c>
      <c r="G72" s="2"/>
      <c r="H72" s="2" t="s">
        <v>632</v>
      </c>
      <c r="I72" s="2" t="s">
        <v>557</v>
      </c>
    </row>
    <row r="73" spans="1:9" ht="28.5">
      <c r="A73" s="2" t="s">
        <v>643</v>
      </c>
      <c r="B73" s="2" t="s">
        <v>48</v>
      </c>
      <c r="C73" s="2" t="s">
        <v>547</v>
      </c>
      <c r="D73" s="2" t="s">
        <v>553</v>
      </c>
      <c r="E73" s="2" t="s">
        <v>56</v>
      </c>
      <c r="F73" s="2">
        <v>0</v>
      </c>
      <c r="G73" s="2"/>
      <c r="H73" s="2"/>
      <c r="I73" s="2" t="s">
        <v>557</v>
      </c>
    </row>
    <row r="74" spans="1:9" ht="28.5">
      <c r="A74" s="2" t="s">
        <v>648</v>
      </c>
      <c r="B74" s="2" t="s">
        <v>48</v>
      </c>
      <c r="C74" s="2" t="s">
        <v>547</v>
      </c>
      <c r="D74" s="2" t="s">
        <v>187</v>
      </c>
      <c r="E74" s="2" t="s">
        <v>250</v>
      </c>
      <c r="F74" s="2">
        <v>2.5</v>
      </c>
      <c r="G74" s="2" t="s">
        <v>654</v>
      </c>
      <c r="H74" s="2" t="s">
        <v>376</v>
      </c>
      <c r="I74" s="2" t="s">
        <v>656</v>
      </c>
    </row>
    <row r="75" spans="1:9">
      <c r="A75" s="2" t="s">
        <v>659</v>
      </c>
      <c r="B75" s="2" t="s">
        <v>48</v>
      </c>
      <c r="C75" s="2" t="s">
        <v>547</v>
      </c>
      <c r="D75" s="2" t="s">
        <v>187</v>
      </c>
      <c r="E75" s="2" t="s">
        <v>250</v>
      </c>
      <c r="F75" s="2">
        <v>1.5</v>
      </c>
      <c r="G75" s="2" t="s">
        <v>203</v>
      </c>
      <c r="H75" s="2" t="s">
        <v>664</v>
      </c>
      <c r="I75" s="2" t="s">
        <v>665</v>
      </c>
    </row>
    <row r="76" spans="1:9">
      <c r="A76" s="2" t="s">
        <v>668</v>
      </c>
      <c r="B76" s="2" t="s">
        <v>48</v>
      </c>
      <c r="C76" s="2" t="s">
        <v>547</v>
      </c>
      <c r="D76" s="2" t="s">
        <v>187</v>
      </c>
      <c r="E76" s="2" t="s">
        <v>56</v>
      </c>
      <c r="F76" s="2">
        <v>2.5</v>
      </c>
      <c r="G76" s="2" t="s">
        <v>673</v>
      </c>
      <c r="H76" s="2" t="s">
        <v>674</v>
      </c>
      <c r="I76" s="2" t="s">
        <v>675</v>
      </c>
    </row>
    <row r="77" spans="1:9" ht="42.75">
      <c r="A77" s="2" t="s">
        <v>678</v>
      </c>
      <c r="B77" s="2" t="s">
        <v>48</v>
      </c>
      <c r="C77" s="2" t="s">
        <v>547</v>
      </c>
      <c r="D77" s="2" t="s">
        <v>187</v>
      </c>
      <c r="E77" s="2" t="s">
        <v>56</v>
      </c>
      <c r="F77" s="2">
        <v>2</v>
      </c>
      <c r="G77" s="2" t="s">
        <v>193</v>
      </c>
      <c r="H77" s="2" t="s">
        <v>683</v>
      </c>
      <c r="I77" s="2" t="s">
        <v>684</v>
      </c>
    </row>
    <row r="78" spans="1:9">
      <c r="A78" s="2" t="s">
        <v>683</v>
      </c>
      <c r="B78" s="2" t="s">
        <v>48</v>
      </c>
      <c r="C78" s="2" t="s">
        <v>547</v>
      </c>
      <c r="D78" s="2" t="s">
        <v>187</v>
      </c>
      <c r="E78" s="2" t="s">
        <v>56</v>
      </c>
      <c r="F78" s="2">
        <v>3.2</v>
      </c>
      <c r="G78" s="2" t="s">
        <v>691</v>
      </c>
      <c r="H78" s="2" t="s">
        <v>692</v>
      </c>
      <c r="I78" s="2" t="s">
        <v>693</v>
      </c>
    </row>
    <row r="79" spans="1:9">
      <c r="A79" s="2" t="s">
        <v>696</v>
      </c>
      <c r="B79" s="2" t="s">
        <v>48</v>
      </c>
      <c r="C79" s="2" t="s">
        <v>547</v>
      </c>
      <c r="D79" s="2" t="s">
        <v>187</v>
      </c>
      <c r="E79" s="2" t="s">
        <v>56</v>
      </c>
      <c r="F79" s="2">
        <v>2</v>
      </c>
      <c r="G79" s="2" t="s">
        <v>683</v>
      </c>
      <c r="H79" s="2" t="s">
        <v>701</v>
      </c>
      <c r="I79" s="2" t="s">
        <v>702</v>
      </c>
    </row>
    <row r="80" spans="1:9" ht="42.75">
      <c r="A80" s="2" t="s">
        <v>705</v>
      </c>
      <c r="B80" s="2" t="s">
        <v>48</v>
      </c>
      <c r="C80" s="2" t="s">
        <v>547</v>
      </c>
      <c r="D80" s="2" t="s">
        <v>187</v>
      </c>
      <c r="E80" s="2" t="s">
        <v>250</v>
      </c>
      <c r="F80" s="2">
        <v>5.4</v>
      </c>
      <c r="G80" s="2" t="s">
        <v>710</v>
      </c>
      <c r="H80" s="2"/>
      <c r="I80" s="2" t="s">
        <v>712</v>
      </c>
    </row>
    <row r="81" spans="1:9" ht="42.75">
      <c r="A81" s="2" t="s">
        <v>715</v>
      </c>
      <c r="B81" s="2" t="s">
        <v>48</v>
      </c>
      <c r="C81" s="2" t="s">
        <v>547</v>
      </c>
      <c r="D81" s="2" t="s">
        <v>187</v>
      </c>
      <c r="E81" s="2" t="s">
        <v>250</v>
      </c>
      <c r="F81" s="2">
        <v>4.25</v>
      </c>
      <c r="G81" s="2" t="s">
        <v>721</v>
      </c>
      <c r="H81" s="2"/>
      <c r="I81" s="2" t="s">
        <v>723</v>
      </c>
    </row>
    <row r="82" spans="1:9" ht="28.5">
      <c r="A82" s="2" t="s">
        <v>726</v>
      </c>
      <c r="B82" s="2" t="s">
        <v>48</v>
      </c>
      <c r="C82" s="2" t="s">
        <v>547</v>
      </c>
      <c r="D82" s="2" t="s">
        <v>187</v>
      </c>
      <c r="E82" s="2" t="s">
        <v>56</v>
      </c>
      <c r="F82" s="2">
        <v>2</v>
      </c>
      <c r="G82" s="2" t="s">
        <v>732</v>
      </c>
      <c r="H82" s="2" t="s">
        <v>733</v>
      </c>
      <c r="I82" s="2" t="s">
        <v>734</v>
      </c>
    </row>
    <row r="83" spans="1:9" ht="28.5">
      <c r="A83" s="2" t="s">
        <v>737</v>
      </c>
      <c r="B83" s="2" t="s">
        <v>48</v>
      </c>
      <c r="C83" s="2" t="s">
        <v>547</v>
      </c>
      <c r="D83" s="2" t="s">
        <v>187</v>
      </c>
      <c r="E83" s="2" t="s">
        <v>56</v>
      </c>
      <c r="F83" s="2">
        <v>2.666666666666667</v>
      </c>
      <c r="G83" s="2" t="s">
        <v>742</v>
      </c>
      <c r="H83" s="2" t="s">
        <v>743</v>
      </c>
      <c r="I83" s="2" t="s">
        <v>745</v>
      </c>
    </row>
    <row r="84" spans="1:9" ht="28.5">
      <c r="A84" s="2" t="s">
        <v>748</v>
      </c>
      <c r="B84" s="2" t="s">
        <v>48</v>
      </c>
      <c r="C84" s="2" t="s">
        <v>547</v>
      </c>
      <c r="D84" s="2" t="s">
        <v>145</v>
      </c>
      <c r="E84" s="2" t="s">
        <v>250</v>
      </c>
      <c r="F84" s="2">
        <v>4.25</v>
      </c>
      <c r="G84" s="2" t="s">
        <v>754</v>
      </c>
      <c r="H84" s="2" t="s">
        <v>755</v>
      </c>
      <c r="I84" s="2" t="s">
        <v>757</v>
      </c>
    </row>
    <row r="85" spans="1:9" ht="57">
      <c r="A85" s="2" t="s">
        <v>760</v>
      </c>
      <c r="B85" s="2" t="s">
        <v>48</v>
      </c>
      <c r="C85" s="2" t="s">
        <v>761</v>
      </c>
      <c r="D85" s="2" t="s">
        <v>57</v>
      </c>
      <c r="E85" s="2" t="s">
        <v>250</v>
      </c>
      <c r="F85" s="2">
        <v>2.3250000000000002</v>
      </c>
      <c r="G85" s="2" t="s">
        <v>91</v>
      </c>
      <c r="H85" s="2" t="s">
        <v>766</v>
      </c>
      <c r="I85" s="2" t="s">
        <v>768</v>
      </c>
    </row>
    <row r="86" spans="1:9" ht="28.5">
      <c r="A86" s="2" t="s">
        <v>771</v>
      </c>
      <c r="B86" s="2" t="s">
        <v>48</v>
      </c>
      <c r="C86" s="2" t="s">
        <v>761</v>
      </c>
      <c r="D86" s="2" t="s">
        <v>57</v>
      </c>
      <c r="E86" s="2" t="s">
        <v>250</v>
      </c>
      <c r="F86" s="2">
        <v>1.2000000000000002</v>
      </c>
      <c r="G86" s="2"/>
      <c r="H86" s="2" t="s">
        <v>775</v>
      </c>
      <c r="I86" s="2" t="s">
        <v>64</v>
      </c>
    </row>
    <row r="87" spans="1:9" ht="42.75">
      <c r="A87" s="2" t="s">
        <v>776</v>
      </c>
      <c r="B87" s="2" t="s">
        <v>48</v>
      </c>
      <c r="C87" s="2" t="s">
        <v>761</v>
      </c>
      <c r="D87" s="2" t="s">
        <v>57</v>
      </c>
      <c r="E87" s="2" t="s">
        <v>250</v>
      </c>
      <c r="F87" s="2">
        <v>0.89999999999999991</v>
      </c>
      <c r="G87" s="2" t="s">
        <v>780</v>
      </c>
      <c r="H87" s="2" t="s">
        <v>766</v>
      </c>
      <c r="I87" s="2" t="s">
        <v>781</v>
      </c>
    </row>
    <row r="88" spans="1:9" ht="28.5">
      <c r="A88" s="2" t="s">
        <v>782</v>
      </c>
      <c r="B88" s="2" t="s">
        <v>48</v>
      </c>
      <c r="C88" s="2" t="s">
        <v>761</v>
      </c>
      <c r="D88" s="2" t="s">
        <v>57</v>
      </c>
      <c r="E88" s="2" t="s">
        <v>250</v>
      </c>
      <c r="F88" s="2">
        <v>0.77500000000000002</v>
      </c>
      <c r="G88" s="2"/>
      <c r="H88" s="2"/>
      <c r="I88" s="2" t="s">
        <v>64</v>
      </c>
    </row>
    <row r="89" spans="1:9" ht="28.5">
      <c r="A89" s="2" t="s">
        <v>786</v>
      </c>
      <c r="B89" s="2" t="s">
        <v>48</v>
      </c>
      <c r="C89" s="2" t="s">
        <v>761</v>
      </c>
      <c r="D89" s="2" t="s">
        <v>57</v>
      </c>
      <c r="E89" s="2" t="s">
        <v>250</v>
      </c>
      <c r="F89" s="2">
        <v>1.7999999999999998</v>
      </c>
      <c r="G89" s="2"/>
      <c r="H89" s="2"/>
      <c r="I89" s="2" t="s">
        <v>64</v>
      </c>
    </row>
    <row r="90" spans="1:9" ht="28.5">
      <c r="A90" s="2" t="s">
        <v>791</v>
      </c>
      <c r="B90" s="2" t="s">
        <v>48</v>
      </c>
      <c r="C90" s="2" t="s">
        <v>761</v>
      </c>
      <c r="D90" s="2" t="s">
        <v>57</v>
      </c>
      <c r="E90" s="2" t="s">
        <v>250</v>
      </c>
      <c r="F90" s="2">
        <v>1.7999999999999998</v>
      </c>
      <c r="G90" s="2"/>
      <c r="H90" s="2" t="s">
        <v>796</v>
      </c>
      <c r="I90" s="2" t="s">
        <v>64</v>
      </c>
    </row>
    <row r="91" spans="1:9" ht="28.5">
      <c r="A91" s="2" t="s">
        <v>797</v>
      </c>
      <c r="B91" s="2" t="s">
        <v>48</v>
      </c>
      <c r="C91" s="2" t="s">
        <v>761</v>
      </c>
      <c r="D91" s="2" t="s">
        <v>145</v>
      </c>
      <c r="E91" s="2" t="s">
        <v>250</v>
      </c>
      <c r="F91" s="2">
        <v>2</v>
      </c>
      <c r="G91" s="2"/>
      <c r="H91" s="2"/>
      <c r="I91" s="2" t="s">
        <v>64</v>
      </c>
    </row>
    <row r="92" spans="1:9" ht="42.75">
      <c r="A92" s="2" t="s">
        <v>801</v>
      </c>
      <c r="B92" s="2" t="s">
        <v>48</v>
      </c>
      <c r="C92" s="2" t="s">
        <v>761</v>
      </c>
      <c r="D92" s="2" t="s">
        <v>57</v>
      </c>
      <c r="E92" s="2" t="s">
        <v>250</v>
      </c>
      <c r="F92" s="2">
        <v>1.7999999999999998</v>
      </c>
      <c r="G92" s="2" t="s">
        <v>791</v>
      </c>
      <c r="H92" s="2" t="s">
        <v>806</v>
      </c>
      <c r="I92" s="2" t="s">
        <v>807</v>
      </c>
    </row>
    <row r="93" spans="1:9" ht="28.5">
      <c r="A93" s="2" t="s">
        <v>808</v>
      </c>
      <c r="B93" s="2" t="s">
        <v>48</v>
      </c>
      <c r="C93" s="2" t="s">
        <v>761</v>
      </c>
      <c r="D93" s="2" t="s">
        <v>57</v>
      </c>
      <c r="E93" s="2" t="s">
        <v>250</v>
      </c>
      <c r="F93" s="2">
        <v>3.2</v>
      </c>
      <c r="G93" s="2"/>
      <c r="H93" s="2"/>
      <c r="I93" s="2" t="s">
        <v>64</v>
      </c>
    </row>
    <row r="94" spans="1:9" ht="28.5">
      <c r="A94" s="2" t="s">
        <v>811</v>
      </c>
      <c r="B94" s="2" t="s">
        <v>48</v>
      </c>
      <c r="C94" s="2" t="s">
        <v>761</v>
      </c>
      <c r="D94" s="2" t="s">
        <v>57</v>
      </c>
      <c r="E94" s="2" t="s">
        <v>250</v>
      </c>
      <c r="F94" s="2">
        <v>3.2</v>
      </c>
      <c r="G94" s="2"/>
      <c r="H94" s="2" t="s">
        <v>816</v>
      </c>
      <c r="I94" s="2" t="s">
        <v>64</v>
      </c>
    </row>
    <row r="95" spans="1:9" ht="28.5">
      <c r="A95" s="2" t="s">
        <v>817</v>
      </c>
      <c r="B95" s="2" t="s">
        <v>48</v>
      </c>
      <c r="C95" s="2" t="s">
        <v>761</v>
      </c>
      <c r="D95" s="2" t="s">
        <v>57</v>
      </c>
      <c r="E95" s="2" t="s">
        <v>250</v>
      </c>
      <c r="F95" s="2">
        <v>3.2</v>
      </c>
      <c r="G95" s="2"/>
      <c r="H95" s="2"/>
      <c r="I95" s="2" t="s">
        <v>64</v>
      </c>
    </row>
    <row r="96" spans="1:9" ht="28.5">
      <c r="A96" s="2" t="s">
        <v>821</v>
      </c>
      <c r="B96" s="2" t="s">
        <v>48</v>
      </c>
      <c r="C96" s="2" t="s">
        <v>761</v>
      </c>
      <c r="D96" s="2" t="s">
        <v>57</v>
      </c>
      <c r="E96" s="2" t="s">
        <v>250</v>
      </c>
      <c r="F96" s="2">
        <v>0.9</v>
      </c>
      <c r="G96" s="2"/>
      <c r="H96" s="2"/>
      <c r="I96" s="2" t="s">
        <v>64</v>
      </c>
    </row>
    <row r="97" spans="1:9" ht="42.75">
      <c r="A97" s="2" t="s">
        <v>520</v>
      </c>
      <c r="B97" s="2" t="s">
        <v>48</v>
      </c>
      <c r="C97" s="2" t="s">
        <v>761</v>
      </c>
      <c r="D97" s="2" t="s">
        <v>57</v>
      </c>
      <c r="E97" s="2" t="s">
        <v>250</v>
      </c>
      <c r="F97" s="2">
        <v>4.08</v>
      </c>
      <c r="G97" s="2" t="s">
        <v>1748</v>
      </c>
      <c r="H97" s="2"/>
      <c r="I97" s="2" t="s">
        <v>830</v>
      </c>
    </row>
    <row r="98" spans="1:9" ht="28.5">
      <c r="A98" s="2" t="s">
        <v>833</v>
      </c>
      <c r="B98" s="2" t="s">
        <v>48</v>
      </c>
      <c r="C98" s="2" t="s">
        <v>761</v>
      </c>
      <c r="D98" s="2" t="s">
        <v>57</v>
      </c>
      <c r="E98" s="2" t="s">
        <v>250</v>
      </c>
      <c r="F98" s="2">
        <v>2.25</v>
      </c>
      <c r="G98" s="2" t="s">
        <v>387</v>
      </c>
      <c r="H98" s="2"/>
      <c r="I98" s="2" t="s">
        <v>839</v>
      </c>
    </row>
    <row r="99" spans="1:9" ht="42.75">
      <c r="A99" s="2" t="s">
        <v>842</v>
      </c>
      <c r="B99" s="2" t="s">
        <v>843</v>
      </c>
      <c r="C99" s="2" t="s">
        <v>49</v>
      </c>
      <c r="D99" s="2" t="s">
        <v>57</v>
      </c>
      <c r="E99" s="2" t="s">
        <v>250</v>
      </c>
      <c r="F99" s="2">
        <v>3.2</v>
      </c>
      <c r="G99" s="2" t="s">
        <v>847</v>
      </c>
      <c r="H99" s="2" t="s">
        <v>848</v>
      </c>
      <c r="I99" s="2" t="s">
        <v>852</v>
      </c>
    </row>
    <row r="100" spans="1:9" ht="28.5">
      <c r="A100" s="2" t="s">
        <v>855</v>
      </c>
      <c r="B100" s="2" t="s">
        <v>843</v>
      </c>
      <c r="C100" s="2" t="s">
        <v>49</v>
      </c>
      <c r="D100" s="2" t="s">
        <v>57</v>
      </c>
      <c r="E100" s="2" t="s">
        <v>250</v>
      </c>
      <c r="F100" s="2">
        <v>7.2</v>
      </c>
      <c r="G100" s="2"/>
      <c r="H100" s="2"/>
      <c r="I100" s="2" t="s">
        <v>861</v>
      </c>
    </row>
    <row r="101" spans="1:9" ht="28.5">
      <c r="A101" s="2" t="s">
        <v>863</v>
      </c>
      <c r="B101" s="2" t="s">
        <v>843</v>
      </c>
      <c r="C101" s="2" t="s">
        <v>49</v>
      </c>
      <c r="D101" s="2" t="s">
        <v>57</v>
      </c>
      <c r="E101" s="2" t="s">
        <v>250</v>
      </c>
      <c r="F101" s="2">
        <v>7.2</v>
      </c>
      <c r="G101" s="2"/>
      <c r="H101" s="2"/>
      <c r="I101" s="2" t="s">
        <v>861</v>
      </c>
    </row>
    <row r="102" spans="1:9" ht="28.5">
      <c r="A102" s="2" t="s">
        <v>421</v>
      </c>
      <c r="B102" s="2" t="s">
        <v>843</v>
      </c>
      <c r="C102" s="2" t="s">
        <v>49</v>
      </c>
      <c r="D102" s="2" t="s">
        <v>57</v>
      </c>
      <c r="E102" s="2" t="s">
        <v>250</v>
      </c>
      <c r="F102" s="2">
        <v>7.2</v>
      </c>
      <c r="G102" s="2" t="s">
        <v>871</v>
      </c>
      <c r="H102" s="2"/>
      <c r="I102" s="2" t="s">
        <v>861</v>
      </c>
    </row>
    <row r="103" spans="1:9" ht="28.5">
      <c r="A103" s="2" t="s">
        <v>872</v>
      </c>
      <c r="B103" s="2" t="s">
        <v>843</v>
      </c>
      <c r="C103" s="2" t="s">
        <v>49</v>
      </c>
      <c r="D103" s="2" t="s">
        <v>57</v>
      </c>
      <c r="E103" s="2" t="s">
        <v>250</v>
      </c>
      <c r="F103" s="2">
        <v>7.2</v>
      </c>
      <c r="G103" s="2"/>
      <c r="H103" s="2"/>
      <c r="I103" s="2" t="s">
        <v>861</v>
      </c>
    </row>
    <row r="104" spans="1:9" ht="28.5">
      <c r="A104" s="2" t="s">
        <v>877</v>
      </c>
      <c r="B104" s="2" t="s">
        <v>843</v>
      </c>
      <c r="C104" s="2" t="s">
        <v>49</v>
      </c>
      <c r="D104" s="2" t="s">
        <v>187</v>
      </c>
      <c r="E104" s="2" t="s">
        <v>250</v>
      </c>
      <c r="F104" s="2">
        <v>4.32</v>
      </c>
      <c r="G104" s="2"/>
      <c r="H104" s="2"/>
      <c r="I104" s="2" t="s">
        <v>882</v>
      </c>
    </row>
    <row r="105" spans="1:9" ht="28.5">
      <c r="A105" s="2" t="s">
        <v>884</v>
      </c>
      <c r="B105" s="2" t="s">
        <v>843</v>
      </c>
      <c r="C105" s="2" t="s">
        <v>49</v>
      </c>
      <c r="D105" s="2" t="s">
        <v>187</v>
      </c>
      <c r="E105" s="2" t="s">
        <v>250</v>
      </c>
      <c r="F105" s="2">
        <v>4.32</v>
      </c>
      <c r="G105" s="2"/>
      <c r="H105" s="2"/>
      <c r="I105" s="2" t="s">
        <v>882</v>
      </c>
    </row>
    <row r="106" spans="1:9" ht="28.5">
      <c r="A106" s="2" t="s">
        <v>889</v>
      </c>
      <c r="B106" s="2" t="s">
        <v>843</v>
      </c>
      <c r="C106" s="2" t="s">
        <v>49</v>
      </c>
      <c r="D106" s="2" t="s">
        <v>57</v>
      </c>
      <c r="E106" s="2" t="s">
        <v>250</v>
      </c>
      <c r="F106" s="2">
        <v>7.2</v>
      </c>
      <c r="G106" s="2"/>
      <c r="H106" s="2"/>
      <c r="I106" s="2" t="s">
        <v>861</v>
      </c>
    </row>
    <row r="107" spans="1:9" ht="28.5">
      <c r="A107" s="2" t="s">
        <v>894</v>
      </c>
      <c r="B107" s="2" t="s">
        <v>843</v>
      </c>
      <c r="C107" s="2" t="s">
        <v>49</v>
      </c>
      <c r="D107" s="2" t="s">
        <v>57</v>
      </c>
      <c r="E107" s="2" t="s">
        <v>250</v>
      </c>
      <c r="F107" s="2">
        <v>7.2</v>
      </c>
      <c r="G107" s="2"/>
      <c r="H107" s="2"/>
      <c r="I107" s="2" t="s">
        <v>861</v>
      </c>
    </row>
    <row r="108" spans="1:9" ht="28.5">
      <c r="A108" s="2" t="s">
        <v>898</v>
      </c>
      <c r="B108" s="2" t="s">
        <v>843</v>
      </c>
      <c r="C108" s="2" t="s">
        <v>245</v>
      </c>
      <c r="D108" s="2" t="s">
        <v>57</v>
      </c>
      <c r="E108" s="2" t="s">
        <v>250</v>
      </c>
      <c r="F108" s="2">
        <v>1.2000000000000002</v>
      </c>
      <c r="G108" s="2"/>
      <c r="H108" s="2"/>
      <c r="I108" s="2" t="s">
        <v>64</v>
      </c>
    </row>
    <row r="109" spans="1:9" ht="28.5">
      <c r="A109" s="2" t="s">
        <v>905</v>
      </c>
      <c r="B109" s="2" t="s">
        <v>843</v>
      </c>
      <c r="C109" s="2" t="s">
        <v>245</v>
      </c>
      <c r="D109" s="2" t="s">
        <v>57</v>
      </c>
      <c r="E109" s="2" t="s">
        <v>250</v>
      </c>
      <c r="F109" s="2">
        <v>0.89999999999999991</v>
      </c>
      <c r="G109" s="2"/>
      <c r="H109" s="2" t="s">
        <v>909</v>
      </c>
      <c r="I109" s="2" t="s">
        <v>64</v>
      </c>
    </row>
    <row r="110" spans="1:9" ht="57">
      <c r="A110" s="2" t="s">
        <v>806</v>
      </c>
      <c r="B110" s="2" t="s">
        <v>843</v>
      </c>
      <c r="C110" s="2" t="s">
        <v>245</v>
      </c>
      <c r="D110" s="2" t="s">
        <v>145</v>
      </c>
      <c r="E110" s="2" t="s">
        <v>250</v>
      </c>
      <c r="F110" s="2">
        <v>4.08</v>
      </c>
      <c r="G110" s="2" t="s">
        <v>914</v>
      </c>
      <c r="H110" s="2" t="s">
        <v>915</v>
      </c>
      <c r="I110" s="2" t="s">
        <v>916</v>
      </c>
    </row>
    <row r="111" spans="1:9">
      <c r="A111" s="2" t="s">
        <v>918</v>
      </c>
      <c r="B111" s="2" t="s">
        <v>843</v>
      </c>
      <c r="C111" s="2" t="s">
        <v>245</v>
      </c>
      <c r="D111" s="2" t="s">
        <v>145</v>
      </c>
      <c r="E111" s="2" t="s">
        <v>250</v>
      </c>
      <c r="F111" s="2">
        <v>1</v>
      </c>
      <c r="G111" s="2"/>
      <c r="H111" s="2"/>
      <c r="I111" s="2" t="s">
        <v>922</v>
      </c>
    </row>
    <row r="112" spans="1:9" ht="28.5">
      <c r="A112" s="2" t="s">
        <v>923</v>
      </c>
      <c r="B112" s="2" t="s">
        <v>843</v>
      </c>
      <c r="C112" s="2" t="s">
        <v>245</v>
      </c>
      <c r="D112" s="2" t="s">
        <v>57</v>
      </c>
      <c r="E112" s="2" t="s">
        <v>250</v>
      </c>
      <c r="F112" s="2">
        <v>7.2</v>
      </c>
      <c r="G112" s="2"/>
      <c r="H112" s="2"/>
      <c r="I112" s="2" t="s">
        <v>861</v>
      </c>
    </row>
    <row r="113" spans="1:9" ht="28.5">
      <c r="A113" s="2" t="s">
        <v>927</v>
      </c>
      <c r="B113" s="2" t="s">
        <v>843</v>
      </c>
      <c r="C113" s="2" t="s">
        <v>245</v>
      </c>
      <c r="D113" s="2" t="s">
        <v>57</v>
      </c>
      <c r="E113" s="2" t="s">
        <v>250</v>
      </c>
      <c r="F113" s="2">
        <v>7.2</v>
      </c>
      <c r="G113" s="2"/>
      <c r="H113" s="2"/>
      <c r="I113" s="2" t="s">
        <v>861</v>
      </c>
    </row>
    <row r="114" spans="1:9" ht="28.5">
      <c r="A114" s="2" t="s">
        <v>915</v>
      </c>
      <c r="B114" s="2" t="s">
        <v>843</v>
      </c>
      <c r="C114" s="2" t="s">
        <v>245</v>
      </c>
      <c r="D114" s="2" t="s">
        <v>57</v>
      </c>
      <c r="E114" s="2" t="s">
        <v>250</v>
      </c>
      <c r="F114" s="2">
        <v>0.89999999999999991</v>
      </c>
      <c r="G114" s="2" t="s">
        <v>935</v>
      </c>
      <c r="H114" s="2" t="s">
        <v>520</v>
      </c>
      <c r="I114" s="2" t="s">
        <v>936</v>
      </c>
    </row>
    <row r="115" spans="1:9" ht="28.5">
      <c r="A115" s="2" t="s">
        <v>937</v>
      </c>
      <c r="B115" s="2" t="s">
        <v>843</v>
      </c>
      <c r="C115" s="2" t="s">
        <v>245</v>
      </c>
      <c r="D115" s="2" t="s">
        <v>145</v>
      </c>
      <c r="E115" s="2" t="s">
        <v>250</v>
      </c>
      <c r="F115" s="2">
        <v>1.3333333333333333</v>
      </c>
      <c r="G115" s="2" t="s">
        <v>942</v>
      </c>
      <c r="H115" s="2" t="s">
        <v>943</v>
      </c>
      <c r="I115" s="2" t="s">
        <v>944</v>
      </c>
    </row>
    <row r="116" spans="1:9" ht="28.5">
      <c r="A116" s="2" t="s">
        <v>945</v>
      </c>
      <c r="B116" s="2" t="s">
        <v>843</v>
      </c>
      <c r="C116" s="2" t="s">
        <v>245</v>
      </c>
      <c r="D116" s="2" t="s">
        <v>145</v>
      </c>
      <c r="E116" s="2" t="s">
        <v>250</v>
      </c>
      <c r="F116" s="2">
        <v>2.285714285714286</v>
      </c>
      <c r="G116" s="2" t="s">
        <v>951</v>
      </c>
      <c r="H116" s="2" t="s">
        <v>943</v>
      </c>
      <c r="I116" s="2" t="s">
        <v>953</v>
      </c>
    </row>
    <row r="117" spans="1:9" ht="28.5">
      <c r="A117" s="2" t="s">
        <v>954</v>
      </c>
      <c r="B117" s="2" t="s">
        <v>843</v>
      </c>
      <c r="C117" s="2" t="s">
        <v>245</v>
      </c>
      <c r="D117" s="2" t="s">
        <v>145</v>
      </c>
      <c r="E117" s="2" t="s">
        <v>250</v>
      </c>
      <c r="F117" s="2">
        <v>2.7428571428571429</v>
      </c>
      <c r="G117" s="2" t="s">
        <v>959</v>
      </c>
      <c r="H117" s="2" t="s">
        <v>960</v>
      </c>
      <c r="I117" s="2" t="s">
        <v>961</v>
      </c>
    </row>
    <row r="118" spans="1:9" ht="28.5">
      <c r="A118" s="2" t="s">
        <v>816</v>
      </c>
      <c r="B118" s="2" t="s">
        <v>843</v>
      </c>
      <c r="C118" s="2" t="s">
        <v>245</v>
      </c>
      <c r="D118" s="2" t="s">
        <v>145</v>
      </c>
      <c r="E118" s="2" t="s">
        <v>250</v>
      </c>
      <c r="F118" s="2">
        <v>2.7428571428571429</v>
      </c>
      <c r="G118" s="2" t="s">
        <v>966</v>
      </c>
      <c r="H118" s="2" t="s">
        <v>943</v>
      </c>
      <c r="I118" s="2" t="s">
        <v>967</v>
      </c>
    </row>
    <row r="119" spans="1:9" ht="28.5">
      <c r="A119" s="2" t="s">
        <v>968</v>
      </c>
      <c r="B119" s="2" t="s">
        <v>843</v>
      </c>
      <c r="C119" s="2" t="s">
        <v>245</v>
      </c>
      <c r="D119" s="2" t="s">
        <v>145</v>
      </c>
      <c r="E119" s="2" t="s">
        <v>250</v>
      </c>
      <c r="F119" s="2">
        <v>2.285714285714286</v>
      </c>
      <c r="G119" s="2" t="s">
        <v>973</v>
      </c>
      <c r="H119" s="2" t="s">
        <v>943</v>
      </c>
      <c r="I119" s="2" t="s">
        <v>974</v>
      </c>
    </row>
    <row r="120" spans="1:9" ht="28.5">
      <c r="A120" s="2" t="s">
        <v>975</v>
      </c>
      <c r="B120" s="2" t="s">
        <v>843</v>
      </c>
      <c r="C120" s="2" t="s">
        <v>514</v>
      </c>
      <c r="D120" s="2" t="s">
        <v>145</v>
      </c>
      <c r="E120" s="2" t="s">
        <v>250</v>
      </c>
      <c r="F120" s="2">
        <v>7.2</v>
      </c>
      <c r="G120" s="2"/>
      <c r="H120" s="2"/>
      <c r="I120" s="2" t="s">
        <v>861</v>
      </c>
    </row>
    <row r="121" spans="1:9" ht="28.5">
      <c r="A121" s="2" t="s">
        <v>984</v>
      </c>
      <c r="B121" s="2" t="s">
        <v>843</v>
      </c>
      <c r="C121" s="2" t="s">
        <v>514</v>
      </c>
      <c r="D121" s="2" t="s">
        <v>145</v>
      </c>
      <c r="E121" s="2" t="s">
        <v>250</v>
      </c>
      <c r="F121" s="2">
        <v>7.2</v>
      </c>
      <c r="G121" s="2"/>
      <c r="H121" s="2"/>
      <c r="I121" s="2" t="s">
        <v>861</v>
      </c>
    </row>
    <row r="122" spans="1:9" ht="28.5">
      <c r="A122" s="2" t="s">
        <v>990</v>
      </c>
      <c r="B122" s="2" t="s">
        <v>843</v>
      </c>
      <c r="C122" s="2" t="s">
        <v>514</v>
      </c>
      <c r="D122" s="2" t="s">
        <v>187</v>
      </c>
      <c r="E122" s="2" t="s">
        <v>250</v>
      </c>
      <c r="F122" s="2">
        <v>3.2</v>
      </c>
      <c r="G122" s="2" t="s">
        <v>995</v>
      </c>
      <c r="H122" s="2" t="s">
        <v>996</v>
      </c>
      <c r="I122" s="2" t="s">
        <v>997</v>
      </c>
    </row>
    <row r="123" spans="1:9" ht="28.5">
      <c r="A123" s="2" t="s">
        <v>996</v>
      </c>
      <c r="B123" s="2" t="s">
        <v>843</v>
      </c>
      <c r="C123" s="2" t="s">
        <v>514</v>
      </c>
      <c r="D123" s="2" t="s">
        <v>187</v>
      </c>
      <c r="E123" s="2" t="s">
        <v>250</v>
      </c>
      <c r="F123" s="2">
        <v>6.1714285714285708</v>
      </c>
      <c r="G123" s="2" t="s">
        <v>1004</v>
      </c>
      <c r="H123" s="2" t="s">
        <v>1005</v>
      </c>
      <c r="I123" s="2" t="s">
        <v>1006</v>
      </c>
    </row>
    <row r="124" spans="1:9" ht="28.5">
      <c r="A124" s="2" t="s">
        <v>1005</v>
      </c>
      <c r="B124" s="2" t="s">
        <v>843</v>
      </c>
      <c r="C124" s="2" t="s">
        <v>514</v>
      </c>
      <c r="D124" s="2" t="s">
        <v>187</v>
      </c>
      <c r="E124" s="2" t="s">
        <v>250</v>
      </c>
      <c r="F124" s="2">
        <v>5.0999999999999996</v>
      </c>
      <c r="G124" s="2" t="s">
        <v>1013</v>
      </c>
      <c r="H124" s="2"/>
      <c r="I124" s="2" t="s">
        <v>1015</v>
      </c>
    </row>
    <row r="125" spans="1:9" ht="28.5">
      <c r="A125" s="2" t="s">
        <v>1018</v>
      </c>
      <c r="B125" s="2" t="s">
        <v>843</v>
      </c>
      <c r="C125" s="2" t="s">
        <v>514</v>
      </c>
      <c r="D125" s="2" t="s">
        <v>145</v>
      </c>
      <c r="E125" s="2" t="s">
        <v>250</v>
      </c>
      <c r="F125" s="2">
        <v>11.2</v>
      </c>
      <c r="G125" s="2" t="s">
        <v>1023</v>
      </c>
      <c r="H125" s="2" t="s">
        <v>1024</v>
      </c>
      <c r="I125" s="2" t="s">
        <v>1026</v>
      </c>
    </row>
    <row r="126" spans="1:9" ht="57">
      <c r="A126" s="2" t="s">
        <v>1030</v>
      </c>
      <c r="B126" s="2" t="s">
        <v>843</v>
      </c>
      <c r="C126" s="2" t="s">
        <v>547</v>
      </c>
      <c r="D126" s="2" t="s">
        <v>187</v>
      </c>
      <c r="E126" s="2" t="s">
        <v>250</v>
      </c>
      <c r="F126" s="2">
        <v>1.5</v>
      </c>
      <c r="G126" s="2" t="s">
        <v>1035</v>
      </c>
      <c r="H126" s="2" t="s">
        <v>1036</v>
      </c>
      <c r="I126" s="2" t="s">
        <v>1039</v>
      </c>
    </row>
    <row r="127" spans="1:9">
      <c r="A127" s="2" t="s">
        <v>1043</v>
      </c>
      <c r="B127" s="2" t="s">
        <v>843</v>
      </c>
      <c r="C127" s="2" t="s">
        <v>547</v>
      </c>
      <c r="D127" s="2" t="s">
        <v>187</v>
      </c>
      <c r="E127" s="2" t="s">
        <v>250</v>
      </c>
      <c r="F127" s="2">
        <v>1.7999999999999998</v>
      </c>
      <c r="G127" s="2" t="s">
        <v>1047</v>
      </c>
      <c r="H127" s="2" t="s">
        <v>1048</v>
      </c>
      <c r="I127" s="2" t="s">
        <v>1049</v>
      </c>
    </row>
    <row r="128" spans="1:9">
      <c r="A128" s="2" t="s">
        <v>1050</v>
      </c>
      <c r="B128" s="2" t="s">
        <v>843</v>
      </c>
      <c r="C128" s="2" t="s">
        <v>547</v>
      </c>
      <c r="D128" s="2" t="s">
        <v>187</v>
      </c>
      <c r="E128" s="2" t="s">
        <v>250</v>
      </c>
      <c r="F128" s="2">
        <v>1.7999999999999998</v>
      </c>
      <c r="G128" s="2" t="s">
        <v>1047</v>
      </c>
      <c r="H128" s="2" t="s">
        <v>1055</v>
      </c>
      <c r="I128" s="2" t="s">
        <v>1049</v>
      </c>
    </row>
    <row r="129" spans="1:9">
      <c r="A129" s="2" t="s">
        <v>1056</v>
      </c>
      <c r="B129" s="2" t="s">
        <v>843</v>
      </c>
      <c r="C129" s="2" t="s">
        <v>547</v>
      </c>
      <c r="D129" s="2" t="s">
        <v>187</v>
      </c>
      <c r="E129" s="2" t="s">
        <v>250</v>
      </c>
      <c r="F129" s="2">
        <v>1.7999999999999998</v>
      </c>
      <c r="G129" s="2" t="s">
        <v>1061</v>
      </c>
      <c r="H129" s="2" t="s">
        <v>1062</v>
      </c>
      <c r="I129" s="2" t="s">
        <v>1063</v>
      </c>
    </row>
    <row r="130" spans="1:9">
      <c r="A130" s="2" t="s">
        <v>1064</v>
      </c>
      <c r="B130" s="2" t="s">
        <v>843</v>
      </c>
      <c r="C130" s="2" t="s">
        <v>547</v>
      </c>
      <c r="D130" s="2" t="s">
        <v>187</v>
      </c>
      <c r="E130" s="2" t="s">
        <v>250</v>
      </c>
      <c r="F130" s="2">
        <v>1.7999999999999998</v>
      </c>
      <c r="G130" s="2" t="s">
        <v>1056</v>
      </c>
      <c r="H130" s="2" t="s">
        <v>1068</v>
      </c>
      <c r="I130" s="2" t="s">
        <v>1056</v>
      </c>
    </row>
    <row r="131" spans="1:9">
      <c r="A131" s="2" t="s">
        <v>1069</v>
      </c>
      <c r="B131" s="2" t="s">
        <v>843</v>
      </c>
      <c r="C131" s="2" t="s">
        <v>547</v>
      </c>
      <c r="D131" s="2" t="s">
        <v>187</v>
      </c>
      <c r="E131" s="2" t="s">
        <v>250</v>
      </c>
      <c r="F131" s="2">
        <v>1.7999999999999998</v>
      </c>
      <c r="G131" s="2" t="s">
        <v>1073</v>
      </c>
      <c r="H131" s="2" t="s">
        <v>1074</v>
      </c>
      <c r="I131" s="2" t="s">
        <v>1075</v>
      </c>
    </row>
    <row r="132" spans="1:9" ht="28.5">
      <c r="A132" s="2" t="s">
        <v>1076</v>
      </c>
      <c r="B132" s="2" t="s">
        <v>843</v>
      </c>
      <c r="C132" s="2" t="s">
        <v>547</v>
      </c>
      <c r="D132" s="2" t="s">
        <v>187</v>
      </c>
      <c r="E132" s="2" t="s">
        <v>250</v>
      </c>
      <c r="F132" s="2">
        <v>1.7999999999999998</v>
      </c>
      <c r="G132" s="2" t="s">
        <v>1080</v>
      </c>
      <c r="H132" s="2" t="s">
        <v>1081</v>
      </c>
      <c r="I132" s="2" t="s">
        <v>1082</v>
      </c>
    </row>
    <row r="133" spans="1:9" ht="28.5">
      <c r="A133" s="2" t="s">
        <v>1083</v>
      </c>
      <c r="B133" s="2" t="s">
        <v>843</v>
      </c>
      <c r="C133" s="2" t="s">
        <v>547</v>
      </c>
      <c r="D133" s="2" t="s">
        <v>187</v>
      </c>
      <c r="E133" s="2" t="s">
        <v>250</v>
      </c>
      <c r="F133" s="2">
        <v>1.9375</v>
      </c>
      <c r="G133" s="2" t="s">
        <v>1087</v>
      </c>
      <c r="H133" s="2" t="s">
        <v>1088</v>
      </c>
      <c r="I133" s="2" t="s">
        <v>1089</v>
      </c>
    </row>
    <row r="134" spans="1:9">
      <c r="A134" s="2" t="s">
        <v>1090</v>
      </c>
      <c r="B134" s="2" t="s">
        <v>843</v>
      </c>
      <c r="C134" s="2" t="s">
        <v>547</v>
      </c>
      <c r="D134" s="2" t="s">
        <v>187</v>
      </c>
      <c r="E134" s="2" t="s">
        <v>250</v>
      </c>
      <c r="F134" s="2">
        <v>1.5</v>
      </c>
      <c r="G134" s="2" t="s">
        <v>1094</v>
      </c>
      <c r="H134" s="2"/>
      <c r="I134" s="2" t="s">
        <v>1095</v>
      </c>
    </row>
    <row r="135" spans="1:9">
      <c r="A135" s="2" t="s">
        <v>1096</v>
      </c>
      <c r="B135" s="2" t="s">
        <v>843</v>
      </c>
      <c r="C135" s="2" t="s">
        <v>547</v>
      </c>
      <c r="D135" s="2" t="s">
        <v>187</v>
      </c>
      <c r="E135" s="2" t="s">
        <v>250</v>
      </c>
      <c r="F135" s="2">
        <v>1.7999999999999998</v>
      </c>
      <c r="G135" s="2" t="s">
        <v>1101</v>
      </c>
      <c r="H135" s="2"/>
      <c r="I135" s="2" t="s">
        <v>1102</v>
      </c>
    </row>
    <row r="136" spans="1:9">
      <c r="A136" s="2" t="s">
        <v>1103</v>
      </c>
      <c r="B136" s="2" t="s">
        <v>843</v>
      </c>
      <c r="C136" s="2" t="s">
        <v>547</v>
      </c>
      <c r="D136" s="2" t="s">
        <v>187</v>
      </c>
      <c r="E136" s="2" t="s">
        <v>250</v>
      </c>
      <c r="F136" s="2">
        <v>1.7999999999999998</v>
      </c>
      <c r="G136" s="2" t="s">
        <v>1108</v>
      </c>
      <c r="H136" s="2" t="s">
        <v>1109</v>
      </c>
      <c r="I136" s="2" t="s">
        <v>1110</v>
      </c>
    </row>
    <row r="137" spans="1:9">
      <c r="A137" s="2" t="s">
        <v>1111</v>
      </c>
      <c r="B137" s="2" t="s">
        <v>843</v>
      </c>
      <c r="C137" s="2" t="s">
        <v>547</v>
      </c>
      <c r="D137" s="2" t="s">
        <v>187</v>
      </c>
      <c r="E137" s="2" t="s">
        <v>250</v>
      </c>
      <c r="F137" s="2">
        <v>1.7999999999999998</v>
      </c>
      <c r="G137" s="2" t="s">
        <v>1115</v>
      </c>
      <c r="H137" s="2" t="s">
        <v>1116</v>
      </c>
      <c r="I137" s="2" t="s">
        <v>1117</v>
      </c>
    </row>
    <row r="138" spans="1:9">
      <c r="A138" s="2" t="s">
        <v>1118</v>
      </c>
      <c r="B138" s="2" t="s">
        <v>843</v>
      </c>
      <c r="C138" s="2" t="s">
        <v>547</v>
      </c>
      <c r="D138" s="2" t="s">
        <v>187</v>
      </c>
      <c r="E138" s="2" t="s">
        <v>250</v>
      </c>
      <c r="F138" s="2">
        <v>1.7999999999999998</v>
      </c>
      <c r="G138" s="2" t="s">
        <v>1122</v>
      </c>
      <c r="H138" s="2" t="s">
        <v>1123</v>
      </c>
      <c r="I138" s="2" t="s">
        <v>1124</v>
      </c>
    </row>
    <row r="139" spans="1:9">
      <c r="A139" s="2" t="s">
        <v>1125</v>
      </c>
      <c r="B139" s="2" t="s">
        <v>843</v>
      </c>
      <c r="C139" s="2" t="s">
        <v>547</v>
      </c>
      <c r="D139" s="2" t="s">
        <v>187</v>
      </c>
      <c r="E139" s="2" t="s">
        <v>250</v>
      </c>
      <c r="F139" s="2">
        <v>1.2000000000000002</v>
      </c>
      <c r="G139" s="2" t="s">
        <v>1129</v>
      </c>
      <c r="H139" s="2" t="s">
        <v>1130</v>
      </c>
      <c r="I139" s="2" t="s">
        <v>1131</v>
      </c>
    </row>
    <row r="140" spans="1:9">
      <c r="A140" s="2" t="s">
        <v>626</v>
      </c>
      <c r="B140" s="2" t="s">
        <v>843</v>
      </c>
      <c r="C140" s="2" t="s">
        <v>547</v>
      </c>
      <c r="D140" s="2" t="s">
        <v>187</v>
      </c>
      <c r="E140" s="2" t="s">
        <v>250</v>
      </c>
      <c r="F140" s="2">
        <v>1.2000000000000002</v>
      </c>
      <c r="G140" s="2" t="s">
        <v>1135</v>
      </c>
      <c r="H140" s="2" t="s">
        <v>1136</v>
      </c>
      <c r="I140" s="2" t="s">
        <v>1137</v>
      </c>
    </row>
    <row r="141" spans="1:9">
      <c r="A141" s="2" t="s">
        <v>1138</v>
      </c>
      <c r="B141" s="2" t="s">
        <v>843</v>
      </c>
      <c r="C141" s="2" t="s">
        <v>547</v>
      </c>
      <c r="D141" s="2" t="s">
        <v>187</v>
      </c>
      <c r="E141" s="2" t="s">
        <v>250</v>
      </c>
      <c r="F141" s="2">
        <v>1.2000000000000002</v>
      </c>
      <c r="G141" s="2" t="s">
        <v>626</v>
      </c>
      <c r="H141" s="2" t="s">
        <v>1143</v>
      </c>
      <c r="I141" s="2" t="s">
        <v>626</v>
      </c>
    </row>
    <row r="142" spans="1:9">
      <c r="A142" s="2" t="s">
        <v>1144</v>
      </c>
      <c r="B142" s="2" t="s">
        <v>843</v>
      </c>
      <c r="C142" s="2" t="s">
        <v>547</v>
      </c>
      <c r="D142" s="2" t="s">
        <v>187</v>
      </c>
      <c r="E142" s="2" t="s">
        <v>250</v>
      </c>
      <c r="F142" s="2">
        <v>1.2000000000000002</v>
      </c>
      <c r="G142" s="2" t="s">
        <v>1138</v>
      </c>
      <c r="H142" s="2" t="s">
        <v>1148</v>
      </c>
      <c r="I142" s="2" t="s">
        <v>1138</v>
      </c>
    </row>
    <row r="143" spans="1:9" ht="28.5">
      <c r="A143" s="2" t="s">
        <v>1149</v>
      </c>
      <c r="B143" s="2" t="s">
        <v>843</v>
      </c>
      <c r="C143" s="2" t="s">
        <v>547</v>
      </c>
      <c r="D143" s="2" t="s">
        <v>187</v>
      </c>
      <c r="E143" s="2" t="s">
        <v>250</v>
      </c>
      <c r="F143" s="2">
        <v>1.5</v>
      </c>
      <c r="G143" s="2" t="s">
        <v>1154</v>
      </c>
      <c r="H143" s="2"/>
      <c r="I143" s="2" t="s">
        <v>1155</v>
      </c>
    </row>
    <row r="144" spans="1:9" ht="28.5">
      <c r="A144" s="2" t="s">
        <v>1156</v>
      </c>
      <c r="B144" s="2" t="s">
        <v>843</v>
      </c>
      <c r="C144" s="2" t="s">
        <v>547</v>
      </c>
      <c r="D144" s="2" t="s">
        <v>187</v>
      </c>
      <c r="E144" s="2" t="s">
        <v>250</v>
      </c>
      <c r="F144" s="2">
        <v>1.7999999999999998</v>
      </c>
      <c r="G144" s="2" t="s">
        <v>1160</v>
      </c>
      <c r="H144" s="2" t="s">
        <v>1149</v>
      </c>
      <c r="I144" s="2" t="s">
        <v>1161</v>
      </c>
    </row>
    <row r="145" spans="1:9" ht="42.75">
      <c r="A145" s="2" t="s">
        <v>1162</v>
      </c>
      <c r="B145" s="2" t="s">
        <v>843</v>
      </c>
      <c r="C145" s="2" t="s">
        <v>547</v>
      </c>
      <c r="D145" s="2" t="s">
        <v>187</v>
      </c>
      <c r="E145" s="2" t="s">
        <v>250</v>
      </c>
      <c r="F145" s="2">
        <v>4.32</v>
      </c>
      <c r="G145" s="2"/>
      <c r="H145" s="2"/>
      <c r="I145" s="2" t="s">
        <v>1167</v>
      </c>
    </row>
    <row r="146" spans="1:9" ht="42.75">
      <c r="A146" s="2" t="s">
        <v>1168</v>
      </c>
      <c r="B146" s="2" t="s">
        <v>843</v>
      </c>
      <c r="C146" s="2" t="s">
        <v>547</v>
      </c>
      <c r="D146" s="2" t="s">
        <v>187</v>
      </c>
      <c r="E146" s="2" t="s">
        <v>250</v>
      </c>
      <c r="F146" s="2">
        <v>4.32</v>
      </c>
      <c r="G146" s="2"/>
      <c r="H146" s="2"/>
      <c r="I146" s="2" t="s">
        <v>1167</v>
      </c>
    </row>
    <row r="147" spans="1:9" ht="28.5">
      <c r="A147" s="2" t="s">
        <v>755</v>
      </c>
      <c r="B147" s="2" t="s">
        <v>843</v>
      </c>
      <c r="C147" s="2" t="s">
        <v>547</v>
      </c>
      <c r="D147" s="2" t="s">
        <v>57</v>
      </c>
      <c r="E147" s="2" t="s">
        <v>250</v>
      </c>
      <c r="F147" s="2">
        <v>7.2</v>
      </c>
      <c r="G147" s="2" t="s">
        <v>1176</v>
      </c>
      <c r="H147" s="2"/>
      <c r="I147" s="2" t="s">
        <v>861</v>
      </c>
    </row>
    <row r="148" spans="1:9" ht="28.5">
      <c r="A148" s="2" t="s">
        <v>1177</v>
      </c>
      <c r="B148" s="2" t="s">
        <v>843</v>
      </c>
      <c r="C148" s="2" t="s">
        <v>547</v>
      </c>
      <c r="D148" s="2" t="s">
        <v>57</v>
      </c>
      <c r="E148" s="2" t="s">
        <v>250</v>
      </c>
      <c r="F148" s="2">
        <v>7.2</v>
      </c>
      <c r="G148" s="2"/>
      <c r="H148" s="2"/>
      <c r="I148" s="2" t="s">
        <v>861</v>
      </c>
    </row>
    <row r="149" spans="1:9" ht="42.75">
      <c r="A149" s="2" t="s">
        <v>1182</v>
      </c>
      <c r="B149" s="2" t="s">
        <v>843</v>
      </c>
      <c r="C149" s="2" t="s">
        <v>547</v>
      </c>
      <c r="D149" s="2" t="s">
        <v>187</v>
      </c>
      <c r="E149" s="2" t="s">
        <v>250</v>
      </c>
      <c r="F149" s="2">
        <v>1.7999999999999998</v>
      </c>
      <c r="G149" s="2" t="s">
        <v>1187</v>
      </c>
      <c r="H149" s="2" t="s">
        <v>1188</v>
      </c>
      <c r="I149" s="2" t="s">
        <v>1189</v>
      </c>
    </row>
    <row r="150" spans="1:9" ht="28.5">
      <c r="A150" s="2" t="s">
        <v>1190</v>
      </c>
      <c r="B150" s="2" t="s">
        <v>843</v>
      </c>
      <c r="C150" s="2" t="s">
        <v>547</v>
      </c>
      <c r="D150" s="2" t="s">
        <v>187</v>
      </c>
      <c r="E150" s="2" t="s">
        <v>250</v>
      </c>
      <c r="F150" s="2">
        <v>1.7999999999999998</v>
      </c>
      <c r="G150" s="2" t="s">
        <v>1195</v>
      </c>
      <c r="H150" s="2" t="s">
        <v>1196</v>
      </c>
      <c r="I150" s="2" t="s">
        <v>1197</v>
      </c>
    </row>
    <row r="151" spans="1:9" ht="28.5">
      <c r="A151" s="2" t="s">
        <v>1198</v>
      </c>
      <c r="B151" s="2" t="s">
        <v>843</v>
      </c>
      <c r="C151" s="2" t="s">
        <v>547</v>
      </c>
      <c r="D151" s="2" t="s">
        <v>187</v>
      </c>
      <c r="E151" s="2" t="s">
        <v>250</v>
      </c>
      <c r="F151" s="2">
        <v>1.7999999999999998</v>
      </c>
      <c r="G151" s="2" t="s">
        <v>1202</v>
      </c>
      <c r="H151" s="2" t="s">
        <v>1196</v>
      </c>
      <c r="I151" s="2" t="s">
        <v>1203</v>
      </c>
    </row>
    <row r="152" spans="1:9" ht="28.5">
      <c r="A152" s="2" t="s">
        <v>1204</v>
      </c>
      <c r="B152" s="2" t="s">
        <v>843</v>
      </c>
      <c r="C152" s="2" t="s">
        <v>547</v>
      </c>
      <c r="D152" s="2" t="s">
        <v>187</v>
      </c>
      <c r="E152" s="2" t="s">
        <v>250</v>
      </c>
      <c r="F152" s="2">
        <v>1.7999999999999998</v>
      </c>
      <c r="G152" s="2" t="s">
        <v>1208</v>
      </c>
      <c r="H152" s="2" t="s">
        <v>1209</v>
      </c>
      <c r="I152" s="2" t="s">
        <v>1210</v>
      </c>
    </row>
    <row r="153" spans="1:9" ht="42.75">
      <c r="A153" s="2" t="s">
        <v>591</v>
      </c>
      <c r="B153" s="2" t="s">
        <v>843</v>
      </c>
      <c r="C153" s="2" t="s">
        <v>547</v>
      </c>
      <c r="D153" s="2" t="s">
        <v>187</v>
      </c>
      <c r="E153" s="2" t="s">
        <v>250</v>
      </c>
      <c r="F153" s="2">
        <v>1.7999999999999998</v>
      </c>
      <c r="G153" s="2" t="s">
        <v>1215</v>
      </c>
      <c r="H153" s="2" t="s">
        <v>1216</v>
      </c>
      <c r="I153" s="2" t="s">
        <v>1217</v>
      </c>
    </row>
    <row r="154" spans="1:9" ht="28.5">
      <c r="A154" s="2" t="s">
        <v>1218</v>
      </c>
      <c r="B154" s="2" t="s">
        <v>843</v>
      </c>
      <c r="C154" s="2" t="s">
        <v>547</v>
      </c>
      <c r="D154" s="2" t="s">
        <v>187</v>
      </c>
      <c r="E154" s="2" t="s">
        <v>250</v>
      </c>
      <c r="F154" s="2">
        <v>1.6666666666666667</v>
      </c>
      <c r="G154" s="2" t="s">
        <v>1223</v>
      </c>
      <c r="H154" s="2" t="s">
        <v>1224</v>
      </c>
      <c r="I154" s="2" t="s">
        <v>1225</v>
      </c>
    </row>
    <row r="155" spans="1:9">
      <c r="A155" s="2" t="s">
        <v>1123</v>
      </c>
      <c r="B155" s="2" t="s">
        <v>843</v>
      </c>
      <c r="C155" s="2" t="s">
        <v>547</v>
      </c>
      <c r="D155" s="2" t="s">
        <v>187</v>
      </c>
      <c r="E155" s="2" t="s">
        <v>250</v>
      </c>
      <c r="F155" s="2">
        <v>2</v>
      </c>
      <c r="G155" s="2" t="s">
        <v>1230</v>
      </c>
      <c r="H155" s="2" t="s">
        <v>1231</v>
      </c>
      <c r="I155" s="2" t="s">
        <v>1232</v>
      </c>
    </row>
    <row r="156" spans="1:9">
      <c r="A156" s="2" t="s">
        <v>1233</v>
      </c>
      <c r="B156" s="2" t="s">
        <v>843</v>
      </c>
      <c r="C156" s="2" t="s">
        <v>547</v>
      </c>
      <c r="D156" s="2" t="s">
        <v>187</v>
      </c>
      <c r="E156" s="2" t="s">
        <v>250</v>
      </c>
      <c r="F156" s="2">
        <v>2</v>
      </c>
      <c r="G156" s="2" t="s">
        <v>1238</v>
      </c>
      <c r="H156" s="2" t="s">
        <v>1231</v>
      </c>
      <c r="I156" s="2" t="s">
        <v>1239</v>
      </c>
    </row>
    <row r="157" spans="1:9">
      <c r="A157" s="2" t="s">
        <v>1240</v>
      </c>
      <c r="B157" s="2" t="s">
        <v>843</v>
      </c>
      <c r="C157" s="2" t="s">
        <v>547</v>
      </c>
      <c r="D157" s="2" t="s">
        <v>187</v>
      </c>
      <c r="E157" s="2" t="s">
        <v>250</v>
      </c>
      <c r="F157" s="2">
        <v>1.7999999999999998</v>
      </c>
      <c r="G157" s="2" t="s">
        <v>1245</v>
      </c>
      <c r="H157" s="2" t="s">
        <v>1231</v>
      </c>
      <c r="I157" s="2" t="s">
        <v>1246</v>
      </c>
    </row>
    <row r="158" spans="1:9" ht="28.5">
      <c r="A158" s="2" t="s">
        <v>1231</v>
      </c>
      <c r="B158" s="2" t="s">
        <v>843</v>
      </c>
      <c r="C158" s="2" t="s">
        <v>547</v>
      </c>
      <c r="D158" s="2" t="s">
        <v>187</v>
      </c>
      <c r="E158" s="2" t="s">
        <v>250</v>
      </c>
      <c r="F158" s="2">
        <v>1.7</v>
      </c>
      <c r="G158" s="2" t="s">
        <v>1251</v>
      </c>
      <c r="H158" s="2" t="s">
        <v>520</v>
      </c>
      <c r="I158" s="2" t="s">
        <v>1252</v>
      </c>
    </row>
    <row r="159" spans="1:9">
      <c r="A159" s="2" t="s">
        <v>1253</v>
      </c>
      <c r="B159" s="2" t="s">
        <v>843</v>
      </c>
      <c r="C159" s="2" t="s">
        <v>547</v>
      </c>
      <c r="D159" s="2" t="s">
        <v>187</v>
      </c>
      <c r="E159" s="2" t="s">
        <v>250</v>
      </c>
      <c r="F159" s="2">
        <v>1.5</v>
      </c>
      <c r="G159" s="2" t="s">
        <v>1257</v>
      </c>
      <c r="H159" s="2"/>
      <c r="I159" s="2" t="s">
        <v>1258</v>
      </c>
    </row>
    <row r="160" spans="1:9">
      <c r="A160" s="2" t="s">
        <v>1259</v>
      </c>
      <c r="B160" s="2" t="s">
        <v>843</v>
      </c>
      <c r="C160" s="2" t="s">
        <v>547</v>
      </c>
      <c r="D160" s="2" t="s">
        <v>187</v>
      </c>
      <c r="E160" s="2" t="s">
        <v>250</v>
      </c>
      <c r="F160" s="2">
        <v>1.5</v>
      </c>
      <c r="G160" s="2" t="s">
        <v>1264</v>
      </c>
      <c r="H160" s="2" t="s">
        <v>1265</v>
      </c>
      <c r="I160" s="2" t="s">
        <v>1266</v>
      </c>
    </row>
    <row r="161" spans="1:9" ht="28.5">
      <c r="A161" s="2" t="s">
        <v>1267</v>
      </c>
      <c r="B161" s="2" t="s">
        <v>843</v>
      </c>
      <c r="C161" s="2" t="s">
        <v>547</v>
      </c>
      <c r="D161" s="2" t="s">
        <v>187</v>
      </c>
      <c r="E161" s="2" t="s">
        <v>250</v>
      </c>
      <c r="F161" s="2">
        <v>3.2</v>
      </c>
      <c r="G161" s="2" t="s">
        <v>1272</v>
      </c>
      <c r="H161" s="2" t="s">
        <v>1273</v>
      </c>
      <c r="I161" s="2" t="s">
        <v>1274</v>
      </c>
    </row>
    <row r="162" spans="1:9">
      <c r="A162" s="2" t="s">
        <v>1277</v>
      </c>
      <c r="B162" s="2" t="s">
        <v>843</v>
      </c>
      <c r="C162" s="2" t="s">
        <v>547</v>
      </c>
      <c r="D162" s="2" t="s">
        <v>57</v>
      </c>
      <c r="E162" s="2" t="s">
        <v>250</v>
      </c>
      <c r="F162" s="2">
        <v>3.4</v>
      </c>
      <c r="G162" s="2" t="s">
        <v>1282</v>
      </c>
      <c r="H162" s="2" t="s">
        <v>1283</v>
      </c>
      <c r="I162" s="2" t="s">
        <v>1284</v>
      </c>
    </row>
    <row r="163" spans="1:9">
      <c r="A163" s="2" t="s">
        <v>1283</v>
      </c>
      <c r="B163" s="2" t="s">
        <v>843</v>
      </c>
      <c r="C163" s="2" t="s">
        <v>547</v>
      </c>
      <c r="D163" s="2" t="s">
        <v>187</v>
      </c>
      <c r="E163" s="2" t="s">
        <v>250</v>
      </c>
      <c r="F163" s="2">
        <v>5.0999999999999996</v>
      </c>
      <c r="G163" s="2" t="s">
        <v>1292</v>
      </c>
      <c r="H163" s="2"/>
      <c r="I163" s="2" t="s">
        <v>1293</v>
      </c>
    </row>
    <row r="164" spans="1:9" ht="28.5">
      <c r="A164" s="2" t="s">
        <v>1296</v>
      </c>
      <c r="B164" s="2" t="s">
        <v>843</v>
      </c>
      <c r="C164" s="2" t="s">
        <v>761</v>
      </c>
      <c r="D164" s="2" t="s">
        <v>145</v>
      </c>
      <c r="E164" s="2" t="s">
        <v>250</v>
      </c>
      <c r="F164" s="2">
        <v>7.2</v>
      </c>
      <c r="G164" s="2"/>
      <c r="H164" s="2"/>
      <c r="I164" s="2" t="s">
        <v>861</v>
      </c>
    </row>
    <row r="165" spans="1:9" ht="28.5">
      <c r="A165" s="2" t="s">
        <v>1024</v>
      </c>
      <c r="B165" s="2" t="s">
        <v>843</v>
      </c>
      <c r="C165" s="2" t="s">
        <v>761</v>
      </c>
      <c r="D165" s="2" t="s">
        <v>57</v>
      </c>
      <c r="E165" s="2" t="s">
        <v>250</v>
      </c>
      <c r="F165" s="2">
        <v>6</v>
      </c>
      <c r="G165" s="2" t="s">
        <v>1307</v>
      </c>
      <c r="H165" s="2"/>
      <c r="I165" s="2" t="s">
        <v>1308</v>
      </c>
    </row>
    <row r="166" spans="1:9">
      <c r="A166" t="s">
        <v>1312</v>
      </c>
      <c r="B166" t="s">
        <v>48</v>
      </c>
      <c r="C166" t="s">
        <v>49</v>
      </c>
      <c r="D166" t="s">
        <v>145</v>
      </c>
      <c r="E166" t="s">
        <v>56</v>
      </c>
      <c r="F166">
        <v>2.5</v>
      </c>
      <c r="G166" t="s">
        <v>170</v>
      </c>
      <c r="H166" t="s">
        <v>520</v>
      </c>
      <c r="I166" t="s">
        <v>1318</v>
      </c>
    </row>
    <row r="167" spans="1:9">
      <c r="A167" t="s">
        <v>1750</v>
      </c>
      <c r="B167" t="s">
        <v>48</v>
      </c>
      <c r="C167" t="s">
        <v>49</v>
      </c>
      <c r="D167" t="s">
        <v>57</v>
      </c>
      <c r="E167" t="s">
        <v>250</v>
      </c>
      <c r="F167">
        <v>1.8</v>
      </c>
      <c r="G167" t="s">
        <v>91</v>
      </c>
      <c r="H167" t="s">
        <v>1755</v>
      </c>
      <c r="I167" t="s">
        <v>1756</v>
      </c>
    </row>
    <row r="168" spans="1:9">
      <c r="A168" t="s">
        <v>1760</v>
      </c>
      <c r="B168" t="s">
        <v>48</v>
      </c>
      <c r="C168" t="s">
        <v>761</v>
      </c>
      <c r="D168" t="s">
        <v>57</v>
      </c>
      <c r="E168" t="s">
        <v>250</v>
      </c>
      <c r="F168">
        <v>1.2</v>
      </c>
      <c r="G168" t="s">
        <v>91</v>
      </c>
      <c r="H168" t="s">
        <v>520</v>
      </c>
      <c r="I168" t="s">
        <v>1765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8"/>
  <sheetViews>
    <sheetView workbookViewId="0"/>
  </sheetViews>
  <sheetFormatPr defaultRowHeight="14.25"/>
  <cols>
    <col min="1" max="1" width="12" customWidth="1"/>
    <col min="2" max="2" width="58" customWidth="1"/>
    <col min="3" max="3" width="16" customWidth="1"/>
    <col min="4" max="4" width="10" customWidth="1"/>
    <col min="5" max="5" width="42" customWidth="1"/>
    <col min="6" max="6" width="70" customWidth="1"/>
    <col min="7" max="7" width="38" customWidth="1"/>
    <col min="8" max="8" width="60" customWidth="1"/>
  </cols>
  <sheetData>
    <row r="1" spans="1:8" ht="20.25">
      <c r="A1" s="13" t="s">
        <v>1487</v>
      </c>
      <c r="B1" s="13"/>
      <c r="C1" s="13"/>
      <c r="D1" s="13"/>
      <c r="E1" s="13"/>
      <c r="F1" s="13"/>
      <c r="G1" s="13"/>
      <c r="H1" s="13"/>
    </row>
    <row r="2" spans="1:8">
      <c r="A2" s="2"/>
      <c r="B2" s="2"/>
      <c r="C2" s="2"/>
      <c r="D2" s="2"/>
      <c r="E2" s="2"/>
      <c r="F2" s="2"/>
      <c r="G2" s="2"/>
      <c r="H2" s="2"/>
    </row>
    <row r="3" spans="1:8" ht="15">
      <c r="A3" s="1" t="s">
        <v>23</v>
      </c>
      <c r="B3" s="1" t="s">
        <v>26</v>
      </c>
      <c r="C3" s="1" t="s">
        <v>1488</v>
      </c>
      <c r="D3" s="1" t="s">
        <v>32</v>
      </c>
      <c r="E3" s="1" t="s">
        <v>1489</v>
      </c>
      <c r="F3" s="1" t="s">
        <v>1490</v>
      </c>
      <c r="G3" s="1" t="s">
        <v>1491</v>
      </c>
      <c r="H3" s="1" t="s">
        <v>1492</v>
      </c>
    </row>
    <row r="4" spans="1:8">
      <c r="A4" s="2" t="s">
        <v>1493</v>
      </c>
      <c r="B4" s="2" t="s">
        <v>1494</v>
      </c>
      <c r="C4" s="2" t="s">
        <v>56</v>
      </c>
      <c r="D4" s="2">
        <v>8</v>
      </c>
      <c r="E4" s="2"/>
      <c r="F4" s="2" t="s">
        <v>1495</v>
      </c>
      <c r="G4" s="2"/>
      <c r="H4" s="2"/>
    </row>
    <row r="5" spans="1:8" ht="28.5">
      <c r="A5" s="2" t="s">
        <v>1496</v>
      </c>
      <c r="B5" s="2" t="s">
        <v>1497</v>
      </c>
      <c r="C5" s="2" t="s">
        <v>56</v>
      </c>
      <c r="D5" s="2">
        <v>8</v>
      </c>
      <c r="E5" s="2"/>
      <c r="F5" s="2" t="s">
        <v>1495</v>
      </c>
      <c r="G5" s="2"/>
      <c r="H5" s="2"/>
    </row>
    <row r="6" spans="1:8">
      <c r="A6" s="2" t="s">
        <v>1498</v>
      </c>
      <c r="B6" s="2" t="s">
        <v>1499</v>
      </c>
      <c r="C6" s="2" t="s">
        <v>56</v>
      </c>
      <c r="D6" s="2">
        <v>4</v>
      </c>
      <c r="E6" s="2"/>
      <c r="F6" s="2" t="s">
        <v>1495</v>
      </c>
      <c r="G6" s="2"/>
      <c r="H6" s="2"/>
    </row>
    <row r="7" spans="1:8">
      <c r="A7" s="2" t="s">
        <v>1500</v>
      </c>
      <c r="B7" s="2" t="s">
        <v>1501</v>
      </c>
      <c r="C7" s="2" t="s">
        <v>56</v>
      </c>
      <c r="D7" s="2">
        <v>4</v>
      </c>
      <c r="E7" s="2"/>
      <c r="F7" s="2" t="s">
        <v>1495</v>
      </c>
      <c r="G7" s="2"/>
      <c r="H7" s="2"/>
    </row>
    <row r="8" spans="1:8">
      <c r="A8" s="2" t="s">
        <v>1502</v>
      </c>
      <c r="B8" s="2" t="s">
        <v>1503</v>
      </c>
      <c r="C8" s="2" t="s">
        <v>56</v>
      </c>
      <c r="D8" s="2">
        <v>6</v>
      </c>
      <c r="E8" s="2"/>
      <c r="F8" s="2" t="s">
        <v>1495</v>
      </c>
      <c r="G8" s="2"/>
      <c r="H8" s="2"/>
    </row>
    <row r="9" spans="1:8">
      <c r="A9" s="2" t="s">
        <v>1504</v>
      </c>
      <c r="B9" s="2" t="s">
        <v>1505</v>
      </c>
      <c r="C9" s="2" t="s">
        <v>56</v>
      </c>
      <c r="D9" s="2">
        <v>8</v>
      </c>
      <c r="E9" s="2"/>
      <c r="F9" s="2" t="s">
        <v>1495</v>
      </c>
      <c r="G9" s="2"/>
      <c r="H9" s="2"/>
    </row>
    <row r="10" spans="1:8" ht="28.5">
      <c r="A10" s="2" t="s">
        <v>1506</v>
      </c>
      <c r="B10" s="2" t="s">
        <v>1507</v>
      </c>
      <c r="C10" s="2" t="s">
        <v>56</v>
      </c>
      <c r="D10" s="2">
        <v>10</v>
      </c>
      <c r="E10" s="2"/>
      <c r="F10" s="2" t="s">
        <v>1495</v>
      </c>
      <c r="G10" s="2"/>
      <c r="H10" s="2"/>
    </row>
    <row r="11" spans="1:8" ht="28.5">
      <c r="A11" s="2" t="s">
        <v>1508</v>
      </c>
      <c r="B11" s="2" t="s">
        <v>1509</v>
      </c>
      <c r="C11" s="2" t="s">
        <v>56</v>
      </c>
      <c r="D11" s="2">
        <v>10</v>
      </c>
      <c r="E11" s="2"/>
      <c r="F11" s="2" t="s">
        <v>1495</v>
      </c>
      <c r="G11" s="2"/>
      <c r="H11" s="2"/>
    </row>
    <row r="12" spans="1:8">
      <c r="A12" s="2" t="s">
        <v>1510</v>
      </c>
      <c r="B12" s="2" t="s">
        <v>1511</v>
      </c>
      <c r="C12" s="2" t="s">
        <v>56</v>
      </c>
      <c r="D12" s="2">
        <v>6</v>
      </c>
      <c r="E12" s="2"/>
      <c r="F12" s="2" t="s">
        <v>1495</v>
      </c>
      <c r="G12" s="2"/>
      <c r="H12" s="2"/>
    </row>
    <row r="13" spans="1:8" ht="28.5">
      <c r="A13" s="2" t="s">
        <v>1512</v>
      </c>
      <c r="B13" s="2" t="s">
        <v>1513</v>
      </c>
      <c r="C13" s="2" t="s">
        <v>56</v>
      </c>
      <c r="D13" s="2">
        <v>8</v>
      </c>
      <c r="E13" s="2"/>
      <c r="F13" s="2" t="s">
        <v>1495</v>
      </c>
      <c r="G13" s="2"/>
      <c r="H13" s="2"/>
    </row>
    <row r="14" spans="1:8">
      <c r="A14" s="2" t="s">
        <v>1514</v>
      </c>
      <c r="B14" s="2" t="s">
        <v>1515</v>
      </c>
      <c r="C14" s="2" t="s">
        <v>56</v>
      </c>
      <c r="D14" s="2">
        <v>6</v>
      </c>
      <c r="E14" s="2"/>
      <c r="F14" s="2" t="s">
        <v>1495</v>
      </c>
      <c r="G14" s="2"/>
      <c r="H14" s="2"/>
    </row>
    <row r="15" spans="1:8">
      <c r="A15" s="2" t="s">
        <v>1516</v>
      </c>
      <c r="B15" s="2" t="s">
        <v>1517</v>
      </c>
      <c r="C15" s="2" t="s">
        <v>56</v>
      </c>
      <c r="D15" s="2">
        <v>6</v>
      </c>
      <c r="E15" s="2"/>
      <c r="F15" s="2" t="s">
        <v>1495</v>
      </c>
      <c r="G15" s="2"/>
      <c r="H15" s="2"/>
    </row>
    <row r="16" spans="1:8">
      <c r="A16" s="2" t="s">
        <v>1518</v>
      </c>
      <c r="B16" s="2" t="s">
        <v>1519</v>
      </c>
      <c r="C16" s="2" t="s">
        <v>56</v>
      </c>
      <c r="D16" s="2">
        <v>8</v>
      </c>
      <c r="E16" s="2"/>
      <c r="F16" s="2" t="s">
        <v>1495</v>
      </c>
      <c r="G16" s="2"/>
      <c r="H16" s="2"/>
    </row>
    <row r="17" spans="1:8" ht="28.5">
      <c r="A17" s="2" t="s">
        <v>1520</v>
      </c>
      <c r="B17" s="2" t="s">
        <v>1521</v>
      </c>
      <c r="C17" s="2" t="s">
        <v>56</v>
      </c>
      <c r="D17" s="2">
        <v>8</v>
      </c>
      <c r="E17" s="2"/>
      <c r="F17" s="2" t="s">
        <v>1495</v>
      </c>
      <c r="G17" s="2"/>
      <c r="H17" s="2"/>
    </row>
    <row r="18" spans="1:8">
      <c r="A18" s="2" t="s">
        <v>1522</v>
      </c>
      <c r="B18" s="2" t="s">
        <v>1523</v>
      </c>
      <c r="C18" s="2" t="s">
        <v>56</v>
      </c>
      <c r="D18" s="2">
        <v>8</v>
      </c>
      <c r="E18" s="2"/>
      <c r="F18" s="2" t="s">
        <v>1495</v>
      </c>
      <c r="G18" s="2"/>
      <c r="H18" s="2"/>
    </row>
    <row r="19" spans="1:8">
      <c r="A19" s="2" t="s">
        <v>1524</v>
      </c>
      <c r="B19" s="2" t="s">
        <v>1525</v>
      </c>
      <c r="C19" s="2" t="s">
        <v>56</v>
      </c>
      <c r="D19" s="2">
        <v>10</v>
      </c>
      <c r="E19" s="2"/>
      <c r="F19" s="2" t="s">
        <v>1495</v>
      </c>
      <c r="G19" s="2"/>
      <c r="H19" s="2"/>
    </row>
    <row r="20" spans="1:8">
      <c r="A20" s="2" t="s">
        <v>1526</v>
      </c>
      <c r="B20" s="2" t="s">
        <v>1527</v>
      </c>
      <c r="C20" s="2" t="s">
        <v>56</v>
      </c>
      <c r="D20" s="2">
        <v>8</v>
      </c>
      <c r="E20" s="2"/>
      <c r="F20" s="2" t="s">
        <v>1495</v>
      </c>
      <c r="G20" s="2"/>
      <c r="H20" s="2"/>
    </row>
    <row r="21" spans="1:8">
      <c r="A21" s="2" t="s">
        <v>1528</v>
      </c>
      <c r="B21" s="2" t="s">
        <v>1529</v>
      </c>
      <c r="C21" s="2" t="s">
        <v>56</v>
      </c>
      <c r="D21" s="2">
        <v>6</v>
      </c>
      <c r="E21" s="2"/>
      <c r="F21" s="2" t="s">
        <v>1495</v>
      </c>
      <c r="G21" s="2"/>
      <c r="H21" s="2"/>
    </row>
    <row r="22" spans="1:8">
      <c r="A22" s="2" t="s">
        <v>1530</v>
      </c>
      <c r="B22" s="2" t="s">
        <v>1531</v>
      </c>
      <c r="C22" s="2" t="s">
        <v>56</v>
      </c>
      <c r="D22" s="2">
        <v>6</v>
      </c>
      <c r="E22" s="2"/>
      <c r="F22" s="2" t="s">
        <v>1495</v>
      </c>
      <c r="G22" s="2"/>
      <c r="H22" s="2"/>
    </row>
    <row r="23" spans="1:8">
      <c r="A23" s="2" t="s">
        <v>1532</v>
      </c>
      <c r="B23" s="2" t="s">
        <v>1533</v>
      </c>
      <c r="C23" s="2" t="s">
        <v>56</v>
      </c>
      <c r="D23" s="2">
        <v>6</v>
      </c>
      <c r="E23" s="2"/>
      <c r="F23" s="2" t="s">
        <v>1495</v>
      </c>
      <c r="G23" s="2"/>
      <c r="H23" s="2"/>
    </row>
    <row r="24" spans="1:8">
      <c r="A24" s="2" t="s">
        <v>1534</v>
      </c>
      <c r="B24" s="2" t="s">
        <v>1535</v>
      </c>
      <c r="C24" s="2" t="s">
        <v>56</v>
      </c>
      <c r="D24" s="2">
        <v>6</v>
      </c>
      <c r="E24" s="2"/>
      <c r="F24" s="2" t="s">
        <v>1495</v>
      </c>
      <c r="G24" s="2"/>
      <c r="H24" s="2"/>
    </row>
    <row r="25" spans="1:8">
      <c r="A25" s="2" t="s">
        <v>1536</v>
      </c>
      <c r="B25" s="2" t="s">
        <v>1537</v>
      </c>
      <c r="C25" s="2" t="s">
        <v>56</v>
      </c>
      <c r="D25" s="2">
        <v>8</v>
      </c>
      <c r="E25" s="2"/>
      <c r="F25" s="2" t="s">
        <v>1495</v>
      </c>
      <c r="G25" s="2"/>
      <c r="H25" s="2"/>
    </row>
    <row r="26" spans="1:8">
      <c r="A26" s="2" t="s">
        <v>1538</v>
      </c>
      <c r="B26" s="2" t="s">
        <v>1539</v>
      </c>
      <c r="C26" s="2" t="s">
        <v>56</v>
      </c>
      <c r="D26" s="2">
        <v>6</v>
      </c>
      <c r="E26" s="2"/>
      <c r="F26" s="2" t="s">
        <v>1495</v>
      </c>
      <c r="G26" s="2"/>
      <c r="H26" s="2"/>
    </row>
    <row r="27" spans="1:8">
      <c r="A27" s="2" t="s">
        <v>1540</v>
      </c>
      <c r="B27" s="2" t="s">
        <v>1541</v>
      </c>
      <c r="C27" s="2" t="s">
        <v>56</v>
      </c>
      <c r="D27" s="2">
        <v>8</v>
      </c>
      <c r="E27" s="2"/>
      <c r="F27" s="2" t="s">
        <v>1495</v>
      </c>
      <c r="G27" s="2"/>
      <c r="H27" s="2"/>
    </row>
    <row r="28" spans="1:8" ht="28.5">
      <c r="A28" s="2" t="s">
        <v>1542</v>
      </c>
      <c r="B28" s="2" t="s">
        <v>1543</v>
      </c>
      <c r="C28" s="2" t="s">
        <v>56</v>
      </c>
      <c r="D28" s="2">
        <v>8</v>
      </c>
      <c r="E28" s="2"/>
      <c r="F28" s="2" t="s">
        <v>1495</v>
      </c>
      <c r="G28" s="2"/>
      <c r="H28" s="2"/>
    </row>
    <row r="29" spans="1:8">
      <c r="A29" s="2" t="s">
        <v>1544</v>
      </c>
      <c r="B29" s="2" t="s">
        <v>1545</v>
      </c>
      <c r="C29" s="2" t="s">
        <v>56</v>
      </c>
      <c r="D29" s="2">
        <v>6</v>
      </c>
      <c r="E29" s="2"/>
      <c r="F29" s="2" t="s">
        <v>1495</v>
      </c>
      <c r="G29" s="2"/>
      <c r="H29" s="2"/>
    </row>
    <row r="30" spans="1:8">
      <c r="A30" s="2" t="s">
        <v>1546</v>
      </c>
      <c r="B30" s="2" t="s">
        <v>1547</v>
      </c>
      <c r="C30" s="2" t="s">
        <v>56</v>
      </c>
      <c r="D30" s="2">
        <v>6</v>
      </c>
      <c r="E30" s="2"/>
      <c r="F30" s="2" t="s">
        <v>1495</v>
      </c>
      <c r="G30" s="2"/>
      <c r="H30" s="2"/>
    </row>
    <row r="31" spans="1:8">
      <c r="A31" s="2" t="s">
        <v>1548</v>
      </c>
      <c r="B31" s="2" t="s">
        <v>1549</v>
      </c>
      <c r="C31" s="2" t="s">
        <v>56</v>
      </c>
      <c r="D31" s="2">
        <v>2</v>
      </c>
      <c r="E31" s="2"/>
      <c r="F31" s="2" t="s">
        <v>1495</v>
      </c>
      <c r="G31" s="2"/>
      <c r="H31" s="2"/>
    </row>
    <row r="32" spans="1:8">
      <c r="A32" s="2" t="s">
        <v>1550</v>
      </c>
      <c r="B32" s="2" t="s">
        <v>1551</v>
      </c>
      <c r="C32" s="2" t="s">
        <v>56</v>
      </c>
      <c r="D32" s="2">
        <v>4</v>
      </c>
      <c r="E32" s="2"/>
      <c r="F32" s="2" t="s">
        <v>1495</v>
      </c>
      <c r="G32" s="2"/>
      <c r="H32" s="2"/>
    </row>
    <row r="33" spans="1:8" ht="28.5">
      <c r="A33" s="2" t="s">
        <v>1552</v>
      </c>
      <c r="B33" s="2" t="s">
        <v>1553</v>
      </c>
      <c r="C33" s="2" t="s">
        <v>56</v>
      </c>
      <c r="D33" s="2">
        <v>8</v>
      </c>
      <c r="E33" s="2"/>
      <c r="F33" s="2" t="s">
        <v>1495</v>
      </c>
      <c r="G33" s="2"/>
      <c r="H33" s="2"/>
    </row>
    <row r="34" spans="1:8">
      <c r="A34" s="2" t="s">
        <v>1554</v>
      </c>
      <c r="B34" s="2" t="s">
        <v>1555</v>
      </c>
      <c r="C34" s="2" t="s">
        <v>56</v>
      </c>
      <c r="D34" s="2">
        <v>10</v>
      </c>
      <c r="E34" s="2"/>
      <c r="F34" s="2" t="s">
        <v>1495</v>
      </c>
      <c r="G34" s="2"/>
      <c r="H34" s="2"/>
    </row>
    <row r="35" spans="1:8">
      <c r="A35" s="2" t="s">
        <v>1556</v>
      </c>
      <c r="B35" s="2" t="s">
        <v>1557</v>
      </c>
      <c r="C35" s="2" t="s">
        <v>56</v>
      </c>
      <c r="D35" s="2">
        <v>12</v>
      </c>
      <c r="E35" s="2"/>
      <c r="F35" s="2" t="s">
        <v>1495</v>
      </c>
      <c r="G35" s="2"/>
      <c r="H35" s="2"/>
    </row>
    <row r="36" spans="1:8">
      <c r="A36" s="2" t="s">
        <v>1558</v>
      </c>
      <c r="B36" s="2" t="s">
        <v>1559</v>
      </c>
      <c r="C36" s="2" t="s">
        <v>56</v>
      </c>
      <c r="D36" s="2">
        <v>12</v>
      </c>
      <c r="E36" s="2"/>
      <c r="F36" s="2" t="s">
        <v>1495</v>
      </c>
      <c r="G36" s="2"/>
      <c r="H36" s="2"/>
    </row>
    <row r="37" spans="1:8">
      <c r="A37" s="2" t="s">
        <v>1560</v>
      </c>
      <c r="B37" s="2" t="s">
        <v>1561</v>
      </c>
      <c r="C37" s="2" t="s">
        <v>56</v>
      </c>
      <c r="D37" s="2">
        <v>10</v>
      </c>
      <c r="E37" s="2"/>
      <c r="F37" s="2" t="s">
        <v>1495</v>
      </c>
      <c r="G37" s="2"/>
      <c r="H37" s="2"/>
    </row>
    <row r="38" spans="1:8">
      <c r="A38" s="2" t="s">
        <v>1562</v>
      </c>
      <c r="B38" s="2" t="s">
        <v>1563</v>
      </c>
      <c r="C38" s="2" t="s">
        <v>56</v>
      </c>
      <c r="D38" s="2">
        <v>8</v>
      </c>
      <c r="E38" s="2"/>
      <c r="F38" s="2" t="s">
        <v>1495</v>
      </c>
      <c r="G38" s="2"/>
      <c r="H38" s="2"/>
    </row>
    <row r="39" spans="1:8" ht="28.5">
      <c r="A39" s="2" t="s">
        <v>1564</v>
      </c>
      <c r="B39" s="2" t="s">
        <v>1565</v>
      </c>
      <c r="C39" s="2" t="s">
        <v>56</v>
      </c>
      <c r="D39" s="2">
        <v>12</v>
      </c>
      <c r="E39" s="2"/>
      <c r="F39" s="2" t="s">
        <v>1495</v>
      </c>
      <c r="G39" s="2"/>
      <c r="H39" s="2"/>
    </row>
    <row r="40" spans="1:8">
      <c r="A40" s="2" t="s">
        <v>1566</v>
      </c>
      <c r="B40" s="2" t="s">
        <v>1567</v>
      </c>
      <c r="C40" s="2" t="s">
        <v>56</v>
      </c>
      <c r="D40" s="2">
        <v>3</v>
      </c>
      <c r="E40" s="2"/>
      <c r="F40" s="2" t="s">
        <v>1495</v>
      </c>
      <c r="G40" s="2"/>
      <c r="H40" s="2"/>
    </row>
    <row r="41" spans="1:8">
      <c r="A41" s="2" t="s">
        <v>1568</v>
      </c>
      <c r="B41" s="2" t="s">
        <v>1569</v>
      </c>
      <c r="C41" s="2" t="s">
        <v>56</v>
      </c>
      <c r="D41" s="2">
        <v>12</v>
      </c>
      <c r="E41" s="2"/>
      <c r="F41" s="2" t="s">
        <v>1495</v>
      </c>
      <c r="G41" s="2"/>
      <c r="H41" s="2"/>
    </row>
    <row r="42" spans="1:8">
      <c r="A42" s="2" t="s">
        <v>1570</v>
      </c>
      <c r="B42" s="2" t="s">
        <v>1571</v>
      </c>
      <c r="C42" s="2" t="s">
        <v>56</v>
      </c>
      <c r="D42" s="2">
        <v>12</v>
      </c>
      <c r="E42" s="2"/>
      <c r="F42" s="2" t="s">
        <v>1495</v>
      </c>
      <c r="G42" s="2"/>
      <c r="H42" s="2"/>
    </row>
    <row r="43" spans="1:8">
      <c r="A43" s="2" t="s">
        <v>1572</v>
      </c>
      <c r="B43" s="2" t="s">
        <v>1573</v>
      </c>
      <c r="C43" s="2" t="s">
        <v>56</v>
      </c>
      <c r="D43" s="2">
        <v>8</v>
      </c>
      <c r="E43" s="2"/>
      <c r="F43" s="2" t="s">
        <v>1495</v>
      </c>
      <c r="G43" s="2"/>
      <c r="H43" s="2"/>
    </row>
    <row r="44" spans="1:8">
      <c r="A44" s="2" t="s">
        <v>1574</v>
      </c>
      <c r="B44" s="2" t="s">
        <v>1575</v>
      </c>
      <c r="C44" s="2" t="s">
        <v>56</v>
      </c>
      <c r="D44" s="2">
        <v>6</v>
      </c>
      <c r="E44" s="2"/>
      <c r="F44" s="2" t="s">
        <v>1495</v>
      </c>
      <c r="G44" s="2"/>
      <c r="H44" s="2"/>
    </row>
    <row r="45" spans="1:8">
      <c r="A45" s="2" t="s">
        <v>1576</v>
      </c>
      <c r="B45" s="2" t="s">
        <v>1577</v>
      </c>
      <c r="C45" s="2" t="s">
        <v>56</v>
      </c>
      <c r="D45" s="2">
        <v>6</v>
      </c>
      <c r="E45" s="2"/>
      <c r="F45" s="2" t="s">
        <v>1495</v>
      </c>
      <c r="G45" s="2"/>
      <c r="H45" s="2"/>
    </row>
    <row r="46" spans="1:8">
      <c r="A46" s="2" t="s">
        <v>1578</v>
      </c>
      <c r="B46" s="2" t="s">
        <v>1579</v>
      </c>
      <c r="C46" s="2" t="s">
        <v>56</v>
      </c>
      <c r="D46" s="2">
        <v>12</v>
      </c>
      <c r="E46" s="2"/>
      <c r="F46" s="2" t="s">
        <v>1495</v>
      </c>
      <c r="G46" s="2"/>
      <c r="H46" s="2"/>
    </row>
    <row r="47" spans="1:8" ht="28.5">
      <c r="A47" s="2" t="s">
        <v>1580</v>
      </c>
      <c r="B47" s="2" t="s">
        <v>1581</v>
      </c>
      <c r="C47" s="2" t="s">
        <v>56</v>
      </c>
      <c r="D47" s="2">
        <v>8</v>
      </c>
      <c r="E47" s="2" t="s">
        <v>1582</v>
      </c>
      <c r="F47" s="2" t="s">
        <v>1495</v>
      </c>
      <c r="G47" s="2"/>
      <c r="H47" s="2"/>
    </row>
    <row r="48" spans="1:8" ht="28.5">
      <c r="A48" s="2" t="s">
        <v>1583</v>
      </c>
      <c r="B48" s="2" t="s">
        <v>1584</v>
      </c>
      <c r="C48" s="2" t="s">
        <v>56</v>
      </c>
      <c r="D48" s="2">
        <v>6</v>
      </c>
      <c r="E48" s="2" t="s">
        <v>1585</v>
      </c>
      <c r="F48" s="2" t="s">
        <v>1495</v>
      </c>
      <c r="G48" s="2"/>
      <c r="H48" s="2"/>
    </row>
    <row r="49" spans="1:8" ht="28.5">
      <c r="A49" s="2" t="s">
        <v>1586</v>
      </c>
      <c r="B49" s="2" t="s">
        <v>1587</v>
      </c>
      <c r="C49" s="2" t="s">
        <v>56</v>
      </c>
      <c r="D49" s="2">
        <v>8</v>
      </c>
      <c r="E49" s="2" t="s">
        <v>1588</v>
      </c>
      <c r="F49" s="2" t="s">
        <v>1495</v>
      </c>
      <c r="G49" s="2"/>
      <c r="H49" s="2"/>
    </row>
    <row r="50" spans="1:8" ht="28.5">
      <c r="A50" s="2" t="s">
        <v>1589</v>
      </c>
      <c r="B50" s="2" t="s">
        <v>1590</v>
      </c>
      <c r="C50" s="2" t="s">
        <v>56</v>
      </c>
      <c r="D50" s="2">
        <v>10</v>
      </c>
      <c r="E50" s="2" t="s">
        <v>1591</v>
      </c>
      <c r="F50" s="2" t="s">
        <v>1495</v>
      </c>
      <c r="G50" s="2"/>
      <c r="H50" s="2"/>
    </row>
    <row r="51" spans="1:8" ht="28.5">
      <c r="A51" s="2" t="s">
        <v>1592</v>
      </c>
      <c r="B51" s="2" t="s">
        <v>1593</v>
      </c>
      <c r="C51" s="2" t="s">
        <v>56</v>
      </c>
      <c r="D51" s="2">
        <v>4</v>
      </c>
      <c r="E51" s="2" t="s">
        <v>1594</v>
      </c>
      <c r="F51" s="2" t="s">
        <v>1495</v>
      </c>
      <c r="G51" s="2"/>
      <c r="H51" s="2"/>
    </row>
    <row r="52" spans="1:8" ht="57">
      <c r="A52" s="2" t="s">
        <v>1595</v>
      </c>
      <c r="B52" s="2" t="s">
        <v>1596</v>
      </c>
      <c r="C52" s="2" t="s">
        <v>56</v>
      </c>
      <c r="D52" s="2">
        <v>4</v>
      </c>
      <c r="E52" s="2" t="s">
        <v>1597</v>
      </c>
      <c r="F52" s="2" t="s">
        <v>1598</v>
      </c>
      <c r="G52" s="2"/>
      <c r="H52" s="2"/>
    </row>
    <row r="53" spans="1:8">
      <c r="A53" s="2" t="s">
        <v>1599</v>
      </c>
      <c r="B53" s="2" t="s">
        <v>1600</v>
      </c>
      <c r="C53" s="2" t="s">
        <v>56</v>
      </c>
      <c r="D53" s="2">
        <v>6</v>
      </c>
      <c r="E53" s="2"/>
      <c r="F53" s="2" t="s">
        <v>1495</v>
      </c>
      <c r="G53" s="2"/>
      <c r="H53" s="2"/>
    </row>
    <row r="54" spans="1:8">
      <c r="A54" s="2" t="s">
        <v>1601</v>
      </c>
      <c r="B54" s="2" t="s">
        <v>1602</v>
      </c>
      <c r="C54" s="2" t="s">
        <v>56</v>
      </c>
      <c r="D54" s="2">
        <v>6</v>
      </c>
      <c r="E54" s="2"/>
      <c r="F54" s="2" t="s">
        <v>1495</v>
      </c>
      <c r="G54" s="2"/>
      <c r="H54" s="2"/>
    </row>
    <row r="55" spans="1:8">
      <c r="A55" s="2" t="s">
        <v>1603</v>
      </c>
      <c r="B55" s="2" t="s">
        <v>1604</v>
      </c>
      <c r="C55" s="2" t="s">
        <v>56</v>
      </c>
      <c r="D55" s="2">
        <v>4</v>
      </c>
      <c r="E55" s="2"/>
      <c r="F55" s="2" t="s">
        <v>1495</v>
      </c>
      <c r="G55" s="2"/>
      <c r="H55" s="2"/>
    </row>
    <row r="56" spans="1:8" ht="71.25">
      <c r="A56" s="2" t="s">
        <v>1605</v>
      </c>
      <c r="B56" s="2" t="s">
        <v>1606</v>
      </c>
      <c r="C56" s="2" t="s">
        <v>1607</v>
      </c>
      <c r="D56" s="2">
        <v>4</v>
      </c>
      <c r="E56" s="2"/>
      <c r="F56" s="2" t="s">
        <v>1608</v>
      </c>
      <c r="G56" s="2"/>
      <c r="H56" s="2"/>
    </row>
    <row r="57" spans="1:8" ht="71.25">
      <c r="A57" s="2" t="s">
        <v>1609</v>
      </c>
      <c r="B57" s="2" t="s">
        <v>1610</v>
      </c>
      <c r="C57" s="2" t="s">
        <v>1607</v>
      </c>
      <c r="D57" s="2">
        <v>4</v>
      </c>
      <c r="E57" s="2"/>
      <c r="F57" s="2" t="s">
        <v>1608</v>
      </c>
      <c r="G57" s="2"/>
      <c r="H57" s="2"/>
    </row>
    <row r="58" spans="1:8" ht="71.25">
      <c r="A58" s="2" t="s">
        <v>1611</v>
      </c>
      <c r="B58" s="2" t="s">
        <v>1612</v>
      </c>
      <c r="C58" s="2" t="s">
        <v>1607</v>
      </c>
      <c r="D58" s="2">
        <v>6</v>
      </c>
      <c r="E58" s="2"/>
      <c r="F58" s="2" t="s">
        <v>1608</v>
      </c>
      <c r="G58" s="2"/>
      <c r="H58" s="2"/>
    </row>
    <row r="59" spans="1:8" ht="71.25">
      <c r="A59" s="2" t="s">
        <v>1613</v>
      </c>
      <c r="B59" s="2" t="s">
        <v>1614</v>
      </c>
      <c r="C59" s="2" t="s">
        <v>1607</v>
      </c>
      <c r="D59" s="2">
        <v>4</v>
      </c>
      <c r="E59" s="2"/>
      <c r="F59" s="2" t="s">
        <v>1608</v>
      </c>
      <c r="G59" s="2"/>
      <c r="H59" s="2"/>
    </row>
    <row r="60" spans="1:8" ht="57">
      <c r="A60" s="2" t="s">
        <v>1615</v>
      </c>
      <c r="B60" s="2" t="s">
        <v>1616</v>
      </c>
      <c r="C60" s="2" t="s">
        <v>56</v>
      </c>
      <c r="D60" s="2">
        <v>10</v>
      </c>
      <c r="E60" s="2"/>
      <c r="F60" s="2" t="s">
        <v>1617</v>
      </c>
      <c r="G60" s="2"/>
      <c r="H60" s="2"/>
    </row>
    <row r="61" spans="1:8" ht="57">
      <c r="A61" s="2" t="s">
        <v>1618</v>
      </c>
      <c r="B61" s="2" t="s">
        <v>1619</v>
      </c>
      <c r="C61" s="2" t="s">
        <v>56</v>
      </c>
      <c r="D61" s="2">
        <v>10</v>
      </c>
      <c r="E61" s="2"/>
      <c r="F61" s="2" t="s">
        <v>1617</v>
      </c>
      <c r="G61" s="2"/>
      <c r="H61" s="2"/>
    </row>
    <row r="62" spans="1:8" ht="71.25">
      <c r="A62" s="2" t="s">
        <v>1620</v>
      </c>
      <c r="B62" s="2" t="s">
        <v>1621</v>
      </c>
      <c r="C62" s="2" t="s">
        <v>1607</v>
      </c>
      <c r="D62" s="2">
        <v>4</v>
      </c>
      <c r="E62" s="2"/>
      <c r="F62" s="2" t="s">
        <v>1622</v>
      </c>
      <c r="G62" s="2"/>
      <c r="H62" s="2"/>
    </row>
    <row r="63" spans="1:8" ht="71.25">
      <c r="A63" s="2" t="s">
        <v>1623</v>
      </c>
      <c r="B63" s="2" t="s">
        <v>1624</v>
      </c>
      <c r="C63" s="2" t="s">
        <v>1607</v>
      </c>
      <c r="D63" s="2">
        <v>4</v>
      </c>
      <c r="E63" s="2"/>
      <c r="F63" s="2" t="s">
        <v>1625</v>
      </c>
      <c r="G63" s="2"/>
      <c r="H63" s="2"/>
    </row>
    <row r="64" spans="1:8" ht="71.25">
      <c r="A64" s="2" t="s">
        <v>1626</v>
      </c>
      <c r="B64" s="2" t="s">
        <v>1627</v>
      </c>
      <c r="C64" s="2" t="s">
        <v>1607</v>
      </c>
      <c r="D64" s="2">
        <v>6</v>
      </c>
      <c r="E64" s="2"/>
      <c r="F64" s="2" t="s">
        <v>1608</v>
      </c>
      <c r="G64" s="2"/>
      <c r="H64" s="2"/>
    </row>
    <row r="65" spans="1:8" ht="71.25">
      <c r="A65" s="2" t="s">
        <v>1628</v>
      </c>
      <c r="B65" s="2" t="s">
        <v>1629</v>
      </c>
      <c r="C65" s="2" t="s">
        <v>1607</v>
      </c>
      <c r="D65" s="2">
        <v>4</v>
      </c>
      <c r="E65" s="2"/>
      <c r="F65" s="2" t="s">
        <v>1608</v>
      </c>
      <c r="G65" s="2"/>
      <c r="H65" s="2"/>
    </row>
    <row r="66" spans="1:8" ht="71.25">
      <c r="A66" s="2" t="s">
        <v>1630</v>
      </c>
      <c r="B66" s="2" t="s">
        <v>1631</v>
      </c>
      <c r="C66" s="2" t="s">
        <v>1607</v>
      </c>
      <c r="D66" s="2">
        <v>10</v>
      </c>
      <c r="E66" s="2"/>
      <c r="F66" s="2" t="s">
        <v>1608</v>
      </c>
      <c r="G66" s="2"/>
      <c r="H66" s="2"/>
    </row>
    <row r="67" spans="1:8" ht="156.75">
      <c r="A67" s="2" t="s">
        <v>1632</v>
      </c>
      <c r="B67" s="2" t="s">
        <v>1633</v>
      </c>
      <c r="C67" s="2" t="s">
        <v>56</v>
      </c>
      <c r="D67" s="2">
        <v>8</v>
      </c>
      <c r="E67" s="2"/>
      <c r="F67" s="2" t="s">
        <v>1634</v>
      </c>
      <c r="G67" s="2"/>
      <c r="H67" s="2"/>
    </row>
    <row r="68" spans="1:8" ht="71.25">
      <c r="A68" s="2" t="s">
        <v>1635</v>
      </c>
      <c r="B68" s="2" t="s">
        <v>1636</v>
      </c>
      <c r="C68" s="2" t="s">
        <v>1607</v>
      </c>
      <c r="D68" s="2">
        <v>12</v>
      </c>
      <c r="E68" s="2"/>
      <c r="F68" s="2" t="s">
        <v>1625</v>
      </c>
      <c r="G68" s="2"/>
      <c r="H68" s="2"/>
    </row>
    <row r="69" spans="1:8" ht="71.25">
      <c r="A69" s="2" t="s">
        <v>1637</v>
      </c>
      <c r="B69" s="2" t="s">
        <v>1638</v>
      </c>
      <c r="C69" s="2" t="s">
        <v>1607</v>
      </c>
      <c r="D69" s="2">
        <v>6</v>
      </c>
      <c r="E69" s="2"/>
      <c r="F69" s="2" t="s">
        <v>1625</v>
      </c>
      <c r="G69" s="2"/>
      <c r="H69" s="2"/>
    </row>
    <row r="70" spans="1:8" ht="71.25">
      <c r="A70" s="2" t="s">
        <v>1639</v>
      </c>
      <c r="B70" s="2" t="s">
        <v>1640</v>
      </c>
      <c r="C70" s="2" t="s">
        <v>1607</v>
      </c>
      <c r="D70" s="2">
        <v>8</v>
      </c>
      <c r="E70" s="2"/>
      <c r="F70" s="2" t="s">
        <v>1641</v>
      </c>
      <c r="G70" s="2"/>
      <c r="H70" s="2"/>
    </row>
    <row r="71" spans="1:8" ht="171">
      <c r="A71" s="2" t="s">
        <v>1642</v>
      </c>
      <c r="B71" s="2" t="s">
        <v>1643</v>
      </c>
      <c r="C71" s="2" t="s">
        <v>56</v>
      </c>
      <c r="D71" s="2">
        <v>6</v>
      </c>
      <c r="E71" s="2"/>
      <c r="F71" s="2" t="s">
        <v>1644</v>
      </c>
      <c r="G71" s="2"/>
      <c r="H71" s="2"/>
    </row>
    <row r="72" spans="1:8">
      <c r="A72" s="2" t="s">
        <v>1645</v>
      </c>
      <c r="B72" s="2" t="s">
        <v>1646</v>
      </c>
      <c r="C72" s="2" t="s">
        <v>56</v>
      </c>
      <c r="D72" s="2">
        <v>8</v>
      </c>
      <c r="E72" s="2"/>
      <c r="F72" s="2" t="s">
        <v>1495</v>
      </c>
      <c r="G72" s="2"/>
      <c r="H72" s="2"/>
    </row>
    <row r="73" spans="1:8">
      <c r="A73" s="2" t="s">
        <v>1647</v>
      </c>
      <c r="B73" s="2" t="s">
        <v>1648</v>
      </c>
      <c r="C73" s="2" t="s">
        <v>56</v>
      </c>
      <c r="D73" s="2">
        <v>6</v>
      </c>
      <c r="E73" s="2"/>
      <c r="F73" s="2" t="s">
        <v>1495</v>
      </c>
      <c r="G73" s="2"/>
      <c r="H73" s="2"/>
    </row>
    <row r="74" spans="1:8">
      <c r="A74" s="2" t="s">
        <v>1649</v>
      </c>
      <c r="B74" s="2" t="s">
        <v>1650</v>
      </c>
      <c r="C74" s="2" t="s">
        <v>56</v>
      </c>
      <c r="D74" s="2">
        <v>8</v>
      </c>
      <c r="E74" s="2"/>
      <c r="F74" s="2" t="s">
        <v>1495</v>
      </c>
      <c r="G74" s="2"/>
      <c r="H74" s="2"/>
    </row>
    <row r="75" spans="1:8">
      <c r="A75" s="2" t="s">
        <v>1651</v>
      </c>
      <c r="B75" s="2" t="s">
        <v>1652</v>
      </c>
      <c r="C75" s="2" t="s">
        <v>56</v>
      </c>
      <c r="D75" s="2">
        <v>8</v>
      </c>
      <c r="E75" s="2"/>
      <c r="F75" s="2" t="s">
        <v>1495</v>
      </c>
      <c r="G75" s="2"/>
      <c r="H75" s="2"/>
    </row>
    <row r="76" spans="1:8">
      <c r="A76" s="2" t="s">
        <v>1653</v>
      </c>
      <c r="B76" s="2" t="s">
        <v>1654</v>
      </c>
      <c r="C76" s="2" t="s">
        <v>56</v>
      </c>
      <c r="D76" s="2">
        <v>8</v>
      </c>
      <c r="E76" s="2"/>
      <c r="F76" s="2" t="s">
        <v>1495</v>
      </c>
      <c r="G76" s="2"/>
      <c r="H76" s="2"/>
    </row>
    <row r="77" spans="1:8">
      <c r="A77" s="2" t="s">
        <v>1655</v>
      </c>
      <c r="B77" s="2" t="s">
        <v>1656</v>
      </c>
      <c r="C77" s="2" t="s">
        <v>56</v>
      </c>
      <c r="D77" s="2">
        <v>4</v>
      </c>
      <c r="E77" s="2"/>
      <c r="F77" s="2" t="s">
        <v>1495</v>
      </c>
      <c r="G77" s="2"/>
      <c r="H77" s="2"/>
    </row>
    <row r="78" spans="1:8">
      <c r="A78" s="2" t="s">
        <v>1657</v>
      </c>
      <c r="B78" s="2" t="s">
        <v>1658</v>
      </c>
      <c r="C78" s="2" t="s">
        <v>56</v>
      </c>
      <c r="D78" s="2">
        <v>4</v>
      </c>
      <c r="E78" s="2"/>
      <c r="F78" s="2" t="s">
        <v>1495</v>
      </c>
      <c r="G78" s="2"/>
      <c r="H78" s="2"/>
    </row>
    <row r="79" spans="1:8" ht="71.25">
      <c r="A79" s="2" t="s">
        <v>1659</v>
      </c>
      <c r="B79" s="2" t="s">
        <v>1660</v>
      </c>
      <c r="C79" s="2" t="s">
        <v>1607</v>
      </c>
      <c r="D79" s="2">
        <v>4</v>
      </c>
      <c r="E79" s="2"/>
      <c r="F79" s="2" t="s">
        <v>1608</v>
      </c>
      <c r="G79" s="2"/>
      <c r="H79" s="2"/>
    </row>
    <row r="80" spans="1:8" ht="71.25">
      <c r="A80" s="2" t="s">
        <v>1661</v>
      </c>
      <c r="B80" s="2" t="s">
        <v>1662</v>
      </c>
      <c r="C80" s="2" t="s">
        <v>1607</v>
      </c>
      <c r="D80" s="2">
        <v>6</v>
      </c>
      <c r="E80" s="2"/>
      <c r="F80" s="2" t="s">
        <v>1663</v>
      </c>
      <c r="G80" s="2"/>
      <c r="H80" s="2"/>
    </row>
    <row r="81" spans="1:8" ht="71.25">
      <c r="A81" s="2" t="s">
        <v>1664</v>
      </c>
      <c r="B81" s="2" t="s">
        <v>1665</v>
      </c>
      <c r="C81" s="2" t="s">
        <v>1607</v>
      </c>
      <c r="D81" s="2">
        <v>4</v>
      </c>
      <c r="E81" s="2"/>
      <c r="F81" s="2" t="s">
        <v>1663</v>
      </c>
      <c r="G81" s="2"/>
      <c r="H81" s="2"/>
    </row>
    <row r="82" spans="1:8" ht="71.25">
      <c r="A82" s="2" t="s">
        <v>1666</v>
      </c>
      <c r="B82" s="2" t="s">
        <v>1667</v>
      </c>
      <c r="C82" s="2" t="s">
        <v>1607</v>
      </c>
      <c r="D82" s="2">
        <v>3</v>
      </c>
      <c r="E82" s="2"/>
      <c r="F82" s="2" t="s">
        <v>1663</v>
      </c>
      <c r="G82" s="2"/>
      <c r="H82" s="2"/>
    </row>
    <row r="83" spans="1:8" ht="71.25">
      <c r="A83" s="2" t="s">
        <v>1668</v>
      </c>
      <c r="B83" s="2" t="s">
        <v>1669</v>
      </c>
      <c r="C83" s="2" t="s">
        <v>1607</v>
      </c>
      <c r="D83" s="2">
        <v>4</v>
      </c>
      <c r="E83" s="2"/>
      <c r="F83" s="2" t="s">
        <v>1663</v>
      </c>
      <c r="G83" s="2"/>
      <c r="H83" s="2"/>
    </row>
    <row r="84" spans="1:8" ht="71.25">
      <c r="A84" s="2" t="s">
        <v>1670</v>
      </c>
      <c r="B84" s="2" t="s">
        <v>1671</v>
      </c>
      <c r="C84" s="2" t="s">
        <v>1607</v>
      </c>
      <c r="D84" s="2">
        <v>6</v>
      </c>
      <c r="E84" s="2"/>
      <c r="F84" s="2" t="s">
        <v>1663</v>
      </c>
      <c r="G84" s="2"/>
      <c r="H84" s="2"/>
    </row>
    <row r="85" spans="1:8" ht="71.25">
      <c r="A85" s="2" t="s">
        <v>1672</v>
      </c>
      <c r="B85" s="2" t="s">
        <v>1673</v>
      </c>
      <c r="C85" s="2" t="s">
        <v>1607</v>
      </c>
      <c r="D85" s="2">
        <v>4</v>
      </c>
      <c r="E85" s="2"/>
      <c r="F85" s="2" t="s">
        <v>1663</v>
      </c>
      <c r="G85" s="2"/>
      <c r="H85" s="2"/>
    </row>
    <row r="86" spans="1:8" ht="71.25">
      <c r="A86" s="2" t="s">
        <v>1674</v>
      </c>
      <c r="B86" s="2" t="s">
        <v>1675</v>
      </c>
      <c r="C86" s="2" t="s">
        <v>1607</v>
      </c>
      <c r="D86" s="2">
        <v>6</v>
      </c>
      <c r="E86" s="2"/>
      <c r="F86" s="2" t="s">
        <v>1663</v>
      </c>
      <c r="G86" s="2"/>
      <c r="H86" s="2"/>
    </row>
    <row r="87" spans="1:8" ht="28.5">
      <c r="A87" s="2" t="s">
        <v>1676</v>
      </c>
      <c r="B87" s="2" t="s">
        <v>1677</v>
      </c>
      <c r="C87" s="2" t="s">
        <v>1678</v>
      </c>
      <c r="D87" s="2">
        <v>10</v>
      </c>
      <c r="E87" s="2"/>
      <c r="F87" s="2" t="s">
        <v>1679</v>
      </c>
      <c r="G87" s="2"/>
      <c r="H87" s="2"/>
    </row>
    <row r="88" spans="1:8" ht="28.5">
      <c r="A88" s="2" t="s">
        <v>1680</v>
      </c>
      <c r="B88" s="2" t="s">
        <v>1681</v>
      </c>
      <c r="C88" s="2" t="s">
        <v>1678</v>
      </c>
      <c r="D88" s="2">
        <v>10</v>
      </c>
      <c r="E88" s="2"/>
      <c r="F88" s="2" t="s">
        <v>1679</v>
      </c>
      <c r="G88" s="2"/>
      <c r="H88" s="2"/>
    </row>
  </sheetData>
  <mergeCells count="1">
    <mergeCell ref="A1:H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1"/>
  <sheetViews>
    <sheetView workbookViewId="0"/>
  </sheetViews>
  <sheetFormatPr defaultRowHeight="14.25"/>
  <cols>
    <col min="1" max="1" width="28" customWidth="1"/>
    <col min="2" max="2" width="46" customWidth="1"/>
    <col min="3" max="3" width="72" customWidth="1"/>
    <col min="4" max="6" width="10" customWidth="1"/>
  </cols>
  <sheetData>
    <row r="1" spans="1:6" ht="20.25">
      <c r="A1" s="13" t="s">
        <v>1682</v>
      </c>
      <c r="B1" s="13"/>
      <c r="C1" s="13"/>
      <c r="D1" s="13"/>
      <c r="E1" s="13"/>
      <c r="F1" s="13"/>
    </row>
    <row r="2" spans="1:6">
      <c r="A2" s="2"/>
      <c r="B2" s="2"/>
      <c r="C2" s="2"/>
      <c r="D2" s="2"/>
      <c r="E2" s="2"/>
      <c r="F2" s="2"/>
    </row>
    <row r="3" spans="1:6" ht="15">
      <c r="A3" s="1" t="s">
        <v>1683</v>
      </c>
      <c r="B3" s="1" t="s">
        <v>1684</v>
      </c>
      <c r="C3" s="1" t="s">
        <v>1685</v>
      </c>
      <c r="D3" s="1"/>
      <c r="E3" s="1"/>
      <c r="F3" s="1"/>
    </row>
    <row r="4" spans="1:6">
      <c r="A4" s="2" t="s">
        <v>1686</v>
      </c>
      <c r="B4" s="2" t="s">
        <v>1687</v>
      </c>
      <c r="C4" s="2" t="s">
        <v>1688</v>
      </c>
      <c r="D4" s="2"/>
      <c r="E4" s="2"/>
      <c r="F4" s="2"/>
    </row>
    <row r="5" spans="1:6">
      <c r="A5" s="2" t="s">
        <v>14</v>
      </c>
      <c r="B5" s="2" t="s">
        <v>1689</v>
      </c>
      <c r="C5" s="2" t="s">
        <v>1690</v>
      </c>
      <c r="D5" s="2"/>
      <c r="E5" s="2"/>
      <c r="F5" s="2"/>
    </row>
    <row r="6" spans="1:6">
      <c r="A6" s="2" t="s">
        <v>1691</v>
      </c>
      <c r="B6" s="2" t="s">
        <v>1692</v>
      </c>
      <c r="C6" s="2" t="s">
        <v>1693</v>
      </c>
      <c r="D6" s="2"/>
      <c r="E6" s="2"/>
      <c r="F6" s="2"/>
    </row>
    <row r="7" spans="1:6">
      <c r="A7" s="2" t="s">
        <v>1694</v>
      </c>
      <c r="B7" s="2" t="s">
        <v>1695</v>
      </c>
      <c r="C7" s="2" t="s">
        <v>1696</v>
      </c>
      <c r="D7" s="2"/>
      <c r="E7" s="2"/>
      <c r="F7" s="2"/>
    </row>
    <row r="8" spans="1:6">
      <c r="A8" s="2" t="s">
        <v>1697</v>
      </c>
      <c r="B8" s="2" t="s">
        <v>1698</v>
      </c>
      <c r="C8" s="2" t="s">
        <v>1699</v>
      </c>
      <c r="D8" s="2"/>
      <c r="E8" s="2"/>
      <c r="F8" s="2"/>
    </row>
    <row r="9" spans="1:6">
      <c r="A9" s="2" t="s">
        <v>1700</v>
      </c>
      <c r="B9" s="2" t="s">
        <v>1701</v>
      </c>
      <c r="C9" s="2" t="s">
        <v>1702</v>
      </c>
      <c r="D9" s="2"/>
      <c r="E9" s="2"/>
      <c r="F9" s="2"/>
    </row>
    <row r="10" spans="1:6">
      <c r="A10" s="2" t="s">
        <v>1703</v>
      </c>
      <c r="B10" s="2" t="s">
        <v>1704</v>
      </c>
      <c r="C10" s="2" t="s">
        <v>1705</v>
      </c>
      <c r="D10" s="2"/>
      <c r="E10" s="2"/>
      <c r="F10" s="2"/>
    </row>
    <row r="11" spans="1:6" ht="28.5">
      <c r="A11" s="2" t="s">
        <v>184</v>
      </c>
      <c r="B11" s="2" t="s">
        <v>1706</v>
      </c>
      <c r="C11" s="2" t="s">
        <v>1707</v>
      </c>
      <c r="D11" s="2"/>
      <c r="E11" s="2"/>
      <c r="F11" s="2"/>
    </row>
    <row r="12" spans="1:6">
      <c r="A12" s="2" t="s">
        <v>1708</v>
      </c>
      <c r="B12" s="2" t="s">
        <v>1709</v>
      </c>
      <c r="C12" s="2" t="s">
        <v>1710</v>
      </c>
      <c r="D12" s="2"/>
      <c r="E12" s="2"/>
      <c r="F12" s="2"/>
    </row>
    <row r="13" spans="1:6">
      <c r="A13" s="2" t="s">
        <v>1711</v>
      </c>
      <c r="B13" s="2" t="s">
        <v>1712</v>
      </c>
      <c r="C13" s="2" t="s">
        <v>1713</v>
      </c>
      <c r="D13" s="2"/>
      <c r="E13" s="2"/>
      <c r="F13" s="2"/>
    </row>
    <row r="14" spans="1:6">
      <c r="A14" s="2" t="s">
        <v>717</v>
      </c>
      <c r="B14" s="2" t="s">
        <v>1714</v>
      </c>
      <c r="C14" s="2" t="s">
        <v>1715</v>
      </c>
      <c r="D14" s="2"/>
      <c r="E14" s="2"/>
      <c r="F14" s="2"/>
    </row>
    <row r="15" spans="1:6">
      <c r="A15" s="2" t="s">
        <v>1173</v>
      </c>
      <c r="B15" s="2" t="s">
        <v>1716</v>
      </c>
      <c r="C15" s="2" t="s">
        <v>1717</v>
      </c>
      <c r="D15" s="2"/>
      <c r="E15" s="2"/>
      <c r="F15" s="2"/>
    </row>
    <row r="16" spans="1:6" ht="33.950000000000003" customHeight="1">
      <c r="A16" s="2" t="s">
        <v>1718</v>
      </c>
      <c r="B16" s="2" t="s">
        <v>1719</v>
      </c>
      <c r="C16" s="2" t="s">
        <v>1720</v>
      </c>
    </row>
    <row r="17" spans="1:3" ht="33.950000000000003" customHeight="1">
      <c r="A17" s="2" t="s">
        <v>1721</v>
      </c>
      <c r="B17" s="2" t="s">
        <v>1722</v>
      </c>
      <c r="C17" s="2" t="s">
        <v>1723</v>
      </c>
    </row>
    <row r="18" spans="1:3" ht="28.5">
      <c r="A18" s="2" t="s">
        <v>1778</v>
      </c>
      <c r="B18" s="2" t="s">
        <v>1779</v>
      </c>
      <c r="C18" s="2" t="s">
        <v>1780</v>
      </c>
    </row>
    <row r="19" spans="1:3" ht="28.5">
      <c r="A19" s="2" t="s">
        <v>1781</v>
      </c>
      <c r="B19" s="2" t="s">
        <v>1782</v>
      </c>
      <c r="C19" s="2" t="s">
        <v>1783</v>
      </c>
    </row>
    <row r="20" spans="1:3" ht="28.5">
      <c r="A20" s="2" t="s">
        <v>1784</v>
      </c>
      <c r="B20" s="2" t="s">
        <v>1785</v>
      </c>
      <c r="C20" s="2" t="s">
        <v>1786</v>
      </c>
    </row>
    <row r="21" spans="1:3" ht="28.5">
      <c r="A21" s="2" t="s">
        <v>1787</v>
      </c>
      <c r="B21" s="2" t="s">
        <v>1788</v>
      </c>
      <c r="C21" s="2" t="s">
        <v>1789</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Current Authority</vt:lpstr>
      <vt:lpstr>Backlog</vt:lpstr>
      <vt:lpstr>Release Plan</vt:lpstr>
      <vt:lpstr>Worker Tracks</vt:lpstr>
      <vt:lpstr>Requirement Traceability</vt:lpstr>
      <vt:lpstr>Dependency Graph</vt:lpstr>
      <vt:lpstr>Prior Baseline Archive</vt:lpstr>
      <vt:lpstr>Governance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Elsayed, Karim (SMS group GmbH)</cp:lastModifiedBy>
  <dcterms:modified xsi:type="dcterms:W3CDTF">2026-09-07T13:32:37Z</dcterms:modified>
</cp:coreProperties>
</file>