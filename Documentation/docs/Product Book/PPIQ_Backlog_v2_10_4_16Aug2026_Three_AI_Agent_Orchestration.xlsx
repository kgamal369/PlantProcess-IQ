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drawings/drawing1.xml" ContentType="application/vnd.openxmlformats-officedocument.drawing+xml"/>
  <Override PartName="/xl/charts/chart1.xml" ContentType="application/vnd.openxmlformats-officedocument.drawingml.chart+xml"/>
  <Override PartName="/xl/drawings/drawing2.xml" ContentType="application/vnd.openxmlformats-officedocument.drawing+xml"/>
  <Override PartName="/xl/charts/chart2.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425"/>
  <workbookPr/>
  <mc:AlternateContent xmlns:mc="http://schemas.openxmlformats.org/markup-compatibility/2006">
    <mc:Choice Requires="x15">
      <x15ac:absPath xmlns:x15ac="http://schemas.microsoft.com/office/spreadsheetml/2010/11/ac" url="C:\Workspace\PlantProcess-IQ\Documentation\docs\Product Book\"/>
    </mc:Choice>
  </mc:AlternateContent>
  <xr:revisionPtr revIDLastSave="0" documentId="13_ncr:1_{3946E82F-52FB-40D7-88D2-02B87EFA54D5}" xr6:coauthVersionLast="47" xr6:coauthVersionMax="47" xr10:uidLastSave="{00000000-0000-0000-0000-000000000000}"/>
  <bookViews>
    <workbookView xWindow="-120" yWindow="-120" windowWidth="29040" windowHeight="15720" xr2:uid="{00000000-000D-0000-FFFF-FFFF00000000}"/>
  </bookViews>
  <sheets>
    <sheet name="Backlog" sheetId="1" r:id="rId1"/>
    <sheet name="Phase Summary" sheetId="2" r:id="rId2"/>
    <sheet name="Milestone Rollup" sheetId="3" r:id="rId3"/>
    <sheet name="Legend" sheetId="4" r:id="rId4"/>
    <sheet name="Audit Traceability" sheetId="5" r:id="rId5"/>
    <sheet name="Worker 3 Lane" sheetId="6" r:id="rId6"/>
    <sheet name="AI-ML Architecture Coverage" sheetId="7" r:id="rId7"/>
    <sheet name="v2.10 Change Log" sheetId="8" r:id="rId8"/>
    <sheet name="Design Review Findings" sheetId="9" r:id="rId9"/>
    <sheet name="Target Route Coverage" sheetId="10" r:id="rId10"/>
    <sheet name="Revision Summary" sheetId="11" r:id="rId11"/>
    <sheet name="Two-Track Product Contract" sheetId="12" r:id="rId12"/>
    <sheet name="Concept Rulings v2.10.3" sheetId="13" r:id="rId13"/>
    <sheet name="Delivery Feasibility" sheetId="14" r:id="rId14"/>
    <sheet name="AI Agent Operating Model" sheetId="15" r:id="rId15"/>
    <sheet name="AI Agent Task Map" sheetId="16" r:id="rId16"/>
    <sheet name="AI Agent Queues" sheetId="17" r:id="rId17"/>
    <sheet name="AI Agent Calendar" sheetId="18" r:id="rId18"/>
  </sheets>
  <definedNames>
    <definedName name="_xlnm._FilterDatabase" localSheetId="0" hidden="1">Backlog!$A$1:$AO$201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7" i="6" l="1"/>
  <c r="B6" i="6"/>
  <c r="B5" i="6"/>
  <c r="D5" i="3"/>
  <c r="C5" i="3"/>
  <c r="D2" i="3"/>
  <c r="C2" i="3"/>
  <c r="F19" i="2"/>
  <c r="E19" i="2"/>
  <c r="F18" i="2"/>
  <c r="E18" i="2"/>
  <c r="F17" i="2"/>
  <c r="E17" i="2"/>
  <c r="F16" i="2"/>
  <c r="E16" i="2"/>
  <c r="F15" i="2"/>
  <c r="E15" i="2"/>
  <c r="F13" i="2"/>
  <c r="E13" i="2"/>
  <c r="F12" i="2"/>
  <c r="E12" i="2"/>
  <c r="F10" i="2"/>
  <c r="E10" i="2"/>
  <c r="F8" i="2"/>
  <c r="E8" i="2"/>
  <c r="F7" i="2"/>
  <c r="E7" i="2"/>
  <c r="F6" i="2"/>
  <c r="E6" i="2"/>
  <c r="I5" i="2"/>
  <c r="F5" i="2"/>
  <c r="E5" i="2"/>
  <c r="I4" i="2"/>
  <c r="F4" i="2"/>
  <c r="E4" i="2"/>
  <c r="F3" i="2"/>
  <c r="E3" i="2"/>
  <c r="F2" i="2"/>
  <c r="E2" i="2"/>
  <c r="AJ201" i="1"/>
  <c r="AK201" i="1" s="1"/>
  <c r="AJ200" i="1"/>
  <c r="AK200" i="1" s="1"/>
  <c r="AJ199" i="1"/>
  <c r="AK199" i="1" s="1"/>
  <c r="AJ198" i="1"/>
  <c r="AK198" i="1" s="1"/>
  <c r="AJ197" i="1"/>
  <c r="AK197" i="1" s="1"/>
  <c r="AJ196" i="1"/>
  <c r="AK196" i="1" s="1"/>
  <c r="AJ195" i="1"/>
  <c r="AK195" i="1" s="1"/>
  <c r="AJ194" i="1"/>
  <c r="AK194" i="1" s="1"/>
  <c r="AJ193" i="1"/>
  <c r="AK193" i="1" s="1"/>
  <c r="AJ192" i="1"/>
  <c r="AK192" i="1" s="1"/>
  <c r="AJ191" i="1"/>
  <c r="AK191" i="1" s="1"/>
  <c r="AJ190" i="1"/>
  <c r="AK190" i="1" s="1"/>
  <c r="AJ189" i="1"/>
  <c r="AK189" i="1" s="1"/>
  <c r="AJ188" i="1"/>
  <c r="AK188" i="1" s="1"/>
  <c r="AJ187" i="1"/>
  <c r="AK187" i="1" s="1"/>
  <c r="AJ186" i="1"/>
  <c r="AK186" i="1" s="1"/>
  <c r="AJ185" i="1"/>
  <c r="AK185" i="1" s="1"/>
  <c r="AJ184" i="1"/>
  <c r="AK184" i="1" s="1"/>
  <c r="AK183" i="1"/>
  <c r="AJ183" i="1"/>
  <c r="AK182" i="1"/>
  <c r="AJ182" i="1"/>
  <c r="AK181" i="1"/>
  <c r="AJ181" i="1"/>
  <c r="AK180" i="1"/>
  <c r="AJ180" i="1"/>
  <c r="AK179" i="1"/>
  <c r="AJ179" i="1"/>
  <c r="AK178" i="1"/>
  <c r="AJ178" i="1"/>
  <c r="AK177" i="1"/>
  <c r="AJ177" i="1"/>
  <c r="AK176" i="1"/>
  <c r="AJ176" i="1"/>
  <c r="AK175" i="1"/>
  <c r="AJ175" i="1"/>
  <c r="AK174" i="1"/>
  <c r="AJ174" i="1"/>
  <c r="AK173" i="1"/>
  <c r="AJ173" i="1"/>
  <c r="AK172" i="1"/>
  <c r="AJ172" i="1"/>
  <c r="AK171" i="1"/>
  <c r="AJ171" i="1"/>
  <c r="AK170" i="1"/>
  <c r="AJ170" i="1"/>
  <c r="AK169" i="1"/>
  <c r="AJ169" i="1"/>
  <c r="AJ168" i="1"/>
  <c r="AK168" i="1" s="1"/>
  <c r="AJ167" i="1"/>
  <c r="AK167" i="1" s="1"/>
  <c r="AJ166" i="1"/>
  <c r="AK166" i="1" s="1"/>
  <c r="AJ165" i="1"/>
  <c r="AK165" i="1" s="1"/>
  <c r="AJ164" i="1"/>
  <c r="AK164" i="1" s="1"/>
  <c r="AJ163" i="1"/>
  <c r="AK163" i="1" s="1"/>
  <c r="AJ162" i="1"/>
  <c r="AK162" i="1" s="1"/>
  <c r="AJ161" i="1"/>
  <c r="AK161" i="1" s="1"/>
  <c r="AJ160" i="1"/>
  <c r="AK160" i="1" s="1"/>
  <c r="AJ159" i="1"/>
  <c r="AK159" i="1" s="1"/>
  <c r="AJ158" i="1"/>
  <c r="AK158" i="1" s="1"/>
  <c r="AJ157" i="1"/>
  <c r="AK157" i="1" s="1"/>
  <c r="AJ156" i="1"/>
  <c r="AK156" i="1" s="1"/>
  <c r="AJ155" i="1"/>
  <c r="AK155" i="1" s="1"/>
  <c r="AJ154" i="1"/>
  <c r="AK154" i="1" s="1"/>
  <c r="AJ153" i="1"/>
  <c r="AK153" i="1" s="1"/>
  <c r="AJ152" i="1"/>
  <c r="AK152" i="1" s="1"/>
  <c r="AJ151" i="1"/>
  <c r="AK151" i="1" s="1"/>
  <c r="AJ150" i="1"/>
  <c r="AK150" i="1" s="1"/>
  <c r="AJ149" i="1"/>
  <c r="AK149" i="1" s="1"/>
  <c r="AJ148" i="1"/>
  <c r="AK148" i="1" s="1"/>
  <c r="AJ147" i="1"/>
  <c r="AK147" i="1" s="1"/>
  <c r="AJ146" i="1"/>
  <c r="AK146" i="1" s="1"/>
  <c r="AJ145" i="1"/>
  <c r="AK145" i="1" s="1"/>
  <c r="AJ144" i="1"/>
  <c r="AK144" i="1" s="1"/>
  <c r="AJ143" i="1"/>
  <c r="AK143" i="1" s="1"/>
  <c r="AJ142" i="1"/>
  <c r="AK142" i="1" s="1"/>
  <c r="AJ141" i="1"/>
  <c r="AK141" i="1" s="1"/>
  <c r="AJ140" i="1"/>
  <c r="AK140" i="1" s="1"/>
  <c r="AJ139" i="1"/>
  <c r="AK139" i="1" s="1"/>
  <c r="AK138" i="1"/>
  <c r="AJ138" i="1"/>
  <c r="AJ137" i="1"/>
  <c r="AK137" i="1" s="1"/>
  <c r="AJ136" i="1"/>
  <c r="AK136" i="1" s="1"/>
  <c r="AJ135" i="1"/>
  <c r="AK135" i="1" s="1"/>
  <c r="AJ134" i="1"/>
  <c r="AK134" i="1" s="1"/>
  <c r="AJ133" i="1"/>
  <c r="AK133" i="1" s="1"/>
  <c r="AJ132" i="1"/>
  <c r="AK132" i="1" s="1"/>
  <c r="AJ131" i="1"/>
  <c r="AK131" i="1" s="1"/>
  <c r="AJ130" i="1"/>
  <c r="AK130" i="1" s="1"/>
  <c r="AJ129" i="1"/>
  <c r="AK129" i="1" s="1"/>
  <c r="AJ128" i="1"/>
  <c r="AK128" i="1" s="1"/>
  <c r="AJ127" i="1"/>
  <c r="AK127" i="1" s="1"/>
  <c r="AJ126" i="1"/>
  <c r="AK126" i="1" s="1"/>
  <c r="AJ125" i="1"/>
  <c r="AK125" i="1" s="1"/>
  <c r="AJ124" i="1"/>
  <c r="AK124" i="1" s="1"/>
  <c r="AJ123" i="1"/>
  <c r="AK123" i="1" s="1"/>
  <c r="AJ122" i="1"/>
  <c r="AK122" i="1" s="1"/>
  <c r="AJ121" i="1"/>
  <c r="AK121" i="1" s="1"/>
  <c r="AJ120" i="1"/>
  <c r="AK120" i="1" s="1"/>
  <c r="AJ119" i="1"/>
  <c r="AK119" i="1" s="1"/>
  <c r="AJ118" i="1"/>
  <c r="AK118" i="1" s="1"/>
  <c r="AJ117" i="1"/>
  <c r="AK117" i="1" s="1"/>
  <c r="AJ116" i="1"/>
  <c r="AK116" i="1" s="1"/>
  <c r="AJ115" i="1"/>
  <c r="AK115" i="1" s="1"/>
  <c r="AJ114" i="1"/>
  <c r="AK114" i="1" s="1"/>
  <c r="AJ113" i="1"/>
  <c r="AK113" i="1" s="1"/>
  <c r="AJ112" i="1"/>
  <c r="AK112" i="1" s="1"/>
  <c r="AJ111" i="1"/>
  <c r="AK111" i="1" s="1"/>
  <c r="AJ110" i="1"/>
  <c r="AK110" i="1" s="1"/>
  <c r="AJ109" i="1"/>
  <c r="AK109" i="1" s="1"/>
  <c r="AJ108" i="1"/>
  <c r="AK108" i="1" s="1"/>
  <c r="AJ107" i="1"/>
  <c r="AK107" i="1" s="1"/>
  <c r="AJ106" i="1"/>
  <c r="AK106" i="1" s="1"/>
  <c r="AJ105" i="1"/>
  <c r="AK105" i="1" s="1"/>
  <c r="AJ104" i="1"/>
  <c r="AK104" i="1" s="1"/>
  <c r="AJ103" i="1"/>
  <c r="AK103" i="1" s="1"/>
  <c r="AJ102" i="1"/>
  <c r="AK102" i="1" s="1"/>
  <c r="AJ101" i="1"/>
  <c r="AK101" i="1" s="1"/>
  <c r="AJ100" i="1"/>
  <c r="AK100" i="1" s="1"/>
  <c r="AJ99" i="1"/>
  <c r="AK99" i="1" s="1"/>
  <c r="AJ98" i="1"/>
  <c r="AK98" i="1" s="1"/>
  <c r="AJ97" i="1"/>
  <c r="AK97" i="1" s="1"/>
  <c r="AJ96" i="1"/>
  <c r="AK96" i="1" s="1"/>
  <c r="AJ95" i="1"/>
  <c r="AK95" i="1" s="1"/>
  <c r="AJ94" i="1"/>
  <c r="AK94" i="1" s="1"/>
  <c r="AJ93" i="1"/>
  <c r="AK93" i="1" s="1"/>
  <c r="AJ92" i="1"/>
  <c r="AK92" i="1" s="1"/>
  <c r="AJ91" i="1"/>
  <c r="AK91" i="1" s="1"/>
  <c r="AJ90" i="1"/>
  <c r="AK90" i="1" s="1"/>
  <c r="AJ89" i="1"/>
  <c r="AK89" i="1" s="1"/>
  <c r="AJ88" i="1"/>
  <c r="AK88" i="1" s="1"/>
  <c r="AJ87" i="1"/>
  <c r="AK87" i="1" s="1"/>
  <c r="AJ86" i="1"/>
  <c r="AK86" i="1" s="1"/>
  <c r="AJ85" i="1"/>
  <c r="AK85" i="1" s="1"/>
  <c r="AJ84" i="1"/>
  <c r="AK84" i="1" s="1"/>
  <c r="AJ83" i="1"/>
  <c r="AK83" i="1" s="1"/>
  <c r="AJ82" i="1"/>
  <c r="AK82" i="1" s="1"/>
  <c r="AJ81" i="1"/>
  <c r="AK81" i="1" s="1"/>
  <c r="AJ80" i="1"/>
  <c r="AK80" i="1" s="1"/>
  <c r="AJ79" i="1"/>
  <c r="AK79" i="1" s="1"/>
  <c r="AJ78" i="1"/>
  <c r="AK78" i="1" s="1"/>
  <c r="AJ77" i="1"/>
  <c r="AK77" i="1" s="1"/>
  <c r="AK76" i="1"/>
  <c r="AJ76" i="1"/>
  <c r="AK75" i="1"/>
  <c r="AJ75" i="1"/>
  <c r="AK74" i="1"/>
  <c r="AJ74" i="1"/>
  <c r="AK73" i="1"/>
  <c r="AJ73" i="1"/>
  <c r="AK72" i="1"/>
  <c r="AJ72" i="1"/>
  <c r="AK71" i="1"/>
  <c r="AJ71" i="1"/>
  <c r="AK70" i="1"/>
  <c r="AJ70" i="1"/>
  <c r="AJ69" i="1"/>
  <c r="AK69" i="1" s="1"/>
  <c r="AJ68" i="1"/>
  <c r="AK68" i="1" s="1"/>
  <c r="AJ67" i="1"/>
  <c r="AK67" i="1" s="1"/>
  <c r="AJ66" i="1"/>
  <c r="AK66" i="1" s="1"/>
  <c r="AJ65" i="1"/>
  <c r="AK65" i="1" s="1"/>
  <c r="AJ64" i="1"/>
  <c r="AK64" i="1" s="1"/>
  <c r="AJ63" i="1"/>
  <c r="AK63" i="1" s="1"/>
  <c r="AJ62" i="1"/>
  <c r="AK62" i="1" s="1"/>
  <c r="AJ61" i="1"/>
  <c r="AK61" i="1" s="1"/>
  <c r="AJ60" i="1"/>
  <c r="AK60" i="1" s="1"/>
  <c r="AJ59" i="1"/>
  <c r="AK59" i="1" s="1"/>
  <c r="AJ58" i="1"/>
  <c r="AK58" i="1" s="1"/>
  <c r="AJ57" i="1"/>
  <c r="AK57" i="1" s="1"/>
  <c r="AJ56" i="1"/>
  <c r="AK56" i="1" s="1"/>
  <c r="AJ55" i="1"/>
  <c r="AK55" i="1" s="1"/>
  <c r="AJ54" i="1"/>
  <c r="AK54" i="1" s="1"/>
  <c r="AJ53" i="1"/>
  <c r="AK53" i="1" s="1"/>
  <c r="AJ52" i="1"/>
  <c r="AK52" i="1" s="1"/>
  <c r="AJ51" i="1"/>
  <c r="AK51" i="1" s="1"/>
  <c r="AJ50" i="1"/>
  <c r="AK50" i="1" s="1"/>
  <c r="AK49" i="1"/>
  <c r="AJ49" i="1"/>
  <c r="AK48" i="1"/>
  <c r="AJ48" i="1"/>
  <c r="AK47" i="1"/>
  <c r="AJ47" i="1"/>
  <c r="AK46" i="1"/>
  <c r="AJ46" i="1"/>
  <c r="AK45" i="1"/>
  <c r="AJ45" i="1"/>
  <c r="AK44" i="1"/>
  <c r="AJ44" i="1"/>
  <c r="AK43" i="1"/>
  <c r="AJ43" i="1"/>
  <c r="AK42" i="1"/>
  <c r="AJ42" i="1"/>
  <c r="AK41" i="1"/>
  <c r="AJ41" i="1"/>
  <c r="AK40" i="1"/>
  <c r="AJ40" i="1"/>
  <c r="AK39" i="1"/>
  <c r="AJ39" i="1"/>
  <c r="AK38" i="1"/>
  <c r="AJ38" i="1"/>
  <c r="AK37" i="1"/>
  <c r="AJ37" i="1"/>
  <c r="AK36" i="1"/>
  <c r="AJ36" i="1"/>
  <c r="AK35" i="1"/>
  <c r="AJ35" i="1"/>
  <c r="AK34" i="1"/>
  <c r="AJ34" i="1"/>
  <c r="AK33" i="1"/>
  <c r="AJ33" i="1"/>
  <c r="AK32" i="1"/>
  <c r="AJ32" i="1"/>
  <c r="AK31" i="1"/>
  <c r="AJ31" i="1"/>
  <c r="AK30" i="1"/>
  <c r="AJ30" i="1"/>
  <c r="AK29" i="1"/>
  <c r="AJ29" i="1"/>
  <c r="AK28" i="1"/>
  <c r="AJ28" i="1"/>
  <c r="AK27" i="1"/>
  <c r="AJ27" i="1"/>
  <c r="AK26" i="1"/>
  <c r="AJ26" i="1"/>
  <c r="AK25" i="1"/>
  <c r="AJ25" i="1"/>
  <c r="AK24" i="1"/>
  <c r="AJ24" i="1"/>
  <c r="AK23" i="1"/>
  <c r="AJ23" i="1"/>
  <c r="AK22" i="1"/>
  <c r="AJ22" i="1"/>
  <c r="AK21" i="1"/>
  <c r="AJ21" i="1"/>
  <c r="AK20" i="1"/>
  <c r="AJ20" i="1"/>
  <c r="AK19" i="1"/>
  <c r="AJ19" i="1"/>
  <c r="AK18" i="1"/>
  <c r="AJ18" i="1"/>
  <c r="AK17" i="1"/>
  <c r="AJ17" i="1"/>
  <c r="AK16" i="1"/>
  <c r="AJ16" i="1"/>
  <c r="AK15" i="1"/>
  <c r="AJ15" i="1"/>
  <c r="AK14" i="1"/>
  <c r="AJ14" i="1"/>
  <c r="AK13" i="1"/>
  <c r="AJ13" i="1"/>
  <c r="AK12" i="1"/>
  <c r="AJ12" i="1"/>
  <c r="AK11" i="1"/>
  <c r="AJ11" i="1"/>
  <c r="AK10" i="1"/>
  <c r="AJ10" i="1"/>
  <c r="AK9" i="1"/>
  <c r="AJ9" i="1"/>
  <c r="AK8" i="1"/>
  <c r="AJ8" i="1"/>
  <c r="AK7" i="1"/>
  <c r="AJ7" i="1"/>
  <c r="AK6" i="1"/>
  <c r="AJ6" i="1"/>
  <c r="AK5" i="1"/>
  <c r="AJ5" i="1"/>
  <c r="AK4" i="1"/>
  <c r="AJ4" i="1"/>
  <c r="AK3" i="1"/>
  <c r="AJ3" i="1"/>
  <c r="AK2" i="1"/>
  <c r="AJ2" i="1"/>
  <c r="I7" i="2" l="1"/>
  <c r="I6" i="2"/>
</calcChain>
</file>

<file path=xl/sharedStrings.xml><?xml version="1.0" encoding="utf-8"?>
<sst xmlns="http://schemas.openxmlformats.org/spreadsheetml/2006/main" count="13021" uniqueCount="3138">
  <si>
    <t>Phase Id</t>
  </si>
  <si>
    <t>Milestone</t>
  </si>
  <si>
    <t>Phase Title</t>
  </si>
  <si>
    <t>Intent</t>
  </si>
  <si>
    <t>Tasks</t>
  </si>
  <si>
    <t>Hours</t>
  </si>
  <si>
    <t>M1-P1</t>
  </si>
  <si>
    <t>M1</t>
  </si>
  <si>
    <t>Presentation Truth and Dataset Foundation</t>
  </si>
  <si>
    <t>Establish what will be shown, prove the environment rebuilds from source control, and plant the analytical phenomena the whole demonstration feeds on. Blocks M1-P3 and M1-P5.</t>
  </si>
  <si>
    <t>M1-P1b</t>
  </si>
  <si>
    <t>Presentation Fleet v2 - capture, reconcile, enhance, scale, materialise canonical, prove</t>
  </si>
  <si>
    <t>Capture the donor state in code, reconcile against the chart plan, extend the generator, scale, materialise presentation canonical operational entities, compute analytical rows with real engines, and prove every phenomenon. Native fixtures/full path converge in M2a.</t>
  </si>
  <si>
    <t>M1-P2</t>
  </si>
  <si>
    <t>No-Code Authoring Shell - wiring, SQL and widget authoring</t>
  </si>
  <si>
    <t>Presentation authoring contract. Visible behaviour is final; hidden persistence may be adapted later without changing the customer contract.</t>
  </si>
  <si>
    <t>Total required till Presentation</t>
  </si>
  <si>
    <t>M1-P3</t>
  </si>
  <si>
    <t>BI Workspace and the Seven Showcase Pages</t>
  </si>
  <si>
    <t>Presentation dashboards: certification, analytical meaning, differentiation and interaction quality, not production ML implementation.</t>
  </si>
  <si>
    <t>Strict Done hours</t>
  </si>
  <si>
    <t>M1-P4</t>
  </si>
  <si>
    <t>Journey J4 to J15 and the Engine Slice</t>
  </si>
  <si>
    <t>Presentation journey and engine slice. Every visible transition is credible; hidden production intelligence may still be readiness-blocked or compatibility-backed.</t>
  </si>
  <si>
    <t>Not-yet-Done hours</t>
  </si>
  <si>
    <t>M1-P5</t>
  </si>
  <si>
    <t>Assistant Dock and Presentation Certification</t>
  </si>
  <si>
    <t>Freeze the customer-visible assistant and presentation contract; absorb final presentation slippage without inviting production AI refactors.</t>
  </si>
  <si>
    <t>Strict Done %</t>
  </si>
  <si>
    <t>M2a-P1</t>
  </si>
  <si>
    <t>M2a</t>
  </si>
  <si>
    <t>Canonical Schema Authority and the Unified Definition Store</t>
  </si>
  <si>
    <t>Replace M1 compatibility persistence with the final three-schema authority and unified definition store. Worker 3 does not touch these schemas before hand-off.</t>
  </si>
  <si>
    <t>M2a-P2</t>
  </si>
  <si>
    <t>Permanent Relationship Model and Projection Quarantine</t>
  </si>
  <si>
    <t>M2a-P3</t>
  </si>
  <si>
    <t>Job Runtime, Delta Propagation and Security Hardening</t>
  </si>
  <si>
    <t>Bounded execution, delta propagation, tenant/security hardening and the final generic scheduler contracts used later by ML lanes.</t>
  </si>
  <si>
    <t>M2a-P4</t>
  </si>
  <si>
    <t>Commissioning, Roles, Licence and the On-Site Package</t>
  </si>
  <si>
    <t>M2b-P0A</t>
  </si>
  <si>
    <t>M2b</t>
  </si>
  <si>
    <t>Parallel ML Runtime and Data-Artifact Foundations</t>
  </si>
  <si>
    <t>Worker 3 SAFE-NOW lane. Pure/isolated runtime, artifact, capability and index/model foundations. No DB migrations, production DI, routes, presentation data or runtime cutover.</t>
  </si>
  <si>
    <t>M2b-P0B</t>
  </si>
  <si>
    <t>Parallel Model, Statistical and Assistant Kernels</t>
  </si>
  <si>
    <t>Worker 3 SAFE-NOW lane. Schema-independent supervised/promotion/statistical/remediation/Assistant kernels plus isolated ModelServingRuntime. Zero presentation interference.</t>
  </si>
  <si>
    <t>M2b-P1</t>
  </si>
  <si>
    <t>Canonical Intelligence Persistence and Practice Core</t>
  </si>
  <si>
    <t>M2b-P2</t>
  </si>
  <si>
    <t>Model Integration, Intelligence Binding and Canonical Readiness</t>
  </si>
  <si>
    <t>Integrate isolated kernels into production jobs/stores, capability/readiness and bindable intelligence; cut D4/D8 to canonical data with continuity preserved.</t>
  </si>
  <si>
    <t>M2b-P3</t>
  </si>
  <si>
    <t>Prediction, Remediation and Canonical Intelligence Surfaces</t>
  </si>
  <si>
    <t>Production prediction/remediation pipeline plus D5/D6/D9/D11 canonical surfaces. Human/read-only boundary remains absolute.</t>
  </si>
  <si>
    <t>M2b-P4</t>
  </si>
  <si>
    <t>Assistant Cutover, Engine Convergence and Gate Closure</t>
  </si>
  <si>
    <t>Canonical Assistant internals, statistical/outcome convergence, drift supervisor, G48-G55 and final pipeline closure. Route namespace cleanup remains outside Worker 3.</t>
  </si>
  <si>
    <t>M3-P1</t>
  </si>
  <si>
    <t>M3</t>
  </si>
  <si>
    <t>Site Stabilisation and Real-Data Performance</t>
  </si>
  <si>
    <t>Reserved customer/site work. Includes real-data model calibration and remediation validation without reopening architecture.</t>
  </si>
  <si>
    <t>M3-P2</t>
  </si>
  <si>
    <t>Production Certification, Enterprise Operations and Commercial Completion</t>
  </si>
  <si>
    <t>Production/site certification. Execute measured capacity/benchmark evidence and freeze Chapter 6 when certification passes.</t>
  </si>
  <si>
    <t>TOTAL</t>
  </si>
  <si>
    <t>Definition</t>
  </si>
  <si>
    <t>Critical</t>
  </si>
  <si>
    <t>Very Important</t>
  </si>
  <si>
    <t>PPIQ EXECUTABLE BACKLOG v2.10.0 - LEGEND</t>
  </si>
  <si>
    <t>Edit only these columns</t>
  </si>
  <si>
    <t>Status (column K). Ownership/safety/dependencies are generated plan controls and should change only through a backlog revision.</t>
  </si>
  <si>
    <t>Task Id</t>
  </si>
  <si>
    <t>Stable identity. Existing T-001..T-167 are preserved; v2.10 adds T-168..T-193. Parallel Worker-3 order is governed by the Worker 3 Lane sheet, not by numeric ID alone.</t>
  </si>
  <si>
    <t>Milestone Id</t>
  </si>
  <si>
    <t>M1 presentation / M2a deployable canonical core / M2b engine+AI/ML/LLM completion / M3 site and production.</t>
  </si>
  <si>
    <t>A coherent pushable group of 80 to 120 hours. v2.10 adds M2b-P0A/P0B and expands M2b to six phases.</t>
  </si>
  <si>
    <t>Priority</t>
  </si>
  <si>
    <t>Critical / Very Important / Important / Optional. Severity, not execution sequence.</t>
  </si>
  <si>
    <t>No task exceeds 12 hours. A partial task is rewritten as its executable remainder with a fresh estimate.</t>
  </si>
  <si>
    <t>Status values</t>
  </si>
  <si>
    <t>Not Started / In Progress / Blocked / Done.</t>
  </si>
  <si>
    <t>Definition of Done</t>
  </si>
  <si>
    <t>The Task Validation column passes against an executed system/kernel/runtime. Compilation or presence of a test file is not Done.</t>
  </si>
  <si>
    <t>W3 SAFE NOW</t>
  </si>
  <si>
    <t>Worker 3 may execute immediately, but ONLY in isolated new modules/files/tests: no DB migration, production DI registration, route/page change, presentation schema/data edit or current runtime cutover.</t>
  </si>
  <si>
    <t>W3 AFTER M2a-P2</t>
  </si>
  <si>
    <t>Final definition-store + relationship-model hand-off is required before Worker 3 touches production persistence.</t>
  </si>
  <si>
    <t>W3 AFTER M2b-P1/P2</t>
  </si>
  <si>
    <t>Canonical integration/cutover task. Preserve M1 continuity snapshots; data authority may change but the visible contract may not.</t>
  </si>
  <si>
    <t>DO NOT ASSIGN W3</t>
  </si>
  <si>
    <t>Presentation/frontend namespace/core-platform work owned by Workers 1/2 or the platform lane.</t>
  </si>
  <si>
    <t>SHARED</t>
  </si>
  <si>
    <t>Worker 3 supplies the AI/ML contract/tests; the named platform/infra/CI owner owns the generic subsystem or final pipeline.</t>
  </si>
  <si>
    <t>Presentation protection law</t>
  </si>
  <si>
    <t>M1 remains 574 hours. No v2.10 AI/ML task is allowed to move the presentation deadline or force a rewrite of the presentation DB, pages, routes, assistant dock or current T-045/T-046 runtime.</t>
  </si>
  <si>
    <t>Canonical-schema protection law</t>
  </si>
  <si>
    <t>M2a remains 432 hours. Worker 3 must not implement production DB persistence against temporary/presentation schemas; M2a-P1/P2 own the final authority.</t>
  </si>
  <si>
    <t>Fake-data law</t>
  </si>
  <si>
    <t>Temporary presentation data/compatibility is allowed where already governed. A fake hardcoded product answer or fake production intelligence is never allowed.</t>
  </si>
  <si>
    <t>No cutover while presentation is active</t>
  </si>
  <si>
    <t>Worker 3 may build kernels/runtimes now but production wiring to current analysis/assistant pages waits for the stated hand-off label.</t>
  </si>
  <si>
    <t>Repository isolation</t>
  </si>
  <si>
    <t>Exact owned-file staging only. No git add . / git add -A. Inspect git status and cached diff; never reset/overwrite another worker's dirty path.</t>
  </si>
  <si>
    <t>Database semantic durability</t>
  </si>
  <si>
    <t>A production DB semantic change is not complete until its migration/definition is tracked and in the authoritative rebuild/deploy replay path.</t>
  </si>
  <si>
    <t>Fail-closed mutation tooling</t>
  </si>
  <si>
    <t>Mutating scripts/packs preflight exact targets and match counts, back up/transact, self-check, validate and rollback on failure.</t>
  </si>
  <si>
    <t>Audit-finding traceability</t>
  </si>
  <si>
    <t>Before freeze every architecture finding is CLOSED, OWNED BY T-xxx, CONTROLLED BY GLOBAL LAW, or NEW TASK REQUIRED. Zero orphan findings.</t>
  </si>
  <si>
    <t>v2.10 scope result</t>
  </si>
  <si>
    <t>M1 = 574 h unchanged; M2a = 432 h unchanged; M2b = 528 h; M3 = 204 h; programme = 1,738 h. Worker 3 has 16 SAFE-NOW tasks / 172 h.</t>
  </si>
  <si>
    <t>Source</t>
  </si>
  <si>
    <t>v2.10 is based on Backlog v2.9.2 plus Layer B Architecture Pack Rev7.1, Layer B Rule Rev7, revised Chapters 2/3/4/6, Final Synchronisation Ledger and fail-closed Convergence Scan V4 dated 11-12 Aug 2026.</t>
  </si>
  <si>
    <t>TRACEABILITY KPI</t>
  </si>
  <si>
    <t>VALUE</t>
  </si>
  <si>
    <t>Architecture findings</t>
  </si>
  <si>
    <t>New-task orphans</t>
  </si>
  <si>
    <t>New tasks added</t>
  </si>
  <si>
    <t>Worker 3 SAFE-NOW tasks</t>
  </si>
  <si>
    <t>Worker 3 SAFE-NOW hours</t>
  </si>
  <si>
    <t>Column1</t>
  </si>
  <si>
    <t>Column2</t>
  </si>
  <si>
    <t>Column3</t>
  </si>
  <si>
    <t>Column4</t>
  </si>
  <si>
    <t>Column5</t>
  </si>
  <si>
    <t>Column6</t>
  </si>
  <si>
    <t>M1 hours changed</t>
  </si>
  <si>
    <t>Finding ID</t>
  </si>
  <si>
    <t>Finding</t>
  </si>
  <si>
    <t>Executable Owner</t>
  </si>
  <si>
    <t>Phase</t>
  </si>
  <si>
    <t>Disposition</t>
  </si>
  <si>
    <t>Rationale / Scope Decision</t>
  </si>
  <si>
    <t>F-001</t>
  </si>
  <si>
    <t>Numeric×Categorical correlation method missing</t>
  </si>
  <si>
    <t>T-177 / T-146</t>
  </si>
  <si>
    <t>M2b-P0B / P4</t>
  </si>
  <si>
    <t>EXPANDED</t>
  </si>
  <si>
    <t>Kernel split from production cutover; safe-now computation no longer touches presentation runtime.</t>
  </si>
  <si>
    <t>F-002</t>
  </si>
  <si>
    <t>Unsupported Numeric×Categorical mislabeled zero-variance</t>
  </si>
  <si>
    <t>Truthful exclusion taxonomy is tested in the isolated kernel and production cutover.</t>
  </si>
  <si>
    <t>F-003</t>
  </si>
  <si>
    <t>Outcome namespace / grain / ordinal loader defects</t>
  </si>
  <si>
    <t>T-147</t>
  </si>
  <si>
    <t>EXISTING</t>
  </si>
  <si>
    <t>Canonical outcome integration owner retained.</t>
  </si>
  <si>
    <t>F-004</t>
  </si>
  <si>
    <t>Page Builder demo-shaped widget/source assumptions</t>
  </si>
  <si>
    <t>T-041 / T-042</t>
  </si>
  <si>
    <t>Presentation owner; Worker 3 excluded.</t>
  </si>
  <si>
    <t>F-005</t>
  </si>
  <si>
    <t>Operational dashboard weak bindings, raw IDs and degenerate dimensions</t>
  </si>
  <si>
    <t>T-044</t>
  </si>
  <si>
    <t>Presentation owner; unchanged.</t>
  </si>
  <si>
    <t>F-006</t>
  </si>
  <si>
    <t>Analysis/Model pages show flat or information-free charts</t>
  </si>
  <si>
    <t>T-045</t>
  </si>
  <si>
    <t>Worker 2 presentation owner; production AI cutovers wait.</t>
  </si>
  <si>
    <t>F-007</t>
  </si>
  <si>
    <t>Chart renderer compatibility without analytical compatibility</t>
  </si>
  <si>
    <t>T-046</t>
  </si>
  <si>
    <t>Worker 2 presentation owner; Worker 3 must not cut over engine during certification.</t>
  </si>
  <si>
    <t>F-008</t>
  </si>
  <si>
    <t>Seven pages need distinct stories but one product design language</t>
  </si>
  <si>
    <t>T-047</t>
  </si>
  <si>
    <t>Presentation lane.</t>
  </si>
  <si>
    <t>F-009</t>
  </si>
  <si>
    <t>Assistant first-open protected-config 401 risk</t>
  </si>
  <si>
    <t>T-071</t>
  </si>
  <si>
    <t>CLOSED</t>
  </si>
  <si>
    <t>Completed presentation contract.</t>
  </si>
  <si>
    <t>F-010</t>
  </si>
  <si>
    <t>Assistant page/widget context</t>
  </si>
  <si>
    <t>T-072</t>
  </si>
  <si>
    <t>Completed.</t>
  </si>
  <si>
    <t>F-011</t>
  </si>
  <si>
    <t>Assistant page/widget evidence corpus</t>
  </si>
  <si>
    <t>T-073</t>
  </si>
  <si>
    <t>Completed presentation corpus; canonical cutover later T-138.</t>
  </si>
  <si>
    <t>F-012</t>
  </si>
  <si>
    <t>Typed quantity safety</t>
  </si>
  <si>
    <t>T-074</t>
  </si>
  <si>
    <t>F-013</t>
  </si>
  <si>
    <t>Citation/evidence UX</t>
  </si>
  <si>
    <t>T-075</t>
  </si>
  <si>
    <t>Completed visible contract.</t>
  </si>
  <si>
    <t>F-014</t>
  </si>
  <si>
    <t>Certified live questions and offline fallback</t>
  </si>
  <si>
    <t>T-076</t>
  </si>
  <si>
    <t>Presentation certification owner.</t>
  </si>
  <si>
    <t>F-015</t>
  </si>
  <si>
    <t>Website visual regression/inconsistent presentation</t>
  </si>
  <si>
    <t>T-070 / T-166</t>
  </si>
  <si>
    <t>M1-P5 / M3-P2</t>
  </si>
  <si>
    <t>Outside Worker 3.</t>
  </si>
  <si>
    <t>F-016</t>
  </si>
  <si>
    <t>Mojibake / visible HTML entities</t>
  </si>
  <si>
    <t>F-017</t>
  </si>
  <si>
    <t>Visual/a11y tests invoked with --list</t>
  </si>
  <si>
    <t>T-078 / T-150</t>
  </si>
  <si>
    <t>M1-P5 / M2b-P4</t>
  </si>
  <si>
    <t>Immediate M1 owner + final pipeline owner.</t>
  </si>
  <si>
    <t>F-018</t>
  </si>
  <si>
    <t>CI can swallow failures or leave validators orphaned</t>
  </si>
  <si>
    <t>T-150</t>
  </si>
  <si>
    <t>Final pipeline now also consumes T-192 and Assistant quality probes.</t>
  </si>
  <si>
    <t>F-019</t>
  </si>
  <si>
    <t>Demo/local/bootstrap/secrets/hardcoded-host leakage into Production</t>
  </si>
  <si>
    <t>T-113</t>
  </si>
  <si>
    <t>Core platform owner.</t>
  </si>
  <si>
    <t>F-020</t>
  </si>
  <si>
    <t>Incomplete RLS coverage</t>
  </si>
  <si>
    <t>T-112 / T-135</t>
  </si>
  <si>
    <t>M2a-P3 / M2b-P1</t>
  </si>
  <si>
    <t>M2a owns generic RLS; T-135 covers new intelligence tables.</t>
  </si>
  <si>
    <t>F-021</t>
  </si>
  <si>
    <t>src_* retirement/dependency proof/backup restore</t>
  </si>
  <si>
    <t>T-031</t>
  </si>
  <si>
    <t>Unchanged.</t>
  </si>
  <si>
    <t>F-022</t>
  </si>
  <si>
    <t>Final ppiq_staging / ppiq_plant / ppiq_meta authority</t>
  </si>
  <si>
    <t>T-087 / T-088</t>
  </si>
  <si>
    <t>Worker 3 persistence explicitly waits for this authority.</t>
  </si>
  <si>
    <t>F-023</t>
  </si>
  <si>
    <t>Unified definition authority</t>
  </si>
  <si>
    <t>T-089–T-094</t>
  </si>
  <si>
    <t>Manifest resolver depends on it.</t>
  </si>
  <si>
    <t>F-024</t>
  </si>
  <si>
    <t>Permanent relationship model and projection quarantine</t>
  </si>
  <si>
    <t>T-095–T-105</t>
  </si>
  <si>
    <t>Worker 3 production persistence hand-off gate.</t>
  </si>
  <si>
    <t>F-025</t>
  </si>
  <si>
    <t>Production feature/outcome snapshots and intelligence substrate</t>
  </si>
  <si>
    <t>T-128–T-136 / T-169 / T-183–T-186</t>
  </si>
  <si>
    <t>Original owner retained and split to cover manifest, columnar and sequence contracts.</t>
  </si>
  <si>
    <t>F-026</t>
  </si>
  <si>
    <t>Prediction/remediation/feedback loop</t>
  </si>
  <si>
    <t>T-139–T-145 / T-178 / T-189 / T-190</t>
  </si>
  <si>
    <t>Pure eligibility kernel + canonical surfaces added.</t>
  </si>
  <si>
    <t>F-027</t>
  </si>
  <si>
    <t>Economic Value Engine / auditable ROI</t>
  </si>
  <si>
    <t>T-164</t>
  </si>
  <si>
    <t>F-028</t>
  </si>
  <si>
    <t>Product-semantic DB fix can exist only live/ignored</t>
  </si>
  <si>
    <t>Global Law</t>
  </si>
  <si>
    <t>All</t>
  </si>
  <si>
    <t>GLOBAL LAW</t>
  </si>
  <si>
    <t>Permanent durability rule.</t>
  </si>
  <si>
    <t>F-029</t>
  </si>
  <si>
    <t>Mutating pack can silently miss anchor/fail after mutation</t>
  </si>
  <si>
    <t>Fail-closed mutation rule.</t>
  </si>
  <si>
    <t>F-030</t>
  </si>
  <si>
    <t>Parallel workers can stage/commit each other's dirty files</t>
  </si>
  <si>
    <t>Exact-file staging rule; restated in Worker 3 Lane.</t>
  </si>
  <si>
    <t>F-031</t>
  </si>
  <si>
    <t>Future audit finding can freeze without executable owner</t>
  </si>
  <si>
    <t>Zero-orphan freeze rule.</t>
  </si>
  <si>
    <t>F-032</t>
  </si>
  <si>
    <t>Semantic Contract Manifest has no executable owner</t>
  </si>
  <si>
    <t>T-183</t>
  </si>
  <si>
    <t>NEW TASK</t>
  </si>
  <si>
    <t>Tenant-safe manifest persistence/resolver/G-55.</t>
  </si>
  <si>
    <t>F-033</t>
  </si>
  <si>
    <t>Training path could read JSONB/live feature_store</t>
  </si>
  <si>
    <t>T-169 / T-184</t>
  </si>
  <si>
    <t>M2b-P0A / P1</t>
  </si>
  <si>
    <t>Columnar library + sole production Snapshot Materialiser.</t>
  </si>
  <si>
    <t>F-034</t>
  </si>
  <si>
    <t>Sequence payload stored as PostgreSQL arrays</t>
  </si>
  <si>
    <t>T-170 / T-185</t>
  </si>
  <si>
    <t>M2b-P0A / P2</t>
  </si>
  <si>
    <t>Chunked object payload + DB manifest only.</t>
  </si>
  <si>
    <t>F-035</t>
  </si>
  <si>
    <t>C#↔Python ML execution protocol unspecified in backlog</t>
  </si>
  <si>
    <t>T-168 / T-187</t>
  </si>
  <si>
    <t>Versioned job/result manifest and production integration.</t>
  </si>
  <si>
    <t>F-036</t>
  </si>
  <si>
    <t>Capability Profiler/model eligibility not owned</t>
  </si>
  <si>
    <t>T-171 / T-186</t>
  </si>
  <si>
    <t>Pure profiler now, canonical persistence later.</t>
  </si>
  <si>
    <t>F-037</t>
  </si>
  <si>
    <t>MF-01 Process Encoder implementation missing</t>
  </si>
  <si>
    <t>T-172</t>
  </si>
  <si>
    <t>Optional encoder behind contract and B-05.</t>
  </si>
  <si>
    <t>F-038</t>
  </si>
  <si>
    <t>MF-02 VectorSimilarityIndex/Exact Flat baseline missing</t>
  </si>
  <si>
    <t>T-173</t>
  </si>
  <si>
    <t>ANN policy measured against Exact Flat.</t>
  </si>
  <si>
    <t>F-039</t>
  </si>
  <si>
    <t>MF-03 novelty implementation missing</t>
  </si>
  <si>
    <t>T-174</t>
  </si>
  <si>
    <t>Baseline-first novelty runtime.</t>
  </si>
  <si>
    <t>F-040</t>
  </si>
  <si>
    <t>MF-04 supervised training implementation missing</t>
  </si>
  <si>
    <t>T-175 / T-176 / T-187</t>
  </si>
  <si>
    <t>M2b-P0B / P2</t>
  </si>
  <si>
    <t>Baseline, LightGBM candidate, promotion and integration.</t>
  </si>
  <si>
    <t>F-041</t>
  </si>
  <si>
    <t>Three-dimensional model promotion not executable</t>
  </si>
  <si>
    <t>T-176 / T-130</t>
  </si>
  <si>
    <t>M2b-P0B / P1</t>
  </si>
  <si>
    <t>Quality + serving + training decision.</t>
  </si>
  <si>
    <t>F-042</t>
  </si>
  <si>
    <t>Three ML lanes/hard reservation not explicit in old scheduler task</t>
  </si>
  <si>
    <t>T-107 / T-122 / T-187</t>
  </si>
  <si>
    <t>M2a / M2b-P2</t>
  </si>
  <si>
    <t>Shared platform/ML ownership without M1 interference.</t>
  </si>
  <si>
    <t>F-043</t>
  </si>
  <si>
    <t>LLM could choose tools / planner unspecified</t>
  </si>
  <si>
    <t>T-179 / T-138</t>
  </si>
  <si>
    <t>Deterministic planner; LLM never selects tools.</t>
  </si>
  <si>
    <t>F-044</t>
  </si>
  <si>
    <t>Permission-before-ranking/evidence budget not owned</t>
  </si>
  <si>
    <t>T-180 / T-138</t>
  </si>
  <si>
    <t>Hybrid retrieval + evidence packer.</t>
  </si>
  <si>
    <t>F-045</t>
  </si>
  <si>
    <t>Deterministic answer verifier/Q-01..Q-11 not owned</t>
  </si>
  <si>
    <t>T-181 / T-138</t>
  </si>
  <si>
    <t>Non-LLM verifier + fixed quality probes.</t>
  </si>
  <si>
    <t>F-046</t>
  </si>
  <si>
    <t>G-48..G-55 only documented, not backlog-owned</t>
  </si>
  <si>
    <t>T-192 / T-150</t>
  </si>
  <si>
    <t>Fail-closed target-architecture gate pack + pipeline wiring.</t>
  </si>
  <si>
    <t>F-047</t>
  </si>
  <si>
    <t>B-01..B-09 benchmark programme lacks executable harness</t>
  </si>
  <si>
    <t>T-182 / T-155 / T-157 / T-159</t>
  </si>
  <si>
    <t>M2b / M3</t>
  </si>
  <si>
    <t>Harness now; production/site values measured later.</t>
  </si>
  <si>
    <t>F-048</t>
  </si>
  <si>
    <t>M1 fake/presentation intelligence surfaces lack canonical cutover owners</t>
  </si>
  <si>
    <t>T-133 / T-188 / T-189 / T-190 / T-138</t>
  </si>
  <si>
    <t>Replace hidden data authority without visible-contract change.</t>
  </si>
  <si>
    <t>F-049</t>
  </si>
  <si>
    <t>D11 Scenario Simulation has design but no backlog owner</t>
  </si>
  <si>
    <t>T-191</t>
  </si>
  <si>
    <t>Governed read-only simulation, not control.</t>
  </si>
  <si>
    <t>F-050</t>
  </si>
  <si>
    <t>Drift Supervisor target contract lacks executable owner</t>
  </si>
  <si>
    <t>T-193</t>
  </si>
  <si>
    <t>Governed proposals, shadow/human approval, no gate weakening.</t>
  </si>
  <si>
    <t>F-051</t>
  </si>
  <si>
    <t>Frozen SM-06 OutcomeDefinition canonical binding and G-06 leakage-anchor execution ownership was implicit in the backlog</t>
  </si>
  <si>
    <t>T-090 / T-128 / T-147</t>
  </si>
  <si>
    <t>M2a-P1 / M2b-P1 / M2b-P4</t>
  </si>
  <si>
    <t>No architecture gap. T-090 owns canonical immutable SM-06 binding/versioning; T-128 stores observed outcome values/history by definition version; T-147 owns Engine-side semantic consumption and detection-position/time leakage-anchor enforcement.</t>
  </si>
  <si>
    <t>WORKER 3 — ENGINE + AI/ML + LLM PARALLEL IMPLEMENTATION LANE</t>
  </si>
  <si>
    <t>KPI</t>
  </si>
  <si>
    <t>Value</t>
  </si>
  <si>
    <t>NON-INTERFERENCE RULES — APPLY TO EVERY SAFE-NOW TASK</t>
  </si>
  <si>
    <t>SAFE NOW tasks</t>
  </si>
  <si>
    <t>1. No production DB migration or write against presentation/compatibility schemas.</t>
  </si>
  <si>
    <t>SAFE NOW hours</t>
  </si>
  <si>
    <t>2. No edit to M1 routes/pages, presentation DB/seeds, current Assistant DI, T-045/T-046 production engine wiring or visible UI contract.</t>
  </si>
  <si>
    <t>Worker 3 total planned hours</t>
  </si>
  <si>
    <t>3. New isolated modules/files/tests only; integration happens in the later task that owns the cutover.</t>
  </si>
  <si>
    <t>4. No fake ML result, hardcoded production answer or seeded intelligence presented as real.</t>
  </si>
  <si>
    <t>5. Exact-file staging only; never git add . / git add -A and never reset another worker's dirty path.</t>
  </si>
  <si>
    <t>Seq</t>
  </si>
  <si>
    <t>Wave</t>
  </si>
  <si>
    <t>Task Name</t>
  </si>
  <si>
    <t>Parallel Label</t>
  </si>
  <si>
    <t>Start Condition</t>
  </si>
  <si>
    <t>Boundary / Scope</t>
  </si>
  <si>
    <t>Primary Deliverable</t>
  </si>
  <si>
    <t>Status</t>
  </si>
  <si>
    <t>0 — SAFE NOW</t>
  </si>
  <si>
    <t>T-177</t>
  </si>
  <si>
    <t>Production statistical-method kernel, including Numeric×Categorical</t>
  </si>
  <si>
    <t>Fixture subpack: none. Closure: current statistical implementation + corresponding tests/source trace available; exact-file staging only</t>
  </si>
  <si>
    <t>Isolated implementation only: new module/files/tests; NO production DI registration, DB migration, route/page edit, presentation schema/data edit or M1 runtime cutover. Do not replace an existing proven statistical path before inspecting its source/test trace.</t>
  </si>
  <si>
    <t>Certified statistical kernel</t>
  </si>
  <si>
    <t>T-171</t>
  </si>
  <si>
    <t>Capability Profiler and eligibility/refusal kernel</t>
  </si>
  <si>
    <t>None beyond current repository/build; exact-file staging only</t>
  </si>
  <si>
    <t>Isolated implementation only: new module/files/tests; NO production DI registration, DB migration, route/page edit, presentation schema/data edit or M1 runtime cutover.</t>
  </si>
  <si>
    <t>Capability-profile/refusal kernel</t>
  </si>
  <si>
    <t>T-168</t>
  </si>
  <si>
    <t>Versioned C#↔Python ML job protocol and isolated runtime harness</t>
  </si>
  <si>
    <t>Versioned ML job spec/result manifest</t>
  </si>
  <si>
    <t>T-169</t>
  </si>
  <si>
    <t>Typed columnar training-artifact library and B-03 harness</t>
  </si>
  <si>
    <t>Typed columnar artifact library</t>
  </si>
  <si>
    <t>T-175</t>
  </si>
  <si>
    <t>MF-04 supervised-outcome training runtime and mandatory simple baseline</t>
  </si>
  <si>
    <t>T-168 + T-169; canonical SM-06 not required for fixture-only SAFE-NOW</t>
  </si>
  <si>
    <t>Isolated implementation only: new module/files/tests; NO production DI registration, DB migration, route/page edit, presentation schema/data edit or M1 runtime cutover. Outcome semantics are typed fixtures only; no ppiq_app/outcome-table binding.</t>
  </si>
  <si>
    <t>Supervised baseline + LightGBM candidate runtime</t>
  </si>
  <si>
    <t>T-176</t>
  </si>
  <si>
    <t>Calibration, explanation stability and three-dimensional promotion kernel</t>
  </si>
  <si>
    <t>3D evaluation/promotion decision</t>
  </si>
  <si>
    <t>MF-02 VectorSimilarityIndex with exact-Flat recall baseline</t>
  </si>
  <si>
    <t>VectorSimilarityIndex + exact recall baseline</t>
  </si>
  <si>
    <t>MF-03 novelty-model runtime and honest refusal semantics</t>
  </si>
  <si>
    <t>Novelty runtime</t>
  </si>
  <si>
    <t>T-170</t>
  </si>
  <si>
    <t>Chunked sequence-artifact library and bounded loader</t>
  </si>
  <si>
    <t>Chunked sequence artifact library</t>
  </si>
  <si>
    <t>MF-01 Process Encoder runtime behind a replaceable contract</t>
  </si>
  <si>
    <t>Optional process encoder runtime</t>
  </si>
  <si>
    <t>T-178</t>
  </si>
  <si>
    <t>Pure remediation eligibility and can_accept decision kernel</t>
  </si>
  <si>
    <t>Nine-check/can_accept domain kernel</t>
  </si>
  <si>
    <t>T-179</t>
  </si>
  <si>
    <t>Deterministic Assistant tool planner</t>
  </si>
  <si>
    <t>Deterministic tool planner</t>
  </si>
  <si>
    <t>T-180</t>
  </si>
  <si>
    <t>Permission-first hybrid retrieval and evidence packer</t>
  </si>
  <si>
    <t>Permission-first retrieval + evidence packer</t>
  </si>
  <si>
    <t>T-181</t>
  </si>
  <si>
    <t>Deterministic answer verifier and Q-01..Q-11 evaluation harness</t>
  </si>
  <si>
    <t>Deterministic verifier + Q harness</t>
  </si>
  <si>
    <t>T-137</t>
  </si>
  <si>
    <t>ModelServingRuntime and model-gateway adapter, isolated from the presentation dock</t>
  </si>
  <si>
    <t>ModelServingRuntime/gateway adapter</t>
  </si>
  <si>
    <t>T-182</t>
  </si>
  <si>
    <t>Benchmark harness and result manifest for B-01..B-09</t>
  </si>
  <si>
    <t>B01-B09 benchmark result harness</t>
  </si>
  <si>
    <t>1 — after M2a-P2</t>
  </si>
  <si>
    <t>Semantic Contract Manifest persistence, resolver and G-55 coverage</t>
  </si>
  <si>
    <t>T-089..T-105</t>
  </si>
  <si>
    <t>Use only final ppiq_meta/ppiq_plant authority and published relationship model. Do not depend on M1 compatibility/presentation tables.</t>
  </si>
  <si>
    <t>T-128</t>
  </si>
  <si>
    <t>Feature store, outcome store and immutable snapshot metadata</t>
  </si>
  <si>
    <t>T-087..T-105</t>
  </si>
  <si>
    <t>T-135</t>
  </si>
  <si>
    <t>Tenant-aware uniqueness across the intelligence tables</t>
  </si>
  <si>
    <t>T-087..T-105 + new intelligence tables</t>
  </si>
  <si>
    <t>T-184</t>
  </si>
  <si>
    <t>Snapshot Materialiser: seal feature state into typed artifacts and enforce G-48</t>
  </si>
  <si>
    <t>T-128 + T-169 + T-183</t>
  </si>
  <si>
    <t>T-129</t>
  </si>
  <si>
    <t>Compute runs, findings and common evidence persistence</t>
  </si>
  <si>
    <t>T-128 + T-183</t>
  </si>
  <si>
    <t>T-130</t>
  </si>
  <si>
    <t>Model registry, serving identity, activation and fallback</t>
  </si>
  <si>
    <t>T-131</t>
  </si>
  <si>
    <t>Practice signature, windowing, context and cohorts</t>
  </si>
  <si>
    <t>T-086 + T-128 + T-171</t>
  </si>
  <si>
    <t>T-132</t>
  </si>
  <si>
    <t>Support, confidence, back-off ladder and tolerance sensitivity</t>
  </si>
  <si>
    <t>2 — canonical integration</t>
  </si>
  <si>
    <t>T-185</t>
  </si>
  <si>
    <t>sequence_manifests persistence and object-storage sequence path</t>
  </si>
  <si>
    <t>W3 AFTER M2b-P1</t>
  </si>
  <si>
    <t>T-170 + T-183 + final object storage</t>
  </si>
  <si>
    <t>Canonical integration/cutover only. Preserve M1 visible contract; remove presentation backing only after continuity evidence exists.</t>
  </si>
  <si>
    <t>T-186</t>
  </si>
  <si>
    <t>Persist capability profiles, prediction points and the model-count governor</t>
  </si>
  <si>
    <t>T-171 + T-183 + T-128/T-129</t>
  </si>
  <si>
    <t>T-133</t>
  </si>
  <si>
    <t>Practice persistence, drift and canonical D10 Practice Insights</t>
  </si>
  <si>
    <t>T-131 + T-132 + T-183</t>
  </si>
  <si>
    <t>T-134</t>
  </si>
  <si>
    <t>Bindable intelligence registry and evidence handles</t>
  </si>
  <si>
    <t>T-128..T-135 + M2a definition store</t>
  </si>
  <si>
    <t>T-136</t>
  </si>
  <si>
    <t>Incremental practice recomputation</t>
  </si>
  <si>
    <t>T-109 + T-131..T-133</t>
  </si>
  <si>
    <t>T-188</t>
  </si>
  <si>
    <t>Canonical D4 Findings and D8 ML Readiness/Models cutover</t>
  </si>
  <si>
    <t>T-129 + T-130 + T-186 + M1 continuity snapshots</t>
  </si>
  <si>
    <t>T-187</t>
  </si>
  <si>
    <t>Production training/index integration: snapshots → ML lanes → registry activation</t>
  </si>
  <si>
    <t>W3 AFTER M2a-P3</t>
  </si>
  <si>
    <t>T-107 + T-109 + T-168..T-176 + T-183..T-186</t>
  </si>
  <si>
    <t>Production ML job wiring may begin only after scheduler/delta/RLS contracts are stable. No daytime request may enter training.</t>
  </si>
  <si>
    <t>3 — prediction/remediation</t>
  </si>
  <si>
    <t>T-139</t>
  </si>
  <si>
    <t>prediction_runs, predictions and prediction_current</t>
  </si>
  <si>
    <t>W3 AFTER M2b-P2</t>
  </si>
  <si>
    <t>T-130 + T-187</t>
  </si>
  <si>
    <t>Use canonical model/prediction/remediation stores only; preserve M1 UI contract on frontend cutovers.</t>
  </si>
  <si>
    <t>T-140</t>
  </si>
  <si>
    <t>Prediction drivers and comparables, persisted</t>
  </si>
  <si>
    <t>T-139 + T-173/T-176</t>
  </si>
  <si>
    <t>T-141</t>
  </si>
  <si>
    <t>Actionable deadline and latency health</t>
  </si>
  <si>
    <t>W3 AFTER M2a-P4</t>
  </si>
  <si>
    <t>T-107 + T-122 + T-139 + T-187</t>
  </si>
  <si>
    <t>Deadline proof requires the final online-scoring deployment/reservation. No promise based only on priority ordering.</t>
  </si>
  <si>
    <t>T-142</t>
  </si>
  <si>
    <t>Remediation candidate generation from the customer's own history</t>
  </si>
  <si>
    <t>T-131/T-132 + T-139/T-140</t>
  </si>
  <si>
    <t>T-143</t>
  </si>
  <si>
    <t>Integrate the nine-check remediation gate, can_accept and suppression</t>
  </si>
  <si>
    <t>T-178 + T-142</t>
  </si>
  <si>
    <t>T-144</t>
  </si>
  <si>
    <t>Accept, Reject and Defer with action recording</t>
  </si>
  <si>
    <t>T-145</t>
  </si>
  <si>
    <t>Outcome capture, evaluation and escalation</t>
  </si>
  <si>
    <t>T-189</t>
  </si>
  <si>
    <t>Canonical D5 Risk and D9 Early Warning cutover</t>
  </si>
  <si>
    <t>T-139..T-143 + M1 continuity snapshots</t>
  </si>
  <si>
    <t>T-190</t>
  </si>
  <si>
    <t>Canonical D6 Suggestions and decision-action cutover</t>
  </si>
  <si>
    <t>T-142..T-145 + M1 continuity snapshots</t>
  </si>
  <si>
    <t>D11 Scenario Simulation: governed read-only modelled comparison</t>
  </si>
  <si>
    <t>T-130 + T-176 + T-187</t>
  </si>
  <si>
    <t>4 — convergence/gates</t>
  </si>
  <si>
    <t>Fix the outcome namespace, grain assignment and ordinal loader</t>
  </si>
  <si>
    <t>W3 AFTER M1 FREEZE + M2b-P1</t>
  </si>
  <si>
    <t>T-177 + T-128/T-129; T-147 precedes final T-146 cutover</t>
  </si>
  <si>
    <t>Do not change the current presentation engine while Worker 2 certifies T-045/T-046. Production cutover only after continuity freeze.</t>
  </si>
  <si>
    <t>T-146</t>
  </si>
  <si>
    <t>Converge the production statistical engine onto the certified method kernel</t>
  </si>
  <si>
    <t>T-138</t>
  </si>
  <si>
    <t>Canonical Assistant runtime cutover: planner, retrieval, evidence packing, serving and verifier</t>
  </si>
  <si>
    <t>T-137 + T-179..T-181 + T-134 + T-188</t>
  </si>
  <si>
    <t>Cut over internals only; G1 dock route/layout/wording remain frozen. No presentation corpus fallback after canonical cutover.</t>
  </si>
  <si>
    <t>Drift Supervisor and governed model-action proposals</t>
  </si>
  <si>
    <t>W3 AFTER MODEL/PREDICTION INTEGRATION</t>
  </si>
  <si>
    <t>T-130 + T-187 + T-139/T-145</t>
  </si>
  <si>
    <t>Supervisor may propose only governed bounded actions; never modify architecture gates/thresholds or auto-update plant/model weights.</t>
  </si>
  <si>
    <t>T-192</t>
  </si>
  <si>
    <t>Target-architecture gate pack G-48..G-55</t>
  </si>
  <si>
    <t>W3 AFTER COMPONENT INTEGRATION</t>
  </si>
  <si>
    <t>T-183..T-191 + T-107/T-122 as applicable</t>
  </si>
  <si>
    <t>Implement/falsify gates against final components; standalone gate files first, canonical pipeline wiring belongs to T-150.</t>
  </si>
  <si>
    <t>5 — site/M3</t>
  </si>
  <si>
    <t>T-157</t>
  </si>
  <si>
    <t>Practice, prediction and model calibration on real data</t>
  </si>
  <si>
    <t>W3 SITE / M3</t>
  </si>
  <si>
    <t>M2b accepted + customer data window</t>
  </si>
  <si>
    <t>Real-data calibration/validation only; architecture is frozen. Tune benchmark-open values, never lower governance gates.</t>
  </si>
  <si>
    <t>T-158</t>
  </si>
  <si>
    <t>Remediation validation against real process constraints</t>
  </si>
  <si>
    <t>T-155</t>
  </si>
  <si>
    <t>B-01/B-02 capacity tuning, scan amplification and model-serving memory</t>
  </si>
  <si>
    <t>SHARED — SITE BENCHMARK</t>
  </si>
  <si>
    <t>M2b accepted + site hardware</t>
  </si>
  <si>
    <t>Worker 3 owns AI/ML benchmark execution/evidence; infrastructure owns capacity certification/topology.</t>
  </si>
  <si>
    <t>T-159</t>
  </si>
  <si>
    <t>C1 to C4 capacity certification</t>
  </si>
  <si>
    <t>FROZEN AI/ML/LLM ARCHITECTURE → EXECUTABLE BACKLOG COVERAGE</t>
  </si>
  <si>
    <t>Architecture contract</t>
  </si>
  <si>
    <t>Primary task owner(s)</t>
  </si>
  <si>
    <t>Implementation type</t>
  </si>
  <si>
    <t>Worker 3 timing</t>
  </si>
  <si>
    <t>Presentation interference</t>
  </si>
  <si>
    <t>Final evidence/gate</t>
  </si>
  <si>
    <t>Backlog state</t>
  </si>
  <si>
    <t>Notes</t>
  </si>
  <si>
    <t>Semantic Contract Manifest</t>
  </si>
  <si>
    <t>NEW production persistence</t>
  </si>
  <si>
    <t>None if hand-off respected</t>
  </si>
  <si>
    <t>G-55 / Scan V4 contract</t>
  </si>
  <si>
    <t>COVERED</t>
  </si>
  <si>
    <t>Tenant-safe manifest_id PK; UNIQUE(tenant_id, manifest_hash).</t>
  </si>
  <si>
    <t>Columnar training snapshots</t>
  </si>
  <si>
    <t>T-169 + T-184 + T-128</t>
  </si>
  <si>
    <t>NEW library + production integration</t>
  </si>
  <si>
    <t>None in safe-now library</t>
  </si>
  <si>
    <t>G-48 + B-03</t>
  </si>
  <si>
    <t>feature_store is current state, never training read path.</t>
  </si>
  <si>
    <t>Sequence manifests/object payload</t>
  </si>
  <si>
    <t>T-170 + T-185</t>
  </si>
  <si>
    <t>B-04 + restore proof</t>
  </si>
  <si>
    <t>No numeric sequence arrays in PostgreSQL.</t>
  </si>
  <si>
    <t>C#↔Python ML execution</t>
  </si>
  <si>
    <t>T-168 + T-187</t>
  </si>
  <si>
    <t>NEW runtime + integration</t>
  </si>
  <si>
    <t>T-168 now; T-187 after M2a-P3</t>
  </si>
  <si>
    <t>No production wiring now</t>
  </si>
  <si>
    <t>Job-result manifest + lane tests</t>
  </si>
  <si>
    <t>Decision/governance remains in .NET; computation in Python.</t>
  </si>
  <si>
    <t>Capability Profiler</t>
  </si>
  <si>
    <t>T-171 + T-186</t>
  </si>
  <si>
    <t>NEW kernel + persistence</t>
  </si>
  <si>
    <t>None now</t>
  </si>
  <si>
    <t>Readiness/refusal tests</t>
  </si>
  <si>
    <t>Includes collapsed dimensions and capability truth.</t>
  </si>
  <si>
    <t>MF-01 Process Encoder</t>
  </si>
  <si>
    <t>T-172 + T-176 + T-187</t>
  </si>
  <si>
    <t>NEW</t>
  </si>
  <si>
    <t>Now isolated</t>
  </si>
  <si>
    <t>B-05 + promotion gate</t>
  </si>
  <si>
    <t>Optional; ships only if earned.</t>
  </si>
  <si>
    <t>MF-02 Similarity Index</t>
  </si>
  <si>
    <t>T-173 + T-187</t>
  </si>
  <si>
    <t>G-51 + B-06</t>
  </si>
  <si>
    <t>VectorSimilarityIndex contract; Exact Flat baseline.</t>
  </si>
  <si>
    <t>MF-03 Novelty</t>
  </si>
  <si>
    <t>T-174 + T-187</t>
  </si>
  <si>
    <t>Model validation/refusal</t>
  </si>
  <si>
    <t>Simple baseline first.</t>
  </si>
  <si>
    <t>MF-04 Supervised outcome</t>
  </si>
  <si>
    <t>T-175 + T-176 + T-187</t>
  </si>
  <si>
    <t>Leakage + 3D promotion</t>
  </si>
  <si>
    <t>LightGBM candidate behind contract.</t>
  </si>
  <si>
    <t>MF-05 / MF-06 statistical engines</t>
  </si>
  <si>
    <t>T-177 + T-146 + T-147</t>
  </si>
  <si>
    <t>Expanded existing owner</t>
  </si>
  <si>
    <t>Kernel now; cutover after M1 freeze</t>
  </si>
  <si>
    <t>Cutover waits for Worker 2</t>
  </si>
  <si>
    <t>Known-answer matrix + CI</t>
  </si>
  <si>
    <t>Numeric×Categorical gap explicitly closed.</t>
  </si>
  <si>
    <t>MF-07 Practice Engine</t>
  </si>
  <si>
    <t>T-131..T-133 + T-136</t>
  </si>
  <si>
    <t>No M1 cutover until canonical</t>
  </si>
  <si>
    <t>Practice evidence/drift</t>
  </si>
  <si>
    <t>D10 cutover preserves continuity.</t>
  </si>
  <si>
    <t>Model registry/fallback</t>
  </si>
  <si>
    <t>None</t>
  </si>
  <si>
    <t>Serving identity constraints</t>
  </si>
  <si>
    <t>No ModelBundle.</t>
  </si>
  <si>
    <t>Three ML lanes / hard reservation</t>
  </si>
  <si>
    <t>T-107 + T-122 + T-187</t>
  </si>
  <si>
    <t>Shared platform/ML</t>
  </si>
  <si>
    <t>After platform hand-off</t>
  </si>
  <si>
    <t>None to presentation</t>
  </si>
  <si>
    <t>G-49/G-50 + B-01/B-02</t>
  </si>
  <si>
    <t>Online lane never admits batch/training.</t>
  </si>
  <si>
    <t>Prediction/remediation</t>
  </si>
  <si>
    <t>T-139..T-145 + T-178</t>
  </si>
  <si>
    <t>Expanded existing + new kernel</t>
  </si>
  <si>
    <t>After model integration</t>
  </si>
  <si>
    <t>Canonical only</t>
  </si>
  <si>
    <t>Deadline + nine-check evidence</t>
  </si>
  <si>
    <t>Human/read-only boundary preserved.</t>
  </si>
  <si>
    <t>Canonical intelligence frontend</t>
  </si>
  <si>
    <t>T-188 + T-189 + T-190 + T-133</t>
  </si>
  <si>
    <t>NEW cutover tasks</t>
  </si>
  <si>
    <t>Visible contract frozen</t>
  </si>
  <si>
    <t>Continuity snapshots</t>
  </si>
  <si>
    <t>D4/D5/D6/D8/D9/D10 real data authority.</t>
  </si>
  <si>
    <t>Scenario Simulation D11</t>
  </si>
  <si>
    <t>No current presentation change</t>
  </si>
  <si>
    <t>Scenario evidence/refusal</t>
  </si>
  <si>
    <t>Simulation, not prediction/control.</t>
  </si>
  <si>
    <t>Assistant deterministic planner</t>
  </si>
  <si>
    <t>T-179 + T-138</t>
  </si>
  <si>
    <t>NEW kernel + cutover</t>
  </si>
  <si>
    <t>Planner now; cutover later</t>
  </si>
  <si>
    <t>No dock change now</t>
  </si>
  <si>
    <t>Q-01</t>
  </si>
  <si>
    <t>LLM does not choose tools.</t>
  </si>
  <si>
    <t>Hybrid retrieval/evidence packing</t>
  </si>
  <si>
    <t>T-180 + T-138</t>
  </si>
  <si>
    <t>No corpus cutover now</t>
  </si>
  <si>
    <t>B-07/B-08 + Q gates</t>
  </si>
  <si>
    <t>Permission before ranking.</t>
  </si>
  <si>
    <t>ModelServingRuntime</t>
  </si>
  <si>
    <t>T-137 + T-138</t>
  </si>
  <si>
    <t>Rewritten existing owner</t>
  </si>
  <si>
    <t>No DI registration now</t>
  </si>
  <si>
    <t>B-09</t>
  </si>
  <si>
    <t>Provider/model change governed.</t>
  </si>
  <si>
    <t>Deterministic answer verifier</t>
  </si>
  <si>
    <t>T-181 + T-138</t>
  </si>
  <si>
    <t>G-53 + Q-01..Q-11</t>
  </si>
  <si>
    <t>No LLM self-verification.</t>
  </si>
  <si>
    <t>G-48..G-55</t>
  </si>
  <si>
    <t>T-192 + T-150</t>
  </si>
  <si>
    <t>NEW gate pack + final CI</t>
  </si>
  <si>
    <t>After components</t>
  </si>
  <si>
    <t>Fail-closed falsification</t>
  </si>
  <si>
    <t>Each gate falsified once before trusted.</t>
  </si>
  <si>
    <t>B-01..B-09</t>
  </si>
  <si>
    <t>T-182 + T-155/T-157/T-159</t>
  </si>
  <si>
    <t>NEW harness + site execution</t>
  </si>
  <si>
    <t>Harness now; values later</t>
  </si>
  <si>
    <t>Measured result manifests</t>
  </si>
  <si>
    <t>No guessed values.</t>
  </si>
  <si>
    <t>Drift Supervisor</t>
  </si>
  <si>
    <t>Governed proposal/rollback tests</t>
  </si>
  <si>
    <t>Cannot weaken gates or auto-update weights.</t>
  </si>
  <si>
    <t>SM-06 OutcomeDefinition semantics and leakage anchors</t>
  </si>
  <si>
    <t>T-090 + T-128 + T-147</t>
  </si>
  <si>
    <t>Frozen semantic contract → canonical binding → values/history → Engine consumption</t>
  </si>
  <si>
    <t>T-090 in M2a; T-128/T-147 after canonical hand-off</t>
  </si>
  <si>
    <t>None if hand-offs respected</t>
  </si>
  <si>
    <t>Immutable definition version + G-06 leakage falsification</t>
  </si>
  <si>
    <t>Design already frozen. T-090 binds/version-controls SM-06; T-128 stores observed values by definition version; T-147 consumes grain/classes/detection anchors without redefining them.</t>
  </si>
  <si>
    <t>Control</t>
  </si>
  <si>
    <t>Result</t>
  </si>
  <si>
    <t>DECISION</t>
  </si>
  <si>
    <t>M1 presentation hours</t>
  </si>
  <si>
    <t>574 — UNCHANGED</t>
  </si>
  <si>
    <t>Worker 3 starts immediately on the SAFE-NOW isolated kernels/runtimes. He does NOT touch active M1 presentation code/data or final production persistence before the specified M2a hand-off. The added M2b scope is the implementation decomposition of the frozen Rev7/7.1 architecture, not a new architecture round.</t>
  </si>
  <si>
    <t>M2a canonical-core hours</t>
  </si>
  <si>
    <t>M2b old → new</t>
  </si>
  <si>
    <t>Programme old → new</t>
  </si>
  <si>
    <t>New tasks</t>
  </si>
  <si>
    <t>Worker 3 SAFE NOW</t>
  </si>
  <si>
    <t>Change Class</t>
  </si>
  <si>
    <t>Task IDs</t>
  </si>
  <si>
    <t>What changed</t>
  </si>
  <si>
    <t>Why</t>
  </si>
  <si>
    <t>Presentation impact</t>
  </si>
  <si>
    <t>Worker 3 rule</t>
  </si>
  <si>
    <t>Rewritten existing</t>
  </si>
  <si>
    <t>T-107, T-109, T-122</t>
  </si>
  <si>
    <t>Scheduler/delta/container contracts aligned to ML lanes and final training path.</t>
  </si>
  <si>
    <t>Rev7 resource/runtime architecture.</t>
  </si>
  <si>
    <t>NONE — M1 untouched.</t>
  </si>
  <si>
    <t>Shared/later hand-off.</t>
  </si>
  <si>
    <t>Expanded M2b existing</t>
  </si>
  <si>
    <t>T-128..T-150</t>
  </si>
  <si>
    <t>Persistence, registry, prediction/remediation, assistant and engine cutovers updated to final contracts.</t>
  </si>
  <si>
    <t>Old backlog predates 11-12 Aug architecture freeze.</t>
  </si>
  <si>
    <t>NONE until canonical cutover.</t>
  </si>
  <si>
    <t>Worker 3 owns AI scope except T-148/T-149 and shared T-150.</t>
  </si>
  <si>
    <t>New SAFE-NOW</t>
  </si>
  <si>
    <t>T-168..T-182</t>
  </si>
  <si>
    <t>Schema-independent runtime, artifact, model, statistical, remediation and Assistant kernels.</t>
  </si>
  <si>
    <t>Keep Worker 3 productive without merge/runtime conflicts.</t>
  </si>
  <si>
    <t>ZERO by construction.</t>
  </si>
  <si>
    <t>Isolated files/tests only; no production wiring.</t>
  </si>
  <si>
    <t>New canonical integration</t>
  </si>
  <si>
    <t>T-183..T-193</t>
  </si>
  <si>
    <t>Manifest, snapshot/sequence integration, capability/model integration, real AI surfaces, gates and drift.</t>
  </si>
  <si>
    <t>Close architecture-to-backlog orphans.</t>
  </si>
  <si>
    <t>Only after M1 continuity and M2a hand-offs.</t>
  </si>
  <si>
    <t>Canonical-only integration.</t>
  </si>
  <si>
    <t>M3 alignment</t>
  </si>
  <si>
    <t>T-155, T-157..T-159</t>
  </si>
  <si>
    <t>Benchmark-open values measured on site; architecture stays frozen.</t>
  </si>
  <si>
    <t>B01-B09 are measurements, not design questions.</t>
  </si>
  <si>
    <t>NONE.</t>
  </si>
  <si>
    <t>Worker 3 + infrastructure/site owners.</t>
  </si>
  <si>
    <t>v2.10.1 tightening</t>
  </si>
  <si>
    <t>T-090, T-128, T-147, T-175, T-177</t>
  </si>
  <si>
    <t>Made SM-06 OutcomeDefinition binding/consumption ownership explicit; added statistical source/test parity gate; clarified fixture-only supervised SAFE-NOW.</t>
  </si>
  <si>
    <t>Close an implementation-ownership ambiguity without reopening the frozen Rev7/7.1 architecture.</t>
  </si>
  <si>
    <t>NONE — M1/Workers 1–2 untouched.</t>
  </si>
  <si>
    <t>Owners and parallel labels unchanged; only descriptions, validation, boundaries and dependencies tightened.</t>
  </si>
  <si>
    <t>Module</t>
  </si>
  <si>
    <t>Sub-module</t>
  </si>
  <si>
    <t>Task Description</t>
  </si>
  <si>
    <t>Task Validation</t>
  </si>
  <si>
    <t>Recommended Owner</t>
  </si>
  <si>
    <t>Worker 3 Parallel Label</t>
  </si>
  <si>
    <t>Worker 3 Boundary / Scope</t>
  </si>
  <si>
    <t>Depends On / Release Gate</t>
  </si>
  <si>
    <t>v2.10.2 Change</t>
  </si>
  <si>
    <t>Verified Live State</t>
  </si>
  <si>
    <t>Evidence / Commit</t>
  </si>
  <si>
    <t>Design Review Verdict</t>
  </si>
  <si>
    <t>Design / Concept Finding</t>
  </si>
  <si>
    <t>Tech-Lead Ruling</t>
  </si>
  <si>
    <t>Revised Dependency / Gate</t>
  </si>
  <si>
    <t>Parallel / Booster Ruling</t>
  </si>
  <si>
    <t>Rework Risk</t>
  </si>
  <si>
    <t>Review Authority / Date</t>
  </si>
  <si>
    <t>Product Track</t>
  </si>
  <si>
    <t>Delivery Target</t>
  </si>
  <si>
    <t>Release Criticality</t>
  </si>
  <si>
    <t>Concept Alignment Ruling</t>
  </si>
  <si>
    <t>Deadline Risk</t>
  </si>
  <si>
    <t>AI Agent Owner</t>
  </si>
  <si>
    <t>AI Agent Lane</t>
  </si>
  <si>
    <t>AI Execution Class</t>
  </si>
  <si>
    <t>AI Speed Factor (x)</t>
  </si>
  <si>
    <t>P80 Guard Multiplier</t>
  </si>
  <si>
    <t>AI Active Time P50 (h)</t>
  </si>
  <si>
    <t>AI Guarded Time P80 (h)</t>
  </si>
  <si>
    <t>AI Sequence Wave</t>
  </si>
  <si>
    <t>AI Start / Dependency Gate</t>
  </si>
  <si>
    <t>File / Subsystem Lock</t>
  </si>
  <si>
    <t>No-Rework Handoff Ruling</t>
  </si>
  <si>
    <t>T-001</t>
  </si>
  <si>
    <t>Build the six-beat Design Traceability Matrix</t>
  </si>
  <si>
    <t>Documentation</t>
  </si>
  <si>
    <t>Design contract</t>
  </si>
  <si>
    <t>Create docs/m1/M1_Traceability_Matrix.md. One row per screen that will be opened in the customer presentation. Columns: Screen, Route, Chapter 2 journey step (J4..J15), Chapter 3 page contract id (A1..F9 / G1..G6), Chapter 4 behaviour section (5.1..5.7), Chapter 5 tutorial step, Current implementation file, Classification. Classification is one of KEEP (matches final design), MODIFY (visible surface needs change), TEMP-ADAPTER (visible surface is final but persistence behind it is temporary and M2 replaces it), NEW. Get the route list from Frontend/PlantProcess.Web/src/App.tsx, which currently declares 69 route paths. Chapter 3 section 4.4 lists the target 40 route pages plus 6 shell components; every presentation screen must map to one of them.</t>
  </si>
  <si>
    <t>The matrix has zero rows where the Chapter 3 column is blank. Walk the list with the App.tsx route table open: every route you intend to open in the room appears, and no route outside the list is reachable from the demo navigation. Reviewed and signed off before any other M1 task starts.</t>
  </si>
  <si>
    <t>Done</t>
  </si>
  <si>
    <t>Completed / no assignment</t>
  </si>
  <si>
    <t>No new work. Preserve evidence and do not reopen unless a regression proves it.</t>
  </si>
  <si>
    <t>—</t>
  </si>
  <si>
    <t>CARRIED v2.9.2</t>
  </si>
  <si>
    <t>Done — backlog-claimed; closure evidence not reloaded in this pass</t>
  </si>
  <si>
    <t>No new contradiction identified in this pass</t>
  </si>
  <si>
    <t>Low / not newly identified</t>
  </si>
  <si>
    <t>Deep design reconciliation 16-Aug-2026; Chapter 3/4 + Layer-B architecture + latest source/audit evidence</t>
  </si>
  <si>
    <t>Track 1 — Presentation / Demo</t>
  </si>
  <si>
    <t>2026-08-20 Presentation RC</t>
  </si>
  <si>
    <t>M1 Contract</t>
  </si>
  <si>
    <t>Presentation-visible contract. Prepared Fleet v2 topology is allowed; no fake product behaviour and no production-only scope.</t>
  </si>
  <si>
    <t>Closed</t>
  </si>
  <si>
    <t>Closed / evidence preserved</t>
  </si>
  <si>
    <t>Closed — do not reopen without contradictory regression evidence.</t>
  </si>
  <si>
    <t>No active lock.</t>
  </si>
  <si>
    <t>None — preserve evidence.</t>
  </si>
  <si>
    <t>T-002</t>
  </si>
  <si>
    <t>Audit every presented route and control against the Chapter 3 page inventory</t>
  </si>
  <si>
    <t>Frontend</t>
  </si>
  <si>
    <t>CORRECTED IN v2.1. The v2.0 validation only forbade phase-token routes, which was too narrow - and the code proves it was also unnecessary, because every to: value in AppLayout.tsx is already canonical and the legacy /phase8, /phase9 and /phase15 paths are Navigate reverse redirects that no navigation entry points at. The real task is wider. Compare EVERY presented route, EVERY JourneyRail stage and EVERY navigation entry against the Chapter 3 4.4 canonical inventory of 40 route pages plus 6 shell components. For each, record the Chapter 3 contract id or record it as out-of-inventory. An out-of-inventory surface that is opened in the room is a frozen contract nobody chose. Note that PPIQ-T12 (navigationContract.test.ts) already ships from this task's own applied pack and covers the token rule; the audit below extends it, it does not repeat it.</t>
  </si>
  <si>
    <t>A table with one row per presented route, per JourneyRail stage and per navigation entry, each carrying a Chapter 3 contract id or an explicit out-of-inventory decision. Zero rows left undecided. Cross-check the JourneyRail stage list against Chapter 2 3.3.1 J1 to J15 - a stage that names a journey step the design does not have is a defect.</t>
  </si>
  <si>
    <t>T-003</t>
  </si>
  <si>
    <t>Lock the presentation profile as a data profile, not a branch</t>
  </si>
  <si>
    <t>Infrastructure</t>
  </si>
  <si>
    <t>Environments</t>
  </si>
  <si>
    <t>Chapter 6 forbids environment branches: the same artifact moves across environments. Confirm scripts/run/start-api.ps1 keeps its ValidateSet local/test/server/presentation and that the only difference between profiles is env/profiles/*.env. Fix the duplicated ConnectionStrings__PlantProcessDb declaration that appears twice (lines 18 and 19) in both local.env and presentation.env. Add a top-of-file comment to start-api.ps1 stating that the default is `local` and that the presentation must be launched with -Profile presentation.</t>
  </si>
  <si>
    <t>Run `.\scripts\run\start-api.ps1 -Profile presentation` and hit GET /api/ml/foundation/readiness. It must report outcome_values around 195,221 and correlation_results around 320, which proves the API is on ppiq_presentation. Repeat with -Profile local and confirm the numbers differ. Record both outputs in the evidence folder.</t>
  </si>
  <si>
    <t>Presentation is a profile/release artifact, NOT a long-lived code branch. Freeze with immutable tag/release + presentation profile/database.</t>
  </si>
  <si>
    <t>T-004</t>
  </si>
  <si>
    <t>Create the M1 acceptance checklist and evidence folder</t>
  </si>
  <si>
    <t>Quality</t>
  </si>
  <si>
    <t>Important</t>
  </si>
  <si>
    <t>Create docs/m1/ACCEPTANCE.md holding the UI/UX Golden Gate as a checklist applied per screen: Standard* components where one exists, no raw local styling, primary Electric Blue, selection Electric Cyan, secondary Corporate Blue, warning and refusal Amber, destructive Hot Red, muted Muted Steel, inline-start/inline-end never left/right, keyboard path, RTL mirror, all seven states (Empty, Loading, Populated, Filtered-empty, Blocked, Refused, Failed), widget failure isolation, registry-driven customer vocabulary, no number without evidence. Create docs/m1/evidence/ for screenshots and command output.</t>
  </si>
  <si>
    <t>Every screen in the traceability matrix has a checklist instance in the folder. A screen is not Green until every line is ticked with an evidence file name beside it.</t>
  </si>
  <si>
    <t>T-005</t>
  </si>
  <si>
    <t>Rebuild ppiq_presentation into scratch and diff against live</t>
  </si>
  <si>
    <t>Database</t>
  </si>
  <si>
    <t>Presentation data</t>
  </si>
  <si>
    <t>scripts/demo/Rebuild-PresentationDb.ps1 rebuilds the demo database in one command, but it restores from deploy/.ppiq-snapshots/ppiq_app_20260713_203359.dump, a 13 July snapshot. Every correction made against the live presentation database between 14 and 27 July survives a rebuild only if it became one of the script's steps. Run the script with -TargetDb ppiq_presentation_scratch (the script's guard requires the name to contain 'presentation'), then produce a diff: object list (tables, views, functions, triggers, indexes) and row count per table, scratch versus live.</t>
  </si>
  <si>
    <t>Produce docs/m1/evidence/presentation_db_diff.txt. Acceptance is either an empty diff, or a written list of every difference. Do not proceed to the next task until that list exists, and never run the rebuild against the live database before it does.</t>
  </si>
  <si>
    <t>T-006</t>
  </si>
  <si>
    <t>Convert every diff finding into a seed or migration script</t>
  </si>
  <si>
    <t>For each row of the diff from the previous task, decide: is this a product fix (goes to Backend/database/scripts as a numbered migration) or presentation data (goes to scripts/demo as a seed step)? The governing law is that presentation DATA may be presentation-only but presentation FIXES may never be. Add each item in the correct place and re-run the rebuild.</t>
  </si>
  <si>
    <t>Re-run Rebuild-PresentationDb.ps1 into a fresh scratch database and re-run the diff. It must now be empty. That output is the proof that no fix exists only as data.</t>
  </si>
  <si>
    <t>T-007</t>
  </si>
  <si>
    <t>Presentation Phenomena and Widget Coverage Matrix, 
part 1: inventory and the 36-chart blueprint</t>
  </si>
  <si>
    <t>REOPENED IN v2.5 - source truth changed after runtime measurement. The artifacts stand, but they were written against FLEET_RELATIONS.md, and measurement proved that document describes a larger, richer emulation than the one staged: 630 heats not 1,802, 5,670 coils not 18,661, 1,987 defects not 34,312, SIX defect codes not twenty, and THREE chemistry elements at one station not twelve at three. This task does not restart, and it does NOT stay half-open until the fleet is rebuilt - a task that closes twenty tasks later violates both the ordering law and the no-PARTIAL rule. It closes HERE as a PRE-GENERATION SPECIFICATION: the measured current inventory plus the 36-chart blueprint. Post-generation re-measurement and final certification belong to the phenomenon-proof task in M1-P1b, which cites this task by name so the link is machine-checked from that end. REWRITTEN IN v2.4. The previous version documented seventeen relations; that was necessary but not sufficient. Two halves, and the ORDER IS THE POINT. First, inventory what the emulation already carries - chemistry by grade at whatever element count and sampling stations MEASUREMENT SHOWS - the v2.4 text said twelve elements across three stations and that was taken from a document; measurement found THREE elements at ONE station, so the inventory records what is there, additives by grade, sequence grouping, crew rotation, ladle reline counters, cold-furnace and maintenance reheating, downtime propagation, roll wear, lubrication windows, and the seventeen planted relations with their negative controls. Second, write the 36-CHART BLUEPRINT: six primary presentation pages times six visual stories, with the seventh dashboard kept as the technical backup page. For each chart state what it must SHOW - not which correlation it must prove. The acceptance standard for the dataset changes here: every one of the 36 widgets needs an intentional visual story, sufficient population and cardinality, realistic variation, and at least one meaningful drill or filter interaction. NOT every chart must reveal a correlation. Planting a hundred clean correlations would make the plant look fabricated, which costs more credibility than a flat chart does.</t>
  </si>
  <si>
    <t>Two artifacts in the evidence folder: the emulation inventory with a source and a row count per structure, and the blueprint with 36 rows each naming its page, chart type, and the visual story it must tell. A reviewer must be able to say, for each of the 36, what would make that chart boring - because that is the specification the data has to beat.</t>
  </si>
  <si>
    <t>T-008</t>
  </si>
  <si>
    <t>Presentation Phenomena and Widget Coverage Matrix, part 2: map, classify, close</t>
  </si>
  <si>
    <t>Testing</t>
  </si>
  <si>
    <t>Dashboard</t>
  </si>
  <si>
    <t>REOPENED IN v2.5 alongside part one, for the same reason: it cites effect sizes and defect codes that do not exist in the staged data. R1 CRACK_LONG at 9.3x, R2 INCLUSION at 4.5x and R4 SLIPPAGE_MARK at 28.9x have NO corresponding staged defect code. Aluminium, sulfur, niobium and nitrogen are absent, so four relation families cannot exist here whatever the document says. The 104 rows are kept as the SPECIFICATION OF WHAT THE FLEET MUST CARRY, and become the input to the Fleet v2 target rather than a description of what exists. This task ALSO closes here, before any generator work, and it carries one addition: PREDECLARE the expected direction, the acceptable effect band and the negative control for every phenomenon. Declaring them before the data exists is what stops the later proof from being self-fulfilling. REWRITTEN IN v2.4 as part two of the matrix. One row per phenomenon, with these columns: phenomenon; source systems; population; variables; intended effect; noise; primary chart; secondary chart; dashboard; expected analysis result; NEGATIVE CONTROL; genealogy requirement; current status EXISTING, ENRICH or NEW; and the exact automated assertion that validates it. Target roughly 85 to 110 micro-variations, distributed as 18-25 strong discoverable relationships, 20-25 moderate or conditional, 15-20 shift, crew, campaign and maintenance regimes, 8-12 temporal drifts or regime changes, 8-12 outliers or short abnormal events, and 15-20 negative controls and noise. Most of those will be extensions of the seventeen existing relation families rather than new inventions. Then map each of the 36 charts to at least one phenomenon or to a legitimate operational baseline, and give every widget a decision: KEEP, ENHANCE, REBIND, ADD WIDGET, EXTEND EMULATION, NEEDS RELATIONSHIP SLICE, or REMOVE. Weak bindings are not data shortages - Defects by Equipment returned one row in the last audit and the remedy is canonical equipment attribution or relationship resolution, never more rows.</t>
  </si>
  <si>
    <t>docs/m1/evidence/phenomena_widget_matrix.csv with no blank cells. Every one of the 36 charts references at least one phenomenon or a named operational baseline. Every EXTEND EMULATION row names the exact field, so the generator work has a closed list. Every phenomenon carries its automated assertion, so the statistical QA task has nothing left to invent.</t>
  </si>
  <si>
    <t>T-009</t>
  </si>
  <si>
    <t>Downtime two-quantity contract: final schema and domain slice</t>
  </si>
  <si>
    <t>Backend</t>
  </si>
  <si>
    <t>Canonical model</t>
  </si>
  <si>
    <t>CORRECTED IN v2.1, and this was a materially wrong task. v2.0 treated the downtime work as data seeding only. It is not. The canonical DowntimeEvent entity carries timestamps, equipment, a DowntimeType and a reason, but it does NOT carry the two quantities the design requires. Chapter 3 4.5.4 specifies stopped_minutes and production_impact_minutes as separate columns, both NOT NULL and both greater than or equal to zero, because they are different quantities and one may never stand in for the other - a twenty-minute mill stoppage absorbed by buffer slabs costs no production, while a three-minute caster pump stoppage can force a sequence rebuild and cost six hours. Add both fields to the domain entity, write the migration, and extend the projection mapping so a projected downtime row carries both. Use the final column names so M2a extends rather than migrates.</t>
  </si>
  <si>
    <t>Project a downtime batch and assert every row has both columns populated and non-negative. Attempt an insert with a null production_impact_minutes and confirm the database rejects it. Confirm no code path derives one quantity from the other.</t>
  </si>
  <si>
    <t>T-010</t>
  </si>
  <si>
    <t>Run the canonical semantic path end to end through the M1 compatibility boundaries</t>
  </si>
  <si>
    <t>Engine</t>
  </si>
  <si>
    <t>CORRECTED IN v2.1. The v2.0 wording implied the final physical topology is in place. It is not, and it is not supposed to be before M2a. What M1 proves is the canonical SEMANTIC path: connection test, dataset registration, incremental import into staging, canonical projection through the customer-authored mapping, genealogy, feature and outcome refresh, then an analysis run - each step reached through the product's own services, never by loading a target table directly. Record row counts at every stage. Note the sequencing: the final external definition contract is built later in M1-P2, so this walk is repeated once it lands - the second walk is what proves the contract did not change behaviour.</t>
  </si>
  <si>
    <t>One command log showing a single row entering at the source and appearing in material_units and the canonical views, with stage counts that are monotonic and explainable. Every write on the path goes through the final service interface, not a table name - which is what lets M2a replace the storage without this test changing.</t>
  </si>
  <si>
    <t>T-011</t>
  </si>
  <si>
    <t>Establish and fix the architecture test pool reliability</t>
  </si>
  <si>
    <t>CI/CD</t>
  </si>
  <si>
    <t>NEW IN v2.1, raised by a real failure. The navigation contract pack auto-reverted on a gate that reported 15 files and 57 tests passing with one error: a vitest worker failed to START for noMojibake.test.ts and never ran. A re-run went green, which means the gate is intermittent. The diagnostic inventory found the cause candidate: all 16 architecture test files declare no environment and none needs a DOM, yet the suite spends 40 to 45 seconds of a 62 to 68 second run on environment setup and teardown - roughly two thirds of the wall time paid for a browser environment nothing uses. Add // @vitest-environment node to the architecture test files, or set it for that directory in the vitest config. Do not raise a timeout and do not add a retry: a gate that is argued with is a gate that gets switched off, and one that fails at random teaches the team to re-run until green, which is how a real failure gets ignored.</t>
  </si>
  <si>
    <t>Ten consecutive runs of the architecture suite on a clean tree, all green, with zero worker-start timeouts, recorded in the evidence folder. Report the wall time before and after; the environment share should fall sharply. This matters because M1-P5 certification depends on this pool - the golden journey and the visual and accessibility gates run on it, on the two days when there is no time left to diagnose anything.</t>
  </si>
  <si>
    <t>T-012</t>
  </si>
  <si>
    <t>Canonicalise the JourneyRail to J1 to J15</t>
  </si>
  <si>
    <t>Journey</t>
  </si>
  <si>
    <t>NEW IN v2.3, raised by the presented-surface audit and it is a Rule 3 violation that has been on every authenticated page. JourneyRail.tsx declares its OWN fifteen-stage journey in a hardcoded STAGES array and renders it as Step N of 15. It is not the canonical J1 to J15: different steps, different order, same numbering. Rule 3 says a second journey written anywhere is deleted rather than reconciled. Four further defects sit on top. Stage 4 Prepare mapping has only /data-integration/prepare as its match prefix, which stage 2 already claims, and the longest-prefix tie-break takes the first, so stage 4 can never become the current stage. Stage 5 points at /data-integration/author-mapping, which the audit rules out of inventory. Stage 8 points at AnalysisJobConfigPage, which leaves the M1 navigation. Stage 12 is labelled AI/ML jobs and points at the Jobs Monitor. Stage 15 points at /assistant, but Chapter 3 gives the assistant no route because G1 is a shell component. Rewrite STAGES to the canonical journey with the Chapter 2 3.3.1 labels, render J1 to J3 as completed commissioning so the count is honest, give each stage exactly one unambiguous match prefix, and repoint stages 5, 8 and 15.</t>
  </si>
  <si>
    <t>A test asserting the rail's stage count and labels equal the canonical journey, in the same shape as PPIQ-T12. Walk every presented route and confirm the rail highlights exactly one stage, and that the stage it highlights is the journey step that route serves. No stage may be unreachable.</t>
  </si>
  <si>
    <t>T-013</t>
  </si>
  <si>
    <t>Three-way source reconciliation: KEEP, EXTEND or ADD</t>
  </si>
  <si>
    <t>Emulated sources</t>
  </si>
  <si>
    <t>NEW IN v2.5, and it exists because the runtime measurement proved the source-shaped donor schemas are not the plant the documents describe. Reconcile THREE things against each other, one row per source structure: what the running source-shaped donor schemas and their data actually contain, measured; what the committed generator and fixtures produce - Backend/tools/generate_demo_dataset.py is 372 lines, deterministic, and emits all eight sources - but MEASUREMENT DURING THIS TASK PROVED IT PRODUCES A DIFFERENT PLANT from the donor schemas, sharing two of six defect codes and none of the downtime reason codes, so it is a THIRD GENERATION to reconcile rather than a starting point; and what the 36-chart blueprint requires. NOTHING IS THROWN AWAY WITHOUT A RECORDED DECISION. Every row gets KEEP, EXTEND or ADD with a reason, and a KEEP is as much a decision as an ADD. The measured baseline is already in the evidence folder and is the input, not a thing to re-derive: ten staged tables, 630 heats, 630 sequences, 5,670 slabs, 5,670 coils, 39,690 stand passes, 1,987 defects across SIX codes, 210 downtime events, 17,010 QA results, and chemistry limited to carbon, manganese and silicon on heats alone.</t>
  </si>
  <si>
    <t>CLOSED 03-Aug-2026. docs/m1/evidence/source_reconciliation.csv, 13 rows and 15 columns, zero blank cells, one row per source structure. THREE DECISION AXES rather than one, because two findings fit none of the original buckets: structural `decision` KEEP 7 / EXTEND 3 / ADD 3; `data_action` VARY 3 / FIX_DISTRIBUTION 2 / NONE 8, for columns that are populated but carry a single value; and `binding_action` BIND 7 / REBIND 6 / NONE 0, for structures that are complete but reach no chart. Every EXTEND and ADD names the exact field or table; every KEEP names the chart it serves. Supporting evidence: docs/m1/evidence/T-013_source_measurement_20260803_132228.txt.</t>
  </si>
  <si>
    <t>T-014</t>
  </si>
  <si>
    <t>Capture the current source-shaped donor schemas in a committed generator</t>
  </si>
  <si>
    <t>NEW IN v2.8, and it exists because the emulation the whole presentation reads has no producer in source control. Backend/database/scripts/110_phase1_demo_source_shapes.sql creates the ten source-shaped donor tables EMPTY and nothing in the repository fills them - the only INSERT INTO src_ anywhere is a single one-row probe in scripts/run/Invoke-PpiqJourneyWalk.ps1. Those rows exist solely inside deploy/.ppiq-snapshots/ppiq_app_20260713_203359.dump, a 29.4 MB binary that scripts/demo/Rebuild-PresentationDb.ps1 restores. Backend/tools/generate_demo_dataset.py DOES have a producer, but it emits the CONTAINER fixtures under deploy/fixtures/demo, and those carry a DIFFERENT plant: five defect codes against the staged six with only SCALE and EDGE_CRACK shared, five downtime reason codes with NONE shared, carbon only against carbon-manganese-silicon, no lf_treatment table at all, and a QA CSV of 1,868 rows against 17,010 staged lab results. The source-shaped donor schemas received several manual enhancement passes during the run-up to the presentation and is therefore AHEAD of the committed generator, not behind it. Extending the committed generator before capturing the staged state would regress the dataset. Write ONE deterministic generator, in source control, that reproduces the CURRENT source-shaped donor schemas exactly - every table, every column, every distribution, every catalogue - from a fixed seed. DO NOT IMPROVE ANYTHING HERE. Improvement belongs to the target specification and to the generator-extension tasks that follow it. This task only makes what already exists reproducible from code rather than from a binary snapshot, which is also what the M2a clean-room rebuild depends on.</t>
  </si>
  <si>
    <t>Generate into an empty database and diff against the live source-shaped donor schemas with the same tool that closed the presentation reproducibility diff. All ten source-shaped donor tables match on ALL NINE DIMENSIONS the Chapter 3 section 4.5.2a retirement gate requires, because three are not enough to delete an irreplaceable dataset against: schema; row counts; key and cardinality checks including the DISTRIBUTION of children per parent rather than its average; null and population profiles; categorical distributions covering defect_code, reason_code, downtime_category, equipment_code, steel_grade and test_code; numeric ranges and declared quantiles; timestamp ranges and per-unit ordering; genealogy and conservation checks; and identifier shapes, without which a later cross-layer identity check cannot hold. TOTAL DIFFERENCES must read 0. The generator, its seed and its outputs are committed. A second run with the same seed is byte-identical to the first. No figure in the generator is hand-copied from a document: every one derives from the measurement evidence produced by T-013.</t>
  </si>
  <si>
    <t>T-015</t>
  </si>
  <si>
    <t>Presentation Fleet v2 target specification</t>
  </si>
  <si>
    <t>NEW IN v2.5. Write the dataset target the fixtures must reach, and write it FROM THE 36 CHARTS, not from FLEET_RELATIONS.md. That document has been wrong three times in one day and it is no longer executable truth. It is a source of ideas, nothing more. Chemistry elements are added because a chart needs them and for no other reason - if the conditional-format table needs sulfur, phosphorus, aluminium or niobium then those are added, and if it does not need twelve elements then twelve are not added. THE DEFECT CATALOGUE IS THE HEADLINE. The current six codes at 351, 347, 341, 335, 319 and 294 are nearly uniform, which is a flat Pareto and exactly the boring condition chart 8 was written against. The target is a real plant distribution - one dominant code, two or three meaningful, a moderate, several smaller, and a long tail of rare defects - plus pure-noise codes that exist to be REJECTED, because a correlation page with nothing to reject proves nothing. State the target scale too, and state whether the current roughly one-third scale is sufficient for the population each chart needs.</t>
  </si>
  <si>
    <t>docs/m1/evidence/presentation_fleet_v2_target.md naming, for every structure: target row count, target cardinality, and the chart or phenomenon that justifies it. No figure appears without the chart that needs it. The defect catalogue is a table of code, target share and role, where role is one of dominant, meaningful, moderate, rare or negative control.</t>
  </si>
  <si>
    <t>T-016</t>
  </si>
  <si>
    <t>Extend the generator: defect catalogue and chemistry elements</t>
  </si>
  <si>
    <t>NEW IN v2.5. EXTEND T-015 into the existing generator. The word is extend: the generator already produces a coherent, deterministic, genealogy-consistent plant and that structure is kept. What changes is the defect code catalogue, its distribution shape, and the chemistry element set on the meltshop source, which today carries only carbon_pct, manganese_pct and silicon_pct. Keep the existing seed and determinism so a regeneration is reproducible. Do not renumber or restructure what already works.</t>
  </si>
  <si>
    <t>Regenerating with the same seed produces the same output twice. The defect distribution matches the target table within a stated tolerance, with a dominant code and a visible tail. Every chemistry element named in the target exists as a column with a plausible per-grade distribution. The existing genealogy conservation rules still hold: coil width, weight and length against their slab.</t>
  </si>
  <si>
    <t>T-017</t>
  </si>
  <si>
    <t>Extend the generator: grade specification, and shift as BEHAVIOUR</t>
  </si>
  <si>
    <t>REWRITTEN IN v2.6. TWO ADDITIONS to the emulated customer world, never to the product. FIRST a grade_specification source table with grade_code, element_code, min_value, target_value, max_value and unit, so the conditional-format demonstration draws its limits from the customer's own data and never from a literal in PPIQ. SECOND, and this is the part v2.5 had wrong: SHIFT IS BEHAVIOUR, NOT A LABEL. Do NOT add a shift column to a source system that would not realistically record one, just because a chart wants it - that is a fabricated convenience and a customer engineer will smell it. Generate the BEHAVIOUR against a shift and crew calendar: day runs conservatively with lower parameter variance, evening sits between, night carries wider variance or a different operating bias. EXPOSE a crew or shift field ONLY in the source systems where such a field is realistic. Everywhere else the value is DERIVED IN THE TRANSFORMATION from the local timestamp plus a shift_calendar table in the EMULATED CUSTOMER WORLD carrying shift_code, start_local_time, end_local_time, crew_code, effective_from, effective_to and timezone - so the derivation reads customer configuration and never a literal buried in code or in a transformation expression - and mapped onto the existing canonical semantics - process_step_executions.crew_code already exists and no new canonical column is invented. That derivation is also the stronger demonstration: a timestamp, a no-code derived column, shift A B or C, save the transformation, in front of the customer. A ready-made shift column makes the example look easy in the wrong way. Chapter 3 already requires local time and zone handling wherever shift matters, so the derivation is on-contract.</t>
  </si>
  <si>
    <t>The specification table covers every element the Fleet v2 target names, with at least one heat outside its grade band and at least one inside. The three shift populations are realistic rather than exact thirds. Where a source exposes the field, it is justified in one sentence; where it does not, the derivation exists as a saved transformation and NOT as a hand-written column. The behavioural difference is present in the data before any chart is bound to it.</t>
  </si>
  <si>
    <t>T-018</t>
  </si>
  <si>
    <t>Extend the generator: downtime two quantities and buffer posture</t>
  </si>
  <si>
    <t>NEW IN v2.5, absorbing the downtime half of the old field-gap task. The 210 staged downtime events are GOOD MATERIAL and are kept: nine equipment units with 18 to 32 events each, five reason codes across four categories, durations from 196 to 5,374 seconds. What is missing is the second quantity. The source carries only duration_seconds, so stopped_minutes derives from it, and production_impact_minutes is GENERATED INDEPENDENTLY. Both shapes must exist in the data: stopped 45 with impact 0, where a buffer absorbed it, and stopped 3 with impact 260, where a short stoppage forced a sequence rebuild. TWO DERIVED METRICS, NEITHER STORED, AND NEITHER CAN GO NEGATIVE. buffer_absorbed_minutes = MAX(stopped_minutes - production_impact_minutes, 0) and cascade_amplification_minutes = MAX(production_impact_minutes - stopped_minutes, 0). A plain subtraction was wrong: stopped 3 with impact 260 would report minus 257 minutes of buffer absorption, which is not a quantity that exists. Stopped 45 with impact 0 gives 45 absorbed and 0 cascade; stopped 3 with impact 260 gives 0 absorbed and 257 cascade. The canonical model still stores exactly TWO columns.</t>
  </si>
  <si>
    <t>A distribution of both quantities showing the two shapes present in meaningful numbers, not as single planted rows. At least one event has stopped minutes above zero with production impact zero. At least one has impact materially exceeding stopped. No code path computes either quantity from the other or from the timestamps.</t>
  </si>
  <si>
    <t>T-019</t>
  </si>
  <si>
    <t>Shift and crew operating-practice regimes</t>
  </si>
  <si>
    <t>RE-BASELINED IN v2.5: this extends the FLEET V2 generator, not the old one. The behaviour belongs in the generator and the PROOF stays here. It lands BEFORE the frozen M1 Fleet v2 is merged, scaled and materialised into the presentation layers, so that one materialisation carries every regime rather than three separate ones. There is no import cycle inside M1 - the full external path returns at M2a. NEW IN v2.4, and it exists because correlation alone does not make 36 charts interesting. Crew rotation is structurally present but the behavioural stories are not. Give each shift an operating PERSONALITY rather than a different mean: day runs more conservatively with lower parameter variance, evening sits between, night carries wider variance or a different operating bias. The critical constraint is that the effect must NOT be global. Night shift should show a higher apparent defect rate, and conditioning on grade must reveal that a large part of the difference was night running a harder grade family - while the higher VARIANCE remains after conditioning, and that residual variance is what actually contributes to defect probability. One phenomenon, eight charts: shift bar, box plot, trend, scatter, correlation, conditioned result, defect Pareto, and an assistant question.</t>
  </si>
  <si>
    <t>The naive shift comparison shows a difference. The grade-conditioned comparison shrinks the mean difference materially while the variance difference survives. Both recorded in the evidence folder. If the conditioned difference vanishes entirely the confounder is too strong and the phenomenon is uninteresting; if it does not move the confounder is absent and the story does not exist. Both are failures worth naming.</t>
  </si>
  <si>
    <t>T-020</t>
  </si>
  <si>
    <t>Post-maintenance recovery and campaign-ageing regimes</t>
  </si>
  <si>
    <t>RE-BASELINED IN v2.5: this extends the FLEET V2 generator, not the old one. The behaviour belongs in the generator and the PROOF stays here. It lands BEFORE the frozen M1 Fleet v2 is merged, scaled and materialised into the presentation layers, so that one materialisation carries every regime rather than three separate ones. There is no import cycle inside M1 - the full external path returns at M2a. NEW IN v2.4. Ladle reline counters and cold-furnace reheat structure exist, but an explicit post-repair recovery regime does not, and it is one of the most visually convincing behaviours available. After a maintenance event the first heat shows raised power-on time, cycle time, energy per tonne and temperature variance; the second is partly recovered; heats three to five approach normal; then the campaign runs at baseline. Not every repair produces the same effect: an EAF warm-up, a ladle refractory campaign reset, an HSM roll change that improves surface quality initially, and an ageing roll campaign that gradually raises roll-mark and wavy-edge rates are four different shapes. Campaign ageing runs the other way - roll wear, refractory age and tundish age increase gradually across a campaign. Together these make time-series charts show pattern CHANGES rather than random noise, which is the difference between a chart that looks alive and one that looks generated.</t>
  </si>
  <si>
    <t>A box plot of the first N heats after a maintenance event against steady-campaign heats shows a decaying difference across three to five units. A campaign-age trend shows gradual degradation, not a step. At least two repair types produce materially different recovery shapes. Every assertion is the one written in the matrix, not invented here.</t>
  </si>
  <si>
    <t>T-021</t>
  </si>
  <si>
    <t>Equipment personality and temporal regime changes</t>
  </si>
  <si>
    <t>RE-BASELINED IN v2.5: this extends the FLEET V2 generator, not the old one. The behaviour belongs in the generator and the PROOF stays here. It lands BEFORE the frozen M1 Fleet v2 is merged, scaled and materialised into the presentation layers, so that one materialisation carries every regime rather than three separate ones. There is no import cycle inside M1 - the full external path returns at M2a. NEW IN v2.4, the remaining two variation families. EQUIPMENT PERSONALITY: the same parameter set behaves differently between two units, so an aggregate view hides a unit-level truth that appears the moment the customer filters by equipment. TEMPORAL REGIME CHANGE: a maintenance event or a change of operating practice shifts behaviour mid-period, so a trend chart shows a regime boundary rather than drift. Both are extensions of structures that already exist rather than new subsystems.</t>
  </si>
  <si>
    <t>Filtering by equipment changes the shape of at least two charts materially. A trend chart shows a visible regime boundary whose date matches a recorded event in the downtime or maintenance source, so the boundary is explainable rather than decorative.</t>
  </si>
  <si>
    <t>T-022</t>
  </si>
  <si>
    <t>Merge the best existing material into one Fleet v2 truth</t>
  </si>
  <si>
    <t>NEW IN v2.9. Chapter 3 section 4.5.2a fixes the M1 fast path: the presentation database is materialised from one frozen Fleet v2 generator, Docker is connection-test only during M1, and the full external path returns as the sole authority at M2a. This is the ONE controlled merge, and it happens once. The T-013 measurement found the presentation database carrying three generations of the same plant: the enhanced source-shaped donor schemas captured by T-014, an older and roughly three times larger dump population, and canonical rows matching that older generation exactly. Take the SEMANTICS from the captured baseline - the six defect codes, the three chemistry elements, the ladle furnace stage, casting speed, superheat, the richer downtime vocabulary - and take the SCALE LESSONS from the older larger generation. Produce one reconciled Fleet v2 definition in the generator, with a written decision per conflict. DO NOT copy rows between layers to achieve this. Copying a piece here and fixing a piece there is what produced three generations in the first place; the merge is expressed in the generator or it is not expressed.</t>
  </si>
  <si>
    <t>One reconciled Fleet v2 definition exists in the committed generator with a recorded decision for every conflict between the captured baseline and the older generation. No row was copied between layers to reach it. The captured baseline of T-014 still regenerates byte-identically from its own seed, proving the merge added a definition rather than overwriting the capture. Every semantic element named in the source reconciliation survives the merge or carries a written reason for being dropped.</t>
  </si>
  <si>
    <t>T-023</t>
  </si>
  <si>
    <t>Scale Fleet v2 to the target plant size</t>
  </si>
  <si>
    <t>NEW IN v2.9. The captured baseline is 630 heats and 5,670 coils. That is the size the manual enhancement work happened at, and T-014 deliberately captured it unchanged so that captured existing work stays distinguishable from newly designed enhancement. Scale is a SEPARATE, LATER and VISIBLE step for that reason. Raise the generated plant to the target size - about 2,400 heats and about 17,000 coils - carrying the full enhanced field set. Scale is a generator parameter, never a copy of the older generation's rows. A phenomenon that only appears at one size was an artefact of that size, so every planted behaviour is re-proved after scaling.</t>
  </si>
  <si>
    <t>The generator produces the target size from a parameter, deterministically, from the same seed family. Every planted phenomenon declared so far still holds after scaling, measured rather than assumed, and any that does not is recorded as a finding before the phase continues. Row counts, cardinalities and categorical distributions are reported at both sizes side by side. The smaller captured baseline remains reproducible, so the two sizes are two outputs of one generator rather than two datasets.</t>
  </si>
  <si>
    <t>T-024</t>
  </si>
  <si>
    <t>Emit and populate the presentation canonical operational entities</t>
  </si>
  <si>
    <t>NEW IN v2.9, replacing the import-and-project contracts that assumed a live M1 pipeline. Chapter 3 section 4.5.2a fixes the M1 fast path: the presentation database is materialised from one frozen Fleet v2 generator, Docker is connection-test only during M1, and the full external path returns as the sole authority at M2a. Materialise the canonical operational entities of the presentation database - material units, parameter observations, quality events, downtime events, genealogy edges and their identity resolution - directly from the frozen Fleet v2 generator. PREPARED ROWS ARE PERMITTED; PRESENTATION-ONLY PRODUCT BEHAVIOUR IS NOT. A surface that would refuse on real customer data refuses here too, and no code path may exist that only runs because this is the presentation database. The older canonical population and its provenance residue - the un-neutralised source system label, the unexplained baseline rows, the stale import batches and the validation-fixture and DEMO-vocabulary mappings - are replaced, not merged with, the new population, and only after the replacement rows exist.</t>
  </si>
  <si>
    <t>Every canonical operational entity is populated from the generator and from nothing else. No row of the older generation survives, proved by a provenance query returning zero rows outside the Fleet v2 label. Genealogy is complete and conserved: every coil resolves to a slab, a sequence and a heat, with no orphan and no cycle. The downtime two-quantity contract closed in T-009 is populated from a real source field rather than defaulted. No widget bound before this task is left pointing at a deleted row.</t>
  </si>
  <si>
    <t>M1 canonical operational rows may be pre-populated from the deterministic Fleet v2 generator.</t>
  </si>
  <si>
    <t>T-025</t>
  </si>
  <si>
    <t>Compute and populate the presentation analysis entities with the real engines</t>
  </si>
  <si>
    <t>Analytics</t>
  </si>
  <si>
    <t>NEW IN v2.9. The analysis surfaces need correlation results, feature values, outcome values, readiness states and findings present in the presentation database before the customer meeting. THESE ARE COMPUTED, NEVER AUTHORED. Run the product's own statistical, correlation, feature and readiness engines over the canonical operational entities and persist what they return. Writing plausible-looking analysis rows by hand would make every intelligence surface in the demonstration theatre, and would break the design law that prepared data is permitted while presentation-only behaviour is not. Where an engine legitimately refuses - insufficient support, readiness not met - THE REFUSAL IS THE RESULT AND IS PERSISTED AS SUCH, because a readiness gate reporting a measured value beside its threshold is the product working rather than the product missing.</t>
  </si>
  <si>
    <t>Every analysis entity row carries a compute run identity that names the engine, its inputs and its version. No analysis row exists without one. Re-running the engines over the same canonical data reproduces the same results, so the analysis layer is derived rather than stored opinion. At least one genuine refusal is present and rendered honestly on its surface. No hand-authored row is present anywhere in the analysis entities, proved by the compute-run coverage query returning full coverage.</t>
  </si>
  <si>
    <t>Analytical rows are NOT authored/prefilled answers: they must be computed by the real engines from canonical operational data.</t>
  </si>
  <si>
    <t>T-026</t>
  </si>
  <si>
    <t>Phenomenon test harness: manifest schema and runner</t>
  </si>
  <si>
    <t>NEW IN v2.6. v2.5 allowed six hours to prove roughly 104 phenomena, which is achievable ONLY if the validation is parameterised and is nowhere near enough if a junior writes sixty to a hundred bespoke SQL tests one at a time. Build the harness instead. Manifest columns: phenomenon_id, population_query, expected_direction, minimum_population, expected_effect_band, conditioning_variable, expected_after_conditioning, negative_control. The runner walks the manifest and reports per row: population met or not, direction matched, effect inside its band, conditioned result inside its band, and negative control silent. A NEGATIVE CONTROL THAT STARTS CORRELATING IS A FAILURE, not a curiosity. This is what keeps the fleet changeable later without re-doing the whole QA pass from scratch.</t>
  </si>
  <si>
    <t>The harness runs against a manifest of at least three hand-checked phenomena and produces a pass, a fail and a refusal, all three demonstrated. A phenomenon whose population is below its minimum reports INSUFFICIENT rather than passing quietly. The runner exits non-zero if any row fails.</t>
  </si>
  <si>
    <t>T-027</t>
  </si>
  <si>
    <t>Populate the manifest and prove every phenomenon</t>
  </si>
  <si>
    <t>NEW IN v2.6, and it CLOSES the reopened matrix. Fill T-026 from the phenomena matrix declared in T-008, whose parts one and two closed as PRE-GENERATION SPECIFICATIONS before any generator work, one manifest row per phenomenon, and run it against the prepared presentation canonical operational and analysis entities, which under the M1 fast path of Chapter 3 section 4.5.2a are materialised from the frozen Fleet v2 generator rather than imported during M1. THE BANDS ARE NOT WRITTEN FROM THIS DATA. Expected direction, acceptable band and negative control were PREDECLARED in T-008 and refined in T-015, both before the data existed. This task MEASURES the observed effect and tests it against that predeclared target. Writing the band from the data and then testing the data against it is a self-fulfilling test and proves nothing. Where an observed effect falls outside its PREDECLARED band, the finding is recorded and the phenomenon is either fixed in the generator - triggering a corrective regeneration - or removed from the matrix with a written reason. THE BAND IS NEVER WIDENED TO MAKE A ROW PASS. Widening a predeclared band after seeing the result is the same defect as writing it from the result.</t>
  </si>
  <si>
    <t>Every phenomenon in the matrix has a manifest row and a result. The reopened parts one and two of the coverage matrix are rewritten against measured reality and closed. Every one of the 36 charts references at least one phenomenon that the harness proves. Every negative control is silent. A failure here may trigger a corrective rerun of T-024 and everything downstream of it; that rerun is recorded as a correction, never treated as routine.</t>
  </si>
  <si>
    <t>T-028</t>
  </si>
  <si>
    <t>Verify the confounded correlation and the insufficient-support refusal</t>
  </si>
  <si>
    <t>RESCOPED IN v2.3 FROM 8 HOURS TO 2. Both phenomena appear to be present already: the seventeen relations include several where an aggregate association changes materially once grade or thickness is conditioned on, and the control defects SCRATCH, DENT and SEAM are deliberately uncorrelated. So the work is to PROVE both, not to plant them. Run the naive analysis, then the conditioned analysis, and record the difference. Then find or create one outcome that has genuine data but too few independent units or outcome events to pass the readiness gate - thresholds in ReadinessGate.cs are heats 60 ready and 30 partial, events 40 and 15, minority 0.10 and 0.03, completeness 0.95 and 0.85. Do not weaken any threshold to produce either result.</t>
  </si>
  <si>
    <t>A recorded finding that survives naive analysis and is reported as not surviving stratification, and a recorded Blocked outcome whose reason names the measured value and its threshold. Both outputs in the evidence folder. If either cannot be produced from the existing data, that is the finding, and the remedy is a small generator change with its own estimate rather than a threshold change.</t>
  </si>
  <si>
    <t>T-029</t>
  </si>
  <si>
    <t>Five-layer realism audit of the emulated plant</t>
  </si>
  <si>
    <t>REPLACES the previous data-quality pass and is broader for the same hours. Five layers, in order. STRUCTURAL: key continuity across the eight independent sources - Meltshop PostgreSQL, Caster Oracle, HSM Oracle, PKL MSSQL, Downtime MySQL, Parsytec MySQL, Yard file and QA file - so heat to slab to coil to inspection resolves end to end. PHYSICAL: dimensions, weight, temperature, speed and chemistry plausible AND cross-field consistent, because a slab whose width, thickness and length imply a volume that contradicts its stated weight is wrong even when every single value looks industrial on its own. TEMPORAL: EAF then LF then caster then HSM then inspection then yard, with no step preceding its predecessor. STATISTICAL: natural variation, noise, outliers and shifts rather than uniform random. ANALYTICAL: every phenomenon in the manifest is discoverable through the product rather than asserted anywhere.</t>
  </si>
  <si>
    <t>One SQL script per layer returning zero offending rows. The physical layer must include the density cross-check: derived volume times steel density compared against stated weight, within a stated tolerance. The genealogy weight check is already enforced by a database trigger, so confirm it fires by attempting an invalid insert inside a transaction and rolling back.</t>
  </si>
  <si>
    <t>T-030</t>
  </si>
  <si>
    <t>Emit and populate the presentation staging representation, source-shaped</t>
  </si>
  <si>
    <t>NEW IN v2.9, and it opens M1-P2 because it is the direct prerequisite of the authoring shell. Chapter 3 section 4.5.2a fixes the M1 fast path: the presentation database is materialised from one frozen Fleet v2 generator, Docker is connection-test only during M1, and the full external path returns as the sole authority at M2a. Materialise the staging representation of the presentation database from the same frozen Fleet v2 generator, SOURCE-SHAPED AND UNPREPARED: the selected tables and the selected columns as a customer system would expose them, before any join, derivation or linking. This is what the schema tree, the no-code canvas, the wiring surface, the SQL editor and the preview read, so it must look like customer data rather than like a finished model. Its row counts are NOT expected to equal the canonical layer, because one is source-shaped and one is canonical, and a test asserting equality would be wrong.</t>
  </si>
  <si>
    <t>The staging representation is populated from the generator alone and is genuinely unprepared: no derived column, no pre-joined view, no canonical vocabulary leaking into a source-shaped table. The schema tree, canvas, SQL editor and preview all read it successfully. Identities match the canonical layer exactly - a coil visible here is the same coil there - while row counts differ as expected and the difference is recorded rather than treated as a defect.</t>
  </si>
  <si>
    <t>dump_store is the transitional M1 staging representation. src_* is donor state only and must be retired; it is not a product layer.</t>
  </si>
  <si>
    <t>Certify cross-layer consistency and retire the obsolete donor state</t>
  </si>
  <si>
    <t>NEW IN v2.9, and it is the gate that makes the fast path safe rather than merely fast. THE CUSTOMER MUST NEVER SEE ONE PLANT IN THE CANVAS AND ANOTHER PLANT IN THE DASHBOARD. Certify that the staging, canonical operational and analysis layers describe one Fleet v2 plant: same grades, same equipment identities, same defect vocabulary, same downtime semantics, same chemistry vocabulary, same QA definitions and units, same genealogy, same time horizon where both layers carry one, and the same planted phenomena. The certification is a TEST that fails the build, not a document. AND ONLY AFTER IT PASSES, THIS TASK EXECUTES THE RETIREMENT GATE, because Chapter 3 section 4.5.2a defines that gate and no task carried it out: back up the pre-retirement state, RESTORE THAT BACKUP SUCCESSFULLY AT LEAST ONCE, dependency-check the obsolete artifacts, then delete the `src_*` donor schemas and remove the stale registered datasets, dead import batches and validation-fixture and DEMO-vocabulary mappings that now have replacements. Nothing is deleted whose replacement is not already generated and certified. Row counts across layers are explicitly NOT compared, because the layers are shaped differently by design; what is compared is the plant universe.</t>
  </si>
  <si>
    <t>A named test asserts every consistency dimension above and fails the build on any divergence. A deliberate injected divergence - one defect code present in one layer only - makes it fail, proving the gate is switched on. The generator version and seed behind all three layers are identical and recorded. The certification runs in CI rather than by hand, so a later change that breaks consistency is caught by the pipeline rather than in the room. All four retirement-gate conditions are then evidenced in order: the generator reproduces the captured baseline on all nine dimensions; both presentation representations were regenerated from it; this certification passed; and one backup was taken AND RESTORED SUCCESSFULLY. Only then is `src_*` gone, proved by a query returning zero matching schemas, and no obsolete parallel data world remains active anywhere in the presentation database.</t>
  </si>
  <si>
    <t>T-032</t>
  </si>
  <si>
    <t>Shared Authoring Shell, part 1: the shell contract and the four regions</t>
  </si>
  <si>
    <t>UI/UX no-code frontend</t>
  </si>
  <si>
    <t>CORRECTED IN v2.1, and this is the largest correction in the backlog. v2.0 said 'restructure the page layout only, do not change the graph model'. That was wrong: the current graph model does not express the final block grammar, and freezing three separate authoring surfaces in front of the customer is exactly what the Visible Contract law forbids. Chapter 4 5.2.1 rules ONE shell serving FIVE purposes - S1 transformation, S2 page and widget, S3 analysis, S4 model, S5 log rule - with the same board semantics, the same lifecycle and the same definition concept. Build SharedAuthoringShell as the single component, with the four regions from 5.2.3: mode bar (Block or SQL) with Run and Validate; schema tree on the inline-start side; board or SQL editor in the centre; toolbox on the inline-end side; debug log across the bottom. Take a purpose parameter S1 to S5. Do not throw away VisualJoinCanvasPage - its 784 lines of typed ports, compiled-SQL pane, dry run, publish and debug log are the strongest asset here. CONVERGE it into the shell as the S1 face.</t>
  </si>
  <si>
    <t>Open the shell in S1 mode and confirm every capability that VisualJoinCanvasPage had still works: schema tree, join, preview, compiled SQL, publish, debug log. Open it in S2 mode and confirm the same four regions render with the widget toolbox. A vitest asserting one component serves both purposes and that no second authoring page component is exported.</t>
  </si>
  <si>
    <t>T-033</t>
  </si>
  <si>
    <t>Shared Authoring Shell, part 2: relational block grammar on the board</t>
  </si>
  <si>
    <t>CORRECTED IN v2.1. v2.0 said 'keep that decision' about editing filters and derived columns in the Preparation Definition side panel. That contradicts the design: Chapter 4 5.2.5 puts Join, Filter, Select, Rename, Group by, Sort, Union, Derived Column, Cast and Lookup on the BOARD as relational blocks, not in a side form. A side form is a different product shape and the customer would receive something else after M2. Implement the block set the six-beat demonstration actually needs - source, join, filter, derived column, select or rename - as board nodes with typed ports, and keep drag-time refusal of an illegal connection with a named reason per 5.2.7. The operator lists in the interface must stay byte-identical to the whitelist BuildSafeSelect enforces, so an illegal state is unreachable rather than rejected afterwards. Blocks the design defines but the demonstration does not need are declared in the registry and rendered as unavailable, not omitted.</t>
  </si>
  <si>
    <t>Build a preparation on the board using source, join, filter and derived column as nodes, preview it, and confirm the compiled SQL matches. Attempt each illegal connection from the enumerated set and confirm each is refused with a sentence. A vitest asserting the interface operator list equals the server whitelist.</t>
  </si>
  <si>
    <t>T-034</t>
  </si>
  <si>
    <t>Registry-driven schema, table and attribute tree</t>
  </si>
  <si>
    <t>EXPANDED IN v2.1. The current tree is real - three levels, typed columns, isKeyCandidate markers, schema name from the configuration key Prep:StagingSchema. The final contract asks for more: grouping, drag of a table or a single attribute onto the board, multi-select, search across schema, table and column, the column type AND its nullability, and an approximate row count per table. Nothing in this tree may be a hardcoded table or column name.</t>
  </si>
  <si>
    <t>Drag one attribute and one whole table onto the board and confirm both produce a valid source node. Multi-select three columns and confirm the selection reaches the block. Search a partial column name and confirm only matching tables expand. Grep the file for any literal table name from the emulated plant; there must be none.</t>
  </si>
  <si>
    <t>T-035</t>
  </si>
  <si>
    <t>Compiled-SQL pane and debug log with rows and cost</t>
  </si>
  <si>
    <t>SQL Editor</t>
  </si>
  <si>
    <t>The dry-run endpoint already returns the SQL it built, so the pane shows what actually runs rather than a client reconstruction. Keep that. Add the debug log contract from Chapter 4 5.2.8: entries typed Error, Warning or Success, each with a message written for a plant engineer, plus returned row count and an execution cost estimate. Never render a raw exception string.</t>
  </si>
  <si>
    <t>Trigger three cases and confirm three distinct log entries: a valid preview (Success with row count), a preview returning zero rows (Warning with an explanation), and a rejected operator (Error naming the operator). Confirm no output contains a stack trace or the words 'could not load', 'failed to load' or 'unable to load', which the PPIQ-T09 architecture test forbids.</t>
  </si>
  <si>
    <t>T-036</t>
  </si>
  <si>
    <t>SQL mode: safe editor, run test, returned columns and the reconstructability rule</t>
  </si>
  <si>
    <t>EXPANDED IN v2.1. The backend contract is strong already: SafeSqlValidator is 295 lines, SELECT and WITH only, token-boundary validation so created_at stays legal, forbidding DDL, DML, COPY, large-object functions, dblink*, pg_sleep*, pg_catalog, information_schema and xp_*. Build the editor over it with syntax highlighting, schema and column autocomplete from the same catalogue the tree uses, a Run test button, the returned column list with inferred types and a sample of returned values. Two rules v2.0 missed and Chapter 4 5.2.12 requires: the toolbox DISAPPEARS entirely in SQL mode, and switching back from SQL to Block is offered only when the SQL is reconstructable as blocks - otherwise the user gets a warning and must confirm explicitly that the block representation will be discarded.</t>
  </si>
  <si>
    <t>Run a valid SELECT and confirm columns and samples render. Run a DROP, a pg_catalog reference, a pg_sleep call and a forbidden token hidden inside a comment, and confirm each is refused by name. Switch to SQL mode and confirm the toolbox is gone, not merely disabled. Author SQL that cannot be reconstructed, switch back to Block, and confirm the warning appears and requires explicit confirmation.</t>
  </si>
  <si>
    <t>T-037</t>
  </si>
  <si>
    <t>Certify returned-column role mapping inside the S2 shell</t>
  </si>
  <si>
    <t>REDUCED IN v2.1 from implementation to hardening. The mechanism already exists: widget-role-binding.ts provides readRoleBinding, writeRoleBinding, staleRoles and describeStale, persisting the binding by column and detecting stale mapped roles. The remaining work is integration into the S2 face of the shared shell plus certification, not a build.</t>
  </si>
  <si>
    <t>Assign roles inside the shell, re-run the query unchanged, confirm roles persist. Edit the query to drop a mapped column, re-run, and confirm the stale-role warning names the missing column.</t>
  </si>
  <si>
    <t>T-038</t>
  </si>
  <si>
    <t>Add Widget and Edit Widget open the shared shell in S2 mode</t>
  </si>
  <si>
    <t>CORRECTED IN v2.1. v2.0 said Add and Edit should both reopen WidgetAuthoringPanel. That is the wrong architecture: Chapter 4 5.1.10 says Add Widget is kind picker, then name, then THE SHARED SHELL IN S2 MODE, then preview, then save - not a standalone panel. WidgetAuthoringPanel.tsx is good code and its Rule 1 discipline is exemplary, since every list comes from GET /analytics/dashboard/metadata with zero plant literals. Carry that discipline into the S2 face of the shell rather than preserving the panel as a separate surface. Wire both entry points - the workspace Add widget control and the per-widget Edit control - to the same shell with the current definition loaded. Rename the local state wizardOpen to authoringOpen; wizard is a leftover from a deleted component and the design does not use the word.</t>
  </si>
  <si>
    <t>Create a widget through Add, save, reload, then open Edit on the same widget and confirm every field shows the saved value including query, filters, chart type and role bindings. Confirm both entry points reach the same component - a vitest asserting WidgetAuthoringPanel is no longer rendered as a standalone surface anywhere.</t>
  </si>
  <si>
    <t>T-039</t>
  </si>
  <si>
    <t>Final definition service interface with a compatibility adapter</t>
  </si>
  <si>
    <t>Definition store</t>
  </si>
  <si>
    <t>Chapter 3 4.5.11 specifies one definition_store with definition_versions and definition_dependencies. That table set does not exist; a repository-wide search for definition_store returns zero hits. M1 does not build it. M1 builds the FINAL external contract in front of the current persistence, so M2a can replace the storage without the UI moving. Create IDefinitionService with Create, Update, GetCurrent, GetVersion, ListVersions and Publish, taking a definition kind. CORRECTED IN v2.2: the kind enum was missing S4. The one-shell contract runs S1 to S5, so the enum must carry Transformation (S1), Page, Widget (S2), Analysis (S3), Model (S4) and LogRule (S5), plus the S2 sub-kinds the design also versions - MasterDimension, MasterMeasure, Filter, Hierarchy and Bookmark. Declare the full enum now even where M1 stores only some of them: an external contract that has to gain a member in M2a was never final.</t>
  </si>
  <si>
    <t>An integration test that creates a widget definition through IDefinitionService, reads it back by version, updates it, and confirms two versions exist. The test must not reference any concrete table name, so that it still passes unchanged after M2a replaces the storage - that is the real acceptance criterion. A second test asserting the kind enum contains all eleven members, so the contract cannot quietly narrow.</t>
  </si>
  <si>
    <t>T-040</t>
  </si>
  <si>
    <t>Authoring states, keyboard path, RTL and error wording</t>
  </si>
  <si>
    <t>SEQUENCED IN v2.1: this runs AFTER shell convergence, never before, or it certifies a surface that is about to change. Apply the Golden Gate to both modes of the shared shell. Implement all seven states. Add a full keyboard path: tab order through the four regions, Enter to run, Escape to close. Mirror under RTL using inline-start and inline-end only. Replace any raw error string - src/test/architecture/noRawErrorStrings.test.ts fails on could not load, failed to load, unable to load and loading failed, allowlisting only DataFetchBoundary.tsx and ErrorBoundary.tsx.</t>
  </si>
  <si>
    <t>Run npm run test and the architecture suite; both green. Complete one full authoring scenario using only the keyboard. Switch the document direction to rtl and screenshot both modes.</t>
  </si>
  <si>
    <t>T-041</t>
  </si>
  <si>
    <t>D2 Page Builder, part 1: create a page and reach the shared shell</t>
  </si>
  <si>
    <t>NEW IN v2.1 and it was the single largest omission. Customer beat 2 is add a page, add a widget, edit its SQL, arrange it, show it - and there was no task for the first half. The current PageBuilderPage saves and loads, which is worth keeping, but its widget library is a hardcoded demo set (Risk KPI, Defect breakdown, Defect trend, Date range, List filter) bound to hardcoded sources such as schema_view:risk_summary, and its reducer knows only kpi, bar, line, filter-date and filter-list. That is not the final D2 surface. Build the flow Chapter 4 5.1.9 specifies: Create Page, then page name, code and audience, then an empty 12-column grid, then Add Widget opening the FINAL kind picker, then the shared shell in S2 mode. CORRECTED IN v2.2: widget KINDS are structural product grammar and are FIXED, exactly like chart types and the numeric safety limits - what is customer-driven is dimensions, measures, filters and data, and the chart catalogue arrives from metadata. Serve the kinds from the metadata endpoint if you wish, but do not build an extension path for them. M1 does not need the final definition_store; the adapter from T-039 carries the persistence.</t>
  </si>
  <si>
    <t>From an empty state, create a page, give it a name and code, and land on an empty 12-column grid. Press Add Widget and confirm the picker offers exactly the final structural kind set returned by the metadata endpoint - no more, no fewer, and no compiled list in the reducer. VALIDATION CORRECTED IN v2.2: do not test by adding a kind through the registry, because a customer adding a structural kind is not a design contract. Test instead that the endpoint returns the final allowed kinds and that the reducer contains no hardcoded widget library.</t>
  </si>
  <si>
    <t>T-042</t>
  </si>
  <si>
    <t>D2 Page Builder, part 2: arrange, save layout and publish</t>
  </si>
  <si>
    <t>NEW IN v2.1, second half of the same flow. After a widget is saved from the shared shell it lands on the grid. Implement arrange, save layout and publish per Chapter 4 5.1.9, reusing the existing layout persistence which already serialises and reloads through the API. Publish makes the page visible in the Workspaces navigation group, which is how the customer sees the loop close.</t>
  </si>
  <si>
    <t>Create a page, add two widgets through the shell, arrange them, save the layout, hard-reload, and confirm the arrangement is identical. Publish it and confirm it appears in the Workspaces navigation group. Delete the draft and confirm it does not.</t>
  </si>
  <si>
    <t>T-043</t>
  </si>
  <si>
    <t>Bring the workspace to the final D1 anatomy</t>
  </si>
  <si>
    <t>EXPANDED IN v2.1. v2.0 described header, selections bar, grid and associative strip, and treated the current DashboardFilterBar as the final architecture. Chapter 4 5.1.2 asks for more: header, PERMANENT selection bar, associative strip, SHEET NAVIGATOR, and a 12-column widget grid. It also defines the relationship between a filter WIDGET placed on the page and the page-level selection state, and the as-of and edit semantics. Do not freeze DashboardFilterBar as the final shape - align it to the specified selection bar, and add the sheet navigator so a page with more than one sheet is navigable.</t>
  </si>
  <si>
    <t>Screenshot against the 5.1.2 diagram. Apply three selections and confirm three removable chips appear and that removing one updates every widget. Add a second sheet and confirm the navigator switches between them while the selection bar persists. Place a filter widget on the page and confirm it composes with the page-level selection rather than competing with it.</t>
  </si>
  <si>
    <t>Certify the three operational dashboards and fix their bindings</t>
  </si>
  <si>
    <t>SPLIT IN v2.3 to respect the twelve-hour rule. Part one covers the three OPERATIONAL pages: Production and Shift, Quality and Chemistry, Equipment and Downtime and Flow. The seeded set is already seven and it already matches the intended story, so this is certification, not construction. Working from the coverage matrix, fix each failing widget in this order of preference: correct the widget definition in the seed script; then the chart type; only then the code. A single-row bar chart is a binding defect, not a data shortage - the last audit found Defects by Equipment returning one row, and the remedy there is canonical equipment attribution or relationship resolution, never generating more rows. AUDIT HARDENING IN v2.9.2. Treat presentation semantics as part of the binding contract. A widget is not certified merely because it returns rows: do not present raw GUIDs/technical identifiers when a registry/customer label exists, do not promote `unknown` into a meaningful business category unless the source genuinely carries an unknown bucket, and do not use a dimension whose usable cardinality makes the chart analytically degenerate. Fix the reusable binding/relationship/label path rather than Fleet-v2 screenshot-patching.</t>
  </si>
  <si>
    <t>Every widget on these three pages returns rows and renders the chart type its title implies. Confirm no widget title describes something other than what it plots. The chemistry conditional format draws its limits from the grade specification source data, never from a literal in the product. For every presented widget, record dimension cardinality and the human-readable label source. No raw UUID/GUID is visible where a registry label is resolvable. A Pie/Donut with one effective category, a Heatmap with only one meaningful axis, or a trend whose x-axis is merely an arbitrary date bucket for a non-temporal question fails acceptance even if it renders.</t>
  </si>
  <si>
    <t>Done — evidenced</t>
  </si>
  <si>
    <t>f966719f functional/data closure + 55157a98 EF/runtime migration parity</t>
  </si>
  <si>
    <t>Execution closed; no new design contradiction identified in this pass</t>
  </si>
  <si>
    <t>Certify the analysis and model dashboards and choose the six shown</t>
  </si>
  <si>
    <t>SPLIT IN v2.3, part two. Covers Parameter Deep Analysis, Correlation and Statistical Findings, Risk Intelligence and Model Insights. Correlation is the weakest today - roughly two widgets - and it is the page that should exploit the planted relations hardest. Model Insights must stay honest: if the production model is not ready, show the five readiness dimensions with their measured values beside their thresholds rather than a fabricated prediction curve, because that refusal IS the selling point. Then record the decision: ALL SEVEN are certified, SIX are shown, and which six depends on the audience - an operations-heavy customer sees Risk and Model Insights is held back; a technical customer sees Model Insights and Risk is shortened. Nothing is deleted from the product to make a number. AUDIT HARDENING IN v2.9.2. A technically rendered but information-free visual is not an insight. A flat-zero series, single-slice donut or constant risk-class chart must be rebound to a meaningful supported question, or replaced by the honest readiness/coverage/refusal state that explains why no analytical variation exists. Prefer measured readiness, population, evidence coverage and contributor/refusal semantics over decorative empty charts.</t>
  </si>
  <si>
    <t>Every widget on these four pages returns rows. Confirm Model Insights makes no claim a live model has predicted anything unless one has. Record the primary six, the backup, and the reason for each choice, in the demonstration script. The six customer-facing pages contain no chart whose visible distribution is constant or single-category unless the visual is intentionally and explicitly a readiness/refusal/coverage statement. Model Insights and Risk must communicate measured state and evidence, not create the appearance of intelligence from a constant series.</t>
  </si>
  <si>
    <t>Presentation lane (Workers 1/2)</t>
  </si>
  <si>
    <t>Presentation target is active. Worker 3 must not edit M1 pages, presentation DB/seeds, current assistant wiring or runtime behaviour.</t>
  </si>
  <si>
    <t>Current M1 sequence / presentation owner hand-off</t>
  </si>
  <si>
    <t>T-045-R1 closed: c56008c0 / dd9a6b04 / 39ce59ef / 283aae2c</t>
  </si>
  <si>
    <t>Register the final chart grammar and implement the presentation subset</t>
  </si>
  <si>
    <t>Registry</t>
  </si>
  <si>
    <t>CORRECTED IN v2.1, and this was a real design conflict. v2.0 declared the ten currently implemented chart types as the closed grammar and said do not extend it. Chapter 4 5.1.5 defines seventeen: Bar, stacked Column, Line, Area, Combo, Pie, Donut, Scatter, Heatmap, Pareto, Box plot, Histogram, Gauge, Waterfall, Table, Pivot table and KPI. Freezing ten would show the customer a smaller product than the one they receive. The correction is not to build seventeen renderers in ten days: declare the FINAL seventeen in the registry with an implemented or not-yet-available state, implement only the subset the six presentation pages need, and have the switcher offer compatible implemented types while saying in one sentence why an unavailable or incompatible type is not offered. ORDERED IN v2.2 to run before the six-grammar task, which selects from this registry. AUDIT HARDENING IN v2.9.2. Compatibility is semantic, not only renderer-capability metadata. Encode and test at minimum: temporal+numeric -&gt; Line/Area or appropriate Bar; categorical+numeric -&gt; Bar/Pareto; two meaningful categorical axes plus a measure -&gt; Heatmap; numeric×numeric -&gt; Scatter; numeric distribution -&gt; Histogram/Box; low-cardinality categorical share -&gt; Pie/Donut. Do not offer Pie/Donut-by-date, a Heatmap without two meaningful axes and an intensity, or a one-value categorical Pie merely because the renderer can draw it.</t>
  </si>
  <si>
    <t>The registry returns seventeen chart types. The switcher on a temporal-dimension widget offers only compatible implemented types and gives a reason for each omission. Flip one type from not-yet-available to implemented in the registry and confirm it becomes selectable with no code change. Switch a KPI to Bar and back to KPI and confirm the round trip works. Add known-compatible and known-incompatible binding tests for those pairings. A switcher must explain why an incompatible type is unavailable. Deliberately pass Date+measure to Pie/Donut and one-axis data to Heatmap and prove both are refused before rendering.</t>
  </si>
  <si>
    <t>56ade951 R1 generic heatmap/combo; prior grammar fc146483</t>
  </si>
  <si>
    <t>Give the seven pages distinct visual grammars from the registered grammar</t>
  </si>
  <si>
    <t>Runs AFTER the chart grammar registry, because the grammars are chosen from the FINAL registered set rather than from whichever types happen to be implemented today. Seven pages that are all bar charts read as one page shown seven times. The intended languages, page by page: Production takes KPI with trend, stacked column by shift, bar by grade, area for weekly throughput and a detail table; Quality takes KPI with sparkline, Pareto by defect type, stacked bar by grade, a positional heatmap of defects along coil length and width, and a conditionally formatted chemistry table; Equipment takes bar, Pareto and a paired-column comparison of equipment stoppage against production impact; Parameter Deep Analysis takes histogram, box plot by grade and scatter; Correlation takes a parameter-by-outcome heatmap, a ranked contributor bar and a before-and-after conditioning pair; Risk takes KPI, trend, distribution and a contribution table; Model Insights takes the five readiness dimensions as status cards with coverage bars. AUDIT HARDENING IN v2.9.2. Distinct analytical grammars must still look like one product. Every page uses the same application typography, spacing scale, control primitives, card anatomy, state colours, focus language and motion rules; variation comes from the analytical story and chart grammar, not from page-local design systems.</t>
  </si>
  <si>
    <t>Place the seven pages side by side as screenshots. A reviewer who has not seen the product must be able to say what each page is for from the shapes alone. Every chart type used appears in the registry as implemented. The conditional-formatting table must draw its limits from the grade specification source data, never from a literal in the product. In the seven-page screenshot comparison, reject any page that introduces a different font scale, card language, control styling or motion vocabulary. The pages must be recognisably different in analytical purpose and recognisably identical in product identity.</t>
  </si>
  <si>
    <t>4b431463 semantic/data certification + 3cdd3a23 frontend conformance</t>
  </si>
  <si>
    <t>T-048</t>
  </si>
  <si>
    <t>Associative model, part 1: the alternative state and registry-driven fields</t>
  </si>
  <si>
    <t>SPLIT IN v2.2 by dependency. Part 1 has no dependency outside this phase and runs here; part 2 needs the relationship resolver and runs in M1-P4 after it exists. Do not rebuild the excluded pivot - it already works, an excluded value can be clicked and the selection pivots. The work here is twofold: add the ALTERNATIVE state, which is the fourth state Chapter 4 5.1.3 requires and which is missing today; and make the associative field set registry-driven instead of a fixed list.</t>
  </si>
  <si>
    <t>All four states render distinctly - selected, possible, excluded, alternative - on the token colours, selection Electric Cyan and excluded Muted Steel. Add a dimension through the registry and confirm it appears in the strip with no code change.</t>
  </si>
  <si>
    <t>b687cba4 associative selection states</t>
  </si>
  <si>
    <t>T-049</t>
  </si>
  <si>
    <t>Certify layout drag, resize, save, reload and responsive behaviour</t>
  </si>
  <si>
    <t>REDUCED IN v2.1 from implementation to certification. useDashboardGridLayout and useDashboardLayoutPersistence already serialise, save and reload the grid through the API. The work is hardening and proof, not building: confirm the Save layout control confirms with a toast, that a reload restores exactly what was saved, and that the behaviour holds at 1920x1080, 1440x900 and 1280x800.</t>
  </si>
  <si>
    <t>Move and resize three widgets, save, hard-reload, and confirm the layout is identical. Repeat at each of the three widths. Record a short screen capture into the evidence folder.
v2.10.2 ACCEPTANCE CORRECTION — each viewport is isolated. Snapshot the original persisted layout, perform a relative mutation that is guaranteed to differ from the starting canonical geometry, SAVE and capture the PATCH layoutJson, poll until the DOM converges to the saved active-breakpoint geometry, hard reload, prove GET layoutJson == PATCH layoutJson and poll to the same rendered geometry, then restore the original layout in a finally/cleanup path. 'Changed' means the stable post-save canonical/rendered state, not transient mouse-up pixels. Run 1920x1080, 1440x900 and 1280x800 serially with zero skips and no cross-test state contamination.</t>
  </si>
  <si>
    <t>In Progress</t>
  </si>
  <si>
    <t>v2.10.2 — isolated canonical round-trip acceptance after R1-R4 test-oracle findings</t>
  </si>
  <si>
    <t>In Progress — canonical PATCH/GET persistence proven; final isolated viewport certification and baseline restoration remain.</t>
  </si>
  <si>
    <t>16-Aug-2026 R1–R4: auth/license + canonical persistence green; current work is final test isolation/oracle convergence, not backend persistence.</t>
  </si>
  <si>
    <t>REVISE — important design/coverage issue</t>
  </si>
  <si>
    <t>F-070 [Very Important] — R1-R4 exposed two test-design flaws: viewport runs share the same persisted dashboard and contaminate each other, and transient post-mouse DOM was treated as authoritative changed state even when Save canonicalised/compacted to different geometry.</t>
  </si>
  <si>
    <t>F-070 — Each viewport must snapshot/restore its original layout in finally, mutate relative to its starting state, use PATCH canonical as authoritative changed state, poll DOM to converge after save/reload, and then restore baseline. No more diagnostic-only packs.</t>
  </si>
  <si>
    <t>Presentation lane; Worker 3 only by explicit formal reassignment after zero-overlap + stable-prerequisite check</t>
  </si>
  <si>
    <t>MEDIUM</t>
  </si>
  <si>
    <t>Medium</t>
  </si>
  <si>
    <t>Worker 2</t>
  </si>
  <si>
    <t>Presentation BI/UX + E2E release integration</t>
  </si>
  <si>
    <t>E2E/debug convergence</t>
  </si>
  <si>
    <t>M1-A — parallel foundations</t>
  </si>
  <si>
    <t>GO now. Final isolated certification only; no more diagnostic-only iteration.</t>
  </si>
  <si>
    <t>Own Dashboard/workspace/shared shell/AnalysisToolbox/E2E. No W1 active vertical files; no W3 Jobs/Findings/Assistant files.</t>
  </si>
  <si>
    <t>Commit before downstream consumer starts; consumer must use the contract, not redesign producer-owned semantics.</t>
  </si>
  <si>
    <t>T-050</t>
  </si>
  <si>
    <t>Drill to population, provenance and evidence</t>
  </si>
  <si>
    <t>RETARGETED IN v2.1. The v2.0 assessment of the drawer's visual state was stale, and the real value is not the transition. Focus on the chain: click a point, see the POPULATION behind it, see its PROVENANCE, and reach the source evidence. Correct the off-palette colours to the token set and position the drawer logically with inline-start and inline-end so RTL mirrors correctly. Add the open transition and respect prefers-reduced-motion, but treat that as the smallest part of the task.</t>
  </si>
  <si>
    <t>Click a bar and confirm the drawer lists the underlying population with a resolvable provenance handle and a path to the source rows. Set prefers-reduced-motion and confirm the transition is suppressed. Switch to RTL and confirm the drawer opens from the correct edge. Confirm every colour used appears in the token set.</t>
  </si>
  <si>
    <t>Not Started</t>
  </si>
  <si>
    <t>Frontend/UI feature</t>
  </si>
  <si>
    <t>T-051</t>
  </si>
  <si>
    <t>Widget failure isolation and the seven states</t>
  </si>
  <si>
    <t>Chapter 4 requires that one widget failing never destroys the page, and that filtered-empty is distinguishable from genuinely empty. Wrap each widget in its own boundary and implement all seven states with the correct colour semantics: Blocked and Refused in Amber, Failed in Hot Red, Empty and Filtered-empty in Muted Steel with different wording.</t>
  </si>
  <si>
    <t>Inject a failure into one widget query and confirm the other widgets on the page continue to render and interact. Apply a filter that returns no rows and confirm the widget says the selection returned nothing, not that there is no data.</t>
  </si>
  <si>
    <t>T-052</t>
  </si>
  <si>
    <t>Remove the hardcoded parameter default from the API client</t>
  </si>
  <si>
    <t>Frontend/PlantProcess.Web/src/api/productCoreApiClient.runtime.ts line 300 reads `parameterCode: filters.parameterCode || "CastingSpeed"`. That is a steel-specific literal in product logic and a Rule 1 violation reachable by a customer. Remove the fallback. When no parameter is selected, either omit the field or resolve a default from the parameter registry returned by the metadata endpoint.</t>
  </si>
  <si>
    <t>Grep the whole src tree for CastingSpeed and confirm the only remaining hits are in demo content or test fixtures, never in product code paths. Load a parameter widget with no parameter selected and confirm it either shows a chooser or a registry-resolved default, and does not silently query a steel parameter.</t>
  </si>
  <si>
    <t>T-053</t>
  </si>
  <si>
    <t>Reduce the demonstration navigation and add the inventory ratchet</t>
  </si>
  <si>
    <t>NEW IN v2.3, also from the presented-surface audit. Thirty-five navigation targets were classified and ELEVEN have no Chapter 3 contract, nine of them in the System group: the widget schema-drift diagnostic, author-mapping, four advisory pages, edge collector, historian connector, admin preview, brand, and /assistant once the dock lands. Every one is a surface the customer can open, and any surface opened is a frozen contract. Reduce the demonstration navigation to the entries backing the eighteen presented screens. HIDE the rest behind a configuration flag rather than deleting them - they are M2 retirement debt, not demo-day deletions. Then extend PPIQ-T12 with a fourth assertion: every navigation target resolves to a Chapter 3 contract id read from a checked-in inventory file. The inventory is DATA, so adding a page in M2a is a data change and not a code change.</t>
  </si>
  <si>
    <t>The architecture suite fails when a navigation entry is added whose target is not in the inventory file. Open every navigation group and confirm every entry maps to one of the eighteen screens. Confirm the hidden entries are still reachable by direct URL, so nothing is lost, only unlisted.</t>
  </si>
  <si>
    <t>High</t>
  </si>
  <si>
    <t>M1-B — journey/config surfaces</t>
  </si>
  <si>
    <t>T-054</t>
  </si>
  <si>
    <t>J4 Connections: read-only proof and load budget made visible</t>
  </si>
  <si>
    <t>Connections</t>
  </si>
  <si>
    <t>The connection page must show, for a configured source, that the connection is read-only enforced, what the load budget is, and the result of a live test. The backing facts already exist: connection_profiles carries read_only_enforced, and ThrottlingDataSourceReader evaluates every read against ISourceLoadBudgetProvider and ISourceQueryRateLimiter before it reaches the source. Surface those three facts on the page.</t>
  </si>
  <si>
    <t>Open the page with one configured source, press Test, and confirm three visible outcomes: connection succeeded, read-only enforced true, and the current load budget. Then stop the emulated source container and confirm the failure state names the reason rather than showing a raw exception.</t>
  </si>
  <si>
    <t>Live connection/discovery is valid. Registration may be demonstrated; do not imply a bulk import/projection ran live unless it actually did.</t>
  </si>
  <si>
    <t>Worker 1</t>
  </si>
  <si>
    <t>Presentation data/config verticals</t>
  </si>
  <si>
    <t>Own Connections/Datasets/Import + Relationship/Mapping/Genealogy verticals. No DashboardGridLayout, AnalysisToolbox, Findings/Assistant, or W2 E2E.</t>
  </si>
  <si>
    <t>T-055</t>
  </si>
  <si>
    <t>J5 and J6 Dataset registry browse and watermark suggestion</t>
  </si>
  <si>
    <t>Data integration</t>
  </si>
  <si>
    <t>The Prepare Source for Import page already discovers tables from a live source. Improve schema, table and column search, and make the business key and watermark column suggestions explicit with the reason for each suggestion. Note the demonstration warning: staged tables carry emulator plumbing names such as the generated presentation-staging display name for cast pieces (NOT the donor schema name - `src_*` is retired by then and Chapter 3 forbids calling it staging). Decide deliberately whether to show them with an honest sentence or to present display names; do not discover this live in front of the customer.</t>
  </si>
  <si>
    <t>Register one dataset end to end and confirm the suggested business key and watermark are shown with reasons and can be overridden. Record which naming decision was taken in the traceability matrix.</t>
  </si>
  <si>
    <t>T-056</t>
  </si>
  <si>
    <t>J6 Import progress visibility</t>
  </si>
  <si>
    <t>An import that runs with no visible progress reads as a hang. Add a named progress indication driven by the existing import batch records: batch started, rows staged, batch completed, with the dataset name. Use the activity tray pattern rather than a modal. v2.10.3 RULING: this task certifies the real progress contract, but a live 100k bulk import is not a Presentation RC gate; Chapter 3 permits prepared import state in M1.</t>
  </si>
  <si>
    <t>Certify that real import-batch events drive started / rows-staged / completed progress and correct row counts in an integration environment. For the live M1 presentation, prepared import state is allowed; never claim a bulk import ran live unless it actually did.</t>
  </si>
  <si>
    <t>v2.10.3 — M1 live-bulk-import requirement removed from Presentation RC gate</t>
  </si>
  <si>
    <t>Optional Demo Booster</t>
  </si>
  <si>
    <t>Progress UI contract is useful, but a live 100k bulk import is NOT an Aug-20 presentation gate. Certify the real progress mechanism outside the live demo; M1 may show prepared import state.</t>
  </si>
  <si>
    <t>High if kept as live-demo gate</t>
  </si>
  <si>
    <t>T-057</t>
  </si>
  <si>
    <t>J7 Relationship model vertical slice, part 1: publish one relationship</t>
  </si>
  <si>
    <t>Relationship model</t>
  </si>
  <si>
    <t>Chapter 3 4.5.10 specifies plant_relationships plus members and paths, with sixteen declared consumers. A repository search for plant_relationships returns zero hits, so this does not exist. M1 does not build the whole model. M1 builds the smallest FINAL slice: the three tables with their real columns, and the ability to declare and publish one relationship between two source entities with its members and cardinality. Use the final table and column names from 4.5.10 so M2 extends rather than migrates.
v2.10.2 AUTHORITY CORRECTION — Chapter 3 4.5.10's physical tables cannot be FINAL in M1 because source_definition_id is an FK to definition_store(id), which does not exist until T-089/T-090. M1 therefore freezes the FINAL EXTERNAL relationship contract/service/API and uses compatibility persistence only. Do not create a fake FK or steal definition_store into M1. T-095 owns canonical physical convergence.</t>
  </si>
  <si>
    <t>An integration test that publishes one relationship, reads it back, and asserts it is versioned and marked published. A second test asserting an unpublished relationship is not returned to consumers.
The M1 integration test must not reference a concrete relationship table name. It proves publish/read/version/publication semantics through the service/API so the same test can pass unchanged after T-095 replaces the hidden persistence.</t>
  </si>
  <si>
    <t>T-039 complete; M1 relationship compatibility slice only. Canonical physical relationship schema waits for T-089/T-090/T-095.</t>
  </si>
  <si>
    <t>v2.10.2 — final external contract separated from final physical relationship schema</t>
  </si>
  <si>
    <t>REVISE — critical design/sequencing issue</t>
  </si>
  <si>
    <t>F-052 [Critical] — M1 relationship task calls the three Chapter 3 relationship tables a FINAL physical slice, but Chapter 3 4.5.10 requires source_definition_id -&gt; definition_store(id). definition_store is intentionally absent until T-089/T-090. A physically final M1 table set therefore cannot exist without stealing M2a authority or creating a temporary FK contract.</t>
  </si>
  <si>
    <t>F-052 — T-057 must deliver the final external relationship service/API and M1-compatible persistence only. Do not claim final physical schema. T-095 owns canonical ppiq_meta.plant_relationships/_members/_paths convergence after T-089/T-090. T-058/T-059/T-060 consume the service, never table names.</t>
  </si>
  <si>
    <t>Presentation contract required; NOT booster-safe for physical-schema work until canonical prerequisite exists</t>
  </si>
  <si>
    <t>HIGH</t>
  </si>
  <si>
    <t>M1 freezes the stable external/semantic contract only. Do not create fake final FKs/storage that M2a will replace; canonical physical convergence has an explicit M2a owner.</t>
  </si>
  <si>
    <t>Backend/domain contract</t>
  </si>
  <si>
    <t>T-039 complete; M1 relationship compatibility slice only. Canonical physical ...</t>
  </si>
  <si>
    <t>Commit → W2 may consume relationship contract in T-059; W1 keeps T-060.</t>
  </si>
  <si>
    <t>T-058</t>
  </si>
  <si>
    <t>J7 Relationship model vertical slice, part 2: one resolver consumer</t>
  </si>
  <si>
    <t>Chapter 3 says page and widget associative queries resolve through the published relationship model. Implement the path resolver for the single published relationship and make exactly one widget query use it for a cross-source join, instead of a join written into the widget's own query. This matters because the cross-source correlation is the categorical value proposition and a demonstration that joins inside one dashboard proves the opposite of the product design.</t>
  </si>
  <si>
    <t>Point one widget at data spanning two sources, confirm it renders, then unpublish the relationship and confirm the widget refuses with a named reason instead of silently returning a partial result. Restore and confirm it renders again.</t>
  </si>
  <si>
    <t>T-057 final external relationship contract published; consume service/resolver only, never compatibility table names.</t>
  </si>
  <si>
    <t>v2.10.2 — explicit dependency on T-057 service contract</t>
  </si>
  <si>
    <t>T-057 final external relationship contract published; consume service/resolve...</t>
  </si>
  <si>
    <t>T-059</t>
  </si>
  <si>
    <t>Associative model, part 2: cross-source state through the published relationship</t>
  </si>
  <si>
    <t>SPLIT IN v2.2 and placed here because it DEPENDS on the resolver built immediately above. Make the cross-source associative state resolve through the published relationship model rather than through a join a dashboard owns. Chapter 3 DF7 requires page and widget queries and associative states to resolve through the published model; a selection that spans two sources and works by a dashboard-local join proves the opposite of the product design.</t>
  </si>
  <si>
    <t>Apply a selection that spans two sources and confirm the strip and every widget narrow consistently. Unpublish the relationship and confirm the cross-source state refuses with a named reason rather than silently narrowing to one source.</t>
  </si>
  <si>
    <t>T-048 + T-057 + T-058; cross-source associative state must resolve through the published relationship service.</t>
  </si>
  <si>
    <t>v2.10.2 — explicit relationship-resolver dependency</t>
  </si>
  <si>
    <t>T-048 + T-057 + T-058; cross-source associative state must resolve through th...</t>
  </si>
  <si>
    <t>T-060</t>
  </si>
  <si>
    <t>C6 Relationship Browser, minimal read-only slice</t>
  </si>
  <si>
    <t>NEW IN v2.3. Decision taken at traceability sign-off: show it. The relationship model slice is funded and it is the mechanism that separates this product from a dashboard with joins - a join declared once, published, versioned, and resolved by every consumer. Until now nothing rendered it. Build the smallest honest C6 from Chapter 3 4.4: a read-only list of published relationships, their members, their cardinality and their resolved path, with the evidence for each path. No authoring in M1; authoring is the shared shell in S1. Four hours to make the strongest differentiator visible is the best-value decision on this surface.</t>
  </si>
  <si>
    <t>Open a published relationship and confirm its members, cardinality and path render with evidence. Confirm an unpublished relationship is visibly distinct from a published one. Confirm the page is read-only - no control on it can modify a relationship.</t>
  </si>
  <si>
    <t>T-057 + T-058; C6 reads the relationship service/API, not compatibility table names.</t>
  </si>
  <si>
    <t>v2.10.2 — continuity-safe C6 dependency</t>
  </si>
  <si>
    <t>F-052 [Critical] — M1 relationship task calls the three Chapter 3 relationship tables a FINAL physical slice, but Chapter 3 4.5.10 requires source_definition_id -&gt; definition_store(id). definition_store is intentionally absent until T-089/T-090. A physically final M1 table set therefore cannot exist without stealing M2a authority or creating a temporary FK contract.
F-060 [Very Important] — T-060 builds the M1 C6 route, then T-098 says 'Build the C6 Relationship Browser' again. That wording invites a second page/rebuild rather than hidden-authority convergence.</t>
  </si>
  <si>
    <t>F-052 — T-057 must deliver the final external relationship service/API and M1-compatible persistence only. Do not claim final physical schema. T-095 owns canonical ppiq_meta.plant_relationships/_members/_paths convergence after T-089/T-090. T-058/T-059/T-060 consume the service, never table names.
F-060 — T-098 must complete the already-shown /relationships page in place: preserve route/layout/controls and replace/extend only the canonical relationship source/path evidence.</t>
  </si>
  <si>
    <t>T-057 + T-058; C6 reads the relationship service/API, not compatibility table...</t>
  </si>
  <si>
    <t>T-061</t>
  </si>
  <si>
    <t>C2 Mapping Health, part 1: the typed issue contract and the reprocess API</t>
  </si>
  <si>
    <t>Mapping health</t>
  </si>
  <si>
    <t>CORRECTED IN v2.1. v2.0 said the API exists and only the control is missing. That was wrong. The current MappingHealthPage consumes a source-level SUMMARY only - mapped field count, drift counts, blocking state - from /mapping-health/summary. There is no issue-row model and no typed quarantine or reprocess contract at all. Build the minimal FINAL slice: a typed issue record with a named code, the offending source row as an example, and a reprocess endpoint. Use the final Chapter 3 4.5.14 code names for the classes you implement so M2a adds the remaining PV classes without the contract or the page changing.
v2.10.2 AUTHORITY CORRECTION — 'minimal FINAL slice' means the FINAL DTO/API/error-code/reprocess semantics, not the final projection_quarantine table. The Chapter 3 4.5.14 table depends on canonical staging_records and definition_versions that arrive in T-087/T-089/T-090. M1 may use compatibility persistence behind the final contract, with no table identity exposed to the page.</t>
  </si>
  <si>
    <t>Introduce a deliberately malformed mapping, run the projection, and confirm the API returns issues grouped by a named code with an example row. Call reprocess after correcting the mapping and confirm only the affected rows clear. An integration test asserting the response shape matches the final contract.
Add an architecture/contract assertion that the M1 API/page does not depend on a compatibility table name. T-099/T-100 must later replace persistence without changing this response/action contract.</t>
  </si>
  <si>
    <t>Current M1 projection/mapping compatibility path + stable API seam. Canonical projection_quarantine persistence waits for T-087/T-089/T-090/T-099.</t>
  </si>
  <si>
    <t>v2.10.2 — final API contract separated from canonical quarantine persistence</t>
  </si>
  <si>
    <t>F-054 [Critical] — The final projection_quarantine physical schema requires canonical staging_records and definition_versions. M1 cannot honestly create the final table before T-087/T-089/T-090, yet T-061 currently says 'minimal FINAL slice' and validates real projection/reprocess behavior.</t>
  </si>
  <si>
    <t>F-054 — T-061 owns the final typed DTO/API/error-code/reprocess semantics over compatibility persistence only. T-099/T-100 own canonical projection_quarantine and all 15 PV classes; T-101 completes retry/reprocess and preserves the M1 page contract unchanged.</t>
  </si>
  <si>
    <t>Current M1 projection/mapping compatibility path + stable API seam. Canonical...</t>
  </si>
  <si>
    <t>Commit → W1 consumes in T-062; contract remains stable through M2a convergence.</t>
  </si>
  <si>
    <t>T-062</t>
  </si>
  <si>
    <t>C2 Mapping Health, part 2: the final visible page</t>
  </si>
  <si>
    <t>Build the C2 page shape from Chapter 3 4.4 over the contract above: issues grouped by code, an example row per group, and a Reprocess control. The full fifteen PV classes are M2a work; M1 needs the SHAPE to be final so the customer sees the same page after M2a with more codes in it, not a different page.</t>
  </si>
  <si>
    <t>Walk the page with three issue codes present, reprocess one, and confirm the group clears while the others remain. Confirm the empty state says the mapping is clean rather than that there is no data.</t>
  </si>
  <si>
    <t>T-061 committed final Mapping Health issue/reprocess API contract.</t>
  </si>
  <si>
    <t>v2.10.2 — explicit backend-contract dependency</t>
  </si>
  <si>
    <t>T-063</t>
  </si>
  <si>
    <t>C5 Genealogy: converge the legacy workbench onto the final two-state surface</t>
  </si>
  <si>
    <t>Genealogy</t>
  </si>
  <si>
    <t>EXPANDED IN v2.1. v2.0 said make the landing search work, and estimated six hours. The real gap is larger: /materials currently renders a legacy investigation workbench, which is a different surface from the Chapter 3 4.4 C5 contract of a two-state page - a search state and a selected-unit state opening the bidirectional genealogy thread with attribution weights and evidence. Converge the workbench onto that contract rather than adding a search box to it. Keep the genealogy walk itself, which is strong and trigger-enforced.</t>
  </si>
  <si>
    <t>Search a known material code, open it, walk backward to parents and forward to children, and confirm the attribution weights on each child sum to exactly 1.0 - enforced by a database trigger, so a failure here is a data problem. Confirm the page has exactly two states and that no legacy workbench panel remains reachable from it.
v2.10.2 GENERICITY RATCHeT — the converged C5 page must use generic material-unit vocabulary from data/registry. Product UI/help text must not contain steel-only explanatory wording such as 'coil to heat/melt'. The unit type/native grain shown is data-driven so T-094 does not have to rewrite this page.</t>
  </si>
  <si>
    <t>v2.10.2 — generic material-unit acceptance added</t>
  </si>
  <si>
    <t>F-081 [Very Important] — Current GenealogyThreadPanel still contains steel-specific explanatory copy ('coil to heat/melt') while C5 is a generic material-unit explorer. If T-063 converges layout without removing product vocabulary, T-094 will immediately rework the same surface.</t>
  </si>
  <si>
    <t>F-081 — T-063 acceptance must require generic material-unit labels driven by data/registry and no industry noun in product UI. T-094 remains the whole-product ratchet.</t>
  </si>
  <si>
    <t>T-064</t>
  </si>
  <si>
    <t>Add job_definitions.target_definition_id and the JB error codes</t>
  </si>
  <si>
    <t>Jobs</t>
  </si>
  <si>
    <t>A repository search for target_definition_id returns zero hits. Chapter 3 4.5.5a specifies that a job must declare which definition it runs and under what version policy - a pinned version, or the current published one. Without it a job cannot say what it executes, which blocks J12 and tutorial T7. Add the column with a foreign key, the version policy field, and the JB error domain codes for the failure cases named in 4.5.5a.
v2.10.2 TECH-LEAD RULING — T-064 remains REQUIRED for the M1 presentation/J12/tutorial T7, but only the stable functional/public contract is implemented now. definition_store(id), the canonical FK target, is created in T-089 and bound in T-090, so M1 MUST NOT add a fake FK to inspection_jobs or ppiq_definition_versions and MUST NOT create definition_store early. Carry target_definition_id, target_definition_version, target_version_policy (current_published|pinned), target_parameters, and the executed definition/version into run history through IDefinitionService/compatibility storage. Canonical FK/CHECK/trigger convergence is T-106 after T-089/T-090.</t>
  </si>
  <si>
    <t>VALIDATION CORRECTED IN v2.1: do not test by physically deleting the target definition. Definitions are an immutable versioned authority and a physical delete is not a state the design permits. Test the three states that can actually occur - the target is unpublished, the target id is missing, and a pinned version no longer exists - and confirm each fails with a JB code and a readable sentence. Also confirm the run history records the version actually used.
v2.10.2 ACCEPTANCE CORRECTION — certify all four Chapter 3 refusals: JB01 target-required class with no target; JB02 target surface/job-class mismatch; JB03 pinned version not published or superseded (not 'vanished'); JB04 an attempted definition deletion/retirement operation is refused because jobs target it, naming the jobs. A valid current_published target and a valid pinned target resolve deterministically, target_parameters round-trip, and run history records the exact version executed. No M1 test may require the physical definition_store FK.</t>
  </si>
  <si>
    <t>T-039 final IDefinitionService contract. M1 functional target/version semantics now; canonical physical FK/check/trigger convergence waits for T-089 + T-090 and is completed in T-106.</t>
  </si>
  <si>
    <t>v2.10.2 — M1 semantic contract retained; physical FK deferred to canonical store; JB/target contract completed</t>
  </si>
  <si>
    <t>F-053 [Critical] — T-064 requires a foreign key before the canonical FK target exists. It also omits target_parameters from the Chapter 3 job-target contract and its validation misses JB02/JB04 while describing a pinned version as 'no longer exists' even though published versions are immutable.
F-061 [Critical] — T-064 already says version policy pinned/current-published, while T-106 says 'add the full version policy' again. The duplicate wording leaves ownership of the final DB checks/triggers ambiguous.</t>
  </si>
  <si>
    <t>F-053 — Keep T-064 mandatory for M1/J12/T7, but implement stable semantic fields through IDefinitionService/compatibility storage with no fake FK. Cover target_definition_id, target_definition_version, target_version_policy, target_parameters, executed-version history and JB01-JB04. T-106 performs canonical FK/check/trigger convergence after T-089/T-090 and adds the dependency DAG.
F-061 — T-064 owns the M1 functional/public contract and compatibility semantics. T-106 owns canonical physical convergence after definition_store exists plus job_dependencies/DAG/cycle validation; it must not redesign the visible target/version contract.</t>
  </si>
  <si>
    <t>Worker 3</t>
  </si>
  <si>
    <t>Stable semantic booster — Jobs/Findings/Assistant</t>
  </si>
  <si>
    <t>GO now: T-039 semantic seam exists. M1 semantics only; NO fake FK. Final physical FK belongs to T-106 after T-089/T-090.</t>
  </si>
  <si>
    <t>Own only T-064/T-067/T-076 files. No final M1 DB schema, DashboardGridLayout/AnalysisToolbox, or W1 config verticals.</t>
  </si>
  <si>
    <t>Commit semantic target/version contract → W2 may start T-065; physical FK remains T-106.</t>
  </si>
  <si>
    <t>T-065</t>
  </si>
  <si>
    <t>J12 Analysis authoring: converge onto D3 Analysis Toolbox in S3 mode</t>
  </si>
  <si>
    <t>CORRECTED IN v2.1, and this was a Continuity Test blocker. v2.0 said wire the target and version selector into AnalysisJobConfigPage.tsx. That page has no Chapter 3 owner and is not the canonical surface: Chapter 3 4.4 D3 names /analysis/toolbox as the analysis authoring surface, and the design uses one shared authoring model, so analysis is authored in the shared shell in S3 mode. Showing the customer AnalysisJobConfigPage now and replacing it in M2 breaks the contract they were shown. Keep the existing backend services - AnalysisJobDefinitionEndpoints already provides definition-options, list, get, create, update, run and results - and converge the VISIBLE authoring onto D3 in S3 mode, with the target and version selector from the task above. Remove AnalysisJobConfigPage from the M1 navigation and record it on the M2a retirement list.</t>
  </si>
  <si>
    <t>Author one analysis definition entirely through /analysis/toolbox in S3 mode, attach a target and version, and run it. Confirm the three honest outcomes render distinctly: Completed, Blocked with the measured value beside its threshold in Amber, and Failed in Hot Red. Confirm AnalysisJobConfigPage is unreachable from the navigation used in the presentation. Do not weaken any gate threshold to produce a completion.</t>
  </si>
  <si>
    <t>T-064 M1 functional target/version contract + T-068 registry-driven outcome/grain options. Do not wait for the physical definition_store FK.</t>
  </si>
  <si>
    <t>v2.10.2 — T-068 moved before T-065 to avoid immediate same-file rework</t>
  </si>
  <si>
    <t>F-053 [Critical] — T-064 requires a foreign key before the canonical FK target exists. It also omits target_parameters from the Chapter 3 job-target contract and its validation misses JB02/JB04 while describing a pinned version as 'no longer exists' even though published versions are immutable.
F-056 [Critical] — T-068 explicitly binds the UI to public.ml_outcome_definitions and GET /ml/foundation/outcomes, both compatibility-era authorities. Chapter 3 D3 requires registry-driven definition-options and T-090 later makes SM-06 OutcomeDefinition part of the immutable definition authority.
F-062 [Very Important] — Current order builds the Analysis Toolbox in T-065 while its outcome/grain arrays remain hardcoded, then T-068 immediately rewrites the same page. This violates the no-rework sequencing rule.</t>
  </si>
  <si>
    <t>F-053 — Keep T-064 mandatory for M1/J12/T7, but implement stable semantic fields through IDefinitionService/compatibility storage with no fake FK. Cover target_definition_id, target_definition_version, target_version_policy, target_parameters, executed-version history and JB01-JB04. T-106 performs canonical FK/check/trigger convergence after T-089/T-090 and adds the dependency DAG.
F-056 — T-068 must consume a stable analysis-options/outcome-registry service contract, not a physical table or temporary route. M2a swaps storage behind the contract. Complete T-068 before T-065 so the S3 authoring page is built registry-first instead of being rewritten immediately.
F-062 — Dependency order is T-068 -&gt; T-065. T-065 consumes registry-driven outcome/grain options from first implementation.</t>
  </si>
  <si>
    <t>Registry authority must precede authoring consumption: T-068 before T-065. Visible contract must survive M2a unchanged.</t>
  </si>
  <si>
    <t>M1-C — analysis/readiness/findings</t>
  </si>
  <si>
    <t>T-064 M1 functional target/version contract + T-068 registry-driven outcome/g...</t>
  </si>
  <si>
    <t>T-066</t>
  </si>
  <si>
    <t>One visible readiness authority on Home and Analysis</t>
  </si>
  <si>
    <t>ReadinessGate.cs is complete and correct: five dimensions, thresholds as a record, overall equals the worst dimension via Math.Max over the enum, and every dimension returns a reason string built from the measured value and its threshold. Today that authority is not visible in one place. Build one readiness panel showing the five dimensions, each with its measured value beside its threshold and its state, and place it on both Home and the Analysis surface reading from the same endpoint.
v2.10.2 CONTINUITY CORRECTION — the visible panel must consume the canonical external route GET /api/readiness/evaluate (compatibility-backed during M1), not expose /api/ml/foundation/readiness as the customer contract. Canonical tenant/outcome threshold persistence and governed changes are owned by T-195.</t>
  </si>
  <si>
    <t>Compare the panel against a direct call to GET /api/ml/foundation/readiness. Every number on screen must match the API response exactly. Change one threshold in configuration and confirm the panel moves, proving it is not a static rendering.
Compare the panel against GET /api/readiness/evaluate. During M1 a compatibility adapter may supply the same payload; after T-195 the identical visible contract must resolve from canonical readiness_thresholds/change history without UI changes.</t>
  </si>
  <si>
    <t>T-065 final D3 Analysis Toolbox surface; M1 compatibility readiness evaluator available. Canonical threshold persistence later T-195.</t>
  </si>
  <si>
    <t>v2.10.2 — stable readiness API facade + canonical threshold owner separated</t>
  </si>
  <si>
    <t>F-055 [Critical] — M1 T-066 certifies /api/ml/foundation/readiness, while the final Chapter 3 authority is /api/readiness/evaluate plus readiness_thresholds/readiness_threshold_changes and governed PUT semantics. No existing backlog task owns the canonical threshold persistence/change-history contract.</t>
  </si>
  <si>
    <t>F-055 — T-066 must render through the stable /api/readiness/evaluate facade (compatibility-backed in M1). Add T-195 for canonical tenant/outcome readiness thresholds, change history, fail-closed evaluation and governed updates before canonical readiness/model cutover.</t>
  </si>
  <si>
    <t>T-065 final D3 Analysis Toolbox surface; M1 compatibility readiness evaluator...</t>
  </si>
  <si>
    <t>Commit → release W3 to T-067.</t>
  </si>
  <si>
    <t>T-067</t>
  </si>
  <si>
    <t>Findings evidence panel, registry-driven throughout</t>
  </si>
  <si>
    <t>EXPANDED IN v2.1. A finding must open into its evidence: method, population, effect size, q-value after Benjamini-Hochberg, whether it survived stratification, and a path to the source rows. StatisticalDiscipline.cs already produces the ranking by absolute effect size with the p-value only as a tie-breaker at q equal to 0.05. Render what the engine computes. ADDED IN v2.1: the page's initial outcome and parameter state must come from the registry as well, not from a hardcoded default - a page that opens on a literal is the same Rule 1 defect as a dropdown built from one.</t>
  </si>
  <si>
    <t>Open the strongest finding and confirm all six elements are present. Confirm the ordering is by effect size and not p-value, by comparing against the API response. Change the registry's default outcome and confirm the page opens on the new one with no code change.</t>
  </si>
  <si>
    <t>T-050 provenance/evidence drill + T-065 D3 authoring contract + T-066 visible readiness authority.</t>
  </si>
  <si>
    <t>v2.10.2 — explicit evidence/readiness dependencies</t>
  </si>
  <si>
    <t>WAIT for T-050 + T-065 + T-066 commits; then W3 owns Findings files exclusively.</t>
  </si>
  <si>
    <t>Commit → P4 may close once all other P4 tasks green.</t>
  </si>
  <si>
    <t>T-068</t>
  </si>
  <si>
    <t>Retire the hardcoded outcome and grain arrays</t>
  </si>
  <si>
    <t>Frontend/PlantProcess.Web/src/pages/Analysis/AnalysisToolboxPage.tsx line 18 declares OUTCOMES as a literal array of four steel-specific keys, and line 19 declares GRAINS as ["coil", "slab", "heat"]. A server registry already exists: table public.ml_outcome_definitions is exposed at GET /ml/foundation/outcomes by MlFoundationEndpoints.cs and carries the grain per outcome. AnalysisJobConfigPage already consumes it. Replace both arrays with the registry call and take the grain from the selected outcome's registry row rather than defaulting.
v2.10.2 AUTHORITY CORRECTION — remove the literals through the stable analysis-options/outcome-registry contract used by D3 (for example /api/analysis-jobs/definition-options or the canonical /api/analyses/options facade), not by binding React to public.ml_outcome_definitions or the compatibility-era /ml/foundation/outcomes route. The physical outcome representation is allowed to change in T-090/T-147 with no frontend rewrite.</t>
  </si>
  <si>
    <t>Confirm the dropdown contents match the API response exactly. Add a registry row through the API and confirm it appears in the UI with no code change, which is the Rule 1 acceptance test. Also confirm no server code path falls back to the grain literal 'coil' when the outcome declares a different grain.
The acceptance test adds/changes a registered outcome through the service/API contract and proves the UI follows without code change. Add an architecture assertion that AnalysisToolboxPage does not know the physical outcome table and has no fallback literal 'coil'. This task must close before T-065.</t>
  </si>
  <si>
    <t>T-039 definition-service/registry seam; complete BEFORE T-065. Canonical SM-06 storage convergence remains T-090/T-147.</t>
  </si>
  <si>
    <t>v2.10.2 — stable registry contract; no direct temporary outcome-table authority; reordered before T-065</t>
  </si>
  <si>
    <t>F-056 [Critical] — T-068 explicitly binds the UI to public.ml_outcome_definitions and GET /ml/foundation/outcomes, both compatibility-era authorities. Chapter 3 D3 requires registry-driven definition-options and T-090 later makes SM-06 OutcomeDefinition part of the immutable definition authority.
F-059 [Critical] — T-094 says rename the canonical grain literal 'coil' to one generic term. The frozen design does not have one generic grain: it has material_unit_type_definitions, native_grain and dynamic outcome/model grain_code. Replacing 'coil' with 'material' would preserve the same architectural error under a new word.
F-062 [Very Important] — Current order builds the Analysis Toolbox in T-065 while its outcome/grain arrays remain hardcoded, then T-068 immediately rewrites the same page. This violates the no-rework sequencing rule.</t>
  </si>
  <si>
    <t>F-056 — T-068 must consume a stable analysis-options/outcome-registry service contract, not a physical table or temporary route. M2a swaps storage behind the contract. Complete T-068 before T-065 so the S3 authoring page is built registry-first instead of being rewritten immediately.
F-059 — Remove hardcoded/default coil semantics. Preserve customer-declared multi-grain unit types and outcome-specific grain_code. Rename T-094 scope from 'rename canonical grain' to 'remove hardcoded canonical grain default and bind to registry/material-unit authority'.
F-062 — Dependency order is T-068 -&gt; T-065. T-065 consumes registry-driven outcome/grain options from first implementation.</t>
  </si>
  <si>
    <t>T-039 definition-service/registry seam; complete BEFORE T-065. Canonical SM-0...</t>
  </si>
  <si>
    <t>T-069</t>
  </si>
  <si>
    <t>Website, part 1: the five-product information architecture</t>
  </si>
  <si>
    <t>Website</t>
  </si>
  <si>
    <t>Public site</t>
  </si>
  <si>
    <t>CORRECTED IN v2.1, and this was a material visible-contract error. v2.0 said do not open /products/:code because the wrong architecture is an M2 or M3 fix. That is demo avoidance, not design conformance: the customer sees the header, the navigation and the company positioning whether or not a product route is clicked, and Chapter 6 6.2 states plainly that SOU has FIVE separate products - PlantProcess IQ, MES, QES, Yard and Warehouse Management, Energy Management - with PPIQ as the flagship but NOT as the company and NOT as a container around the other four. The current site is deliberately the opposite: it removes direct product navigation and a validator asserts they are removed. Correct the visible architecture now. This is not a rebuild - Chapter 6 6.2.0 keeps 18 components as-is, enhances 9, and replaces exactly one, LegacyProductRoute. Add the Products mega-menu and the portfolio page, remove the assertion that the sibling products must not exist, and replace the redirect.</t>
  </si>
  <si>
    <t>The header shows a Products menu listing five products. The portfolio page presents five, with PPIQ as flagship and none of the other four described as a PPIQ capability pack. Update the validator that currently asserts their removal - a test that pins the wrong architecture is worse than no test. Confirm no claim on any product page violates the Chapter 6 6.2.10 honesty rule.</t>
  </si>
  <si>
    <t>T-070</t>
  </si>
  <si>
    <t>Website, part 2: polish the presentation routes</t>
  </si>
  <si>
    <t>With the architecture corrected, polish only the routes you will actually open: home, the PPIQ narrative, proof, security and the call to action. Preserve the components the Chapter 6 audit marked keep: HeroTopology, GoldenThread, TrustEngine, SignalVsNoise, useScrollDraw, RoiCalculator, RequestDemoForm, ConnectorHonestyBlock and PositioningTruthBlock. AUDIT HARDENING IN v2.9.2. The strongest existing polished website section is the minimum visual authority for every route touched here. Preserve one premium industrial/high-tech system across typography, spacing, node/card geometry, border radius, glow depth, cyan/green accent behaviour, graphical connector language and motion. Fix visible mojibake or HTML entities on the presented routes rather than carrying them into the meeting. New sections may extend the design system but never introduce a weaker second visual language.</t>
  </si>
  <si>
    <t>Click every link on every route you will open and confirm none is dead. Check desktop, mobile and keyboard navigation on those routes. Confirm no page shows a blocker, an unfinished item or a failed test, per the standing website honesty rule. Add a side-by-side visual comparison against the strongest existing website section at desktop and mobile. No text overflow, low-contrast text, disconnected graphical wires, raw HTML entities or encoding damage. Motion communicates data/system flow and respects `prefers-reduced-motion`. If a new section makes the company look less sophisticated than the reference section, T-070 is not done.</t>
  </si>
  <si>
    <t>Build the G1 persistent assistant dock</t>
  </si>
  <si>
    <t>Chatbot</t>
  </si>
  <si>
    <t>Chapter 4 5.7.1 specifies a persistent dock present on every authenticated page, not a route. Today Frontend/PlantProcess.Web/src/components/assistant/AssistantChat.tsx is rendered by exactly one page, Phase8/AssistantRuntimePage.tsx. Move the chat into a dock shell mounted in AppLayout so it is available on every authenticated presentation surface, with a collapsed and expanded state. This is a visible-contract item: shipping a separate page in M1 and a dock after M2 would fail the Customer Contract Continuity Test. AUDIT HARDENING IN v2.9.2. The dock's configuration/provider path is authentication-aware. Do not fire a protected assistant-configuration request before the authenticated token/session is available; lazy-load or gate it through the authenticated layout lifecycle so the first open does not produce a transient 401 that disappears only after retry.</t>
  </si>
  <si>
    <t>Open the dock on at least five different pages and confirm the conversation persists across navigation. Confirm the collapsed state does not obscure any control. Add a vitest asserting the dock renders inside the authenticated layout and not as a route element. From a fresh browser session, log in and open the assistant for the first time. The network log contains no assistant/configuration 401, the dock reaches its ready state without manual retry, and the same remains true after hard reload.</t>
  </si>
  <si>
    <t>Assistant answers must be grounded and permission-safe. Unsupported precision must refuse; 'meaningful but inaccurate' is NOT an acceptable M1 contract.</t>
  </si>
  <si>
    <t>Page and widget context envelope</t>
  </si>
  <si>
    <t>The assistant must know what the user is looking at. Extend the ask request so the client sends a context envelope: current route, page code, focused widget code, active selections and filters, and the widget's own last result summary with its evidence handles. The endpoint is POST /api/assistant/ask in Backend/PlantProcess.Api/Endpoints/Assistant/AssistantEndpoints.cs, which already accepts ContextChips. Use the context to narrow retrieval rather than to answer.</t>
  </si>
  <si>
    <t>Ask the same question on two different pages and confirm the retrieved evidence differs. Assert in an integration test that the context reaches the retrieval call and that no context field is echoed into the answer text unverified.</t>
  </si>
  <si>
    <t>Add the page and widget chunk family to the retrieval corpus</t>
  </si>
  <si>
    <t>AI+ML</t>
  </si>
  <si>
    <t>This is the single highest-value change in the sprint. Backend/PlantProcess.Infrastructure/Assistant/CanonicalChunkProducer.cs currently builds only five chunk families: CONNECTOR, DATASET and MAPPING from configuration, DOC for the honesty contract, and FINDING for the latest correlation results. Nothing describes what is on the page. Add a family that emits one true sentence per widget result, for example: 'On page Quality Monitoring, widget Defect rate by equipment shows EAF 3.4 per square metre and Caster 1.9 per square metre for June 2026, over 1,284 coils.' Every number in that sentence must come from a real query result and carry an evidence handle. Then rebuild the index through the existing POST /api/assistant/reindex endpoint, which is already wired to this producer through NpgsqlRetrievalIndex. This matters because GroundingService blocks any sentence containing a number not present in retrieved evidence, so without this family the assistant refuses every question about a chart.</t>
  </si>
  <si>
    <t>Reindex, then ask 'what does this chart show' on three different pages and confirm each answer contains numbers that match the widget on screen and carries at least one citation. Then delete the new chunks, reindex, and confirm the assistant returns the honest refusal rather than inventing an answer. Both behaviours must be demonstrable.</t>
  </si>
  <si>
    <t>Registry-typed quantity guard on assistant answers</t>
  </si>
  <si>
    <t>GroundingService.Enforce already blocks any sentence with a number absent from the retrieved claims and blocks the phrases 'root cause', 'is caused by', 'will cause', 'guaranteed' and 'will save'. Add a typed layer above it: when the question names a quantity that exists in the parameter registry, validate the answer's unit, sign and range against the registry row for that parameter. Reject a date where a speed was asked for, a mass where a speed was asked for, and a negative value where the registry declares a positive range.</t>
  </si>
  <si>
    <t>Unit tests feeding a crafted draft for each rejection case and asserting the sentence is blocked. Then a live check: ask for a casting speed and confirm the answer either gives a speed with the registry's unit, gives an evidence band, or refuses. It must never return a date or a mass.</t>
  </si>
  <si>
    <t>Citation chips, evidence strip and suggested questions</t>
  </si>
  <si>
    <t>Render each citation as a chip that expands to its evidence, add an evidence strip under the answer, and add an Open in page action that navigates to the surface the evidence came from. Add three to five suggested starter questions derived from the current page context so a live demonstration has a safe opening move.</t>
  </si>
  <si>
    <t>Click a citation chip and confirm it expands to the underlying evidence. Click Open in page and confirm it navigates to the correct surface with the relevant selection applied. Confirm suggested questions change between two different pages.</t>
  </si>
  <si>
    <t>Certified question pack and offline fallback</t>
  </si>
  <si>
    <t>Prepare 10 to 15 questions whose evidence is known to exist, covering at least three pages, and record for each the expected answer shape: a value with a unit, an evidence band with a record count, a conditional answer naming what would narrow it, or an honest refusal. These are not scripted answers; they are a known-good evidence landscape. Select two or three for live use. Prepare the offline path so a network failure downgrades to the extractive model rather than to an error.</t>
  </si>
  <si>
    <t>Run all 10 to 15 twice, once online and once with the model endpoint unreachable, and record both answers. Any question that refuses in both runs is removed from the live set.</t>
  </si>
  <si>
    <t>M1-P3 T-049..T-052 closed + M1-P4 T-053..T-068 closed; certify the frozen visible Assistant contract only.</t>
  </si>
  <si>
    <t>v2.10.2 — explicit presentation-freeze gate</t>
  </si>
  <si>
    <t>AI documentation/static analysis</t>
  </si>
  <si>
    <t>M1-D — certification/release freeze</t>
  </si>
  <si>
    <t>WAIT for T-053..T-068 frozen/closed; then certify Assistant against frozen M1 contract.</t>
  </si>
  <si>
    <t>Commit → W2 starts T-077 golden journey.</t>
  </si>
  <si>
    <t>T-077</t>
  </si>
  <si>
    <t>One Playwright journey covering all six beats</t>
  </si>
  <si>
    <t>E2E</t>
  </si>
  <si>
    <t>Write a single spec that walks the whole demonstration: connect, register a dataset, import, map and publish the relationship, open genealogy, create a page, add a widget through the shared shell, edit its query, save, open the six dashboards, cross-filter, run an analysis and see the readiness outcome, ask the assistant a question on a page, open the evidence, and open the website routes. The existing E2E stage in the Jenkinsfile already runs the full Playwright suite through deploy/scripts/ci-e2e-stack.sh, so this spec joins a gate that actually executes.</t>
  </si>
  <si>
    <t>VALIDATION CORRECTED IN v2.1: clean database means a FRESHLY REBUILT ppiq_presentation, produced by Rebuild-PresentationDb.ps1 - not an empty installation. The demonstration runs on prepared data by design, so an empty-install precondition would test something the presentation never does. The spec passes twice consecutively from a fresh rebuild. A deliberate break in any beat fails the spec at that beat with a readable assertion message.</t>
  </si>
  <si>
    <t>T-053..T-076 complete; journey runs only after final M1 visible surfaces/contracts are frozen.</t>
  </si>
  <si>
    <t>v2.10.2 — explicit six-beat journey gate</t>
  </si>
  <si>
    <t>Golden journey runs on freshly rebuilt prepared ppiq_presentation. Do not require live bulk import merely to prove the presentation.</t>
  </si>
  <si>
    <t>Integration/E2E/certification</t>
  </si>
  <si>
    <t>T-053..T-076 complete; journey runs only after final M1 visible surfaces/cont...</t>
  </si>
  <si>
    <t>T-078</t>
  </si>
  <si>
    <t>Execute visual regression and accessibility on the presented routes</t>
  </si>
  <si>
    <t>Visual and a11y</t>
  </si>
  <si>
    <t>package.json already defines test:visual and test:a11y as genuine Playwright invocations, but nothing in the pipeline calls them, and tools/ci/validate-real-ui-gates.cjs invokes them with --list, so it verifies the gates exist rather than that they pass. Also package.json line 84 defines phase9:matrix with --list. Point the visual and accessibility specs at the presentation routes and run them for real. Remove the --list flags from validate-real-ui-gates.cjs.</t>
  </si>
  <si>
    <t>Both suites run and pass on every presented route. Confirm by deliberately introducing a contrast failure and checking the accessibility suite goes red, then reverting. The first run on a machine writes visual baselines and reports them as failures; that is expected and the second run is the real one.</t>
  </si>
  <si>
    <t>T-077 golden journey green; run visual/a11y against the final presented routes.</t>
  </si>
  <si>
    <t>v2.10.2 — explicit final-route dependency</t>
  </si>
  <si>
    <t>T-079</t>
  </si>
  <si>
    <t>Failure injection suite</t>
  </si>
  <si>
    <t>Rehearse the failures that are most likely to happen live: one widget query fails while the page keeps working; the assistant refuses because evidence is missing; the API is restarted mid-demonstration; a filter selection returns no rows; the model endpoint is unreachable. Each must produce a designed state, not a stack trace.</t>
  </si>
  <si>
    <t>Five scripted injections, each with a screenshot of the resulting state in the evidence folder, each showing a sentence rather than a raw error. A red outline with no sentence beside it is a failure of the specification, not an acceptable outcome.</t>
  </si>
  <si>
    <t>T-077 green + final M1 runtime/environment available; inject failures only after the visible contract is frozen.</t>
  </si>
  <si>
    <t>v2.10.2 — explicit final-contract dependency</t>
  </si>
  <si>
    <t>T-077 green + final M1 runtime/environment available; inject failures only af...</t>
  </si>
  <si>
    <t>T-080</t>
  </si>
  <si>
    <t>Capture the Customer Contract Continuity snapshots</t>
  </si>
  <si>
    <t>Continuity</t>
  </si>
  <si>
    <t>On the last day of M1, capture the visible contract: a screenshot of every presented page, the navigation tree, control positions, the Add Widget and Edit Widget flow, the wiring and SQL modes, the assistant dock, the engine surfaces, any logging surface shown, and the website routes. Store them under docs/m1/continuity/ with a manifest naming each file and the route it came from.</t>
  </si>
  <si>
    <t>The manifest covers every row of the traceability matrix. This set becomes the regression truth for M2: after M2 the comparison must show no change to navigation, control placement, authoring flow, terminology or refusal semantics. Additions and speed improvements are allowed; replacements are not.</t>
  </si>
  <si>
    <t>T-076..T-079 complete; capture continuity only from the final M1 presentation state.</t>
  </si>
  <si>
    <t>v2.10.2 — continuity snapshot gate tightened</t>
  </si>
  <si>
    <t>Mandatory presentation-freeze/rehearsal evidence before calling the 20-Aug package presentation-ready.</t>
  </si>
  <si>
    <t>T-076..T-079 complete; capture continuity only from the final M1 presentation...</t>
  </si>
  <si>
    <t>T-081</t>
  </si>
  <si>
    <t>Write the screen-by-screen demonstration script</t>
  </si>
  <si>
    <t>Rehearsal</t>
  </si>
  <si>
    <t>Write docs/m1/DEMO_SCRIPT.md as a numbered list of screens in the order they will be opened, and for each screen the one or two sentences said while it is on screen, the exact clicks in order, and the expected on-screen result. Mark each of the six beats and its boundary. Include the deliberate cuts as written decisions so they are decisions rather than discoveries in the room: J1 to J3 narrated as commissioning; no login screen; no euro value figure; no live licence tier toggle unless the 30-minute check on LicenseUsagePanel proves it works. CORRECTED IN v2.1: the line 'never open /products/:code' is REMOVED. After the website architecture correction the product pages are part of the story, not a hazard to avoid. Add the two standing warnings: launch with -Profile presentation, and the staged tables carry emulator names such as the generated presentation-staging display name for cast pieces (NOT the donor schema name - `src_*` is retired by then and Chapter 3 forbids calling it staging).</t>
  </si>
  <si>
    <t>Read the script aloud against a clock without touching the product; it must fit the meeting slot. Then walk the product with the script in hand and confirm every click named exists and produces the stated result. Any mismatch is a defect in the product or the script, and both are fixed before the first rehearsal.</t>
  </si>
  <si>
    <t>T-080 final continuity snapshots captured.</t>
  </si>
  <si>
    <t>v2.10.2 — demo script follows frozen customer contract</t>
  </si>
  <si>
    <t>T-082</t>
  </si>
  <si>
    <t>Presentation environment preparation and clean-start verification</t>
  </si>
  <si>
    <t>Prepare the machine that will run the demonstration and prove it starts clean, twice. Fixed browser profile with notifications, extensions and update prompts disabled; fixed window size and zoom matching the resolution rehearsed at; emulated source containers started and healthy; API launched with -Profile presentation and verified against GET /api/ml/foundation/readiness; the web app served from a production build rather than a dev server; ports free; screen sleep and screensaver disabled. Note that scripts/run/start-api.ps1 defaults to -Profile local, which resolves to ppiq_app and reproduces an empty Findings page in front of the customer.</t>
  </si>
  <si>
    <t>Cold-boot the machine and reach the first demonstration screen following only a written checklist, twice, timing both. Record both timings. If the second run needs a step that is not on the checklist, the checklist is wrong.</t>
  </si>
  <si>
    <t>T-076..T-081 complete; environment preparation validates the frozen presentation package.</t>
  </si>
  <si>
    <t>v2.10.2 — explicit certification dependency</t>
  </si>
  <si>
    <t>Infrastructure/deployment</t>
  </si>
  <si>
    <t>T-076..T-081 complete; environment preparation validates the frozen presentat...</t>
  </si>
  <si>
    <t>T-083</t>
  </si>
  <si>
    <t>Three rehearsals, hostile hands and the fallback package</t>
  </si>
  <si>
    <t>Three full timed rehearsals from a clean laptop boot, of which one is run by someone else holding the mouse and trying to break it. Then assemble the fallback package: a database backup, a short screen recording of each beat, and still images of the key screens, so a hardware or network failure does not end the meeting. Time the journey narration against a clock, since fifteen steps at two to three minutes each is thirty-seven minutes of continuous talking.</t>
  </si>
  <si>
    <t>Two consecutive rehearsals complete with no surprise. The hostile-hands run produces a defect list that is either fixed or explicitly accepted in writing. The fallback package exists on a second device.</t>
  </si>
  <si>
    <t>T-082 clean-start presentation environment green; then rehearse/fallback package.</t>
  </si>
  <si>
    <t>v2.10.2 — explicit rehearsal gate</t>
  </si>
  <si>
    <t>T-082 clean-start presentation environment green; then rehearse/fallback pack...</t>
  </si>
  <si>
    <t>T-084</t>
  </si>
  <si>
    <t>Emit the frozen Fleet v2 into native customer-source fixtures</t>
  </si>
  <si>
    <t>NEW IN v2.9, and it is the M1 to M2 convergence operation. The certified Fleet v2 truth must become the customer-source dataset, and the sources are heterogeneous, so THIS IS GENERATION AND NOT BACKUP AND RESTORE. A PostgreSQL dump of the presentation staging schema cannot be restored into Oracle or SQL Server, and attempting it is how a single-engine shortcut becomes an architecture. Emit native fixtures for each source from the SAME frozen generator: PostgreSQL, Oracle, SQL Server, MySQL, the QA file source and the yard file source, each in that engine's own types, identifier rules and file conventions. Estimated at 10 hours as four database emitters at about two hours each plus two file emitters at about one hour, derived from the target count rather than fitted to the phase.</t>
  </si>
  <si>
    <t>One frozen generator emits all six native fixture sets from one seed. Each fixture set loads cleanly into its own engine and the loaded content matches the certified Fleet v2 truth on row counts, column sets and every categorical distribution. No fixture is produced by exporting another engine's data. A second emission from the same seed is byte-identical. The emitter is committed with its fixtures, so the customer sources are reproducible from source control.</t>
  </si>
  <si>
    <t>Core platform / presentation-core lane</t>
  </si>
  <si>
    <t>NOT W3 PRIMARY</t>
  </si>
  <si>
    <t>Do not assign to Worker 3 unless a specific AI/ML integration hand-off is requested.</t>
  </si>
  <si>
    <t>M2a dependency order</t>
  </si>
  <si>
    <t>Track 2 — Real Customer Product</t>
  </si>
  <si>
    <t>2026-09-30 Customer Pilot RC</t>
  </si>
  <si>
    <t>Customer Release</t>
  </si>
  <si>
    <t>Real generic product on canonical ppiq_staging / ppiq_meta / ppiq_plant. No customer/demo vocabulary, no prepared plant rows on clean install.</t>
  </si>
  <si>
    <t>Canonical core platform — DB/backend/security/infra</t>
  </si>
  <si>
    <t>M2A-0 — source fixtures</t>
  </si>
  <si>
    <t>WAIT for Presentation RC freeze/tag + clean index/worktree. Then: M2a dependency order</t>
  </si>
  <si>
    <t>Own canonical DB/backend/security/API/infra. No W2-owned UI/admin task files and no W3 ML/Assistant runtime.</t>
  </si>
  <si>
    <t>T-085</t>
  </si>
  <si>
    <t>Clean-room rebuild of the Fleet v2 emulator sources from source control</t>
  </si>
  <si>
    <t>NEW IN v2.7, and it exists because the dataset changed job. Presentation Fleet v2 is not disposable presentation data that ends with the customer meeting - from here it is the CONTROLLED REFERENCE PLANT that every M2 intelligence feature is developed and benchmarked against. That only means something if it is reproducible, so this task proves it is, BEFORE substantial M2 feature work starts. Destroy the emulator state and rebuild it: recreate the emulated PostgreSQL, Oracle, MSSQL, MySQL and file-based customer sources from a CLEAN state using only the committed generator and fixtures - down with volumes, not stop - then prove their structures and key populations. NO IMPORTANT STATE MAY EXIST ONLY IN A DOCKER VOLUME OR ONLY IN ppiq_presentation. Then consume the rebuilt fleet into a FRESH PPIQ database through the product path: discovery, register, import, staging, mappings, canonical, genealogy. DIRECT CANONICAL SEEDING IS NOT A VALID PATH FOR THIS PROOF. THE T-010 READING THAT 106,272 CANONICAL AGAINST 16,640 STAGED PROVED DIRECT SEEDING IS WITHDRAWN - the T-013 measurement showed the M1 database held THREE GENERATIONS of the same fleet at once: the newer enhanced source-shaped donor schemas, an older and roughly three times larger dump population, and canonical rows corresponding to that older imported generation. This task exists to eliminate GENERATION DRIFT, so that one Fleet v2 truth reaches every layer through the one path. This task does NOT redesign the dataset; T-027 already validated it.</t>
  </si>
  <si>
    <t>Every emulator source comes up from nothing and reports its expected structures and populations. Every M1 source-side enhancement survives the rebuild - the enhanced defect catalogue and its Pareto shape, the required chemistry elements, the customer grade specifications, the shift and crew calendar and its behaviour, maintenance and campaign regimes, equipment personality, the downtime stopped-time and production-impact semantics, stable source identities and provenance, negative controls, confounders, temporal regimes and complete genealogy. Row counts at source, staging and canonical with every difference explained. A sampled unit resolves from canonical back to its source record.</t>
  </si>
  <si>
    <t>DB/schema/migration</t>
  </si>
  <si>
    <t>T-086</t>
  </si>
  <si>
    <t>Freeze and certify Fleet v2 as the M2 reference validation dataset</t>
  </si>
  <si>
    <t>NEW IN v2.7, and it carries the rule that matters more than the manifest. Version and freeze the phenomenon manifest from M1 with its PREDECLARED expected direction, effect bands, minimum populations, conditioning variables and negative controls. M2 ALGORITHMS MUST DISCOVER OR HONESTLY REFUSE THESE BEHAVIOURS; THEY MUST NEVER KNOW THE ANSWERS FROM CODE. Write a machine-readable M2 baseline manifest recording dataset version, generator version and seed, source schema versions, important source row counts and cardinalities, phenomenon ids, expected population ranges, negative controls, genealogy and conservation checks, and fixture identity hashes where useful. THEN THE IMMUTABILITY CONTRACT, which is the point of the whole task: during M2 the baseline is NOT modified every time an algorithm disappoints. If a feature cannot recover a behaviour the certified dataset genuinely contains, THAT IS A PRODUCT FINDING, not permission to tune the data until the test passes. Adding correlation to the generator so the optimiser succeeds is how a benchmark stops measuring anything. If M2 later needs new scenarios, create a VERSIONED EXTENSION - Fleet v2.1 or v3 - and never silently change the certified M1 baseline.</t>
  </si>
  <si>
    <t>The manifest exists, is machine-readable, and a harness run against the certified fleet reproduces the M1 result. The immutability contract is written into the repository where a developer will meet it, not only in the backlog. A named test asserts the baseline fixture identity, so a silent change to the certified dataset fails rather than passing quietly. State plainly which questions this baseline is meant to answer - does the engine recover the known good operating region while accounting for grade, equipment, shift and confounding; does practice learning recover the planted behaviour and reject the negative control; does readiness answer where support is sufficient and refuse where it is not. BENCHMARK HARDENING, because a reference dataset that only freezes phenomena cannot support an optimiser: every case carries a `benchmark_case_id`; the controllable parameters are named with their safe bounds; a known-good and a known-bad operating region are declared; an optimisation tolerance states how close a result must land to count as recovered; the units are split deterministically into development, validation and HOLDOUT, and the holdout is not readable by any development run; the expected refusal conditions are declared so an honest refusal is a pass rather than a failure; and TEST-ONLY TRUTH MUST NOT ENTER THE PRODUCTION RUNTIME - a named test asserts that no planted answer, holdout label or benchmark expectation is reachable from product code.</t>
  </si>
  <si>
    <t>T-087</t>
  </si>
  <si>
    <t>Physical three-schema migration</t>
  </si>
  <si>
    <t>Schema</t>
  </si>
  <si>
    <t>The measured database carries twelve schemas with 162 tables in public, of which 108 use a ppiq_ name prefix, while the ruled schemas ppiq_plant and ppiq_meta exist and hold zero tables. Migrate to the three ruled schemas: ppiq_staging, ppiq_plant, ppiq_meta. The staging rename is already prepared, because the canvas reads its schema from the configuration key Prep:StagingSchema rather than a literal.</t>
  </si>
  <si>
    <t>Rule 2 is provable in one query on a fresh database. All application tests pass. The canvas catalogue lists tables from the renamed schema with only a configuration change. AND THE BENCHMARK SURVIVES THE MOVE: the phenomenon and benchmark harness frozen in T-086 is re-run UNCHANGED after the schema migration and produces identical results. A migration that silently alters the reference dataset destroys every comparison made against it.</t>
  </si>
  <si>
    <t>T-086 + T-088 canonical migration order/runner/truth gate established FIRST.</t>
  </si>
  <si>
    <t>v2.10.2 — migration-order dependency reversed for safety</t>
  </si>
  <si>
    <t>F-054 [Critical] — The final projection_quarantine physical schema requires canonical staging_records and definition_versions. M1 cannot honestly create the final table before T-087/T-089/T-090, yet T-061 currently says 'minimal FINAL slice' and validates real projection/reprocess behavior.
F-057 [Critical] — The backlog performs the physical three-schema migration in T-087 before T-088 defines the one canonical migration order and duplicate-DDL truth gate. The T-044 migration-parity incident shows this ordering is unsafe.</t>
  </si>
  <si>
    <t>F-054 — T-061 owns the final typed DTO/API/error-code/reprocess semantics over compatibility persistence only. T-099/T-100 own canonical projection_quarantine and all 15 PV classes; T-101 completes retry/reprocess and preserves the M1 page contract unchanged.
F-057 — T-088 migration authority/runner/order gate must precede T-087 physical migration. T-087 becomes a migration authored and executed only through the canonical path. Fresh-install T-115 and install/upgrade T-123 validate the same chain.</t>
  </si>
  <si>
    <t>Establish migration authority/order first, then converge to the final three-schema topology. Fresh ppiq_plant must be provably empty.</t>
  </si>
  <si>
    <t>M2A-1 — schema/definition authority</t>
  </si>
  <si>
    <t>WAIT for Presentation RC freeze/tag + clean index/worktree. Then: T-086 + T-088 canonical migration order/runner/truth gate established FIRST.</t>
  </si>
  <si>
    <t>T-088</t>
  </si>
  <si>
    <t>Canonical migration order and legacy script archival</t>
  </si>
  <si>
    <t>Backend/database/scripts contains hotfix, repair, phase and drift-correction scripts accumulated over months, including cases where two scripts created the same table. Define one canonical ordered migration path, archive superseded scripts, and add a truth gate that no two scripts create the same table.</t>
  </si>
  <si>
    <t>A fresh database builds from the canonical path with no manual step. The truth gate fails if a duplicate CREATE TABLE is introduced.</t>
  </si>
  <si>
    <t>T-086 frozen M2 reference dataset; define canonical migration order before T-087 physical schema move.</t>
  </si>
  <si>
    <t>v2.10.2 — canonical migration authority precedes physical three-schema migration</t>
  </si>
  <si>
    <t>F-057 [Critical] — The backlog performs the physical three-schema migration in T-087 before T-088 defines the one canonical migration order and duplicate-DDL truth gate. The T-044 migration-parity incident shows this ordering is unsafe.</t>
  </si>
  <si>
    <t>F-057 — T-088 migration authority/runner/order gate must precede T-087 physical migration. T-087 becomes a migration authored and executed only through the canonical path. Fresh-install T-115 and install/upgrade T-123 validate the same chain.</t>
  </si>
  <si>
    <t>WAIT for Presentation RC freeze/tag + clean index/worktree. Then: T-086 frozen M2 reference dataset; define canonical migration order before T-...</t>
  </si>
  <si>
    <t>T-089</t>
  </si>
  <si>
    <t>definition_store, definition_versions and definition_dependencies</t>
  </si>
  <si>
    <t>Create the tables specified in Chapter 3 4.5.11 with immutable versions and a dependency graph, plus a trigger that rejects a dependency cycle.</t>
  </si>
  <si>
    <t>Integration tests: create, version, publish, and reject a cycle. Version rows must be immutable, proved by an update attempt that fails.</t>
  </si>
  <si>
    <t>T-087 + T-088 canonical three-schema/migration authority green.</t>
  </si>
  <si>
    <t>v2.10.2 — explicit schema/migration prerequisite</t>
  </si>
  <si>
    <t>F-052 [Critical] — M1 relationship task calls the three Chapter 3 relationship tables a FINAL physical slice, but Chapter 3 4.5.10 requires source_definition_id -&gt; definition_store(id). definition_store is intentionally absent until T-089/T-090. A physically final M1 table set therefore cannot exist without stealing M2a authority or creating a temporary FK contract.
F-053 [Critical] — T-064 requires a foreign key before the canonical FK target exists. It also omits target_parameters from the Chapter 3 job-target contract and its validation misses JB02/JB04 while describing a pinned version as 'no longer exists' even though published versions are immutable.
F-054 [Critical] — The final projection_quarantine physical schema requires canonical staging_records and definition_versions. M1 cannot honestly create the final table before T-087/T-089/T-090, yet T-061 currently says 'minimal FINAL slice' and validates real projection/reprocess behavior.
F-058 [Critical] — T-092 says 'dimensions and measures as registry rows' without binding those rows to the unified definition authority. Chapter 3 §4.5.11 already defines master_dimension and master_measure as definition kinds, so a separate mutable registry can become a second source of truth.</t>
  </si>
  <si>
    <t>F-052 — T-057 must deliver the final external relationship service/API and M1-compatible persistence only. Do not claim final physical schema. T-095 owns canonical ppiq_meta.plant_relationships/_members/_paths convergence after T-089/T-090. T-058/T-059/T-060 consume the service, never table names.
F-053 — Keep T-064 mandatory for M1/J12/T7, but implement stable semantic fields through IDefinitionService/compatibility storage with no fake FK. Cover target_definition_id, target_definition_version, target_version_policy, target_parameters, executed-version history and JB01-JB04. T-106 performs canonical FK/check/trigger convergence after T-089/T-090 and adds the dependency DAG.
F-054 — T-061 owns the final typed DTO/API/error-code/reprocess semantics over compatibility persistence only. T-099/T-100 own canonical projection_quarantine and all 15 PV classes; T-101 completes retry/reprocess and preserves the M1 page contract unchanged.
F-058 — T-092 registry rows must be projections/catalogue views of canonical S2 master definitions (or compatibility projections during migration), never an independent definition authority. T-092 depends on T-089/T-090.</t>
  </si>
  <si>
    <t>Canonicalize M1 compatibility contracts without moving the customer-visible contract.</t>
  </si>
  <si>
    <t>WAIT for Presentation RC freeze/tag + clean index/worktree. Then: T-087 + T-088 canonical three-schema/migration authority green.</t>
  </si>
  <si>
    <t>T-090</t>
  </si>
  <si>
    <t>Move all five definition kinds onto the store</t>
  </si>
  <si>
    <t>Replace the M1 compatibility adapter behind IDefinitionService with the real implementation for all five purposes: S1 Transformation, S2 Pages and widgets and filters and master items, S3 Analysis, S4 Model, S5 Log rule. The old per-artifact tables become a compatibility projection and then are retired. v2.10.1 OUTCOME SEMANTICS BINDING. As part of canonical definition convergence, bind the already-frozen SM-06 OutcomeDefinition to the canonical immutable versioned definition authority; do not design a second outcome authority. The canonical binding preserves outcome_code, outcome_type, class_taxonomy_ref, ordinal_rank_map, grain_code, detection_position_code, detection_timestamp_field, direction, unit_code, censoring_policy and definition/version identity. Any legacy ml_outcome_definitions representation may remain only as a compatibility projection during convergence and must not remain an independent semantic authority.</t>
  </si>
  <si>
    <t>The M1 integration test written against IDefinitionService must pass unchanged, since it references no table name. That is the proof that the visible contract did not move. Publish an SM-06 OutcomeDefinition and resolve it back by exact immutable version. Changing detection_position_code, detection_timestamp_field, grain, taxonomy, ordinal map, direction, unit or censoring policy creates a new definition version rather than silently mutating published meaning. If a compatibility outcome representation remains during convergence, prove it resolves to the same canonical definition/version and cannot diverge into a second authority.</t>
  </si>
  <si>
    <t>T-089 complete; replace compatibility persistence behind unchanged IDefinitionService.</t>
  </si>
  <si>
    <t>v2.10.2 — explicit definition-store dependency</t>
  </si>
  <si>
    <t>F-052 [Critical] — M1 relationship task calls the three Chapter 3 relationship tables a FINAL physical slice, but Chapter 3 4.5.10 requires source_definition_id -&gt; definition_store(id). definition_store is intentionally absent until T-089/T-090. A physically final M1 table set therefore cannot exist without stealing M2a authority or creating a temporary FK contract.
F-053 [Critical] — T-064 requires a foreign key before the canonical FK target exists. It also omits target_parameters from the Chapter 3 job-target contract and its validation misses JB02/JB04 while describing a pinned version as 'no longer exists' even though published versions are immutable.
F-054 [Critical] — The final projection_quarantine physical schema requires canonical staging_records and definition_versions. M1 cannot honestly create the final table before T-087/T-089/T-090, yet T-061 currently says 'minimal FINAL slice' and validates real projection/reprocess behavior.
F-056 [Critical] — T-068 explicitly binds the UI to public.ml_outcome_definitions and GET /ml/foundation/outcomes, both compatibility-era authorities. Chapter 3 D3 requires registry-driven definition-options and T-090 later makes SM-06 OutcomeDefinition part of the immutable definition authority.
F-058 [Critical] — T-092 says 'dimensions and measures as registry rows' without binding those rows to the unified definition authority. Chapter 3 §4.5.11 already defines master_dimension and master_measure as definition kinds, so a separate mutable registry can become a second source of truth.</t>
  </si>
  <si>
    <t>F-052 — T-057 must deliver the final external relationship service/API and M1-compatible persistence only. Do not claim final physical schema. T-095 owns canonical ppiq_meta.plant_relationships/_members/_paths convergence after T-089/T-090. T-058/T-059/T-060 consume the service, never table names.
F-053 — Keep T-064 mandatory for M1/J12/T7, but implement stable semantic fields through IDefinitionService/compatibility storage with no fake FK. Cover target_definition_id, target_definition_version, target_version_policy, target_parameters, executed-version history and JB01-JB04. T-106 performs canonical FK/check/trigger convergence after T-089/T-090 and adds the dependency DAG.
F-054 — T-061 owns the final typed DTO/API/error-code/reprocess semantics over compatibility persistence only. T-099/T-100 own canonical projection_quarantine and all 15 PV classes; T-101 completes retry/reprocess and preserves the M1 page contract unchanged.
F-056 — T-068 must consume a stable analysis-options/outcome-registry service contract, not a physical table or temporary route. M2a swaps storage behind the contract. Complete T-068 before T-065 so the S3 authoring page is built registry-first instead of being rewritten immediately.
F-058 — T-092 registry rows must be projections/catalogue views of canonical S2 master definitions (or compatibility projections during migration), never an independent definition authority. T-092 depends on T-089/T-090.</t>
  </si>
  <si>
    <t>WAIT for Presentation RC freeze/tag + clean index/worktree. Then: T-089 complete; replace compatibility persistence behind unchanged IDefinitio...</t>
  </si>
  <si>
    <t>T-091</t>
  </si>
  <si>
    <t>Impact preview, export and import</t>
  </si>
  <si>
    <t>Add dependency impact preview before a publish, and export and import of a definition with its dependencies, per Chapter 3 4.5.11.</t>
  </si>
  <si>
    <t>Publish a change to a definition three others depend on and confirm the preview lists all three before the publish is confirmed. Export and reimport into an empty database and confirm equality.</t>
  </si>
  <si>
    <t>T-090 all definition kinds bound to the canonical store.</t>
  </si>
  <si>
    <t>v2.10.2 — explicit canonical-store dependency</t>
  </si>
  <si>
    <t>WAIT for Presentation RC freeze/tag + clean index/worktree. Then: T-090 all definition kinds bound to the canonical store.</t>
  </si>
  <si>
    <t>T-092</t>
  </si>
  <si>
    <t>Registry authority: dimensions and measures as rows</t>
  </si>
  <si>
    <t>DashboardWidgetQuerySafetyRegistry declares SupportedDimensions as a compiled HashSet that includes ProductFamily, GradeOrRecipe, ShiftCode, DefectType and RiskClass, referenced through DashboardMetadataCodes.Dimensions. That is plant vocabulary compiled into the product and a Rule 1 violation reachable by a customer. Move dimensions and measures to registry rows. Chart types and the numeric limits stay closed, because they are product grammar rather than customer knowledge.
v2.10.2 SINGLE-AUTHORITY RULING — master dimensions and master measures are S2 definition kinds in the unified definition authority. The selectable 'registry rows' are a catalogue/projection of those canonical definitions, not a second independently editable source of truth.</t>
  </si>
  <si>
    <t>Add a dimension through the registry API and confirm it becomes selectable in the authoring shell with no code change and no redeploy. Confirm chart types remain closed by attempting to add one and being refused.
Create a master dimension/measure through the canonical definition service and prove it appears in the registry/authoring shell. Attempt to create a divergent second-registry definition with the same canonical identity and refuse it.</t>
  </si>
  <si>
    <t>T-089 + T-090 canonical definition authority.</t>
  </si>
  <si>
    <t>v2.10.2 — prevent second dimension/measure authority</t>
  </si>
  <si>
    <t>F-058 [Critical] — T-092 says 'dimensions and measures as registry rows' without binding those rows to the unified definition authority. Chapter 3 §4.5.11 already defines master_dimension and master_measure as definition kinds, so a separate mutable registry can become a second source of truth.</t>
  </si>
  <si>
    <t>F-058 — T-092 registry rows must be projections/catalogue views of canonical S2 master definitions (or compatibility projections during migration), never an independent definition authority. T-092 depends on T-089/T-090.</t>
  </si>
  <si>
    <t>WAIT for Presentation RC freeze/tag + clean index/worktree. Then: T-089 + T-090 canonical definition authority.</t>
  </si>
  <si>
    <t>T-093</t>
  </si>
  <si>
    <t>Plant-vocabulary sweep, part 1: build the term list and the architecture test</t>
  </si>
  <si>
    <t>Rule 1 needs an enforcement mechanism before the sweep, or the sweep is a one-off. Create a registry-held list of plant terms (the term list is itself DATA, never a compiled constant) and an architecture test that fails the build when any listed term appears in product code outside registry data, seed content or test fixtures. Seed the list from the dimension names already found compiled into DashboardWidgetQuerySafetyRegistry: ProductFamily, GradeOrRecipe, ShiftCode, DefectType, RiskClass.</t>
  </si>
  <si>
    <t>Add a term to the list and confirm the build goes red on an existing violation, then goes green once that violation is fixed. Confirm removing a term from the list does not require a code change.</t>
  </si>
  <si>
    <t>T-092 registry/definition authority available; architecture term list is committed data/seed input, not a runtime-only mutable dependency.</t>
  </si>
  <si>
    <t>v2.10.2 — explicit registry prerequisite</t>
  </si>
  <si>
    <t>WAIT for Presentation RC freeze/tag + clean index/worktree. Then: T-092 registry/definition authority available; architecture term list is comm...</t>
  </si>
  <si>
    <t>T-094</t>
  </si>
  <si>
    <t>Plant-vocabulary sweep, part 2: clear the violations and rename the canonical grain</t>
  </si>
  <si>
    <t>Run the new architecture test and clear every violation it names across backend and frontend. Include the canonical grain literal 'coil', which the canonical layer applies even to aluminium, tyre and batch product types - native grains observed in the data include slab, heat, cast, packagedlot, rawmaterial, aluminiumroll, tyreunit, batch and lot. Rename it to a generic term and migrate existing rows.
v2.10.2 SEMANTIC CORRECTION — do NOT replace 'coil' with one new universal grain word. The generic product has customer-declared material_unit_type_definitions, material_units.material_unit_type/native_grain and outcome/model grain_code. Remove all hardcoded/default steel grain assumptions and bind each consumer to the declared registry/outcome/material-unit grain.</t>
  </si>
  <si>
    <t>The architecture test passes with zero violations. Query the canonical layer for a non-steel product type and confirm its grain is no longer reported as 'coil'.
Use at least two non-steel unit types/grains and prove each remains distinct end to end. No code path substitutes one universal 'material' grain when the definition declares a different grain_code.</t>
  </si>
  <si>
    <t>T-092 + T-093; canonical multi-grain vocabulary authority available.</t>
  </si>
  <si>
    <t>v2.10.2 — 'rename grain' replaced by dynamic multi-grain authority</t>
  </si>
  <si>
    <t>F-059 [Critical] — T-094 says rename the canonical grain literal 'coil' to one generic term. The frozen design does not have one generic grain: it has material_unit_type_definitions, native_grain and dynamic outcome/model grain_code. Replacing 'coil' with 'material' would preserve the same architectural error under a new word.
F-081 [Very Important] — Current GenealogyThreadPanel still contains steel-specific explanatory copy ('coil to heat/melt') while C5 is a generic material-unit explorer. If T-063 converges layout without removing product vocabulary, T-094 will immediately rework the same surface.</t>
  </si>
  <si>
    <t>F-059 — Remove hardcoded/default coil semantics. Preserve customer-declared multi-grain unit types and outcome-specific grain_code. Rename T-094 scope from 'rename canonical grain' to 'remove hardcoded canonical grain default and bind to registry/material-unit authority'.
F-081 — T-063 acceptance must require generic material-unit labels driven by data/registry and no industry noun in product UI. T-094 remains the whole-product ratchet.</t>
  </si>
  <si>
    <t>WAIT for Presentation RC freeze/tag + clean index/worktree. Then: T-092 + T-093; canonical multi-grain vocabulary authority available.</t>
  </si>
  <si>
    <t>T-095</t>
  </si>
  <si>
    <t>Relationship members, cardinality, grain conversion and preferred paths</t>
  </si>
  <si>
    <t>Extend the M1 slice to the full model in Chapter 3 4.5.10: members, cardinality, grain conversion between related entities, preferred path selection when more than one path exists, and published versions.
v2.10.2 CONVERGENCE CORRECTION — T-095 does not merely 'extend' M1 physical tables. It converges the M1 relationship service/compatibility persistence onto the canonical Chapter 3 4.5.10 tables after definition_store exists, including source_definition_id/version, grain conversion, preferred paths, ambiguity/validation state and retirement semantics, while keeping the M1 external contract stable.</t>
  </si>
  <si>
    <t>Declare two paths between the same pair of entities, mark one preferred, and confirm the resolver chooses it. Change the preference and confirm the resolution changes with no other edit.</t>
  </si>
  <si>
    <t>T-057 M1 relationship contract + T-089 + T-090 + T-094.</t>
  </si>
  <si>
    <t>v2.10.2 — canonical physical convergence explicitly separated from M1 compatibility</t>
  </si>
  <si>
    <t>F-052 [Critical] — M1 relationship task calls the three Chapter 3 relationship tables a FINAL physical slice, but Chapter 3 4.5.10 requires source_definition_id -&gt; definition_store(id). definition_store is intentionally absent until T-089/T-090. A physically final M1 table set therefore cannot exist without stealing M2a authority or creating a temporary FK contract.
F-059 [Critical] — T-094 says rename the canonical grain literal 'coil' to one generic term. The frozen design does not have one generic grain: it has material_unit_type_definitions, native_grain and dynamic outcome/model grain_code. Replacing 'coil' with 'material' would preserve the same architectural error under a new word.
F-060 [Very Important] — T-060 builds the M1 C6 route, then T-098 says 'Build the C6 Relationship Browser' again. That wording invites a second page/rebuild rather than hidden-authority convergence.</t>
  </si>
  <si>
    <t>F-052 — T-057 must deliver the final external relationship service/API and M1-compatible persistence only. Do not claim final physical schema. T-095 owns canonical ppiq_meta.plant_relationships/_members/_paths convergence after T-089/T-090. T-058/T-059/T-060 consume the service, never table names.
F-059 — Remove hardcoded/default coil semantics. Preserve customer-declared multi-grain unit types and outcome-specific grain_code. Rename T-094 scope from 'rename canonical grain' to 'remove hardcoded canonical grain default and bind to registry/material-unit authority'.
F-060 — T-098 must complete the already-shown /relationships page in place: preserve route/layout/controls and replace/extend only the canonical relationship source/path evidence.</t>
  </si>
  <si>
    <t>M2A-2 — relationships/projection</t>
  </si>
  <si>
    <t>WAIT for Presentation RC freeze/tag + clean index/worktree. Then: T-057 M1 relationship contract + T-089 + T-090 + T-094.</t>
  </si>
  <si>
    <t>T-096</t>
  </si>
  <si>
    <t>Path resolver, part 1: resolver core and the first eight consumers</t>
  </si>
  <si>
    <t>Chapter 2 3.15.4 names sixteen consumers of the relationship model. Build the resolver core, then route the first eight through it: canonical projection, page and widget queries, associative filtering, drill-down, drill-through, genealogy, statistics and correlation.</t>
  </si>
  <si>
    <t>A regression test per consumer asserting it resolves through the published model, and refuses with a named reason when the relationship is unpublished. Eight tests, no exceptions.</t>
  </si>
  <si>
    <t>T-095 canonical relationship publication/model complete.</t>
  </si>
  <si>
    <t>v2.10.2 — explicit resolver-core prerequisite</t>
  </si>
  <si>
    <t>F-060 [Very Important] — T-060 builds the M1 C6 route, then T-098 says 'Build the C6 Relationship Browser' again. That wording invites a second page/rebuild rather than hidden-authority convergence.</t>
  </si>
  <si>
    <t>F-060 — T-098 must complete the already-shown /relationships page in place: preserve route/layout/controls and replace/extend only the canonical relationship source/path evidence.</t>
  </si>
  <si>
    <t>WAIT for Presentation RC freeze/tag + clean index/worktree. Then: T-095 canonical relationship publication/model complete.</t>
  </si>
  <si>
    <t>T-097</t>
  </si>
  <si>
    <t>Path resolver, part 2: the remaining eight consumers and the regression suite</t>
  </si>
  <si>
    <t>Route the remaining eight through the resolver: feature engineering, model training, prediction, practice learning, remediation search, value calculation, assistant retrieval and evidence. Some of these are built in M2b; add the resolver seam now so they cannot be written against an ad-hoc join later.</t>
  </si>
  <si>
    <t>Eight further regression tests. For consumers whose engine arrives in M2b, the test asserts the seam exists and refuses when unpublished, which is what stops a later shortcut.</t>
  </si>
  <si>
    <t>T-096 first resolver consumers green.</t>
  </si>
  <si>
    <t>v2.10.2 — explicit resolver-part dependency</t>
  </si>
  <si>
    <t>WAIT for Presentation RC freeze/tag + clean index/worktree. Then: T-096 first resolver consumers green.</t>
  </si>
  <si>
    <t>T-098</t>
  </si>
  <si>
    <t>Relationship Browser page and path evidence</t>
  </si>
  <si>
    <t>Build the C6 Relationship Browser from Chapter 3 4.4 with the ten-field page contract, showing declared relationships, their members, their paths and the evidence for each path.
v2.10.2 CONTINUITY CORRECTION — complete the existing T-060 /relationships page in place. Do not create a second C6 surface. Preserve the route, layout and M1 control contract while replacing/extending the hidden relationship authority and path evidence.</t>
  </si>
  <si>
    <t>Open a relationship and confirm its members, cardinality and path are shown with evidence. Confirm an unpublished relationship is visibly distinct from a published one.
Run the M1 C6 continuity snapshot before/after canonical cutover and prove no visible-contract regression.</t>
  </si>
  <si>
    <t>T-060 M1 C6 surface + T-095 + T-096 + T-097.</t>
  </si>
  <si>
    <t>v2.10.2 — C6 completion/cutover, not page rebuild</t>
  </si>
  <si>
    <t>Canonical customer-facing UI/admin + continuity</t>
  </si>
  <si>
    <t>WAIT for Presentation RC freeze/tag + clean index/worktree. Then: T-060 M1 C6 surface + T-095 + T-096 + T-097.</t>
  </si>
  <si>
    <t>Own named UI/admin task end-to-end only after producer APIs/security are committed.</t>
  </si>
  <si>
    <t>T-099</t>
  </si>
  <si>
    <t>Quarantine, part 1: the table, the reprocess API and the first eight PV classes</t>
  </si>
  <si>
    <t>Quarantine</t>
  </si>
  <si>
    <t>Chapter 3 4.5.14 specifies quarantine with fifteen typed PV codes. A repository search for projection_quarantine returns zero hits, so this does not exist. Build the table with its columns, the reprocess endpoint, and the first eight validation classes so a bad row is quarantined under a named code instead of corrupting the canonical layer or failing the whole batch.</t>
  </si>
  <si>
    <t>Craft one malformed input per implemented class and assert each is quarantined under the correct code, while the good rows in the same batch still project.</t>
  </si>
  <si>
    <t>T-087 canonical staging schema + T-089/T-090 definition_versions authority.</t>
  </si>
  <si>
    <t>v2.10.2 — explicit physical FK prerequisites</t>
  </si>
  <si>
    <t>WAIT for Presentation RC freeze/tag + clean index/worktree. Then: T-087 canonical staging schema + T-089/T-090 definition_versions authority.</t>
  </si>
  <si>
    <t>T-100</t>
  </si>
  <si>
    <t>Quarantine, part 2: the remaining seven PV classes and per-class tests</t>
  </si>
  <si>
    <t>Implement the remaining seven validation classes and give every class its own test fixture, so the class set is provably complete against Chapter 3 4.5.14 rather than approximately complete.</t>
  </si>
  <si>
    <t>Fifteen fixtures, fifteen codes, fifteen passing tests. A test that enumerates the PV enum and fails if any member has no fixture.</t>
  </si>
  <si>
    <t>T-099 canonical quarantine table/API and first eight PV classes.</t>
  </si>
  <si>
    <t>v2.10.2 — explicit part-1 dependency</t>
  </si>
  <si>
    <t>WAIT for Presentation RC freeze/tag + clean index/worktree. Then: T-099 canonical quarantine table/API and first eight PV classes.</t>
  </si>
  <si>
    <t>T-101</t>
  </si>
  <si>
    <t>Quarantine retry, reprocess and Mapping Health completion</t>
  </si>
  <si>
    <t>Complete the C2 Mapping Health page against Chapter 3 4.4 C2: issues grouped by code, example rows, and Reprocess after the mapping is corrected. The M1 version delivered the shape; this delivers the full class set and the retry semantics.</t>
  </si>
  <si>
    <t>Quarantine rows under three different codes, correct one mapping, reprocess, and confirm only the affected rows clear. The M1 continuity snapshot of this page must still match.</t>
  </si>
  <si>
    <t>T-061 final M1 API/page contract + T-099 + T-100 canonical quarantine implementation.</t>
  </si>
  <si>
    <t>v2.10.2 — compatibility-to-canonical convergence dependency</t>
  </si>
  <si>
    <t>WAIT for Presentation RC freeze/tag + clean index/worktree. Then: T-061 final M1 API/page contract + T-099 + T-100 canonical quarantine impleme...</t>
  </si>
  <si>
    <t>T-102</t>
  </si>
  <si>
    <t>Identity resolution across sources</t>
  </si>
  <si>
    <t>Harden material identity resolution using material_aliases so the same physical material arriving under two different source identifiers becomes one canonical unit. The schema already supports this: material_units carries a unique key on (site_id, material_code) plus a filtered unique on (source_system, source_record_id), which makes projection idempotent without forbidding rows that have no source identity.</t>
  </si>
  <si>
    <t>Import the same material under two different source identifiers and confirm one canonical unit results with both aliases recorded. Re-run the import and confirm no duplicate appears.</t>
  </si>
  <si>
    <t>T-087 canonical plant schema + T-095 relationship/material identity authority.</t>
  </si>
  <si>
    <t>v2.10.2 — explicit canonical identity prerequisites</t>
  </si>
  <si>
    <t>WAIT for Presentation RC freeze/tag + clean index/worktree. Then: T-087 canonical plant schema + T-095 relationship/material identity authority.</t>
  </si>
  <si>
    <t>T-103</t>
  </si>
  <si>
    <t>Genealogy bidirectional walk hardening and weight proof</t>
  </si>
  <si>
    <t>Confirm the genealogy layer walks both directions on the customer's own keys and that attribution weights are enforced to sum to exactly 1.0 per child by the database trigger on genealogy_edges.contribution_weight numeric(9,6).</t>
  </si>
  <si>
    <t>Walk a chain backward and forward and confirm the same edges are traversed. Attempt an insert whose weights sum to 0.99 inside a transaction and confirm the trigger rejects it, then roll back.</t>
  </si>
  <si>
    <t>T-095 + T-102 canonical relationship/identity authority.</t>
  </si>
  <si>
    <t>v2.10.2 — explicit genealogy prerequisites</t>
  </si>
  <si>
    <t>WAIT for Presentation RC freeze/tag + clean index/worktree. Then: T-095 + T-102 canonical relationship/identity authority.</t>
  </si>
  <si>
    <t>T-104</t>
  </si>
  <si>
    <t>Projection through the versioned mapping, with version stamping</t>
  </si>
  <si>
    <t>Projection</t>
  </si>
  <si>
    <t>Complete the DF5 contract: source-shaped staging projects into the canonical plant model through the customer-authored versioned mapping, and every projected row records the mapping version that produced it.</t>
  </si>
  <si>
    <t>Project a batch, change the mapping version, project again, and confirm each row records the version that produced it. No row may carry a null mapping version.</t>
  </si>
  <si>
    <t>T-090 canonical versioned mapping definitions + T-095 relationship authority + T-099 quarantine authority.</t>
  </si>
  <si>
    <t>v2.10.2 — explicit projection/version/quarantine prerequisites</t>
  </si>
  <si>
    <t>WAIT for Presentation RC freeze/tag + clean index/worktree. Then: T-090 canonical versioned mapping definitions + T-095 relationship authority ...</t>
  </si>
  <si>
    <t>T-105</t>
  </si>
  <si>
    <t>Idempotent reprojection and mapping-version regression</t>
  </si>
  <si>
    <t>Make reprojection idempotent and add the regression suite: reprojecting the same batch must not duplicate rows, and rolling a mapping back to a previous version must produce the earlier result exactly.</t>
  </si>
  <si>
    <t>Reproject the same batch three times and confirm row counts are unchanged. Roll a mapping back and confirm the canonical output matches the earlier snapshot byte for byte.</t>
  </si>
  <si>
    <t>T-104 version-stamped projection complete.</t>
  </si>
  <si>
    <t>v2.10.2 — explicit reprojection prerequisite</t>
  </si>
  <si>
    <t>WAIT for Presentation RC freeze/tag + clean index/worktree. Then: T-104 version-stamped projection complete.</t>
  </si>
  <si>
    <t>Critical hand-off: after T-089..T-105 + T-112/T-114 are committed, W3 may open T-183/T-195/T-128 lane.</t>
  </si>
  <si>
    <t>T-106</t>
  </si>
  <si>
    <t>Job target version policy and dependency DAG</t>
  </si>
  <si>
    <t>Build on the M1 target_definition_id work: add the full version policy (pinned or current published), the job dependency graph, and cycle validation.
v2.10.2 BOUNDARY CORRECTION — the pinned/current-published PUBLIC semantics are already frozen by T-064. This task performs canonical physical convergence: job_definitions FK -&gt; definition_store(id) ON DELETE RESTRICT, target-version policy CHECKs/target-surface trigger against the canonical store, target_parameters persistence, plus job_dependencies DAG/cycle validation. Do not redesign T-064's visible contract.</t>
  </si>
  <si>
    <t>Declare a three-job chain, run it, and confirm order. Introduce a cycle and confirm it is refused at save time with a named code.</t>
  </si>
  <si>
    <t>T-064 functional contract + T-089 + T-090 canonical definition authority.</t>
  </si>
  <si>
    <t>v2.10.2 — canonical job-target persistence/DAG boundary clarified</t>
  </si>
  <si>
    <t>ML-aware job/runtime/delta hand-off</t>
  </si>
  <si>
    <t>M2A-3 — runtime/security hand-off</t>
  </si>
  <si>
    <t>WAIT for Presentation RC freeze/tag + clean index/worktree. Then: T-064 functional contract + T-089 + T-090 canonical definition authority.</t>
  </si>
  <si>
    <t>Own T-106/T-107/T-109 only after W1 producer contracts; no schema authority rewrites.</t>
  </si>
  <si>
    <t>T-107</t>
  </si>
  <si>
    <t>Dual-predicate admission control and the three ML execution lanes</t>
  </si>
  <si>
    <t>Replace the old single weighted-pool assumption with the frozen resource contract. Each lane has max_concurrency and resource_capacity; admission requires both running_count &lt; max_concurrency and sum(compute_weight)+candidate &lt;= resource_capacity. The logical ml class resolves to ml.training, ml.batch_scoring and ml.online_scoring. Online capacity is hard-reserved and unavailable to training or batch. Keep this platform-level scheduler generic; Worker 3 supplies the ML job classes and later integration tests, but this task must not wire any new AI runtime into the M1 presentation path.
v2.10.2 MEASUREMENT RULING — this task implements the configurable dual-predicate admission mechanism and three-lane isolation. Test values may prove satisfiability, but no max_concurrency/resource_capacity/reserved fraction is a production-selected value here. Site values remain benchmark outputs owned by T-155/T-159.</t>
  </si>
  <si>
    <t>Prove a declared job can be admitted under a satisfiable configuration and a too-heavy job is refused by name. Saturate training and batch and prove an online-scoring job still admits inside its reservation. Prove batch never enters the online lane and the same compute_weight is never used as a concurrency count. Existing import/projection/analysis/report behaviour remains green.
The acceptance report labels resource values as TEST_CONFIGURATION unless they come from the named production/site benchmark manifest. No code default is presented as the final capacity decision.</t>
  </si>
  <si>
    <t>Shared: Core Platform + Worker 3</t>
  </si>
  <si>
    <t>SHARED — AFTER M2a-P2</t>
  </si>
  <si>
    <t>Platform scheduler owns generic admission. Worker 3 owns ML lane job classes/tests only after schema/relationship hand-off; no M1 wiring.</t>
  </si>
  <si>
    <t>T-106 canonical job contract + T-095..T-105 canonical data/relationship path; coordinate with scheduler owner.</t>
  </si>
  <si>
    <t>v2.10.2 — mechanism separated from benchmark-selected capacity values</t>
  </si>
  <si>
    <t>F-067 [Very Important] — T-107 correctly replaces the unsatisfiable old weighted-pool rule, but it does not clearly distinguish implementing the admission mechanism from selecting real resource_capacity/max_concurrency/reservation numbers.</t>
  </si>
  <si>
    <t>F-067 — T-107 implements configurable dual predicates and proves satisfiability with test values only. It must not freeze production capacity constants. T-155/T-159 own measured site values and final selection.</t>
  </si>
  <si>
    <t>WAIT for Presentation RC freeze/tag + clean index/worktree. Then: T-106 canonical job contract + T-095..T-105 canonical data/relationship path;...</t>
  </si>
  <si>
    <t>T-108</t>
  </si>
  <si>
    <t>stage_watermarks and delta-scoped projection</t>
  </si>
  <si>
    <t>Delta propagation</t>
  </si>
  <si>
    <t>Today only import is incremental. Chapter 4 5.3.9 requires every downstream stage to be delta-scoped. Add the stage_watermarks table and make canonical projection delta-scoped against it. The arithmetic that justifies this: a naive full scan for one Pro-tier customer is 481 TB per day, while delta-scoped is 5 to 20 GB, a ratio of 24,000 to 1.</t>
  </si>
  <si>
    <t>Change one source row and confirm projection processes a bounded delta rather than a full scan, evidenced by rows-scanned telemetry.</t>
  </si>
  <si>
    <t>T-109</t>
  </si>
  <si>
    <t>Delta-scoped feature refresh and analysis, with telemetry and ML hand-off</t>
  </si>
  <si>
    <t>Extend the stage-watermark mechanism into the canonical feature refresh and analysis path. The task owns delta discovery, dirty-feature identification and telemetry only; training must never read feature_store directly. Expose a bounded changed-population contract that Worker 3's Snapshot Materialiser consumes later. Do not add temporary M1/presentation schema dependencies.</t>
  </si>
  <si>
    <t>Insert one bounded delta and prove only affected feature rows and analyses are recomputed. Record rows scanned, rows changed and Scan Amplification. Assert no training/encoding component is reachable from this task and the output contract contains no customer table name.</t>
  </si>
  <si>
    <t>Implement only against final canonical feature/delta contracts. Never read presentation compatibility tables or wire training.</t>
  </si>
  <si>
    <t>T-095..T-105; T-108</t>
  </si>
  <si>
    <t>EXPANDED / REWRITTEN v2.10</t>
  </si>
  <si>
    <t>Worker 3 AFTER M2a-P2</t>
  </si>
  <si>
    <t>WAIT for Presentation RC freeze/tag + clean index/worktree. Then: T-095..T-105; T-108</t>
  </si>
  <si>
    <t>T-110</t>
  </si>
  <si>
    <t>Chunk manifests, checkpoint, resume and deterministic merge</t>
  </si>
  <si>
    <t>Implement Chapter 4 5.3.9.6a: bounded chunks with receipts, checkpoint and resume after interruption, and a deterministic merge so a resumed run produces the same result as an uninterrupted one.</t>
  </si>
  <si>
    <t>Kill a running job at 60 percent, restart it, and confirm the final result is byte-identical to an uninterrupted run over the same input.</t>
  </si>
  <si>
    <t>T-111</t>
  </si>
  <si>
    <t>Scan budget and the Scan Amplification metric</t>
  </si>
  <si>
    <t>Monitoring</t>
  </si>
  <si>
    <t>Add scan admission and the Scan Amplification Ratio from Chapter 6 6.1.12.2a, with a baseline and a regression gate that fails the build when amplification rises beyond the baseline.</t>
  </si>
  <si>
    <t>Record a baseline, then deliberately remove a delta scope and confirm the gate goes red. Restore and confirm green.</t>
  </si>
  <si>
    <t>T-112</t>
  </si>
  <si>
    <t>Force RLS on every tenant-owned table with an architecture test</t>
  </si>
  <si>
    <t>Security</t>
  </si>
  <si>
    <t>The measured database has one RLS policy against 193 tables, while migration scripts 510, 530, 540 and 560 contain dynamic CREATE POLICY loops, so the scripts exist but the coverage does not. Establish the true coverage, then force RLS on every tenant-owned table and add an architecture test that fails the build when a tenant table is added without a policy.</t>
  </si>
  <si>
    <t>A query listing tenant-owned tables without a policy returns zero rows. Add a new tenant table in a branch and confirm the architecture test goes red before it is merged.</t>
  </si>
  <si>
    <t>T-087/T-088 canonical migration authority available; establish FORCE RLS guard before any new M2b tenant-owned persistence is allowed.</t>
  </si>
  <si>
    <t>v2.10.2 — promoted to M2b persistence release gate</t>
  </si>
  <si>
    <t>F-063 [Critical] — Several M2b production-persistence tasks are allowed immediately after M2a-P2, but FORCE RLS and tenant-first uniqueness are only established in M2a-P3 T-112/T-114. Creating tenant-owned intelligence tables first and 'fixing RLS later' creates a temporary insecure architecture and makes T-135 a retrofit.</t>
  </si>
  <si>
    <t>F-063 — Every new tenant-owned table must receive tenant key, tenant-first uniqueness and FORCE RLS at creation. T-112/T-114 (or their proven architecture guards) become release gates for M2b persistence. T-135 becomes a cross-table audit/ratchet, not the first time security is applied.</t>
  </si>
  <si>
    <t>Customer-release administration/security must be functional and server/DB enforced; frontend-only hiding is not authorization.</t>
  </si>
  <si>
    <t>WAIT for Presentation RC freeze/tag + clean index/worktree. Then: T-087/T-088 canonical migration authority available; establish FORCE RLS guar...</t>
  </si>
  <si>
    <t>Secret and configuration hygiene</t>
  </si>
  <si>
    <t>Remove PlantProcess__Auth__Users__0__IsBootstrapAdmin=true from env/profiles/local.env and env/profiles/presentation.env, both at line 42. Move the hardcoded PPIQ_E2E_PASS and the CI signing key out of deploy/scripts/ci-e2e-stack.sh. Parameterise the fifteen hardcoded server-IP references. Add secret masking to the audit package generator, whose header currently reads 'Mask Secrets : False' while the package contains credentials. Also fix the duplicated ConnectionStrings__PlantProcessDb line in both env profiles. AUDIT HARDENING IN v2.9.2. Do not stop at deleting today's literals. Make environment separation structural: Production must reject demo/test/bootstrap users, development signing keys, presentation-only source/database defaults and hardcoded host fallbacks. Local, test and presentation conveniences remain available only through explicitly selected non-Production profiles; the same deployable artifact moves environments.</t>
  </si>
  <si>
    <t>A secret scan across the repository returns no live credential. Generate an audit package and confirm secrets are masked. Confirm the E2E stack still runs with credentials supplied from the environment. Add a fail-closed Production configuration test that deliberately injects a bootstrap admin, a known demo/test credential marker, a development signing key and a presentation/local host fallback one at a time; each must stop startup or fail the configuration gate by name. A clean Production profile passes with all required values externally supplied.</t>
  </si>
  <si>
    <t>F-078 [Critical] — F7 System Settings /admin/settings and F8 Translation and Language /admin/translation are target pages. Current repo contains presentation-era translations but no final target routes and no backlog owner for installation settings/time zone/data boundary or governed translation packs.</t>
  </si>
  <si>
    <t>F-078 — Add T-200 for canonical System Settings and Translation/Language surfaces. T-113 configuration hygiene remains security plumbing, not this customer administration contract.</t>
  </si>
  <si>
    <t>T-114</t>
  </si>
  <si>
    <t>Tenant keys, tenant-aware uniqueness and canonical namespace on new APIs</t>
  </si>
  <si>
    <t>Apply tenant keys and tenant-aware uniqueness to every table introduced in M1 and M2a, and put every new endpoint on the canonical namespace from the outset so the migration does not have to catch up with new work.</t>
  </si>
  <si>
    <t>Insert the same natural key for two tenants and confirm both persist. A test asserting every endpoint added after this date matches the canonical domain pattern.</t>
  </si>
  <si>
    <t>T-087 + T-089/T-090 + T-095/T-099 canonical M2a tables available; establish tenant-first uniqueness/API law before M2b persistence.</t>
  </si>
  <si>
    <t>WAIT for Presentation RC freeze/tag + clean index/worktree. Then: T-087 + T-089/T-090 + T-095/T-099 canonical M2a tables available; establish t...</t>
  </si>
  <si>
    <t>T-115</t>
  </si>
  <si>
    <t>Fresh-install Rule 2 acceptance test, ephemeral</t>
  </si>
  <si>
    <t>MOVED FROM M1 IN v2.3, and the move is correct on two counts. First, it fails Gate A on its own terms: the customer never sees it, and no presentation-visible feature depends on it. Second, the shape I proposed was wrong. A third PERSISTENT database is a third environment somebody has to remember to maintain, and this project already has exactly two working databases that earn their keep - ppiq_app for development and ppiq_presentation for the prepared demonstration state. Note also that ppiq_dev is a PostgreSQL LOGIN, not a database, which is worth writing down because the name invites the confusion. The correct implementation is an EPHEMERAL fixture created inside the integration test: create a uniquely named clean database, apply exactly the migrations a customer installation applies, apply NO seed, run the one-query Rule 2 proof, assert zero, then drop the database. Nothing survives the test run. The proof is the artifact; the database is not. What it protects is real: a customer's IT reviewer who opens a fresh installation and finds another company's plant rows inside it has found a dead deal, and ninety-four post-EF SQL scripts are where that could hide.</t>
  </si>
  <si>
    <t>A fresh migration chain produces zero rows outside the declared prefill allowlist. The allowlist is data, at Backend/database/acceptance/rule2_prefill_allowlist.txt, so a table added later is plant data BY DEFAULT and the test goes red until somebody classifies it deliberately. The test fails if any future migration or seed introduces plant, customer or demonstration rows. The temporary database is dropped whether the assertion passes or fails.</t>
  </si>
  <si>
    <t>T-116</t>
  </si>
  <si>
    <t>API namespace migration, part 1: map the 92 prefixes onto the 27 domains and stand up dual-serve</t>
  </si>
  <si>
    <t>Namespace</t>
  </si>
  <si>
    <t>Chapter 3 4.3 specifies 27 clean /api/{domain} domains. The repository registers 92 MapGroup prefixes and 544 verb-level routes, with 18 groups under /api/v5, 6 under /api/p15, plus /phase2, /phase4, /phase5, /api/phase8, /api/p09 and /admin/p03p04. Produce the mapping table, then serve both old and new paths during a transition window.</t>
  </si>
  <si>
    <t>Every one of the 544 routes appears exactly once in the mapping table. Both the old and the new path return identical responses for a sample of twenty routes.</t>
  </si>
  <si>
    <t>F-069 [Critical] — T-117 explicitly says legacy API dual-serve removal must be a named follow-up task, but v2.10.1 contains no owner for removing the old aliases. Frontend redirect cleanup T-149 is a different surface.</t>
  </si>
  <si>
    <t>F-069 — Add T-194: retire legacy API dual-serve aliases after client migration and canonical-journey continuity proves no consumer uses them.</t>
  </si>
  <si>
    <t>T-117</t>
  </si>
  <si>
    <t>API namespace migration, part 2: migrate the clients and add the token gate</t>
  </si>
  <si>
    <t>Move the ~177 frontend API client methods across 13 modules and the 72 methods on productCoreApiClient.runtime.ts onto the new paths. Then add a gate that fails the build when a registered route or a client base path contains a phase, version or task token. Schedule the removal of the dual-serve window as a named follow-up task rather than leaving it open indefinitely.</t>
  </si>
  <si>
    <t>A test asserting no registered route matches /phase\d+|\/v\d+\/|p\d\d/. Open the browser network tab during the golden journey and confirm no request URL carries a phase or version token.</t>
  </si>
  <si>
    <t>T-118</t>
  </si>
  <si>
    <t>J1 to J3 commissioning built for real</t>
  </si>
  <si>
    <t>Commissioning</t>
  </si>
  <si>
    <t>Chapter 5 classifies installation, licence activation and user provisioning as commissioning prerequisites, which is why M1 narrates rather than demonstrates them. Build them: first-run installation, licence activation with the Ed25519 signed token, and initial user provisioning. Respect the Admin Golden Rule: the SOU support account is auto-provisioned and undeletable, while the customer administrator is a manual commissioning step and is never auto-created.</t>
  </si>
  <si>
    <t>Commission a site from an empty database following only the runbook, with no developer intervention and no database console. Confirm the customer administrator is not created automatically.</t>
  </si>
  <si>
    <t>M2A-4 — commissioning/admin/package</t>
  </si>
  <si>
    <t>T-119</t>
  </si>
  <si>
    <t>Eight-role catalogue with three enforcement layers</t>
  </si>
  <si>
    <t>Users and roles</t>
  </si>
  <si>
    <t>Implement the role catalogue as the shipped default with a three-role minimum as the smallest legal configuration, enforced at the API, the query and the UI layers. FormalRoleAccessMatrix already models capabilities including AssistantChat; extend rather than replace it.</t>
  </si>
  <si>
    <t>A matrix test asserting every role against every capability, at all three layers. Confirm a viewer cannot author SQL at any licence tier, which is a standing ruling.</t>
  </si>
  <si>
    <t>T-120</t>
  </si>
  <si>
    <t>Users and Roles administration surface</t>
  </si>
  <si>
    <t>Build the F1 Users and Roles page from Chapter 3 4.4 with the ten-field page contract. The code itself records that Users and Roles and System Health are missing from the UI.</t>
  </si>
  <si>
    <t>Create, edit, disable and re-enable a user, and change a role assignment, entirely through the interface. Confirm the audit layer records each change.</t>
  </si>
  <si>
    <t>T-121</t>
  </si>
  <si>
    <t>Licence and entitlement enforcement</t>
  </si>
  <si>
    <t>Licence</t>
  </si>
  <si>
    <t>Chapter 6 6.3 requires the six commercial dimensions and the capacity envelope to bound a tier together. LicenseLimits already carries AllowsSqlEditor per tier, set by both LicenseService and VerifiedEd25519LicenseService and exposed by LicenseAdminEndpoints. Extend to full metering: retained volume, ingest rate, refresh floor, weighted compute slots and concurrent sessions. Exceeding a meter throttles rather than destroys, and every meter is visible to the customer.
v2.10.2 PAGE-COVERAGE EXPANSION — this owner also delivers the required F3 Authoring Quota and Limits route /admin/quota. F2 shows licence/entitlement and total meters; F3 allocates authoring quotas by role/user with current consumption, Amber at &gt;=80%, create disabled at 100%, and no lost draft.</t>
  </si>
  <si>
    <t>Exceed a meter and confirm the import queues and the job waits for a slot rather than failing. Confirm the customer can see their own approach to each meter in the interface, since a limit the customer cannot see is a trap.
In addition to licence-meter tests, open /admin/quota, change one role quota and one user override, approach 80% and 100%, and prove warning/disable semantics plus audit. Non-admin roles are denied by the final page contract.</t>
  </si>
  <si>
    <t>T-119 role catalogue/enforcement + licence authority.</t>
  </si>
  <si>
    <t>v2.10.2 — F3 /admin/quota target page added to existing licence/meter owner</t>
  </si>
  <si>
    <t>F-079 [Very Important] — F3 Authoring Quota and Limits /admin/quota is absent in the latest frontend route audit. T-121 owns metering and says every meter is visible but does not explicitly own the required F3 route/role-user allocation matrix.</t>
  </si>
  <si>
    <t>F-079 — Expand T-121 to deliver both F2 licence/meter enforcement and the separate F3 /admin/quota surface with role/user quotas, 80% warning and 100% create-disable semantics.</t>
  </si>
  <si>
    <t>WAIT for Presentation RC freeze/tag + clean index/worktree. Then: T-119 role catalogue/enforcement + licence authority.</t>
  </si>
  <si>
    <t>T-122</t>
  </si>
  <si>
    <t>Container architecture and configuration profiles, including isolated ML runtimes</t>
  </si>
  <si>
    <t>Deployment</t>
  </si>
  <si>
    <t>Implement the Chapter 6 container/profile architecture and include the frozen AI runtime split: ppiq-worker for ordinary batch work including ml.batch_scoring, ppiq-ml-train for ml.training, and ppiq-ml-online for hard-reserved online scoring only. Keep assistant serving behind ModelServingRuntime/model gateway. No training module may be imported by the online container. Preserve the same signed application artifact and profile-driven deployment.</t>
  </si>
  <si>
    <t>Bring up each profile from a clean machine. Prove ppiq-ml-online admits online scoring only, has a warm-model readiness check, and fails a dependency test if a trainer module is imported. Prove training/batch saturation cannot consume the online reservation. All existing non-ML containers remain healthy.</t>
  </si>
  <si>
    <t>Shared: Infrastructure + Worker 3</t>
  </si>
  <si>
    <t>SHARED — AFTER M2a-P3</t>
  </si>
  <si>
    <t>Infrastructure owns containers/profiles; Worker 3 owns ML runtime readiness/dependency tests. No presentation-profile changes.</t>
  </si>
  <si>
    <t>T-106 + T-107 + T-112 + T-113 + T-114 + T-117; T-137/T-168 runtime contracts available.</t>
  </si>
  <si>
    <t>v2.10.2 — explicit scheduler/security/runtime prerequisites</t>
  </si>
  <si>
    <t>WAIT for Presentation RC freeze/tag + clean index/worktree. Then: T-106 + T-107 + T-112 + T-113 + T-114 + T-117; T-137/T-168 runtime contracts ...</t>
  </si>
  <si>
    <t>T-123</t>
  </si>
  <si>
    <t>Install package, migration runner, upgrade and rollback</t>
  </si>
  <si>
    <t>Build the fresh installation and upgrade paths from Chapter 6 6.1.4, including what an upgrade may never do, and a rollback path. Migration runs as a deployment step rather than as a manual action.</t>
  </si>
  <si>
    <t>Install on a clean machine, upgrade from the previous version, then roll back. All three complete without manual database intervention. Run the fourteen post-deployment acceptance checks from 6.1.4.6.</t>
  </si>
  <si>
    <t>T-124</t>
  </si>
  <si>
    <t>Backup with a tested restore acceptance procedure</t>
  </si>
  <si>
    <t>Backup</t>
  </si>
  <si>
    <t>Chapter 6 6.1.11 requires not just backup but a tested restore acceptance procedure with a consistency rule. Implement schedule, retention, encryption and the restore rehearsal.</t>
  </si>
  <si>
    <t>Perform a real restore into a clean environment and run the acceptance procedure against it. A backup that has never been restored does not count as a backup.</t>
  </si>
  <si>
    <t>F-077 [Critical] — F9 Log Retention and Archival /admin/log-retention is the only allowed destructive log-history policy surface and carries dry-run, archive-before-delete, legal hold and audit minimums. No route/task currently owns it.</t>
  </si>
  <si>
    <t>F-077 — Add T-199. Backup/restore T-124 is not a substitute for governed log-retention/archival.</t>
  </si>
  <si>
    <t>T-125</t>
  </si>
  <si>
    <t>Minimum monitoring, health and alerting</t>
  </si>
  <si>
    <t>Implement the minimum from Chapter 6 6.1.12 required to operate a soft test: per-component metrics, alert severity and escalation, and the operational dashboard. Full observability and SLOs are M3.</t>
  </si>
  <si>
    <t>Trigger each alert condition deliberately and confirm it fires with the correct severity and reaches the configured channel.</t>
  </si>
  <si>
    <t>F-075 [Critical] — Chapter 3 requires E6 Alert Routing and Escalation /alert-routing with routing rules, retries, dead letters, quiet periods and escalation. Latest frontend audit has no route and no backlog task owns the capability.</t>
  </si>
  <si>
    <t>F-075 — Add T-197 before T-127 canonical J15 regression.</t>
  </si>
  <si>
    <t>T-126</t>
  </si>
  <si>
    <t>Support runbook and UAT dataset and configuration import</t>
  </si>
  <si>
    <t>Handover</t>
  </si>
  <si>
    <t>Write the runbook the customer's own operator will follow, and build the path to import the customer's UAT dataset and configuration. Include the operator, data engineer and administrator sections.</t>
  </si>
  <si>
    <t>A person who has not worked on the project commissions a site and completes one import following only the runbook. Every step they had to ask about is a defect in the runbook.</t>
  </si>
  <si>
    <t>T-127</t>
  </si>
  <si>
    <t>Canonical journey regression and the Continuity comparison</t>
  </si>
  <si>
    <t>Run J1 to J15 against a normal ppiq_app database with no presentation shortcut and no demonstration-only code path. Then run the Customer Contract Continuity comparison against the snapshots captured at the end of M1.</t>
  </si>
  <si>
    <t>The journey passes on the canonical database. The continuity comparison shows no change to navigation, control placement, authoring flow, terminology or refusal semantics. Any difference is a defect in M2, not an improvement.</t>
  </si>
  <si>
    <t>All M2a canonical-core/user-visible owners complete, including T-196/T-197/T-198/T-199/T-200 and expanded T-121. T-194 runs after this continuity proof to retire API aliases.</t>
  </si>
  <si>
    <t>v2.10.2 — canonical J1-J15 now gates newly discovered target-route owners</t>
  </si>
  <si>
    <t>F-069 [Critical] — T-117 explicitly says legacy API dual-serve removal must be a named follow-up task, but v2.10.1 contains no owner for removing the old aliases. Frontend redirect cleanup T-149 is a different surface.
F-075 [Critical] — Chapter 3 requires E6 Alert Routing and Escalation /alert-routing with routing rules, retries, dead letters, quiet periods and escalation. Latest frontend audit has no route and no backlog task owns the capability.
F-076 [Critical] — F5 Logging and Audit /admin/logs and F6 Log Channel Configuration /admin/log-channels are target pages. Audit logging exists in backend, but latest frontend audit has neither route and no task owns final log-channel authority/UI.
F-077 [Critical] — F9 Log Retention and Archival /admin/log-retention is the only allowed destructive log-history policy surface and carries dry-run, archive-before-delete, legal hold and audit minimums. No route/task currently owns it.
F-078 [Critical] — F7 System Settings /admin/settings and F8 Translation and Language /admin/translation are target pages. Current repo contains presentation-era translations but no final target routes and no backlog owner for installation settings/time zone/data boundary or governed translation packs.</t>
  </si>
  <si>
    <t>F-069 — Add T-194: retire legacy API dual-serve aliases after client migration and canonical-journey continuity proves no consumer uses them.
F-075 — Add T-197 before T-127 canonical J15 regression.
F-076 — Add T-198 to converge logging/audit read surface and canonical log-channel configuration, preserving audit immutability and role-scoped family visibility.
F-077 — Add T-199. Backup/restore T-124 is not a substitute for governed log-retention/archival.
F-078 — Add T-200 for canonical System Settings and Translation/Language surfaces. T-113 configuration hygiene remains security plumbing, not this customer administration contract.</t>
  </si>
  <si>
    <t>WAIT for Presentation RC freeze/tag + clean index/worktree. Then: All M2a canonical-core/user-visible owners complete, including T-196/T-197/T-...</t>
  </si>
  <si>
    <t>Continuity green → W1 executes T-194; M2a release gate may close.</t>
  </si>
  <si>
    <t>Intelligence store</t>
  </si>
  <si>
    <t>Build the canonical versioned feature and outcome stores plus feature_snapshots metadata. feature_store is governed current state, not the training read path. feature_snapshots records semantic_manifest_id, storage_uri, artifact_format, artifact_content_hash, artifact_byte_size, row_count, feature-set/outcome versions and retention. The actual seal/write implementation is T-184 and the schema-independent artifact library is T-169. v2.10.1 AUTHORITY CLARIFICATION. The outcome store holds observed outcome values/history that reference a canonical published SM-06 OutcomeDefinition/version. It does not define or reinterpret outcome semantics, grain, class taxonomy, ordinal ranking, detection/leakage anchors, units, direction or censoring policy.</t>
  </si>
  <si>
    <t>Persist a feature/outcome population and a snapshot metadata row without copying the full training population into JSONB rows. Change the live feature state and prove the snapshot metadata still names the original immutable content hash. A new governed snapshot without semantic_manifest_id is refused after T-183 lands. Every governed outcome population resolves to one canonical published OutcomeDefinition/version. An unknown or unpublished definition is refused. A later definition version does not silently reinterpret historical outcome values or existing snapshots/runs.</t>
  </si>
  <si>
    <t>T-087..T-105 + T-112 + T-114 security/tenant hand-off. Outcome semantics from T-090.</t>
  </si>
  <si>
    <t>v2.10.2 — tenant/RLS security hand-off added</t>
  </si>
  <si>
    <t>F-063 [Critical] — Several M2b production-persistence tasks are allowed immediately after M2a-P2, but FORCE RLS and tenant-first uniqueness are only established in M2a-P3 T-112/T-114. Creating tenant-owned intelligence tables first and 'fixing RLS later' creates a temporary insecure architecture and makes T-135 a retrofit.
F-064 [Critical] — Worker-3 lane labels T-183/T-128 and dependent persistence as 'after M2a-P2', but their tables are tenant-owned and therefore require the M2a-P3 security/tenant guard from T-112/T-114.
F-082 [Very Important] — Phase Summary says all M2b-P1 starts after M2a-P2, but production persistence needs security/tenant authority from M2a-P3 while pure computation can start earlier.</t>
  </si>
  <si>
    <t>F-063 — Every new tenant-owned table must receive tenant key, tenant-first uniqueness and FORCE RLS at creation. T-112/T-114 (or their proven architecture guards) become release gates for M2b persistence. T-135 becomes a cross-table audit/ratchet, not the first time security is applied.
F-064 — Change these start conditions to 'after canonical schema/relationship hand-off AND T-112/T-114 security hand-off'. Pure non-persistence kernels may still start earlier.
F-082 — Revise phase intent: canonical data/relationship authority after P2; any new tenant-owned production persistence waits for T-112/T-114 security hand-off. Keep pure cores parallel-safe.</t>
  </si>
  <si>
    <t>Intelligence/AI/ML/Assistant canonical integration</t>
  </si>
  <si>
    <t>AI/ML production integration</t>
  </si>
  <si>
    <t>M2B-1 — canonical intelligence persistence</t>
  </si>
  <si>
    <t>T-087..T-105 + T-112 + T-114 security/tenant hand-off. Outcome semantics from...</t>
  </si>
  <si>
    <t>Own intelligence/ML/Assistant and named intelligence surfaces. W1/W2 forbidden after hand-off.</t>
  </si>
  <si>
    <t>Unify compute run records, terminal refusal states, gate state/evidence, correlation/findings persistence and evidence handles on the common intelligence substrate. Every new governed run carries semantic_manifest_id once T-183 is present. A refusal is a persisted result state, never an exception-shaped blank screen.</t>
  </si>
  <si>
    <t>For FINDING and each refusal class, resolve the row to run, manifest, gate evidence and source evidence. Break an evidence handle and prove the result is rejected. Break manifest coverage and prove G-55 refuses the new governed run.</t>
  </si>
  <si>
    <t>T-128 + T-183 + T-112 + T-114.</t>
  </si>
  <si>
    <t>v2.10.2 — security/manifest prerequisites explicit</t>
  </si>
  <si>
    <t>F-063 [Critical] — Several M2b production-persistence tasks are allowed immediately after M2a-P2, but FORCE RLS and tenant-first uniqueness are only established in M2a-P3 T-112/T-114. Creating tenant-owned intelligence tables first and 'fixing RLS later' creates a temporary insecure architecture and makes T-135 a retrofit.
F-064 [Critical] — Worker-3 lane labels T-183/T-128 and dependent persistence as 'after M2a-P2', but their tables are tenant-owned and therefore require the M2a-P3 security/tenant guard from T-112/T-114.</t>
  </si>
  <si>
    <t>F-063 — Every new tenant-owned table must receive tenant key, tenant-first uniqueness and FORCE RLS at creation. T-112/T-114 (or their proven architecture guards) become release gates for M2b persistence. T-135 becomes a cross-table audit/ratchet, not the first time security is applied.
F-064 — Change these start conditions to 'after canonical schema/relationship hand-off AND T-112/T-114 security hand-off'. Pure non-persistence kernels may still start earlier.</t>
  </si>
  <si>
    <t>Model lifecycle</t>
  </si>
  <si>
    <t>Implement ppiq_plant.model_registry per serving identity (tenant_id, model_code, outcome_code, grain_code) plus model_version. status and serving_role are independent; at most one active and one approved fallback exist per serving identity, and one version can never be both. There is no ModelBundle. Store artifact identity, semantic_manifest_id, acceptance floors, quality/serving/training metrics and drift observations. Promotion policy itself is implemented by T-176 and wired by T-187.</t>
  </si>
  <si>
    <t>Create two serving identities with identical model_code but different outcome/grain and prove independent activation. Attempt duplicate active/fallback rows and primary=fallback and prove the database refuses them. Activate, retire and fall back atomically with every transition audited and manifest-resolvable.</t>
  </si>
  <si>
    <t>Practice learning</t>
  </si>
  <si>
    <t>Implement the production practice-learning core: canonical signature construction, parameter windowing, declared context and comparison cohort. The engine consumes governed data-product contracts only and contains no source table/industry vocabulary. Persistence and the D10 surface remain T-133.</t>
  </si>
  <si>
    <t>Against the certified M2 reference dataset, recover the planted good-practice band and refuse/avoid the null control. Run a genericity test showing the kernel receives only semantic codes/data-product fields, never source identifiers.</t>
  </si>
  <si>
    <t>Add support/confidence ranking, sparse-cohort back-off, resampling stability and tolerance sensitivity to practice learning. A result that changes materially under reasonable tolerance changes is explicitly marked sensitive rather than promoted as stable.</t>
  </si>
  <si>
    <t>A stable practice survives resampling and is ranked with support. A sparse cohort walks the declared back-off ladder. Widen tolerance and prove a flipping practice is marked sensitive with the tested settings persisted.</t>
  </si>
  <si>
    <t>Persist practice_statistics/signatures with semantic_manifest_id and evidence, implement practice drift against the plant's own demonstrated best, and replace the M1 presentation adapter behind D10 with canonical sources without changing the frozen D10 visible contract.</t>
  </si>
  <si>
    <t>Move operating data away from the learned band and prove drift is detected, persisted and surfaced with evidence. Run the M1 continuity snapshot for D10 and prove no route, control, wording or state-semantics regression.</t>
  </si>
  <si>
    <t>Worker 3 AFTER M2b-P1</t>
  </si>
  <si>
    <t>Make intelligence a first-class bindable source through registry_intelligence_sources. Fact-shaped measures may project through WidgetFact; native-grain rich sources retain declared columns. Predictions, findings, practice, readiness and model-state sources appear in the normal authoring shell with resolvable evidence.
v2.10.2 PHASE CORRECTION — this task builds the generic bindable-intelligence registry/evidence mechanism and registers only canonical sources that actually exist at this point. Do not promise prediction bindings before T-139 creates canonical predictions; T-139/T-189 register those sources later through the same mechanism.</t>
  </si>
  <si>
    <t>Bind one fact-shaped and one native-rich intelligence source through the standard authoring shell, filter/drill both and open evidence. Break an evidence handle and prove the widget refuses rather than rendering an uncited number. No ML-specific widget branch exists.</t>
  </si>
  <si>
    <t>T-090 definition authority + T-095/T-096 relationship resolver + available canonical intelligence sources (T-129/T-130/T-133/T-186 as applicable). Do not depend on future T-139 prediction rows.</t>
  </si>
  <si>
    <t>v2.10.2 — removed impossible early prediction registration / circular broad dependency</t>
  </si>
  <si>
    <t>F-065 [Critical] — T-134 promises predictions, findings, practice, readiness and model-state as bindable sources in M2b-P1, but canonical predictions do not exist until T-139 in P3. It also depends on T-128..T-135, while T-135 is written as covering future intelligence tables, creating a circular completion interpretation.</t>
  </si>
  <si>
    <t>F-065 — T-134 builds the generic registry/evidence binding mechanism and registers only sources that exist at that point. T-139/T-189 register prediction sources when created. T-135 is a security ratchet over current tables plus an architecture test that forces all future tables to comply.</t>
  </si>
  <si>
    <t>T-090 definition authority + T-095/T-096 relationship resolver + available ca...</t>
  </si>
  <si>
    <t>Apply tenant ownership, tenant-first uniqueness and RLS to every new intelligence table in the frozen design, including model, prediction, practice, index-generation, capability/readiness and run/evidence tables. Semantic manifests use manifest_id PK plus UNIQUE(tenant_id, manifest_hash).
v2.10.2 SECURITY-RATChET RULING — T-135 is not the first time RLS is applied. T-112/T-114 establish the mandatory pattern before M2b persistence. T-135 audits current intelligence tables and adds/extends the architecture ratchet so every future tenant-owned intelligence table fails CI if tenant_id, tenant-first uniqueness or FORCE RLS is missing.</t>
  </si>
  <si>
    <t>Insert identical natural keys for two tenants and prove both persist. Prove cross-tenant reads fail from the database alone. The architecture test fails when any new tenant-owned intelligence table lacks forced RLS or tenant-first uniqueness.</t>
  </si>
  <si>
    <t>T-112 + T-114 + current M2b persistence tables (including T-128/T-129/T-130/T-183 as they land). Future tasks consume the ratchet.</t>
  </si>
  <si>
    <t>v2.10.2 — security retrofit converted to continuous architecture ratchet</t>
  </si>
  <si>
    <t>F-063 [Critical] — Several M2b production-persistence tasks are allowed immediately after M2a-P2, but FORCE RLS and tenant-first uniqueness are only established in M2a-P3 T-112/T-114. Creating tenant-owned intelligence tables first and 'fixing RLS later' creates a temporary insecure architecture and makes T-135 a retrofit.
F-065 [Critical] — T-134 promises predictions, findings, practice, readiness and model-state as bindable sources in M2b-P1, but canonical predictions do not exist until T-139 in P3. It also depends on T-128..T-135, while T-135 is written as covering future intelligence tables, creating a circular completion interpretation.</t>
  </si>
  <si>
    <t>F-063 — Every new tenant-owned table must receive tenant key, tenant-first uniqueness and FORCE RLS at creation. T-112/T-114 (or their proven architecture guards) become release gates for M2b persistence. T-135 becomes a cross-table audit/ratchet, not the first time security is applied.
F-065 — T-134 builds the generic registry/evidence binding mechanism and registers only sources that exist at that point. T-139/T-189 register prediction sources when created. T-135 is a security ratchet over current tables plus an architecture test that forces all future tables to comply.</t>
  </si>
  <si>
    <t>T-112 + T-114 + current M2b persistence tables (including T-128/T-129/T-130/T...</t>
  </si>
  <si>
    <t>Make practice recomputation incremental using M2a stage watermarks and changed-population contracts. Recompute only affected cohorts/signatures and preserve prior immutable evidence for unaffected historical results.</t>
  </si>
  <si>
    <t>Add one day of data and prove recomputation scans a bounded delta, Scan Amplification stays inside the declared baseline, and unaffected practice rows/evidence hashes do not change.</t>
  </si>
  <si>
    <t>M2B-2 — runtime/model integration</t>
  </si>
  <si>
    <t>LLM runtime</t>
  </si>
  <si>
    <t>Replace the obsolete provider-specific POST assumption with a replaceable ModelServingRuntime plus model-gateway adapter. Support self-hosted/private/BYOM endpoints, minimum-scoped evidence payloads, provider/model release identity, timeout/cancellation and no-unapproved-fallback. IMPLEMENT NOW ONLY AS AN ISOLATED MODULE: do not register it into the current assistant DI or change the M1 dock/runtime. Canonical wiring happens in T-138.</t>
  </si>
  <si>
    <t>Standalone contract tests run against a deterministic fake runtime and an HTTP translating stub. They prove minimum-scoped payload, timeout/cancel, governed provider/model identity, and refusal on unapproved fallback. A repository dependency test proves no production assistant registration or M1 route/file changed in this task.</t>
  </si>
  <si>
    <t>56a2c37c ModelServingRuntime isolated module</t>
  </si>
  <si>
    <t>CLOSED — do not reopen</t>
  </si>
  <si>
    <t>Closed Foundation</t>
  </si>
  <si>
    <t>Isolated foundation. Do not count it as production-ready intelligence until canonical persistence/cutover tasks close.</t>
  </si>
  <si>
    <t>After M1 continuity is frozen and canonical intelligence is available, replace the M1 retrieval/prepared-state internals behind the unchanged dock. Wire T-179 deterministic tool planner, T-180 permission-first hybrid retrieval/evidence packer, T-137 ModelServingRuntime and T-181 deterministic verifier. Structured Layer A/B tools take precedence for facts; LLM phrasing never replaces an engine refusal or upgrades claim class.</t>
  </si>
  <si>
    <t>Re-run the certified M1 question pack and continuity snapshot. Every numeric claim resolves to a supplied handle, permission filtering occurs before ranking, truncation is disclosed, an engine refusal stays a refusal, and a fabricated/unsupported claim is blocked before display. No prepared presentation corpus is required.</t>
  </si>
  <si>
    <t>Worker 3 AFTER M2b-P2</t>
  </si>
  <si>
    <t>Production integration/cutover on final schema/security authority. This is what turns isolated kernels into customer-shippable intelligence.</t>
  </si>
  <si>
    <t>M2B-4 — cutover/gates</t>
  </si>
  <si>
    <t>Prediction</t>
  </si>
  <si>
    <t>Build prediction_runs, predictions and prediction_current as the canonical operational read model. Every run is tied to semantic_manifest_id, serving identity and active/fallback model version, and prediction_current is latest-only per operational identity.</t>
  </si>
  <si>
    <t>Score a live bounded population and prove prediction_current contains only the latest applicable prediction, with model/manifest identity resolvable. Activate a newer model and prove old historical predictions remain immutable while current rows update correctly.</t>
  </si>
  <si>
    <t>M2B-3 — prediction/remediation</t>
  </si>
  <si>
    <t>Persist prediction drivers, explanation metadata and comparable historical cases as evidence-grade rows. Drivers come from the governed explanation artifact and comparables from the served similarity generation; the UI never computes or narrates them from scratch.</t>
  </si>
  <si>
    <t>Open a prediction and resolve every driver/comparable to persisted model/index/evidence identity. Delete/deny the rows and prove the consuming surface refuses rather than inventing an explanation.</t>
  </si>
  <si>
    <t>Implement actionable_deadline_utc, delivery_latency_seconds, scoring_mode and met_actionable_deadline. Tie online scoring to the hard-reserved ml.online_scoring lane. A late prediction is historical evidence, never actionable.</t>
  </si>
  <si>
    <t>Saturate training and batch, submit online scoring and measure that the reserved lane still serves. Force a prediction past its actionable deadline and prove it is persisted as late and excluded from actionable presentation.</t>
  </si>
  <si>
    <t>Worker 3 AFTER M2a-P4</t>
  </si>
  <si>
    <t>Remediation</t>
  </si>
  <si>
    <t>Generate remediation candidates from the customer's own governed history by finding comparable early conditions with better later outcomes and the later-stage practices that differed. Persist support, effect range, limitations, evidence and the semantic/model/index identities used. No candidate is a control instruction.</t>
  </si>
  <si>
    <t>On the certified M2 reference dataset, every emitted candidate meets the declared support threshold, has a bounded effect range and resolvable comparable evidence. Insufficient-support candidates do not emit. No source-system write API is reachable.</t>
  </si>
  <si>
    <t>Wire the pure decision kernel from T-178 into prediction/remediation persistence and API contracts. Eligibility is per prediction. can_accept is the complete server authority and the client never re-derives it. Outcomes are actionable, evidence_only, exploratory or suppressed; suppressed rows are audited and never shown.</t>
  </si>
  <si>
    <t>Run one persisted/API case per nine-check failure and per can_accept condition. Prove the same template can be suppressed for one prediction and actionable for another. Search every consuming API/UI payload and prove a suppressed candidate is absent.</t>
  </si>
  <si>
    <t>Feedback loop</t>
  </si>
  <si>
    <t>Implement Accept, Reject and Defer behind the server-authoritative can_accept boundary, with actor, timestamp and reason. Each decision creates the governed action/decision state only when allowed. PPIQ records human action and never issues a plant control command.</t>
  </si>
  <si>
    <t>Exercise all three decisions with can_accept true and false. Allowed actions persist actor/reason/state; disallowed actions fail server-side even if a client is modified. A dependency/network test proves no customer-source write/control client is reachable.</t>
  </si>
  <si>
    <t>Capture observed outcomes, prediction/remediation evaluation and escalation records. Intervened instances are reported separately from ordinary prediction-accuracy metrics. Escalation is a record, never an automatic decision.</t>
  </si>
  <si>
    <t>Accept a candidate, let the outcome arrive and prove evaluation closes the loop with intervention state preserved. Confirm intervened instances are excluded from ordinary accuracy calculation and an escalation creates no action automatically.</t>
  </si>
  <si>
    <t>Consolidation</t>
  </si>
  <si>
    <t>Use the schema-independent statistical kernel from T-177 to converge the runtime onto one readiness-gated engine and retire the direct-SQL/superseded compute paths. Persist method, aligned population/group sizes, effect size, p-value, FDR/q-value, gate evidence and truthful exclusion reason. This is the production wiring/cutover task; do not perform it before M1 presentation continuity is frozen.</t>
  </si>
  <si>
    <t>Only one production correlation engine is reachable. Known-answer fixtures cover Numeric×Numeric, Binary×Numeric, Categorical×Categorical and Numeric×Categorical. Numeric×Categorical selects ANOVA when assumptions hold and Kruskal-Wallis otherwise. Constant, unsupported and insufficient-sample cases retain distinct reasons. Re-run the M1 analysis continuity checks and prove no visible regression.</t>
  </si>
  <si>
    <t>T-147 COMPLETE + T-177 + T-128/T-129; M1 presentation continuity frozen.</t>
  </si>
  <si>
    <t>v2.10.2 — T-147 made hard predecessor of statistical-engine cutover</t>
  </si>
  <si>
    <t>F-066 [Very Important] — T-146 appears before T-147 in the execution list even though its own dependency text says T-147 precedes final cutover. An automated/parallel worker can therefore start the cutover against the wrong outcome/grain semantics.</t>
  </si>
  <si>
    <t>F-066 — Make T-146 explicitly depend on completed T-147. Worker-3 lane ordering must list T-147 before T-146.</t>
  </si>
  <si>
    <t>Worker 3 AFTER M1 FREEZE + M2b-P1</t>
  </si>
  <si>
    <t>Converge outcome namespace, grain ownership and ordinal/categorical loading on the canonical outcome store. Refresh must never silently reassign grain, and ordinal/categorical labels/classes are preserved as real outcomes rather than coerced to fake numeric targets. v2.10.1 SM-06 CONSUMPTION. Converge Engine-side outcome consumption on the canonical published SM-06 OutcomeDefinition and canonical outcome store. Consume — never redefine — outcome_type, class taxonomy, ordinal rank map, outcome-specific grain, detection_position_code, detection_timestamp_field, direction, unit and censoring policy. The two detection fields are the leakage anchors consumed by G-06. Refresh may not silently reassign grain, classes or outcome semantics, and categorical/ordinal outcomes remain real classes rather than fake numeric targets.</t>
  </si>
  <si>
    <t>One namespace across registry, store and engines. Grain survives refresh. Load ordinal/multiclass outcomes and prove class labels/counts seen by T-177/T-146 exactly match the store without manual repair. For a published SM-06 definition, prove the Engine receives exactly the canonical grain, classes/ranks, direction/unit/censoring semantics and detection_position_code/detection_timestamp_field. Inject a feature that becomes available only after the declared detection anchor and prove G-06 blocks it fail-closed. Publish a new outcome-definition version and prove an older run/snapshot continues to resolve the old semantics rather than being silently reinterpreted.</t>
  </si>
  <si>
    <t>T-090 canonical SM-06 binding + T-128/T-129 + T-177; complete BEFORE T-146 final cutover.</t>
  </si>
  <si>
    <t>v2.10.2 — execution order made explicit</t>
  </si>
  <si>
    <t>F-056 [Critical] — T-068 explicitly binds the UI to public.ml_outcome_definitions and GET /ml/foundation/outcomes, both compatibility-era authorities. Chapter 3 D3 requires registry-driven definition-options and T-090 later makes SM-06 OutcomeDefinition part of the immutable definition authority.
F-059 [Critical] — T-094 says rename the canonical grain literal 'coil' to one generic term. The frozen design does not have one generic grain: it has material_unit_type_definitions, native_grain and dynamic outcome/model grain_code. Replacing 'coil' with 'material' would preserve the same architectural error under a new word.
F-066 [Very Important] — T-146 appears before T-147 in the execution list even though its own dependency text says T-147 precedes final cutover. An automated/parallel worker can therefore start the cutover against the wrong outcome/grain semantics.</t>
  </si>
  <si>
    <t>F-056 — T-068 must consume a stable analysis-options/outcome-registry service contract, not a physical table or temporary route. M2a swaps storage behind the contract. Complete T-068 before T-065 so the S3 authoring page is built registry-first instead of being rewritten immediately.
F-059 — Remove hardcoded/default coil semantics. Preserve customer-declared multi-grain unit types and outcome-specific grain_code. Rename T-094 scope from 'rename canonical grain' to 'remove hardcoded canonical grain default and bind to registry/material-unit authority'.
F-066 — Make T-146 explicitly depend on completed T-147. Worker-3 lane ordering must list T-147 before T-146.</t>
  </si>
  <si>
    <t>T-090 canonical SM-06 binding + T-128/T-129 + T-177; complete BEFORE T-146 fi...</t>
  </si>
  <si>
    <t>T-148</t>
  </si>
  <si>
    <t>Map the 108 page files onto the 40 target pages</t>
  </si>
  <si>
    <t>Chapter 3 4.3 specifies 40 route pages plus 6 shell components. The repository holds 108 page files in 42 groups with 48 lazy route components, and roughly 14 files are reachable by nobody. Produce the keep, merge and delete decision per file, then delete the unreachable ones under Rule 4, which requires the replacement to land with the deletion in the same change.</t>
  </si>
  <si>
    <t>A test asserting every page file under src/pages is reachable from a declared route. The count of page files moves toward 40 and no orphan remains.
v2.10.2 TARGET-INVENTORY GATE — do not merely prove every existing page file is reachable or that the count 'moves toward 40'. Assert the exact Chapter 3 inventory: all 40 target route pages are declared once at canonical routes, all 6 global shell components are present, no target route is missing, and no orphan page file remains. Any temporary legacy alias must have a named retirement owner.</t>
  </si>
  <si>
    <t>Frontend/core platform lane</t>
  </si>
  <si>
    <t>Namespace/route cleanup is not AI/ML implementation and risks overlap with presentation/frontend ownership.</t>
  </si>
  <si>
    <t>M1 continuity frozen + all target-route implementation owners available, including T-196..T-200.</t>
  </si>
  <si>
    <t>v2.10.2 — exact 40-route/6-shell completeness gate</t>
  </si>
  <si>
    <t>F-074 [Critical] — Chapter 3 requires C4 Plant Model Explorer /plant-model. Latest frontend audit has no /plant-model route and the backlog has no executable page owner. T-148 only ensures existing page files are reachable; it cannot create a missing target page.
F-080 [Critical] — T-148 validation only proves every file under src/pages is reachable and that the count 'moves toward 40'. It can pass with target pages missing. That is weaker than the frozen 40-page/6-shell contract.</t>
  </si>
  <si>
    <t>F-074 — Add T-196 for canonical C4 Plant Model Explorer, after plant/relationship authority. T-148 route-inventory gate must require every one of the 40 target route pages to exist, not merely every file to be reachable.
F-080 — T-148 must prove exact target inventory: all 40 route pages are declared once at canonical routes, all six shell components are present, no orphan page file remains, and any legacy alias is temporary/owned. T-150 consumes this gate.</t>
  </si>
  <si>
    <t>Core route convergence / legacy UI cleanup</t>
  </si>
  <si>
    <t>M1 continuity frozen + all target-route implementation owners available, incl...</t>
  </si>
  <si>
    <t>Own route inventory/redirect cleanup only; do not touch W3 intelligence surfaces.</t>
  </si>
  <si>
    <t>T-149</t>
  </si>
  <si>
    <t>Delete the legacy redirects and re-verify continuity</t>
  </si>
  <si>
    <t>Remove the roughly 20 legacy Navigate redirects and the live phase-token routes (/phase8/*, /phase9/*, /phase15/*) that App.tsx still declares among its 69 route paths, then re-run the Customer Contract Continuity comparison.</t>
  </si>
  <si>
    <t>No route path matches /phase\d+/. The continuity comparison against the M1 snapshots still shows no change to any presented page.</t>
  </si>
  <si>
    <t>M1 continuity frozen</t>
  </si>
  <si>
    <t>Complete the test gates</t>
  </si>
  <si>
    <t>Complete the canonical twenty-two-stage pipeline and wire every mandatory validator as executed truth. In addition to the existing golden journey, visual/a11y and pipeline-truth gates, wire the target-architecture G-48..G-55 pack from T-192 and the Assistant Q-01..Q-11 evaluation where applicable. No --list/enumeration, failure-swallowing wrapper or orphan validator can satisfy a gate.</t>
  </si>
  <si>
    <t>Deliberately fail one unit/integration gate, one visual/a11y gate, one golden-journey gate, one G-48..G-55 gate and one Assistant quality probe; each makes the canonical pipeline non-green. Restore each and prove green. A mechanical scan reports zero mandatory validators not reachable from the canonical pipeline.</t>
  </si>
  <si>
    <t>Shared: CI owner + Worker 3</t>
  </si>
  <si>
    <t>SHARED — FINAL GATE</t>
  </si>
  <si>
    <t>Worker 3 supplies AI/ML/LLM gate tests; canonical pipeline owner performs final wiring. No duplicate pipeline.</t>
  </si>
  <si>
    <t>T-192 + T-148 exact route/shell inventory + T-194 API-alias retirement + all mandatory gate owners.</t>
  </si>
  <si>
    <t>v2.10.2 — final pipeline consumes route/API retirement gates</t>
  </si>
  <si>
    <t>F-080 [Critical] — T-148 validation only proves every file under src/pages is reachable and that the count 'moves toward 40'. It can pass with target pages missing. That is weaker than the frozen 40-page/6-shell contract.</t>
  </si>
  <si>
    <t>F-080 — T-148 must prove exact target inventory: all 40 route pages are declared once at canonical routes, all six shell components are present, no orphan page file remains, and any legacy alias is temporary/owned. T-150 consumes this gate.</t>
  </si>
  <si>
    <t>Final cross-product gate closure</t>
  </si>
  <si>
    <t>T-192 + T-148 exact route/shell inventory + T-194 API-alias retirement + all ...</t>
  </si>
  <si>
    <t>T-150 only after W2/W3 component freeze; route failures back to owning agent.</t>
  </si>
  <si>
    <t>Final M2b gate. Fixes go back to exclusive owner; T-150 owner does not edit other agents' feature files.</t>
  </si>
  <si>
    <t>T-151</t>
  </si>
  <si>
    <t>Site defect burn-down</t>
  </si>
  <si>
    <t>Site findings</t>
  </si>
  <si>
    <t>Fix what soft testing finds, without changing the frozen visible contract unless a formal product decision is approved and recorded.</t>
  </si>
  <si>
    <t>Each defect has a reproduction, a fix and a regression test. Any visible-contract change carries a written approval.</t>
  </si>
  <si>
    <t>M3 site/production owner</t>
  </si>
  <si>
    <t>Outside Worker 3 engine/AI/ML/LLM ownership unless explicitly handed off.</t>
  </si>
  <si>
    <t>M3 sequence</t>
  </si>
  <si>
    <t>Track 2 — Site / Production Certification</t>
  </si>
  <si>
    <t>Post-pilot production certification</t>
  </si>
  <si>
    <t>GA / Production Gate</t>
  </si>
  <si>
    <t>Required to call the product production-certified/second-customer repeatable. A Sep-30 install can only be a controlled pilot unless the applicable M3 gates are pulled forward and pass.</t>
  </si>
  <si>
    <t>Site/platform/infra/backend certification</t>
  </si>
  <si>
    <t>External/site certification</t>
  </si>
  <si>
    <t>M3 — site/production evidence</t>
  </si>
  <si>
    <t>WAIT for deployed Customer Pilot RC + real customer/site evidence. M3 sequence</t>
  </si>
  <si>
    <t>Own site/platform/backend/infra. No AI/ML calibration or customer UX docs.</t>
  </si>
  <si>
    <t>T-152</t>
  </si>
  <si>
    <t>Customer data edge cases</t>
  </si>
  <si>
    <t>New source patterns, dirty data, unusual keys, timestamps, nulls, late arrivals and customer-specific mapping requirements, handled through the three doors.</t>
  </si>
  <si>
    <t>Each case handled through import, registry or authoring. Any case requiring a code branch is escalated as a design gap.</t>
  </si>
  <si>
    <t>T-153</t>
  </si>
  <si>
    <t>Connector certification against real sources</t>
  </si>
  <si>
    <t>Connectors</t>
  </si>
  <si>
    <t>Enable and certify the customer's actual connectors. A catalogue row is not a connector; an unbuilt one stays dimmed and badged as planned.</t>
  </si>
  <si>
    <t>Each certified connector completes a read-only import against the real source with the load budget enforced.</t>
  </si>
  <si>
    <t>T-154</t>
  </si>
  <si>
    <t>Query plans, indexes and partition boundaries</t>
  </si>
  <si>
    <t>Performance</t>
  </si>
  <si>
    <t>Tune against real measurements from the customer's volumes, not against assumptions.</t>
  </si>
  <si>
    <t>Before and after query plans recorded for the ten slowest queries, with the improvement measured.</t>
  </si>
  <si>
    <t>On site hardware, jointly execute resource measurements for lane max_concurrency/resource_capacity/compute_weight and the hard online reservation, plus scan-amplification and warm-model/assistant memory. This task supplies measured capacity values; it does not redesign the architecture.</t>
  </si>
  <si>
    <t>Record hardware, commit and load profile. Saturate training/batch and prove online p95 remains inside the actionable budget. Publish measured lane values and before/after Scan Amplification with no starvation.</t>
  </si>
  <si>
    <t>Real-data AI/ML calibration + measured capacity</t>
  </si>
  <si>
    <t>Real-data AI/ML/site measurement</t>
  </si>
  <si>
    <t>WAIT for deployed Customer Pilot RC + real customer/site evidence. M2b accepted + site hardware</t>
  </si>
  <si>
    <t>Own AI/ML calibration/capacity evidence only.</t>
  </si>
  <si>
    <t>T-156</t>
  </si>
  <si>
    <t>Customer definitions built through the product</t>
  </si>
  <si>
    <t>Authoring</t>
  </si>
  <si>
    <t>Build and validate the customer's real pages, relationships, measures, analyses, models and log rules using the product's own authoring surfaces.</t>
  </si>
  <si>
    <t>Every customer artifact exists as a definition in the store, created through the interface, with no manual database insert.</t>
  </si>
  <si>
    <t>Customer UX / website / docs / training</t>
  </si>
  <si>
    <t>Own customer-facing UX/docs/website only.</t>
  </si>
  <si>
    <t>Calibration</t>
  </si>
  <si>
    <t>With a longer real-data window, execute governed retraining/calibration, OOT/subgroup/missingness/explanation-stability checks, drift review and the site portions of B-05/B-06. Tune only benchmark-open parameters; no gate threshold is weakened to make a model pass.</t>
  </si>
  <si>
    <t>Each served model has a governed retraining/evaluation record, calibration evidence, drift decision and reproducible manifest. Any encoder/ANN choice is supported by the recorded benchmark against its simpler/exact baseline.</t>
  </si>
  <si>
    <t>F-068 [Very Important] — The harness intentionally leaves B-03..B-09 values unselected, but production-integration tasks can be read as choosing one artifact format/chunking/encoder/index/reranker/runtime before representative/site benchmark evidence exists.</t>
  </si>
  <si>
    <t>F-068 — M2b integration must carry explicit configured candidate identity and measured evidence without declaring a universal/site winner. B-05/B-06 selections are site-calibrated in T-157; remaining sizing/selection values freeze in T-159 or the named site benchmark owner.</t>
  </si>
  <si>
    <t>WAIT for deployed Customer Pilot RC + real customer/site evidence. M2b accepted + customer data window</t>
  </si>
  <si>
    <t>Validate remediation actionability, support thresholds, controllability and process-stage timing against the customer's real constraints. The human approval/read-only boundary remains absolute.</t>
  </si>
  <si>
    <t>Validate all nine checks against real constraints and replay at least one allowed and one refused case. No path permits automatic plant control and all refusal evidence is retained.</t>
  </si>
  <si>
    <t>Certification</t>
  </si>
  <si>
    <t>Run the four Chapter 6 capacity profiles and site certification, consuming the measured benchmark outputs from B-01..B-09 where they affect sizing. Replace only CALIBRATION_REQUIRED/REFERENCE_ASSUMPTION constants with measured values and freeze Chapter 6 when all certification gates pass.</t>
  </si>
  <si>
    <t>Every worked sizing example recomputes from measured constants; C1-C4 profiles pass their promised envelope. The certification bundle records hardware, commit, dataset, benchmark outputs and sign-off.</t>
  </si>
  <si>
    <t>F-067 [Very Important] — T-107 correctly replaces the unsatisfiable old weighted-pool rule, but it does not clearly distinguish implementing the admission mechanism from selecting real resource_capacity/max_concurrency/reservation numbers.
F-068 [Very Important] — The harness intentionally leaves B-03..B-09 values unselected, but production-integration tasks can be read as choosing one artifact format/chunking/encoder/index/reranker/runtime before representative/site benchmark evidence exists.</t>
  </si>
  <si>
    <t>F-067 — T-107 implements configurable dual predicates and proves satisfiability with test values only. It must not freeze production capacity constants. T-155/T-159 own measured site values and final selection.
F-068 — M2b integration must carry explicit configured candidate identity and measured evidence without declaring a universal/site winner. B-05/B-06 selections are site-calibrated in T-157; remaining sizing/selection values freeze in T-159 or the named site benchmark owner.</t>
  </si>
  <si>
    <t>T-160</t>
  </si>
  <si>
    <t>HA, DR and restore rehearsal</t>
  </si>
  <si>
    <t>Resilience</t>
  </si>
  <si>
    <t>Production topology, RPO and RTO objectives, and a real disaster-recovery rehearsal.</t>
  </si>
  <si>
    <t>A full recovery rehearsal completes within the stated RPO and RTO, witnessed and recorded.</t>
  </si>
  <si>
    <t>T-161</t>
  </si>
  <si>
    <t>SSO and identity integration</t>
  </si>
  <si>
    <t>Integrate the customer identity provider with the final role catalogue, account lifecycle and emergency access.</t>
  </si>
  <si>
    <t>Account provisioning, de-provisioning and emergency access all tested against the customer directory.</t>
  </si>
  <si>
    <t>T-162</t>
  </si>
  <si>
    <t>Site security hardening and sign-off</t>
  </si>
  <si>
    <t>Network rules, secrets, certificate rotation, RLS and tenant proof, audit review.</t>
  </si>
  <si>
    <t>A tenant-isolation proof from the database alone, plus a signed security review.</t>
  </si>
  <si>
    <t>T-163</t>
  </si>
  <si>
    <t>Monitoring, SLOs and support escalation</t>
  </si>
  <si>
    <t>Operational dashboards, alerts, queue and latency and backup and certificate health, and the escalation path.</t>
  </si>
  <si>
    <t>Each SLO has a measured baseline and an alert that fires before it is breached.</t>
  </si>
  <si>
    <t>The Value Engine</t>
  </si>
  <si>
    <t>Build value_impacts, cost_assumptions, the value realisation ledger and the D7 Value Dashboard, honouring the two-downtime-quantity rule. This is the only work that moves the economic buyer, and the pilot supplies the real numbers it needs.</t>
  </si>
  <si>
    <t>A euro figure is only ever shown as a bounded range with its assumptions visible and its evidence resolvable. No number without evidence.</t>
  </si>
  <si>
    <t>T-165</t>
  </si>
  <si>
    <t>Commercial capacity finalisation and the sales calculator</t>
  </si>
  <si>
    <t>Commercial</t>
  </si>
  <si>
    <t>Validate the real user, page, job, DB-link and data bands against measured infrastructure, and build the Sales Administration and capacity calculator from Chapter 6 6.3.8.</t>
  </si>
  <si>
    <t>A quote produced by the calculator matches the measured server class for the same inputs.</t>
  </si>
  <si>
    <t>T-166</t>
  </si>
  <si>
    <t>Five-product website production completion</t>
  </si>
  <si>
    <t>CORRECTED IN v2.2. The redirect replacement, the portfolio page and the mega-menu are now M1 work, because the customer sees the company architecture in the room. What remains here is production completion of the five product pages: full content, proof sections, SEO and metadata, analytics, lead flows, localization, and the final honesty certification across every claim. AUDIT HARDENING IN v2.9.2. Production completion also certifies one coherent visual identity across all five product pages and shared public-site sections. Typography, UI primitives, graphical language, motion, responsive hierarchy and accessibility must come from the same design system used by the strongest PPIQ sections. Remove mojibake, visible HTML entities and locally invented low-quality box/flowchart styling; motion must reinforce meaning and degrade cleanly under reduced-motion preferences.</t>
  </si>
  <si>
    <t>Each of the five products has a complete page under the Golden Rule product-page contract. Every claim passes the Chapter 6 6.2.10 honesty rule and the certification is recorded. Lead flow tested end to end on each page. Run a five-product visual-system audit at desktop, tablet and mobile. Zero mojibake/visible entities, text overflow, disconnected graphical connectors or page-local font/control systems. Automated visual/a11y checks are green, reduced-motion is honoured, and a reviewer comparison against the strongest PPIQ reference section records no page as visually less sophisticated.</t>
  </si>
  <si>
    <t>T-167</t>
  </si>
  <si>
    <t>Documentation, training and production acceptance</t>
  </si>
  <si>
    <t>Runbook, operator and data-engineer and administrator guides, release notes, known limitations, rollback plan and the formal acceptance suite.</t>
  </si>
  <si>
    <t>The acceptance suite passes and is signed. Known limitations are written down before the customer finds them.</t>
  </si>
  <si>
    <t>ML runtime</t>
  </si>
  <si>
    <t>Build the schema-independent execution protocol between the .NET job runner and Python ML processes. A versioned job spec carries job/tenant/site identity, model family, semantic manifest handle when available, snapshot/artifact URI+hash, seed, code identity, resource/cancellation/checkpoint settings and output location. Python returns a versioned result manifest with terminal state, metrics, artifact hashes, warnings/refusal and checkpoint identity. This task is deliberately NOT registered into production DI, scheduler or presentation runtime.</t>
  </si>
  <si>
    <t>Run deterministic fake trainers through success, honest refusal, crash, timeout, cancellation and checkpoint/resume. C# must preserve stdout/stderr and exit identity without parsing free-form text as truth. Re-running the same seeded fixture yields the same result-manifest content hashes. A dependency test proves no current M1 runtime registration changed.</t>
  </si>
  <si>
    <t>NEW v2.10</t>
  </si>
  <si>
    <t>16ea041a / 94ab4e40 / 723b9434 / 6aef283f; CI correction ef588f0c</t>
  </si>
  <si>
    <t>Data artifacts</t>
  </si>
  <si>
    <t>Implement a typed columnar artifact abstraction used by sealed feature snapshots. Parquet/Arrow/equivalent remain implementation candidates behind the contract. Own schema/type mapping, column projection, content hash, byte/row counts, deterministic read order, corruption detection and a benchmark hook for B-03. No database table is the training read path and this task does not create final persistence.</t>
  </si>
  <si>
    <t>Write and read the same representative fixture through each enabled candidate. Assert stable row/schema/content identity, projected-column reads, bounded memory and explicit refusal for unsupported/corrupt schemas. Produce B-03 benchmark output format without choosing a winner or guessing a production threshold.</t>
  </si>
  <si>
    <t>a887c554; 81 Python tests green</t>
  </si>
  <si>
    <t>Implement the schema-independent sequence payload contract: immutable chunked typed numeric arrays, compression seam, chunk index, content hashes and bounded streaming/memory-mapped reads where supported. PostgreSQL array payloads are forbidden; final sequence_manifests persistence is T-185. Include the B-04 benchmark hook.</t>
  </si>
  <si>
    <t>Generate a large synthetic multi-channel sequence fixture, read it without whole-payload materialisation, verify chunk order/content hash and detect a corrupted/missing chunk. Compare at least two chunk/compression settings and emit B-04 measurements without hardcoding the selected values.</t>
  </si>
  <si>
    <t>5a216483; 402 Python tests green</t>
  </si>
  <si>
    <t>Readiness</t>
  </si>
  <si>
    <t>Implement a pure, industry-neutral Capability Profiler that converts declared semantic/data-product facts into measured capability states for statistics, similarity, novelty, supervised prediction, practice and remediation. Include collapsed-dimension handling, genealogy strength, outcome/label availability, population sufficiency and the canonical terminal/refusal taxonomy. No database access or presentation wiring.</t>
  </si>
  <si>
    <t>Table-driven fixtures cover a rich plant, a sparse plant, no-genealogy, single-level context, missing labels and unsupported method cases. The same input produces the same capability profile; a collapsed single-level dimension is removed rather than treated as an error; method absence is NOT_APPLICABLE rather than a false zero-variance claim.</t>
  </si>
  <si>
    <t>95cc019c capability-profiler pack; 24 targeted tests</t>
  </si>
  <si>
    <t>MF-01 Encoder</t>
  </si>
  <si>
    <t>Implement ProcessEncoder as a replaceable runtime with a PyTorch candidate, channel_set_version, deterministic seed/environment manifest, train/encode/artifact contracts and serving-cost telemetry. The encoder is optional and no production promotion decision is made here. It consumes only sealed typed sequence/snapshot artifacts and never live feature_store.</t>
  </si>
  <si>
    <t>Train/encode a deterministic fixture twice and compare artifact/embedding reproducibility within declared tolerance. Change channel_set_version and prove the prior encoder is incompatible. Measure metric-lift input hooks, p95 cost and artifact size for B-05; no task declares the encoder deployable merely because it trains.</t>
  </si>
  <si>
    <t>d4321856; 448 Python tests green</t>
  </si>
  <si>
    <t>MF-02 Similarity</t>
  </si>
  <si>
    <t>Implement the VectorSimilarityIndex product contract: build, seal, extend/new-generation, search and recall_probe. Exact Flat remains the permanent benchmark on a representative sample; ANN families such as HNSW/IVF/PQ/FAISS are candidates only. Index generations are immutable and identified by content/generation manifest.</t>
  </si>
  <si>
    <t>Build Exact Flat and at least one approximate candidate on synthetic vectors. Measure recall@k, p95 search, build time and memory; deliberately degrade the ANN and prove a build below recall_floor is not eligible to serve. Repeating a sealed generation yields stable identity and search evidence handles.</t>
  </si>
  <si>
    <t>00a14286; 297 Python tests green</t>
  </si>
  <si>
    <t>Implement the novelty/anomaly family behind a replaceable contract with a simple baseline first and an isolation/density candidate only where eligible. Persistable outputs must separate score, threshold/calibration identity, population context and refusal state. No source-schema or industry vocabulary is allowed.</t>
  </si>
  <si>
    <t>Known synthetic normal/outlier populations produce expected ranking; a too-small or degenerate population returns the correct refusal instead of a fabricated score. Run deterministic seed/environment checks and export artifact/metrics in the common T-168 result-manifest shape.</t>
  </si>
  <si>
    <t>db033796; 340 Python tests green</t>
  </si>
  <si>
    <t>MF-04 Supervised</t>
  </si>
  <si>
    <t>Implement SupervisedOutcomeModel behind the common runtime: train a mandatory simple baseline first, then a LightGBM tabular candidate for supported binary/multiclass/ordinal/continuous outcomes. Enforce prediction_cutoff/feature availability before training and emit reproducible artifact, holdout and performance metadata. Do not wire registry activation in this task. v2.10.1 SAFE-NOW OUTCOME RULE. During SAFE-NOW work, outcome definitions, prediction points and detection cutoffs are fixture-declared typed contracts only. Do not bind this task to ppiq_app tables, current ml_outcome_definitions rows, presentation outcomes or any physical production schema. Production supervised training consumes the canonical published SM-06 OutcomeDefinition only after its M2a binding is certified.</t>
  </si>
  <si>
    <t>Known-answer fixtures cover at least binary and multiclass/ordinal outcomes. Inject a post-cutoff feature and prove training is blocked. The candidate and baseline train on the same sealed snapshot and report comparable metrics plus environment/artifact hashes; no candidate is called champion here. Leakage tests derive cutoff/detection semantics from the typed fixture OutcomeDefinition contract rather than hardcoded product/plant constants. No SAFE-NOW model code contains a production outcome code, canonical grain literal or production detection anchor. The runtime executes completely against sealed in-memory/file fixtures.</t>
  </si>
  <si>
    <t>Isolated implementation only: new module/files/tests; NO production DI registration, DB migration, route/page edit, presentation schema/data edit or M1 runtime cutover. Outcome semantics are fixture-declared in SAFE-NOW; no ppiq_app/current outcome-table binding until canonical SM-06 is certified.</t>
  </si>
  <si>
    <t>T-168 + T-169 for the common runtime and sealed typed artifact contracts. Canonical SM-06 binding is NOT required for fixture-only SAFE-NOW work; it is required before production supervised-training integration.</t>
  </si>
  <si>
    <t>v2.10.1 — fixture-only outcome semantics clarified; T-168/T-169 dependencies made explicit without blocking SAFE-NOW.</t>
  </si>
  <si>
    <t>2413c6e1; 141 tests green / 0 skipped</t>
  </si>
  <si>
    <t>Model governance</t>
  </si>
  <si>
    <t>Implement the pure evaluation/promotion decision used by learned models. QUALITY covers discrimination/error, calibration, out-of-time, subgroup/regime stability, missingness robustness and explanation stability. SERVING covers p50/p95/p99, throughput, artifact size, RAM/VRAM and warm-up. TRAINING covers duration, peak memory and snapshot throughput. Include the encoder promotion inequality and TreeSHAP as an initial explanation candidate, not a product contract.</t>
  </si>
  <si>
    <t>A better-discriminating but worse-calibrated challenger is rejected. A model with unstable explanations is rejected. A simpler baseline that falls within the declared lift threshold defeats a costly encoder. Every promotion decision is reproducible from a frozen metrics document and names the failed dimension.</t>
  </si>
  <si>
    <t>08b54b61 + 0a61ccfb; final 230 tests green / 0 skipped</t>
  </si>
  <si>
    <t>Statistics</t>
  </si>
  <si>
    <t>Build the schema-independent statistical kernel that T-146 will later wire into production. Preserve the proven Numeric×Numeric, Binary×Numeric and Categorical×Categorical paths and implement Numeric×Categorical with assumption-aware one-way ANOVA and Kruskal-Wallis fallback. Produce aligned population/group counts, effect size, p-value, q/FDR and explicit exclusion taxonomy. v2.10.1 TRACEABILITY TIGHTENING. Before replacing, retiring or reimplementing any existing statistical path, inspect the current reachable statistical implementations and their behavioural tests/source trace and record the proven behaviour that must be preserved. Known-answer fixtures may be authored first because they are mathematics-only and database-independent; fixture construction does not authorise replacement of an existing path before that source/test trace is available.</t>
  </si>
  <si>
    <t>Known-answer fixtures select the expected method and effect-size family. Assumption violation switches ANOVA to Kruskal-Wallis. Constant input, unsupported pairing and insufficient groups/sample are three distinct terminal reasons. The kernel has no DI registration, DB write or M1 presentation dependency. Existing proven Numeric×Numeric, Binary×Numeric and Categorical×Categorical behaviours are regression-compared against the new kernel after the current implementation/test trace is inspected. Known-answer fixtures independently certify the mathematics. T-177 may begin with fixture construction before source trace is available, but may not close, retire or replace an existing reachable statistical path until the source/test trace has been inspected and parity is evidenced.</t>
  </si>
  <si>
    <t>Isolated implementation only: new module/files/tests; NO production DI registration, DB migration, route/page edit, presentation schema/data edit or M1 runtime cutover. Do not replace or retire an existing proven statistical implementation before its source/test trace has been inspected; fixture-only work may proceed immediately.</t>
  </si>
  <si>
    <t>Fixture subpack: none. Kernel completion/closure: current statistical implementation plus corresponding tests/source trace available. Production cutover remains T-146/T-147 after presentation hand-off.</t>
  </si>
  <si>
    <t>v2.10.1 — source/test parity gate added; fixture-first work remains SAFE NOW.</t>
  </si>
  <si>
    <t>502f8ca3 / 502e0da9 / bb4c5686; 52 targeted tests</t>
  </si>
  <si>
    <t>Implement the nine-check remediation eligibility logic and the complete seven-condition can_accept authority as a pure, table-driven domain service. Return actionable, evidence_only, exploratory or suppressed plus named failed checks. No persistence, UI wiring or plant-control client in this task.</t>
  </si>
  <si>
    <t>One deterministic case fails each check by name; combinations produce the correct final class. can_accept cannot be reconstructed from fewer fields. A safety-check failure always produces suppressed. Static/dependency tests prove the kernel has no customer-source write/control dependency.</t>
  </si>
  <si>
    <t>b8792516 + corrective b5dbf232; 503 tests / 0 failures</t>
  </si>
  <si>
    <t>LLM orchestration</t>
  </si>
  <si>
    <t>Implement the deterministic planner between resolved intent/entity context and declared Layer A/Layer B tools. The LLM never chooses tools. The planner is tenant/permission aware, asks on ambiguity, prioritises structured tools for facts and emits an auditable plan object. Build in a new isolated namespace with no current dock wiring.</t>
  </si>
  <si>
    <t>A fixed probe set covers paraphrases, ambiguous entities, permission differences and unsupported intents. Equivalent intents select the same tool set; ambiguity asks rather than guesses; a forbidden tool is never planned. No LLM call occurs during planning.</t>
  </si>
  <si>
    <t>d2bf1834; deterministic Assistant planner</t>
  </si>
  <si>
    <t>LLM grounding</t>
  </si>
  <si>
    <t>Implement hybrid lexical+semantic retrieval/fusion with permission filtering BEFORE ranking, deduplication, tool-result priority, evidence-handle retention and a hard token budget with reserved answer allowance. Truncation is recorded/disclosed. Re-ranking stays behind an optional benchmarked seam for B-08. Isolated module only; no current presentation corpus cutover.</t>
  </si>
  <si>
    <t>A forbidden high-scoring chunk cannot displace an allowed chunk. Duplicate evidence is collapsed without losing handles. A token-overflow fixture records truncation and still preserves higher-priority structured evidence. Run with and without the reranker seam and emit B-07/B-08 measurements.</t>
  </si>
  <si>
    <t>87428c51; permission-first retrieval/evidence</t>
  </si>
  <si>
    <t>LLM verification</t>
  </si>
  <si>
    <t>Implement the post-LLM deterministic verifier plus a fixed Assistant quality harness. Verify numeric claims against supplied evidence handles, forbid claim-class upgrade, preserve engine refusal, distinguish transport failure from abstention and reject unsupported claims without another LLM call. Encode Q-01..Q-11 measurements including tool selection, groundedness, citation correctness, refusal and causal-overreach.</t>
  </si>
  <si>
    <t>Probe answers deliberately contain an uncited number, upgraded causal wording, erased refusal, fabricated handle and transport failure; each is blocked or classified correctly. A valid cited answer passes. Q-01..Q-11 results are machine-readable and reproducible on the fixed probe set.</t>
  </si>
  <si>
    <t>eaa82b8b45fb1fdb4b406abfbe2809c5f6fc9cd5; 58/58</t>
  </si>
  <si>
    <t>AI/ML benchmarks</t>
  </si>
  <si>
    <t>Create the common benchmark runner/result schema for B-01 through B-09. Record hardware/runtime identity, commit, dataset/snapshot hash, parameters, warm-up, repetitions and p50/p95/p99/throughput/memory metrics as applicable. This task creates measurement machinery only; it must not guess production values.</t>
  </si>
  <si>
    <t>Run at least one synthetic smoke benchmark for each B-ID and produce a complete machine-readable result manifest. The harness refuses to publish a 'selected' value without the benchmark inputs/results that justify it. Re-running the same fixture preserves experiment identity and traceability.</t>
  </si>
  <si>
    <t>74470524; 63/63 targeted, 98/98 ML.Runtime, B01-B09 smoke 9/9</t>
  </si>
  <si>
    <t>Semantic reproducibility</t>
  </si>
  <si>
    <t>After M2a-P1/P2 establish final definition/relationship authority, implement ppiq_meta.semantic_manifests as immutable tenant-owned reproducibility pins: manifest_id UUID PK, tenant_id, manifest_hash, referenced definition versions, relationship publication, registry/configuration hashes and UNIQUE(tenant_id, manifest_hash). Build ManifestResolver and semantic_manifest_id references on governed run/artifact/evidence tables. Legacy rows may be null; every new governed AI/ML execution must resolve a manifest.</t>
  </si>
  <si>
    <t>Create identical content in two tenants and prove separate rows; identical content twice in one tenant reuses the same manifest. Attempt mutation and refuse it. Start a new governed AI/ML run without a resolvable manifest and prove G-55 refuses before output persistence. A changed answer can be traced to a manifest diff.</t>
  </si>
  <si>
    <t>T-089..T-105 canonical definition/relationship authority + T-112 + T-114 security/tenant hand-off.</t>
  </si>
  <si>
    <t>v2.10.2 — start gate moved from M2a-P2-only to canonical + security hand-off</t>
  </si>
  <si>
    <t>T-089..T-105 canonical definition/relationship authority + T-112 + T-114 secu...</t>
  </si>
  <si>
    <t>Training data path</t>
  </si>
  <si>
    <t>Wire T-169 into production as the Snapshot Materialiser. It is the sole component permitted to read feature_store for sealing; training/encoding consume only the immutable typed artifact. Persist hash/format/size/row-count/semantic_manifest_id and optional declared audit sample. No full duplicate JSONB training population.
v2.10.2 BENCHMARK-STATE RULING — persist the artifact format actually used for each snapshot, but do not call one format the universal/site-selected winner merely because T-169/T-182 synthetic smoke runs. Selection remains measurement/site evidence; the materialiser must support explicit configured candidate identity.</t>
  </si>
  <si>
    <t>Seal a snapshot, mutate live feature_store, then train/read through the artifact and reproduce the original input. Architecture gate G-48 fails if any trainer/encoder queries feature_store directly. Corrupt the artifact and prove hash verification refuses it before training.</t>
  </si>
  <si>
    <t>T-128 + T-169 + T-183 + T-112/T-114/T-135 security ratchet.</t>
  </si>
  <si>
    <t>v2.10.2 — security and benchmark-selection state clarified</t>
  </si>
  <si>
    <t>F-063 [Critical] — Several M2b production-persistence tasks are allowed immediately after M2a-P2, but FORCE RLS and tenant-first uniqueness are only established in M2a-P3 T-112/T-114. Creating tenant-owned intelligence tables first and 'fixing RLS later' creates a temporary insecure architecture and makes T-135 a retrofit.
F-064 [Critical] — Worker-3 lane labels T-183/T-128 and dependent persistence as 'after M2a-P2', but their tables are tenant-owned and therefore require the M2a-P3 security/tenant guard from T-112/T-114.
F-068 [Very Important] — The harness intentionally leaves B-03..B-09 values unselected, but production-integration tasks can be read as choosing one artifact format/chunking/encoder/index/reranker/runtime before representative/site benchmark evidence exists.</t>
  </si>
  <si>
    <t>F-063 — Every new tenant-owned table must receive tenant key, tenant-first uniqueness and FORCE RLS at creation. T-112/T-114 (or their proven architecture guards) become release gates for M2b persistence. T-135 becomes a cross-table audit/ratchet, not the first time security is applied.
F-064 — Change these start conditions to 'after canonical schema/relationship hand-off AND T-112/T-114 security hand-off'. Pure non-persistence kernels may still start earlier.
F-068 — M2b integration must carry explicit configured candidate identity and measured evidence without declaring a universal/site winner. B-05/B-06 selections are site-calibrated in T-157; remaining sizing/selection values freeze in T-159 or the named site benchmark owner.</t>
  </si>
  <si>
    <t>Wire T-170 into production: ppiq_plant.sequence_manifests stores subject/channel/time/count/hash/storage/chunk metadata while object storage holds immutable numeric payload chunks. Integrate retention/backup identity and bounded loader access. PostgreSQL stores no numeric sequence arrays.
v2.10.2 BENCHMARK-STATE RULING — chunk/compression policy remains configured/recorded until representative/site B-04 evidence freezes it. Persist exact codec/chunk identity per manifest; do not hide the choice behind an unmeasured global default.</t>
  </si>
  <si>
    <t>Persist and reload a large multi-chunk sequence with manifest/content verification and bounded memory. Search the canonical schema and prove no numeric sequence payload array column exists. Restore the artifact/DB pair and reproduce the sequence; a missing chunk produces a typed refusal.</t>
  </si>
  <si>
    <t>T-170 + T-183 + T-122 final object-storage/container path + T-112/T-114/T-135 security ratchet.</t>
  </si>
  <si>
    <t>v2.10.2 — object-storage/security + unselected B-04 policy clarified</t>
  </si>
  <si>
    <t>F-063 [Critical] — Several M2b production-persistence tasks are allowed immediately after M2a-P2, but FORCE RLS and tenant-first uniqueness are only established in M2a-P3 T-112/T-114. Creating tenant-owned intelligence tables first and 'fixing RLS later' creates a temporary insecure architecture and makes T-135 a retrofit.
F-068 [Very Important] — The harness intentionally leaves B-03..B-09 values unselected, but production-integration tasks can be read as choosing one artifact format/chunking/encoder/index/reranker/runtime before representative/site benchmark evidence exists.</t>
  </si>
  <si>
    <t>F-063 — Every new tenant-owned table must receive tenant key, tenant-first uniqueness and FORCE RLS at creation. T-112/T-114 (or their proven architecture guards) become release gates for M2b persistence. T-135 becomes a cross-table audit/ratchet, not the first time security is applied.
F-068 — M2b integration must carry explicit configured candidate identity and measured evidence without declaring a universal/site winner. B-05/B-06 selections are site-calibrated in T-157; remaining sizing/selection values freeze in T-159 or the named site benchmark owner.</t>
  </si>
  <si>
    <t>T-170 + T-183 + T-122 final object-storage/container path + T-112/T-114/T-135...</t>
  </si>
  <si>
    <t>Persist the T-171 capability profile per outcome/grain/manifest and implement governed prediction-point candidates plus the model-count governor. Only capabilities supported by measured data become eligible; collapsed dimensions and refusal reasons remain visible. Prediction points are activated under policy rather than multiplying models blindly.</t>
  </si>
  <si>
    <t>On one rich and one sparse reference population, persist different capability states with their measured basis. Generate prediction-point candidates and prove the governor caps/chooses them deterministically. An unsupported model family remains MODEL_NOT_READY/NOT_APPLICABLE rather than creating a placeholder model.</t>
  </si>
  <si>
    <t>T-171 + T-183 + T-128/T-129 + T-195 canonical readiness thresholds + T-135 security ratchet.</t>
  </si>
  <si>
    <t>v2.10.2 — readiness/security prerequisites explicit</t>
  </si>
  <si>
    <t>F-055 [Critical] — M1 T-066 certifies /api/ml/foundation/readiness, while the final Chapter 3 authority is /api/readiness/evaluate plus readiness_thresholds/readiness_threshold_changes and governed PUT semantics. No existing backlog task owns the canonical threshold persistence/change-history contract.
F-063 [Critical] — Several M2b production-persistence tasks are allowed immediately after M2a-P2, but FORCE RLS and tenant-first uniqueness are only established in M2a-P3 T-112/T-114. Creating tenant-owned intelligence tables first and 'fixing RLS later' creates a temporary insecure architecture and makes T-135 a retrofit.
F-064 [Critical] — Worker-3 lane labels T-183/T-128 and dependent persistence as 'after M2a-P2', but their tables are tenant-owned and therefore require the M2a-P3 security/tenant guard from T-112/T-114.</t>
  </si>
  <si>
    <t>F-055 — T-066 must render through the stable /api/readiness/evaluate facade (compatibility-backed in M1). Add T-195 for canonical tenant/outcome readiness thresholds, change history, fail-closed evaluation and governed updates before canonical readiness/model cutover.
F-063 — Every new tenant-owned table must receive tenant key, tenant-first uniqueness and FORCE RLS at creation. T-112/T-114 (or their proven architecture guards) become release gates for M2b persistence. T-135 becomes a cross-table audit/ratchet, not the first time security is applied.
F-064 — Change these start conditions to 'after canonical schema/relationship hand-off AND T-112/T-114 security hand-off'. Pure non-persistence kernels may still start earlier.</t>
  </si>
  <si>
    <t>T-171 + T-183 + T-128/T-129 + T-195 canonical readiness thresholds + T-135 se...</t>
  </si>
  <si>
    <t>ML integration</t>
  </si>
  <si>
    <t>Integrate T-168 runtime, T-172/T-174/T-175 learned families, T-173 index builder, T-176 promotion, T-183 manifests and T-184/T-185 artifacts with the M2a scheduler lanes. Training/index jobs consume sealed artifacts, checkpoint where declared, write governed result manifests and register candidates; only gate-approved versions activate. No daytime request enters training.
v2.10.2 BENCHMARK-STATE RULING — integration may activate a candidate only against the declared frozen acceptance metrics for the environment. It must record candidate/runtime/index/artifact identities and may not convert synthetic benchmark smoke into a universal production selection. Site B-05/B-06 choices are frozen by T-157; final B-01..B-09 sizing/selection evidence is consumed by T-159.</t>
  </si>
  <si>
    <t>Run a full candidate job from sealed snapshot through training/evaluation/registry. Prove direct feature_store access is absent, a failed gate cannot activate, a passed candidate activates atomically per serving identity, and online serving remains available while training/batch are saturated. MF-02 recall floor blocks an inadequate index.</t>
  </si>
  <si>
    <t>T-107 + T-109 + T-168..T-176 + T-183..T-186 + T-112/T-114/T-135 + T-195.</t>
  </si>
  <si>
    <t>v2.10.2 — benchmark-selection and security gates tightened</t>
  </si>
  <si>
    <t>Worker 3 AFTER M2a-P3</t>
  </si>
  <si>
    <t>Intelligence surfaces</t>
  </si>
  <si>
    <t>Replace the M1 presentation adapters behind D4 Findings and D8 ML Readiness/Models with canonical run/finding/capability/model-registry sources. Preserve the frozen route, layout, labels, controls and refusal semantics; only the hidden data authority changes. Expose method/population/q-value/effect evidence and real readiness/model lifecycle state.</t>
  </si>
  <si>
    <t>Run the M1 continuity snapshots for both pages and record no visible-contract regression. Kill a canonical source and prove the page shows the same bounded failure/refusal state rather than presentation fallback data. Every displayed model/finding resolves to manifest/run/evidence.</t>
  </si>
  <si>
    <t>T-129 + T-130 + T-186 + T-195 + M1 continuity snapshots.</t>
  </si>
  <si>
    <t>v2.10.2 — canonical readiness-threshold dependency added</t>
  </si>
  <si>
    <t>Prediction surfaces</t>
  </si>
  <si>
    <t>Bind D5 Risk and D9 Early Warning to prediction_current/prediction evidence. D5 remains aggregate current risk; D9 remains the per-unit actionable queue with deadline, drivers, fallback state, comparables and can_accept/remediation status. Preserve the M1 visual contract and remove presentation-only backing data.</t>
  </si>
  <si>
    <t>Continuity snapshots remain stable. Force a late prediction, fallback use, missing driver evidence and suppressed remediation; each renders the designed canonical state. No row appears actionable after its deadline and no client re-derives can_accept.</t>
  </si>
  <si>
    <t>Remediation surfaces</t>
  </si>
  <si>
    <t>Bind D6 Suggestions to canonical remediation candidates/eligibility/decision records. Suppressed candidates never render. Accept/Reject/Defer controls obey server can_accept and preserve the human/read-only boundary. Preserve the M1 visual contract while deleting presentation-only decision data paths.</t>
  </si>
  <si>
    <t>Run continuity snapshots. Attempt client-side manipulation to enable a forbidden decision and prove the server refuses it. Exercise actionable/evidence_only/exploratory/suppressed cases and confirm only allowed states appear with evidence and actor/reason history.</t>
  </si>
  <si>
    <t>Scenario simulation</t>
  </si>
  <si>
    <t>Implement the already-designed D11 scenario path as decision support, not plant control: choose declared variables within valid ranges, hold the rest fixed, run against a named active model version/semantic manifest, compare with baseline and persist scenario_runs with uncertainty/disclaimer/evidence. It never writes to a customer system and never masquerades as an observed prediction.</t>
  </si>
  <si>
    <t>Run a bounded scenario and resolve baseline/model/manifest/evidence. An out-of-range or non-controllable variable is refused. The result is labelled simulation, includes uncertainty, and no source-system write/control endpoint is reachable from the path.</t>
  </si>
  <si>
    <t>Architecture gates</t>
  </si>
  <si>
    <t>Implement the eight target-architecture gates as executable tests: G-48 materialiser-only feature_store read; G-49 ML lane isolation; G-50 admission satisfiable; G-51 ANN recall floor; G-52 evidence-budget/truncation integrity; G-53 deterministic answer verification; G-54 governed-model-only learned multimodal output; G-55 semantic-manifest coverage. Keep them standalone and fail-closed; T-150 owns final pipeline wiring.</t>
  </si>
  <si>
    <t>Falsify every gate once. Each deliberate violation fails for the named reason and passes only after the defect is removed. A missing test input/dependency is a failure, not a skip/pass. Produce one machine-readable gate report consumable by T-150.</t>
  </si>
  <si>
    <t>Worker 3 AFTER COMPONENT INTEGRATION</t>
  </si>
  <si>
    <t>Implement the Drift Supervisor over served model/index/practice state. Detect declared distribution/performance/calibration/explanation drift, propose bounded actions, shadow-run where applicable and require human approval before applying. It may never lower readiness thresholds, refusal rules, evidence requirements, leakage gates, tenant isolation or semantic contracts, and it never performs continuous online weight updates.</t>
  </si>
  <si>
    <t>Trigger each supported drift class on fixtures and prove a proposal is recorded with evidence. Attempt to propose a forbidden threshold/gate weakening and prove it is rejected structurally. Approve one allowed bounded action and confirm atomic application plus rollback pointer; reject one and confirm no state change.</t>
  </si>
  <si>
    <t>Worker 3 AFTER MODEL/PREDICTION INTEGRATION</t>
  </si>
  <si>
    <t>T-194</t>
  </si>
  <si>
    <t>Retire legacy API dual-serve aliases after canonical-client continuity proof</t>
  </si>
  <si>
    <t>API namespace</t>
  </si>
  <si>
    <t>T-117 deliberately introduces a dual-serve transition while clients migrate. Close that transition explicitly after T-127 proves the canonical journey and continuity. Remove every legacy phase/version/task-token API alias, preserve only canonical /api/{domain} routes, and keep a machine-readable mapping artifact so support can interpret old logs without keeping old endpoints alive.</t>
  </si>
  <si>
    <t>After T-127 is green, enumerate the route table and prove zero legacy alias remains. A representative old path returns the governed retired-route response or 404 according to the API policy, while the canonical path remains green. Re-run the route-token gate and a bounded canonical-journey regression. No frontend client calls an old alias.</t>
  </si>
  <si>
    <t>Core/API namespace only. Do not touch Worker 3 engine/ML code except shared regression consumers.</t>
  </si>
  <si>
    <t>T-117 + T-127</t>
  </si>
  <si>
    <t>NEW v2.10.2 — closes T-117 named follow-up orphan</t>
  </si>
  <si>
    <t>NEW OWNER ADDED — closes a genuine design/coverage gap</t>
  </si>
  <si>
    <t>WAIT for Presentation RC freeze/tag + clean index/worktree. Then: T-117 + T-127</t>
  </si>
  <si>
    <t>T-195</t>
  </si>
  <si>
    <t>Canonical readiness thresholds, governed change history and fail-closed readiness API</t>
  </si>
  <si>
    <t>Readiness governance</t>
  </si>
  <si>
    <t>Implement the Chapter 3 canonical readiness authority behind the M1-compatible facade: ppiq_meta.readiness_thresholds and readiness_threshold_changes, tenant/outcome-scoped thresholds, GET /api/readiness/evaluate, GET /api/readiness/matrix, GET /api/readiness/thresholds and governed PUT with required justification/audit. Evaluation failure is Blocked/readiness-could-not-be-measured, never Ready by default.</t>
  </si>
  <si>
    <t>Create thresholds for two tenants/outcomes and prove isolation. Change one threshold through the governed API with justification and prove change history/audit. Attempt a non-human/unauthorised change and refuse it. Force the population measurement to fail and prove the result is Blocked with the fail-closed reason. M1 T-066 visible contract remains unchanged.</t>
  </si>
  <si>
    <t>W3 AFTER M2a-P3 SECURITY</t>
  </si>
  <si>
    <t>Canonical readiness backend only; no M1 presentation UI edits. Use final definition/outcome authority and T-112/T-114 tenancy guards.</t>
  </si>
  <si>
    <t>T-090 + T-112 + T-114</t>
  </si>
  <si>
    <t>NEW v2.10.2 — closes canonical readiness-governance ownership gap</t>
  </si>
  <si>
    <t>F-055 [Critical] — M1 T-066 certifies /api/ml/foundation/readiness, while the final Chapter 3 authority is /api/readiness/evaluate plus readiness_thresholds/readiness_threshold_changes and governed PUT semantics. No existing backlog task owns the canonical threshold persistence/change-history contract.
F-082 [Very Important] — Phase Summary says all M2b-P1 starts after M2a-P2, but production persistence needs security/tenant authority from M2a-P3 while pure computation can start earlier.</t>
  </si>
  <si>
    <t>F-055 — T-066 must render through the stable /api/readiness/evaluate facade (compatibility-backed in M1). Add T-195 for canonical tenant/outcome readiness thresholds, change history, fail-closed evaluation and governed updates before canonical readiness/model cutover.
F-082 — Revise phase intent: canonical data/relationship authority after P2; any new tenant-owned production persistence waits for T-112/T-114 security hand-off. Keep pure cores parallel-safe.</t>
  </si>
  <si>
    <t>Worker 3 only after M2a-P3 security hand-off (T-112/T-114)</t>
  </si>
  <si>
    <t>T-196</t>
  </si>
  <si>
    <t>C4 Plant Model Explorer canonical route and structural evidence surface</t>
  </si>
  <si>
    <t>Plant model</t>
  </si>
  <si>
    <t>Implement the missing Chapter 3 C4 /plant-model surface on the canonical plant authority. Show site/area/equipment hierarchy, search, unmapped-only state, selected-node details and the routes/operations that reference it. Unmapped equipment is explicit Amber evidence rather than silently dropped. The page is generic and uses imported plant vocabulary only.</t>
  </si>
  <si>
    <t>Route /plant-model exists exactly once. Load a canonical reference plant and prove hierarchy/details match GET /api/plant/layout and /api/plant/equipment/{id}. Introduce one unmapped equipment reference and prove it is visible with its source object. Empty install renders the designed no-projection state. Keyboard tree traversal and RTL contract pass.</t>
  </si>
  <si>
    <t>Canonical plant/relationship UI only; no Worker 3 model/runtime work.</t>
  </si>
  <si>
    <t>T-087 + T-094 + T-095</t>
  </si>
  <si>
    <t>NEW v2.10.2 — closes missing C4 target-route owner</t>
  </si>
  <si>
    <t>F-074 [Critical] — Chapter 3 requires C4 Plant Model Explorer /plant-model. Latest frontend audit has no /plant-model route and the backlog has no executable page owner. T-148 only ensures existing page files are reachable; it cannot create a missing target page.</t>
  </si>
  <si>
    <t>F-074 — Add T-196 for canonical C4 Plant Model Explorer, after plant/relationship authority. T-148 route-inventory gate must require every one of the 40 target route pages to exist, not merely every file to be reachable.</t>
  </si>
  <si>
    <t>WAIT for Presentation RC freeze/tag + clean index/worktree. Then: T-087 + T-094 + T-095</t>
  </si>
  <si>
    <t>T-197</t>
  </si>
  <si>
    <t>E6 Alert Routing and Escalation with delivery, retry and dead-letter evidence</t>
  </si>
  <si>
    <t>Backend + Frontend</t>
  </si>
  <si>
    <t>Alert routing</t>
  </si>
  <si>
    <t>Implement Chapter 3 E6 /alert-routing: routing rules over log/plant-data channels, severity, recipients, delivery channels, escalation delay, working hours/quiet periods, deduplication, grouping key, rate limit, suppression, test delivery, retry and dead-letter visibility. Entries are held during quiet periods, never silently lost.</t>
  </si>
  <si>
    <t>Create and test a routing rule, force one delivery failure through its retry ceiling and prove it appears in dead letters with reason. Prove a rule with no recipient and an escalation with no escalation recipient are refused. Quiet-period traffic is held and later delivered. Role enforcement and audit evidence pass.</t>
  </si>
  <si>
    <t>Administration/notification path only. No model/remediation-control writeback.</t>
  </si>
  <si>
    <t>T-119 + T-198</t>
  </si>
  <si>
    <t>NEW v2.10.2 — closes missing E6 target-route/capability owner</t>
  </si>
  <si>
    <t>Full-stack governed feature</t>
  </si>
  <si>
    <t>WAIT for Presentation RC freeze/tag + clean index/worktree. Then: T-119 + T-198</t>
  </si>
  <si>
    <t>T-198</t>
  </si>
  <si>
    <t>F5 Logging and Audit plus F6 Log Channel Configuration</t>
  </si>
  <si>
    <t>Logging administration</t>
  </si>
  <si>
    <t>Implement the Chapter 3 canonical logging administration contract: /admin/logs with role-scoped System/Job/Data/Audit/Assistant/Plant Data families, filtering, live tail/replay, run correlation and export; plus /admin/log-channels for channel identity, severity mapping, routing/export target and reading roles. Built-in/audit channels are locked as specified; retention is read-only here and owned by F9.</t>
  </si>
  <si>
    <t>Every permitted family is queryable and a forbidden family is absent for the role. Drop and resume the live stream and prove replay. Correlate one run across families. Audit has no edit/delete control. Create a custom channel, prove built-ins remain locked, and refuse an attempt to create/retarget the audit family. Canonical log tables and audit trail are used.</t>
  </si>
  <si>
    <t>Logging/admin only. Must obey T-112/T-114 tenancy/security and preserve existing audit history.</t>
  </si>
  <si>
    <t>T-112 + T-114 + T-119</t>
  </si>
  <si>
    <t>NEW v2.10.2 — closes missing F5/F6 owners</t>
  </si>
  <si>
    <t>F-076 [Critical] — F5 Logging and Audit /admin/logs and F6 Log Channel Configuration /admin/log-channels are target pages. Audit logging exists in backend, but latest frontend audit has neither route and no task owns final log-channel authority/UI.</t>
  </si>
  <si>
    <t>F-076 — Add T-198 to converge logging/audit read surface and canonical log-channel configuration, preserving audit immutability and role-scoped family visibility.</t>
  </si>
  <si>
    <t>WAIT for Presentation RC freeze/tag + clean index/worktree. Then: T-112 + T-114 + T-119</t>
  </si>
  <si>
    <t>T-199</t>
  </si>
  <si>
    <t>F9 Log Retention and Archival with dry-run, legal hold and no-delete-on-archive-failure</t>
  </si>
  <si>
    <t>Log retention</t>
  </si>
  <si>
    <t>Implement Chapter 3 F9 /admin/log-retention as the sole destructive log-history policy surface. Persist per-channel retention policy, archive-before-delete, destination, cleanup schedule/batch size, governed audit minimum and legal hold. Require pre-save dry-run impact. Cleanup history records cutoff, examined/archived/deleted rows, reclaimed storage, duration and failure reason.</t>
  </si>
  <si>
    <t>Attempt audit retention below the governed minimum and refuse it. Save without preview and refuse it. Put a channel on legal hold and prove cleanup is blocked. Make the archive destination fail and prove zero rows are deleted. Complete one successful preview+cleanup and reconcile counts/history. Only Administrator can access the page.</t>
  </si>
  <si>
    <t>Destructive log policy only; no general backup policy replacement. T-124 remains platform backup/restore.</t>
  </si>
  <si>
    <t>T-124 + T-198</t>
  </si>
  <si>
    <t>NEW v2.10.2 — closes missing F9 destructive-governance owner</t>
  </si>
  <si>
    <t>WAIT for Presentation RC freeze/tag + clean index/worktree. Then: T-124 + T-198</t>
  </si>
  <si>
    <t>T-200</t>
  </si>
  <si>
    <t>F7 System Settings and F8 Translation/Language canonical administration</t>
  </si>
  <si>
    <t>System administration</t>
  </si>
  <si>
    <t>Implement Chapter 3 F7 /admin/settings and F8 /admin/translation. System settings own site identity, units/formats, plant time zone, documented retention defaults and per-tenant no-egress data boundary. Translation owns language packs, review/mirror-verification state, context-aware labels, import/export and fallback language. Presentation-era hardcoded translation tables become compatibility data only.</t>
  </si>
  <si>
    <t>Change plant time zone through a confirmed action and prove the resulting setting is audited and used by a shift-aware display; toggle no-egress and prove affected capabilities report the new boundary. Add/edit a translation, mark review/mirror state, export and reimport a pack, and verify RTL rendering for Arabic. No machine-locale fallback silently changes formats.</t>
  </si>
  <si>
    <t>Administration/i18n only. No presentation-only literals become production authority.</t>
  </si>
  <si>
    <t>T-113 + T-119</t>
  </si>
  <si>
    <t>NEW v2.10.2 — closes missing F7/F8 target-route owners</t>
  </si>
  <si>
    <t>WAIT for Presentation RC freeze/tag + clean index/worktree. Then: T-113 + T-119</t>
  </si>
  <si>
    <t>Open Traditional h</t>
  </si>
  <si>
    <t>W1 P80 h</t>
  </si>
  <si>
    <t>W2 P80 h</t>
  </si>
  <si>
    <t>W3 P80 h</t>
  </si>
  <si>
    <t>AI Bottleneck / Ruling</t>
  </si>
  <si>
    <t>Closed / no remaining AI load.</t>
  </si>
  <si>
    <t>Worker 2 is the guarded load bottleneck; follow Task Map gates.</t>
  </si>
  <si>
    <t>Worker 1 is the guarded load bottleneck; follow Task Map gates.</t>
  </si>
  <si>
    <t>Build permanent relationship/resolver/quarantine authority plus the canonical Plant Model Explorer. definition_store authority must already exist; this remains the schema/relationship hand-off gate for Worker 3 persistence.</t>
  </si>
  <si>
    <t>Commissioning, roles, licence and the on-site operational package, now including the previously orphaned canonical admin/logging/alert-routing surfaces and legacy API-alias retirement. No M1 visible-contract regression.</t>
  </si>
  <si>
    <t>Canonical intelligence persistence and practice core. Pure cores may be ready after M2a-P2, but EVERY new tenant-owned persistence table waits for the T-112/T-114 security hand-off; readiness-governance persistence is T-195.</t>
  </si>
  <si>
    <t>Worker 3 is the guarded load bottleneck; follow Task Map gates.</t>
  </si>
  <si>
    <t>W1 P80</t>
  </si>
  <si>
    <t>W2 P80</t>
  </si>
  <si>
    <t>W3 P80</t>
  </si>
  <si>
    <t>AI Critical Agent</t>
  </si>
  <si>
    <t>AI Delivery Ruling</t>
  </si>
  <si>
    <t>Track 1 — Presentation RC. Controlled prepared-data exception on the same product contract. Target 20-Aug is a presentation release candidate, frozen by immutable tag/artifact + presentation profile/database, not a long-lived branch.</t>
  </si>
  <si>
    <t>20-Aug feasible with strict scope/file locks.</t>
  </si>
  <si>
    <t>Track 2 — Customer Product, canonical core. Fresh install: ppiq_staging and ppiq_plant empty; real source/import/projection path; final definitions/relationships/jobs/security/commissioning.</t>
  </si>
  <si>
    <t>Prioritise W1 canonical/security hand-off; W2/W3 consume committed contracts.</t>
  </si>
  <si>
    <t>Track 2 — Customer Product intelligence/Assistant integration. Isolated SAFE-NOW foundations are closed; remaining work is canonical persistence, production cutover, governed surfaces and quality gates.</t>
  </si>
  <si>
    <t>W3 starts after canonical/security gate and runs in parallel with M2a tail.</t>
  </si>
  <si>
    <t>Track 2 — Site / Production Certification. Required before GA/second-customer repeatability: real-data edge cases, connector certification, performance/capacity, HA/DR, SSO, security, monitoring and acceptance.</t>
  </si>
  <si>
    <t>Evidence/site-gated; AI cannot remove customer/hardware calendar.</t>
  </si>
  <si>
    <t>v2.10.2 review field</t>
  </si>
  <si>
    <t>Meaning</t>
  </si>
  <si>
    <t>Separates planned Status from evidence-backed execution state.</t>
  </si>
  <si>
    <t>REVISE means the task text/dependency/acceptance had an authority contradiction or material coverage issue.</t>
  </si>
  <si>
    <t>Risk of implementing the task as previously written before the corrected prerequisite/contract is in place.</t>
  </si>
  <si>
    <t>Booster rule</t>
  </si>
  <si>
    <t>Worker 3 may help another lane only when there is zero intended file/subsystem overlap and no prerequisite that a later task will materially replace.</t>
  </si>
  <si>
    <t>Authority rule</t>
  </si>
  <si>
    <t>External/public contract may freeze before physical canonical persistence; never call compatibility storage FINAL when Chapter 3 requires a future canonical authority.</t>
  </si>
  <si>
    <t>Authoritative execution owner under the three-agent orchestration. One open task has one owner.</t>
  </si>
  <si>
    <t>AI Speed Factor</t>
  </si>
  <si>
    <t>Planning compression from traditional engineering hours to expected AI agent-active time; varies by execution class.</t>
  </si>
  <si>
    <t>P50 AI Active Time</t>
  </si>
  <si>
    <t>Expected bounded agent-active wall-clock with stable prerequisites and a clean task lock.</t>
  </si>
  <si>
    <t>P80 Guarded Time</t>
  </si>
  <si>
    <t>Conservative agent-active planning time including retries, runtime integration and debugging risk.</t>
  </si>
  <si>
    <t>Exclusive boundary preventing two agents from editing or invalidating the same area concurrently.</t>
  </si>
  <si>
    <t>Start / Dependency Gate</t>
  </si>
  <si>
    <t>Producer commit/product authority that must be frozen before the assigned agent may begin.</t>
  </si>
  <si>
    <t>No-Rework Handoff</t>
  </si>
  <si>
    <t>Consumer starts only after producer commit and consumes the contract rather than redesigning producer-owned semantics.</t>
  </si>
  <si>
    <t>PPIQ v2.10.2 — Deep Design Finding → Executable Owner Traceability</t>
  </si>
  <si>
    <t>Deep reconciliation against Chapter 3/4, Layer-B architecture, current source/audit evidence and live task execution. This pass fixes design/phase/owner contradictions, not merely status tracking. M1 scope remains 574 h.</t>
  </si>
  <si>
    <t>M2a hours changed</t>
  </si>
  <si>
    <t>M2b hours changed</t>
  </si>
  <si>
    <t>F-052</t>
  </si>
  <si>
    <t>M1 relationship task calls the three Chapter 3 relationship tables a FINAL physical slice, but Chapter 3 4.5.10 requires source_definition_id -&gt; definition_store(id). definition_store is intentionally absent until T-089/T-090. A physically final M1 table set therefore cannot exist without stealing M2a authority or creating a temporary FK contract.</t>
  </si>
  <si>
    <t>T-057, T-058, T-059, T-060, T-089, T-090, T-095</t>
  </si>
  <si>
    <t>REVISE EXISTING TASKS</t>
  </si>
  <si>
    <t>T-057 must deliver the final external relationship service/API and M1-compatible persistence only. Do not claim final physical schema. T-095 owns canonical ppiq_meta.plant_relationships/_members/_paths convergence after T-089/T-090. T-058/T-059/T-060 consume the service, never table names.</t>
  </si>
  <si>
    <t>F-053</t>
  </si>
  <si>
    <t>T-064 requires a foreign key before the canonical FK target exists. It also omits target_parameters from the Chapter 3 job-target contract and its validation misses JB02/JB04 while describing a pinned version as 'no longer exists' even though published versions are immutable.</t>
  </si>
  <si>
    <t>T-064, T-065, T-089, T-090, T-106</t>
  </si>
  <si>
    <t>Keep T-064 mandatory for M1/J12/T7, but implement stable semantic fields through IDefinitionService/compatibility storage with no fake FK. Cover target_definition_id, target_definition_version, target_version_policy, target_parameters, executed-version history and JB01-JB04. T-106 performs canonical FK/check/trigger convergence after T-089/T-090 and adds the dependency DAG.</t>
  </si>
  <si>
    <t>F-054</t>
  </si>
  <si>
    <t>The final projection_quarantine physical schema requires canonical staging_records and definition_versions. M1 cannot honestly create the final table before T-087/T-089/T-090, yet T-061 currently says 'minimal FINAL slice' and validates real projection/reprocess behavior.</t>
  </si>
  <si>
    <t>T-061, T-062, T-087, T-089, T-090, T-099, T-100, T-101</t>
  </si>
  <si>
    <t>T-061 owns the final typed DTO/API/error-code/reprocess semantics over compatibility persistence only. T-099/T-100 own canonical projection_quarantine and all 15 PV classes; T-101 completes retry/reprocess and preserves the M1 page contract unchanged.</t>
  </si>
  <si>
    <t>F-055</t>
  </si>
  <si>
    <t>M1 T-066 certifies /api/ml/foundation/readiness, while the final Chapter 3 authority is /api/readiness/evaluate plus readiness_thresholds/readiness_threshold_changes and governed PUT semantics. No existing backlog task owns the canonical threshold persistence/change-history contract.</t>
  </si>
  <si>
    <t>T-066, T-186, T-195</t>
  </si>
  <si>
    <t>NEW TASK + REVISE T-066</t>
  </si>
  <si>
    <t>T-066 must render through the stable /api/readiness/evaluate facade (compatibility-backed in M1). Add T-195 for canonical tenant/outcome readiness thresholds, change history, fail-closed evaluation and governed updates before canonical readiness/model cutover.</t>
  </si>
  <si>
    <t>F-056</t>
  </si>
  <si>
    <t>T-068 explicitly binds the UI to public.ml_outcome_definitions and GET /ml/foundation/outcomes, both compatibility-era authorities. Chapter 3 D3 requires registry-driven definition-options and T-090 later makes SM-06 OutcomeDefinition part of the immutable definition authority.</t>
  </si>
  <si>
    <t>T-068, T-065, T-090, T-147</t>
  </si>
  <si>
    <t>T-068 must consume a stable analysis-options/outcome-registry service contract, not a physical table or temporary route. M2a swaps storage behind the contract. Complete T-068 before T-065 so the S3 authoring page is built registry-first instead of being rewritten immediately.</t>
  </si>
  <si>
    <t>F-057</t>
  </si>
  <si>
    <t>The backlog performs the physical three-schema migration in T-087 before T-088 defines the one canonical migration order and duplicate-DDL truth gate. The T-044 migration-parity incident shows this ordering is unsafe.</t>
  </si>
  <si>
    <t>T-087, T-088, T-115, T-123</t>
  </si>
  <si>
    <t>REVISE DEPENDENCIES</t>
  </si>
  <si>
    <t>T-088 migration authority/runner/order gate must precede T-087 physical migration. T-087 becomes a migration authored and executed only through the canonical path. Fresh-install T-115 and install/upgrade T-123 validate the same chain.</t>
  </si>
  <si>
    <t>F-058</t>
  </si>
  <si>
    <t>T-092 says 'dimensions and measures as registry rows' without binding those rows to the unified definition authority. Chapter 3 §4.5.11 already defines master_dimension and master_measure as definition kinds, so a separate mutable registry can become a second source of truth.</t>
  </si>
  <si>
    <t>T-089, T-090, T-092</t>
  </si>
  <si>
    <t>REVISE EXISTING TASK</t>
  </si>
  <si>
    <t>T-092 registry rows must be projections/catalogue views of canonical S2 master definitions (or compatibility projections during migration), never an independent definition authority. T-092 depends on T-089/T-090.</t>
  </si>
  <si>
    <t>F-059</t>
  </si>
  <si>
    <t>T-094 says rename the canonical grain literal 'coil' to one generic term. The frozen design does not have one generic grain: it has material_unit_type_definitions, native_grain and dynamic outcome/model grain_code. Replacing 'coil' with 'material' would preserve the same architectural error under a new word.</t>
  </si>
  <si>
    <t>T-068, T-094, T-095, T-147</t>
  </si>
  <si>
    <t>REWRITE TASK SEMANTICS</t>
  </si>
  <si>
    <t>Remove hardcoded/default coil semantics. Preserve customer-declared multi-grain unit types and outcome-specific grain_code. Rename T-094 scope from 'rename canonical grain' to 'remove hardcoded canonical grain default and bind to registry/material-unit authority'.</t>
  </si>
  <si>
    <t>F-060</t>
  </si>
  <si>
    <t>T-060 builds the M1 C6 route, then T-098 says 'Build the C6 Relationship Browser' again. That wording invites a second page/rebuild rather than hidden-authority convergence.</t>
  </si>
  <si>
    <t>T-060, T-095, T-096, T-097, T-098</t>
  </si>
  <si>
    <t>REVISE T-098</t>
  </si>
  <si>
    <t>T-098 must complete the already-shown /relationships page in place: preserve route/layout/controls and replace/extend only the canonical relationship source/path evidence.</t>
  </si>
  <si>
    <t>F-061</t>
  </si>
  <si>
    <t>T-064 already says version policy pinned/current-published, while T-106 says 'add the full version policy' again. The duplicate wording leaves ownership of the final DB checks/triggers ambiguous.</t>
  </si>
  <si>
    <t>T-064, T-106</t>
  </si>
  <si>
    <t>REVISE TASK BOUNDARY</t>
  </si>
  <si>
    <t>T-064 owns the M1 functional/public contract and compatibility semantics. T-106 owns canonical physical convergence after definition_store exists plus job_dependencies/DAG/cycle validation; it must not redesign the visible target/version contract.</t>
  </si>
  <si>
    <t>F-062</t>
  </si>
  <si>
    <t>Current order builds the Analysis Toolbox in T-065 while its outcome/grain arrays remain hardcoded, then T-068 immediately rewrites the same page. This violates the no-rework sequencing rule.</t>
  </si>
  <si>
    <t>T-065, T-068</t>
  </si>
  <si>
    <t>Dependency order is T-068 -&gt; T-065. T-065 consumes registry-driven outcome/grain options from first implementation.</t>
  </si>
  <si>
    <t>F-063</t>
  </si>
  <si>
    <t>Several M2b production-persistence tasks are allowed immediately after M2a-P2, but FORCE RLS and tenant-first uniqueness are only established in M2a-P3 T-112/T-114. Creating tenant-owned intelligence tables first and 'fixing RLS later' creates a temporary insecure architecture and makes T-135 a retrofit.</t>
  </si>
  <si>
    <t>T-112, T-114, T-128, T-129, T-130, T-135, T-139, T-183, T-184, T-185, T-186, T-187</t>
  </si>
  <si>
    <t>REVISE RELEASE GATES</t>
  </si>
  <si>
    <t>Every new tenant-owned table must receive tenant key, tenant-first uniqueness and FORCE RLS at creation. T-112/T-114 (or their proven architecture guards) become release gates for M2b persistence. T-135 becomes a cross-table audit/ratchet, not the first time security is applied.</t>
  </si>
  <si>
    <t>F-064</t>
  </si>
  <si>
    <t>Worker-3 lane labels T-183/T-128 and dependent persistence as 'after M2a-P2', but their tables are tenant-owned and therefore require the M2a-P3 security/tenant guard from T-112/T-114.</t>
  </si>
  <si>
    <t>T-183, T-128, T-129, T-130, T-184, T-186</t>
  </si>
  <si>
    <t>REVISE W3 START CONDITIONS</t>
  </si>
  <si>
    <t>Change these start conditions to 'after canonical schema/relationship hand-off AND T-112/T-114 security hand-off'. Pure non-persistence kernels may still start earlier.</t>
  </si>
  <si>
    <t>F-065</t>
  </si>
  <si>
    <t>T-134 promises predictions, findings, practice, readiness and model-state as bindable sources in M2b-P1, but canonical predictions do not exist until T-139 in P3. It also depends on T-128..T-135, while T-135 is written as covering future intelligence tables, creating a circular completion interpretation.</t>
  </si>
  <si>
    <t>T-134, T-135, T-139, T-188, T-189</t>
  </si>
  <si>
    <t>REVISE T-134/T-135</t>
  </si>
  <si>
    <t>T-134 builds the generic registry/evidence binding mechanism and registers only sources that exist at that point. T-139/T-189 register prediction sources when created. T-135 is a security ratchet over current tables plus an architecture test that forces all future tables to comply.</t>
  </si>
  <si>
    <t>F-066</t>
  </si>
  <si>
    <t>T-146 appears before T-147 in the execution list even though its own dependency text says T-147 precedes final cutover. An automated/parallel worker can therefore start the cutover against the wrong outcome/grain semantics.</t>
  </si>
  <si>
    <t>T-146, T-147</t>
  </si>
  <si>
    <t>REVISE ORDER</t>
  </si>
  <si>
    <t>Make T-146 explicitly depend on completed T-147. Worker-3 lane ordering must list T-147 before T-146.</t>
  </si>
  <si>
    <t>F-067</t>
  </si>
  <si>
    <t>T-107 correctly replaces the unsatisfiable old weighted-pool rule, but it does not clearly distinguish implementing the admission mechanism from selecting real resource_capacity/max_concurrency/reservation numbers.</t>
  </si>
  <si>
    <t>T-107, T-155, T-159, T-182</t>
  </si>
  <si>
    <t>CLARIFY ACCEPTANCE</t>
  </si>
  <si>
    <t>T-107 implements configurable dual predicates and proves satisfiability with test values only. It must not freeze production capacity constants. T-155/T-159 own measured site values and final selection.</t>
  </si>
  <si>
    <t>F-068</t>
  </si>
  <si>
    <t>The harness intentionally leaves B-03..B-09 values unselected, but production-integration tasks can be read as choosing one artifact format/chunking/encoder/index/reranker/runtime before representative/site benchmark evidence exists.</t>
  </si>
  <si>
    <t>T-169, T-170, T-172, T-173, T-180, T-182, T-184, T-185, T-187, T-157, T-159</t>
  </si>
  <si>
    <t>CLARIFY INTEGRATION CONTRACT</t>
  </si>
  <si>
    <t>M2b integration must carry explicit configured candidate identity and measured evidence without declaring a universal/site winner. B-05/B-06 selections are site-calibrated in T-157; remaining sizing/selection values freeze in T-159 or the named site benchmark owner.</t>
  </si>
  <si>
    <t>F-069</t>
  </si>
  <si>
    <t>T-117 explicitly says legacy API dual-serve removal must be a named follow-up task, but v2.10.1 contains no owner for removing the old aliases. Frontend redirect cleanup T-149 is a different surface.</t>
  </si>
  <si>
    <t>T-116, T-117, T-127, T-194</t>
  </si>
  <si>
    <t>Add T-194: retire legacy API dual-serve aliases after client migration and canonical-journey continuity proves no consumer uses them.</t>
  </si>
  <si>
    <t>F-070</t>
  </si>
  <si>
    <t>R1-R4 exposed two test-design flaws: viewport runs share the same persisted dashboard and contaminate each other, and transient post-mouse DOM was treated as authoritative changed state even when Save canonicalised/compacted to different geometry.</t>
  </si>
  <si>
    <t>REVISE VALIDATION</t>
  </si>
  <si>
    <t>Each viewport must snapshot/restore its original layout in finally, mutate relative to its starting state, use PATCH canonical as authoritative changed state, poll DOM to converge after save/reload, and then restore baseline. No more diagnostic-only packs.</t>
  </si>
  <si>
    <t>F-071</t>
  </si>
  <si>
    <t>86 tasks use generic dependency text ('Current M1 sequence', 'M2a dependency order', or 'M3 sequence') instead of executable task IDs/gates. T-064 demonstrated how this lets a worker reach a task before its real authority exists.</t>
  </si>
  <si>
    <t>32 M1 tasks + 41 M2a tasks + 13 M3 tasks</t>
  </si>
  <si>
    <t>BACKLOG STRUCTURE CORRECTION</t>
  </si>
  <si>
    <t>Replace generic dependencies at least for all open Critical/Very Important tasks with explicit task IDs and named release gates. Preserve broad phase intent only as secondary text.</t>
  </si>
  <si>
    <t>F-072</t>
  </si>
  <si>
    <t>Backlog rows already mark T-137 and T-168..T-182 Done, while Worker 3 Lane still says Not Started. Two manually maintained status authorities caused the exact T-170/T-182 tracking confusion raised by the user.</t>
  </si>
  <si>
    <t>Worker 3 Lane sheet</t>
  </si>
  <si>
    <t>WORKBOOK FIX</t>
  </si>
  <si>
    <t>Worker 3 Lane Status must be formula-linked to Backlog Status; evidence/commit lives in one live ledger only.</t>
  </si>
  <si>
    <t>F-073</t>
  </si>
  <si>
    <t>Status is stored without an evidence/commit column, so a static workbook can say Done/Not Started without showing why and handovers become a second execution ledger.</t>
  </si>
  <si>
    <t>Backlog workbook</t>
  </si>
  <si>
    <t>Add verified live-state, evidence/commit, design-verdict, ruling, revised-gate, parallel-eligibility and rework-risk columns to Backlog.</t>
  </si>
  <si>
    <t>F-074</t>
  </si>
  <si>
    <t>Chapter 3 requires C4 Plant Model Explorer /plant-model. Latest frontend audit has no /plant-model route and the backlog has no executable page owner. T-148 only ensures existing page files are reachable; it cannot create a missing target page.</t>
  </si>
  <si>
    <t>T-148, T-196</t>
  </si>
  <si>
    <t>NEW TASK + REVISE T-148</t>
  </si>
  <si>
    <t>Add T-196 for canonical C4 Plant Model Explorer, after plant/relationship authority. T-148 route-inventory gate must require every one of the 40 target route pages to exist, not merely every file to be reachable.</t>
  </si>
  <si>
    <t>F-075</t>
  </si>
  <si>
    <t>Chapter 3 requires E6 Alert Routing and Escalation /alert-routing with routing rules, retries, dead letters, quiet periods and escalation. Latest frontend audit has no route and no backlog task owns the capability.</t>
  </si>
  <si>
    <t>T-125, T-127, T-197</t>
  </si>
  <si>
    <t>Add T-197 before T-127 canonical J15 regression.</t>
  </si>
  <si>
    <t>F-076</t>
  </si>
  <si>
    <t>F5 Logging and Audit /admin/logs and F6 Log Channel Configuration /admin/log-channels are target pages. Audit logging exists in backend, but latest frontend audit has neither route and no task owns final log-channel authority/UI.</t>
  </si>
  <si>
    <t>T-127, T-198</t>
  </si>
  <si>
    <t>Add T-198 to converge logging/audit read surface and canonical log-channel configuration, preserving audit immutability and role-scoped family visibility.</t>
  </si>
  <si>
    <t>F-077</t>
  </si>
  <si>
    <t>F9 Log Retention and Archival /admin/log-retention is the only allowed destructive log-history policy surface and carries dry-run, archive-before-delete, legal hold and audit minimums. No route/task currently owns it.</t>
  </si>
  <si>
    <t>T-124, T-127, T-199</t>
  </si>
  <si>
    <t>Add T-199. Backup/restore T-124 is not a substitute for governed log-retention/archival.</t>
  </si>
  <si>
    <t>F-078</t>
  </si>
  <si>
    <t>F7 System Settings /admin/settings and F8 Translation and Language /admin/translation are target pages. Current repo contains presentation-era translations but no final target routes and no backlog owner for installation settings/time zone/data boundary or governed translation packs.</t>
  </si>
  <si>
    <t>T-113, T-127, T-200</t>
  </si>
  <si>
    <t>Add T-200 for canonical System Settings and Translation/Language surfaces. T-113 configuration hygiene remains security plumbing, not this customer administration contract.</t>
  </si>
  <si>
    <t>F-079</t>
  </si>
  <si>
    <t>F3 Authoring Quota and Limits /admin/quota is absent in the latest frontend route audit. T-121 owns metering and says every meter is visible but does not explicitly own the required F3 route/role-user allocation matrix.</t>
  </si>
  <si>
    <t>EXPAND EXISTING TASK</t>
  </si>
  <si>
    <t>Expand T-121 to deliver both F2 licence/meter enforcement and the separate F3 /admin/quota surface with role/user quotas, 80% warning and 100% create-disable semantics.</t>
  </si>
  <si>
    <t>F-080</t>
  </si>
  <si>
    <t>T-148 validation only proves every file under src/pages is reachable and that the count 'moves toward 40'. It can pass with target pages missing. That is weaker than the frozen 40-page/6-shell contract.</t>
  </si>
  <si>
    <t>T-148, T-150</t>
  </si>
  <si>
    <t>T-148 must prove exact target inventory: all 40 route pages are declared once at canonical routes, all six shell components are present, no orphan page file remains, and any legacy alias is temporary/owned. T-150 consumes this gate.</t>
  </si>
  <si>
    <t>F-081</t>
  </si>
  <si>
    <t>Current GenealogyThreadPanel still contains steel-specific explanatory copy ('coil to heat/melt') while C5 is a generic material-unit explorer. If T-063 converges layout without removing product vocabulary, T-094 will immediately rework the same surface.</t>
  </si>
  <si>
    <t>T-063, T-094</t>
  </si>
  <si>
    <t>T-063 acceptance must require generic material-unit labels driven by data/registry and no industry noun in product UI. T-094 remains the whole-product ratchet.</t>
  </si>
  <si>
    <t>F-082</t>
  </si>
  <si>
    <t>Phase Summary says all M2b-P1 starts after M2a-P2, but production persistence needs security/tenant authority from M2a-P3 while pure computation can start earlier.</t>
  </si>
  <si>
    <t>M2b-P1 / T-128 / T-183 / T-195</t>
  </si>
  <si>
    <t>REVISE PHASE INTENT</t>
  </si>
  <si>
    <t>Revise phase intent: canonical data/relationship authority after P2; any new tenant-owned production persistence waits for T-112/T-114 security hand-off. Keep pure cores parallel-safe.</t>
  </si>
  <si>
    <t>Goal: Worker 3 SAFE-NOW isolated lane is complete. Future Worker 3 persistence/integration work remains parallel-safe only after canonical schema/relationship AND T-112/T-114 tenant/RLS security hand-offs. Booster reassignment requires zero file overlap and stable prerequisites.</t>
  </si>
  <si>
    <t>Live Evidence / Commit</t>
  </si>
  <si>
    <t>v2.10.2 Gate / Ruling</t>
  </si>
  <si>
    <t>None beyond current repository/build; exact-file staging only
F-068: M2b integration must carry explicit configured candidate identity and measured evidence without declaring a universal/site winner. B-05/B-06 selections are site-calibrated in T-157; remaining sizing/selection values freeze in T-159 or the named site benchmark owner.</t>
  </si>
  <si>
    <t>None beyond current repository/build; exact-file staging only
F-067: T-107 implements configurable dual predicates and proves satisfiability with test values only. It must not freeze production capacity constants. T-155/T-159 own measured site values and final selection. | F-068: M2b integration must carry explicit configured candidate identity and measured evidence without declaring a universal/site winner. B-05/B-06 selections are site-calibrated in T-157; remaining sizing/selection values freeze in T-159 or the named site benchmark owner.</t>
  </si>
  <si>
    <t>T-089..T-105 canonical definition/relationship authority + T-112 + T-114 security/tenant hand-off.
F-063: Every new tenant-owned table must receive tenant key, tenant-first uniqueness and FORCE RLS at creation. T-112/T-114 (or their proven architecture guards) become release gates for M2b persistence. T-135 becomes a cross-table audit/ratchet, not the first time security is applied. | F-064: Change these start conditions to 'after canonical schema/relationship hand-off AND T-112/T-114 security hand-off'. Pure non-persistence kernels may still start earlier. | F-082: Revise phase intent: canonical data/relationship authority after P2; any new tenant-owned production persistence waits for T-112/T-114 security hand-off. Keep pure cores parallel-safe.</t>
  </si>
  <si>
    <t>T-087..T-105 + T-112 + T-114 security/tenant hand-off. Outcome semantics from T-090.
F-063: Every new tenant-owned table must receive tenant key, tenant-first uniqueness and FORCE RLS at creation. T-112/T-114 (or their proven architecture guards) become release gates for M2b persistence. T-135 becomes a cross-table audit/ratchet, not the first time security is applied. | F-064: Change these start conditions to 'after canonical schema/relationship hand-off AND T-112/T-114 security hand-off'. Pure non-persistence kernels may still start earlier. | F-082: Revise phase intent: canonical data/relationship authority after P2; any new tenant-owned production persistence waits for T-112/T-114 security hand-off. Keep pure cores parallel-safe.</t>
  </si>
  <si>
    <t>T-112 + T-114 + current M2b persistence tables (including T-128/T-129/T-130/T-183 as they land). Future tasks consume the ratchet.
F-063: Every new tenant-owned table must receive tenant key, tenant-first uniqueness and FORCE RLS at creation. T-112/T-114 (or their proven architecture guards) become release gates for M2b persistence. T-135 becomes a cross-table audit/ratchet, not the first time security is applied. | F-065: T-134 builds the generic registry/evidence binding mechanism and registers only sources that exist at that point. T-139/T-189 register prediction sources when created. T-135 is a security ratchet over current tables plus an architecture test that forces all future tables to comply.</t>
  </si>
  <si>
    <t>T-128 + T-169 + T-183 + T-112/T-114/T-135 security ratchet.
F-063: Every new tenant-owned table must receive tenant key, tenant-first uniqueness and FORCE RLS at creation. T-112/T-114 (or their proven architecture guards) become release gates for M2b persistence. T-135 becomes a cross-table audit/ratchet, not the first time security is applied. | F-064: Change these start conditions to 'after canonical schema/relationship hand-off AND T-112/T-114 security hand-off'. Pure non-persistence kernels may still start earlier. | F-068: M2b integration must carry explicit configured candidate identity and measured evidence without declaring a universal/site winner. B-05/B-06 selections are site-calibrated in T-157; remaining sizing/selection values freeze in T-159 or the named site benchmark owner.</t>
  </si>
  <si>
    <t>T-128 + T-183 + T-112 + T-114.
F-063: Every new tenant-owned table must receive tenant key, tenant-first uniqueness and FORCE RLS at creation. T-112/T-114 (or their proven architecture guards) become release gates for M2b persistence. T-135 becomes a cross-table audit/ratchet, not the first time security is applied. | F-064: Change these start conditions to 'after canonical schema/relationship hand-off AND T-112/T-114 security hand-off'. Pure non-persistence kernels may still start earlier.</t>
  </si>
  <si>
    <t>T-170 + T-183 + T-122 final object-storage/container path + T-112/T-114/T-135 security ratchet.
F-063: Every new tenant-owned table must receive tenant key, tenant-first uniqueness and FORCE RLS at creation. T-112/T-114 (or their proven architecture guards) become release gates for M2b persistence. T-135 becomes a cross-table audit/ratchet, not the first time security is applied. | F-068: M2b integration must carry explicit configured candidate identity and measured evidence without declaring a universal/site winner. B-05/B-06 selections are site-calibrated in T-157; remaining sizing/selection values freeze in T-159 or the named site benchmark owner.</t>
  </si>
  <si>
    <t>T-171 + T-183 + T-128/T-129 + T-195 canonical readiness thresholds + T-135 security ratchet.
F-055: T-066 must render through the stable /api/readiness/evaluate facade (compatibility-backed in M1). Add T-195 for canonical tenant/outcome readiness thresholds, change history, fail-closed evaluation and governed updates before canonical readiness/model cutover. | F-063: Every new tenant-owned table must receive tenant key, tenant-first uniqueness and FORCE RLS at creation. T-112/T-114 (or their proven architecture guards) become release gates for M2b persistence. T-135 becomes a cross-table audit/ratchet, not the first time security is applied. | F-064: Change these start conditions to 'after canonical schema/relationship hand-off AND T-112/T-114 security hand-off'. Pure non-persistence kernels may still start earlier.</t>
  </si>
  <si>
    <t>T-090 definition authority + T-095/T-096 relationship resolver + available canonical intelligence sources (T-129/T-130/T-133/T-186 as applicable). Do not depend on future T-139 prediction rows.
F-065: T-134 builds the generic registry/evidence binding mechanism and registers only sources that exist at that point. T-139/T-189 register prediction sources when created. T-135 is a security ratchet over current tables plus an architecture test that forces all future tables to comply.</t>
  </si>
  <si>
    <t>T-129 + T-130 + T-186 + T-195 + M1 continuity snapshots.
F-065: T-134 builds the generic registry/evidence binding mechanism and registers only sources that exist at that point. T-139/T-189 register prediction sources when created. T-135 is a security ratchet over current tables plus an architecture test that forces all future tables to comply.</t>
  </si>
  <si>
    <t>T-107 + T-109 + T-168..T-176 + T-183..T-186 + T-112/T-114/T-135 + T-195.
F-063: Every new tenant-owned table must receive tenant key, tenant-first uniqueness and FORCE RLS at creation. T-112/T-114 (or their proven architecture guards) become release gates for M2b persistence. T-135 becomes a cross-table audit/ratchet, not the first time security is applied. | F-068: M2b integration must carry explicit configured candidate identity and measured evidence without declaring a universal/site winner. B-05/B-06 selections are site-calibrated in T-157; remaining sizing/selection values freeze in T-159 or the named site benchmark owner.</t>
  </si>
  <si>
    <t>T-130 + T-187
F-063: Every new tenant-owned table must receive tenant key, tenant-first uniqueness and FORCE RLS at creation. T-112/T-114 (or their proven architecture guards) become release gates for M2b persistence. T-135 becomes a cross-table audit/ratchet, not the first time security is applied. | F-065: T-134 builds the generic registry/evidence binding mechanism and registers only sources that exist at that point. T-139/T-189 register prediction sources when created. T-135 is a security ratchet over current tables plus an architecture test that forces all future tables to comply.</t>
  </si>
  <si>
    <t>T-139..T-143 + M1 continuity snapshots
F-065: T-134 builds the generic registry/evidence binding mechanism and registers only sources that exist at that point. T-139/T-189 register prediction sources when created. T-135 is a security ratchet over current tables plus an architecture test that forces all future tables to comply.</t>
  </si>
  <si>
    <t>T-090 canonical SM-06 binding + T-128/T-129 + T-177; complete BEFORE T-146 final cutover.
F-056: T-068 must consume a stable analysis-options/outcome-registry service contract, not a physical table or temporary route. M2a swaps storage behind the contract. Complete T-068 before T-065 so the S3 authoring page is built registry-first instead of being rewritten immediately. | F-059: Remove hardcoded/default coil semantics. Preserve customer-declared multi-grain unit types and outcome-specific grain_code. Rename T-094 scope from 'rename canonical grain' to 'remove hardcoded canonical grain default and bind to registry/material-unit authority'. | F-066: Make T-146 explicitly depend on completed T-147. Worker-3 lane ordering must list T-147 before T-146.</t>
  </si>
  <si>
    <t>T-147 COMPLETE + T-177 + T-128/T-129; M1 presentation continuity frozen.
F-066: Make T-146 explicitly depend on completed T-147. Worker-3 lane ordering must list T-147 before T-146.</t>
  </si>
  <si>
    <t>M2b accepted + customer data window
F-068: M2b integration must carry explicit configured candidate identity and measured evidence without declaring a universal/site winner. B-05/B-06 selections are site-calibrated in T-157; remaining sizing/selection values freeze in T-159 or the named site benchmark owner.</t>
  </si>
  <si>
    <t>M2b accepted + site hardware
F-067: T-107 implements configurable dual predicates and proves satisfiability with test values only. It must not freeze production capacity constants. T-155/T-159 own measured site values and final selection.</t>
  </si>
  <si>
    <t>M2b accepted + site hardware
F-067: T-107 implements configurable dual predicates and proves satisfiability with test values only. It must not freeze production capacity constants. T-155/T-159 own measured site values and final selection. | F-068: M2b integration must carry explicit configured candidate identity and measured evidence without declaring a universal/site winner. B-05/B-06 selections are site-calibrated in T-157; remaining sizing/selection values freeze in T-159 or the named site benchmark owner.</t>
  </si>
  <si>
    <t>17A</t>
  </si>
  <si>
    <t>1B — after M2a-P3 security</t>
  </si>
  <si>
    <t>Canonical readiness thresholds/history + fail-closed API</t>
  </si>
  <si>
    <t>Security-gated canonical readiness authority; no M1 UI changes.</t>
  </si>
  <si>
    <t>After M2a-P3 security (T-112/T-114), with definition/relationship authority complete</t>
  </si>
  <si>
    <t>T-169 closed; production T-184/T-128 after M2a-P3 security</t>
  </si>
  <si>
    <t>T-170 closed; T-185 after canonical + security hand-off</t>
  </si>
  <si>
    <t>Kernel closed; persistence T-186 after canonical + security hand-off</t>
  </si>
  <si>
    <t>After canonical + security hand-off</t>
  </si>
  <si>
    <t>After canonical sources and security hand-off</t>
  </si>
  <si>
    <t>Canonical readiness threshold governance</t>
  </si>
  <si>
    <t>T-066 + T-186 + T-195</t>
  </si>
  <si>
    <t>M1 facade + capability integration + canonical threshold/history persistence</t>
  </si>
  <si>
    <t>M1 visible facade now; T-195 after M2a-P3 security</t>
  </si>
  <si>
    <t>No M1 UI redesign</t>
  </si>
  <si>
    <t>Fail-closed readiness + governed threshold audit</t>
  </si>
  <si>
    <t>T-195 closes the previously orphaned Chapter 3 readiness_thresholds/readiness_threshold_changes and canonical /api/readiness/* authority.</t>
  </si>
  <si>
    <t>PPIQ BACKLOG v2.10.2 — DEEP DESIGN + EXECUTION RECONCILIATION</t>
  </si>
  <si>
    <t>490 — REVISED (+58 h)</t>
  </si>
  <si>
    <t>528 h → 538 h</t>
  </si>
  <si>
    <t>1,738 h → 1,806 h</t>
  </si>
  <si>
    <t>33 total new tasks since v2.9.2; +7 in v2.10.2</t>
  </si>
  <si>
    <t>16 tasks / 172 h — ALL CLOSED</t>
  </si>
  <si>
    <t>v2.10.2 design authority</t>
  </si>
  <si>
    <t>T-057, T-061, T-064, T-087..T-107</t>
  </si>
  <si>
    <t>Separated final external contracts from final physical schema where prerequisites do not yet exist; corrected migration/definition/relationship/job-target sequencing.</t>
  </si>
  <si>
    <t>T-064 exposed a real architecture sequencing contradiction; deep pass found the same class elsewhere.</t>
  </si>
  <si>
    <t>M1 visible contract preserved; temporary physical claims removed.</t>
  </si>
  <si>
    <t>Worker 3 cannot steal unstable physical-schema work.</t>
  </si>
  <si>
    <t>v2.10.2 security gates</t>
  </si>
  <si>
    <t>T-112, T-114, T-128..T-135, T-183..T-188, T-195</t>
  </si>
  <si>
    <t>Tenant-owned intelligence persistence now waits for final tenant keys/FORCE-RLS authority at table creation.</t>
  </si>
  <si>
    <t>Prevent insecure tables followed by later RLS retrofits.</t>
  </si>
  <si>
    <t>NONE to M1.</t>
  </si>
  <si>
    <t>Worker 3 production persistence starts only after security hand-off.</t>
  </si>
  <si>
    <t>v2.10.2 route/admin coverage</t>
  </si>
  <si>
    <t>T-121, T-148, T-196..T-200</t>
  </si>
  <si>
    <t>Exact 40-route + 6-shell coverage; explicit owners added for Plant Model, Alert Routing, Logging/Audit, Log Channels, Retention, Settings and Translation; quota page owner expanded.</t>
  </si>
  <si>
    <t>Target inventory had required pages absent from current audit and/or without an executable owner.</t>
  </si>
  <si>
    <t>No M1 scope increase; M2a operational completeness increases.</t>
  </si>
  <si>
    <t>Mostly non-W3; canonical admin/platform owners.</t>
  </si>
  <si>
    <t>v2.10.2 acceptance correction</t>
  </si>
  <si>
    <t>Viewport persistence certification isolated by baseline snapshot/restore; PATCH canonical layout is the changed-state authority; DOM convergence is polled before/after reload.</t>
  </si>
  <si>
    <t>R1-R4 exposed test contamination and transient-DOM oracle defects.</t>
  </si>
  <si>
    <t>Improves M1 truth without weakening acceptance.</t>
  </si>
  <si>
    <t>Worker 2 only.</t>
  </si>
  <si>
    <t>v2.10.2 execution ledger</t>
  </si>
  <si>
    <t>T-137, T-168..T-182</t>
  </si>
  <si>
    <t>Backlog live state reconciled with evidenced commits; Worker 3 Lane no longer reports closed SAFE-NOW work as Not Started.</t>
  </si>
  <si>
    <t>Static lane sheet had become stale against executed work.</t>
  </si>
  <si>
    <t>Do not reopen closed SAFE-NOW tasks.</t>
  </si>
  <si>
    <t>v2.10.3</t>
  </si>
  <si>
    <t>16-Aug-2026</t>
  </si>
  <si>
    <t>Concept reconciliation</t>
  </si>
  <si>
    <t>Two-track Product Contract + delivery feasibility + branch/data/admin/AI terminology rulings</t>
  </si>
  <si>
    <t>Tech Lead</t>
  </si>
  <si>
    <t>Added concept alignment; no task IDs renumbered</t>
  </si>
  <si>
    <t>v2.10.4</t>
  </si>
  <si>
    <t>Three-AI-agent orchestration</t>
  </si>
  <si>
    <t>Exclusive Worker1/2/3 queues, file/subsystem locks, dependency hand-offs, AI P50/P80 wall-clock estimates and recalibrated delivery feasibility.</t>
  </si>
  <si>
    <t>No task IDs renumbered; traditional Hours preserved as complexity baseline.</t>
  </si>
  <si>
    <t>Severity</t>
  </si>
  <si>
    <t>Type</t>
  </si>
  <si>
    <t>Affected Tasks</t>
  </si>
  <si>
    <t>Authority</t>
  </si>
  <si>
    <t>Architecture / sequencing</t>
  </si>
  <si>
    <t>Chapter 3 §4.5.10 + §4.5.11; T-039 compatibility-boundary doctrine</t>
  </si>
  <si>
    <t>Architecture / acceptance</t>
  </si>
  <si>
    <t>Chapter 3 §4.5.5a; Worker-3 HEAD probe; T-039</t>
  </si>
  <si>
    <t>Chapter 3 §4.5.14; C2 Mapping Health contract</t>
  </si>
  <si>
    <t>API / authority</t>
  </si>
  <si>
    <t>Chapter 3 readiness contract and D3/D8 page calls</t>
  </si>
  <si>
    <t>Outcome authority / continuity</t>
  </si>
  <si>
    <t>Chapter 3 D3 calls + §4.5.11; T-090</t>
  </si>
  <si>
    <t>Migration sequencing</t>
  </si>
  <si>
    <t>Runtime migration lesson from T-044; T-087/T-088 scopes</t>
  </si>
  <si>
    <t>Single authority</t>
  </si>
  <si>
    <t>Chapter 3 §4.5.11 definition kinds</t>
  </si>
  <si>
    <t>Semantic model</t>
  </si>
  <si>
    <t>Chapter 3 material_unit_type_definitions/material_units; model serving identity</t>
  </si>
  <si>
    <t>Continuity / duplication</t>
  </si>
  <si>
    <t>Customer Contract Continuity law; Chapter 3 C6</t>
  </si>
  <si>
    <t>Scope duplication</t>
  </si>
  <si>
    <t>Chapter 3 §4.5.5a</t>
  </si>
  <si>
    <t>Execution sequencing / rework</t>
  </si>
  <si>
    <t>Current frontend evidence + T-065/T-068 scopes</t>
  </si>
  <si>
    <t>Security / tenancy</t>
  </si>
  <si>
    <t>Layer-B tenant rule; Chapter 3 tenant-owned tables; T-112/T-114</t>
  </si>
  <si>
    <t>Dependency / phase design</t>
  </si>
  <si>
    <t>F-063 ruling</t>
  </si>
  <si>
    <t>Circular / impossible promise</t>
  </si>
  <si>
    <t>T-134/T-135/T-139 scopes</t>
  </si>
  <si>
    <t>Execution order</t>
  </si>
  <si>
    <t>T-146 dependency text; T-147 canonical SM-06 consumption</t>
  </si>
  <si>
    <t>Benchmark / calibration</t>
  </si>
  <si>
    <t>Chapter 4 old weighted-pool defect; Layer-B OD-11; T-182/T-155/T-159</t>
  </si>
  <si>
    <t>Benchmark / architecture</t>
  </si>
  <si>
    <t>T-182 'Harness now; values later'; Layer-B measurement-open decisions</t>
  </si>
  <si>
    <t>Orphan owner</t>
  </si>
  <si>
    <t>T-117 scope; zero-orphan freeze law</t>
  </si>
  <si>
    <t>Acceptance design</t>
  </si>
  <si>
    <t>16-Aug T-049 R3/R4 Playwright evidence</t>
  </si>
  <si>
    <t>Backlog execution safety</t>
  </si>
  <si>
    <t>Backlog dependency-column scan</t>
  </si>
  <si>
    <t>Tracking model</t>
  </si>
  <si>
    <t>Current workbook internal inconsistency</t>
  </si>
  <si>
    <t>Tracking / evidence</t>
  </si>
  <si>
    <t>T-170/T-182 tracking incident</t>
  </si>
  <si>
    <t>Target-page coverage</t>
  </si>
  <si>
    <t>Chapter 3 C4; 11-Aug frontend audit; T-148 validation</t>
  </si>
  <si>
    <t>Target-page/capability coverage</t>
  </si>
  <si>
    <t>Chapter 3 E6; route audit</t>
  </si>
  <si>
    <t>Admin coverage</t>
  </si>
  <si>
    <t>Chapter 3 F5/F6; current backend/frontend audit</t>
  </si>
  <si>
    <t>Retention / destructive governance</t>
  </si>
  <si>
    <t>Chapter 3 F9 and §4.5.15</t>
  </si>
  <si>
    <t>Administration / i18n coverage</t>
  </si>
  <si>
    <t>Chapter 3 F7/F8; current route audit</t>
  </si>
  <si>
    <t>Chapter 3 F3; T-121</t>
  </si>
  <si>
    <t>Route-inventory gate</t>
  </si>
  <si>
    <t>Chapter 3 §4.3; T-148 validation</t>
  </si>
  <si>
    <t>Genericity / UI contract</t>
  </si>
  <si>
    <t>11-Aug frontend audit; Chapter 3 C5 generic material-unit contract</t>
  </si>
  <si>
    <t>Phase gate</t>
  </si>
  <si>
    <t>F-063/F-064</t>
  </si>
  <si>
    <t>Contract ID</t>
  </si>
  <si>
    <t>Route Page</t>
  </si>
  <si>
    <t>Canonical Route</t>
  </si>
  <si>
    <t>Present in 11-Aug Frontend Audit</t>
  </si>
  <si>
    <t>v2.10.2 Coverage Ruling</t>
  </si>
  <si>
    <t>A1</t>
  </si>
  <si>
    <t>Login</t>
  </si>
  <si>
    <t>/login</t>
  </si>
  <si>
    <t>J1</t>
  </si>
  <si>
    <t>Present</t>
  </si>
  <si>
    <t>Existing route; T-002/T-077/T-083 certification</t>
  </si>
  <si>
    <t>PRESENT — keep owner/acceptance; T-148 must certify exact canonical inventory</t>
  </si>
  <si>
    <t>A2</t>
  </si>
  <si>
    <t>Home</t>
  </si>
  <si>
    <t>/</t>
  </si>
  <si>
    <t>Existing route; M1 presentation lane</t>
  </si>
  <si>
    <t>B1</t>
  </si>
  <si>
    <t>/data-integration/connections</t>
  </si>
  <si>
    <t>J4</t>
  </si>
  <si>
    <t>Existing route; T-054 / T-127</t>
  </si>
  <si>
    <t>B2</t>
  </si>
  <si>
    <t>Dataset Registry</t>
  </si>
  <si>
    <t>/data-integration/registry</t>
  </si>
  <si>
    <t>J5</t>
  </si>
  <si>
    <t>Existing route; T-055 / T-089..T-094</t>
  </si>
  <si>
    <t>B3</t>
  </si>
  <si>
    <t>Prepare Import</t>
  </si>
  <si>
    <t>/data-integration/prepare</t>
  </si>
  <si>
    <t>Existing route; T-056 / T-099..T-101</t>
  </si>
  <si>
    <t>B4</t>
  </si>
  <si>
    <t>Importing</t>
  </si>
  <si>
    <t>/data-integration/importing</t>
  </si>
  <si>
    <t>J6, J8</t>
  </si>
  <si>
    <t>Existing route; T-056 / T-101</t>
  </si>
  <si>
    <t>B5</t>
  </si>
  <si>
    <t>Jobs Monitor</t>
  </si>
  <si>
    <t>/data-integration/jobs</t>
  </si>
  <si>
    <t>J6, J8, J12</t>
  </si>
  <si>
    <t>Existing route; T-064/T-065 / T-106..T-111</t>
  </si>
  <si>
    <t>B6</t>
  </si>
  <si>
    <t>Connector Truth</t>
  </si>
  <si>
    <t>/data-integration/connector-truth</t>
  </si>
  <si>
    <t>Existing route; T-054</t>
  </si>
  <si>
    <t>C1</t>
  </si>
  <si>
    <t>Transformation Studio</t>
  </si>
  <si>
    <t>/prep/canvas</t>
  </si>
  <si>
    <t>J7</t>
  </si>
  <si>
    <t>Existing route; T-057 / T-095..T-101</t>
  </si>
  <si>
    <t>C2</t>
  </si>
  <si>
    <t>Mapping Health</t>
  </si>
  <si>
    <t>/mapping-health</t>
  </si>
  <si>
    <t>J8</t>
  </si>
  <si>
    <t>Existing route; T-061/T-062 / T-099..T-101</t>
  </si>
  <si>
    <t>C3</t>
  </si>
  <si>
    <t>Data Quality</t>
  </si>
  <si>
    <t>/data-quality</t>
  </si>
  <si>
    <t>C4</t>
  </si>
  <si>
    <t>Plant Model Explorer</t>
  </si>
  <si>
    <t>/plant-model</t>
  </si>
  <si>
    <t>J9</t>
  </si>
  <si>
    <t>Missing</t>
  </si>
  <si>
    <t>NEW T-196</t>
  </si>
  <si>
    <t>MISSING NOW — genuine coverage gap; new explicit owner added in v2.10.2</t>
  </si>
  <si>
    <t>C5</t>
  </si>
  <si>
    <t>Genealogy Explorer</t>
  </si>
  <si>
    <t>/materials ; /materials/{id}</t>
  </si>
  <si>
    <t>Existing route; T-063 / T-102..T-105</t>
  </si>
  <si>
    <t>C6</t>
  </si>
  <si>
    <t>Relationship Browser</t>
  </si>
  <si>
    <t>/relationships</t>
  </si>
  <si>
    <t>T-060 presentation + T-098 canonical</t>
  </si>
  <si>
    <t>MISSING NOW — existing future owner retained; do not create duplicate task</t>
  </si>
  <si>
    <t>D1</t>
  </si>
  <si>
    <t>Interactive Workspace</t>
  </si>
  <si>
    <t>/workspace/:dashboardCode</t>
  </si>
  <si>
    <t>J11</t>
  </si>
  <si>
    <t>Existing route; T-049..T-052 / T-127</t>
  </si>
  <si>
    <t>D2</t>
  </si>
  <si>
    <t>Page Builder</t>
  </si>
  <si>
    <t>/page-builder</t>
  </si>
  <si>
    <t>J10</t>
  </si>
  <si>
    <t>Existing route; T-040..T-043 / T-092..T-094</t>
  </si>
  <si>
    <t>D3</t>
  </si>
  <si>
    <t>Analysis Toolbox</t>
  </si>
  <si>
    <t>/analysis/toolbox</t>
  </si>
  <si>
    <t>J12</t>
  </si>
  <si>
    <t>Existing route; T-064/T-065/T-068 / T-106</t>
  </si>
  <si>
    <t>D4</t>
  </si>
  <si>
    <t>Findings</t>
  </si>
  <si>
    <t>/correlations</t>
  </si>
  <si>
    <t>J13</t>
  </si>
  <si>
    <t>Existing route; T-067 / T-146/T-147</t>
  </si>
  <si>
    <t>D5</t>
  </si>
  <si>
    <t>Risk Dashboard</t>
  </si>
  <si>
    <t>/risk</t>
  </si>
  <si>
    <t>Existing route; T-047 / T-139..T-145</t>
  </si>
  <si>
    <t>D6</t>
  </si>
  <si>
    <t>Suggestions</t>
  </si>
  <si>
    <t>/suggestions</t>
  </si>
  <si>
    <t>J13, J14</t>
  </si>
  <si>
    <t>Existing route; T-133/T-190</t>
  </si>
  <si>
    <t>D7</t>
  </si>
  <si>
    <t>Value Dashboard</t>
  </si>
  <si>
    <t>/value</t>
  </si>
  <si>
    <t>Existing route; T-164</t>
  </si>
  <si>
    <t>D8</t>
  </si>
  <si>
    <t>ML Readiness and Models</t>
  </si>
  <si>
    <t>/ml-readiness</t>
  </si>
  <si>
    <t>Existing route; T-066 / T-186 + T-195</t>
  </si>
  <si>
    <t>D9</t>
  </si>
  <si>
    <t>Early Warning</t>
  </si>
  <si>
    <t>/early-warning</t>
  </si>
  <si>
    <t>D10</t>
  </si>
  <si>
    <t>Practice Insights</t>
  </si>
  <si>
    <t>/practice-insights</t>
  </si>
  <si>
    <t>T-133/T-136</t>
  </si>
  <si>
    <t>D11</t>
  </si>
  <si>
    <t>Scenario Simulation</t>
  </si>
  <si>
    <t>/scenarios</t>
  </si>
  <si>
    <t>Existing route; T-142/T-143</t>
  </si>
  <si>
    <t>D12</t>
  </si>
  <si>
    <t>Benchmarking</t>
  </si>
  <si>
    <t>/benchmarking</t>
  </si>
  <si>
    <t>Existing route; T-182 + T-155/T-159</t>
  </si>
  <si>
    <t>E2</t>
  </si>
  <si>
    <t>Assistant Configuration</t>
  </si>
  <si>
    <t>/assistant-config</t>
  </si>
  <si>
    <t>J15</t>
  </si>
  <si>
    <t>Existing route; T-071..T-073 / T-138</t>
  </si>
  <si>
    <t>E3</t>
  </si>
  <si>
    <t>Plant Data Log</t>
  </si>
  <si>
    <t>/data-integration/alerting</t>
  </si>
  <si>
    <t>Existing route; T-125/T-149</t>
  </si>
  <si>
    <t>E4</t>
  </si>
  <si>
    <t>Supervisor</t>
  </si>
  <si>
    <t>/supervisor</t>
  </si>
  <si>
    <t>E5</t>
  </si>
  <si>
    <t>Reports</t>
  </si>
  <si>
    <t>/reports</t>
  </si>
  <si>
    <t>Existing route; T-126/T-167</t>
  </si>
  <si>
    <t>E6</t>
  </si>
  <si>
    <t>Alert Routing and Escalation</t>
  </si>
  <si>
    <t>/alert-routing</t>
  </si>
  <si>
    <t>NEW T-197</t>
  </si>
  <si>
    <t>F1</t>
  </si>
  <si>
    <t>Users and Roles</t>
  </si>
  <si>
    <t>/admin/users</t>
  </si>
  <si>
    <t>J3</t>
  </si>
  <si>
    <t>F2</t>
  </si>
  <si>
    <t>Licence and Entitlement</t>
  </si>
  <si>
    <t>/admin/license</t>
  </si>
  <si>
    <t>J2</t>
  </si>
  <si>
    <t>Existing route; T-119</t>
  </si>
  <si>
    <t>F3</t>
  </si>
  <si>
    <t>Authoring Quota and Limits</t>
  </si>
  <si>
    <t>/admin/quota</t>
  </si>
  <si>
    <t>T-121 — scope expanded in v2.10.2</t>
  </si>
  <si>
    <t>MISSING NOW — expand T-121 to own canonical /admin/quota page</t>
  </si>
  <si>
    <t>F4</t>
  </si>
  <si>
    <t>Jobs Administration</t>
  </si>
  <si>
    <t>/admin/jobs</t>
  </si>
  <si>
    <t>Existing route; T-111/T-121</t>
  </si>
  <si>
    <t>F5</t>
  </si>
  <si>
    <t>Logging and Audit</t>
  </si>
  <si>
    <t>/admin/logs</t>
  </si>
  <si>
    <t>NEW T-198</t>
  </si>
  <si>
    <t>F6</t>
  </si>
  <si>
    <t>Log Channel Configuration</t>
  </si>
  <si>
    <t>/admin/log-channels</t>
  </si>
  <si>
    <t>F7</t>
  </si>
  <si>
    <t>System Settings</t>
  </si>
  <si>
    <t>/admin/settings</t>
  </si>
  <si>
    <t>NEW T-200</t>
  </si>
  <si>
    <t>F8</t>
  </si>
  <si>
    <t>Translation and Language</t>
  </si>
  <si>
    <t>/admin/translation</t>
  </si>
  <si>
    <t>F9</t>
  </si>
  <si>
    <t>Log Retention and Archival</t>
  </si>
  <si>
    <t>/admin/log-retention</t>
  </si>
  <si>
    <t>NEW T-199</t>
  </si>
  <si>
    <t>PPIQ Backlog v2.10.2 — Deep Design + Execution Reconciliation</t>
  </si>
  <si>
    <t>Original v2.10.1</t>
  </si>
  <si>
    <t>Revised v2.10.2</t>
  </si>
  <si>
    <t>Delta</t>
  </si>
  <si>
    <t>Interpretation</t>
  </si>
  <si>
    <t>Total tasks</t>
  </si>
  <si>
    <t>7 genuine new owner tasks; task IDs preserved</t>
  </si>
  <si>
    <t>Total hours</t>
  </si>
  <si>
    <t>M1 unchanged; added canonical/admin/coverage ownership</t>
  </si>
  <si>
    <t>Architecture/design findings</t>
  </si>
  <si>
    <t>31 new findings from deep authority + sequencing + route validation</t>
  </si>
  <si>
    <t>New findings — Critical</t>
  </si>
  <si>
    <t>Architecture/sequencing/security/acceptance blockers</t>
  </si>
  <si>
    <t>New findings — Very Important</t>
  </si>
  <si>
    <t>Coverage, operability and execution-safety gaps</t>
  </si>
  <si>
    <t>Worker 3 SAFE-NOW</t>
  </si>
  <si>
    <t>All 16 are now closed; do not reopen</t>
  </si>
  <si>
    <t>M1 hours</t>
  </si>
  <si>
    <t>Presentation scope preserved</t>
  </si>
  <si>
    <t>M2a hours</t>
  </si>
  <si>
    <t>Canonical/admin/route ownership made explicit</t>
  </si>
  <si>
    <t>M2b hours</t>
  </si>
  <si>
    <t>Canonical readiness-governance owner added</t>
  </si>
  <si>
    <t>Original Hours</t>
  </si>
  <si>
    <t>Revised Hours</t>
  </si>
  <si>
    <t>Highest-impact rulings</t>
  </si>
  <si>
    <t>Ruling</t>
  </si>
  <si>
    <t>Impact</t>
  </si>
  <si>
    <t>T-057 / relationships</t>
  </si>
  <si>
    <t>M1 freezes final external contract only; final physical FK schema waits for T-089/T-090/T-095.</t>
  </si>
  <si>
    <t>T-064 / job targets</t>
  </si>
  <si>
    <t>Still required for M1 J12/T7. No fake FK. Stable semantic contract now; canonical FK/check/trigger convergence in T-106 after definition_store exists.</t>
  </si>
  <si>
    <t>T-061 / mapping health</t>
  </si>
  <si>
    <t>Final DTO/API/reprocess semantics now; canonical projection_quarantine persistence remains T-099/T-100.</t>
  </si>
  <si>
    <t>T-068 → T-065 sequencing</t>
  </si>
  <si>
    <t>Registry/options authority must precede Analysis Toolbox authoring so T-065 is not immediately rewritten.</t>
  </si>
  <si>
    <t>M2b tenant-owned persistence</t>
  </si>
  <si>
    <t>Start gates now include T-112/T-114 security hand-off; RLS/tenant uniqueness must exist at table creation, not be bolted on later.</t>
  </si>
  <si>
    <t>Route inventory</t>
  </si>
  <si>
    <t>T-148 becomes an exact 40-route + 6-shell gate. Missing true owners added as T-196..T-200; T-121 expanded for /admin/quota.</t>
  </si>
  <si>
    <t>Migration authority</t>
  </si>
  <si>
    <t>T-088 canonical migration-order/duplicate-DDL truth gate precedes T-087 physical schema migration work.</t>
  </si>
  <si>
    <t>v2.10.3 Concept Reconciliation</t>
  </si>
  <si>
    <t>Decision</t>
  </si>
  <si>
    <t>Deadline</t>
  </si>
  <si>
    <t>Verdict</t>
  </si>
  <si>
    <t>Two-track structure</t>
  </si>
  <si>
    <t>Accepted with corrections</t>
  </si>
  <si>
    <t>Track 1 Presentation / Track 2 real customer product now explicit across backlog.</t>
  </si>
  <si>
    <t>20-Aug / 30-Sep</t>
  </si>
  <si>
    <t>Directionally correct</t>
  </si>
  <si>
    <t>Prepared staging + canonical operational accepted; analytical answers must be real-engine computed.</t>
  </si>
  <si>
    <t>Prevents presentation-only fabricated intelligence.</t>
  </si>
  <si>
    <t>20-Aug</t>
  </si>
  <si>
    <t>Strong / already largely implemented</t>
  </si>
  <si>
    <t>Presentation branch</t>
  </si>
  <si>
    <t>Rejected as long-lived branch; use immutable release tag/artifact + presentation profile/database.</t>
  </si>
  <si>
    <t>Prevents branch drift and preserves one product line.</t>
  </si>
  <si>
    <t>20-Aug freeze</t>
  </si>
  <si>
    <t>Critical ruling</t>
  </si>
  <si>
    <t>Live import in M1</t>
  </si>
  <si>
    <t>Removed from mandatory presentation gate; honest prepared import state permitted.</t>
  </si>
  <si>
    <t>Reduces demo risk without weakening product truth.</t>
  </si>
  <si>
    <t>Scope protection</t>
  </si>
  <si>
    <t>Admin/RBAC/licence</t>
  </si>
  <si>
    <t>Frontend-only accepted nowhere as customer-release authority.</t>
  </si>
  <si>
    <t>M2 requires RLS + endpoint + handler + UI enforcement.</t>
  </si>
  <si>
    <t>30-Sep</t>
  </si>
  <si>
    <t>AI/ML terminology</t>
  </si>
  <si>
    <t>7 intelligence/engine families; 18-row list is broader platform component inventory.</t>
  </si>
  <si>
    <t>Prevents false '18 models' completion claim.</t>
  </si>
  <si>
    <t>M2/M3</t>
  </si>
  <si>
    <t>Schedule</t>
  </si>
  <si>
    <t>163h M1 open; 856h M2a+open-M2b; +204h M3 production certification.</t>
  </si>
  <si>
    <t>Full stated scope exceeds current time window at 2–4 engineers.</t>
  </si>
  <si>
    <t>RED unless scope/capacity changes</t>
  </si>
  <si>
    <t>v2.10.4 — THREE-AI-AGENT ORCHESTRATION RECONCILIATION</t>
  </si>
  <si>
    <t>Change</t>
  </si>
  <si>
    <t>Before</t>
  </si>
  <si>
    <t>Delivery model</t>
  </si>
  <si>
    <t>Human-engineer capacity model</t>
  </si>
  <si>
    <t>3 AI-agent P50/P80 active-time model</t>
  </si>
  <si>
    <t>Bounded coding agents complete tasks far faster than traditional estimates.</t>
  </si>
  <si>
    <t>20-Aug Presentation becomes feasible with strict orchestration.</t>
  </si>
  <si>
    <t>Ownership</t>
  </si>
  <si>
    <t>Presentation lane + W3 special lane</t>
  </si>
  <si>
    <t>Exclusive Worker1/2/3 queues for every open task</t>
  </si>
  <si>
    <t>Prevent overwrite, cross-over and hidden rework.</t>
  </si>
  <si>
    <t>One task / one owner / one active file lock.</t>
  </si>
  <si>
    <t>M1 critical path</t>
  </si>
  <si>
    <t>163 traditional open h</t>
  </si>
  <si>
    <t>W1 ~9h P80; W2 ~17h P80; W3 ~3h P80</t>
  </si>
  <si>
    <t>Parallelise non-overlapping verticals.</t>
  </si>
  <si>
    <t>W2 remains bottleneck but fits target window.</t>
  </si>
  <si>
    <t>M2 sequencing</t>
  </si>
  <si>
    <t>Finish M2a then start M2b</t>
  </si>
  <si>
    <t>Open W3 M2b after canonical + T-112/T-114 hand-off</t>
  </si>
  <si>
    <t>Avoid idle W3 and reduce elapsed calendar.</t>
  </si>
  <si>
    <t>30-Sep Customer Pilot becomes realistic with buffer.</t>
  </si>
  <si>
    <t>Traditional estimates used as calendar</t>
  </si>
  <si>
    <t>Traditional h preserved + AI P50/P80 added</t>
  </si>
  <si>
    <t>Preserve complexity traceability while planning real agent wall-clock.</t>
  </si>
  <si>
    <t>No false deletion of scope.</t>
  </si>
  <si>
    <t>PlantProcess IQ — Two-Track Product Contract (v2.10.3)</t>
  </si>
  <si>
    <t>Area</t>
  </si>
  <si>
    <t>Track 1 — Presentation RC (20-Aug)</t>
  </si>
  <si>
    <t>Track 1 Ruling</t>
  </si>
  <si>
    <t>Track 2 — Customer Product</t>
  </si>
  <si>
    <t>Track 2 Ruling</t>
  </si>
  <si>
    <t>Backlog Owner / Tasks</t>
  </si>
  <si>
    <t>Acceptance Signal</t>
  </si>
  <si>
    <t>Risk / Note</t>
  </si>
  <si>
    <t>Source emulation</t>
  </si>
  <si>
    <t>Live Test Connection to emulated customer sources; prepared registration state is acceptable.</t>
  </si>
  <si>
    <t>Do not model src_* as a product schema. src_* is donor state only and must retire. Docker/native emulators are the source side.</t>
  </si>
  <si>
    <t>Separate real source systems/connectors outside ppiq_app.</t>
  </si>
  <si>
    <t>Read-only DB-Link, load budgets, connector certification; imports fill staging.</t>
  </si>
  <si>
    <t>T-054/T-055; M2a connector/import tasks</t>
  </si>
  <si>
    <t>Connection succeeds live; source failure is readable; no write to source.</t>
  </si>
  <si>
    <t>M1 live bulk import is optional, not a release gate.</t>
  </si>
  <si>
    <t>Staging / dump_store</t>
  </si>
  <si>
    <t>Prepared source-shaped, unprepared data in presentation staging/dump_store for Canvas/SQL/wiring.</t>
  </si>
  <si>
    <t>Allowed M1 exception from one Fleet v2 generator; identities must match the plant representation.</t>
  </si>
  <si>
    <t>ppiq_staging starts EMPTY and is written by import/projection pipeline only.</t>
  </si>
  <si>
    <t>Final generic source-shaped staging, watermarks, quarantine; no analytical consumers read it.</t>
  </si>
  <si>
    <t>T-030/T-031; T-087/T-099/T-100</t>
  </si>
  <si>
    <t>M1 cross-layer consistency; M2 empty-install + real ingestion proof.</t>
  </si>
  <si>
    <t>High if temporary names leak into public contract.</t>
  </si>
  <si>
    <t>Metadata / configuration</t>
  </si>
  <si>
    <t>Presentation profile may contain prepared product configuration required for pages/jobs/roles/logs.</t>
  </si>
  <si>
    <t>Keep product configuration distinct from plant reality. Do not seed runtime history as fake activity.</t>
  </si>
  <si>
    <t>ppiq_meta has a declared generic schema; bootstrap/config rows only where product-owned; runtime tables start naturally empty.</t>
  </si>
  <si>
    <t>Definitions, relationships, jobs, users/roles, audit/log governance live here under genericity/RLS rules.</t>
  </si>
  <si>
    <t>T-039; T-089/T-090; T-119..T-122; T-196..T-200</t>
  </si>
  <si>
    <t>No customer/demo vocabulary in clean install; metadata bootstrap reproducible from scripts.</t>
  </si>
  <si>
    <t>M2 admin cannot be frontend-only.</t>
  </si>
  <si>
    <t>Canonical operational data</t>
  </si>
  <si>
    <t>Pre-populated from Fleet v2 generator.</t>
  </si>
  <si>
    <t>Correct for M1.</t>
  </si>
  <si>
    <t>ppiq_plant starts EMPTY on fresh customer install.</t>
  </si>
  <si>
    <t>Filled only through governed projection/import jobs.</t>
  </si>
  <si>
    <t>T-024; T-087+</t>
  </si>
  <si>
    <t>M1 canonical counts/phenomena; M2 one-query empty-plant proof then job-driven fill.</t>
  </si>
  <si>
    <t>Critical architecture boundary.</t>
  </si>
  <si>
    <t>Analytical data</t>
  </si>
  <si>
    <t>Available for charts/assistant, but produced by real engines.</t>
  </si>
  <si>
    <t>Do NOT prefill authored analysis answers. Real engine computation is mandatory.</t>
  </si>
  <si>
    <t>Stored in ppiq_plant analytical area and produced by governed engines/runs.</t>
  </si>
  <si>
    <t>Every immutable analytical row traces to run + definition version.</t>
  </si>
  <si>
    <t>T-025; M2b T-128..T-147/T-183..T-193</t>
  </si>
  <si>
    <t>Recompute from canonical and reproduce evidence; no answer labels reachable from runtime.</t>
  </si>
  <si>
    <t>User concept corrected: prepared ≠ fabricated.</t>
  </si>
  <si>
    <t>BI dashboard / layout / filters</t>
  </si>
  <si>
    <t>Target: frozen PPIQ M1 authoring/interaction contract, customer-demo quality.</t>
  </si>
  <si>
    <t>Do not use '95% of Qlik/Power BI/Tableau' as acceptance; that is unbounded. Certify PPIQ's defined enterprise contract.</t>
  </si>
  <si>
    <t>Generic enterprise BI authoring on final definitions, sources, relationships, security and persistence.</t>
  </si>
  <si>
    <t>Measure against PPIQ product contract + performance/accessibility/security, not competitor feature count.</t>
  </si>
  <si>
    <t>T-041..T-052; M2a definition/relationship convergence</t>
  </si>
  <si>
    <t>Create/edit/save/reload/filter/drill/failure-isolation all certified.</t>
  </si>
  <si>
    <t>T-049 currently on critical path.</t>
  </si>
  <si>
    <t>Canvas / SQL / wiring</t>
  </si>
  <si>
    <t>Live authoring/validation/preview against prepared staging; visible contract is final.</t>
  </si>
  <si>
    <t>85% label replaced by: all frozen M1 authoring states used in tutorial are complete and certified.</t>
  </si>
  <si>
    <t>Same shell over real ppiq_staging and final definition store.</t>
  </si>
  <si>
    <t>Customer can author transformations/pages/analysis/model/log rule through governed definitions.</t>
  </si>
  <si>
    <t>T-032..T-040; T-089/T-090</t>
  </si>
  <si>
    <t>Golden Gate + reconstructable SQL + role mapping + final service seam.</t>
  </si>
  <si>
    <t>M1 largely done.</t>
  </si>
  <si>
    <t>Widget/Page authoring</t>
  </si>
  <si>
    <t>Create page; add/edit widget through shared shell; save and persist.</t>
  </si>
  <si>
    <t>Target is frozen visible contract, not broad competitor parity.</t>
  </si>
  <si>
    <t>Fully generic page/widget authoring; no prebuilt customer dashboards required.</t>
  </si>
  <si>
    <t>Definitions/versioning/permissions/licence govern authoring.</t>
  </si>
  <si>
    <t>T-038/T-041..T-052; M2a/M2b convergence</t>
  </si>
  <si>
    <t>User-created page/widget survives reload and contract remains unchanged after M2 migration.</t>
  </si>
  <si>
    <t>Strong M1 foundation already exists.</t>
  </si>
  <si>
    <t>Jobs / scheduler</t>
  </si>
  <si>
    <t>Show honest job monitoring/configuration and analysis-job target/version semantics needed by tutorial.</t>
  </si>
  <si>
    <t>Do not make live SRC→staging→plant bulk execution an Aug-20 gate merely for show. If demonstrated, it must truly run.</t>
  </si>
  <si>
    <t>Real import/projection/analysis/model jobs; bounded scheduler, delta propagation, concurrency and recovery.</t>
  </si>
  <si>
    <t>Capacity and concurrency are benchmarked, not guessed.</t>
  </si>
  <si>
    <t>T-056/T-064/T-065; M2a-P3; T-155/T-159</t>
  </si>
  <si>
    <t>M1 tutorial job works honestly. M2 runs real pipeline from empty staging/plant.</t>
  </si>
  <si>
    <t>'Hundreds at once' only after measured certification.</t>
  </si>
  <si>
    <t>Showcase dashboards</t>
  </si>
  <si>
    <t>Prepared dashboards/pages full of real computed/displayable presentation data.</t>
  </si>
  <si>
    <t>100% of the chosen showcase set by M1 freeze.</t>
  </si>
  <si>
    <t>No customer-specific premade dashboards in clean customer install unless shipped as optional templates.</t>
  </si>
  <si>
    <t>Users author their own pages.</t>
  </si>
  <si>
    <t>M1-P3/M1-P5</t>
  </si>
  <si>
    <t>All selected presentation pages green; M2 empty customer workspace proof.</t>
  </si>
  <si>
    <t>Correct two-track separation.</t>
  </si>
  <si>
    <t>Configuration pages</t>
  </si>
  <si>
    <t>Only pages needed by the presentation journey must be complete and honest by 20-Aug.</t>
  </si>
  <si>
    <t>Do not add fake admin/config pages just to reach a route count.</t>
  </si>
  <si>
    <t>All target config/admin pages must exist and be functionally enforced before product release.</t>
  </si>
  <si>
    <t>Backend/DB authority must match UI visibility.</t>
  </si>
  <si>
    <t>T-053..T-068; T-119..T-122; T-196..T-200</t>
  </si>
  <si>
    <t>M1 presented routes green; M2 exact route inventory + endpoint/RLS enforcement.</t>
  </si>
  <si>
    <t>User concept narrowed for M1 deadline.</t>
  </si>
  <si>
    <t>Admin / RBAC / licence</t>
  </si>
  <si>
    <t>Presentation may show existing real surfaces; non-required admin pages are not M1 blockers.</t>
  </si>
  <si>
    <t>Frontend-only authority is unacceptable if the page implies control.</t>
  </si>
  <si>
    <t>Users/roles/licence/quota/settings/logs require server-side enforcement; hidden URL must still refuse.</t>
  </si>
  <si>
    <t>Signed licence; RLS + endpoint + handler + UI + contract-test layers.</t>
  </si>
  <si>
    <t>M2a-P4; T-196..T-200</t>
  </si>
  <si>
    <t>Direct URL/API bypass attempts fail; downgrade/expiry keeps data read-only, never deletes it.</t>
  </si>
  <si>
    <t>Critical correction to user concept.</t>
  </si>
  <si>
    <t>AI/ML proof of concept</t>
  </si>
  <si>
    <t>Use real computations already available; 3–4 demonstrable capabilities are enough if they do not fake outputs.</t>
  </si>
  <si>
    <t>Results may be exploratory, but must be truthful/grounded. Do not wire isolated kernels merely to hit a count.</t>
  </si>
  <si>
    <t>Productionize the seven intelligence/engine families plus required orchestration, persistence and serving components.</t>
  </si>
  <si>
    <t>The 18-row list is an intelligence-platform component list, NOT 18 ML models.</t>
  </si>
  <si>
    <t>T-025 + existing M1 engine; T-168..T-182 done foundations; T-183..T-193 integration</t>
  </si>
  <si>
    <t>M1: real computation → governed result → chart. M2: production manifest/snapshot/registry/cutover.</t>
  </si>
  <si>
    <t>Major terminology/scope correction.</t>
  </si>
  <si>
    <t>Assistant / in-house expert</t>
  </si>
  <si>
    <t>Meaningful grounded answers from permitted presentation evidence; honest refusal is a success.</t>
  </si>
  <si>
    <t>'Not accurate/precise is okay' is rejected. Unsupported numbers/claims must refuse.</t>
  </si>
  <si>
    <t>Permission-first retrieval + deterministic planner/verifier + serving runtime + canonical evidence.</t>
  </si>
  <si>
    <t>Answer only supported intents/evidence; never promise 'any question'.</t>
  </si>
  <si>
    <t>T-071..T-076; T-138/T-180/T-181</t>
  </si>
  <si>
    <t>Citations/evidence resolve; fabricated numeric claims rejected; unsupported questions refuse.</t>
  </si>
  <si>
    <t>Current M1 assistant foundation is strong.</t>
  </si>
  <si>
    <t>Presentation freeze strategy</t>
  </si>
  <si>
    <t>Freeze a reproducible Presentation RC.</t>
  </si>
  <si>
    <t>Use immutable release tag/artifact + presentation profile/database. No long-lived environment/demo code branch.</t>
  </si>
  <si>
    <t>Main remains the only evolving product line; short-lived feature branches only.</t>
  </si>
  <si>
    <t>Promotion moves identical signed artifact across environments.</t>
  </si>
  <si>
    <t>T-003/T-080/T-082/T-083</t>
  </si>
  <si>
    <t>Rebuild Presentation RC from source + tag and run twice clean.</t>
  </si>
  <si>
    <t>Direct conflict with 'long-lived Presentation branch' idea.</t>
  </si>
  <si>
    <t>Customer installation</t>
  </si>
  <si>
    <t>Not M1.</t>
  </si>
  <si>
    <t>30-Sep target should be treated as a controlled Customer Pilot RC unless production/site gates also pass.</t>
  </si>
  <si>
    <t>Full GA/second-customer repeatability remains M3 certification work.</t>
  </si>
  <si>
    <t>M2a/M2b + applicable M3 gates</t>
  </si>
  <si>
    <t>Fresh install, empty plant, real source path, signed licence, smoke/E2E, rollback/restore evidence.</t>
  </si>
  <si>
    <t>Full enterprise scope by 30-Sep is schedule-red at current backlog.</t>
  </si>
  <si>
    <t>v2.10.3 — Concept / Architecture Rulings</t>
  </si>
  <si>
    <t>ID</t>
  </si>
  <si>
    <t>User Concept</t>
  </si>
  <si>
    <t>Authoritative Ruling</t>
  </si>
  <si>
    <t>Backlog Impact</t>
  </si>
  <si>
    <t>C-01</t>
  </si>
  <si>
    <t>Two tracks: Presentation then real customer product</t>
  </si>
  <si>
    <t>ACCEPT</t>
  </si>
  <si>
    <t>Keep the two-track product intent, but Track 1 is a controlled prepared-data profile of the same product contract; Track 2 converges storage/runtime without moving the visible contract.</t>
  </si>
  <si>
    <t>Milestone definitions clarified; Track columns added.</t>
  </si>
  <si>
    <t>Chapter 3 §4.5.2a</t>
  </si>
  <si>
    <t>C-02</t>
  </si>
  <si>
    <t>Long-lived Presentation branch</t>
  </si>
  <si>
    <t>REJECT</t>
  </si>
  <si>
    <t>T-003/T-080/T-082/T-083 release-freeze wording.</t>
  </si>
  <si>
    <t>Chapter 6 §6.1.3.2</t>
  </si>
  <si>
    <t>C-03</t>
  </si>
  <si>
    <t>ppiq_presentation.SRC_XXX as emulated product source layer</t>
  </si>
  <si>
    <t>REJECT / REFRAME</t>
  </si>
  <si>
    <t>src_* is donor state, not product staging. Connection-test emulators live outside the product; dump_store is transitional M1 staging.</t>
  </si>
  <si>
    <t>M1 source/staging contract clarified.</t>
  </si>
  <si>
    <t>Chapter 3 §4.5.2a rule 4</t>
  </si>
  <si>
    <t>C-04</t>
  </si>
  <si>
    <t>Prefill canonical operational data in Presentation</t>
  </si>
  <si>
    <t>Allowed if emitted deterministically from Fleet v2.</t>
  </si>
  <si>
    <t>No scope change; T-024 already closed.</t>
  </si>
  <si>
    <t>Chapter 3 §4.5.2a rule 1</t>
  </si>
  <si>
    <t>Accepted</t>
  </si>
  <si>
    <t>C-05</t>
  </si>
  <si>
    <t>Prefill analytical answer tables in Presentation</t>
  </si>
  <si>
    <t>Analytical rows must be computed by real engines from canonical operational data; authored answers are forbidden.</t>
  </si>
  <si>
    <t>T-025 remains authority; concept sheet corrected.</t>
  </si>
  <si>
    <t>Chapter 3 §4.5.2a rule 2</t>
  </si>
  <si>
    <t>C-06</t>
  </si>
  <si>
    <t>Live bulk import/projection mandatory for Presentation</t>
  </si>
  <si>
    <t>DEFER FROM RELEASE GATE</t>
  </si>
  <si>
    <t>M1 may show prepared registration/import state. Live connection + Canvas authoring are real; full external pipeline returns in M2a.</t>
  </si>
  <si>
    <t>T-056 validation narrowed; T-077 journey wording governed by prepared-data rule.</t>
  </si>
  <si>
    <t>Chapter 3 §4.5.2a rule 3</t>
  </si>
  <si>
    <t>C-07</t>
  </si>
  <si>
    <t>95% / 100% compared with Qlik/Power BI/Tableau</t>
  </si>
  <si>
    <t>REPLACE METRIC</t>
  </si>
  <si>
    <t>Use completion of frozen PPIQ enterprise authoring contract, not competitor feature-count parity.</t>
  </si>
  <si>
    <t>Release criteria sheets use PPIQ contract language.</t>
  </si>
  <si>
    <t>Product Contract / backlog</t>
  </si>
  <si>
    <t>C-08</t>
  </si>
  <si>
    <t>M1 all Admin pages 100% frontend without backend</t>
  </si>
  <si>
    <t>NOT M1 GATE</t>
  </si>
  <si>
    <t>Only presented routes must be complete/honest. Do not build fake control pages for optics.</t>
  </si>
  <si>
    <t>Keep admin completion in M2a; no extra M1 scope added.</t>
  </si>
  <si>
    <t>Chapter 3 presentation rule</t>
  </si>
  <si>
    <t>C-09</t>
  </si>
  <si>
    <t>M2 Admin frontend can exist without backend functionality</t>
  </si>
  <si>
    <t>Customer release requires DB RLS + endpoint entitlement/role + handler state + UI + contract test.</t>
  </si>
  <si>
    <t>M2a-P4/T-196..T-200 remain functional release work.</t>
  </si>
  <si>
    <t>Chapter 6 §6.3.2.3</t>
  </si>
  <si>
    <t>C-10</t>
  </si>
  <si>
    <t>Monthly licence remotely controlled</t>
  </si>
  <si>
    <t>PARTIAL</t>
  </si>
  <si>
    <t>Signed offline-verifiable licence is canonical; remote revocation may exist where connected but cannot be mandatory phone-home because air-gapped must work.</t>
  </si>
  <si>
    <t>No new task; acceptance wording clarified.</t>
  </si>
  <si>
    <t>Chapter 6 §6.3.3</t>
  </si>
  <si>
    <t>C-11</t>
  </si>
  <si>
    <t>Hundreds of jobs concurrently as a fixed target</t>
  </si>
  <si>
    <t>MEASURE, DON'T GUESS</t>
  </si>
  <si>
    <t>Concurrency/capacity values come from B-01/B-02 and C1–C4 certification on target hardware/data.</t>
  </si>
  <si>
    <t>Capacity claims gated by T-155/T-159 evidence.</t>
  </si>
  <si>
    <t>Layer B benchmarks + Chapter 6</t>
  </si>
  <si>
    <t>C-12</t>
  </si>
  <si>
    <t>18 ML models</t>
  </si>
  <si>
    <t>RENAME / RESCOPE</t>
  </si>
  <si>
    <t>There are seven intelligence/engine families MF-01..MF-07. The 18-row inventory mixes models, statistical engines, Assistant, machinery, benchmark harness and cutover.</t>
  </si>
  <si>
    <t>AI/ML sheet and concept contract terminology corrected.</t>
  </si>
  <si>
    <t>Final Synchronisation Ledger + Layer B Design Pack</t>
  </si>
  <si>
    <t>C-13</t>
  </si>
  <si>
    <t>M1 3–4 model POC; accuracy unimportant</t>
  </si>
  <si>
    <t>ACCEPT WITH TRUTH RULE</t>
  </si>
  <si>
    <t>A small real POC is fine; output quality need not be production-grade, but outputs cannot be fabricated or knowingly inaccurate. Honest refusal is valid.</t>
  </si>
  <si>
    <t>Use existing real engine computation; do not force production cutover solely for a count.</t>
  </si>
  <si>
    <t>Chapter 3/4 engine governance</t>
  </si>
  <si>
    <t>C-14</t>
  </si>
  <si>
    <t>M1 chatbot meaningful even if imprecise/inaccurate</t>
  </si>
  <si>
    <t>REJECT INACCURACY</t>
  </si>
  <si>
    <t>Grounded contextual answer is required; unsupported precision refuses. 'Meaningful but inaccurate' would undermine product trust.</t>
  </si>
  <si>
    <t>T-074/T-076 acceptance remains strict.</t>
  </si>
  <si>
    <t>Assistant grounding contract</t>
  </si>
  <si>
    <t>C-15</t>
  </si>
  <si>
    <t>M2 chatbot answers any question</t>
  </si>
  <si>
    <t>REJECT ABSOLUTE</t>
  </si>
  <si>
    <t>In-house expert means broad supported plant questions through governed tools/evidence, with permission and refusal boundaries; never literally any question.</t>
  </si>
  <si>
    <t>T-138 quality/cutover gate remains bounded.</t>
  </si>
  <si>
    <t>Layer B Assistant + Q gates</t>
  </si>
  <si>
    <t>C-16</t>
  </si>
  <si>
    <t>30-Sep = fully production-certified first customer release</t>
  </si>
  <si>
    <t>HIGH-RISK / SPLIT</t>
  </si>
  <si>
    <t>Treat 30-Sep as Customer Pilot RC unless the applicable M3 site/security/DR/capacity/acceptance gates are pulled forward and pass. M3 remains the GA/second-customer repeatability gate.</t>
  </si>
  <si>
    <t>Delivery Feasibility sheet added; milestone definitions clarified.</t>
  </si>
  <si>
    <t>Backlog M3 + Chapter 6 deployment</t>
  </si>
  <si>
    <t>PPIQ Delivery Feasibility — Recalibrated for 3 Parallel AI Coding Agents (v2.10.4)</t>
  </si>
  <si>
    <t>Target</t>
  </si>
  <si>
    <t>Traditional Open h</t>
  </si>
  <si>
    <t>AI P80 Critical Load</t>
  </si>
  <si>
    <t>Estimated Focused Elapsed</t>
  </si>
  <si>
    <t>What makes it true</t>
  </si>
  <si>
    <t>What breaks it</t>
  </si>
  <si>
    <t>Presentation RC — 20 Aug</t>
  </si>
  <si>
    <t>W2 ≈ 17h; W1 ≈ 9h; W3 ≈ 3h</t>
  </si>
  <si>
    <t>~2–3 focused agent days + final walkthrough</t>
  </si>
  <si>
    <t>GREEN–YELLOW / feasible</t>
  </si>
  <si>
    <t>Exclusive queues; W1 config/data verticals, W2 BI/integration, W3 semantic booster; no repeated diagnostic loops.</t>
  </si>
  <si>
    <t>Cross-over/shared-file edits, reopening closed tasks, or certifying a moving page/contract.</t>
  </si>
  <si>
    <t>Customer Pilot RC — 30 Sep</t>
  </si>
  <si>
    <t>M2a W1 ≈ 66h P80; open M2b W3 ≈ 52h P80; W2 UI ≈ 24h across both</t>
  </si>
  <si>
    <t>~15–22 calendar days incl. hand-offs + integration buffer</t>
  </si>
  <si>
    <t>GREEN–YELLOW / realistic</t>
  </si>
  <si>
    <t>W1 prioritises T-089..T-105 + T-112/T-114; W3 starts M2b before W1 finishes M2a tail; W2 consumes committed APIs.</t>
  </si>
  <si>
    <t>Treating Pilot as GA; unstable schema work; waiting for all M2a tail before W3 starts; shared integration ownership.</t>
  </si>
  <si>
    <t>Production GA / repeatable second-customer release</t>
  </si>
  <si>
    <t>M3 contains real site/external evidence that AI cannot compress away</t>
  </si>
  <si>
    <t>Depends on customer data/hardware/SSO/HA-DR evidence</t>
  </si>
  <si>
    <t>NOT a 30-Sep promise</t>
  </si>
  <si>
    <t>Complete M3 site, capacity, security, DR, calibration and acceptance evidence.</t>
  </si>
  <si>
    <t>Declaring GA from code completion alone.</t>
  </si>
  <si>
    <t>W1 P50</t>
  </si>
  <si>
    <t>W2 P50</t>
  </si>
  <si>
    <t>W3 P50</t>
  </si>
  <si>
    <t>AI Bottleneck</t>
  </si>
  <si>
    <t>Planning Ruling</t>
  </si>
  <si>
    <t>Worker 2 ≈ 17.2h P80</t>
  </si>
  <si>
    <t>20-Aug feasible if scope stays frozen and T-049 exits diagnostic mode.</t>
  </si>
  <si>
    <t>Worker 1 ≈ 65.5h P80</t>
  </si>
  <si>
    <t>Worker 1 is critical; canonical/security hand-off is prioritised over tail/admin polish.</t>
  </si>
  <si>
    <t>Worker 3 ≈ 52.2h P80</t>
  </si>
  <si>
    <t>Worker 3 is critical; start immediately after canonical/security hand-off, in parallel with M2a tail.</t>
  </si>
  <si>
    <t>Worker 1 ≈ 72.0h P80</t>
  </si>
  <si>
    <t>AI speeds implementation, but site/customer evidence is the calendar driver.</t>
  </si>
  <si>
    <t>AI PLANNING CALIBRATION</t>
  </si>
  <si>
    <t>Rule</t>
  </si>
  <si>
    <t>Planning value</t>
  </si>
  <si>
    <t>Traditional Hours</t>
  </si>
  <si>
    <t>Preserved</t>
  </si>
  <si>
    <t>Scope/complexity points, not wall-clock for AI coding agents.</t>
  </si>
  <si>
    <t>Keeps backlog traceability; avoids pretending engineering scope disappeared.</t>
  </si>
  <si>
    <t>Hours ÷ execution-class speed</t>
  </si>
  <si>
    <t>Expected active wall-clock when scope/prerequisites are clean.</t>
  </si>
  <si>
    <t>Calibrated to observed agent throughput but conservative vs best isolated runs.</t>
  </si>
  <si>
    <t>P50 × 1.35–1.8</t>
  </si>
  <si>
    <t>Planning value including retries/runtime integration/debugging.</t>
  </si>
  <si>
    <t>Captures E2E/DB/runtime uncertainty seen in real work.</t>
  </si>
  <si>
    <t>Focused supervision</t>
  </si>
  <si>
    <t>~6–10 agent-active h/day/agent</t>
  </si>
  <si>
    <t>Practical execution/review/pack hand-off capacity.</t>
  </si>
  <si>
    <t>Agents may code faster; user-run scripts and acceptance still consume wall-clock.</t>
  </si>
  <si>
    <t>External/site work</t>
  </si>
  <si>
    <t>≤3–5x compression</t>
  </si>
  <si>
    <t>Customer/hardware waits are not code-generation problems.</t>
  </si>
  <si>
    <t>M3 remains evidence-gated.</t>
  </si>
  <si>
    <t>CRITICAL-PATH ORCHESTRATION</t>
  </si>
  <si>
    <t>Window</t>
  </si>
  <si>
    <t>Release Gate</t>
  </si>
  <si>
    <t>Do NOT do</t>
  </si>
  <si>
    <t>Expected Result</t>
  </si>
  <si>
    <t>Now → M1 freeze</t>
  </si>
  <si>
    <t>T-057/058/060 + T-061/062 + T-054..056 + T-063</t>
  </si>
  <si>
    <t>T-049..053 → T-059 → T-068 → T-065/066 → T-077..083</t>
  </si>
  <si>
    <t>T-064 now → WAIT → T-067 → WAIT → T-076</t>
  </si>
  <si>
    <t>All producer contracts committed before consumer starts; one consolidated visual walkthrough at phase exit.</t>
  </si>
  <si>
    <t>No M2a DB/schema mutation while W2 certifies presentation runtime; no shared files.</t>
  </si>
  <si>
    <t>Presentation RC closes without overwrite/rework.</t>
  </si>
  <si>
    <t>M2a critical hand-off</t>
  </si>
  <si>
    <t>Prioritise T-084..090, T-092..105, then T-112/T-114 before lower-priority tail.</t>
  </si>
  <si>
    <t>Start T-196/T-098/T-101 only after producer commits; admin/UI follows security/backend gates.</t>
  </si>
  <si>
    <t>T-106/T-107/T-109 only after named W1 contracts.</t>
  </si>
  <si>
    <t>T-089..T-105 + T-112/T-114 committed.</t>
  </si>
  <si>
    <t>Do not wait for all M2a P4 packaging before opening W3 M2b lane.</t>
  </si>
  <si>
    <t>W3 starts intelligence integration while W1/W2 finish M2a tail.</t>
  </si>
  <si>
    <t>M2b parallel</t>
  </si>
  <si>
    <t>Finish M2a tail/package; own T-150 only after W2/W3 component freeze.</t>
  </si>
  <si>
    <t>T-148/T-149 only; no W3 intelligence surfaces.</t>
  </si>
  <si>
    <t>T-183/T-195/T-128… then model/prediction/cutover chain.</t>
  </si>
  <si>
    <t>W3 persistence/security gates green; consumers use committed contracts.</t>
  </si>
  <si>
    <t>No 'shared integration task' where two agents edit the same subsystem.</t>
  </si>
  <si>
    <t>Customer Pilot can converge by 30 Sep with buffer.</t>
  </si>
  <si>
    <t>PPIQ v2.10.4 — Three-AI-Agent Operating Model</t>
  </si>
  <si>
    <t>Agent</t>
  </si>
  <si>
    <t>Primary Role</t>
  </si>
  <si>
    <t>Current M1 Queue</t>
  </si>
  <si>
    <t>Future Track</t>
  </si>
  <si>
    <t>Owned Areas</t>
  </si>
  <si>
    <t>Forbidden / Non-Overlap Areas</t>
  </si>
  <si>
    <t>Release / Handoff Rule</t>
  </si>
  <si>
    <t>Planning Model</t>
  </si>
  <si>
    <t>Core Platform + Data/Configuration Vertical</t>
  </si>
  <si>
    <t>T-057→T-058→T-060; T-061→T-062; T-054→T-056; T-063</t>
  </si>
  <si>
    <t>M2a canonical DB/schema/definitions/relationships/projection/security/API/infra; M2b T-150; M3 platform/site</t>
  </si>
  <si>
    <t>Connections/Datasets/Import, Relationships, Mapping Health, Genealogy; canonical DB/backend/infra</t>
  </si>
  <si>
    <t>No DashboardGridLayout/AnalysisToolbox/Findings/Assistant. No Worker-2 E2E. No Worker-3 ML runtime.</t>
  </si>
  <si>
    <t>Commit producer contract before W2/W3 consumes it. After M1 freeze, drive M2a canonical/security critical path first.</t>
  </si>
  <si>
    <t>Guarded planning: ~6–14x compression depending DB/runtime integration.</t>
  </si>
  <si>
    <t>Presentation BI / UX Integration + Release Certification</t>
  </si>
  <si>
    <t>T-049→T-053; T-059; T-068→T-065→T-066; T-077→T-083</t>
  </si>
  <si>
    <t>M2a customer-facing canonical UI/admin + T-127 continuity; M2b route convergence; M3 UX/docs/website</t>
  </si>
  <si>
    <t>Dashboard/workspace/shared shell/navigation, Analysis Toolbox/readiness, E2E/visual/release certification</t>
  </si>
  <si>
    <t>No W1-owned config verticals while locked. No W3 Job/Findings/Assistant or intelligence surfaces after hand-off.</t>
  </si>
  <si>
    <t>Presentation integrator. Once defect layer is proven, fix/close; do not create diagnostic-only loops.</t>
  </si>
  <si>
    <t>Guarded planning: ~4–10x compression; larger P80 buffer for E2E/runtime debugging.</t>
  </si>
  <si>
    <t>Engine / AI / ML + Stable Semantic Booster</t>
  </si>
  <si>
    <t>T-064 now; T-067 after T-050/T-065/T-066; T-076 after M1-P4 freeze</t>
  </si>
  <si>
    <t>M2a T-106/T-107/T-109; then M2b intelligence/Assistant production integration; M3 AI/ML calibration</t>
  </si>
  <si>
    <t>Jobs target semantics, Findings evidence, Assistant contract; ML/engine/runtime/intelligence persistence and cutovers</t>
  </si>
  <si>
    <t>No fake final schema in M1. No W1/W2 live files. No intelligence persistence before canonical + T-112/T-114 security hand-off.</t>
  </si>
  <si>
    <t>If prerequisite is unstable, STOP. If stable, own end-to-end and commit before consumer starts.</t>
  </si>
  <si>
    <t>Observed isolated throughput may exceed 20x; guarded planning uses ~8–18x by class.</t>
  </si>
  <si>
    <t>NON-INTERFERENCE / NO-REWORK LAWS</t>
  </si>
  <si>
    <t>1</t>
  </si>
  <si>
    <t>One task = one exclusive owner until commit.</t>
  </si>
  <si>
    <t>No shared implementation task between agents.</t>
  </si>
  <si>
    <t>2</t>
  </si>
  <si>
    <t>File/subsystem lock is stronger than a module label.</t>
  </si>
  <si>
    <t>If two tasks touch the same page/context/migration authority, keep one owner or run sequentially.</t>
  </si>
  <si>
    <t>3</t>
  </si>
  <si>
    <t>No work ahead of unstable prerequisites.</t>
  </si>
  <si>
    <t>Start only after producer contract/schema is committed and frozen for the consumer.</t>
  </si>
  <si>
    <t>4</t>
  </si>
  <si>
    <t>Commit is the hand-off boundary.</t>
  </si>
  <si>
    <t>Never consume another agent's uncommitted worktree.</t>
  </si>
  <si>
    <t>5</t>
  </si>
  <si>
    <t>Tests never certify a moving target.</t>
  </si>
  <si>
    <t>E2E/visual certification starts only after the tested visible contract is frozen.</t>
  </si>
  <si>
    <t>6</t>
  </si>
  <si>
    <t>Shared-worktree destructive commands are forbidden.</t>
  </si>
  <si>
    <t>No git add ., git add -A, git clean -fd, reset --hard, restore . during parallel work.</t>
  </si>
  <si>
    <t>7</t>
  </si>
  <si>
    <t>Traditional Hours remain scope-complexity points.</t>
  </si>
  <si>
    <t>AI P50/P80 columns estimate agent-active wall-clock; acceptance/runtime/site gates still apply.</t>
  </si>
  <si>
    <t>AI SPEED MODEL — planning calibration, not a promise</t>
  </si>
  <si>
    <t>Execution Class</t>
  </si>
  <si>
    <t>Typical Compression</t>
  </si>
  <si>
    <t>Reason</t>
  </si>
  <si>
    <t>Examples</t>
  </si>
  <si>
    <t>~18x</t>
  </si>
  <si>
    <t>Highly compressible once scope is frozen.</t>
  </si>
  <si>
    <t>Docs, matrices, question packs</t>
  </si>
  <si>
    <t>~10x</t>
  </si>
  <si>
    <t>Fast code/test generation; moderate integration risk.</t>
  </si>
  <si>
    <t>Resolvers, services, APIs</t>
  </si>
  <si>
    <t>~9x</t>
  </si>
  <si>
    <t>Fast implementation; browser/runtime proof still real.</t>
  </si>
  <si>
    <t>Pages, authoring surfaces</t>
  </si>
  <si>
    <t>~8x</t>
  </si>
  <si>
    <t>DDL/EF/runtime parity requires real database proof.</t>
  </si>
  <si>
    <t>Schema authority, migration convergence</t>
  </si>
  <si>
    <t>~6x</t>
  </si>
  <si>
    <t>Containers/processes/ports consume wall-clock.</t>
  </si>
  <si>
    <t>Docker, install, backup, monitoring</t>
  </si>
  <si>
    <t>~5x</t>
  </si>
  <si>
    <t>Runtime state and diagnosis dominate.</t>
  </si>
  <si>
    <t>Playwright, cross-layer journeys</t>
  </si>
  <si>
    <t>~3x or less</t>
  </si>
  <si>
    <t>Customer/hardware waiting cannot be compressed by generation.</t>
  </si>
  <si>
    <t>M3 site, HA/DR, SSO, production acceptance</t>
  </si>
  <si>
    <t>Task ID</t>
  </si>
  <si>
    <t>Traditional h</t>
  </si>
  <si>
    <t>Agent Queue #</t>
  </si>
  <si>
    <t>Lane</t>
  </si>
  <si>
    <t>Speed x</t>
  </si>
  <si>
    <t>P50 Agent h</t>
  </si>
  <si>
    <t>P80 Agent h</t>
  </si>
  <si>
    <t>Handoff / No-Rework Rule</t>
  </si>
  <si>
    <t>Presentation Phenomena and Widget Coverage Matrix, 
part 1: inventory and the...</t>
  </si>
  <si>
    <t>Run the canonical semantic path end to end through the M1 compatibility bound...</t>
  </si>
  <si>
    <t>SQL mode: safe editor, run test, returned columns and the reconstructability ...</t>
  </si>
  <si>
    <t>Plant-vocabulary sweep, part 2: clear the violations and rename the canonical...</t>
  </si>
  <si>
    <t>API namespace migration, part 1: map the 92 prefixes onto the 27 domains and ...</t>
  </si>
  <si>
    <t>Container architecture and configuration profiles, including isolated ML runt...</t>
  </si>
  <si>
    <t>ModelServingRuntime and model-gateway adapter, isolated from the presentation...</t>
  </si>
  <si>
    <t>Canonical Assistant runtime cutover: planner, retrieval, evidence packing, se...</t>
  </si>
  <si>
    <t>Production training/index integration: snapshots → ML lanes → registry activa...</t>
  </si>
  <si>
    <t>Canonical readiness thresholds, governed change history and fail-closed readi...</t>
  </si>
  <si>
    <t>F9 Log Retention and Archival with dry-run, legal hold and no-delete-on-archi...</t>
  </si>
  <si>
    <t>PPIQ AI Agent Queues — dependency-ordered, non-overlapping execution plan</t>
  </si>
  <si>
    <t>Worker 1 — Exclusive Queue</t>
  </si>
  <si>
    <t>Task</t>
  </si>
  <si>
    <t>P50 h</t>
  </si>
  <si>
    <t>P80 h</t>
  </si>
  <si>
    <t>Start Gate</t>
  </si>
  <si>
    <t>Exclusive Lock</t>
  </si>
  <si>
    <t>Handoff</t>
  </si>
  <si>
    <t>Worker 2 — Exclusive Queue</t>
  </si>
  <si>
    <t>Worker 3 — Exclusive Queue</t>
  </si>
  <si>
    <t>PPIQ Three-Agent Calendar — AI-Adjusted Critical Path (planning windows, not acceptance shortcuts)</t>
  </si>
  <si>
    <t>Required Hand-off</t>
  </si>
  <si>
    <t>Target Exit</t>
  </si>
  <si>
    <t>Risk Level</t>
  </si>
  <si>
    <t>Management Rule</t>
  </si>
  <si>
    <t>17 Aug</t>
  </si>
  <si>
    <t>T-057→T-058→T-060; start T-061</t>
  </si>
  <si>
    <t>Finish T-049 → T-050/T-051/T-052 → T-053</t>
  </si>
  <si>
    <t>T-064 M1 semantic slice</t>
  </si>
  <si>
    <t>W1 commits relationship contract; W3 commits job target semantics</t>
  </si>
  <si>
    <t>M1-A mostly closed</t>
  </si>
  <si>
    <t>Yellow</t>
  </si>
  <si>
    <t>No agent enters another agent's active files.</t>
  </si>
  <si>
    <t>18 Aug</t>
  </si>
  <si>
    <t>Finish T-061/T-062 + T-054..056 + T-063</t>
  </si>
  <si>
    <t>T-059 → T-068 → T-065 → T-066</t>
  </si>
  <si>
    <t>WAIT; then T-067 immediately after T-066 commit</t>
  </si>
  <si>
    <t>P4 producer/consumer hand-offs complete</t>
  </si>
  <si>
    <t>M1-P4 green or nearly green</t>
  </si>
  <si>
    <t>Do not certify before visible contract is frozen.</t>
  </si>
  <si>
    <t>19 Aug</t>
  </si>
  <si>
    <t>Regression/support only; no spontaneous edits</t>
  </si>
  <si>
    <t>Close remaining P4; T-077/T-078/T-079 after T-076</t>
  </si>
  <si>
    <t>T-076 after P4 freeze; T-067 if not already closed</t>
  </si>
  <si>
    <t>T-076 commits before T-077</t>
  </si>
  <si>
    <t>P5 certification underway</t>
  </si>
  <si>
    <t>Failures go back to owning agent, not whoever notices them.</t>
  </si>
  <si>
    <t>20 Aug</t>
  </si>
  <si>
    <t>Presentation release support only</t>
  </si>
  <si>
    <t>T-080→T-083 + consolidated E2E/visual walkthrough</t>
  </si>
  <si>
    <t>Assistant evidence support only</t>
  </si>
  <si>
    <t>All M1 evidence green; clean worktree/index</t>
  </si>
  <si>
    <t>Presentation RC frozen/tagged</t>
  </si>
  <si>
    <t>Green-Yellow</t>
  </si>
  <si>
    <t>Freeze release; no new feature work on presentation target.</t>
  </si>
  <si>
    <t>21–23 Aug</t>
  </si>
  <si>
    <t>M2A-0/1: T-084..090, T-092..094</t>
  </si>
  <si>
    <t>Stand by; start T-196 only when T-095 exists</t>
  </si>
  <si>
    <t>T-106 after T-089/T-090 only</t>
  </si>
  <si>
    <t>M1 release frozen before M2a mutation</t>
  </si>
  <si>
    <t>Canonical definition/schema authority</t>
  </si>
  <si>
    <t>Green</t>
  </si>
  <si>
    <t>Do not mutate presentation runtime while release is being certified.</t>
  </si>
  <si>
    <t>24–28 Aug</t>
  </si>
  <si>
    <t>M2A-2 critical chain T-095..105; then T-112/T-114</t>
  </si>
  <si>
    <t>T-098/T-101/T-196 as producer gates land</t>
  </si>
  <si>
    <t>T-106; then T-107/T-109 when prerequisites land</t>
  </si>
  <si>
    <t>T-089..105 + T-112/T-114 security hand-off</t>
  </si>
  <si>
    <t>Worker-3 production gate opens</t>
  </si>
  <si>
    <t>This hand-off is more important than M2a tail/admin polish.</t>
  </si>
  <si>
    <t>29 Aug–7 Sep</t>
  </si>
  <si>
    <t>Finish M2a P3/P4 infra/security/package</t>
  </si>
  <si>
    <t>T-120 + T-198/T-197/T-200/T-199 as gated</t>
  </si>
  <si>
    <t>Start T-183/T-195/T-128… canonical intelligence</t>
  </si>
  <si>
    <t>W3 consumes only committed canonical/security authority</t>
  </si>
  <si>
    <t>M2a tail + M2b P1 parallel</t>
  </si>
  <si>
    <t>Do not wait for all M2a tail before W3 starts M2b.</t>
  </si>
  <si>
    <t>8–18 Sep</t>
  </si>
  <si>
    <t>M2a package/ops tail; prepare T-150 gate</t>
  </si>
  <si>
    <t>T-127 continuity then T-148/T-149 when M2b ready</t>
  </si>
  <si>
    <t>M2b P1/P2 → prediction/remediation integration</t>
  </si>
  <si>
    <t>Component commits before global gates</t>
  </si>
  <si>
    <t>Customer Pilot feature-complete candidate</t>
  </si>
  <si>
    <t>Keep T-150 single-owner; route fixes to file owners.</t>
  </si>
  <si>
    <t>19–26 Sep</t>
  </si>
  <si>
    <t>T-150 final gate + install/ops fixes in owned files</t>
  </si>
  <si>
    <t>Continuity/UI hardening + customer journey</t>
  </si>
  <si>
    <t>Assistant/engine cutover/gates; fix only W3 files</t>
  </si>
  <si>
    <t>All component gates green</t>
  </si>
  <si>
    <t>Pilot RC rehearsal/install candidate</t>
  </si>
  <si>
    <t>No architecture redesign in release week unless blocker is proven.</t>
  </si>
  <si>
    <t>27–30 Sep</t>
  </si>
  <si>
    <t>Buffer / install support</t>
  </si>
  <si>
    <t>Buffer / UAT support</t>
  </si>
  <si>
    <t>Buffer / model/assistant support</t>
  </si>
  <si>
    <t>Fresh install + real source path + jobs + RBAC/licence + supported intelligence</t>
  </si>
  <si>
    <t>Customer Pilot RC</t>
  </si>
  <si>
    <t>Pilot ≠ GA. M3 starts with real site evidence.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</si>
</sst>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
  </numFmts>
  <fonts count="25" x14ac:knownFonts="1">
    <font>
      <sz val="11"/>
      <color theme="1"/>
      <name val="Calibri"/>
    </font>
    <font>
      <sz val="9"/>
      <name val="Arial"/>
    </font>
    <font>
      <b/>
      <sz val="9"/>
      <name val="Arial"/>
    </font>
    <font>
      <b/>
      <sz val="10"/>
      <name val="Arial"/>
    </font>
    <font>
      <b/>
      <sz val="11"/>
      <name val="Arial"/>
    </font>
    <font>
      <b/>
      <sz val="11"/>
      <color theme="1"/>
      <name val="Calibri"/>
    </font>
    <font>
      <i/>
      <sz val="11"/>
      <color rgb="FF1F2937"/>
      <name val="Calibri"/>
    </font>
    <font>
      <b/>
      <sz val="11"/>
      <color rgb="FFFFFFFF"/>
      <name val="Calibri"/>
    </font>
    <font>
      <b/>
      <sz val="10"/>
      <color rgb="FFFFFFFF"/>
      <name val="Calibri"/>
    </font>
    <font>
      <b/>
      <sz val="10"/>
      <color rgb="FFFFFFFF"/>
      <name val="Arial"/>
    </font>
    <font>
      <b/>
      <sz val="14"/>
      <color rgb="FFFFFFFF"/>
      <name val="Calibri"/>
    </font>
    <font>
      <b/>
      <sz val="11"/>
      <color rgb="FF075985"/>
      <name val="Calibri"/>
    </font>
    <font>
      <sz val="11"/>
      <color rgb="FF7F1D1D"/>
      <name val="Calibri"/>
    </font>
    <font>
      <b/>
      <sz val="11"/>
      <color rgb="FF065F46"/>
      <name val="Calibri"/>
    </font>
    <font>
      <sz val="10"/>
      <color rgb="FF111827"/>
      <name val="Arial"/>
    </font>
    <font>
      <sz val="10"/>
      <color rgb="FF111827"/>
      <name val="Calibri"/>
    </font>
    <font>
      <b/>
      <sz val="10"/>
      <color rgb="FF06233F"/>
      <name val="Arial"/>
    </font>
    <font>
      <b/>
      <sz val="10"/>
      <color rgb="FF06233F"/>
      <name val="Calibri"/>
    </font>
    <font>
      <b/>
      <sz val="10"/>
      <color rgb="FF111827"/>
      <name val="Calibri"/>
    </font>
    <font>
      <b/>
      <sz val="11"/>
      <color rgb="FF991B1B"/>
      <name val="Calibri"/>
    </font>
    <font>
      <b/>
      <sz val="16"/>
      <color rgb="FFFFFFFF"/>
      <name val="Calibri"/>
    </font>
    <font>
      <b/>
      <sz val="12"/>
      <color rgb="FFFFFFFF"/>
      <name val="Calibri"/>
    </font>
    <font>
      <b/>
      <sz val="13"/>
      <color rgb="FFFFFFFF"/>
      <name val="Calibri"/>
    </font>
    <font>
      <b/>
      <sz val="15"/>
      <color rgb="FFFFFFFF"/>
      <name val="Calibri"/>
    </font>
    <font>
      <b/>
      <sz val="13"/>
      <color theme="1"/>
      <name val="Calibri"/>
    </font>
  </fonts>
  <fills count="35">
    <fill>
      <patternFill patternType="none"/>
    </fill>
    <fill>
      <patternFill patternType="gray125"/>
    </fill>
    <fill>
      <patternFill patternType="solid">
        <fgColor rgb="FF0B1730"/>
      </patternFill>
    </fill>
    <fill>
      <patternFill patternType="solid">
        <fgColor rgb="FF00D4FF"/>
      </patternFill>
    </fill>
    <fill>
      <patternFill patternType="solid">
        <fgColor rgb="FF0A84FF"/>
      </patternFill>
    </fill>
    <fill>
      <patternFill patternType="solid">
        <fgColor rgb="FF2CE6A2"/>
      </patternFill>
    </fill>
    <fill>
      <patternFill patternType="solid">
        <fgColor rgb="FF8EA7C1"/>
      </patternFill>
    </fill>
    <fill>
      <patternFill patternType="solid">
        <fgColor rgb="FF92D050"/>
      </patternFill>
    </fill>
    <fill>
      <patternFill patternType="solid">
        <fgColor rgb="FF0B1F33"/>
      </patternFill>
    </fill>
    <fill>
      <patternFill patternType="solid">
        <fgColor rgb="FFD9EAF7"/>
      </patternFill>
    </fill>
    <fill>
      <patternFill patternType="solid">
        <fgColor rgb="FF0B1730"/>
      </patternFill>
    </fill>
    <fill>
      <patternFill patternType="solid">
        <fgColor rgb="FF13C5E8"/>
      </patternFill>
    </fill>
    <fill>
      <patternFill patternType="solid">
        <fgColor rgb="FF2483E6"/>
      </patternFill>
    </fill>
    <fill>
      <patternFill patternType="solid">
        <fgColor rgb="FF34D6A1"/>
      </patternFill>
    </fill>
    <fill>
      <patternFill patternType="solid">
        <fgColor rgb="FFE0F2FE"/>
      </patternFill>
    </fill>
    <fill>
      <patternFill patternType="solid">
        <fgColor rgb="FF7F1D1D"/>
      </patternFill>
    </fill>
    <fill>
      <patternFill patternType="solid">
        <fgColor rgb="FFFEE2E2"/>
      </patternFill>
    </fill>
    <fill>
      <patternFill patternType="solid">
        <fgColor rgb="FF065F46"/>
      </patternFill>
    </fill>
    <fill>
      <patternFill patternType="solid">
        <fgColor rgb="FFD1FAE5"/>
      </patternFill>
    </fill>
    <fill>
      <patternFill patternType="solid">
        <fgColor rgb="FF071A3D"/>
      </patternFill>
    </fill>
    <fill>
      <patternFill patternType="solid">
        <fgColor rgb="FFF3F7FF"/>
      </patternFill>
    </fill>
    <fill>
      <patternFill patternType="solid">
        <fgColor rgb="FF0B5FFF"/>
      </patternFill>
    </fill>
    <fill>
      <patternFill patternType="solid">
        <fgColor rgb="FFDFF4E4"/>
      </patternFill>
    </fill>
    <fill>
      <patternFill patternType="solid">
        <fgColor rgb="FFFFF1CC"/>
      </patternFill>
    </fill>
    <fill>
      <patternFill patternType="solid">
        <fgColor rgb="FFFDE2E2"/>
      </patternFill>
    </fill>
    <fill>
      <patternFill patternType="solid">
        <fgColor rgb="FFEAF2FF"/>
      </patternFill>
    </fill>
    <fill>
      <patternFill patternType="solid">
        <fgColor rgb="FF1565C0"/>
      </patternFill>
    </fill>
    <fill>
      <patternFill patternType="solid">
        <fgColor rgb="FF0B3A66"/>
      </patternFill>
    </fill>
    <fill>
      <patternFill patternType="solid">
        <fgColor rgb="FF1F4E78"/>
      </patternFill>
    </fill>
    <fill>
      <patternFill patternType="solid">
        <fgColor rgb="FF0F6CBD"/>
      </patternFill>
    </fill>
    <fill>
      <patternFill patternType="solid">
        <fgColor rgb="FFD9EAF7"/>
      </patternFill>
    </fill>
    <fill>
      <patternFill patternType="solid">
        <fgColor rgb="FFD9EAD3"/>
      </patternFill>
    </fill>
    <fill>
      <patternFill patternType="solid">
        <fgColor rgb="FFEADCF8"/>
      </patternFill>
    </fill>
    <fill>
      <patternFill patternType="solid">
        <fgColor rgb="FFFFFF00"/>
        <bgColor indexed="64"/>
      </patternFill>
    </fill>
    <fill>
      <patternFill patternType="solid">
        <fgColor rgb="FF92D050"/>
        <bgColor indexed="64"/>
      </patternFill>
    </fill>
  </fills>
  <borders count="25">
    <border>
      <left/>
      <right/>
      <top/>
      <bottom/>
      <diagonal/>
    </border>
    <border>
      <left style="thin">
        <color rgb="FF1D3A63"/>
      </left>
      <right style="thin">
        <color rgb="FF1D3A63"/>
      </right>
      <top style="thin">
        <color rgb="FF1D3A63"/>
      </top>
      <bottom style="thin">
        <color rgb="FF1D3A63"/>
      </bottom>
      <diagonal/>
    </border>
    <border>
      <left style="thin">
        <color indexed="64"/>
      </left>
      <right style="thin">
        <color indexed="64"/>
      </right>
      <top style="thin">
        <color indexed="64"/>
      </top>
      <bottom style="thin">
        <color indexed="64"/>
      </bottom>
      <diagonal/>
    </border>
    <border>
      <left style="thin">
        <color rgb="FF294A7A"/>
      </left>
      <right/>
      <top style="thin">
        <color rgb="FF294A7A"/>
      </top>
      <bottom/>
      <diagonal/>
    </border>
    <border>
      <left/>
      <right/>
      <top style="thin">
        <color rgb="FF294A7A"/>
      </top>
      <bottom/>
      <diagonal/>
    </border>
    <border>
      <left/>
      <right style="thin">
        <color rgb="FF294A7A"/>
      </right>
      <top style="thin">
        <color rgb="FF294A7A"/>
      </top>
      <bottom/>
      <diagonal/>
    </border>
    <border>
      <left style="thin">
        <color rgb="FF294A7A"/>
      </left>
      <right/>
      <top/>
      <bottom/>
      <diagonal/>
    </border>
    <border>
      <left/>
      <right style="thin">
        <color rgb="FF294A7A"/>
      </right>
      <top/>
      <bottom/>
      <diagonal/>
    </border>
    <border>
      <left style="thin">
        <color rgb="FF294A7A"/>
      </left>
      <right/>
      <top/>
      <bottom style="thin">
        <color rgb="FF294A7A"/>
      </bottom>
      <diagonal/>
    </border>
    <border>
      <left/>
      <right/>
      <top/>
      <bottom style="thin">
        <color rgb="FF294A7A"/>
      </bottom>
      <diagonal/>
    </border>
    <border>
      <left/>
      <right style="thin">
        <color rgb="FF294A7A"/>
      </right>
      <top/>
      <bottom style="thin">
        <color rgb="FF294A7A"/>
      </bottom>
      <diagonal/>
    </border>
    <border>
      <left style="thin">
        <color rgb="FF294A7A"/>
      </left>
      <right style="thin">
        <color rgb="FF1D3A63"/>
      </right>
      <top style="thin">
        <color rgb="FF294A7A"/>
      </top>
      <bottom style="thin">
        <color rgb="FF1D3A63"/>
      </bottom>
      <diagonal/>
    </border>
    <border>
      <left style="thin">
        <color rgb="FF1D3A63"/>
      </left>
      <right style="thin">
        <color rgb="FF1D3A63"/>
      </right>
      <top style="thin">
        <color rgb="FF294A7A"/>
      </top>
      <bottom style="thin">
        <color rgb="FF1D3A63"/>
      </bottom>
      <diagonal/>
    </border>
    <border>
      <left style="thin">
        <color rgb="FF1D3A63"/>
      </left>
      <right style="thin">
        <color rgb="FF294A7A"/>
      </right>
      <top style="thin">
        <color rgb="FF294A7A"/>
      </top>
      <bottom style="thin">
        <color rgb="FF1D3A63"/>
      </bottom>
      <diagonal/>
    </border>
    <border>
      <left style="thin">
        <color rgb="FF294A7A"/>
      </left>
      <right style="thin">
        <color rgb="FF1D3A63"/>
      </right>
      <top style="thin">
        <color rgb="FF1D3A63"/>
      </top>
      <bottom style="thin">
        <color rgb="FF1D3A63"/>
      </bottom>
      <diagonal/>
    </border>
    <border>
      <left style="thin">
        <color rgb="FF1D3A63"/>
      </left>
      <right style="thin">
        <color rgb="FF294A7A"/>
      </right>
      <top style="thin">
        <color rgb="FF1D3A63"/>
      </top>
      <bottom style="thin">
        <color rgb="FF1D3A63"/>
      </bottom>
      <diagonal/>
    </border>
    <border>
      <left style="thin">
        <color rgb="FF294A7A"/>
      </left>
      <right style="thin">
        <color indexed="64"/>
      </right>
      <top style="thin">
        <color rgb="FF294A7A"/>
      </top>
      <bottom style="thin">
        <color indexed="64"/>
      </bottom>
      <diagonal/>
    </border>
    <border>
      <left style="thin">
        <color indexed="64"/>
      </left>
      <right style="thin">
        <color rgb="FF294A7A"/>
      </right>
      <top style="thin">
        <color rgb="FF294A7A"/>
      </top>
      <bottom style="thin">
        <color indexed="64"/>
      </bottom>
      <diagonal/>
    </border>
    <border>
      <left style="thin">
        <color rgb="FF294A7A"/>
      </left>
      <right style="thin">
        <color indexed="64"/>
      </right>
      <top style="thin">
        <color indexed="64"/>
      </top>
      <bottom style="thin">
        <color indexed="64"/>
      </bottom>
      <diagonal/>
    </border>
    <border>
      <left style="thin">
        <color indexed="64"/>
      </left>
      <right style="thin">
        <color rgb="FF294A7A"/>
      </right>
      <top style="thin">
        <color indexed="64"/>
      </top>
      <bottom style="thin">
        <color indexed="64"/>
      </bottom>
      <diagonal/>
    </border>
    <border>
      <left style="thin">
        <color rgb="FF294A7A"/>
      </left>
      <right style="thin">
        <color indexed="64"/>
      </right>
      <top style="thin">
        <color indexed="64"/>
      </top>
      <bottom style="thin">
        <color rgb="FF294A7A"/>
      </bottom>
      <diagonal/>
    </border>
    <border>
      <left style="thin">
        <color indexed="64"/>
      </left>
      <right style="thin">
        <color rgb="FF294A7A"/>
      </right>
      <top style="thin">
        <color indexed="64"/>
      </top>
      <bottom style="thin">
        <color rgb="FF294A7A"/>
      </bottom>
      <diagonal/>
    </border>
    <border>
      <left style="thin">
        <color rgb="FF294A7A"/>
      </left>
      <right style="thin">
        <color rgb="FF1D3A63"/>
      </right>
      <top style="thin">
        <color rgb="FF1D3A63"/>
      </top>
      <bottom/>
      <diagonal/>
    </border>
    <border>
      <left style="thin">
        <color rgb="FF1D3A63"/>
      </left>
      <right style="thin">
        <color rgb="FF1D3A63"/>
      </right>
      <top style="thin">
        <color rgb="FF1D3A63"/>
      </top>
      <bottom/>
      <diagonal/>
    </border>
    <border>
      <left style="thin">
        <color rgb="FF1D3A63"/>
      </left>
      <right style="thin">
        <color rgb="FF294A7A"/>
      </right>
      <top style="thin">
        <color rgb="FF1D3A63"/>
      </top>
      <bottom/>
      <diagonal/>
    </border>
  </borders>
  <cellStyleXfs count="1">
    <xf numFmtId="0" fontId="0" fillId="0" borderId="0"/>
  </cellStyleXfs>
  <cellXfs count="147">
    <xf numFmtId="0" fontId="0" fillId="0" borderId="0" xfId="0"/>
    <xf numFmtId="0" fontId="1" fillId="0" borderId="1" xfId="0" applyFont="1" applyBorder="1" applyAlignment="1">
      <alignment vertical="top" wrapText="1"/>
    </xf>
    <xf numFmtId="0" fontId="0" fillId="0" borderId="0" xfId="0" applyAlignment="1">
      <alignment wrapText="1"/>
    </xf>
    <xf numFmtId="0" fontId="7" fillId="8" borderId="0" xfId="0" applyFont="1" applyFill="1" applyAlignment="1">
      <alignment horizontal="center" vertical="center"/>
    </xf>
    <xf numFmtId="0" fontId="0" fillId="0" borderId="0" xfId="0" applyAlignment="1">
      <alignment vertical="center"/>
    </xf>
    <xf numFmtId="0" fontId="0" fillId="0" borderId="0" xfId="0" applyAlignment="1">
      <alignment horizontal="left" vertical="center"/>
    </xf>
    <xf numFmtId="0" fontId="0" fillId="0" borderId="0" xfId="0" applyAlignment="1">
      <alignment horizontal="left" vertical="center" wrapText="1"/>
    </xf>
    <xf numFmtId="0" fontId="0" fillId="0" borderId="0" xfId="0" applyAlignment="1">
      <alignment vertical="top" wrapText="1"/>
    </xf>
    <xf numFmtId="0" fontId="0" fillId="0" borderId="3" xfId="0" applyBorder="1" applyAlignment="1">
      <alignment vertical="top" wrapText="1"/>
    </xf>
    <xf numFmtId="0" fontId="0" fillId="0" borderId="4" xfId="0" applyBorder="1" applyAlignment="1">
      <alignment vertical="top" wrapText="1"/>
    </xf>
    <xf numFmtId="0" fontId="0" fillId="0" borderId="5" xfId="0" applyBorder="1" applyAlignment="1">
      <alignment vertical="top" wrapText="1"/>
    </xf>
    <xf numFmtId="0" fontId="0" fillId="0" borderId="6" xfId="0" applyBorder="1" applyAlignment="1">
      <alignment vertical="top" wrapText="1"/>
    </xf>
    <xf numFmtId="0" fontId="0" fillId="0" borderId="7" xfId="0" applyBorder="1" applyAlignment="1">
      <alignment vertical="top" wrapText="1"/>
    </xf>
    <xf numFmtId="0" fontId="0" fillId="0" borderId="8" xfId="0" applyBorder="1" applyAlignment="1">
      <alignment vertical="top" wrapText="1"/>
    </xf>
    <xf numFmtId="0" fontId="0" fillId="0" borderId="9" xfId="0" applyBorder="1" applyAlignment="1">
      <alignment vertical="top" wrapText="1"/>
    </xf>
    <xf numFmtId="0" fontId="0" fillId="0" borderId="10" xfId="0" applyBorder="1" applyAlignment="1">
      <alignment vertical="top" wrapText="1"/>
    </xf>
    <xf numFmtId="0" fontId="1" fillId="0" borderId="15" xfId="0" applyFont="1" applyBorder="1" applyAlignment="1">
      <alignment vertical="top" wrapText="1"/>
    </xf>
    <xf numFmtId="0" fontId="0" fillId="0" borderId="6" xfId="0" applyBorder="1"/>
    <xf numFmtId="0" fontId="0" fillId="0" borderId="7" xfId="0" applyBorder="1"/>
    <xf numFmtId="0" fontId="0" fillId="0" borderId="8" xfId="0" applyBorder="1"/>
    <xf numFmtId="0" fontId="0" fillId="0" borderId="10" xfId="0" applyBorder="1"/>
    <xf numFmtId="0" fontId="0" fillId="0" borderId="0" xfId="0" applyAlignment="1">
      <alignment vertical="top"/>
    </xf>
    <xf numFmtId="0" fontId="2" fillId="0" borderId="16" xfId="0" applyFont="1" applyBorder="1" applyAlignment="1">
      <alignment horizontal="center" vertical="center" wrapText="1"/>
    </xf>
    <xf numFmtId="0" fontId="0" fillId="0" borderId="17" xfId="0" applyBorder="1" applyAlignment="1">
      <alignment horizontal="center" vertical="center" wrapText="1"/>
    </xf>
    <xf numFmtId="0" fontId="5" fillId="0" borderId="18" xfId="0" applyFont="1" applyBorder="1" applyAlignment="1">
      <alignment horizontal="center" vertical="center" wrapText="1"/>
    </xf>
    <xf numFmtId="0" fontId="0" fillId="0" borderId="19" xfId="0" applyBorder="1" applyAlignment="1">
      <alignment horizontal="center" vertical="center" wrapText="1"/>
    </xf>
    <xf numFmtId="0" fontId="5" fillId="0" borderId="20" xfId="0" applyFont="1" applyBorder="1" applyAlignment="1">
      <alignment horizontal="center" vertical="center" wrapText="1"/>
    </xf>
    <xf numFmtId="164" fontId="0" fillId="0" borderId="21" xfId="0" applyNumberFormat="1" applyBorder="1" applyAlignment="1">
      <alignment horizontal="center" vertical="center" wrapText="1"/>
    </xf>
    <xf numFmtId="0" fontId="3" fillId="3" borderId="14" xfId="0" applyFont="1" applyFill="1" applyBorder="1" applyAlignment="1">
      <alignment vertical="top" wrapText="1"/>
    </xf>
    <xf numFmtId="0" fontId="3" fillId="4" borderId="14" xfId="0" applyFont="1" applyFill="1" applyBorder="1" applyAlignment="1">
      <alignment vertical="top" wrapText="1"/>
    </xf>
    <xf numFmtId="0" fontId="3" fillId="5" borderId="14" xfId="0" applyFont="1" applyFill="1" applyBorder="1" applyAlignment="1">
      <alignment vertical="top" wrapText="1"/>
    </xf>
    <xf numFmtId="0" fontId="3" fillId="6" borderId="14" xfId="0" applyFont="1" applyFill="1" applyBorder="1" applyAlignment="1">
      <alignment vertical="top" wrapText="1"/>
    </xf>
    <xf numFmtId="0" fontId="3" fillId="0" borderId="9" xfId="0" applyFont="1" applyBorder="1" applyAlignment="1">
      <alignment wrapText="1"/>
    </xf>
    <xf numFmtId="0" fontId="9" fillId="10" borderId="3" xfId="0" applyFont="1" applyFill="1" applyBorder="1" applyAlignment="1">
      <alignment horizontal="center" vertical="top" wrapText="1"/>
    </xf>
    <xf numFmtId="0" fontId="8" fillId="10" borderId="5" xfId="0" applyFont="1" applyFill="1" applyBorder="1" applyAlignment="1">
      <alignment horizontal="center" vertical="top" wrapText="1"/>
    </xf>
    <xf numFmtId="0" fontId="2" fillId="0" borderId="6" xfId="0" applyFont="1" applyBorder="1" applyAlignment="1">
      <alignment vertical="top" wrapText="1"/>
    </xf>
    <xf numFmtId="0" fontId="1" fillId="0" borderId="7" xfId="0" applyFont="1" applyBorder="1" applyAlignment="1">
      <alignment vertical="top" wrapText="1"/>
    </xf>
    <xf numFmtId="0" fontId="5" fillId="0" borderId="6" xfId="0" applyFont="1" applyBorder="1" applyAlignment="1">
      <alignment vertical="top" wrapText="1"/>
    </xf>
    <xf numFmtId="0" fontId="8" fillId="10" borderId="3" xfId="0" applyFont="1" applyFill="1" applyBorder="1" applyAlignment="1">
      <alignment horizontal="center" vertical="center"/>
    </xf>
    <xf numFmtId="0" fontId="8" fillId="10" borderId="5" xfId="0" applyFont="1" applyFill="1" applyBorder="1" applyAlignment="1">
      <alignment horizontal="center" vertical="center"/>
    </xf>
    <xf numFmtId="0" fontId="0" fillId="0" borderId="9" xfId="0" applyBorder="1" applyAlignment="1">
      <alignment wrapText="1"/>
    </xf>
    <xf numFmtId="0" fontId="8" fillId="10" borderId="3" xfId="0" applyFont="1" applyFill="1" applyBorder="1" applyAlignment="1">
      <alignment horizontal="center" vertical="top"/>
    </xf>
    <xf numFmtId="0" fontId="8" fillId="10" borderId="4" xfId="0" applyFont="1" applyFill="1" applyBorder="1" applyAlignment="1">
      <alignment horizontal="center" vertical="top"/>
    </xf>
    <xf numFmtId="0" fontId="8" fillId="10" borderId="5" xfId="0" applyFont="1" applyFill="1" applyBorder="1" applyAlignment="1">
      <alignment horizontal="center" vertical="top"/>
    </xf>
    <xf numFmtId="0" fontId="0" fillId="0" borderId="6" xfId="0" applyBorder="1" applyAlignment="1">
      <alignment wrapText="1"/>
    </xf>
    <xf numFmtId="0" fontId="0" fillId="0" borderId="7" xfId="0" applyBorder="1" applyAlignment="1">
      <alignment wrapText="1"/>
    </xf>
    <xf numFmtId="0" fontId="0" fillId="0" borderId="8" xfId="0" applyBorder="1" applyAlignment="1">
      <alignment wrapText="1"/>
    </xf>
    <xf numFmtId="0" fontId="0" fillId="0" borderId="10" xfId="0" applyBorder="1" applyAlignment="1">
      <alignment wrapText="1"/>
    </xf>
    <xf numFmtId="0" fontId="8" fillId="10" borderId="3" xfId="0" applyFont="1" applyFill="1" applyBorder="1" applyAlignment="1">
      <alignment horizontal="center" vertical="center" wrapText="1"/>
    </xf>
    <xf numFmtId="0" fontId="8" fillId="10" borderId="4" xfId="0" applyFont="1" applyFill="1" applyBorder="1" applyAlignment="1">
      <alignment horizontal="center" vertical="center" wrapText="1"/>
    </xf>
    <xf numFmtId="0" fontId="8" fillId="10" borderId="5" xfId="0" applyFont="1" applyFill="1" applyBorder="1" applyAlignment="1">
      <alignment horizontal="center" vertical="center" wrapText="1"/>
    </xf>
    <xf numFmtId="0" fontId="14" fillId="0" borderId="14" xfId="0" applyFont="1" applyBorder="1" applyAlignment="1">
      <alignment vertical="top" wrapText="1"/>
    </xf>
    <xf numFmtId="0" fontId="14" fillId="0" borderId="1" xfId="0" applyFont="1" applyBorder="1" applyAlignment="1">
      <alignment vertical="top" wrapText="1"/>
    </xf>
    <xf numFmtId="0" fontId="14" fillId="0" borderId="15" xfId="0" applyFont="1" applyBorder="1" applyAlignment="1">
      <alignment vertical="top" wrapText="1"/>
    </xf>
    <xf numFmtId="0" fontId="16" fillId="11" borderId="1" xfId="0" applyFont="1" applyFill="1" applyBorder="1" applyAlignment="1">
      <alignment vertical="top" wrapText="1"/>
    </xf>
    <xf numFmtId="0" fontId="16" fillId="12" borderId="1" xfId="0" applyFont="1" applyFill="1" applyBorder="1" applyAlignment="1">
      <alignment vertical="top" wrapText="1"/>
    </xf>
    <xf numFmtId="0" fontId="16" fillId="13" borderId="1" xfId="0" applyFont="1" applyFill="1" applyBorder="1" applyAlignment="1">
      <alignment vertical="top" wrapText="1"/>
    </xf>
    <xf numFmtId="0" fontId="14" fillId="0" borderId="22" xfId="0" applyFont="1" applyBorder="1" applyAlignment="1">
      <alignment vertical="top" wrapText="1"/>
    </xf>
    <xf numFmtId="0" fontId="16" fillId="13" borderId="23" xfId="0" applyFont="1" applyFill="1" applyBorder="1" applyAlignment="1">
      <alignment vertical="top" wrapText="1"/>
    </xf>
    <xf numFmtId="0" fontId="14" fillId="0" borderId="23" xfId="0" applyFont="1" applyBorder="1" applyAlignment="1">
      <alignment vertical="top" wrapText="1"/>
    </xf>
    <xf numFmtId="0" fontId="14" fillId="0" borderId="24" xfId="0" applyFont="1" applyBorder="1" applyAlignment="1">
      <alignment vertical="top" wrapText="1"/>
    </xf>
    <xf numFmtId="0" fontId="0" fillId="0" borderId="0" xfId="0" applyAlignment="1">
      <alignment horizontal="center" vertical="center"/>
    </xf>
    <xf numFmtId="0" fontId="8" fillId="19" borderId="0" xfId="0" applyFont="1" applyFill="1" applyAlignment="1">
      <alignment horizontal="center" vertical="center"/>
    </xf>
    <xf numFmtId="0" fontId="9" fillId="19" borderId="2" xfId="0" applyFont="1" applyFill="1" applyBorder="1" applyAlignment="1">
      <alignment horizontal="center" vertical="center" wrapText="1"/>
    </xf>
    <xf numFmtId="0" fontId="8" fillId="19" borderId="0" xfId="0" applyFont="1" applyFill="1" applyAlignment="1">
      <alignment horizontal="center" vertical="center" wrapText="1"/>
    </xf>
    <xf numFmtId="0" fontId="0" fillId="7" borderId="2" xfId="0" applyFill="1" applyBorder="1" applyAlignment="1">
      <alignment vertical="top" wrapText="1"/>
    </xf>
    <xf numFmtId="0" fontId="0" fillId="0" borderId="2" xfId="0" applyBorder="1" applyAlignment="1">
      <alignment vertical="top" wrapText="1"/>
    </xf>
    <xf numFmtId="0" fontId="0" fillId="7" borderId="2" xfId="0" applyFill="1" applyBorder="1" applyAlignment="1">
      <alignment horizontal="center" vertical="top" wrapText="1"/>
    </xf>
    <xf numFmtId="0" fontId="0" fillId="7" borderId="2" xfId="0" applyFill="1" applyBorder="1" applyAlignment="1">
      <alignment horizontal="left" vertical="top" wrapText="1"/>
    </xf>
    <xf numFmtId="0" fontId="0" fillId="0" borderId="2" xfId="0" applyBorder="1" applyAlignment="1">
      <alignment horizontal="center" vertical="top" wrapText="1"/>
    </xf>
    <xf numFmtId="0" fontId="0" fillId="0" borderId="2" xfId="0" applyBorder="1" applyAlignment="1">
      <alignment horizontal="left" vertical="top" wrapText="1"/>
    </xf>
    <xf numFmtId="0" fontId="0" fillId="20" borderId="0" xfId="0" applyFill="1" applyAlignment="1">
      <alignment vertical="top" wrapText="1"/>
    </xf>
    <xf numFmtId="0" fontId="8" fillId="21" borderId="0" xfId="0" applyFont="1" applyFill="1" applyAlignment="1">
      <alignment horizontal="center" vertical="center" wrapText="1"/>
    </xf>
    <xf numFmtId="0" fontId="0" fillId="22" borderId="2" xfId="0" applyFill="1" applyBorder="1" applyAlignment="1">
      <alignment horizontal="center" vertical="top" wrapText="1"/>
    </xf>
    <xf numFmtId="0" fontId="0" fillId="23" borderId="0" xfId="0" applyFill="1" applyAlignment="1">
      <alignment vertical="top" wrapText="1"/>
    </xf>
    <xf numFmtId="0" fontId="0" fillId="24" borderId="0" xfId="0" applyFill="1" applyAlignment="1">
      <alignment vertical="top" wrapText="1"/>
    </xf>
    <xf numFmtId="0" fontId="19" fillId="24" borderId="0" xfId="0" applyFont="1" applyFill="1" applyAlignment="1">
      <alignment vertical="top" wrapText="1"/>
    </xf>
    <xf numFmtId="0" fontId="7" fillId="19" borderId="0" xfId="0" applyFont="1" applyFill="1" applyAlignment="1">
      <alignment wrapText="1"/>
    </xf>
    <xf numFmtId="0" fontId="5" fillId="24" borderId="0" xfId="0" applyFont="1" applyFill="1" applyAlignment="1">
      <alignment vertical="top" wrapText="1"/>
    </xf>
    <xf numFmtId="0" fontId="5" fillId="23" borderId="0" xfId="0" applyFont="1" applyFill="1" applyAlignment="1">
      <alignment vertical="top" wrapText="1"/>
    </xf>
    <xf numFmtId="0" fontId="7" fillId="21" borderId="0" xfId="0" applyFont="1" applyFill="1"/>
    <xf numFmtId="0" fontId="7" fillId="21" borderId="0" xfId="0" applyFont="1" applyFill="1" applyAlignment="1">
      <alignment wrapText="1"/>
    </xf>
    <xf numFmtId="0" fontId="15" fillId="0" borderId="2" xfId="0" applyFont="1" applyBorder="1" applyAlignment="1">
      <alignment vertical="top" wrapText="1"/>
    </xf>
    <xf numFmtId="0" fontId="17" fillId="13" borderId="2" xfId="0" applyFont="1" applyFill="1" applyBorder="1" applyAlignment="1">
      <alignment vertical="top" wrapText="1"/>
    </xf>
    <xf numFmtId="0" fontId="14" fillId="0" borderId="2" xfId="0" applyFont="1" applyBorder="1" applyAlignment="1">
      <alignment vertical="top" wrapText="1"/>
    </xf>
    <xf numFmtId="0" fontId="17" fillId="6" borderId="2" xfId="0" applyFont="1" applyFill="1" applyBorder="1" applyAlignment="1">
      <alignment vertical="top" wrapText="1"/>
    </xf>
    <xf numFmtId="0" fontId="18" fillId="0" borderId="2" xfId="0" applyFont="1" applyBorder="1" applyAlignment="1">
      <alignment vertical="top" wrapText="1"/>
    </xf>
    <xf numFmtId="0" fontId="9" fillId="19" borderId="11" xfId="0" applyFont="1" applyFill="1" applyBorder="1" applyAlignment="1">
      <alignment horizontal="center" vertical="top" wrapText="1"/>
    </xf>
    <xf numFmtId="0" fontId="9" fillId="19" borderId="12" xfId="0" applyFont="1" applyFill="1" applyBorder="1" applyAlignment="1">
      <alignment horizontal="center" vertical="top" wrapText="1"/>
    </xf>
    <xf numFmtId="0" fontId="9" fillId="19" borderId="13" xfId="0" applyFont="1" applyFill="1" applyBorder="1" applyAlignment="1">
      <alignment horizontal="center" vertical="top" wrapText="1"/>
    </xf>
    <xf numFmtId="0" fontId="9" fillId="2" borderId="11" xfId="0" applyFont="1" applyFill="1" applyBorder="1" applyAlignment="1">
      <alignment horizontal="center" vertical="center" wrapText="1"/>
    </xf>
    <xf numFmtId="0" fontId="9" fillId="2" borderId="12" xfId="0" applyFont="1" applyFill="1" applyBorder="1" applyAlignment="1">
      <alignment horizontal="center" vertical="center" wrapText="1"/>
    </xf>
    <xf numFmtId="0" fontId="9" fillId="2" borderId="13" xfId="0" applyFont="1" applyFill="1" applyBorder="1" applyAlignment="1">
      <alignment horizontal="center" vertical="center" wrapText="1"/>
    </xf>
    <xf numFmtId="0" fontId="4" fillId="0" borderId="9" xfId="0" applyFont="1" applyBorder="1" applyAlignment="1">
      <alignment wrapText="1"/>
    </xf>
    <xf numFmtId="0" fontId="8" fillId="2" borderId="3" xfId="0" applyFont="1" applyFill="1" applyBorder="1" applyAlignment="1">
      <alignment horizontal="center" vertical="center" wrapText="1"/>
    </xf>
    <xf numFmtId="0" fontId="8" fillId="2" borderId="5" xfId="0" applyFont="1" applyFill="1" applyBorder="1" applyAlignment="1">
      <alignment horizontal="center" vertical="center" wrapText="1"/>
    </xf>
    <xf numFmtId="0" fontId="8" fillId="19" borderId="3" xfId="0" applyFont="1" applyFill="1" applyBorder="1" applyAlignment="1">
      <alignment horizontal="center" vertical="top" wrapText="1"/>
    </xf>
    <xf numFmtId="0" fontId="8" fillId="19" borderId="4" xfId="0" applyFont="1" applyFill="1" applyBorder="1" applyAlignment="1">
      <alignment horizontal="center" vertical="top" wrapText="1"/>
    </xf>
    <xf numFmtId="0" fontId="8" fillId="19" borderId="5" xfId="0" applyFont="1" applyFill="1" applyBorder="1" applyAlignment="1">
      <alignment horizontal="center" vertical="top" wrapText="1"/>
    </xf>
    <xf numFmtId="0" fontId="0" fillId="22" borderId="7" xfId="0" applyFill="1" applyBorder="1" applyAlignment="1">
      <alignment vertical="top" wrapText="1"/>
    </xf>
    <xf numFmtId="0" fontId="8" fillId="2" borderId="4" xfId="0" applyFont="1" applyFill="1" applyBorder="1" applyAlignment="1">
      <alignment horizontal="center" vertical="center" wrapText="1"/>
    </xf>
    <xf numFmtId="0" fontId="0" fillId="25" borderId="0" xfId="0" applyFill="1" applyAlignment="1">
      <alignment wrapText="1"/>
    </xf>
    <xf numFmtId="0" fontId="0" fillId="25" borderId="0" xfId="0" applyFill="1" applyAlignment="1">
      <alignment vertical="top" wrapText="1"/>
    </xf>
    <xf numFmtId="0" fontId="8" fillId="19" borderId="3" xfId="0" applyFont="1" applyFill="1" applyBorder="1" applyAlignment="1">
      <alignment horizontal="center" vertical="center" wrapText="1"/>
    </xf>
    <xf numFmtId="0" fontId="8" fillId="19" borderId="5" xfId="0" applyFont="1" applyFill="1" applyBorder="1" applyAlignment="1">
      <alignment horizontal="center" vertical="center" wrapText="1"/>
    </xf>
    <xf numFmtId="0" fontId="5" fillId="9" borderId="6" xfId="0" applyFont="1" applyFill="1" applyBorder="1" applyAlignment="1">
      <alignment wrapText="1"/>
    </xf>
    <xf numFmtId="0" fontId="5" fillId="7" borderId="7" xfId="0" applyFont="1" applyFill="1" applyBorder="1" applyAlignment="1">
      <alignment horizontal="center" wrapText="1"/>
    </xf>
    <xf numFmtId="0" fontId="7" fillId="26" borderId="0" xfId="0" applyFont="1" applyFill="1" applyAlignment="1">
      <alignment horizontal="center" vertical="center" wrapText="1"/>
    </xf>
    <xf numFmtId="0" fontId="7" fillId="26" borderId="0" xfId="0" applyFont="1" applyFill="1" applyAlignment="1">
      <alignment horizontal="center" vertical="top" wrapText="1"/>
    </xf>
    <xf numFmtId="0" fontId="7" fillId="28" borderId="0" xfId="0" applyFont="1" applyFill="1" applyAlignment="1">
      <alignment horizontal="center" wrapText="1"/>
    </xf>
    <xf numFmtId="0" fontId="7" fillId="28" borderId="0" xfId="0" applyFont="1" applyFill="1" applyAlignment="1">
      <alignment horizontal="center" vertical="center" wrapText="1"/>
    </xf>
    <xf numFmtId="2" fontId="0" fillId="0" borderId="0" xfId="0" applyNumberFormat="1" applyAlignment="1">
      <alignment wrapText="1"/>
    </xf>
    <xf numFmtId="0" fontId="7" fillId="29" borderId="0" xfId="0" applyFont="1" applyFill="1" applyAlignment="1">
      <alignment wrapText="1"/>
    </xf>
    <xf numFmtId="0" fontId="7" fillId="29" borderId="0" xfId="0" applyFont="1" applyFill="1" applyAlignment="1">
      <alignment horizontal="center" wrapText="1"/>
    </xf>
    <xf numFmtId="0" fontId="5" fillId="30" borderId="0" xfId="0" applyFont="1" applyFill="1" applyAlignment="1">
      <alignment wrapText="1"/>
    </xf>
    <xf numFmtId="165" fontId="0" fillId="0" borderId="0" xfId="0" applyNumberFormat="1" applyAlignment="1">
      <alignment wrapText="1"/>
    </xf>
    <xf numFmtId="0" fontId="7" fillId="29" borderId="0" xfId="0" applyFont="1" applyFill="1" applyAlignment="1">
      <alignment horizontal="center" vertical="top" wrapText="1"/>
    </xf>
    <xf numFmtId="165" fontId="0" fillId="0" borderId="0" xfId="0" applyNumberFormat="1" applyAlignment="1">
      <alignment vertical="top" wrapText="1"/>
    </xf>
    <xf numFmtId="0" fontId="7" fillId="30" borderId="0" xfId="0" applyFont="1" applyFill="1" applyAlignment="1">
      <alignment horizontal="center" vertical="top" wrapText="1"/>
    </xf>
    <xf numFmtId="0" fontId="5" fillId="30" borderId="0" xfId="0" applyFont="1" applyFill="1" applyAlignment="1">
      <alignment vertical="top" wrapText="1"/>
    </xf>
    <xf numFmtId="0" fontId="8" fillId="19" borderId="0" xfId="0" applyFont="1" applyFill="1" applyAlignment="1">
      <alignment horizontal="center" vertical="center"/>
    </xf>
    <xf numFmtId="0" fontId="6" fillId="9" borderId="0" xfId="0" applyFont="1" applyFill="1" applyAlignment="1">
      <alignment wrapText="1"/>
    </xf>
    <xf numFmtId="0" fontId="12" fillId="16" borderId="0" xfId="0" applyFont="1" applyFill="1" applyAlignment="1">
      <alignment wrapText="1"/>
    </xf>
    <xf numFmtId="0" fontId="10" fillId="2" borderId="0" xfId="0" applyFont="1" applyFill="1" applyAlignment="1">
      <alignment horizontal="center" vertical="center" wrapText="1"/>
    </xf>
    <xf numFmtId="0" fontId="11" fillId="14" borderId="0" xfId="0" applyFont="1" applyFill="1" applyAlignment="1">
      <alignment wrapText="1"/>
    </xf>
    <xf numFmtId="0" fontId="7" fillId="15" borderId="0" xfId="0" applyFont="1" applyFill="1" applyAlignment="1">
      <alignment horizontal="center" wrapText="1"/>
    </xf>
    <xf numFmtId="0" fontId="10" fillId="19" borderId="0" xfId="0" applyFont="1" applyFill="1" applyAlignment="1">
      <alignment horizontal="center"/>
    </xf>
    <xf numFmtId="0" fontId="22" fillId="19" borderId="0" xfId="0" applyFont="1" applyFill="1" applyAlignment="1">
      <alignment horizontal="center"/>
    </xf>
    <xf numFmtId="0" fontId="7" fillId="17" borderId="0" xfId="0" applyFont="1" applyFill="1" applyAlignment="1">
      <alignment horizontal="center"/>
    </xf>
    <xf numFmtId="0" fontId="13" fillId="18" borderId="0" xfId="0" applyFont="1" applyFill="1" applyAlignment="1">
      <alignment vertical="top" wrapText="1"/>
    </xf>
    <xf numFmtId="0" fontId="20" fillId="19" borderId="0" xfId="0" applyFont="1" applyFill="1" applyAlignment="1">
      <alignment horizontal="center" vertical="center"/>
    </xf>
    <xf numFmtId="0" fontId="21" fillId="19" borderId="0" xfId="0" applyFont="1" applyFill="1"/>
    <xf numFmtId="0" fontId="7" fillId="28" borderId="0" xfId="0" applyFont="1" applyFill="1" applyAlignment="1">
      <alignment horizontal="center"/>
    </xf>
    <xf numFmtId="0" fontId="20" fillId="27" borderId="0" xfId="0" applyFont="1" applyFill="1" applyAlignment="1">
      <alignment horizontal="center" vertical="top"/>
    </xf>
    <xf numFmtId="0" fontId="23" fillId="27" borderId="0" xfId="0" applyFont="1" applyFill="1" applyAlignment="1">
      <alignment horizontal="center" vertical="top"/>
    </xf>
    <xf numFmtId="0" fontId="23" fillId="28" borderId="0" xfId="0" applyFont="1" applyFill="1" applyAlignment="1">
      <alignment horizontal="center" vertical="top"/>
    </xf>
    <xf numFmtId="0" fontId="7" fillId="28" borderId="0" xfId="0" applyFont="1" applyFill="1" applyAlignment="1">
      <alignment horizontal="center" vertical="top"/>
    </xf>
    <xf numFmtId="0" fontId="20" fillId="28" borderId="0" xfId="0" applyFont="1" applyFill="1" applyAlignment="1">
      <alignment horizontal="center" vertical="center"/>
    </xf>
    <xf numFmtId="0" fontId="23" fillId="28" borderId="0" xfId="0" applyFont="1" applyFill="1" applyAlignment="1">
      <alignment horizontal="center"/>
    </xf>
    <xf numFmtId="0" fontId="24" fillId="31" borderId="0" xfId="0" applyFont="1" applyFill="1"/>
    <xf numFmtId="0" fontId="24" fillId="30" borderId="0" xfId="0" applyFont="1" applyFill="1"/>
    <xf numFmtId="0" fontId="24" fillId="32" borderId="0" xfId="0" applyFont="1" applyFill="1"/>
    <xf numFmtId="0" fontId="0" fillId="33" borderId="2" xfId="0" applyFill="1" applyBorder="1" applyAlignment="1">
      <alignment horizontal="center" vertical="top" wrapText="1"/>
    </xf>
    <xf numFmtId="0" fontId="0" fillId="33" borderId="2" xfId="0" applyFill="1" applyBorder="1" applyAlignment="1">
      <alignment horizontal="left" vertical="top" wrapText="1"/>
    </xf>
    <xf numFmtId="0" fontId="0" fillId="34" borderId="2" xfId="0" applyFill="1" applyBorder="1" applyAlignment="1">
      <alignment horizontal="center" vertical="top" wrapText="1"/>
    </xf>
    <xf numFmtId="0" fontId="0" fillId="34" borderId="2" xfId="0" applyFill="1" applyBorder="1" applyAlignment="1">
      <alignment horizontal="left" vertical="top" wrapText="1"/>
    </xf>
    <xf numFmtId="0" fontId="0" fillId="0" borderId="4" xfId="0" applyBorder="1" applyAlignment="1">
      <alignment horizontal="center" vertical="center" wrapText="1"/>
    </xf>
  </cellXfs>
  <cellStyles count="1">
    <cellStyle name="Normal" xfId="0" builtinId="0"/>
  </cellStyles>
  <dxfs count="36">
    <dxf>
      <font>
        <color rgb="FF4B5563"/>
      </font>
      <fill>
        <patternFill>
          <bgColor rgb="FFE5E7EB"/>
        </patternFill>
      </fill>
    </dxf>
    <dxf>
      <font>
        <b/>
        <color rgb="FF1E40AF"/>
      </font>
      <fill>
        <patternFill>
          <bgColor rgb="FFDBEAFE"/>
        </patternFill>
      </fill>
    </dxf>
    <dxf>
      <font>
        <b/>
        <color rgb="FF92400E"/>
      </font>
      <fill>
        <patternFill>
          <bgColor rgb="FFFEF3C7"/>
        </patternFill>
      </fill>
    </dxf>
    <dxf>
      <font>
        <b/>
        <color rgb="FF991B1B"/>
      </font>
      <fill>
        <patternFill>
          <bgColor rgb="FFFEE2E2"/>
        </patternFill>
      </fill>
    </dxf>
    <dxf>
      <font>
        <b/>
        <color rgb="FF065F46"/>
      </font>
      <fill>
        <patternFill>
          <bgColor rgb="FFD1FAE5"/>
        </patternFill>
      </fill>
    </dxf>
    <dxf>
      <fill>
        <patternFill patternType="solid">
          <bgColor rgb="FFFFF2CC"/>
        </patternFill>
      </fill>
    </dxf>
    <dxf>
      <fill>
        <patternFill patternType="solid">
          <bgColor rgb="FFD9EAD3"/>
        </patternFill>
      </fill>
    </dxf>
    <dxf>
      <fill>
        <patternFill patternType="solid">
          <bgColor rgb="FFE7E6E6"/>
        </patternFill>
      </fill>
    </dxf>
    <dxf>
      <fill>
        <patternFill patternType="solid">
          <bgColor rgb="FFEADCF8"/>
        </patternFill>
      </fill>
    </dxf>
    <dxf>
      <fill>
        <patternFill patternType="solid">
          <bgColor rgb="FFD9EAF7"/>
        </patternFill>
      </fill>
    </dxf>
    <dxf>
      <fill>
        <patternFill patternType="solid">
          <bgColor rgb="FFD9EAD3"/>
        </patternFill>
      </fill>
    </dxf>
    <dxf>
      <font>
        <b/>
        <color rgb="FFB42318"/>
      </font>
      <fill>
        <patternFill>
          <bgColor rgb="FFFDE2E2"/>
        </patternFill>
      </fill>
    </dxf>
    <dxf>
      <font>
        <b/>
        <color rgb="FF166534"/>
      </font>
      <fill>
        <patternFill>
          <bgColor rgb="FFDCFCE7"/>
        </patternFill>
      </fill>
    </dxf>
    <dxf>
      <font>
        <b/>
        <color rgb="FFB42318"/>
      </font>
      <fill>
        <patternFill>
          <bgColor rgb="FFFDE2E2"/>
        </patternFill>
      </fill>
    </dxf>
    <dxf>
      <font>
        <b/>
        <color rgb="FFB42318"/>
      </font>
      <fill>
        <patternFill>
          <bgColor rgb="FFFDE2E2"/>
        </patternFill>
      </fill>
    </dxf>
    <dxf>
      <fill>
        <patternFill>
          <bgColor rgb="FFDCFCE7"/>
        </patternFill>
      </fill>
    </dxf>
    <dxf>
      <fill>
        <patternFill>
          <bgColor rgb="FFFDE2E2"/>
        </patternFill>
      </fill>
    </dxf>
    <dxf>
      <fill>
        <patternFill>
          <bgColor rgb="FFFFF4CC"/>
        </patternFill>
      </fill>
    </dxf>
    <dxf>
      <fill>
        <patternFill>
          <bgColor rgb="FFFDE2E2"/>
        </patternFill>
      </fill>
    </dxf>
    <dxf>
      <font>
        <b/>
        <color rgb="FF065F46"/>
      </font>
      <fill>
        <patternFill>
          <bgColor rgb="FFD1FAE5"/>
        </patternFill>
      </fill>
    </dxf>
    <dxf>
      <font>
        <b/>
        <color rgb="FF065F46"/>
      </font>
      <fill>
        <patternFill>
          <bgColor rgb="FFD1FAE5"/>
        </patternFill>
      </fill>
    </dxf>
    <dxf>
      <font>
        <b/>
        <color rgb="FF9C0006"/>
      </font>
      <fill>
        <patternFill>
          <bgColor rgb="FFFFC7CE"/>
        </patternFill>
      </fill>
    </dxf>
    <dxf>
      <font>
        <b/>
        <color rgb="FF006100"/>
      </font>
      <fill>
        <patternFill>
          <bgColor rgb="FFC6EFCE"/>
        </patternFill>
      </fill>
    </dxf>
    <dxf>
      <fill>
        <patternFill>
          <bgColor rgb="FFE2F0D9"/>
        </patternFill>
      </fill>
    </dxf>
    <dxf>
      <font>
        <b/>
      </font>
      <fill>
        <patternFill>
          <bgColor rgb="FFDDEBF7"/>
        </patternFill>
      </fill>
    </dxf>
    <dxf>
      <font>
        <b/>
      </font>
      <fill>
        <patternFill>
          <bgColor rgb="FFFFF2CC"/>
        </patternFill>
      </fill>
    </dxf>
    <dxf>
      <fill>
        <patternFill patternType="solid">
          <bgColor rgb="FFE7E6E6"/>
        </patternFill>
      </fill>
    </dxf>
    <dxf>
      <fill>
        <patternFill patternType="solid">
          <bgColor rgb="FFEADCF8"/>
        </patternFill>
      </fill>
    </dxf>
    <dxf>
      <fill>
        <patternFill patternType="solid">
          <bgColor rgb="FFD9EAF7"/>
        </patternFill>
      </fill>
    </dxf>
    <dxf>
      <fill>
        <patternFill patternType="solid">
          <bgColor rgb="FFD9EAD3"/>
        </patternFill>
      </fill>
    </dxf>
    <dxf>
      <font>
        <b/>
        <color rgb="FF166534"/>
      </font>
      <fill>
        <patternFill>
          <bgColor rgb="FFDCFCE7"/>
        </patternFill>
      </fill>
    </dxf>
    <dxf>
      <font>
        <b/>
        <color rgb="FFB42318"/>
      </font>
      <fill>
        <patternFill>
          <bgColor rgb="FFFDE2E2"/>
        </patternFill>
      </fill>
    </dxf>
    <dxf>
      <fill>
        <patternFill>
          <bgColor rgb="FFE8F1FF"/>
        </patternFill>
      </fill>
    </dxf>
    <dxf>
      <fill>
        <patternFill>
          <bgColor rgb="FFFFF4CC"/>
        </patternFill>
      </fill>
    </dxf>
    <dxf>
      <font>
        <b/>
        <color rgb="FF6B21A8"/>
      </font>
      <fill>
        <patternFill>
          <bgColor rgb="FFF3E8FF"/>
        </patternFill>
      </fill>
    </dxf>
    <dxf>
      <font>
        <b/>
        <color rgb="FF075985"/>
      </font>
      <fill>
        <patternFill>
          <bgColor rgb="FFE0F2F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a:lstStyle/>
          <a:p>
            <a:r>
              <a:rPr lang="en-US"/>
              <a:t>Milestone Hours — Original vs Revised</a:t>
            </a:r>
          </a:p>
        </c:rich>
      </c:tx>
      <c:overlay val="1"/>
    </c:title>
    <c:autoTitleDeleted val="0"/>
    <c:plotArea>
      <c:layout/>
      <c:barChart>
        <c:barDir val="col"/>
        <c:grouping val="clustered"/>
        <c:varyColors val="0"/>
        <c:ser>
          <c:idx val="0"/>
          <c:order val="0"/>
          <c:tx>
            <c:v>Original Hours</c:v>
          </c:tx>
          <c:invertIfNegative val="1"/>
          <c:cat>
            <c:strRef>
              <c:f>'Revision Summary'!$A$15:$A$18</c:f>
              <c:strCache>
                <c:ptCount val="4"/>
                <c:pt idx="0">
                  <c:v>M1</c:v>
                </c:pt>
                <c:pt idx="1">
                  <c:v>M2a</c:v>
                </c:pt>
                <c:pt idx="2">
                  <c:v>M2b</c:v>
                </c:pt>
                <c:pt idx="3">
                  <c:v>M3</c:v>
                </c:pt>
              </c:strCache>
            </c:strRef>
          </c:cat>
          <c:val>
            <c:numRef>
              <c:f>'Revision Summary'!$B$15:$B$18</c:f>
              <c:numCache>
                <c:formatCode>General</c:formatCode>
                <c:ptCount val="4"/>
                <c:pt idx="0">
                  <c:v>574</c:v>
                </c:pt>
                <c:pt idx="1">
                  <c:v>432</c:v>
                </c:pt>
                <c:pt idx="2">
                  <c:v>528</c:v>
                </c:pt>
                <c:pt idx="3">
                  <c:v>204</c:v>
                </c:pt>
              </c:numCache>
            </c:numRef>
          </c:val>
          <c:extLst>
            <c:ext xmlns:c16="http://schemas.microsoft.com/office/drawing/2014/chart" uri="{C3380CC4-5D6E-409C-BE32-E72D297353CC}">
              <c16:uniqueId val="{00000000-8CDC-4E99-BE79-E1673169ED0E}"/>
            </c:ext>
          </c:extLst>
        </c:ser>
        <c:ser>
          <c:idx val="1"/>
          <c:order val="1"/>
          <c:tx>
            <c:v>Revised Hours</c:v>
          </c:tx>
          <c:invertIfNegative val="1"/>
          <c:cat>
            <c:strRef>
              <c:f>'Revision Summary'!$A$15:$A$18</c:f>
              <c:strCache>
                <c:ptCount val="4"/>
                <c:pt idx="0">
                  <c:v>M1</c:v>
                </c:pt>
                <c:pt idx="1">
                  <c:v>M2a</c:v>
                </c:pt>
                <c:pt idx="2">
                  <c:v>M2b</c:v>
                </c:pt>
                <c:pt idx="3">
                  <c:v>M3</c:v>
                </c:pt>
              </c:strCache>
            </c:strRef>
          </c:cat>
          <c:val>
            <c:numRef>
              <c:f>'Revision Summary'!$C$15:$C$18</c:f>
              <c:numCache>
                <c:formatCode>General</c:formatCode>
                <c:ptCount val="4"/>
                <c:pt idx="0">
                  <c:v>574</c:v>
                </c:pt>
                <c:pt idx="1">
                  <c:v>490</c:v>
                </c:pt>
                <c:pt idx="2">
                  <c:v>538</c:v>
                </c:pt>
                <c:pt idx="3">
                  <c:v>204</c:v>
                </c:pt>
              </c:numCache>
            </c:numRef>
          </c:val>
          <c:extLst>
            <c:ext xmlns:c16="http://schemas.microsoft.com/office/drawing/2014/chart" uri="{C3380CC4-5D6E-409C-BE32-E72D297353CC}">
              <c16:uniqueId val="{00000001-8CDC-4E99-BE79-E1673169ED0E}"/>
            </c:ext>
          </c:extLst>
        </c:ser>
        <c:dLbls>
          <c:showLegendKey val="0"/>
          <c:showVal val="0"/>
          <c:showCatName val="0"/>
          <c:showSerName val="0"/>
          <c:showPercent val="0"/>
          <c:showBubbleSize val="0"/>
        </c:dLbls>
        <c:gapWidth val="150"/>
        <c:axId val="48650112"/>
        <c:axId val="48672768"/>
      </c:barChart>
      <c:catAx>
        <c:axId val="48650112"/>
        <c:scaling>
          <c:orientation val="minMax"/>
        </c:scaling>
        <c:delete val="0"/>
        <c:axPos val="b"/>
        <c:majorGridlines>
          <c:spPr>
            <a:ln w="9525">
              <a:solidFill>
                <a:srgbClr val="CCCCCC"/>
              </a:solidFill>
              <a:prstDash val="dash"/>
            </a:ln>
          </c:spPr>
        </c:majorGridlines>
        <c:numFmt formatCode="General" sourceLinked="1"/>
        <c:majorTickMark val="none"/>
        <c:minorTickMark val="none"/>
        <c:tickLblPos val="nextTo"/>
        <c:crossAx val="48672768"/>
        <c:crosses val="autoZero"/>
        <c:auto val="1"/>
        <c:lblAlgn val="ctr"/>
        <c:lblOffset val="100"/>
        <c:noMultiLvlLbl val="0"/>
      </c:catAx>
      <c:valAx>
        <c:axId val="48672768"/>
        <c:scaling>
          <c:orientation val="minMax"/>
        </c:scaling>
        <c:delete val="0"/>
        <c:axPos val="l"/>
        <c:majorGridlines>
          <c:spPr>
            <a:ln w="9525">
              <a:solidFill>
                <a:srgbClr val="CCCCCC"/>
              </a:solidFill>
              <a:prstDash val="dash"/>
            </a:ln>
          </c:spPr>
        </c:majorGridlines>
        <c:numFmt formatCode="General" sourceLinked="1"/>
        <c:majorTickMark val="none"/>
        <c:minorTickMark val="none"/>
        <c:tickLblPos val="nextTo"/>
        <c:crossAx val="48650112"/>
        <c:crosses val="autoZero"/>
        <c:crossBetween val="between"/>
      </c:valAx>
    </c:plotArea>
    <c:legend>
      <c:legendPos val="b"/>
      <c:overlay val="0"/>
    </c:legend>
    <c:plotVisOnly val="1"/>
    <c:dispBlanksAs val="zero"/>
    <c:showDLblsOverMax val="1"/>
  </c:chart>
  <c:spPr>
    <a:ln w="9525">
      <a:solidFill>
        <a:srgbClr val="D9D9D9"/>
      </a:solidFill>
      <a:prstDash val="solid"/>
    </a:ln>
  </c:sp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a:lstStyle/>
          <a:p>
            <a:r>
              <a:t>Backlog Hours by Milestone</a:t>
            </a:r>
          </a:p>
        </c:rich>
      </c:tx>
      <c:overlay val="1"/>
    </c:title>
    <c:autoTitleDeleted val="0"/>
    <c:plotArea>
      <c:layout/>
      <c:barChart>
        <c:barDir val="col"/>
        <c:grouping val="clustered"/>
        <c:varyColors val="0"/>
        <c:ser>
          <c:idx val="0"/>
          <c:order val="0"/>
          <c:tx>
            <c:v>Total Hours</c:v>
          </c:tx>
          <c:invertIfNegative val="1"/>
          <c:cat>
            <c:strRef>
              <c:f>'Delivery Feasibility'!$A$9:$A$12</c:f>
              <c:strCache>
                <c:ptCount val="4"/>
                <c:pt idx="0">
                  <c:v>M1</c:v>
                </c:pt>
                <c:pt idx="1">
                  <c:v>M2a</c:v>
                </c:pt>
                <c:pt idx="2">
                  <c:v>M2b</c:v>
                </c:pt>
                <c:pt idx="3">
                  <c:v>M3</c:v>
                </c:pt>
              </c:strCache>
            </c:strRef>
          </c:cat>
          <c:val>
            <c:numRef>
              <c:f>'Delivery Feasibility'!$B$9:$B$12</c:f>
              <c:numCache>
                <c:formatCode>0.0</c:formatCode>
                <c:ptCount val="4"/>
                <c:pt idx="0">
                  <c:v>163</c:v>
                </c:pt>
                <c:pt idx="1">
                  <c:v>490</c:v>
                </c:pt>
                <c:pt idx="2">
                  <c:v>366</c:v>
                </c:pt>
                <c:pt idx="3">
                  <c:v>204</c:v>
                </c:pt>
              </c:numCache>
            </c:numRef>
          </c:val>
          <c:extLst>
            <c:ext xmlns:c16="http://schemas.microsoft.com/office/drawing/2014/chart" uri="{C3380CC4-5D6E-409C-BE32-E72D297353CC}">
              <c16:uniqueId val="{00000000-9161-4355-AA20-E5E38A54FF7F}"/>
            </c:ext>
          </c:extLst>
        </c:ser>
        <c:ser>
          <c:idx val="1"/>
          <c:order val="1"/>
          <c:tx>
            <c:v>Done Hours</c:v>
          </c:tx>
          <c:invertIfNegative val="1"/>
          <c:cat>
            <c:strRef>
              <c:f>'Delivery Feasibility'!$A$9:$A$12</c:f>
              <c:strCache>
                <c:ptCount val="4"/>
                <c:pt idx="0">
                  <c:v>M1</c:v>
                </c:pt>
                <c:pt idx="1">
                  <c:v>M2a</c:v>
                </c:pt>
                <c:pt idx="2">
                  <c:v>M2b</c:v>
                </c:pt>
                <c:pt idx="3">
                  <c:v>M3</c:v>
                </c:pt>
              </c:strCache>
            </c:strRef>
          </c:cat>
          <c:val>
            <c:numRef>
              <c:f>'Delivery Feasibility'!$C$9:$C$12</c:f>
              <c:numCache>
                <c:formatCode>0.0</c:formatCode>
                <c:ptCount val="4"/>
                <c:pt idx="0">
                  <c:v>6.155555555555555</c:v>
                </c:pt>
                <c:pt idx="1">
                  <c:v>42.483333333333334</c:v>
                </c:pt>
                <c:pt idx="2">
                  <c:v>2.4</c:v>
                </c:pt>
                <c:pt idx="3">
                  <c:v>40</c:v>
                </c:pt>
              </c:numCache>
            </c:numRef>
          </c:val>
          <c:extLst>
            <c:ext xmlns:c16="http://schemas.microsoft.com/office/drawing/2014/chart" uri="{C3380CC4-5D6E-409C-BE32-E72D297353CC}">
              <c16:uniqueId val="{00000001-9161-4355-AA20-E5E38A54FF7F}"/>
            </c:ext>
          </c:extLst>
        </c:ser>
        <c:ser>
          <c:idx val="2"/>
          <c:order val="2"/>
          <c:tx>
            <c:v>Open Hours</c:v>
          </c:tx>
          <c:invertIfNegative val="1"/>
          <c:cat>
            <c:strRef>
              <c:f>'Delivery Feasibility'!$A$9:$A$12</c:f>
              <c:strCache>
                <c:ptCount val="4"/>
                <c:pt idx="0">
                  <c:v>M1</c:v>
                </c:pt>
                <c:pt idx="1">
                  <c:v>M2a</c:v>
                </c:pt>
                <c:pt idx="2">
                  <c:v>M2b</c:v>
                </c:pt>
                <c:pt idx="3">
                  <c:v>M3</c:v>
                </c:pt>
              </c:strCache>
            </c:strRef>
          </c:cat>
          <c:val>
            <c:numRef>
              <c:f>'Delivery Feasibility'!$D$9:$D$12</c:f>
              <c:numCache>
                <c:formatCode>0.0</c:formatCode>
                <c:ptCount val="4"/>
                <c:pt idx="0">
                  <c:v>9.2333333333333325</c:v>
                </c:pt>
                <c:pt idx="1">
                  <c:v>65.499166666666667</c:v>
                </c:pt>
                <c:pt idx="2">
                  <c:v>4.08</c:v>
                </c:pt>
                <c:pt idx="3">
                  <c:v>72</c:v>
                </c:pt>
              </c:numCache>
            </c:numRef>
          </c:val>
          <c:extLst>
            <c:ext xmlns:c16="http://schemas.microsoft.com/office/drawing/2014/chart" uri="{C3380CC4-5D6E-409C-BE32-E72D297353CC}">
              <c16:uniqueId val="{00000002-9161-4355-AA20-E5E38A54FF7F}"/>
            </c:ext>
          </c:extLst>
        </c:ser>
        <c:dLbls>
          <c:showLegendKey val="0"/>
          <c:showVal val="0"/>
          <c:showCatName val="0"/>
          <c:showSerName val="0"/>
          <c:showPercent val="0"/>
          <c:showBubbleSize val="0"/>
        </c:dLbls>
        <c:gapWidth val="150"/>
        <c:axId val="48650112"/>
        <c:axId val="48672768"/>
      </c:barChart>
      <c:catAx>
        <c:axId val="48650112"/>
        <c:scaling>
          <c:orientation val="minMax"/>
        </c:scaling>
        <c:delete val="0"/>
        <c:axPos val="b"/>
        <c:majorGridlines>
          <c:spPr>
            <a:ln w="9525">
              <a:solidFill>
                <a:srgbClr val="CCCCCC"/>
              </a:solidFill>
              <a:prstDash val="dash"/>
            </a:ln>
          </c:spPr>
        </c:majorGridlines>
        <c:numFmt formatCode="General" sourceLinked="1"/>
        <c:majorTickMark val="none"/>
        <c:minorTickMark val="none"/>
        <c:tickLblPos val="nextTo"/>
        <c:crossAx val="48672768"/>
        <c:crosses val="autoZero"/>
        <c:auto val="1"/>
        <c:lblAlgn val="ctr"/>
        <c:lblOffset val="100"/>
        <c:noMultiLvlLbl val="0"/>
      </c:catAx>
      <c:valAx>
        <c:axId val="48672768"/>
        <c:scaling>
          <c:orientation val="minMax"/>
        </c:scaling>
        <c:delete val="0"/>
        <c:axPos val="l"/>
        <c:majorGridlines>
          <c:spPr>
            <a:ln w="9525">
              <a:solidFill>
                <a:srgbClr val="CCCCCC"/>
              </a:solidFill>
              <a:prstDash val="dash"/>
            </a:ln>
          </c:spPr>
        </c:majorGridlines>
        <c:numFmt formatCode="0.0" sourceLinked="1"/>
        <c:majorTickMark val="none"/>
        <c:minorTickMark val="none"/>
        <c:tickLblPos val="nextTo"/>
        <c:crossAx val="48650112"/>
        <c:crosses val="autoZero"/>
        <c:crossBetween val="between"/>
      </c:valAx>
    </c:plotArea>
    <c:legend>
      <c:legendPos val="b"/>
      <c:overlay val="0"/>
    </c:legend>
    <c:plotVisOnly val="1"/>
    <c:dispBlanksAs val="zero"/>
    <c:showDLblsOverMax val="1"/>
  </c:chart>
  <c:spPr>
    <a:ln w="9525">
      <a:solidFill>
        <a:srgbClr val="D9D9D9"/>
      </a:solidFill>
      <a:prstDash val="solid"/>
    </a:ln>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xdr:from>
      <xdr:col>6</xdr:col>
      <xdr:colOff>0</xdr:colOff>
      <xdr:row>2</xdr:row>
      <xdr:rowOff>0</xdr:rowOff>
    </xdr:from>
    <xdr:to>
      <xdr:col>14</xdr:col>
      <xdr:colOff>0</xdr:colOff>
      <xdr:row>18</xdr:row>
      <xdr:rowOff>0</xdr:rowOff>
    </xdr:to>
    <xdr:graphicFrame macro="">
      <xdr:nvGraphicFramePr>
        <xdr:cNvPr id="2" name="Chart">
          <a:extLst>
            <a:ext uri="{FF2B5EF4-FFF2-40B4-BE49-F238E27FC236}">
              <a16:creationId xmlns:a16="http://schemas.microsoft.com/office/drawing/2014/main" id="{00000000-0008-0000-0A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7</xdr:col>
      <xdr:colOff>0</xdr:colOff>
      <xdr:row>2</xdr:row>
      <xdr:rowOff>0</xdr:rowOff>
    </xdr:from>
    <xdr:to>
      <xdr:col>14</xdr:col>
      <xdr:colOff>0</xdr:colOff>
      <xdr:row>16</xdr:row>
      <xdr:rowOff>0</xdr:rowOff>
    </xdr:to>
    <xdr:graphicFrame macro="">
      <xdr:nvGraphicFramePr>
        <xdr:cNvPr id="2" name="Chart">
          <a:extLst>
            <a:ext uri="{FF2B5EF4-FFF2-40B4-BE49-F238E27FC236}">
              <a16:creationId xmlns:a16="http://schemas.microsoft.com/office/drawing/2014/main" id="{00000000-0008-0000-0D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AuditTraceabilityTable" displayName="AuditTraceabilityTable" ref="A7:F38" totalsRowShown="0">
  <tableColumns count="6">
    <tableColumn id="1" xr3:uid="{00000000-0010-0000-0000-000001000000}" name="Column1"/>
    <tableColumn id="2" xr3:uid="{00000000-0010-0000-0000-000002000000}" name="Column2"/>
    <tableColumn id="3" xr3:uid="{00000000-0010-0000-0000-000003000000}" name="Column3"/>
    <tableColumn id="4" xr3:uid="{00000000-0010-0000-0000-000004000000}" name="Column4"/>
    <tableColumn id="5" xr3:uid="{00000000-0010-0000-0000-000005000000}" name="Column5"/>
    <tableColumn id="6" xr3:uid="{00000000-0010-0000-0000-000006000000}" name="Column6"/>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5.xml.rels><?xml version="1.0" encoding="UTF-8" standalone="yes"?>
<Relationships xmlns="http://schemas.openxmlformats.org/package/2006/relationships"><Relationship Id="rId1" Type="http://schemas.openxmlformats.org/officeDocument/2006/relationships/table" Target="../tables/table1.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AO201"/>
  <sheetViews>
    <sheetView tabSelected="1" topLeftCell="A61" workbookViewId="0">
      <selection activeCell="F67" sqref="F67"/>
    </sheetView>
  </sheetViews>
  <sheetFormatPr defaultRowHeight="15" x14ac:dyDescent="0.25"/>
  <cols>
    <col min="1" max="1" width="11" style="4" customWidth="1"/>
    <col min="2" max="2" width="10" style="4" customWidth="1"/>
    <col min="3" max="3" width="11" style="4" customWidth="1"/>
    <col min="4" max="4" width="30" style="5" customWidth="1"/>
    <col min="5" max="5" width="16" style="4" customWidth="1"/>
    <col min="6" max="6" width="18" style="4" customWidth="1"/>
    <col min="7" max="7" width="13" style="4" customWidth="1"/>
    <col min="8" max="8" width="42" style="5" customWidth="1"/>
    <col min="9" max="9" width="42" style="6" customWidth="1"/>
    <col min="10" max="10" width="8" style="61" customWidth="1"/>
    <col min="11" max="11" width="13" style="4" customWidth="1"/>
    <col min="12" max="12" width="24" customWidth="1"/>
    <col min="13" max="13" width="20" customWidth="1"/>
    <col min="14" max="14" width="38" customWidth="1"/>
    <col min="15" max="15" width="34" customWidth="1"/>
    <col min="16" max="16" width="30" customWidth="1"/>
    <col min="17" max="17" width="28" customWidth="1"/>
    <col min="18" max="18" width="32" customWidth="1"/>
    <col min="19" max="19" width="28" customWidth="1"/>
    <col min="20" max="21" width="46" customWidth="1"/>
    <col min="22" max="23" width="34" customWidth="1"/>
    <col min="24" max="24" width="14" customWidth="1"/>
    <col min="25" max="25" width="32" customWidth="1"/>
    <col min="26" max="27" width="24" customWidth="1"/>
    <col min="28" max="28" width="22" customWidth="1"/>
    <col min="29" max="29" width="46" customWidth="1"/>
    <col min="30" max="30" width="24" customWidth="1"/>
    <col min="31" max="31" width="14" customWidth="1"/>
    <col min="32" max="32" width="34" customWidth="1"/>
    <col min="33" max="33" width="25" customWidth="1"/>
    <col min="34" max="35" width="12" customWidth="1"/>
    <col min="36" max="36" width="13" customWidth="1"/>
    <col min="37" max="37" width="14" customWidth="1"/>
    <col min="38" max="38" width="26" customWidth="1"/>
    <col min="39" max="41" width="46" customWidth="1"/>
    <col min="42" max="16384" width="9.140625" style="4"/>
  </cols>
  <sheetData>
    <row r="1" spans="1:41" ht="33.950000000000003" customHeight="1" x14ac:dyDescent="0.25">
      <c r="A1" s="63" t="s">
        <v>72</v>
      </c>
      <c r="B1" s="63" t="s">
        <v>74</v>
      </c>
      <c r="C1" s="63" t="s">
        <v>0</v>
      </c>
      <c r="D1" s="63" t="s">
        <v>361</v>
      </c>
      <c r="E1" s="63" t="s">
        <v>728</v>
      </c>
      <c r="F1" s="63" t="s">
        <v>729</v>
      </c>
      <c r="G1" s="63" t="s">
        <v>77</v>
      </c>
      <c r="H1" s="63" t="s">
        <v>730</v>
      </c>
      <c r="I1" s="63" t="s">
        <v>731</v>
      </c>
      <c r="J1" s="63" t="s">
        <v>5</v>
      </c>
      <c r="K1" s="63" t="s">
        <v>366</v>
      </c>
      <c r="L1" s="64" t="s">
        <v>732</v>
      </c>
      <c r="M1" s="64" t="s">
        <v>733</v>
      </c>
      <c r="N1" s="64" t="s">
        <v>734</v>
      </c>
      <c r="O1" s="64" t="s">
        <v>735</v>
      </c>
      <c r="P1" s="64" t="s">
        <v>736</v>
      </c>
      <c r="Q1" s="72" t="s">
        <v>737</v>
      </c>
      <c r="R1" s="72" t="s">
        <v>738</v>
      </c>
      <c r="S1" s="72" t="s">
        <v>739</v>
      </c>
      <c r="T1" s="72" t="s">
        <v>740</v>
      </c>
      <c r="U1" s="72" t="s">
        <v>741</v>
      </c>
      <c r="V1" s="72" t="s">
        <v>742</v>
      </c>
      <c r="W1" s="72" t="s">
        <v>743</v>
      </c>
      <c r="X1" s="72" t="s">
        <v>744</v>
      </c>
      <c r="Y1" s="72" t="s">
        <v>745</v>
      </c>
      <c r="Z1" s="107" t="s">
        <v>746</v>
      </c>
      <c r="AA1" s="107" t="s">
        <v>747</v>
      </c>
      <c r="AB1" s="107" t="s">
        <v>748</v>
      </c>
      <c r="AC1" s="107" t="s">
        <v>749</v>
      </c>
      <c r="AD1" s="107" t="s">
        <v>750</v>
      </c>
      <c r="AE1" s="110" t="s">
        <v>751</v>
      </c>
      <c r="AF1" s="110" t="s">
        <v>752</v>
      </c>
      <c r="AG1" s="110" t="s">
        <v>753</v>
      </c>
      <c r="AH1" s="110" t="s">
        <v>754</v>
      </c>
      <c r="AI1" s="110" t="s">
        <v>755</v>
      </c>
      <c r="AJ1" s="110" t="s">
        <v>756</v>
      </c>
      <c r="AK1" s="110" t="s">
        <v>757</v>
      </c>
      <c r="AL1" s="110" t="s">
        <v>758</v>
      </c>
      <c r="AM1" s="110" t="s">
        <v>759</v>
      </c>
      <c r="AN1" s="110" t="s">
        <v>760</v>
      </c>
      <c r="AO1" s="110" t="s">
        <v>761</v>
      </c>
    </row>
    <row r="2" spans="1:41" ht="45.95" customHeight="1" x14ac:dyDescent="0.25">
      <c r="A2" s="67" t="s">
        <v>762</v>
      </c>
      <c r="B2" s="67" t="s">
        <v>7</v>
      </c>
      <c r="C2" s="67" t="s">
        <v>6</v>
      </c>
      <c r="D2" s="68" t="s">
        <v>763</v>
      </c>
      <c r="E2" s="67" t="s">
        <v>764</v>
      </c>
      <c r="F2" s="67" t="s">
        <v>765</v>
      </c>
      <c r="G2" s="67" t="s">
        <v>67</v>
      </c>
      <c r="H2" s="68" t="s">
        <v>766</v>
      </c>
      <c r="I2" s="68" t="s">
        <v>767</v>
      </c>
      <c r="J2" s="67">
        <v>8</v>
      </c>
      <c r="K2" s="73" t="s">
        <v>768</v>
      </c>
      <c r="L2" s="8" t="s">
        <v>769</v>
      </c>
      <c r="M2" s="146" t="s">
        <v>171</v>
      </c>
      <c r="N2" s="9" t="s">
        <v>770</v>
      </c>
      <c r="O2" s="9" t="s">
        <v>771</v>
      </c>
      <c r="P2" s="10" t="s">
        <v>772</v>
      </c>
      <c r="Q2" s="71" t="s">
        <v>773</v>
      </c>
      <c r="R2" s="71"/>
      <c r="S2" s="71" t="s">
        <v>774</v>
      </c>
      <c r="T2" s="71"/>
      <c r="U2" s="71"/>
      <c r="V2" s="71" t="s">
        <v>771</v>
      </c>
      <c r="W2" s="71" t="s">
        <v>171</v>
      </c>
      <c r="X2" s="71" t="s">
        <v>775</v>
      </c>
      <c r="Y2" s="71" t="s">
        <v>776</v>
      </c>
      <c r="Z2" s="2" t="s">
        <v>777</v>
      </c>
      <c r="AA2" s="2" t="s">
        <v>778</v>
      </c>
      <c r="AB2" s="2" t="s">
        <v>779</v>
      </c>
      <c r="AC2" s="2" t="s">
        <v>780</v>
      </c>
      <c r="AD2" s="2" t="s">
        <v>781</v>
      </c>
      <c r="AE2" s="2" t="s">
        <v>171</v>
      </c>
      <c r="AF2" s="2" t="s">
        <v>782</v>
      </c>
      <c r="AG2" s="2" t="s">
        <v>781</v>
      </c>
      <c r="AH2" s="111">
        <v>0</v>
      </c>
      <c r="AI2" s="111">
        <v>0</v>
      </c>
      <c r="AJ2" s="111">
        <f t="shared" ref="AJ2:AJ33" si="0">IF($K2="Done",0,MAX(0.25,$J2/$AH2))</f>
        <v>0</v>
      </c>
      <c r="AK2" s="111">
        <f t="shared" ref="AK2:AK33" si="1">IF($K2="Done",0,$AJ2*$AI2)</f>
        <v>0</v>
      </c>
      <c r="AL2" s="2" t="s">
        <v>171</v>
      </c>
      <c r="AM2" s="2" t="s">
        <v>783</v>
      </c>
      <c r="AN2" s="2" t="s">
        <v>784</v>
      </c>
      <c r="AO2" s="2" t="s">
        <v>785</v>
      </c>
    </row>
    <row r="3" spans="1:41" ht="45.95" customHeight="1" x14ac:dyDescent="0.25">
      <c r="A3" s="67" t="s">
        <v>786</v>
      </c>
      <c r="B3" s="67" t="s">
        <v>7</v>
      </c>
      <c r="C3" s="67" t="s">
        <v>6</v>
      </c>
      <c r="D3" s="68" t="s">
        <v>787</v>
      </c>
      <c r="E3" s="67" t="s">
        <v>788</v>
      </c>
      <c r="F3" s="67" t="s">
        <v>765</v>
      </c>
      <c r="G3" s="67" t="s">
        <v>67</v>
      </c>
      <c r="H3" s="68" t="s">
        <v>789</v>
      </c>
      <c r="I3" s="68" t="s">
        <v>790</v>
      </c>
      <c r="J3" s="67">
        <v>8</v>
      </c>
      <c r="K3" s="73" t="s">
        <v>768</v>
      </c>
      <c r="L3" s="11" t="s">
        <v>769</v>
      </c>
      <c r="M3" s="146" t="s">
        <v>171</v>
      </c>
      <c r="N3" s="7" t="s">
        <v>770</v>
      </c>
      <c r="O3" s="7" t="s">
        <v>771</v>
      </c>
      <c r="P3" s="12" t="s">
        <v>772</v>
      </c>
      <c r="Q3" s="71" t="s">
        <v>773</v>
      </c>
      <c r="R3" s="71"/>
      <c r="S3" s="71" t="s">
        <v>774</v>
      </c>
      <c r="T3" s="71"/>
      <c r="U3" s="71"/>
      <c r="V3" s="71" t="s">
        <v>771</v>
      </c>
      <c r="W3" s="71" t="s">
        <v>171</v>
      </c>
      <c r="X3" s="71" t="s">
        <v>775</v>
      </c>
      <c r="Y3" s="71" t="s">
        <v>776</v>
      </c>
      <c r="Z3" s="2" t="s">
        <v>777</v>
      </c>
      <c r="AA3" s="2" t="s">
        <v>778</v>
      </c>
      <c r="AB3" s="2" t="s">
        <v>779</v>
      </c>
      <c r="AC3" s="2" t="s">
        <v>780</v>
      </c>
      <c r="AD3" s="2" t="s">
        <v>781</v>
      </c>
      <c r="AE3" s="2" t="s">
        <v>171</v>
      </c>
      <c r="AF3" s="2" t="s">
        <v>782</v>
      </c>
      <c r="AG3" s="2" t="s">
        <v>781</v>
      </c>
      <c r="AH3" s="111">
        <v>0</v>
      </c>
      <c r="AI3" s="111">
        <v>0</v>
      </c>
      <c r="AJ3" s="111">
        <f t="shared" si="0"/>
        <v>0</v>
      </c>
      <c r="AK3" s="111">
        <f t="shared" si="1"/>
        <v>0</v>
      </c>
      <c r="AL3" s="2" t="s">
        <v>171</v>
      </c>
      <c r="AM3" s="2" t="s">
        <v>783</v>
      </c>
      <c r="AN3" s="2" t="s">
        <v>784</v>
      </c>
      <c r="AO3" s="2" t="s">
        <v>785</v>
      </c>
    </row>
    <row r="4" spans="1:41" ht="45.95" customHeight="1" x14ac:dyDescent="0.25">
      <c r="A4" s="67" t="s">
        <v>791</v>
      </c>
      <c r="B4" s="67" t="s">
        <v>7</v>
      </c>
      <c r="C4" s="67" t="s">
        <v>6</v>
      </c>
      <c r="D4" s="68" t="s">
        <v>792</v>
      </c>
      <c r="E4" s="67" t="s">
        <v>793</v>
      </c>
      <c r="F4" s="67" t="s">
        <v>794</v>
      </c>
      <c r="G4" s="67" t="s">
        <v>67</v>
      </c>
      <c r="H4" s="68" t="s">
        <v>795</v>
      </c>
      <c r="I4" s="68" t="s">
        <v>796</v>
      </c>
      <c r="J4" s="67">
        <v>4</v>
      </c>
      <c r="K4" s="73" t="s">
        <v>768</v>
      </c>
      <c r="L4" s="11" t="s">
        <v>769</v>
      </c>
      <c r="M4" s="146" t="s">
        <v>171</v>
      </c>
      <c r="N4" s="7" t="s">
        <v>770</v>
      </c>
      <c r="O4" s="7" t="s">
        <v>771</v>
      </c>
      <c r="P4" s="12" t="s">
        <v>772</v>
      </c>
      <c r="Q4" s="71" t="s">
        <v>773</v>
      </c>
      <c r="R4" s="71"/>
      <c r="S4" s="71" t="s">
        <v>774</v>
      </c>
      <c r="T4" s="71"/>
      <c r="U4" s="71"/>
      <c r="V4" s="71" t="s">
        <v>771</v>
      </c>
      <c r="W4" s="71" t="s">
        <v>171</v>
      </c>
      <c r="X4" s="71" t="s">
        <v>775</v>
      </c>
      <c r="Y4" s="71" t="s">
        <v>776</v>
      </c>
      <c r="Z4" s="2" t="s">
        <v>777</v>
      </c>
      <c r="AA4" s="2" t="s">
        <v>778</v>
      </c>
      <c r="AB4" s="2" t="s">
        <v>779</v>
      </c>
      <c r="AC4" s="2" t="s">
        <v>797</v>
      </c>
      <c r="AD4" s="2" t="s">
        <v>781</v>
      </c>
      <c r="AE4" s="2" t="s">
        <v>171</v>
      </c>
      <c r="AF4" s="2" t="s">
        <v>782</v>
      </c>
      <c r="AG4" s="2" t="s">
        <v>781</v>
      </c>
      <c r="AH4" s="111">
        <v>0</v>
      </c>
      <c r="AI4" s="111">
        <v>0</v>
      </c>
      <c r="AJ4" s="111">
        <f t="shared" si="0"/>
        <v>0</v>
      </c>
      <c r="AK4" s="111">
        <f t="shared" si="1"/>
        <v>0</v>
      </c>
      <c r="AL4" s="2" t="s">
        <v>171</v>
      </c>
      <c r="AM4" s="2" t="s">
        <v>783</v>
      </c>
      <c r="AN4" s="2" t="s">
        <v>784</v>
      </c>
      <c r="AO4" s="2" t="s">
        <v>785</v>
      </c>
    </row>
    <row r="5" spans="1:41" ht="45.95" customHeight="1" x14ac:dyDescent="0.25">
      <c r="A5" s="67" t="s">
        <v>798</v>
      </c>
      <c r="B5" s="67" t="s">
        <v>7</v>
      </c>
      <c r="C5" s="67" t="s">
        <v>6</v>
      </c>
      <c r="D5" s="68" t="s">
        <v>799</v>
      </c>
      <c r="E5" s="67" t="s">
        <v>764</v>
      </c>
      <c r="F5" s="67" t="s">
        <v>800</v>
      </c>
      <c r="G5" s="67" t="s">
        <v>801</v>
      </c>
      <c r="H5" s="68" t="s">
        <v>802</v>
      </c>
      <c r="I5" s="68" t="s">
        <v>803</v>
      </c>
      <c r="J5" s="67">
        <v>4</v>
      </c>
      <c r="K5" s="73" t="s">
        <v>768</v>
      </c>
      <c r="L5" s="11" t="s">
        <v>769</v>
      </c>
      <c r="M5" s="146" t="s">
        <v>171</v>
      </c>
      <c r="N5" s="7" t="s">
        <v>770</v>
      </c>
      <c r="O5" s="7" t="s">
        <v>771</v>
      </c>
      <c r="P5" s="12" t="s">
        <v>772</v>
      </c>
      <c r="Q5" s="71" t="s">
        <v>773</v>
      </c>
      <c r="R5" s="71"/>
      <c r="S5" s="71" t="s">
        <v>774</v>
      </c>
      <c r="T5" s="71"/>
      <c r="U5" s="71"/>
      <c r="V5" s="71" t="s">
        <v>771</v>
      </c>
      <c r="W5" s="71" t="s">
        <v>171</v>
      </c>
      <c r="X5" s="71" t="s">
        <v>775</v>
      </c>
      <c r="Y5" s="71" t="s">
        <v>776</v>
      </c>
      <c r="Z5" s="2" t="s">
        <v>777</v>
      </c>
      <c r="AA5" s="2" t="s">
        <v>778</v>
      </c>
      <c r="AB5" s="2" t="s">
        <v>779</v>
      </c>
      <c r="AC5" s="2" t="s">
        <v>780</v>
      </c>
      <c r="AD5" s="2" t="s">
        <v>781</v>
      </c>
      <c r="AE5" s="2" t="s">
        <v>171</v>
      </c>
      <c r="AF5" s="2" t="s">
        <v>782</v>
      </c>
      <c r="AG5" s="2" t="s">
        <v>781</v>
      </c>
      <c r="AH5" s="111">
        <v>0</v>
      </c>
      <c r="AI5" s="111">
        <v>0</v>
      </c>
      <c r="AJ5" s="111">
        <f t="shared" si="0"/>
        <v>0</v>
      </c>
      <c r="AK5" s="111">
        <f t="shared" si="1"/>
        <v>0</v>
      </c>
      <c r="AL5" s="2" t="s">
        <v>171</v>
      </c>
      <c r="AM5" s="2" t="s">
        <v>783</v>
      </c>
      <c r="AN5" s="2" t="s">
        <v>784</v>
      </c>
      <c r="AO5" s="2" t="s">
        <v>785</v>
      </c>
    </row>
    <row r="6" spans="1:41" ht="45.95" customHeight="1" x14ac:dyDescent="0.25">
      <c r="A6" s="67" t="s">
        <v>804</v>
      </c>
      <c r="B6" s="67" t="s">
        <v>7</v>
      </c>
      <c r="C6" s="67" t="s">
        <v>6</v>
      </c>
      <c r="D6" s="68" t="s">
        <v>805</v>
      </c>
      <c r="E6" s="67" t="s">
        <v>806</v>
      </c>
      <c r="F6" s="67" t="s">
        <v>807</v>
      </c>
      <c r="G6" s="67" t="s">
        <v>67</v>
      </c>
      <c r="H6" s="68" t="s">
        <v>808</v>
      </c>
      <c r="I6" s="68" t="s">
        <v>809</v>
      </c>
      <c r="J6" s="67">
        <v>6</v>
      </c>
      <c r="K6" s="73" t="s">
        <v>768</v>
      </c>
      <c r="L6" s="11" t="s">
        <v>769</v>
      </c>
      <c r="M6" s="146" t="s">
        <v>171</v>
      </c>
      <c r="N6" s="7" t="s">
        <v>770</v>
      </c>
      <c r="O6" s="7" t="s">
        <v>771</v>
      </c>
      <c r="P6" s="12" t="s">
        <v>772</v>
      </c>
      <c r="Q6" s="71" t="s">
        <v>773</v>
      </c>
      <c r="R6" s="71"/>
      <c r="S6" s="71" t="s">
        <v>774</v>
      </c>
      <c r="T6" s="71"/>
      <c r="U6" s="71"/>
      <c r="V6" s="71" t="s">
        <v>771</v>
      </c>
      <c r="W6" s="71" t="s">
        <v>171</v>
      </c>
      <c r="X6" s="71" t="s">
        <v>775</v>
      </c>
      <c r="Y6" s="71" t="s">
        <v>776</v>
      </c>
      <c r="Z6" s="2" t="s">
        <v>777</v>
      </c>
      <c r="AA6" s="2" t="s">
        <v>778</v>
      </c>
      <c r="AB6" s="2" t="s">
        <v>779</v>
      </c>
      <c r="AC6" s="2" t="s">
        <v>780</v>
      </c>
      <c r="AD6" s="2" t="s">
        <v>781</v>
      </c>
      <c r="AE6" s="2" t="s">
        <v>171</v>
      </c>
      <c r="AF6" s="2" t="s">
        <v>782</v>
      </c>
      <c r="AG6" s="2" t="s">
        <v>781</v>
      </c>
      <c r="AH6" s="111">
        <v>0</v>
      </c>
      <c r="AI6" s="111">
        <v>0</v>
      </c>
      <c r="AJ6" s="111">
        <f t="shared" si="0"/>
        <v>0</v>
      </c>
      <c r="AK6" s="111">
        <f t="shared" si="1"/>
        <v>0</v>
      </c>
      <c r="AL6" s="2" t="s">
        <v>171</v>
      </c>
      <c r="AM6" s="2" t="s">
        <v>783</v>
      </c>
      <c r="AN6" s="2" t="s">
        <v>784</v>
      </c>
      <c r="AO6" s="2" t="s">
        <v>785</v>
      </c>
    </row>
    <row r="7" spans="1:41" ht="45.95" customHeight="1" x14ac:dyDescent="0.25">
      <c r="A7" s="67" t="s">
        <v>810</v>
      </c>
      <c r="B7" s="67" t="s">
        <v>7</v>
      </c>
      <c r="C7" s="67" t="s">
        <v>6</v>
      </c>
      <c r="D7" s="68" t="s">
        <v>811</v>
      </c>
      <c r="E7" s="67" t="s">
        <v>806</v>
      </c>
      <c r="F7" s="67" t="s">
        <v>807</v>
      </c>
      <c r="G7" s="67" t="s">
        <v>67</v>
      </c>
      <c r="H7" s="68" t="s">
        <v>812</v>
      </c>
      <c r="I7" s="68" t="s">
        <v>813</v>
      </c>
      <c r="J7" s="67">
        <v>8</v>
      </c>
      <c r="K7" s="73" t="s">
        <v>768</v>
      </c>
      <c r="L7" s="11" t="s">
        <v>769</v>
      </c>
      <c r="M7" s="146" t="s">
        <v>171</v>
      </c>
      <c r="N7" s="7" t="s">
        <v>770</v>
      </c>
      <c r="O7" s="7" t="s">
        <v>771</v>
      </c>
      <c r="P7" s="12" t="s">
        <v>772</v>
      </c>
      <c r="Q7" s="71" t="s">
        <v>773</v>
      </c>
      <c r="R7" s="71"/>
      <c r="S7" s="71" t="s">
        <v>774</v>
      </c>
      <c r="T7" s="71"/>
      <c r="U7" s="71"/>
      <c r="V7" s="71" t="s">
        <v>771</v>
      </c>
      <c r="W7" s="71" t="s">
        <v>171</v>
      </c>
      <c r="X7" s="71" t="s">
        <v>775</v>
      </c>
      <c r="Y7" s="71" t="s">
        <v>776</v>
      </c>
      <c r="Z7" s="2" t="s">
        <v>777</v>
      </c>
      <c r="AA7" s="2" t="s">
        <v>778</v>
      </c>
      <c r="AB7" s="2" t="s">
        <v>779</v>
      </c>
      <c r="AC7" s="2" t="s">
        <v>780</v>
      </c>
      <c r="AD7" s="2" t="s">
        <v>781</v>
      </c>
      <c r="AE7" s="2" t="s">
        <v>171</v>
      </c>
      <c r="AF7" s="2" t="s">
        <v>782</v>
      </c>
      <c r="AG7" s="2" t="s">
        <v>781</v>
      </c>
      <c r="AH7" s="111">
        <v>0</v>
      </c>
      <c r="AI7" s="111">
        <v>0</v>
      </c>
      <c r="AJ7" s="111">
        <f t="shared" si="0"/>
        <v>0</v>
      </c>
      <c r="AK7" s="111">
        <f t="shared" si="1"/>
        <v>0</v>
      </c>
      <c r="AL7" s="2" t="s">
        <v>171</v>
      </c>
      <c r="AM7" s="2" t="s">
        <v>783</v>
      </c>
      <c r="AN7" s="2" t="s">
        <v>784</v>
      </c>
      <c r="AO7" s="2" t="s">
        <v>785</v>
      </c>
    </row>
    <row r="8" spans="1:41" ht="45.95" customHeight="1" x14ac:dyDescent="0.25">
      <c r="A8" s="67" t="s">
        <v>814</v>
      </c>
      <c r="B8" s="67" t="s">
        <v>7</v>
      </c>
      <c r="C8" s="67" t="s">
        <v>6</v>
      </c>
      <c r="D8" s="68" t="s">
        <v>815</v>
      </c>
      <c r="E8" s="67" t="s">
        <v>764</v>
      </c>
      <c r="F8" s="67" t="s">
        <v>807</v>
      </c>
      <c r="G8" s="67" t="s">
        <v>67</v>
      </c>
      <c r="H8" s="68" t="s">
        <v>816</v>
      </c>
      <c r="I8" s="68" t="s">
        <v>817</v>
      </c>
      <c r="J8" s="67">
        <v>10</v>
      </c>
      <c r="K8" s="73" t="s">
        <v>768</v>
      </c>
      <c r="L8" s="11" t="s">
        <v>769</v>
      </c>
      <c r="M8" s="146" t="s">
        <v>171</v>
      </c>
      <c r="N8" s="7" t="s">
        <v>770</v>
      </c>
      <c r="O8" s="7" t="s">
        <v>771</v>
      </c>
      <c r="P8" s="12" t="s">
        <v>772</v>
      </c>
      <c r="Q8" s="71" t="s">
        <v>773</v>
      </c>
      <c r="R8" s="71"/>
      <c r="S8" s="71" t="s">
        <v>774</v>
      </c>
      <c r="T8" s="71"/>
      <c r="U8" s="71"/>
      <c r="V8" s="71" t="s">
        <v>771</v>
      </c>
      <c r="W8" s="71" t="s">
        <v>171</v>
      </c>
      <c r="X8" s="71" t="s">
        <v>775</v>
      </c>
      <c r="Y8" s="71" t="s">
        <v>776</v>
      </c>
      <c r="Z8" s="2" t="s">
        <v>777</v>
      </c>
      <c r="AA8" s="2" t="s">
        <v>778</v>
      </c>
      <c r="AB8" s="2" t="s">
        <v>779</v>
      </c>
      <c r="AC8" s="2" t="s">
        <v>780</v>
      </c>
      <c r="AD8" s="2" t="s">
        <v>781</v>
      </c>
      <c r="AE8" s="2" t="s">
        <v>171</v>
      </c>
      <c r="AF8" s="2" t="s">
        <v>782</v>
      </c>
      <c r="AG8" s="2" t="s">
        <v>781</v>
      </c>
      <c r="AH8" s="111">
        <v>0</v>
      </c>
      <c r="AI8" s="111">
        <v>0</v>
      </c>
      <c r="AJ8" s="111">
        <f t="shared" si="0"/>
        <v>0</v>
      </c>
      <c r="AK8" s="111">
        <f t="shared" si="1"/>
        <v>0</v>
      </c>
      <c r="AL8" s="2" t="s">
        <v>171</v>
      </c>
      <c r="AM8" s="2" t="s">
        <v>783</v>
      </c>
      <c r="AN8" s="2" t="s">
        <v>784</v>
      </c>
      <c r="AO8" s="2" t="s">
        <v>785</v>
      </c>
    </row>
    <row r="9" spans="1:41" ht="45.95" customHeight="1" x14ac:dyDescent="0.25">
      <c r="A9" s="67" t="s">
        <v>818</v>
      </c>
      <c r="B9" s="67" t="s">
        <v>7</v>
      </c>
      <c r="C9" s="67" t="s">
        <v>6</v>
      </c>
      <c r="D9" s="68" t="s">
        <v>819</v>
      </c>
      <c r="E9" s="67" t="s">
        <v>820</v>
      </c>
      <c r="F9" s="67" t="s">
        <v>821</v>
      </c>
      <c r="G9" s="67" t="s">
        <v>67</v>
      </c>
      <c r="H9" s="68" t="s">
        <v>822</v>
      </c>
      <c r="I9" s="68" t="s">
        <v>823</v>
      </c>
      <c r="J9" s="67">
        <v>10</v>
      </c>
      <c r="K9" s="73" t="s">
        <v>768</v>
      </c>
      <c r="L9" s="11" t="s">
        <v>769</v>
      </c>
      <c r="M9" s="146" t="s">
        <v>171</v>
      </c>
      <c r="N9" s="7" t="s">
        <v>770</v>
      </c>
      <c r="O9" s="7" t="s">
        <v>771</v>
      </c>
      <c r="P9" s="12" t="s">
        <v>772</v>
      </c>
      <c r="Q9" s="71" t="s">
        <v>773</v>
      </c>
      <c r="R9" s="71"/>
      <c r="S9" s="71" t="s">
        <v>774</v>
      </c>
      <c r="T9" s="71"/>
      <c r="U9" s="71"/>
      <c r="V9" s="71" t="s">
        <v>771</v>
      </c>
      <c r="W9" s="71" t="s">
        <v>171</v>
      </c>
      <c r="X9" s="71" t="s">
        <v>775</v>
      </c>
      <c r="Y9" s="71" t="s">
        <v>776</v>
      </c>
      <c r="Z9" s="2" t="s">
        <v>777</v>
      </c>
      <c r="AA9" s="2" t="s">
        <v>778</v>
      </c>
      <c r="AB9" s="2" t="s">
        <v>779</v>
      </c>
      <c r="AC9" s="2" t="s">
        <v>780</v>
      </c>
      <c r="AD9" s="2" t="s">
        <v>781</v>
      </c>
      <c r="AE9" s="2" t="s">
        <v>171</v>
      </c>
      <c r="AF9" s="2" t="s">
        <v>782</v>
      </c>
      <c r="AG9" s="2" t="s">
        <v>781</v>
      </c>
      <c r="AH9" s="111">
        <v>0</v>
      </c>
      <c r="AI9" s="111">
        <v>0</v>
      </c>
      <c r="AJ9" s="111">
        <f t="shared" si="0"/>
        <v>0</v>
      </c>
      <c r="AK9" s="111">
        <f t="shared" si="1"/>
        <v>0</v>
      </c>
      <c r="AL9" s="2" t="s">
        <v>171</v>
      </c>
      <c r="AM9" s="2" t="s">
        <v>783</v>
      </c>
      <c r="AN9" s="2" t="s">
        <v>784</v>
      </c>
      <c r="AO9" s="2" t="s">
        <v>785</v>
      </c>
    </row>
    <row r="10" spans="1:41" ht="45.95" customHeight="1" x14ac:dyDescent="0.25">
      <c r="A10" s="67" t="s">
        <v>824</v>
      </c>
      <c r="B10" s="67" t="s">
        <v>7</v>
      </c>
      <c r="C10" s="67" t="s">
        <v>6</v>
      </c>
      <c r="D10" s="68" t="s">
        <v>825</v>
      </c>
      <c r="E10" s="67" t="s">
        <v>826</v>
      </c>
      <c r="F10" s="67" t="s">
        <v>827</v>
      </c>
      <c r="G10" s="67" t="s">
        <v>67</v>
      </c>
      <c r="H10" s="68" t="s">
        <v>828</v>
      </c>
      <c r="I10" s="68" t="s">
        <v>829</v>
      </c>
      <c r="J10" s="67">
        <v>6</v>
      </c>
      <c r="K10" s="73" t="s">
        <v>768</v>
      </c>
      <c r="L10" s="11" t="s">
        <v>769</v>
      </c>
      <c r="M10" s="146" t="s">
        <v>171</v>
      </c>
      <c r="N10" s="7" t="s">
        <v>770</v>
      </c>
      <c r="O10" s="7" t="s">
        <v>771</v>
      </c>
      <c r="P10" s="12" t="s">
        <v>772</v>
      </c>
      <c r="Q10" s="71" t="s">
        <v>773</v>
      </c>
      <c r="R10" s="71"/>
      <c r="S10" s="71" t="s">
        <v>774</v>
      </c>
      <c r="T10" s="71"/>
      <c r="U10" s="71"/>
      <c r="V10" s="71" t="s">
        <v>771</v>
      </c>
      <c r="W10" s="71" t="s">
        <v>171</v>
      </c>
      <c r="X10" s="71" t="s">
        <v>775</v>
      </c>
      <c r="Y10" s="71" t="s">
        <v>776</v>
      </c>
      <c r="Z10" s="2" t="s">
        <v>777</v>
      </c>
      <c r="AA10" s="2" t="s">
        <v>778</v>
      </c>
      <c r="AB10" s="2" t="s">
        <v>779</v>
      </c>
      <c r="AC10" s="2" t="s">
        <v>780</v>
      </c>
      <c r="AD10" s="2" t="s">
        <v>781</v>
      </c>
      <c r="AE10" s="2" t="s">
        <v>171</v>
      </c>
      <c r="AF10" s="2" t="s">
        <v>782</v>
      </c>
      <c r="AG10" s="2" t="s">
        <v>781</v>
      </c>
      <c r="AH10" s="111">
        <v>0</v>
      </c>
      <c r="AI10" s="111">
        <v>0</v>
      </c>
      <c r="AJ10" s="111">
        <f t="shared" si="0"/>
        <v>0</v>
      </c>
      <c r="AK10" s="111">
        <f t="shared" si="1"/>
        <v>0</v>
      </c>
      <c r="AL10" s="2" t="s">
        <v>171</v>
      </c>
      <c r="AM10" s="2" t="s">
        <v>783</v>
      </c>
      <c r="AN10" s="2" t="s">
        <v>784</v>
      </c>
      <c r="AO10" s="2" t="s">
        <v>785</v>
      </c>
    </row>
    <row r="11" spans="1:41" ht="45.95" customHeight="1" x14ac:dyDescent="0.25">
      <c r="A11" s="67" t="s">
        <v>830</v>
      </c>
      <c r="B11" s="67" t="s">
        <v>7</v>
      </c>
      <c r="C11" s="67" t="s">
        <v>6</v>
      </c>
      <c r="D11" s="68" t="s">
        <v>831</v>
      </c>
      <c r="E11" s="67" t="s">
        <v>832</v>
      </c>
      <c r="F11" s="67" t="s">
        <v>807</v>
      </c>
      <c r="G11" s="67" t="s">
        <v>67</v>
      </c>
      <c r="H11" s="68" t="s">
        <v>833</v>
      </c>
      <c r="I11" s="68" t="s">
        <v>834</v>
      </c>
      <c r="J11" s="67">
        <v>8</v>
      </c>
      <c r="K11" s="73" t="s">
        <v>768</v>
      </c>
      <c r="L11" s="11" t="s">
        <v>769</v>
      </c>
      <c r="M11" s="146" t="s">
        <v>171</v>
      </c>
      <c r="N11" s="7" t="s">
        <v>770</v>
      </c>
      <c r="O11" s="7" t="s">
        <v>771</v>
      </c>
      <c r="P11" s="12" t="s">
        <v>772</v>
      </c>
      <c r="Q11" s="71" t="s">
        <v>773</v>
      </c>
      <c r="R11" s="71"/>
      <c r="S11" s="71" t="s">
        <v>774</v>
      </c>
      <c r="T11" s="71"/>
      <c r="U11" s="71"/>
      <c r="V11" s="71" t="s">
        <v>771</v>
      </c>
      <c r="W11" s="71" t="s">
        <v>171</v>
      </c>
      <c r="X11" s="71" t="s">
        <v>775</v>
      </c>
      <c r="Y11" s="71" t="s">
        <v>776</v>
      </c>
      <c r="Z11" s="2" t="s">
        <v>777</v>
      </c>
      <c r="AA11" s="2" t="s">
        <v>778</v>
      </c>
      <c r="AB11" s="2" t="s">
        <v>779</v>
      </c>
      <c r="AC11" s="2" t="s">
        <v>780</v>
      </c>
      <c r="AD11" s="2" t="s">
        <v>781</v>
      </c>
      <c r="AE11" s="2" t="s">
        <v>171</v>
      </c>
      <c r="AF11" s="2" t="s">
        <v>782</v>
      </c>
      <c r="AG11" s="2" t="s">
        <v>781</v>
      </c>
      <c r="AH11" s="111">
        <v>0</v>
      </c>
      <c r="AI11" s="111">
        <v>0</v>
      </c>
      <c r="AJ11" s="111">
        <f t="shared" si="0"/>
        <v>0</v>
      </c>
      <c r="AK11" s="111">
        <f t="shared" si="1"/>
        <v>0</v>
      </c>
      <c r="AL11" s="2" t="s">
        <v>171</v>
      </c>
      <c r="AM11" s="2" t="s">
        <v>783</v>
      </c>
      <c r="AN11" s="2" t="s">
        <v>784</v>
      </c>
      <c r="AO11" s="2" t="s">
        <v>785</v>
      </c>
    </row>
    <row r="12" spans="1:41" ht="45.95" customHeight="1" x14ac:dyDescent="0.25">
      <c r="A12" s="67" t="s">
        <v>835</v>
      </c>
      <c r="B12" s="67" t="s">
        <v>7</v>
      </c>
      <c r="C12" s="67" t="s">
        <v>6</v>
      </c>
      <c r="D12" s="68" t="s">
        <v>836</v>
      </c>
      <c r="E12" s="67" t="s">
        <v>820</v>
      </c>
      <c r="F12" s="67" t="s">
        <v>837</v>
      </c>
      <c r="G12" s="67" t="s">
        <v>68</v>
      </c>
      <c r="H12" s="68" t="s">
        <v>838</v>
      </c>
      <c r="I12" s="68" t="s">
        <v>839</v>
      </c>
      <c r="J12" s="67">
        <v>6</v>
      </c>
      <c r="K12" s="73" t="s">
        <v>768</v>
      </c>
      <c r="L12" s="11" t="s">
        <v>769</v>
      </c>
      <c r="M12" s="146" t="s">
        <v>171</v>
      </c>
      <c r="N12" s="7" t="s">
        <v>770</v>
      </c>
      <c r="O12" s="7" t="s">
        <v>771</v>
      </c>
      <c r="P12" s="12" t="s">
        <v>772</v>
      </c>
      <c r="Q12" s="71" t="s">
        <v>773</v>
      </c>
      <c r="R12" s="71"/>
      <c r="S12" s="71" t="s">
        <v>774</v>
      </c>
      <c r="T12" s="71"/>
      <c r="U12" s="71"/>
      <c r="V12" s="71" t="s">
        <v>771</v>
      </c>
      <c r="W12" s="71" t="s">
        <v>171</v>
      </c>
      <c r="X12" s="71" t="s">
        <v>775</v>
      </c>
      <c r="Y12" s="71" t="s">
        <v>776</v>
      </c>
      <c r="Z12" s="2" t="s">
        <v>777</v>
      </c>
      <c r="AA12" s="2" t="s">
        <v>778</v>
      </c>
      <c r="AB12" s="2" t="s">
        <v>779</v>
      </c>
      <c r="AC12" s="2" t="s">
        <v>780</v>
      </c>
      <c r="AD12" s="2" t="s">
        <v>781</v>
      </c>
      <c r="AE12" s="2" t="s">
        <v>171</v>
      </c>
      <c r="AF12" s="2" t="s">
        <v>782</v>
      </c>
      <c r="AG12" s="2" t="s">
        <v>781</v>
      </c>
      <c r="AH12" s="111">
        <v>0</v>
      </c>
      <c r="AI12" s="111">
        <v>0</v>
      </c>
      <c r="AJ12" s="111">
        <f t="shared" si="0"/>
        <v>0</v>
      </c>
      <c r="AK12" s="111">
        <f t="shared" si="1"/>
        <v>0</v>
      </c>
      <c r="AL12" s="2" t="s">
        <v>171</v>
      </c>
      <c r="AM12" s="2" t="s">
        <v>783</v>
      </c>
      <c r="AN12" s="2" t="s">
        <v>784</v>
      </c>
      <c r="AO12" s="2" t="s">
        <v>785</v>
      </c>
    </row>
    <row r="13" spans="1:41" ht="45.95" customHeight="1" x14ac:dyDescent="0.25">
      <c r="A13" s="67" t="s">
        <v>840</v>
      </c>
      <c r="B13" s="67" t="s">
        <v>7</v>
      </c>
      <c r="C13" s="67" t="s">
        <v>6</v>
      </c>
      <c r="D13" s="68" t="s">
        <v>841</v>
      </c>
      <c r="E13" s="67" t="s">
        <v>788</v>
      </c>
      <c r="F13" s="67" t="s">
        <v>842</v>
      </c>
      <c r="G13" s="67" t="s">
        <v>67</v>
      </c>
      <c r="H13" s="68" t="s">
        <v>843</v>
      </c>
      <c r="I13" s="68" t="s">
        <v>844</v>
      </c>
      <c r="J13" s="67">
        <v>6</v>
      </c>
      <c r="K13" s="73" t="s">
        <v>768</v>
      </c>
      <c r="L13" s="11" t="s">
        <v>769</v>
      </c>
      <c r="M13" s="146" t="s">
        <v>171</v>
      </c>
      <c r="N13" s="7" t="s">
        <v>770</v>
      </c>
      <c r="O13" s="7" t="s">
        <v>771</v>
      </c>
      <c r="P13" s="12" t="s">
        <v>772</v>
      </c>
      <c r="Q13" s="71" t="s">
        <v>773</v>
      </c>
      <c r="R13" s="71"/>
      <c r="S13" s="71" t="s">
        <v>774</v>
      </c>
      <c r="T13" s="71"/>
      <c r="U13" s="71"/>
      <c r="V13" s="71" t="s">
        <v>771</v>
      </c>
      <c r="W13" s="71" t="s">
        <v>171</v>
      </c>
      <c r="X13" s="71" t="s">
        <v>775</v>
      </c>
      <c r="Y13" s="71" t="s">
        <v>776</v>
      </c>
      <c r="Z13" s="2" t="s">
        <v>777</v>
      </c>
      <c r="AA13" s="2" t="s">
        <v>778</v>
      </c>
      <c r="AB13" s="2" t="s">
        <v>779</v>
      </c>
      <c r="AC13" s="2" t="s">
        <v>780</v>
      </c>
      <c r="AD13" s="2" t="s">
        <v>781</v>
      </c>
      <c r="AE13" s="2" t="s">
        <v>171</v>
      </c>
      <c r="AF13" s="2" t="s">
        <v>782</v>
      </c>
      <c r="AG13" s="2" t="s">
        <v>781</v>
      </c>
      <c r="AH13" s="111">
        <v>0</v>
      </c>
      <c r="AI13" s="111">
        <v>0</v>
      </c>
      <c r="AJ13" s="111">
        <f t="shared" si="0"/>
        <v>0</v>
      </c>
      <c r="AK13" s="111">
        <f t="shared" si="1"/>
        <v>0</v>
      </c>
      <c r="AL13" s="2" t="s">
        <v>171</v>
      </c>
      <c r="AM13" s="2" t="s">
        <v>783</v>
      </c>
      <c r="AN13" s="2" t="s">
        <v>784</v>
      </c>
      <c r="AO13" s="2" t="s">
        <v>785</v>
      </c>
    </row>
    <row r="14" spans="1:41" ht="45.95" customHeight="1" x14ac:dyDescent="0.25">
      <c r="A14" s="67" t="s">
        <v>845</v>
      </c>
      <c r="B14" s="67" t="s">
        <v>7</v>
      </c>
      <c r="C14" s="67" t="s">
        <v>10</v>
      </c>
      <c r="D14" s="68" t="s">
        <v>846</v>
      </c>
      <c r="E14" s="67" t="s">
        <v>806</v>
      </c>
      <c r="F14" s="67" t="s">
        <v>847</v>
      </c>
      <c r="G14" s="67" t="s">
        <v>67</v>
      </c>
      <c r="H14" s="68" t="s">
        <v>848</v>
      </c>
      <c r="I14" s="68" t="s">
        <v>849</v>
      </c>
      <c r="J14" s="67">
        <v>8</v>
      </c>
      <c r="K14" s="73" t="s">
        <v>768</v>
      </c>
      <c r="L14" s="11" t="s">
        <v>769</v>
      </c>
      <c r="M14" s="146" t="s">
        <v>171</v>
      </c>
      <c r="N14" s="7" t="s">
        <v>770</v>
      </c>
      <c r="O14" s="7" t="s">
        <v>771</v>
      </c>
      <c r="P14" s="12" t="s">
        <v>772</v>
      </c>
      <c r="Q14" s="71" t="s">
        <v>773</v>
      </c>
      <c r="R14" s="71"/>
      <c r="S14" s="71" t="s">
        <v>774</v>
      </c>
      <c r="T14" s="71"/>
      <c r="U14" s="71"/>
      <c r="V14" s="71" t="s">
        <v>771</v>
      </c>
      <c r="W14" s="71" t="s">
        <v>171</v>
      </c>
      <c r="X14" s="71" t="s">
        <v>775</v>
      </c>
      <c r="Y14" s="71" t="s">
        <v>776</v>
      </c>
      <c r="Z14" s="2" t="s">
        <v>777</v>
      </c>
      <c r="AA14" s="2" t="s">
        <v>778</v>
      </c>
      <c r="AB14" s="2" t="s">
        <v>779</v>
      </c>
      <c r="AC14" s="2" t="s">
        <v>780</v>
      </c>
      <c r="AD14" s="2" t="s">
        <v>781</v>
      </c>
      <c r="AE14" s="2" t="s">
        <v>171</v>
      </c>
      <c r="AF14" s="2" t="s">
        <v>782</v>
      </c>
      <c r="AG14" s="2" t="s">
        <v>781</v>
      </c>
      <c r="AH14" s="111">
        <v>0</v>
      </c>
      <c r="AI14" s="111">
        <v>0</v>
      </c>
      <c r="AJ14" s="111">
        <f t="shared" si="0"/>
        <v>0</v>
      </c>
      <c r="AK14" s="111">
        <f t="shared" si="1"/>
        <v>0</v>
      </c>
      <c r="AL14" s="2" t="s">
        <v>171</v>
      </c>
      <c r="AM14" s="2" t="s">
        <v>783</v>
      </c>
      <c r="AN14" s="2" t="s">
        <v>784</v>
      </c>
      <c r="AO14" s="2" t="s">
        <v>785</v>
      </c>
    </row>
    <row r="15" spans="1:41" ht="45.95" customHeight="1" x14ac:dyDescent="0.25">
      <c r="A15" s="67" t="s">
        <v>850</v>
      </c>
      <c r="B15" s="67" t="s">
        <v>7</v>
      </c>
      <c r="C15" s="67" t="s">
        <v>10</v>
      </c>
      <c r="D15" s="68" t="s">
        <v>851</v>
      </c>
      <c r="E15" s="67" t="s">
        <v>806</v>
      </c>
      <c r="F15" s="67" t="s">
        <v>847</v>
      </c>
      <c r="G15" s="67" t="s">
        <v>67</v>
      </c>
      <c r="H15" s="68" t="s">
        <v>852</v>
      </c>
      <c r="I15" s="68" t="s">
        <v>853</v>
      </c>
      <c r="J15" s="67">
        <v>8</v>
      </c>
      <c r="K15" s="73" t="s">
        <v>768</v>
      </c>
      <c r="L15" s="11" t="s">
        <v>769</v>
      </c>
      <c r="M15" s="146" t="s">
        <v>171</v>
      </c>
      <c r="N15" s="7" t="s">
        <v>770</v>
      </c>
      <c r="O15" s="7" t="s">
        <v>771</v>
      </c>
      <c r="P15" s="12" t="s">
        <v>772</v>
      </c>
      <c r="Q15" s="71" t="s">
        <v>773</v>
      </c>
      <c r="R15" s="71"/>
      <c r="S15" s="71" t="s">
        <v>774</v>
      </c>
      <c r="T15" s="71"/>
      <c r="U15" s="71"/>
      <c r="V15" s="71" t="s">
        <v>771</v>
      </c>
      <c r="W15" s="71" t="s">
        <v>171</v>
      </c>
      <c r="X15" s="71" t="s">
        <v>775</v>
      </c>
      <c r="Y15" s="71" t="s">
        <v>776</v>
      </c>
      <c r="Z15" s="2" t="s">
        <v>777</v>
      </c>
      <c r="AA15" s="2" t="s">
        <v>778</v>
      </c>
      <c r="AB15" s="2" t="s">
        <v>779</v>
      </c>
      <c r="AC15" s="2" t="s">
        <v>780</v>
      </c>
      <c r="AD15" s="2" t="s">
        <v>781</v>
      </c>
      <c r="AE15" s="2" t="s">
        <v>171</v>
      </c>
      <c r="AF15" s="2" t="s">
        <v>782</v>
      </c>
      <c r="AG15" s="2" t="s">
        <v>781</v>
      </c>
      <c r="AH15" s="111">
        <v>0</v>
      </c>
      <c r="AI15" s="111">
        <v>0</v>
      </c>
      <c r="AJ15" s="111">
        <f t="shared" si="0"/>
        <v>0</v>
      </c>
      <c r="AK15" s="111">
        <f t="shared" si="1"/>
        <v>0</v>
      </c>
      <c r="AL15" s="2" t="s">
        <v>171</v>
      </c>
      <c r="AM15" s="2" t="s">
        <v>783</v>
      </c>
      <c r="AN15" s="2" t="s">
        <v>784</v>
      </c>
      <c r="AO15" s="2" t="s">
        <v>785</v>
      </c>
    </row>
    <row r="16" spans="1:41" ht="45.95" customHeight="1" x14ac:dyDescent="0.25">
      <c r="A16" s="67" t="s">
        <v>854</v>
      </c>
      <c r="B16" s="67" t="s">
        <v>7</v>
      </c>
      <c r="C16" s="67" t="s">
        <v>10</v>
      </c>
      <c r="D16" s="68" t="s">
        <v>855</v>
      </c>
      <c r="E16" s="67" t="s">
        <v>764</v>
      </c>
      <c r="F16" s="67" t="s">
        <v>847</v>
      </c>
      <c r="G16" s="67" t="s">
        <v>67</v>
      </c>
      <c r="H16" s="68" t="s">
        <v>856</v>
      </c>
      <c r="I16" s="68" t="s">
        <v>857</v>
      </c>
      <c r="J16" s="67">
        <v>8</v>
      </c>
      <c r="K16" s="73" t="s">
        <v>768</v>
      </c>
      <c r="L16" s="11" t="s">
        <v>769</v>
      </c>
      <c r="M16" s="146" t="s">
        <v>171</v>
      </c>
      <c r="N16" s="7" t="s">
        <v>770</v>
      </c>
      <c r="O16" s="7" t="s">
        <v>771</v>
      </c>
      <c r="P16" s="12" t="s">
        <v>772</v>
      </c>
      <c r="Q16" s="71" t="s">
        <v>773</v>
      </c>
      <c r="R16" s="71"/>
      <c r="S16" s="71" t="s">
        <v>774</v>
      </c>
      <c r="T16" s="71"/>
      <c r="U16" s="71"/>
      <c r="V16" s="71" t="s">
        <v>771</v>
      </c>
      <c r="W16" s="71" t="s">
        <v>171</v>
      </c>
      <c r="X16" s="71" t="s">
        <v>775</v>
      </c>
      <c r="Y16" s="71" t="s">
        <v>776</v>
      </c>
      <c r="Z16" s="2" t="s">
        <v>777</v>
      </c>
      <c r="AA16" s="2" t="s">
        <v>778</v>
      </c>
      <c r="AB16" s="2" t="s">
        <v>779</v>
      </c>
      <c r="AC16" s="2" t="s">
        <v>780</v>
      </c>
      <c r="AD16" s="2" t="s">
        <v>781</v>
      </c>
      <c r="AE16" s="2" t="s">
        <v>171</v>
      </c>
      <c r="AF16" s="2" t="s">
        <v>782</v>
      </c>
      <c r="AG16" s="2" t="s">
        <v>781</v>
      </c>
      <c r="AH16" s="111">
        <v>0</v>
      </c>
      <c r="AI16" s="111">
        <v>0</v>
      </c>
      <c r="AJ16" s="111">
        <f t="shared" si="0"/>
        <v>0</v>
      </c>
      <c r="AK16" s="111">
        <f t="shared" si="1"/>
        <v>0</v>
      </c>
      <c r="AL16" s="2" t="s">
        <v>171</v>
      </c>
      <c r="AM16" s="2" t="s">
        <v>783</v>
      </c>
      <c r="AN16" s="2" t="s">
        <v>784</v>
      </c>
      <c r="AO16" s="2" t="s">
        <v>785</v>
      </c>
    </row>
    <row r="17" spans="1:41" ht="45.95" customHeight="1" x14ac:dyDescent="0.25">
      <c r="A17" s="67" t="s">
        <v>858</v>
      </c>
      <c r="B17" s="67" t="s">
        <v>7</v>
      </c>
      <c r="C17" s="67" t="s">
        <v>10</v>
      </c>
      <c r="D17" s="68" t="s">
        <v>859</v>
      </c>
      <c r="E17" s="67" t="s">
        <v>806</v>
      </c>
      <c r="F17" s="67" t="s">
        <v>847</v>
      </c>
      <c r="G17" s="67" t="s">
        <v>67</v>
      </c>
      <c r="H17" s="68" t="s">
        <v>860</v>
      </c>
      <c r="I17" s="68" t="s">
        <v>861</v>
      </c>
      <c r="J17" s="67">
        <v>10</v>
      </c>
      <c r="K17" s="73" t="s">
        <v>768</v>
      </c>
      <c r="L17" s="11" t="s">
        <v>769</v>
      </c>
      <c r="M17" s="146" t="s">
        <v>171</v>
      </c>
      <c r="N17" s="7" t="s">
        <v>770</v>
      </c>
      <c r="O17" s="7" t="s">
        <v>771</v>
      </c>
      <c r="P17" s="12" t="s">
        <v>772</v>
      </c>
      <c r="Q17" s="71" t="s">
        <v>773</v>
      </c>
      <c r="R17" s="71"/>
      <c r="S17" s="71" t="s">
        <v>774</v>
      </c>
      <c r="T17" s="71"/>
      <c r="U17" s="71"/>
      <c r="V17" s="71" t="s">
        <v>771</v>
      </c>
      <c r="W17" s="71" t="s">
        <v>171</v>
      </c>
      <c r="X17" s="71" t="s">
        <v>775</v>
      </c>
      <c r="Y17" s="71" t="s">
        <v>776</v>
      </c>
      <c r="Z17" s="2" t="s">
        <v>777</v>
      </c>
      <c r="AA17" s="2" t="s">
        <v>778</v>
      </c>
      <c r="AB17" s="2" t="s">
        <v>779</v>
      </c>
      <c r="AC17" s="2" t="s">
        <v>780</v>
      </c>
      <c r="AD17" s="2" t="s">
        <v>781</v>
      </c>
      <c r="AE17" s="2" t="s">
        <v>171</v>
      </c>
      <c r="AF17" s="2" t="s">
        <v>782</v>
      </c>
      <c r="AG17" s="2" t="s">
        <v>781</v>
      </c>
      <c r="AH17" s="111">
        <v>0</v>
      </c>
      <c r="AI17" s="111">
        <v>0</v>
      </c>
      <c r="AJ17" s="111">
        <f t="shared" si="0"/>
        <v>0</v>
      </c>
      <c r="AK17" s="111">
        <f t="shared" si="1"/>
        <v>0</v>
      </c>
      <c r="AL17" s="2" t="s">
        <v>171</v>
      </c>
      <c r="AM17" s="2" t="s">
        <v>783</v>
      </c>
      <c r="AN17" s="2" t="s">
        <v>784</v>
      </c>
      <c r="AO17" s="2" t="s">
        <v>785</v>
      </c>
    </row>
    <row r="18" spans="1:41" ht="45.95" customHeight="1" x14ac:dyDescent="0.25">
      <c r="A18" s="67" t="s">
        <v>862</v>
      </c>
      <c r="B18" s="67" t="s">
        <v>7</v>
      </c>
      <c r="C18" s="67" t="s">
        <v>10</v>
      </c>
      <c r="D18" s="68" t="s">
        <v>863</v>
      </c>
      <c r="E18" s="67" t="s">
        <v>806</v>
      </c>
      <c r="F18" s="67" t="s">
        <v>847</v>
      </c>
      <c r="G18" s="67" t="s">
        <v>67</v>
      </c>
      <c r="H18" s="68" t="s">
        <v>864</v>
      </c>
      <c r="I18" s="68" t="s">
        <v>865</v>
      </c>
      <c r="J18" s="67">
        <v>8</v>
      </c>
      <c r="K18" s="73" t="s">
        <v>768</v>
      </c>
      <c r="L18" s="11" t="s">
        <v>769</v>
      </c>
      <c r="M18" s="146" t="s">
        <v>171</v>
      </c>
      <c r="N18" s="7" t="s">
        <v>770</v>
      </c>
      <c r="O18" s="7" t="s">
        <v>771</v>
      </c>
      <c r="P18" s="12" t="s">
        <v>772</v>
      </c>
      <c r="Q18" s="71" t="s">
        <v>773</v>
      </c>
      <c r="R18" s="71"/>
      <c r="S18" s="71" t="s">
        <v>774</v>
      </c>
      <c r="T18" s="71"/>
      <c r="U18" s="71"/>
      <c r="V18" s="71" t="s">
        <v>771</v>
      </c>
      <c r="W18" s="71" t="s">
        <v>171</v>
      </c>
      <c r="X18" s="71" t="s">
        <v>775</v>
      </c>
      <c r="Y18" s="71" t="s">
        <v>776</v>
      </c>
      <c r="Z18" s="2" t="s">
        <v>777</v>
      </c>
      <c r="AA18" s="2" t="s">
        <v>778</v>
      </c>
      <c r="AB18" s="2" t="s">
        <v>779</v>
      </c>
      <c r="AC18" s="2" t="s">
        <v>780</v>
      </c>
      <c r="AD18" s="2" t="s">
        <v>781</v>
      </c>
      <c r="AE18" s="2" t="s">
        <v>171</v>
      </c>
      <c r="AF18" s="2" t="s">
        <v>782</v>
      </c>
      <c r="AG18" s="2" t="s">
        <v>781</v>
      </c>
      <c r="AH18" s="111">
        <v>0</v>
      </c>
      <c r="AI18" s="111">
        <v>0</v>
      </c>
      <c r="AJ18" s="111">
        <f t="shared" si="0"/>
        <v>0</v>
      </c>
      <c r="AK18" s="111">
        <f t="shared" si="1"/>
        <v>0</v>
      </c>
      <c r="AL18" s="2" t="s">
        <v>171</v>
      </c>
      <c r="AM18" s="2" t="s">
        <v>783</v>
      </c>
      <c r="AN18" s="2" t="s">
        <v>784</v>
      </c>
      <c r="AO18" s="2" t="s">
        <v>785</v>
      </c>
    </row>
    <row r="19" spans="1:41" ht="45.95" customHeight="1" x14ac:dyDescent="0.25">
      <c r="A19" s="67" t="s">
        <v>866</v>
      </c>
      <c r="B19" s="67" t="s">
        <v>7</v>
      </c>
      <c r="C19" s="67" t="s">
        <v>10</v>
      </c>
      <c r="D19" s="68" t="s">
        <v>867</v>
      </c>
      <c r="E19" s="67" t="s">
        <v>806</v>
      </c>
      <c r="F19" s="67" t="s">
        <v>847</v>
      </c>
      <c r="G19" s="67" t="s">
        <v>67</v>
      </c>
      <c r="H19" s="68" t="s">
        <v>868</v>
      </c>
      <c r="I19" s="68" t="s">
        <v>869</v>
      </c>
      <c r="J19" s="67">
        <v>6</v>
      </c>
      <c r="K19" s="73" t="s">
        <v>768</v>
      </c>
      <c r="L19" s="11" t="s">
        <v>769</v>
      </c>
      <c r="M19" s="146" t="s">
        <v>171</v>
      </c>
      <c r="N19" s="7" t="s">
        <v>770</v>
      </c>
      <c r="O19" s="7" t="s">
        <v>771</v>
      </c>
      <c r="P19" s="12" t="s">
        <v>772</v>
      </c>
      <c r="Q19" s="71" t="s">
        <v>773</v>
      </c>
      <c r="R19" s="71"/>
      <c r="S19" s="71" t="s">
        <v>774</v>
      </c>
      <c r="T19" s="71"/>
      <c r="U19" s="71"/>
      <c r="V19" s="71" t="s">
        <v>771</v>
      </c>
      <c r="W19" s="71" t="s">
        <v>171</v>
      </c>
      <c r="X19" s="71" t="s">
        <v>775</v>
      </c>
      <c r="Y19" s="71" t="s">
        <v>776</v>
      </c>
      <c r="Z19" s="2" t="s">
        <v>777</v>
      </c>
      <c r="AA19" s="2" t="s">
        <v>778</v>
      </c>
      <c r="AB19" s="2" t="s">
        <v>779</v>
      </c>
      <c r="AC19" s="2" t="s">
        <v>780</v>
      </c>
      <c r="AD19" s="2" t="s">
        <v>781</v>
      </c>
      <c r="AE19" s="2" t="s">
        <v>171</v>
      </c>
      <c r="AF19" s="2" t="s">
        <v>782</v>
      </c>
      <c r="AG19" s="2" t="s">
        <v>781</v>
      </c>
      <c r="AH19" s="111">
        <v>0</v>
      </c>
      <c r="AI19" s="111">
        <v>0</v>
      </c>
      <c r="AJ19" s="111">
        <f t="shared" si="0"/>
        <v>0</v>
      </c>
      <c r="AK19" s="111">
        <f t="shared" si="1"/>
        <v>0</v>
      </c>
      <c r="AL19" s="2" t="s">
        <v>171</v>
      </c>
      <c r="AM19" s="2" t="s">
        <v>783</v>
      </c>
      <c r="AN19" s="2" t="s">
        <v>784</v>
      </c>
      <c r="AO19" s="2" t="s">
        <v>785</v>
      </c>
    </row>
    <row r="20" spans="1:41" ht="45.95" customHeight="1" x14ac:dyDescent="0.25">
      <c r="A20" s="67" t="s">
        <v>870</v>
      </c>
      <c r="B20" s="67" t="s">
        <v>7</v>
      </c>
      <c r="C20" s="67" t="s">
        <v>10</v>
      </c>
      <c r="D20" s="68" t="s">
        <v>871</v>
      </c>
      <c r="E20" s="67" t="s">
        <v>806</v>
      </c>
      <c r="F20" s="67" t="s">
        <v>847</v>
      </c>
      <c r="G20" s="67" t="s">
        <v>68</v>
      </c>
      <c r="H20" s="68" t="s">
        <v>872</v>
      </c>
      <c r="I20" s="68" t="s">
        <v>873</v>
      </c>
      <c r="J20" s="67">
        <v>6</v>
      </c>
      <c r="K20" s="73" t="s">
        <v>768</v>
      </c>
      <c r="L20" s="11" t="s">
        <v>769</v>
      </c>
      <c r="M20" s="146" t="s">
        <v>171</v>
      </c>
      <c r="N20" s="7" t="s">
        <v>770</v>
      </c>
      <c r="O20" s="7" t="s">
        <v>771</v>
      </c>
      <c r="P20" s="12" t="s">
        <v>772</v>
      </c>
      <c r="Q20" s="71" t="s">
        <v>773</v>
      </c>
      <c r="R20" s="71"/>
      <c r="S20" s="71" t="s">
        <v>774</v>
      </c>
      <c r="T20" s="71"/>
      <c r="U20" s="71"/>
      <c r="V20" s="71" t="s">
        <v>771</v>
      </c>
      <c r="W20" s="71" t="s">
        <v>171</v>
      </c>
      <c r="X20" s="71" t="s">
        <v>775</v>
      </c>
      <c r="Y20" s="71" t="s">
        <v>776</v>
      </c>
      <c r="Z20" s="2" t="s">
        <v>777</v>
      </c>
      <c r="AA20" s="2" t="s">
        <v>778</v>
      </c>
      <c r="AB20" s="2" t="s">
        <v>779</v>
      </c>
      <c r="AC20" s="2" t="s">
        <v>780</v>
      </c>
      <c r="AD20" s="2" t="s">
        <v>781</v>
      </c>
      <c r="AE20" s="2" t="s">
        <v>171</v>
      </c>
      <c r="AF20" s="2" t="s">
        <v>782</v>
      </c>
      <c r="AG20" s="2" t="s">
        <v>781</v>
      </c>
      <c r="AH20" s="111">
        <v>0</v>
      </c>
      <c r="AI20" s="111">
        <v>0</v>
      </c>
      <c r="AJ20" s="111">
        <f t="shared" si="0"/>
        <v>0</v>
      </c>
      <c r="AK20" s="111">
        <f t="shared" si="1"/>
        <v>0</v>
      </c>
      <c r="AL20" s="2" t="s">
        <v>171</v>
      </c>
      <c r="AM20" s="2" t="s">
        <v>783</v>
      </c>
      <c r="AN20" s="2" t="s">
        <v>784</v>
      </c>
      <c r="AO20" s="2" t="s">
        <v>785</v>
      </c>
    </row>
    <row r="21" spans="1:41" ht="45.95" customHeight="1" x14ac:dyDescent="0.25">
      <c r="A21" s="67" t="s">
        <v>874</v>
      </c>
      <c r="B21" s="67" t="s">
        <v>7</v>
      </c>
      <c r="C21" s="67" t="s">
        <v>10</v>
      </c>
      <c r="D21" s="68" t="s">
        <v>875</v>
      </c>
      <c r="E21" s="67" t="s">
        <v>806</v>
      </c>
      <c r="F21" s="67" t="s">
        <v>847</v>
      </c>
      <c r="G21" s="67" t="s">
        <v>68</v>
      </c>
      <c r="H21" s="68" t="s">
        <v>876</v>
      </c>
      <c r="I21" s="68" t="s">
        <v>877</v>
      </c>
      <c r="J21" s="67">
        <v>6</v>
      </c>
      <c r="K21" s="73" t="s">
        <v>768</v>
      </c>
      <c r="L21" s="11" t="s">
        <v>769</v>
      </c>
      <c r="M21" s="146" t="s">
        <v>171</v>
      </c>
      <c r="N21" s="7" t="s">
        <v>770</v>
      </c>
      <c r="O21" s="7" t="s">
        <v>771</v>
      </c>
      <c r="P21" s="12" t="s">
        <v>772</v>
      </c>
      <c r="Q21" s="71" t="s">
        <v>773</v>
      </c>
      <c r="R21" s="71"/>
      <c r="S21" s="71" t="s">
        <v>774</v>
      </c>
      <c r="T21" s="71"/>
      <c r="U21" s="71"/>
      <c r="V21" s="71" t="s">
        <v>771</v>
      </c>
      <c r="W21" s="71" t="s">
        <v>171</v>
      </c>
      <c r="X21" s="71" t="s">
        <v>775</v>
      </c>
      <c r="Y21" s="71" t="s">
        <v>776</v>
      </c>
      <c r="Z21" s="2" t="s">
        <v>777</v>
      </c>
      <c r="AA21" s="2" t="s">
        <v>778</v>
      </c>
      <c r="AB21" s="2" t="s">
        <v>779</v>
      </c>
      <c r="AC21" s="2" t="s">
        <v>780</v>
      </c>
      <c r="AD21" s="2" t="s">
        <v>781</v>
      </c>
      <c r="AE21" s="2" t="s">
        <v>171</v>
      </c>
      <c r="AF21" s="2" t="s">
        <v>782</v>
      </c>
      <c r="AG21" s="2" t="s">
        <v>781</v>
      </c>
      <c r="AH21" s="111">
        <v>0</v>
      </c>
      <c r="AI21" s="111">
        <v>0</v>
      </c>
      <c r="AJ21" s="111">
        <f t="shared" si="0"/>
        <v>0</v>
      </c>
      <c r="AK21" s="111">
        <f t="shared" si="1"/>
        <v>0</v>
      </c>
      <c r="AL21" s="2" t="s">
        <v>171</v>
      </c>
      <c r="AM21" s="2" t="s">
        <v>783</v>
      </c>
      <c r="AN21" s="2" t="s">
        <v>784</v>
      </c>
      <c r="AO21" s="2" t="s">
        <v>785</v>
      </c>
    </row>
    <row r="22" spans="1:41" ht="45.95" customHeight="1" x14ac:dyDescent="0.25">
      <c r="A22" s="67" t="s">
        <v>878</v>
      </c>
      <c r="B22" s="67" t="s">
        <v>7</v>
      </c>
      <c r="C22" s="67" t="s">
        <v>10</v>
      </c>
      <c r="D22" s="68" t="s">
        <v>879</v>
      </c>
      <c r="E22" s="67" t="s">
        <v>806</v>
      </c>
      <c r="F22" s="67" t="s">
        <v>847</v>
      </c>
      <c r="G22" s="67" t="s">
        <v>801</v>
      </c>
      <c r="H22" s="68" t="s">
        <v>880</v>
      </c>
      <c r="I22" s="68" t="s">
        <v>881</v>
      </c>
      <c r="J22" s="67">
        <v>6</v>
      </c>
      <c r="K22" s="73" t="s">
        <v>768</v>
      </c>
      <c r="L22" s="11" t="s">
        <v>769</v>
      </c>
      <c r="M22" s="146" t="s">
        <v>171</v>
      </c>
      <c r="N22" s="7" t="s">
        <v>770</v>
      </c>
      <c r="O22" s="7" t="s">
        <v>771</v>
      </c>
      <c r="P22" s="12" t="s">
        <v>772</v>
      </c>
      <c r="Q22" s="71" t="s">
        <v>773</v>
      </c>
      <c r="R22" s="71"/>
      <c r="S22" s="71" t="s">
        <v>774</v>
      </c>
      <c r="T22" s="71"/>
      <c r="U22" s="71"/>
      <c r="V22" s="71" t="s">
        <v>771</v>
      </c>
      <c r="W22" s="71" t="s">
        <v>171</v>
      </c>
      <c r="X22" s="71" t="s">
        <v>775</v>
      </c>
      <c r="Y22" s="71" t="s">
        <v>776</v>
      </c>
      <c r="Z22" s="2" t="s">
        <v>777</v>
      </c>
      <c r="AA22" s="2" t="s">
        <v>778</v>
      </c>
      <c r="AB22" s="2" t="s">
        <v>779</v>
      </c>
      <c r="AC22" s="2" t="s">
        <v>780</v>
      </c>
      <c r="AD22" s="2" t="s">
        <v>781</v>
      </c>
      <c r="AE22" s="2" t="s">
        <v>171</v>
      </c>
      <c r="AF22" s="2" t="s">
        <v>782</v>
      </c>
      <c r="AG22" s="2" t="s">
        <v>781</v>
      </c>
      <c r="AH22" s="111">
        <v>0</v>
      </c>
      <c r="AI22" s="111">
        <v>0</v>
      </c>
      <c r="AJ22" s="111">
        <f t="shared" si="0"/>
        <v>0</v>
      </c>
      <c r="AK22" s="111">
        <f t="shared" si="1"/>
        <v>0</v>
      </c>
      <c r="AL22" s="2" t="s">
        <v>171</v>
      </c>
      <c r="AM22" s="2" t="s">
        <v>783</v>
      </c>
      <c r="AN22" s="2" t="s">
        <v>784</v>
      </c>
      <c r="AO22" s="2" t="s">
        <v>785</v>
      </c>
    </row>
    <row r="23" spans="1:41" ht="45.95" customHeight="1" x14ac:dyDescent="0.25">
      <c r="A23" s="67" t="s">
        <v>882</v>
      </c>
      <c r="B23" s="67" t="s">
        <v>7</v>
      </c>
      <c r="C23" s="67" t="s">
        <v>10</v>
      </c>
      <c r="D23" s="68" t="s">
        <v>883</v>
      </c>
      <c r="E23" s="67" t="s">
        <v>806</v>
      </c>
      <c r="F23" s="67" t="s">
        <v>847</v>
      </c>
      <c r="G23" s="67" t="s">
        <v>67</v>
      </c>
      <c r="H23" s="68" t="s">
        <v>884</v>
      </c>
      <c r="I23" s="68" t="s">
        <v>885</v>
      </c>
      <c r="J23" s="67">
        <v>8</v>
      </c>
      <c r="K23" s="73" t="s">
        <v>768</v>
      </c>
      <c r="L23" s="11" t="s">
        <v>769</v>
      </c>
      <c r="M23" s="146" t="s">
        <v>171</v>
      </c>
      <c r="N23" s="7" t="s">
        <v>770</v>
      </c>
      <c r="O23" s="7" t="s">
        <v>771</v>
      </c>
      <c r="P23" s="12" t="s">
        <v>772</v>
      </c>
      <c r="Q23" s="71" t="s">
        <v>773</v>
      </c>
      <c r="R23" s="71"/>
      <c r="S23" s="71" t="s">
        <v>774</v>
      </c>
      <c r="T23" s="71"/>
      <c r="U23" s="71"/>
      <c r="V23" s="71" t="s">
        <v>771</v>
      </c>
      <c r="W23" s="71" t="s">
        <v>171</v>
      </c>
      <c r="X23" s="71" t="s">
        <v>775</v>
      </c>
      <c r="Y23" s="71" t="s">
        <v>776</v>
      </c>
      <c r="Z23" s="2" t="s">
        <v>777</v>
      </c>
      <c r="AA23" s="2" t="s">
        <v>778</v>
      </c>
      <c r="AB23" s="2" t="s">
        <v>779</v>
      </c>
      <c r="AC23" s="2" t="s">
        <v>780</v>
      </c>
      <c r="AD23" s="2" t="s">
        <v>781</v>
      </c>
      <c r="AE23" s="2" t="s">
        <v>171</v>
      </c>
      <c r="AF23" s="2" t="s">
        <v>782</v>
      </c>
      <c r="AG23" s="2" t="s">
        <v>781</v>
      </c>
      <c r="AH23" s="111">
        <v>0</v>
      </c>
      <c r="AI23" s="111">
        <v>0</v>
      </c>
      <c r="AJ23" s="111">
        <f t="shared" si="0"/>
        <v>0</v>
      </c>
      <c r="AK23" s="111">
        <f t="shared" si="1"/>
        <v>0</v>
      </c>
      <c r="AL23" s="2" t="s">
        <v>171</v>
      </c>
      <c r="AM23" s="2" t="s">
        <v>783</v>
      </c>
      <c r="AN23" s="2" t="s">
        <v>784</v>
      </c>
      <c r="AO23" s="2" t="s">
        <v>785</v>
      </c>
    </row>
    <row r="24" spans="1:41" ht="45.95" customHeight="1" x14ac:dyDescent="0.25">
      <c r="A24" s="67" t="s">
        <v>886</v>
      </c>
      <c r="B24" s="67" t="s">
        <v>7</v>
      </c>
      <c r="C24" s="67" t="s">
        <v>10</v>
      </c>
      <c r="D24" s="68" t="s">
        <v>887</v>
      </c>
      <c r="E24" s="67" t="s">
        <v>806</v>
      </c>
      <c r="F24" s="67" t="s">
        <v>847</v>
      </c>
      <c r="G24" s="67" t="s">
        <v>67</v>
      </c>
      <c r="H24" s="68" t="s">
        <v>888</v>
      </c>
      <c r="I24" s="68" t="s">
        <v>889</v>
      </c>
      <c r="J24" s="67">
        <v>6</v>
      </c>
      <c r="K24" s="73" t="s">
        <v>768</v>
      </c>
      <c r="L24" s="11" t="s">
        <v>769</v>
      </c>
      <c r="M24" s="146" t="s">
        <v>171</v>
      </c>
      <c r="N24" s="7" t="s">
        <v>770</v>
      </c>
      <c r="O24" s="7" t="s">
        <v>771</v>
      </c>
      <c r="P24" s="12" t="s">
        <v>772</v>
      </c>
      <c r="Q24" s="71" t="s">
        <v>773</v>
      </c>
      <c r="R24" s="71"/>
      <c r="S24" s="71" t="s">
        <v>774</v>
      </c>
      <c r="T24" s="71"/>
      <c r="U24" s="71"/>
      <c r="V24" s="71" t="s">
        <v>771</v>
      </c>
      <c r="W24" s="71" t="s">
        <v>171</v>
      </c>
      <c r="X24" s="71" t="s">
        <v>775</v>
      </c>
      <c r="Y24" s="71" t="s">
        <v>776</v>
      </c>
      <c r="Z24" s="2" t="s">
        <v>777</v>
      </c>
      <c r="AA24" s="2" t="s">
        <v>778</v>
      </c>
      <c r="AB24" s="2" t="s">
        <v>779</v>
      </c>
      <c r="AC24" s="2" t="s">
        <v>780</v>
      </c>
      <c r="AD24" s="2" t="s">
        <v>781</v>
      </c>
      <c r="AE24" s="2" t="s">
        <v>171</v>
      </c>
      <c r="AF24" s="2" t="s">
        <v>782</v>
      </c>
      <c r="AG24" s="2" t="s">
        <v>781</v>
      </c>
      <c r="AH24" s="111">
        <v>0</v>
      </c>
      <c r="AI24" s="111">
        <v>0</v>
      </c>
      <c r="AJ24" s="111">
        <f t="shared" si="0"/>
        <v>0</v>
      </c>
      <c r="AK24" s="111">
        <f t="shared" si="1"/>
        <v>0</v>
      </c>
      <c r="AL24" s="2" t="s">
        <v>171</v>
      </c>
      <c r="AM24" s="2" t="s">
        <v>783</v>
      </c>
      <c r="AN24" s="2" t="s">
        <v>784</v>
      </c>
      <c r="AO24" s="2" t="s">
        <v>785</v>
      </c>
    </row>
    <row r="25" spans="1:41" ht="45.95" customHeight="1" x14ac:dyDescent="0.25">
      <c r="A25" s="67" t="s">
        <v>890</v>
      </c>
      <c r="B25" s="67" t="s">
        <v>7</v>
      </c>
      <c r="C25" s="67" t="s">
        <v>10</v>
      </c>
      <c r="D25" s="68" t="s">
        <v>891</v>
      </c>
      <c r="E25" s="67" t="s">
        <v>806</v>
      </c>
      <c r="F25" s="67" t="s">
        <v>807</v>
      </c>
      <c r="G25" s="67" t="s">
        <v>67</v>
      </c>
      <c r="H25" s="68" t="s">
        <v>892</v>
      </c>
      <c r="I25" s="68" t="s">
        <v>893</v>
      </c>
      <c r="J25" s="67">
        <v>8</v>
      </c>
      <c r="K25" s="73" t="s">
        <v>768</v>
      </c>
      <c r="L25" s="11" t="s">
        <v>769</v>
      </c>
      <c r="M25" s="146" t="s">
        <v>171</v>
      </c>
      <c r="N25" s="7" t="s">
        <v>770</v>
      </c>
      <c r="O25" s="7" t="s">
        <v>771</v>
      </c>
      <c r="P25" s="12" t="s">
        <v>772</v>
      </c>
      <c r="Q25" s="71" t="s">
        <v>773</v>
      </c>
      <c r="R25" s="71"/>
      <c r="S25" s="71" t="s">
        <v>774</v>
      </c>
      <c r="T25" s="71"/>
      <c r="U25" s="71"/>
      <c r="V25" s="71" t="s">
        <v>771</v>
      </c>
      <c r="W25" s="71" t="s">
        <v>171</v>
      </c>
      <c r="X25" s="71" t="s">
        <v>775</v>
      </c>
      <c r="Y25" s="71" t="s">
        <v>776</v>
      </c>
      <c r="Z25" s="2" t="s">
        <v>777</v>
      </c>
      <c r="AA25" s="2" t="s">
        <v>778</v>
      </c>
      <c r="AB25" s="2" t="s">
        <v>779</v>
      </c>
      <c r="AC25" s="2" t="s">
        <v>894</v>
      </c>
      <c r="AD25" s="2" t="s">
        <v>781</v>
      </c>
      <c r="AE25" s="2" t="s">
        <v>171</v>
      </c>
      <c r="AF25" s="2" t="s">
        <v>782</v>
      </c>
      <c r="AG25" s="2" t="s">
        <v>781</v>
      </c>
      <c r="AH25" s="111">
        <v>0</v>
      </c>
      <c r="AI25" s="111">
        <v>0</v>
      </c>
      <c r="AJ25" s="111">
        <f t="shared" si="0"/>
        <v>0</v>
      </c>
      <c r="AK25" s="111">
        <f t="shared" si="1"/>
        <v>0</v>
      </c>
      <c r="AL25" s="2" t="s">
        <v>171</v>
      </c>
      <c r="AM25" s="2" t="s">
        <v>783</v>
      </c>
      <c r="AN25" s="2" t="s">
        <v>784</v>
      </c>
      <c r="AO25" s="2" t="s">
        <v>785</v>
      </c>
    </row>
    <row r="26" spans="1:41" ht="45.95" customHeight="1" x14ac:dyDescent="0.25">
      <c r="A26" s="67" t="s">
        <v>895</v>
      </c>
      <c r="B26" s="67" t="s">
        <v>7</v>
      </c>
      <c r="C26" s="67" t="s">
        <v>10</v>
      </c>
      <c r="D26" s="68" t="s">
        <v>896</v>
      </c>
      <c r="E26" s="67" t="s">
        <v>897</v>
      </c>
      <c r="F26" s="67" t="s">
        <v>807</v>
      </c>
      <c r="G26" s="67" t="s">
        <v>67</v>
      </c>
      <c r="H26" s="68" t="s">
        <v>898</v>
      </c>
      <c r="I26" s="68" t="s">
        <v>899</v>
      </c>
      <c r="J26" s="67">
        <v>8</v>
      </c>
      <c r="K26" s="73" t="s">
        <v>768</v>
      </c>
      <c r="L26" s="11" t="s">
        <v>769</v>
      </c>
      <c r="M26" s="146" t="s">
        <v>171</v>
      </c>
      <c r="N26" s="7" t="s">
        <v>770</v>
      </c>
      <c r="O26" s="7" t="s">
        <v>771</v>
      </c>
      <c r="P26" s="12" t="s">
        <v>772</v>
      </c>
      <c r="Q26" s="71" t="s">
        <v>773</v>
      </c>
      <c r="R26" s="71"/>
      <c r="S26" s="71" t="s">
        <v>774</v>
      </c>
      <c r="T26" s="71"/>
      <c r="U26" s="71"/>
      <c r="V26" s="71" t="s">
        <v>771</v>
      </c>
      <c r="W26" s="71" t="s">
        <v>171</v>
      </c>
      <c r="X26" s="71" t="s">
        <v>775</v>
      </c>
      <c r="Y26" s="71" t="s">
        <v>776</v>
      </c>
      <c r="Z26" s="2" t="s">
        <v>777</v>
      </c>
      <c r="AA26" s="2" t="s">
        <v>778</v>
      </c>
      <c r="AB26" s="2" t="s">
        <v>779</v>
      </c>
      <c r="AC26" s="2" t="s">
        <v>900</v>
      </c>
      <c r="AD26" s="2" t="s">
        <v>781</v>
      </c>
      <c r="AE26" s="2" t="s">
        <v>171</v>
      </c>
      <c r="AF26" s="2" t="s">
        <v>782</v>
      </c>
      <c r="AG26" s="2" t="s">
        <v>781</v>
      </c>
      <c r="AH26" s="111">
        <v>0</v>
      </c>
      <c r="AI26" s="111">
        <v>0</v>
      </c>
      <c r="AJ26" s="111">
        <f t="shared" si="0"/>
        <v>0</v>
      </c>
      <c r="AK26" s="111">
        <f t="shared" si="1"/>
        <v>0</v>
      </c>
      <c r="AL26" s="2" t="s">
        <v>171</v>
      </c>
      <c r="AM26" s="2" t="s">
        <v>783</v>
      </c>
      <c r="AN26" s="2" t="s">
        <v>784</v>
      </c>
      <c r="AO26" s="2" t="s">
        <v>785</v>
      </c>
    </row>
    <row r="27" spans="1:41" ht="45.95" customHeight="1" x14ac:dyDescent="0.25">
      <c r="A27" s="67" t="s">
        <v>901</v>
      </c>
      <c r="B27" s="67" t="s">
        <v>7</v>
      </c>
      <c r="C27" s="67" t="s">
        <v>10</v>
      </c>
      <c r="D27" s="68" t="s">
        <v>902</v>
      </c>
      <c r="E27" s="67" t="s">
        <v>820</v>
      </c>
      <c r="F27" s="67" t="s">
        <v>807</v>
      </c>
      <c r="G27" s="67" t="s">
        <v>67</v>
      </c>
      <c r="H27" s="68" t="s">
        <v>903</v>
      </c>
      <c r="I27" s="68" t="s">
        <v>904</v>
      </c>
      <c r="J27" s="67">
        <v>6</v>
      </c>
      <c r="K27" s="73" t="s">
        <v>768</v>
      </c>
      <c r="L27" s="11" t="s">
        <v>769</v>
      </c>
      <c r="M27" s="146" t="s">
        <v>171</v>
      </c>
      <c r="N27" s="7" t="s">
        <v>770</v>
      </c>
      <c r="O27" s="7" t="s">
        <v>771</v>
      </c>
      <c r="P27" s="12" t="s">
        <v>772</v>
      </c>
      <c r="Q27" s="71" t="s">
        <v>773</v>
      </c>
      <c r="R27" s="71"/>
      <c r="S27" s="71" t="s">
        <v>774</v>
      </c>
      <c r="T27" s="71"/>
      <c r="U27" s="71"/>
      <c r="V27" s="71" t="s">
        <v>771</v>
      </c>
      <c r="W27" s="71" t="s">
        <v>171</v>
      </c>
      <c r="X27" s="71" t="s">
        <v>775</v>
      </c>
      <c r="Y27" s="71" t="s">
        <v>776</v>
      </c>
      <c r="Z27" s="2" t="s">
        <v>777</v>
      </c>
      <c r="AA27" s="2" t="s">
        <v>778</v>
      </c>
      <c r="AB27" s="2" t="s">
        <v>779</v>
      </c>
      <c r="AC27" s="2" t="s">
        <v>780</v>
      </c>
      <c r="AD27" s="2" t="s">
        <v>781</v>
      </c>
      <c r="AE27" s="2" t="s">
        <v>171</v>
      </c>
      <c r="AF27" s="2" t="s">
        <v>782</v>
      </c>
      <c r="AG27" s="2" t="s">
        <v>781</v>
      </c>
      <c r="AH27" s="111">
        <v>0</v>
      </c>
      <c r="AI27" s="111">
        <v>0</v>
      </c>
      <c r="AJ27" s="111">
        <f t="shared" si="0"/>
        <v>0</v>
      </c>
      <c r="AK27" s="111">
        <f t="shared" si="1"/>
        <v>0</v>
      </c>
      <c r="AL27" s="2" t="s">
        <v>171</v>
      </c>
      <c r="AM27" s="2" t="s">
        <v>783</v>
      </c>
      <c r="AN27" s="2" t="s">
        <v>784</v>
      </c>
      <c r="AO27" s="2" t="s">
        <v>785</v>
      </c>
    </row>
    <row r="28" spans="1:41" ht="45.95" customHeight="1" x14ac:dyDescent="0.25">
      <c r="A28" s="67" t="s">
        <v>905</v>
      </c>
      <c r="B28" s="67" t="s">
        <v>7</v>
      </c>
      <c r="C28" s="67" t="s">
        <v>10</v>
      </c>
      <c r="D28" s="68" t="s">
        <v>906</v>
      </c>
      <c r="E28" s="67" t="s">
        <v>820</v>
      </c>
      <c r="F28" s="67" t="s">
        <v>807</v>
      </c>
      <c r="G28" s="67" t="s">
        <v>67</v>
      </c>
      <c r="H28" s="68" t="s">
        <v>907</v>
      </c>
      <c r="I28" s="68" t="s">
        <v>908</v>
      </c>
      <c r="J28" s="67">
        <v>6</v>
      </c>
      <c r="K28" s="73" t="s">
        <v>768</v>
      </c>
      <c r="L28" s="11" t="s">
        <v>769</v>
      </c>
      <c r="M28" s="146" t="s">
        <v>171</v>
      </c>
      <c r="N28" s="7" t="s">
        <v>770</v>
      </c>
      <c r="O28" s="7" t="s">
        <v>771</v>
      </c>
      <c r="P28" s="12" t="s">
        <v>772</v>
      </c>
      <c r="Q28" s="71" t="s">
        <v>773</v>
      </c>
      <c r="R28" s="71"/>
      <c r="S28" s="71" t="s">
        <v>774</v>
      </c>
      <c r="T28" s="71"/>
      <c r="U28" s="71"/>
      <c r="V28" s="71" t="s">
        <v>771</v>
      </c>
      <c r="W28" s="71" t="s">
        <v>171</v>
      </c>
      <c r="X28" s="71" t="s">
        <v>775</v>
      </c>
      <c r="Y28" s="71" t="s">
        <v>776</v>
      </c>
      <c r="Z28" s="2" t="s">
        <v>777</v>
      </c>
      <c r="AA28" s="2" t="s">
        <v>778</v>
      </c>
      <c r="AB28" s="2" t="s">
        <v>779</v>
      </c>
      <c r="AC28" s="2" t="s">
        <v>780</v>
      </c>
      <c r="AD28" s="2" t="s">
        <v>781</v>
      </c>
      <c r="AE28" s="2" t="s">
        <v>171</v>
      </c>
      <c r="AF28" s="2" t="s">
        <v>782</v>
      </c>
      <c r="AG28" s="2" t="s">
        <v>781</v>
      </c>
      <c r="AH28" s="111">
        <v>0</v>
      </c>
      <c r="AI28" s="111">
        <v>0</v>
      </c>
      <c r="AJ28" s="111">
        <f t="shared" si="0"/>
        <v>0</v>
      </c>
      <c r="AK28" s="111">
        <f t="shared" si="1"/>
        <v>0</v>
      </c>
      <c r="AL28" s="2" t="s">
        <v>171</v>
      </c>
      <c r="AM28" s="2" t="s">
        <v>783</v>
      </c>
      <c r="AN28" s="2" t="s">
        <v>784</v>
      </c>
      <c r="AO28" s="2" t="s">
        <v>785</v>
      </c>
    </row>
    <row r="29" spans="1:41" ht="45.95" customHeight="1" x14ac:dyDescent="0.25">
      <c r="A29" s="67" t="s">
        <v>909</v>
      </c>
      <c r="B29" s="67" t="s">
        <v>7</v>
      </c>
      <c r="C29" s="67" t="s">
        <v>10</v>
      </c>
      <c r="D29" s="68" t="s">
        <v>910</v>
      </c>
      <c r="E29" s="67" t="s">
        <v>806</v>
      </c>
      <c r="F29" s="67" t="s">
        <v>847</v>
      </c>
      <c r="G29" s="67" t="s">
        <v>67</v>
      </c>
      <c r="H29" s="68" t="s">
        <v>911</v>
      </c>
      <c r="I29" s="68" t="s">
        <v>912</v>
      </c>
      <c r="J29" s="67">
        <v>2</v>
      </c>
      <c r="K29" s="73" t="s">
        <v>768</v>
      </c>
      <c r="L29" s="11" t="s">
        <v>769</v>
      </c>
      <c r="M29" s="146" t="s">
        <v>171</v>
      </c>
      <c r="N29" s="7" t="s">
        <v>770</v>
      </c>
      <c r="O29" s="7" t="s">
        <v>771</v>
      </c>
      <c r="P29" s="12" t="s">
        <v>772</v>
      </c>
      <c r="Q29" s="71" t="s">
        <v>773</v>
      </c>
      <c r="R29" s="71"/>
      <c r="S29" s="71" t="s">
        <v>774</v>
      </c>
      <c r="T29" s="71"/>
      <c r="U29" s="71"/>
      <c r="V29" s="71" t="s">
        <v>771</v>
      </c>
      <c r="W29" s="71" t="s">
        <v>171</v>
      </c>
      <c r="X29" s="71" t="s">
        <v>775</v>
      </c>
      <c r="Y29" s="71" t="s">
        <v>776</v>
      </c>
      <c r="Z29" s="2" t="s">
        <v>777</v>
      </c>
      <c r="AA29" s="2" t="s">
        <v>778</v>
      </c>
      <c r="AB29" s="2" t="s">
        <v>779</v>
      </c>
      <c r="AC29" s="2" t="s">
        <v>780</v>
      </c>
      <c r="AD29" s="2" t="s">
        <v>781</v>
      </c>
      <c r="AE29" s="2" t="s">
        <v>171</v>
      </c>
      <c r="AF29" s="2" t="s">
        <v>782</v>
      </c>
      <c r="AG29" s="2" t="s">
        <v>781</v>
      </c>
      <c r="AH29" s="111">
        <v>0</v>
      </c>
      <c r="AI29" s="111">
        <v>0</v>
      </c>
      <c r="AJ29" s="111">
        <f t="shared" si="0"/>
        <v>0</v>
      </c>
      <c r="AK29" s="111">
        <f t="shared" si="1"/>
        <v>0</v>
      </c>
      <c r="AL29" s="2" t="s">
        <v>171</v>
      </c>
      <c r="AM29" s="2" t="s">
        <v>783</v>
      </c>
      <c r="AN29" s="2" t="s">
        <v>784</v>
      </c>
      <c r="AO29" s="2" t="s">
        <v>785</v>
      </c>
    </row>
    <row r="30" spans="1:41" ht="45.95" customHeight="1" x14ac:dyDescent="0.25">
      <c r="A30" s="67" t="s">
        <v>913</v>
      </c>
      <c r="B30" s="67" t="s">
        <v>7</v>
      </c>
      <c r="C30" s="67" t="s">
        <v>10</v>
      </c>
      <c r="D30" s="68" t="s">
        <v>914</v>
      </c>
      <c r="E30" s="67" t="s">
        <v>806</v>
      </c>
      <c r="F30" s="67" t="s">
        <v>807</v>
      </c>
      <c r="G30" s="67" t="s">
        <v>68</v>
      </c>
      <c r="H30" s="68" t="s">
        <v>915</v>
      </c>
      <c r="I30" s="68" t="s">
        <v>916</v>
      </c>
      <c r="J30" s="67">
        <v>4</v>
      </c>
      <c r="K30" s="73" t="s">
        <v>768</v>
      </c>
      <c r="L30" s="11" t="s">
        <v>769</v>
      </c>
      <c r="M30" s="146" t="s">
        <v>171</v>
      </c>
      <c r="N30" s="7" t="s">
        <v>770</v>
      </c>
      <c r="O30" s="7" t="s">
        <v>771</v>
      </c>
      <c r="P30" s="12" t="s">
        <v>772</v>
      </c>
      <c r="Q30" s="71" t="s">
        <v>773</v>
      </c>
      <c r="R30" s="71"/>
      <c r="S30" s="71" t="s">
        <v>774</v>
      </c>
      <c r="T30" s="71"/>
      <c r="U30" s="71"/>
      <c r="V30" s="71" t="s">
        <v>771</v>
      </c>
      <c r="W30" s="71" t="s">
        <v>171</v>
      </c>
      <c r="X30" s="71" t="s">
        <v>775</v>
      </c>
      <c r="Y30" s="71" t="s">
        <v>776</v>
      </c>
      <c r="Z30" s="2" t="s">
        <v>777</v>
      </c>
      <c r="AA30" s="2" t="s">
        <v>778</v>
      </c>
      <c r="AB30" s="2" t="s">
        <v>779</v>
      </c>
      <c r="AC30" s="2" t="s">
        <v>780</v>
      </c>
      <c r="AD30" s="2" t="s">
        <v>781</v>
      </c>
      <c r="AE30" s="2" t="s">
        <v>171</v>
      </c>
      <c r="AF30" s="2" t="s">
        <v>782</v>
      </c>
      <c r="AG30" s="2" t="s">
        <v>781</v>
      </c>
      <c r="AH30" s="111">
        <v>0</v>
      </c>
      <c r="AI30" s="111">
        <v>0</v>
      </c>
      <c r="AJ30" s="111">
        <f t="shared" si="0"/>
        <v>0</v>
      </c>
      <c r="AK30" s="111">
        <f t="shared" si="1"/>
        <v>0</v>
      </c>
      <c r="AL30" s="2" t="s">
        <v>171</v>
      </c>
      <c r="AM30" s="2" t="s">
        <v>783</v>
      </c>
      <c r="AN30" s="2" t="s">
        <v>784</v>
      </c>
      <c r="AO30" s="2" t="s">
        <v>785</v>
      </c>
    </row>
    <row r="31" spans="1:41" ht="45.95" customHeight="1" x14ac:dyDescent="0.25">
      <c r="A31" s="67" t="s">
        <v>917</v>
      </c>
      <c r="B31" s="67" t="s">
        <v>7</v>
      </c>
      <c r="C31" s="67" t="s">
        <v>13</v>
      </c>
      <c r="D31" s="68" t="s">
        <v>918</v>
      </c>
      <c r="E31" s="67" t="s">
        <v>806</v>
      </c>
      <c r="F31" s="67" t="s">
        <v>807</v>
      </c>
      <c r="G31" s="67" t="s">
        <v>67</v>
      </c>
      <c r="H31" s="68" t="s">
        <v>919</v>
      </c>
      <c r="I31" s="68" t="s">
        <v>920</v>
      </c>
      <c r="J31" s="67">
        <v>8</v>
      </c>
      <c r="K31" s="73" t="s">
        <v>768</v>
      </c>
      <c r="L31" s="11" t="s">
        <v>769</v>
      </c>
      <c r="M31" s="146" t="s">
        <v>171</v>
      </c>
      <c r="N31" s="7" t="s">
        <v>770</v>
      </c>
      <c r="O31" s="7" t="s">
        <v>771</v>
      </c>
      <c r="P31" s="12" t="s">
        <v>772</v>
      </c>
      <c r="Q31" s="71" t="s">
        <v>773</v>
      </c>
      <c r="R31" s="71"/>
      <c r="S31" s="71" t="s">
        <v>774</v>
      </c>
      <c r="T31" s="71"/>
      <c r="U31" s="71"/>
      <c r="V31" s="71" t="s">
        <v>771</v>
      </c>
      <c r="W31" s="71" t="s">
        <v>171</v>
      </c>
      <c r="X31" s="71" t="s">
        <v>775</v>
      </c>
      <c r="Y31" s="71" t="s">
        <v>776</v>
      </c>
      <c r="Z31" s="2" t="s">
        <v>777</v>
      </c>
      <c r="AA31" s="2" t="s">
        <v>778</v>
      </c>
      <c r="AB31" s="2" t="s">
        <v>779</v>
      </c>
      <c r="AC31" s="2" t="s">
        <v>921</v>
      </c>
      <c r="AD31" s="2" t="s">
        <v>781</v>
      </c>
      <c r="AE31" s="2" t="s">
        <v>171</v>
      </c>
      <c r="AF31" s="2" t="s">
        <v>782</v>
      </c>
      <c r="AG31" s="2" t="s">
        <v>781</v>
      </c>
      <c r="AH31" s="111">
        <v>0</v>
      </c>
      <c r="AI31" s="111">
        <v>0</v>
      </c>
      <c r="AJ31" s="111">
        <f t="shared" si="0"/>
        <v>0</v>
      </c>
      <c r="AK31" s="111">
        <f t="shared" si="1"/>
        <v>0</v>
      </c>
      <c r="AL31" s="2" t="s">
        <v>171</v>
      </c>
      <c r="AM31" s="2" t="s">
        <v>783</v>
      </c>
      <c r="AN31" s="2" t="s">
        <v>784</v>
      </c>
      <c r="AO31" s="2" t="s">
        <v>785</v>
      </c>
    </row>
    <row r="32" spans="1:41" ht="45.95" customHeight="1" x14ac:dyDescent="0.25">
      <c r="A32" s="67" t="s">
        <v>219</v>
      </c>
      <c r="B32" s="67" t="s">
        <v>7</v>
      </c>
      <c r="C32" s="67" t="s">
        <v>13</v>
      </c>
      <c r="D32" s="68" t="s">
        <v>922</v>
      </c>
      <c r="E32" s="67" t="s">
        <v>806</v>
      </c>
      <c r="F32" s="67" t="s">
        <v>807</v>
      </c>
      <c r="G32" s="67" t="s">
        <v>67</v>
      </c>
      <c r="H32" s="68" t="s">
        <v>923</v>
      </c>
      <c r="I32" s="68" t="s">
        <v>924</v>
      </c>
      <c r="J32" s="67">
        <v>10</v>
      </c>
      <c r="K32" s="73" t="s">
        <v>768</v>
      </c>
      <c r="L32" s="11" t="s">
        <v>769</v>
      </c>
      <c r="M32" s="146" t="s">
        <v>171</v>
      </c>
      <c r="N32" s="7" t="s">
        <v>770</v>
      </c>
      <c r="O32" s="7" t="s">
        <v>771</v>
      </c>
      <c r="P32" s="12" t="s">
        <v>772</v>
      </c>
      <c r="Q32" s="71" t="s">
        <v>773</v>
      </c>
      <c r="R32" s="71"/>
      <c r="S32" s="71" t="s">
        <v>774</v>
      </c>
      <c r="T32" s="71"/>
      <c r="U32" s="71"/>
      <c r="V32" s="71" t="s">
        <v>771</v>
      </c>
      <c r="W32" s="71" t="s">
        <v>171</v>
      </c>
      <c r="X32" s="71" t="s">
        <v>775</v>
      </c>
      <c r="Y32" s="71" t="s">
        <v>776</v>
      </c>
      <c r="Z32" s="2" t="s">
        <v>777</v>
      </c>
      <c r="AA32" s="2" t="s">
        <v>778</v>
      </c>
      <c r="AB32" s="2" t="s">
        <v>779</v>
      </c>
      <c r="AC32" s="2" t="s">
        <v>921</v>
      </c>
      <c r="AD32" s="2" t="s">
        <v>781</v>
      </c>
      <c r="AE32" s="2" t="s">
        <v>171</v>
      </c>
      <c r="AF32" s="2" t="s">
        <v>782</v>
      </c>
      <c r="AG32" s="2" t="s">
        <v>781</v>
      </c>
      <c r="AH32" s="111">
        <v>0</v>
      </c>
      <c r="AI32" s="111">
        <v>0</v>
      </c>
      <c r="AJ32" s="111">
        <f t="shared" si="0"/>
        <v>0</v>
      </c>
      <c r="AK32" s="111">
        <f t="shared" si="1"/>
        <v>0</v>
      </c>
      <c r="AL32" s="2" t="s">
        <v>171</v>
      </c>
      <c r="AM32" s="2" t="s">
        <v>783</v>
      </c>
      <c r="AN32" s="2" t="s">
        <v>784</v>
      </c>
      <c r="AO32" s="2" t="s">
        <v>785</v>
      </c>
    </row>
    <row r="33" spans="1:41" s="5" customFormat="1" ht="45.95" customHeight="1" x14ac:dyDescent="0.25">
      <c r="A33" s="67" t="s">
        <v>925</v>
      </c>
      <c r="B33" s="67" t="s">
        <v>7</v>
      </c>
      <c r="C33" s="67" t="s">
        <v>13</v>
      </c>
      <c r="D33" s="68" t="s">
        <v>926</v>
      </c>
      <c r="E33" s="67" t="s">
        <v>788</v>
      </c>
      <c r="F33" s="67" t="s">
        <v>927</v>
      </c>
      <c r="G33" s="67" t="s">
        <v>67</v>
      </c>
      <c r="H33" s="68" t="s">
        <v>928</v>
      </c>
      <c r="I33" s="68" t="s">
        <v>929</v>
      </c>
      <c r="J33" s="67">
        <v>12</v>
      </c>
      <c r="K33" s="73" t="s">
        <v>768</v>
      </c>
      <c r="L33" s="11" t="s">
        <v>769</v>
      </c>
      <c r="M33" s="146" t="s">
        <v>171</v>
      </c>
      <c r="N33" s="7" t="s">
        <v>770</v>
      </c>
      <c r="O33" s="7" t="s">
        <v>771</v>
      </c>
      <c r="P33" s="12" t="s">
        <v>772</v>
      </c>
      <c r="Q33" s="71" t="s">
        <v>773</v>
      </c>
      <c r="R33" s="71"/>
      <c r="S33" s="71" t="s">
        <v>774</v>
      </c>
      <c r="T33" s="71"/>
      <c r="U33" s="71"/>
      <c r="V33" s="71" t="s">
        <v>771</v>
      </c>
      <c r="W33" s="71" t="s">
        <v>171</v>
      </c>
      <c r="X33" s="71" t="s">
        <v>775</v>
      </c>
      <c r="Y33" s="71" t="s">
        <v>776</v>
      </c>
      <c r="Z33" s="2" t="s">
        <v>777</v>
      </c>
      <c r="AA33" s="2" t="s">
        <v>778</v>
      </c>
      <c r="AB33" s="2" t="s">
        <v>779</v>
      </c>
      <c r="AC33" s="2" t="s">
        <v>780</v>
      </c>
      <c r="AD33" s="2" t="s">
        <v>781</v>
      </c>
      <c r="AE33" s="2" t="s">
        <v>171</v>
      </c>
      <c r="AF33" s="2" t="s">
        <v>782</v>
      </c>
      <c r="AG33" s="2" t="s">
        <v>781</v>
      </c>
      <c r="AH33" s="111">
        <v>0</v>
      </c>
      <c r="AI33" s="111">
        <v>0</v>
      </c>
      <c r="AJ33" s="111">
        <f t="shared" si="0"/>
        <v>0</v>
      </c>
      <c r="AK33" s="111">
        <f t="shared" si="1"/>
        <v>0</v>
      </c>
      <c r="AL33" s="2" t="s">
        <v>171</v>
      </c>
      <c r="AM33" s="2" t="s">
        <v>783</v>
      </c>
      <c r="AN33" s="2" t="s">
        <v>784</v>
      </c>
      <c r="AO33" s="2" t="s">
        <v>785</v>
      </c>
    </row>
    <row r="34" spans="1:41" ht="45.95" customHeight="1" x14ac:dyDescent="0.25">
      <c r="A34" s="67" t="s">
        <v>930</v>
      </c>
      <c r="B34" s="67" t="s">
        <v>7</v>
      </c>
      <c r="C34" s="67" t="s">
        <v>13</v>
      </c>
      <c r="D34" s="68" t="s">
        <v>931</v>
      </c>
      <c r="E34" s="67" t="s">
        <v>788</v>
      </c>
      <c r="F34" s="67" t="s">
        <v>927</v>
      </c>
      <c r="G34" s="67" t="s">
        <v>67</v>
      </c>
      <c r="H34" s="68" t="s">
        <v>932</v>
      </c>
      <c r="I34" s="68" t="s">
        <v>933</v>
      </c>
      <c r="J34" s="67">
        <v>12</v>
      </c>
      <c r="K34" s="73" t="s">
        <v>768</v>
      </c>
      <c r="L34" s="11" t="s">
        <v>769</v>
      </c>
      <c r="M34" s="146" t="s">
        <v>171</v>
      </c>
      <c r="N34" s="7" t="s">
        <v>770</v>
      </c>
      <c r="O34" s="7" t="s">
        <v>771</v>
      </c>
      <c r="P34" s="12" t="s">
        <v>772</v>
      </c>
      <c r="Q34" s="71" t="s">
        <v>773</v>
      </c>
      <c r="R34" s="71"/>
      <c r="S34" s="71" t="s">
        <v>774</v>
      </c>
      <c r="T34" s="71"/>
      <c r="U34" s="71"/>
      <c r="V34" s="71" t="s">
        <v>771</v>
      </c>
      <c r="W34" s="71" t="s">
        <v>171</v>
      </c>
      <c r="X34" s="71" t="s">
        <v>775</v>
      </c>
      <c r="Y34" s="71" t="s">
        <v>776</v>
      </c>
      <c r="Z34" s="2" t="s">
        <v>777</v>
      </c>
      <c r="AA34" s="2" t="s">
        <v>778</v>
      </c>
      <c r="AB34" s="2" t="s">
        <v>779</v>
      </c>
      <c r="AC34" s="2" t="s">
        <v>780</v>
      </c>
      <c r="AD34" s="2" t="s">
        <v>781</v>
      </c>
      <c r="AE34" s="2" t="s">
        <v>171</v>
      </c>
      <c r="AF34" s="2" t="s">
        <v>782</v>
      </c>
      <c r="AG34" s="2" t="s">
        <v>781</v>
      </c>
      <c r="AH34" s="111">
        <v>0</v>
      </c>
      <c r="AI34" s="111">
        <v>0</v>
      </c>
      <c r="AJ34" s="111">
        <f t="shared" ref="AJ34:AJ65" si="2">IF($K34="Done",0,MAX(0.25,$J34/$AH34))</f>
        <v>0</v>
      </c>
      <c r="AK34" s="111">
        <f t="shared" ref="AK34:AK65" si="3">IF($K34="Done",0,$AJ34*$AI34)</f>
        <v>0</v>
      </c>
      <c r="AL34" s="2" t="s">
        <v>171</v>
      </c>
      <c r="AM34" s="2" t="s">
        <v>783</v>
      </c>
      <c r="AN34" s="2" t="s">
        <v>784</v>
      </c>
      <c r="AO34" s="2" t="s">
        <v>785</v>
      </c>
    </row>
    <row r="35" spans="1:41" ht="45.95" customHeight="1" x14ac:dyDescent="0.25">
      <c r="A35" s="67" t="s">
        <v>934</v>
      </c>
      <c r="B35" s="67" t="s">
        <v>7</v>
      </c>
      <c r="C35" s="67" t="s">
        <v>13</v>
      </c>
      <c r="D35" s="68" t="s">
        <v>935</v>
      </c>
      <c r="E35" s="67" t="s">
        <v>788</v>
      </c>
      <c r="F35" s="67" t="s">
        <v>927</v>
      </c>
      <c r="G35" s="67" t="s">
        <v>68</v>
      </c>
      <c r="H35" s="68" t="s">
        <v>936</v>
      </c>
      <c r="I35" s="68" t="s">
        <v>937</v>
      </c>
      <c r="J35" s="67">
        <v>10</v>
      </c>
      <c r="K35" s="73" t="s">
        <v>768</v>
      </c>
      <c r="L35" s="11" t="s">
        <v>769</v>
      </c>
      <c r="M35" s="146" t="s">
        <v>171</v>
      </c>
      <c r="N35" s="7" t="s">
        <v>770</v>
      </c>
      <c r="O35" s="7" t="s">
        <v>771</v>
      </c>
      <c r="P35" s="12" t="s">
        <v>772</v>
      </c>
      <c r="Q35" s="71" t="s">
        <v>773</v>
      </c>
      <c r="R35" s="71"/>
      <c r="S35" s="71" t="s">
        <v>774</v>
      </c>
      <c r="T35" s="71"/>
      <c r="U35" s="71"/>
      <c r="V35" s="71" t="s">
        <v>771</v>
      </c>
      <c r="W35" s="71" t="s">
        <v>171</v>
      </c>
      <c r="X35" s="71" t="s">
        <v>775</v>
      </c>
      <c r="Y35" s="71" t="s">
        <v>776</v>
      </c>
      <c r="Z35" s="2" t="s">
        <v>777</v>
      </c>
      <c r="AA35" s="2" t="s">
        <v>778</v>
      </c>
      <c r="AB35" s="2" t="s">
        <v>779</v>
      </c>
      <c r="AC35" s="2" t="s">
        <v>780</v>
      </c>
      <c r="AD35" s="2" t="s">
        <v>781</v>
      </c>
      <c r="AE35" s="2" t="s">
        <v>171</v>
      </c>
      <c r="AF35" s="2" t="s">
        <v>782</v>
      </c>
      <c r="AG35" s="2" t="s">
        <v>781</v>
      </c>
      <c r="AH35" s="111">
        <v>0</v>
      </c>
      <c r="AI35" s="111">
        <v>0</v>
      </c>
      <c r="AJ35" s="111">
        <f t="shared" si="2"/>
        <v>0</v>
      </c>
      <c r="AK35" s="111">
        <f t="shared" si="3"/>
        <v>0</v>
      </c>
      <c r="AL35" s="2" t="s">
        <v>171</v>
      </c>
      <c r="AM35" s="2" t="s">
        <v>783</v>
      </c>
      <c r="AN35" s="2" t="s">
        <v>784</v>
      </c>
      <c r="AO35" s="2" t="s">
        <v>785</v>
      </c>
    </row>
    <row r="36" spans="1:41" ht="45.95" customHeight="1" x14ac:dyDescent="0.25">
      <c r="A36" s="67" t="s">
        <v>938</v>
      </c>
      <c r="B36" s="67" t="s">
        <v>7</v>
      </c>
      <c r="C36" s="67" t="s">
        <v>13</v>
      </c>
      <c r="D36" s="68" t="s">
        <v>939</v>
      </c>
      <c r="E36" s="67" t="s">
        <v>788</v>
      </c>
      <c r="F36" s="67" t="s">
        <v>940</v>
      </c>
      <c r="G36" s="67" t="s">
        <v>68</v>
      </c>
      <c r="H36" s="68" t="s">
        <v>941</v>
      </c>
      <c r="I36" s="68" t="s">
        <v>942</v>
      </c>
      <c r="J36" s="67">
        <v>8</v>
      </c>
      <c r="K36" s="73" t="s">
        <v>768</v>
      </c>
      <c r="L36" s="11" t="s">
        <v>769</v>
      </c>
      <c r="M36" s="146" t="s">
        <v>171</v>
      </c>
      <c r="N36" s="7" t="s">
        <v>770</v>
      </c>
      <c r="O36" s="7" t="s">
        <v>771</v>
      </c>
      <c r="P36" s="12" t="s">
        <v>772</v>
      </c>
      <c r="Q36" s="71" t="s">
        <v>773</v>
      </c>
      <c r="R36" s="71"/>
      <c r="S36" s="71" t="s">
        <v>774</v>
      </c>
      <c r="T36" s="71"/>
      <c r="U36" s="71"/>
      <c r="V36" s="71" t="s">
        <v>771</v>
      </c>
      <c r="W36" s="71" t="s">
        <v>171</v>
      </c>
      <c r="X36" s="71" t="s">
        <v>775</v>
      </c>
      <c r="Y36" s="71" t="s">
        <v>776</v>
      </c>
      <c r="Z36" s="2" t="s">
        <v>777</v>
      </c>
      <c r="AA36" s="2" t="s">
        <v>778</v>
      </c>
      <c r="AB36" s="2" t="s">
        <v>779</v>
      </c>
      <c r="AC36" s="2" t="s">
        <v>780</v>
      </c>
      <c r="AD36" s="2" t="s">
        <v>781</v>
      </c>
      <c r="AE36" s="2" t="s">
        <v>171</v>
      </c>
      <c r="AF36" s="2" t="s">
        <v>782</v>
      </c>
      <c r="AG36" s="2" t="s">
        <v>781</v>
      </c>
      <c r="AH36" s="111">
        <v>0</v>
      </c>
      <c r="AI36" s="111">
        <v>0</v>
      </c>
      <c r="AJ36" s="111">
        <f t="shared" si="2"/>
        <v>0</v>
      </c>
      <c r="AK36" s="111">
        <f t="shared" si="3"/>
        <v>0</v>
      </c>
      <c r="AL36" s="2" t="s">
        <v>171</v>
      </c>
      <c r="AM36" s="2" t="s">
        <v>783</v>
      </c>
      <c r="AN36" s="2" t="s">
        <v>784</v>
      </c>
      <c r="AO36" s="2" t="s">
        <v>785</v>
      </c>
    </row>
    <row r="37" spans="1:41" ht="45.95" customHeight="1" x14ac:dyDescent="0.25">
      <c r="A37" s="67" t="s">
        <v>943</v>
      </c>
      <c r="B37" s="67" t="s">
        <v>7</v>
      </c>
      <c r="C37" s="67" t="s">
        <v>13</v>
      </c>
      <c r="D37" s="68" t="s">
        <v>944</v>
      </c>
      <c r="E37" s="67" t="s">
        <v>788</v>
      </c>
      <c r="F37" s="67" t="s">
        <v>940</v>
      </c>
      <c r="G37" s="67" t="s">
        <v>67</v>
      </c>
      <c r="H37" s="68" t="s">
        <v>945</v>
      </c>
      <c r="I37" s="68" t="s">
        <v>946</v>
      </c>
      <c r="J37" s="67">
        <v>12</v>
      </c>
      <c r="K37" s="73" t="s">
        <v>768</v>
      </c>
      <c r="L37" s="11" t="s">
        <v>769</v>
      </c>
      <c r="M37" s="146" t="s">
        <v>171</v>
      </c>
      <c r="N37" s="7" t="s">
        <v>770</v>
      </c>
      <c r="O37" s="7" t="s">
        <v>771</v>
      </c>
      <c r="P37" s="12" t="s">
        <v>772</v>
      </c>
      <c r="Q37" s="71" t="s">
        <v>773</v>
      </c>
      <c r="R37" s="71"/>
      <c r="S37" s="71" t="s">
        <v>774</v>
      </c>
      <c r="T37" s="71"/>
      <c r="U37" s="71"/>
      <c r="V37" s="71" t="s">
        <v>771</v>
      </c>
      <c r="W37" s="71" t="s">
        <v>171</v>
      </c>
      <c r="X37" s="71" t="s">
        <v>775</v>
      </c>
      <c r="Y37" s="71" t="s">
        <v>776</v>
      </c>
      <c r="Z37" s="2" t="s">
        <v>777</v>
      </c>
      <c r="AA37" s="2" t="s">
        <v>778</v>
      </c>
      <c r="AB37" s="2" t="s">
        <v>779</v>
      </c>
      <c r="AC37" s="2" t="s">
        <v>780</v>
      </c>
      <c r="AD37" s="2" t="s">
        <v>781</v>
      </c>
      <c r="AE37" s="2" t="s">
        <v>171</v>
      </c>
      <c r="AF37" s="2" t="s">
        <v>782</v>
      </c>
      <c r="AG37" s="2" t="s">
        <v>781</v>
      </c>
      <c r="AH37" s="111">
        <v>0</v>
      </c>
      <c r="AI37" s="111">
        <v>0</v>
      </c>
      <c r="AJ37" s="111">
        <f t="shared" si="2"/>
        <v>0</v>
      </c>
      <c r="AK37" s="111">
        <f t="shared" si="3"/>
        <v>0</v>
      </c>
      <c r="AL37" s="2" t="s">
        <v>171</v>
      </c>
      <c r="AM37" s="2" t="s">
        <v>783</v>
      </c>
      <c r="AN37" s="2" t="s">
        <v>784</v>
      </c>
      <c r="AO37" s="2" t="s">
        <v>785</v>
      </c>
    </row>
    <row r="38" spans="1:41" ht="45.95" customHeight="1" x14ac:dyDescent="0.25">
      <c r="A38" s="67" t="s">
        <v>947</v>
      </c>
      <c r="B38" s="67" t="s">
        <v>7</v>
      </c>
      <c r="C38" s="67" t="s">
        <v>13</v>
      </c>
      <c r="D38" s="68" t="s">
        <v>948</v>
      </c>
      <c r="E38" s="67" t="s">
        <v>788</v>
      </c>
      <c r="F38" s="67" t="s">
        <v>927</v>
      </c>
      <c r="G38" s="67" t="s">
        <v>801</v>
      </c>
      <c r="H38" s="68" t="s">
        <v>949</v>
      </c>
      <c r="I38" s="68" t="s">
        <v>950</v>
      </c>
      <c r="J38" s="67">
        <v>3</v>
      </c>
      <c r="K38" s="73" t="s">
        <v>768</v>
      </c>
      <c r="L38" s="11" t="s">
        <v>769</v>
      </c>
      <c r="M38" s="146" t="s">
        <v>171</v>
      </c>
      <c r="N38" s="7" t="s">
        <v>770</v>
      </c>
      <c r="O38" s="7" t="s">
        <v>771</v>
      </c>
      <c r="P38" s="12" t="s">
        <v>772</v>
      </c>
      <c r="Q38" s="71" t="s">
        <v>773</v>
      </c>
      <c r="R38" s="71"/>
      <c r="S38" s="71" t="s">
        <v>774</v>
      </c>
      <c r="T38" s="71"/>
      <c r="U38" s="71"/>
      <c r="V38" s="71" t="s">
        <v>771</v>
      </c>
      <c r="W38" s="71" t="s">
        <v>171</v>
      </c>
      <c r="X38" s="71" t="s">
        <v>775</v>
      </c>
      <c r="Y38" s="71" t="s">
        <v>776</v>
      </c>
      <c r="Z38" s="2" t="s">
        <v>777</v>
      </c>
      <c r="AA38" s="2" t="s">
        <v>778</v>
      </c>
      <c r="AB38" s="2" t="s">
        <v>779</v>
      </c>
      <c r="AC38" s="2" t="s">
        <v>780</v>
      </c>
      <c r="AD38" s="2" t="s">
        <v>781</v>
      </c>
      <c r="AE38" s="2" t="s">
        <v>171</v>
      </c>
      <c r="AF38" s="2" t="s">
        <v>782</v>
      </c>
      <c r="AG38" s="2" t="s">
        <v>781</v>
      </c>
      <c r="AH38" s="111">
        <v>0</v>
      </c>
      <c r="AI38" s="111">
        <v>0</v>
      </c>
      <c r="AJ38" s="111">
        <f t="shared" si="2"/>
        <v>0</v>
      </c>
      <c r="AK38" s="111">
        <f t="shared" si="3"/>
        <v>0</v>
      </c>
      <c r="AL38" s="2" t="s">
        <v>171</v>
      </c>
      <c r="AM38" s="2" t="s">
        <v>783</v>
      </c>
      <c r="AN38" s="2" t="s">
        <v>784</v>
      </c>
      <c r="AO38" s="2" t="s">
        <v>785</v>
      </c>
    </row>
    <row r="39" spans="1:41" ht="45.95" customHeight="1" x14ac:dyDescent="0.25">
      <c r="A39" s="67" t="s">
        <v>951</v>
      </c>
      <c r="B39" s="67" t="s">
        <v>7</v>
      </c>
      <c r="C39" s="67" t="s">
        <v>13</v>
      </c>
      <c r="D39" s="68" t="s">
        <v>952</v>
      </c>
      <c r="E39" s="67" t="s">
        <v>788</v>
      </c>
      <c r="F39" s="67" t="s">
        <v>821</v>
      </c>
      <c r="G39" s="67" t="s">
        <v>67</v>
      </c>
      <c r="H39" s="68" t="s">
        <v>953</v>
      </c>
      <c r="I39" s="68" t="s">
        <v>954</v>
      </c>
      <c r="J39" s="67">
        <v>12</v>
      </c>
      <c r="K39" s="73" t="s">
        <v>768</v>
      </c>
      <c r="L39" s="11" t="s">
        <v>769</v>
      </c>
      <c r="M39" s="146" t="s">
        <v>171</v>
      </c>
      <c r="N39" s="7" t="s">
        <v>770</v>
      </c>
      <c r="O39" s="7" t="s">
        <v>771</v>
      </c>
      <c r="P39" s="12" t="s">
        <v>772</v>
      </c>
      <c r="Q39" s="71" t="s">
        <v>773</v>
      </c>
      <c r="R39" s="71"/>
      <c r="S39" s="71" t="s">
        <v>774</v>
      </c>
      <c r="T39" s="71"/>
      <c r="U39" s="71"/>
      <c r="V39" s="71" t="s">
        <v>771</v>
      </c>
      <c r="W39" s="71" t="s">
        <v>171</v>
      </c>
      <c r="X39" s="71" t="s">
        <v>775</v>
      </c>
      <c r="Y39" s="71" t="s">
        <v>776</v>
      </c>
      <c r="Z39" s="2" t="s">
        <v>777</v>
      </c>
      <c r="AA39" s="2" t="s">
        <v>778</v>
      </c>
      <c r="AB39" s="2" t="s">
        <v>779</v>
      </c>
      <c r="AC39" s="2" t="s">
        <v>780</v>
      </c>
      <c r="AD39" s="2" t="s">
        <v>781</v>
      </c>
      <c r="AE39" s="2" t="s">
        <v>171</v>
      </c>
      <c r="AF39" s="2" t="s">
        <v>782</v>
      </c>
      <c r="AG39" s="2" t="s">
        <v>781</v>
      </c>
      <c r="AH39" s="111">
        <v>0</v>
      </c>
      <c r="AI39" s="111">
        <v>0</v>
      </c>
      <c r="AJ39" s="111">
        <f t="shared" si="2"/>
        <v>0</v>
      </c>
      <c r="AK39" s="111">
        <f t="shared" si="3"/>
        <v>0</v>
      </c>
      <c r="AL39" s="2" t="s">
        <v>171</v>
      </c>
      <c r="AM39" s="2" t="s">
        <v>783</v>
      </c>
      <c r="AN39" s="2" t="s">
        <v>784</v>
      </c>
      <c r="AO39" s="2" t="s">
        <v>785</v>
      </c>
    </row>
    <row r="40" spans="1:41" ht="45.95" customHeight="1" x14ac:dyDescent="0.25">
      <c r="A40" s="67" t="s">
        <v>955</v>
      </c>
      <c r="B40" s="67" t="s">
        <v>7</v>
      </c>
      <c r="C40" s="67" t="s">
        <v>13</v>
      </c>
      <c r="D40" s="68" t="s">
        <v>956</v>
      </c>
      <c r="E40" s="67" t="s">
        <v>826</v>
      </c>
      <c r="F40" s="67" t="s">
        <v>957</v>
      </c>
      <c r="G40" s="67" t="s">
        <v>67</v>
      </c>
      <c r="H40" s="68" t="s">
        <v>958</v>
      </c>
      <c r="I40" s="68" t="s">
        <v>959</v>
      </c>
      <c r="J40" s="67">
        <v>12</v>
      </c>
      <c r="K40" s="73" t="s">
        <v>768</v>
      </c>
      <c r="L40" s="11" t="s">
        <v>769</v>
      </c>
      <c r="M40" s="146" t="s">
        <v>171</v>
      </c>
      <c r="N40" s="7" t="s">
        <v>770</v>
      </c>
      <c r="O40" s="7" t="s">
        <v>771</v>
      </c>
      <c r="P40" s="12" t="s">
        <v>772</v>
      </c>
      <c r="Q40" s="71" t="s">
        <v>773</v>
      </c>
      <c r="R40" s="71"/>
      <c r="S40" s="71" t="s">
        <v>774</v>
      </c>
      <c r="T40" s="71"/>
      <c r="U40" s="71"/>
      <c r="V40" s="71" t="s">
        <v>771</v>
      </c>
      <c r="W40" s="71" t="s">
        <v>171</v>
      </c>
      <c r="X40" s="71" t="s">
        <v>775</v>
      </c>
      <c r="Y40" s="71" t="s">
        <v>776</v>
      </c>
      <c r="Z40" s="2" t="s">
        <v>777</v>
      </c>
      <c r="AA40" s="2" t="s">
        <v>778</v>
      </c>
      <c r="AB40" s="2" t="s">
        <v>779</v>
      </c>
      <c r="AC40" s="2" t="s">
        <v>780</v>
      </c>
      <c r="AD40" s="2" t="s">
        <v>781</v>
      </c>
      <c r="AE40" s="2" t="s">
        <v>171</v>
      </c>
      <c r="AF40" s="2" t="s">
        <v>782</v>
      </c>
      <c r="AG40" s="2" t="s">
        <v>781</v>
      </c>
      <c r="AH40" s="111">
        <v>0</v>
      </c>
      <c r="AI40" s="111">
        <v>0</v>
      </c>
      <c r="AJ40" s="111">
        <f t="shared" si="2"/>
        <v>0</v>
      </c>
      <c r="AK40" s="111">
        <f t="shared" si="3"/>
        <v>0</v>
      </c>
      <c r="AL40" s="2" t="s">
        <v>171</v>
      </c>
      <c r="AM40" s="2" t="s">
        <v>783</v>
      </c>
      <c r="AN40" s="2" t="s">
        <v>784</v>
      </c>
      <c r="AO40" s="2" t="s">
        <v>785</v>
      </c>
    </row>
    <row r="41" spans="1:41" ht="45.95" customHeight="1" x14ac:dyDescent="0.25">
      <c r="A41" s="67" t="s">
        <v>960</v>
      </c>
      <c r="B41" s="67" t="s">
        <v>7</v>
      </c>
      <c r="C41" s="67" t="s">
        <v>13</v>
      </c>
      <c r="D41" s="68" t="s">
        <v>961</v>
      </c>
      <c r="E41" s="67" t="s">
        <v>788</v>
      </c>
      <c r="F41" s="67" t="s">
        <v>927</v>
      </c>
      <c r="G41" s="67" t="s">
        <v>68</v>
      </c>
      <c r="H41" s="68" t="s">
        <v>962</v>
      </c>
      <c r="I41" s="68" t="s">
        <v>963</v>
      </c>
      <c r="J41" s="67">
        <v>8</v>
      </c>
      <c r="K41" s="73" t="s">
        <v>768</v>
      </c>
      <c r="L41" s="11" t="s">
        <v>769</v>
      </c>
      <c r="M41" s="146" t="s">
        <v>171</v>
      </c>
      <c r="N41" s="7" t="s">
        <v>770</v>
      </c>
      <c r="O41" s="7" t="s">
        <v>771</v>
      </c>
      <c r="P41" s="12" t="s">
        <v>772</v>
      </c>
      <c r="Q41" s="71" t="s">
        <v>773</v>
      </c>
      <c r="R41" s="71"/>
      <c r="S41" s="71" t="s">
        <v>774</v>
      </c>
      <c r="T41" s="71"/>
      <c r="U41" s="71"/>
      <c r="V41" s="71" t="s">
        <v>771</v>
      </c>
      <c r="W41" s="71" t="s">
        <v>171</v>
      </c>
      <c r="X41" s="71" t="s">
        <v>775</v>
      </c>
      <c r="Y41" s="71" t="s">
        <v>776</v>
      </c>
      <c r="Z41" s="2" t="s">
        <v>777</v>
      </c>
      <c r="AA41" s="2" t="s">
        <v>778</v>
      </c>
      <c r="AB41" s="2" t="s">
        <v>779</v>
      </c>
      <c r="AC41" s="2" t="s">
        <v>780</v>
      </c>
      <c r="AD41" s="2" t="s">
        <v>781</v>
      </c>
      <c r="AE41" s="2" t="s">
        <v>171</v>
      </c>
      <c r="AF41" s="2" t="s">
        <v>782</v>
      </c>
      <c r="AG41" s="2" t="s">
        <v>781</v>
      </c>
      <c r="AH41" s="111">
        <v>0</v>
      </c>
      <c r="AI41" s="111">
        <v>0</v>
      </c>
      <c r="AJ41" s="111">
        <f t="shared" si="2"/>
        <v>0</v>
      </c>
      <c r="AK41" s="111">
        <f t="shared" si="3"/>
        <v>0</v>
      </c>
      <c r="AL41" s="2" t="s">
        <v>171</v>
      </c>
      <c r="AM41" s="2" t="s">
        <v>783</v>
      </c>
      <c r="AN41" s="2" t="s">
        <v>784</v>
      </c>
      <c r="AO41" s="2" t="s">
        <v>785</v>
      </c>
    </row>
    <row r="42" spans="1:41" ht="45.95" customHeight="1" x14ac:dyDescent="0.25">
      <c r="A42" s="67" t="s">
        <v>964</v>
      </c>
      <c r="B42" s="67" t="s">
        <v>7</v>
      </c>
      <c r="C42" s="67" t="s">
        <v>17</v>
      </c>
      <c r="D42" s="68" t="s">
        <v>965</v>
      </c>
      <c r="E42" s="67" t="s">
        <v>788</v>
      </c>
      <c r="F42" s="67" t="s">
        <v>821</v>
      </c>
      <c r="G42" s="67" t="s">
        <v>67</v>
      </c>
      <c r="H42" s="68" t="s">
        <v>966</v>
      </c>
      <c r="I42" s="68" t="s">
        <v>967</v>
      </c>
      <c r="J42" s="67">
        <v>6</v>
      </c>
      <c r="K42" s="73" t="s">
        <v>768</v>
      </c>
      <c r="L42" s="11" t="s">
        <v>769</v>
      </c>
      <c r="M42" s="146" t="s">
        <v>171</v>
      </c>
      <c r="N42" s="7" t="s">
        <v>770</v>
      </c>
      <c r="O42" s="7" t="s">
        <v>771</v>
      </c>
      <c r="P42" s="12" t="s">
        <v>772</v>
      </c>
      <c r="Q42" s="71" t="s">
        <v>773</v>
      </c>
      <c r="R42" s="71"/>
      <c r="S42" s="71" t="s">
        <v>774</v>
      </c>
      <c r="T42" s="71"/>
      <c r="U42" s="71"/>
      <c r="V42" s="71" t="s">
        <v>771</v>
      </c>
      <c r="W42" s="71" t="s">
        <v>171</v>
      </c>
      <c r="X42" s="71" t="s">
        <v>775</v>
      </c>
      <c r="Y42" s="71" t="s">
        <v>776</v>
      </c>
      <c r="Z42" s="2" t="s">
        <v>777</v>
      </c>
      <c r="AA42" s="2" t="s">
        <v>778</v>
      </c>
      <c r="AB42" s="2" t="s">
        <v>779</v>
      </c>
      <c r="AC42" s="2" t="s">
        <v>780</v>
      </c>
      <c r="AD42" s="2" t="s">
        <v>781</v>
      </c>
      <c r="AE42" s="2" t="s">
        <v>171</v>
      </c>
      <c r="AF42" s="2" t="s">
        <v>782</v>
      </c>
      <c r="AG42" s="2" t="s">
        <v>781</v>
      </c>
      <c r="AH42" s="111">
        <v>0</v>
      </c>
      <c r="AI42" s="111">
        <v>0</v>
      </c>
      <c r="AJ42" s="111">
        <f t="shared" si="2"/>
        <v>0</v>
      </c>
      <c r="AK42" s="111">
        <f t="shared" si="3"/>
        <v>0</v>
      </c>
      <c r="AL42" s="2" t="s">
        <v>171</v>
      </c>
      <c r="AM42" s="2" t="s">
        <v>783</v>
      </c>
      <c r="AN42" s="2" t="s">
        <v>784</v>
      </c>
      <c r="AO42" s="2" t="s">
        <v>785</v>
      </c>
    </row>
    <row r="43" spans="1:41" ht="45.95" customHeight="1" x14ac:dyDescent="0.25">
      <c r="A43" s="67" t="s">
        <v>968</v>
      </c>
      <c r="B43" s="67" t="s">
        <v>7</v>
      </c>
      <c r="C43" s="67" t="s">
        <v>17</v>
      </c>
      <c r="D43" s="68" t="s">
        <v>969</v>
      </c>
      <c r="E43" s="67" t="s">
        <v>788</v>
      </c>
      <c r="F43" s="67" t="s">
        <v>821</v>
      </c>
      <c r="G43" s="67" t="s">
        <v>67</v>
      </c>
      <c r="H43" s="68" t="s">
        <v>970</v>
      </c>
      <c r="I43" s="68" t="s">
        <v>971</v>
      </c>
      <c r="J43" s="67">
        <v>6</v>
      </c>
      <c r="K43" s="73" t="s">
        <v>768</v>
      </c>
      <c r="L43" s="11" t="s">
        <v>769</v>
      </c>
      <c r="M43" s="146" t="s">
        <v>171</v>
      </c>
      <c r="N43" s="7" t="s">
        <v>770</v>
      </c>
      <c r="O43" s="7" t="s">
        <v>771</v>
      </c>
      <c r="P43" s="12" t="s">
        <v>772</v>
      </c>
      <c r="Q43" s="71" t="s">
        <v>773</v>
      </c>
      <c r="R43" s="71"/>
      <c r="S43" s="71" t="s">
        <v>774</v>
      </c>
      <c r="T43" s="71"/>
      <c r="U43" s="71"/>
      <c r="V43" s="71" t="s">
        <v>771</v>
      </c>
      <c r="W43" s="71" t="s">
        <v>171</v>
      </c>
      <c r="X43" s="71" t="s">
        <v>775</v>
      </c>
      <c r="Y43" s="71" t="s">
        <v>776</v>
      </c>
      <c r="Z43" s="2" t="s">
        <v>777</v>
      </c>
      <c r="AA43" s="2" t="s">
        <v>778</v>
      </c>
      <c r="AB43" s="2" t="s">
        <v>779</v>
      </c>
      <c r="AC43" s="2" t="s">
        <v>780</v>
      </c>
      <c r="AD43" s="2" t="s">
        <v>781</v>
      </c>
      <c r="AE43" s="2" t="s">
        <v>171</v>
      </c>
      <c r="AF43" s="2" t="s">
        <v>782</v>
      </c>
      <c r="AG43" s="2" t="s">
        <v>781</v>
      </c>
      <c r="AH43" s="111">
        <v>0</v>
      </c>
      <c r="AI43" s="111">
        <v>0</v>
      </c>
      <c r="AJ43" s="111">
        <f t="shared" si="2"/>
        <v>0</v>
      </c>
      <c r="AK43" s="111">
        <f t="shared" si="3"/>
        <v>0</v>
      </c>
      <c r="AL43" s="2" t="s">
        <v>171</v>
      </c>
      <c r="AM43" s="2" t="s">
        <v>783</v>
      </c>
      <c r="AN43" s="2" t="s">
        <v>784</v>
      </c>
      <c r="AO43" s="2" t="s">
        <v>785</v>
      </c>
    </row>
    <row r="44" spans="1:41" ht="45.95" customHeight="1" x14ac:dyDescent="0.25">
      <c r="A44" s="67" t="s">
        <v>972</v>
      </c>
      <c r="B44" s="67" t="s">
        <v>7</v>
      </c>
      <c r="C44" s="67" t="s">
        <v>17</v>
      </c>
      <c r="D44" s="68" t="s">
        <v>973</v>
      </c>
      <c r="E44" s="67" t="s">
        <v>788</v>
      </c>
      <c r="F44" s="67" t="s">
        <v>821</v>
      </c>
      <c r="G44" s="67" t="s">
        <v>67</v>
      </c>
      <c r="H44" s="68" t="s">
        <v>974</v>
      </c>
      <c r="I44" s="68" t="s">
        <v>975</v>
      </c>
      <c r="J44" s="67">
        <v>12</v>
      </c>
      <c r="K44" s="73" t="s">
        <v>768</v>
      </c>
      <c r="L44" s="11" t="s">
        <v>769</v>
      </c>
      <c r="M44" s="146" t="s">
        <v>171</v>
      </c>
      <c r="N44" s="7" t="s">
        <v>770</v>
      </c>
      <c r="O44" s="7" t="s">
        <v>771</v>
      </c>
      <c r="P44" s="12" t="s">
        <v>772</v>
      </c>
      <c r="Q44" s="71" t="s">
        <v>773</v>
      </c>
      <c r="R44" s="71"/>
      <c r="S44" s="71" t="s">
        <v>774</v>
      </c>
      <c r="T44" s="71"/>
      <c r="U44" s="71"/>
      <c r="V44" s="71" t="s">
        <v>771</v>
      </c>
      <c r="W44" s="71" t="s">
        <v>171</v>
      </c>
      <c r="X44" s="71" t="s">
        <v>775</v>
      </c>
      <c r="Y44" s="71" t="s">
        <v>776</v>
      </c>
      <c r="Z44" s="2" t="s">
        <v>777</v>
      </c>
      <c r="AA44" s="2" t="s">
        <v>778</v>
      </c>
      <c r="AB44" s="2" t="s">
        <v>779</v>
      </c>
      <c r="AC44" s="2" t="s">
        <v>780</v>
      </c>
      <c r="AD44" s="2" t="s">
        <v>781</v>
      </c>
      <c r="AE44" s="2" t="s">
        <v>171</v>
      </c>
      <c r="AF44" s="2" t="s">
        <v>782</v>
      </c>
      <c r="AG44" s="2" t="s">
        <v>781</v>
      </c>
      <c r="AH44" s="111">
        <v>0</v>
      </c>
      <c r="AI44" s="111">
        <v>0</v>
      </c>
      <c r="AJ44" s="111">
        <f t="shared" si="2"/>
        <v>0</v>
      </c>
      <c r="AK44" s="111">
        <f t="shared" si="3"/>
        <v>0</v>
      </c>
      <c r="AL44" s="2" t="s">
        <v>171</v>
      </c>
      <c r="AM44" s="2" t="s">
        <v>783</v>
      </c>
      <c r="AN44" s="2" t="s">
        <v>784</v>
      </c>
      <c r="AO44" s="2" t="s">
        <v>785</v>
      </c>
    </row>
    <row r="45" spans="1:41" ht="45.95" customHeight="1" x14ac:dyDescent="0.25">
      <c r="A45" s="67" t="s">
        <v>154</v>
      </c>
      <c r="B45" s="67" t="s">
        <v>7</v>
      </c>
      <c r="C45" s="67" t="s">
        <v>17</v>
      </c>
      <c r="D45" s="68" t="s">
        <v>976</v>
      </c>
      <c r="E45" s="67" t="s">
        <v>788</v>
      </c>
      <c r="F45" s="67" t="s">
        <v>821</v>
      </c>
      <c r="G45" s="67" t="s">
        <v>67</v>
      </c>
      <c r="H45" s="68" t="s">
        <v>977</v>
      </c>
      <c r="I45" s="68" t="s">
        <v>978</v>
      </c>
      <c r="J45" s="67">
        <v>8</v>
      </c>
      <c r="K45" s="73" t="s">
        <v>768</v>
      </c>
      <c r="L45" s="11" t="s">
        <v>769</v>
      </c>
      <c r="M45" s="146" t="s">
        <v>171</v>
      </c>
      <c r="N45" s="7" t="s">
        <v>770</v>
      </c>
      <c r="O45" s="7" t="s">
        <v>771</v>
      </c>
      <c r="P45" s="12" t="s">
        <v>772</v>
      </c>
      <c r="Q45" s="71" t="s">
        <v>979</v>
      </c>
      <c r="R45" s="71" t="s">
        <v>980</v>
      </c>
      <c r="S45" s="71" t="s">
        <v>981</v>
      </c>
      <c r="T45" s="71"/>
      <c r="U45" s="71"/>
      <c r="V45" s="71" t="s">
        <v>771</v>
      </c>
      <c r="W45" s="71" t="s">
        <v>171</v>
      </c>
      <c r="X45" s="71" t="s">
        <v>775</v>
      </c>
      <c r="Y45" s="71" t="s">
        <v>776</v>
      </c>
      <c r="Z45" s="2" t="s">
        <v>777</v>
      </c>
      <c r="AA45" s="2" t="s">
        <v>778</v>
      </c>
      <c r="AB45" s="2" t="s">
        <v>779</v>
      </c>
      <c r="AC45" s="2" t="s">
        <v>780</v>
      </c>
      <c r="AD45" s="2" t="s">
        <v>781</v>
      </c>
      <c r="AE45" s="2" t="s">
        <v>171</v>
      </c>
      <c r="AF45" s="2" t="s">
        <v>782</v>
      </c>
      <c r="AG45" s="2" t="s">
        <v>781</v>
      </c>
      <c r="AH45" s="111">
        <v>0</v>
      </c>
      <c r="AI45" s="111">
        <v>0</v>
      </c>
      <c r="AJ45" s="111">
        <f t="shared" si="2"/>
        <v>0</v>
      </c>
      <c r="AK45" s="111">
        <f t="shared" si="3"/>
        <v>0</v>
      </c>
      <c r="AL45" s="2" t="s">
        <v>171</v>
      </c>
      <c r="AM45" s="2" t="s">
        <v>783</v>
      </c>
      <c r="AN45" s="2" t="s">
        <v>784</v>
      </c>
      <c r="AO45" s="2" t="s">
        <v>785</v>
      </c>
    </row>
    <row r="46" spans="1:41" ht="45.95" customHeight="1" x14ac:dyDescent="0.25">
      <c r="A46" s="67" t="s">
        <v>158</v>
      </c>
      <c r="B46" s="67" t="s">
        <v>7</v>
      </c>
      <c r="C46" s="67" t="s">
        <v>17</v>
      </c>
      <c r="D46" s="68" t="s">
        <v>982</v>
      </c>
      <c r="E46" s="67" t="s">
        <v>788</v>
      </c>
      <c r="F46" s="67" t="s">
        <v>821</v>
      </c>
      <c r="G46" s="67" t="s">
        <v>67</v>
      </c>
      <c r="H46" s="68" t="s">
        <v>983</v>
      </c>
      <c r="I46" s="68" t="s">
        <v>984</v>
      </c>
      <c r="J46" s="67">
        <v>6</v>
      </c>
      <c r="K46" s="73" t="s">
        <v>768</v>
      </c>
      <c r="L46" s="11" t="s">
        <v>985</v>
      </c>
      <c r="M46" s="146" t="s">
        <v>171</v>
      </c>
      <c r="N46" s="7" t="s">
        <v>986</v>
      </c>
      <c r="O46" s="7" t="s">
        <v>987</v>
      </c>
      <c r="P46" s="12" t="s">
        <v>772</v>
      </c>
      <c r="Q46" s="71" t="s">
        <v>979</v>
      </c>
      <c r="R46" s="71" t="s">
        <v>988</v>
      </c>
      <c r="S46" s="71" t="s">
        <v>981</v>
      </c>
      <c r="T46" s="71"/>
      <c r="U46" s="71"/>
      <c r="V46" s="71" t="s">
        <v>987</v>
      </c>
      <c r="W46" s="71" t="s">
        <v>171</v>
      </c>
      <c r="X46" s="71" t="s">
        <v>775</v>
      </c>
      <c r="Y46" s="71" t="s">
        <v>776</v>
      </c>
      <c r="Z46" s="2" t="s">
        <v>777</v>
      </c>
      <c r="AA46" s="2" t="s">
        <v>778</v>
      </c>
      <c r="AB46" s="2" t="s">
        <v>779</v>
      </c>
      <c r="AC46" s="2" t="s">
        <v>780</v>
      </c>
      <c r="AD46" s="2" t="s">
        <v>781</v>
      </c>
      <c r="AE46" s="2" t="s">
        <v>171</v>
      </c>
      <c r="AF46" s="2" t="s">
        <v>782</v>
      </c>
      <c r="AG46" s="2" t="s">
        <v>781</v>
      </c>
      <c r="AH46" s="111">
        <v>0</v>
      </c>
      <c r="AI46" s="111">
        <v>0</v>
      </c>
      <c r="AJ46" s="111">
        <f t="shared" si="2"/>
        <v>0</v>
      </c>
      <c r="AK46" s="111">
        <f t="shared" si="3"/>
        <v>0</v>
      </c>
      <c r="AL46" s="2" t="s">
        <v>171</v>
      </c>
      <c r="AM46" s="2" t="s">
        <v>783</v>
      </c>
      <c r="AN46" s="2" t="s">
        <v>784</v>
      </c>
      <c r="AO46" s="2" t="s">
        <v>785</v>
      </c>
    </row>
    <row r="47" spans="1:41" ht="45.95" customHeight="1" x14ac:dyDescent="0.25">
      <c r="A47" s="67" t="s">
        <v>162</v>
      </c>
      <c r="B47" s="67" t="s">
        <v>7</v>
      </c>
      <c r="C47" s="67" t="s">
        <v>17</v>
      </c>
      <c r="D47" s="68" t="s">
        <v>989</v>
      </c>
      <c r="E47" s="67" t="s">
        <v>826</v>
      </c>
      <c r="F47" s="67" t="s">
        <v>990</v>
      </c>
      <c r="G47" s="67" t="s">
        <v>67</v>
      </c>
      <c r="H47" s="68" t="s">
        <v>991</v>
      </c>
      <c r="I47" s="68" t="s">
        <v>992</v>
      </c>
      <c r="J47" s="67">
        <v>8</v>
      </c>
      <c r="K47" s="73" t="s">
        <v>768</v>
      </c>
      <c r="L47" s="11" t="s">
        <v>985</v>
      </c>
      <c r="M47" s="146" t="s">
        <v>171</v>
      </c>
      <c r="N47" s="7" t="s">
        <v>986</v>
      </c>
      <c r="O47" s="7" t="s">
        <v>987</v>
      </c>
      <c r="P47" s="12" t="s">
        <v>772</v>
      </c>
      <c r="Q47" s="71" t="s">
        <v>979</v>
      </c>
      <c r="R47" s="71" t="s">
        <v>993</v>
      </c>
      <c r="S47" s="71" t="s">
        <v>981</v>
      </c>
      <c r="T47" s="71"/>
      <c r="U47" s="71"/>
      <c r="V47" s="71" t="s">
        <v>987</v>
      </c>
      <c r="W47" s="71" t="s">
        <v>171</v>
      </c>
      <c r="X47" s="71" t="s">
        <v>775</v>
      </c>
      <c r="Y47" s="71" t="s">
        <v>776</v>
      </c>
      <c r="Z47" s="2" t="s">
        <v>777</v>
      </c>
      <c r="AA47" s="2" t="s">
        <v>778</v>
      </c>
      <c r="AB47" s="2" t="s">
        <v>779</v>
      </c>
      <c r="AC47" s="2" t="s">
        <v>780</v>
      </c>
      <c r="AD47" s="2" t="s">
        <v>781</v>
      </c>
      <c r="AE47" s="2" t="s">
        <v>171</v>
      </c>
      <c r="AF47" s="2" t="s">
        <v>782</v>
      </c>
      <c r="AG47" s="2" t="s">
        <v>781</v>
      </c>
      <c r="AH47" s="111">
        <v>0</v>
      </c>
      <c r="AI47" s="111">
        <v>0</v>
      </c>
      <c r="AJ47" s="111">
        <f t="shared" si="2"/>
        <v>0</v>
      </c>
      <c r="AK47" s="111">
        <f t="shared" si="3"/>
        <v>0</v>
      </c>
      <c r="AL47" s="2" t="s">
        <v>171</v>
      </c>
      <c r="AM47" s="2" t="s">
        <v>783</v>
      </c>
      <c r="AN47" s="2" t="s">
        <v>784</v>
      </c>
      <c r="AO47" s="2" t="s">
        <v>785</v>
      </c>
    </row>
    <row r="48" spans="1:41" ht="45.95" customHeight="1" x14ac:dyDescent="0.25">
      <c r="A48" s="67" t="s">
        <v>166</v>
      </c>
      <c r="B48" s="67" t="s">
        <v>7</v>
      </c>
      <c r="C48" s="67" t="s">
        <v>17</v>
      </c>
      <c r="D48" s="68" t="s">
        <v>994</v>
      </c>
      <c r="E48" s="67" t="s">
        <v>788</v>
      </c>
      <c r="F48" s="67" t="s">
        <v>821</v>
      </c>
      <c r="G48" s="67" t="s">
        <v>68</v>
      </c>
      <c r="H48" s="68" t="s">
        <v>995</v>
      </c>
      <c r="I48" s="68" t="s">
        <v>996</v>
      </c>
      <c r="J48" s="67">
        <v>10</v>
      </c>
      <c r="K48" s="73" t="s">
        <v>768</v>
      </c>
      <c r="L48" s="11" t="s">
        <v>985</v>
      </c>
      <c r="M48" s="146" t="s">
        <v>171</v>
      </c>
      <c r="N48" s="7" t="s">
        <v>986</v>
      </c>
      <c r="O48" s="7" t="s">
        <v>987</v>
      </c>
      <c r="P48" s="12" t="s">
        <v>772</v>
      </c>
      <c r="Q48" s="71" t="s">
        <v>979</v>
      </c>
      <c r="R48" s="71" t="s">
        <v>997</v>
      </c>
      <c r="S48" s="71" t="s">
        <v>981</v>
      </c>
      <c r="T48" s="71"/>
      <c r="U48" s="71"/>
      <c r="V48" s="71" t="s">
        <v>987</v>
      </c>
      <c r="W48" s="71" t="s">
        <v>171</v>
      </c>
      <c r="X48" s="71" t="s">
        <v>775</v>
      </c>
      <c r="Y48" s="71" t="s">
        <v>776</v>
      </c>
      <c r="Z48" s="2" t="s">
        <v>777</v>
      </c>
      <c r="AA48" s="2" t="s">
        <v>778</v>
      </c>
      <c r="AB48" s="2" t="s">
        <v>779</v>
      </c>
      <c r="AC48" s="2" t="s">
        <v>780</v>
      </c>
      <c r="AD48" s="2" t="s">
        <v>781</v>
      </c>
      <c r="AE48" s="2" t="s">
        <v>171</v>
      </c>
      <c r="AF48" s="2" t="s">
        <v>782</v>
      </c>
      <c r="AG48" s="2" t="s">
        <v>781</v>
      </c>
      <c r="AH48" s="111">
        <v>0</v>
      </c>
      <c r="AI48" s="111">
        <v>0</v>
      </c>
      <c r="AJ48" s="111">
        <f t="shared" si="2"/>
        <v>0</v>
      </c>
      <c r="AK48" s="111">
        <f t="shared" si="3"/>
        <v>0</v>
      </c>
      <c r="AL48" s="2" t="s">
        <v>171</v>
      </c>
      <c r="AM48" s="2" t="s">
        <v>783</v>
      </c>
      <c r="AN48" s="2" t="s">
        <v>784</v>
      </c>
      <c r="AO48" s="2" t="s">
        <v>785</v>
      </c>
    </row>
    <row r="49" spans="1:41" ht="45.95" customHeight="1" x14ac:dyDescent="0.25">
      <c r="A49" s="67" t="s">
        <v>998</v>
      </c>
      <c r="B49" s="67" t="s">
        <v>7</v>
      </c>
      <c r="C49" s="67" t="s">
        <v>17</v>
      </c>
      <c r="D49" s="68" t="s">
        <v>999</v>
      </c>
      <c r="E49" s="67" t="s">
        <v>788</v>
      </c>
      <c r="F49" s="67" t="s">
        <v>821</v>
      </c>
      <c r="G49" s="67" t="s">
        <v>68</v>
      </c>
      <c r="H49" s="68" t="s">
        <v>1000</v>
      </c>
      <c r="I49" s="68" t="s">
        <v>1001</v>
      </c>
      <c r="J49" s="67">
        <v>4</v>
      </c>
      <c r="K49" s="73" t="s">
        <v>768</v>
      </c>
      <c r="L49" s="11" t="s">
        <v>985</v>
      </c>
      <c r="M49" s="146" t="s">
        <v>171</v>
      </c>
      <c r="N49" s="7" t="s">
        <v>986</v>
      </c>
      <c r="O49" s="7" t="s">
        <v>987</v>
      </c>
      <c r="P49" s="12" t="s">
        <v>772</v>
      </c>
      <c r="Q49" s="71" t="s">
        <v>979</v>
      </c>
      <c r="R49" s="71" t="s">
        <v>1002</v>
      </c>
      <c r="S49" s="71" t="s">
        <v>981</v>
      </c>
      <c r="T49" s="71"/>
      <c r="U49" s="71"/>
      <c r="V49" s="71" t="s">
        <v>987</v>
      </c>
      <c r="W49" s="71" t="s">
        <v>171</v>
      </c>
      <c r="X49" s="71" t="s">
        <v>775</v>
      </c>
      <c r="Y49" s="71" t="s">
        <v>776</v>
      </c>
      <c r="Z49" s="2" t="s">
        <v>777</v>
      </c>
      <c r="AA49" s="2" t="s">
        <v>778</v>
      </c>
      <c r="AB49" s="2" t="s">
        <v>779</v>
      </c>
      <c r="AC49" s="2" t="s">
        <v>780</v>
      </c>
      <c r="AD49" s="2" t="s">
        <v>781</v>
      </c>
      <c r="AE49" s="2" t="s">
        <v>171</v>
      </c>
      <c r="AF49" s="2" t="s">
        <v>782</v>
      </c>
      <c r="AG49" s="2" t="s">
        <v>781</v>
      </c>
      <c r="AH49" s="111">
        <v>0</v>
      </c>
      <c r="AI49" s="111">
        <v>0</v>
      </c>
      <c r="AJ49" s="111">
        <f t="shared" si="2"/>
        <v>0</v>
      </c>
      <c r="AK49" s="111">
        <f t="shared" si="3"/>
        <v>0</v>
      </c>
      <c r="AL49" s="2" t="s">
        <v>171</v>
      </c>
      <c r="AM49" s="2" t="s">
        <v>783</v>
      </c>
      <c r="AN49" s="2" t="s">
        <v>784</v>
      </c>
      <c r="AO49" s="2" t="s">
        <v>785</v>
      </c>
    </row>
    <row r="50" spans="1:41" ht="45.95" customHeight="1" x14ac:dyDescent="0.25">
      <c r="A50" s="144" t="s">
        <v>1003</v>
      </c>
      <c r="B50" s="144" t="s">
        <v>7</v>
      </c>
      <c r="C50" s="144" t="s">
        <v>17</v>
      </c>
      <c r="D50" s="145" t="s">
        <v>1004</v>
      </c>
      <c r="E50" s="144" t="s">
        <v>788</v>
      </c>
      <c r="F50" s="144" t="s">
        <v>821</v>
      </c>
      <c r="G50" s="144" t="s">
        <v>801</v>
      </c>
      <c r="H50" s="145" t="s">
        <v>1005</v>
      </c>
      <c r="I50" s="145" t="s">
        <v>1006</v>
      </c>
      <c r="J50" s="144">
        <v>4</v>
      </c>
      <c r="K50" s="73" t="s">
        <v>768</v>
      </c>
      <c r="L50" s="11" t="s">
        <v>985</v>
      </c>
      <c r="M50" s="146" t="s">
        <v>171</v>
      </c>
      <c r="N50" s="7" t="s">
        <v>986</v>
      </c>
      <c r="O50" s="7" t="s">
        <v>987</v>
      </c>
      <c r="P50" s="12" t="s">
        <v>1008</v>
      </c>
      <c r="Q50" s="71" t="s">
        <v>1009</v>
      </c>
      <c r="R50" s="71" t="s">
        <v>1010</v>
      </c>
      <c r="S50" s="74" t="s">
        <v>1011</v>
      </c>
      <c r="T50" s="74" t="s">
        <v>1012</v>
      </c>
      <c r="U50" s="74" t="s">
        <v>1013</v>
      </c>
      <c r="V50" s="71" t="s">
        <v>987</v>
      </c>
      <c r="W50" s="71" t="s">
        <v>1014</v>
      </c>
      <c r="X50" s="74" t="s">
        <v>1015</v>
      </c>
      <c r="Y50" s="71" t="s">
        <v>776</v>
      </c>
      <c r="Z50" s="2" t="s">
        <v>777</v>
      </c>
      <c r="AA50" s="2" t="s">
        <v>778</v>
      </c>
      <c r="AB50" s="2" t="s">
        <v>779</v>
      </c>
      <c r="AC50" s="2" t="s">
        <v>780</v>
      </c>
      <c r="AD50" s="2" t="s">
        <v>1016</v>
      </c>
      <c r="AE50" s="2" t="s">
        <v>1017</v>
      </c>
      <c r="AF50" s="2" t="s">
        <v>1018</v>
      </c>
      <c r="AG50" s="2" t="s">
        <v>1019</v>
      </c>
      <c r="AH50" s="111">
        <v>5.3333333332999997</v>
      </c>
      <c r="AI50" s="111">
        <v>2</v>
      </c>
      <c r="AJ50" s="111">
        <f t="shared" si="2"/>
        <v>0</v>
      </c>
      <c r="AK50" s="111">
        <f t="shared" si="3"/>
        <v>0</v>
      </c>
      <c r="AL50" s="2" t="s">
        <v>1020</v>
      </c>
      <c r="AM50" s="2" t="s">
        <v>1021</v>
      </c>
      <c r="AN50" s="2" t="s">
        <v>1022</v>
      </c>
      <c r="AO50" s="2" t="s">
        <v>1023</v>
      </c>
    </row>
    <row r="51" spans="1:41" ht="45.95" customHeight="1" x14ac:dyDescent="0.25">
      <c r="A51" s="144" t="s">
        <v>1024</v>
      </c>
      <c r="B51" s="144" t="s">
        <v>7</v>
      </c>
      <c r="C51" s="144" t="s">
        <v>17</v>
      </c>
      <c r="D51" s="145" t="s">
        <v>1025</v>
      </c>
      <c r="E51" s="144" t="s">
        <v>788</v>
      </c>
      <c r="F51" s="144" t="s">
        <v>821</v>
      </c>
      <c r="G51" s="144" t="s">
        <v>68</v>
      </c>
      <c r="H51" s="145" t="s">
        <v>1026</v>
      </c>
      <c r="I51" s="145" t="s">
        <v>1027</v>
      </c>
      <c r="J51" s="144">
        <v>6</v>
      </c>
      <c r="K51" s="73" t="s">
        <v>768</v>
      </c>
      <c r="L51" s="11" t="s">
        <v>985</v>
      </c>
      <c r="M51" s="146" t="s">
        <v>171</v>
      </c>
      <c r="N51" s="7" t="s">
        <v>986</v>
      </c>
      <c r="O51" s="7" t="s">
        <v>987</v>
      </c>
      <c r="P51" s="12" t="s">
        <v>772</v>
      </c>
      <c r="Q51" s="71" t="s">
        <v>1028</v>
      </c>
      <c r="R51" s="71"/>
      <c r="S51" s="71" t="s">
        <v>774</v>
      </c>
      <c r="T51" s="71"/>
      <c r="U51" s="71"/>
      <c r="V51" s="71" t="s">
        <v>987</v>
      </c>
      <c r="W51" s="71" t="s">
        <v>1014</v>
      </c>
      <c r="X51" s="71" t="s">
        <v>775</v>
      </c>
      <c r="Y51" s="71" t="s">
        <v>776</v>
      </c>
      <c r="Z51" s="2" t="s">
        <v>777</v>
      </c>
      <c r="AA51" s="2" t="s">
        <v>778</v>
      </c>
      <c r="AB51" s="2" t="s">
        <v>779</v>
      </c>
      <c r="AC51" s="2" t="s">
        <v>780</v>
      </c>
      <c r="AD51" s="2" t="s">
        <v>1016</v>
      </c>
      <c r="AE51" s="2" t="s">
        <v>1017</v>
      </c>
      <c r="AF51" s="2" t="s">
        <v>1018</v>
      </c>
      <c r="AG51" s="2" t="s">
        <v>1029</v>
      </c>
      <c r="AH51" s="111">
        <v>9</v>
      </c>
      <c r="AI51" s="111">
        <v>1.5</v>
      </c>
      <c r="AJ51" s="111">
        <f t="shared" si="2"/>
        <v>0</v>
      </c>
      <c r="AK51" s="111">
        <f t="shared" si="3"/>
        <v>0</v>
      </c>
      <c r="AL51" s="2" t="s">
        <v>1020</v>
      </c>
      <c r="AM51" s="2" t="s">
        <v>987</v>
      </c>
      <c r="AN51" s="2" t="s">
        <v>1022</v>
      </c>
      <c r="AO51" s="2" t="s">
        <v>1023</v>
      </c>
    </row>
    <row r="52" spans="1:41" ht="45.95" customHeight="1" x14ac:dyDescent="0.25">
      <c r="A52" s="144" t="s">
        <v>1030</v>
      </c>
      <c r="B52" s="144" t="s">
        <v>7</v>
      </c>
      <c r="C52" s="144" t="s">
        <v>17</v>
      </c>
      <c r="D52" s="145" t="s">
        <v>1031</v>
      </c>
      <c r="E52" s="144" t="s">
        <v>788</v>
      </c>
      <c r="F52" s="144" t="s">
        <v>821</v>
      </c>
      <c r="G52" s="144" t="s">
        <v>67</v>
      </c>
      <c r="H52" s="145" t="s">
        <v>1032</v>
      </c>
      <c r="I52" s="145" t="s">
        <v>1033</v>
      </c>
      <c r="J52" s="144">
        <v>6</v>
      </c>
      <c r="K52" s="73" t="s">
        <v>768</v>
      </c>
      <c r="L52" s="11" t="s">
        <v>985</v>
      </c>
      <c r="M52" s="146" t="s">
        <v>171</v>
      </c>
      <c r="N52" s="7" t="s">
        <v>986</v>
      </c>
      <c r="O52" s="7" t="s">
        <v>987</v>
      </c>
      <c r="P52" s="12" t="s">
        <v>772</v>
      </c>
      <c r="Q52" s="71" t="s">
        <v>1028</v>
      </c>
      <c r="R52" s="71"/>
      <c r="S52" s="71" t="s">
        <v>774</v>
      </c>
      <c r="T52" s="71"/>
      <c r="U52" s="71"/>
      <c r="V52" s="71" t="s">
        <v>987</v>
      </c>
      <c r="W52" s="71" t="s">
        <v>1014</v>
      </c>
      <c r="X52" s="71" t="s">
        <v>775</v>
      </c>
      <c r="Y52" s="71" t="s">
        <v>776</v>
      </c>
      <c r="Z52" s="2" t="s">
        <v>777</v>
      </c>
      <c r="AA52" s="2" t="s">
        <v>778</v>
      </c>
      <c r="AB52" s="2" t="s">
        <v>779</v>
      </c>
      <c r="AC52" s="2" t="s">
        <v>780</v>
      </c>
      <c r="AD52" s="2" t="s">
        <v>1016</v>
      </c>
      <c r="AE52" s="2" t="s">
        <v>1017</v>
      </c>
      <c r="AF52" s="2" t="s">
        <v>1018</v>
      </c>
      <c r="AG52" s="2" t="s">
        <v>1029</v>
      </c>
      <c r="AH52" s="111">
        <v>9</v>
      </c>
      <c r="AI52" s="111">
        <v>1.5</v>
      </c>
      <c r="AJ52" s="111">
        <f t="shared" si="2"/>
        <v>0</v>
      </c>
      <c r="AK52" s="111">
        <f t="shared" si="3"/>
        <v>0</v>
      </c>
      <c r="AL52" s="2" t="s">
        <v>1020</v>
      </c>
      <c r="AM52" s="2" t="s">
        <v>987</v>
      </c>
      <c r="AN52" s="2" t="s">
        <v>1022</v>
      </c>
      <c r="AO52" s="2" t="s">
        <v>1023</v>
      </c>
    </row>
    <row r="53" spans="1:41" ht="45.95" customHeight="1" x14ac:dyDescent="0.25">
      <c r="A53" s="144" t="s">
        <v>1034</v>
      </c>
      <c r="B53" s="144" t="s">
        <v>7</v>
      </c>
      <c r="C53" s="144" t="s">
        <v>17</v>
      </c>
      <c r="D53" s="145" t="s">
        <v>1035</v>
      </c>
      <c r="E53" s="144" t="s">
        <v>788</v>
      </c>
      <c r="F53" s="144" t="s">
        <v>821</v>
      </c>
      <c r="G53" s="144" t="s">
        <v>67</v>
      </c>
      <c r="H53" s="145" t="s">
        <v>1036</v>
      </c>
      <c r="I53" s="145" t="s">
        <v>1037</v>
      </c>
      <c r="J53" s="144">
        <v>4</v>
      </c>
      <c r="K53" s="73" t="s">
        <v>768</v>
      </c>
      <c r="L53" s="11" t="s">
        <v>985</v>
      </c>
      <c r="M53" s="146" t="s">
        <v>171</v>
      </c>
      <c r="N53" s="7" t="s">
        <v>986</v>
      </c>
      <c r="O53" s="7" t="s">
        <v>987</v>
      </c>
      <c r="P53" s="12" t="s">
        <v>772</v>
      </c>
      <c r="Q53" s="71" t="s">
        <v>1028</v>
      </c>
      <c r="R53" s="71"/>
      <c r="S53" s="71" t="s">
        <v>774</v>
      </c>
      <c r="T53" s="71"/>
      <c r="U53" s="71"/>
      <c r="V53" s="71" t="s">
        <v>987</v>
      </c>
      <c r="W53" s="71" t="s">
        <v>1014</v>
      </c>
      <c r="X53" s="71" t="s">
        <v>775</v>
      </c>
      <c r="Y53" s="71" t="s">
        <v>776</v>
      </c>
      <c r="Z53" s="2" t="s">
        <v>777</v>
      </c>
      <c r="AA53" s="2" t="s">
        <v>778</v>
      </c>
      <c r="AB53" s="2" t="s">
        <v>779</v>
      </c>
      <c r="AC53" s="2" t="s">
        <v>780</v>
      </c>
      <c r="AD53" s="2" t="s">
        <v>1016</v>
      </c>
      <c r="AE53" s="2" t="s">
        <v>1017</v>
      </c>
      <c r="AF53" s="2" t="s">
        <v>1018</v>
      </c>
      <c r="AG53" s="2" t="s">
        <v>1029</v>
      </c>
      <c r="AH53" s="111">
        <v>9</v>
      </c>
      <c r="AI53" s="111">
        <v>1.5</v>
      </c>
      <c r="AJ53" s="111">
        <f t="shared" si="2"/>
        <v>0</v>
      </c>
      <c r="AK53" s="111">
        <f t="shared" si="3"/>
        <v>0</v>
      </c>
      <c r="AL53" s="2" t="s">
        <v>1020</v>
      </c>
      <c r="AM53" s="2" t="s">
        <v>987</v>
      </c>
      <c r="AN53" s="2" t="s">
        <v>1022</v>
      </c>
      <c r="AO53" s="2" t="s">
        <v>1023</v>
      </c>
    </row>
    <row r="54" spans="1:41" ht="45.95" customHeight="1" x14ac:dyDescent="0.25">
      <c r="A54" s="69" t="s">
        <v>1038</v>
      </c>
      <c r="B54" s="69" t="s">
        <v>7</v>
      </c>
      <c r="C54" s="69" t="s">
        <v>21</v>
      </c>
      <c r="D54" s="70" t="s">
        <v>1039</v>
      </c>
      <c r="E54" s="69" t="s">
        <v>788</v>
      </c>
      <c r="F54" s="69" t="s">
        <v>765</v>
      </c>
      <c r="G54" s="69" t="s">
        <v>67</v>
      </c>
      <c r="H54" s="70" t="s">
        <v>1040</v>
      </c>
      <c r="I54" s="70" t="s">
        <v>1041</v>
      </c>
      <c r="J54" s="69">
        <v>4</v>
      </c>
      <c r="K54" s="69" t="s">
        <v>1028</v>
      </c>
      <c r="L54" s="11" t="s">
        <v>985</v>
      </c>
      <c r="M54" s="7" t="s">
        <v>90</v>
      </c>
      <c r="N54" s="7" t="s">
        <v>986</v>
      </c>
      <c r="O54" s="7" t="s">
        <v>987</v>
      </c>
      <c r="P54" s="12" t="s">
        <v>772</v>
      </c>
      <c r="Q54" s="71" t="s">
        <v>1028</v>
      </c>
      <c r="R54" s="71"/>
      <c r="S54" s="71" t="s">
        <v>774</v>
      </c>
      <c r="T54" s="71"/>
      <c r="U54" s="71"/>
      <c r="V54" s="71" t="s">
        <v>987</v>
      </c>
      <c r="W54" s="71" t="s">
        <v>1014</v>
      </c>
      <c r="X54" s="71" t="s">
        <v>775</v>
      </c>
      <c r="Y54" s="71" t="s">
        <v>776</v>
      </c>
      <c r="Z54" s="2" t="s">
        <v>777</v>
      </c>
      <c r="AA54" s="2" t="s">
        <v>778</v>
      </c>
      <c r="AB54" s="2" t="s">
        <v>779</v>
      </c>
      <c r="AC54" s="2" t="s">
        <v>780</v>
      </c>
      <c r="AD54" s="2" t="s">
        <v>1042</v>
      </c>
      <c r="AE54" s="2" t="s">
        <v>1017</v>
      </c>
      <c r="AF54" s="2" t="s">
        <v>1018</v>
      </c>
      <c r="AG54" s="2" t="s">
        <v>1029</v>
      </c>
      <c r="AH54" s="111">
        <v>9</v>
      </c>
      <c r="AI54" s="111">
        <v>1.5</v>
      </c>
      <c r="AJ54" s="111">
        <f t="shared" si="2"/>
        <v>0.44444444444444442</v>
      </c>
      <c r="AK54" s="111">
        <f t="shared" si="3"/>
        <v>0.66666666666666663</v>
      </c>
      <c r="AL54" s="2" t="s">
        <v>1043</v>
      </c>
      <c r="AM54" s="2" t="s">
        <v>987</v>
      </c>
      <c r="AN54" s="2" t="s">
        <v>1022</v>
      </c>
      <c r="AO54" s="2" t="s">
        <v>1023</v>
      </c>
    </row>
    <row r="55" spans="1:41" ht="45.95" customHeight="1" x14ac:dyDescent="0.25">
      <c r="A55" s="69" t="s">
        <v>1044</v>
      </c>
      <c r="B55" s="69" t="s">
        <v>7</v>
      </c>
      <c r="C55" s="69" t="s">
        <v>21</v>
      </c>
      <c r="D55" s="70" t="s">
        <v>1045</v>
      </c>
      <c r="E55" s="69" t="s">
        <v>788</v>
      </c>
      <c r="F55" s="69" t="s">
        <v>1046</v>
      </c>
      <c r="G55" s="69" t="s">
        <v>68</v>
      </c>
      <c r="H55" s="70" t="s">
        <v>1047</v>
      </c>
      <c r="I55" s="70" t="s">
        <v>1048</v>
      </c>
      <c r="J55" s="69">
        <v>4</v>
      </c>
      <c r="K55" s="69" t="s">
        <v>1028</v>
      </c>
      <c r="L55" s="11" t="s">
        <v>985</v>
      </c>
      <c r="M55" s="7" t="s">
        <v>90</v>
      </c>
      <c r="N55" s="7" t="s">
        <v>986</v>
      </c>
      <c r="O55" s="7" t="s">
        <v>987</v>
      </c>
      <c r="P55" s="12" t="s">
        <v>772</v>
      </c>
      <c r="Q55" s="71" t="s">
        <v>1028</v>
      </c>
      <c r="R55" s="71"/>
      <c r="S55" s="71" t="s">
        <v>774</v>
      </c>
      <c r="T55" s="71"/>
      <c r="U55" s="71"/>
      <c r="V55" s="71" t="s">
        <v>987</v>
      </c>
      <c r="W55" s="71" t="s">
        <v>1014</v>
      </c>
      <c r="X55" s="71" t="s">
        <v>775</v>
      </c>
      <c r="Y55" s="71" t="s">
        <v>776</v>
      </c>
      <c r="Z55" s="2" t="s">
        <v>777</v>
      </c>
      <c r="AA55" s="2" t="s">
        <v>778</v>
      </c>
      <c r="AB55" s="2" t="s">
        <v>779</v>
      </c>
      <c r="AC55" s="2" t="s">
        <v>1049</v>
      </c>
      <c r="AD55" s="2" t="s">
        <v>1042</v>
      </c>
      <c r="AE55" s="2" t="s">
        <v>1050</v>
      </c>
      <c r="AF55" s="2" t="s">
        <v>1051</v>
      </c>
      <c r="AG55" s="2" t="s">
        <v>1029</v>
      </c>
      <c r="AH55" s="111">
        <v>9</v>
      </c>
      <c r="AI55" s="111">
        <v>1.5</v>
      </c>
      <c r="AJ55" s="111">
        <f t="shared" si="2"/>
        <v>0.44444444444444442</v>
      </c>
      <c r="AK55" s="111">
        <f t="shared" si="3"/>
        <v>0.66666666666666663</v>
      </c>
      <c r="AL55" s="2" t="s">
        <v>1043</v>
      </c>
      <c r="AM55" s="2" t="s">
        <v>987</v>
      </c>
      <c r="AN55" s="2" t="s">
        <v>1052</v>
      </c>
      <c r="AO55" s="2" t="s">
        <v>1023</v>
      </c>
    </row>
    <row r="56" spans="1:41" ht="45.95" customHeight="1" x14ac:dyDescent="0.25">
      <c r="A56" s="69" t="s">
        <v>1053</v>
      </c>
      <c r="B56" s="69" t="s">
        <v>7</v>
      </c>
      <c r="C56" s="69" t="s">
        <v>21</v>
      </c>
      <c r="D56" s="70" t="s">
        <v>1054</v>
      </c>
      <c r="E56" s="69" t="s">
        <v>788</v>
      </c>
      <c r="F56" s="69" t="s">
        <v>1055</v>
      </c>
      <c r="G56" s="69" t="s">
        <v>68</v>
      </c>
      <c r="H56" s="70" t="s">
        <v>1056</v>
      </c>
      <c r="I56" s="70" t="s">
        <v>1057</v>
      </c>
      <c r="J56" s="69">
        <v>6</v>
      </c>
      <c r="K56" s="69" t="s">
        <v>1028</v>
      </c>
      <c r="L56" s="11" t="s">
        <v>985</v>
      </c>
      <c r="M56" s="7" t="s">
        <v>90</v>
      </c>
      <c r="N56" s="7" t="s">
        <v>986</v>
      </c>
      <c r="O56" s="7" t="s">
        <v>987</v>
      </c>
      <c r="P56" s="12" t="s">
        <v>772</v>
      </c>
      <c r="Q56" s="71" t="s">
        <v>1028</v>
      </c>
      <c r="R56" s="71"/>
      <c r="S56" s="71" t="s">
        <v>774</v>
      </c>
      <c r="T56" s="71"/>
      <c r="U56" s="71"/>
      <c r="V56" s="71" t="s">
        <v>987</v>
      </c>
      <c r="W56" s="71" t="s">
        <v>1014</v>
      </c>
      <c r="X56" s="71" t="s">
        <v>775</v>
      </c>
      <c r="Y56" s="71" t="s">
        <v>776</v>
      </c>
      <c r="Z56" s="2" t="s">
        <v>777</v>
      </c>
      <c r="AA56" s="2" t="s">
        <v>778</v>
      </c>
      <c r="AB56" s="2" t="s">
        <v>779</v>
      </c>
      <c r="AC56" s="2" t="s">
        <v>1049</v>
      </c>
      <c r="AD56" s="2" t="s">
        <v>1042</v>
      </c>
      <c r="AE56" s="2" t="s">
        <v>1050</v>
      </c>
      <c r="AF56" s="2" t="s">
        <v>1051</v>
      </c>
      <c r="AG56" s="2" t="s">
        <v>1029</v>
      </c>
      <c r="AH56" s="111">
        <v>9</v>
      </c>
      <c r="AI56" s="111">
        <v>1.5</v>
      </c>
      <c r="AJ56" s="111">
        <f t="shared" si="2"/>
        <v>0.66666666666666663</v>
      </c>
      <c r="AK56" s="111">
        <f t="shared" si="3"/>
        <v>1</v>
      </c>
      <c r="AL56" s="2" t="s">
        <v>1043</v>
      </c>
      <c r="AM56" s="2" t="s">
        <v>987</v>
      </c>
      <c r="AN56" s="2" t="s">
        <v>1052</v>
      </c>
      <c r="AO56" s="2" t="s">
        <v>1023</v>
      </c>
    </row>
    <row r="57" spans="1:41" ht="45.95" customHeight="1" x14ac:dyDescent="0.25">
      <c r="A57" s="69" t="s">
        <v>1058</v>
      </c>
      <c r="B57" s="69" t="s">
        <v>7</v>
      </c>
      <c r="C57" s="69" t="s">
        <v>21</v>
      </c>
      <c r="D57" s="70" t="s">
        <v>1059</v>
      </c>
      <c r="E57" s="69" t="s">
        <v>788</v>
      </c>
      <c r="F57" s="69" t="s">
        <v>1055</v>
      </c>
      <c r="G57" s="69" t="s">
        <v>801</v>
      </c>
      <c r="H57" s="70" t="s">
        <v>1060</v>
      </c>
      <c r="I57" s="70" t="s">
        <v>1061</v>
      </c>
      <c r="J57" s="69">
        <v>4</v>
      </c>
      <c r="K57" s="69" t="s">
        <v>1028</v>
      </c>
      <c r="L57" s="11" t="s">
        <v>985</v>
      </c>
      <c r="M57" s="7" t="s">
        <v>90</v>
      </c>
      <c r="N57" s="7" t="s">
        <v>986</v>
      </c>
      <c r="O57" s="7" t="s">
        <v>987</v>
      </c>
      <c r="P57" s="12" t="s">
        <v>1062</v>
      </c>
      <c r="Q57" s="71" t="s">
        <v>1028</v>
      </c>
      <c r="R57" s="71"/>
      <c r="S57" s="71" t="s">
        <v>774</v>
      </c>
      <c r="T57" s="71"/>
      <c r="U57" s="71"/>
      <c r="V57" s="71" t="s">
        <v>987</v>
      </c>
      <c r="W57" s="71" t="s">
        <v>1014</v>
      </c>
      <c r="X57" s="71" t="s">
        <v>775</v>
      </c>
      <c r="Y57" s="71" t="s">
        <v>776</v>
      </c>
      <c r="Z57" s="2" t="s">
        <v>777</v>
      </c>
      <c r="AA57" s="2" t="s">
        <v>778</v>
      </c>
      <c r="AB57" s="2" t="s">
        <v>1063</v>
      </c>
      <c r="AC57" s="2" t="s">
        <v>1064</v>
      </c>
      <c r="AD57" s="2" t="s">
        <v>1065</v>
      </c>
      <c r="AE57" s="2" t="s">
        <v>1050</v>
      </c>
      <c r="AF57" s="2" t="s">
        <v>1051</v>
      </c>
      <c r="AG57" s="2" t="s">
        <v>1029</v>
      </c>
      <c r="AH57" s="111">
        <v>9</v>
      </c>
      <c r="AI57" s="111">
        <v>1.5</v>
      </c>
      <c r="AJ57" s="111">
        <f t="shared" si="2"/>
        <v>0.44444444444444442</v>
      </c>
      <c r="AK57" s="111">
        <f t="shared" si="3"/>
        <v>0.66666666666666663</v>
      </c>
      <c r="AL57" s="2" t="s">
        <v>1043</v>
      </c>
      <c r="AM57" s="2" t="s">
        <v>987</v>
      </c>
      <c r="AN57" s="2" t="s">
        <v>1052</v>
      </c>
      <c r="AO57" s="2" t="s">
        <v>1023</v>
      </c>
    </row>
    <row r="58" spans="1:41" ht="45.95" customHeight="1" x14ac:dyDescent="0.25">
      <c r="A58" s="144" t="s">
        <v>1066</v>
      </c>
      <c r="B58" s="144" t="s">
        <v>7</v>
      </c>
      <c r="C58" s="144" t="s">
        <v>21</v>
      </c>
      <c r="D58" s="145" t="s">
        <v>1067</v>
      </c>
      <c r="E58" s="144" t="s">
        <v>826</v>
      </c>
      <c r="F58" s="144" t="s">
        <v>1068</v>
      </c>
      <c r="G58" s="144" t="s">
        <v>67</v>
      </c>
      <c r="H58" s="145" t="s">
        <v>1069</v>
      </c>
      <c r="I58" s="145" t="s">
        <v>1070</v>
      </c>
      <c r="J58" s="144">
        <v>10</v>
      </c>
      <c r="K58" s="73" t="s">
        <v>768</v>
      </c>
      <c r="L58" s="11" t="s">
        <v>985</v>
      </c>
      <c r="M58" s="146" t="s">
        <v>171</v>
      </c>
      <c r="N58" s="7" t="s">
        <v>986</v>
      </c>
      <c r="O58" s="7" t="s">
        <v>1071</v>
      </c>
      <c r="P58" s="12" t="s">
        <v>1072</v>
      </c>
      <c r="Q58" s="71" t="s">
        <v>1028</v>
      </c>
      <c r="R58" s="71"/>
      <c r="S58" s="75" t="s">
        <v>1073</v>
      </c>
      <c r="T58" s="75" t="s">
        <v>1074</v>
      </c>
      <c r="U58" s="75" t="s">
        <v>1075</v>
      </c>
      <c r="V58" s="71" t="s">
        <v>1071</v>
      </c>
      <c r="W58" s="71" t="s">
        <v>1076</v>
      </c>
      <c r="X58" s="76" t="s">
        <v>1077</v>
      </c>
      <c r="Y58" s="71" t="s">
        <v>776</v>
      </c>
      <c r="Z58" s="2" t="s">
        <v>777</v>
      </c>
      <c r="AA58" s="2" t="s">
        <v>778</v>
      </c>
      <c r="AB58" s="2" t="s">
        <v>779</v>
      </c>
      <c r="AC58" s="2" t="s">
        <v>1078</v>
      </c>
      <c r="AD58" s="2" t="s">
        <v>1042</v>
      </c>
      <c r="AE58" s="2" t="s">
        <v>1050</v>
      </c>
      <c r="AF58" s="2" t="s">
        <v>1051</v>
      </c>
      <c r="AG58" s="2" t="s">
        <v>1079</v>
      </c>
      <c r="AH58" s="111">
        <v>10</v>
      </c>
      <c r="AI58" s="111">
        <v>1.5</v>
      </c>
      <c r="AJ58" s="111">
        <f t="shared" si="2"/>
        <v>0</v>
      </c>
      <c r="AK58" s="111">
        <f t="shared" si="3"/>
        <v>0</v>
      </c>
      <c r="AL58" s="2" t="s">
        <v>1020</v>
      </c>
      <c r="AM58" s="2" t="s">
        <v>1080</v>
      </c>
      <c r="AN58" s="2" t="s">
        <v>1052</v>
      </c>
      <c r="AO58" s="2" t="s">
        <v>1081</v>
      </c>
    </row>
    <row r="59" spans="1:41" ht="45.95" customHeight="1" x14ac:dyDescent="0.25">
      <c r="A59" s="144" t="s">
        <v>1082</v>
      </c>
      <c r="B59" s="144" t="s">
        <v>7</v>
      </c>
      <c r="C59" s="144" t="s">
        <v>21</v>
      </c>
      <c r="D59" s="145" t="s">
        <v>1083</v>
      </c>
      <c r="E59" s="144" t="s">
        <v>826</v>
      </c>
      <c r="F59" s="144" t="s">
        <v>1068</v>
      </c>
      <c r="G59" s="144" t="s">
        <v>67</v>
      </c>
      <c r="H59" s="145" t="s">
        <v>1084</v>
      </c>
      <c r="I59" s="145" t="s">
        <v>1085</v>
      </c>
      <c r="J59" s="144">
        <v>10</v>
      </c>
      <c r="K59" s="73" t="s">
        <v>768</v>
      </c>
      <c r="L59" s="11" t="s">
        <v>985</v>
      </c>
      <c r="M59" s="146" t="s">
        <v>171</v>
      </c>
      <c r="N59" s="7" t="s">
        <v>986</v>
      </c>
      <c r="O59" s="7" t="s">
        <v>1086</v>
      </c>
      <c r="P59" s="12" t="s">
        <v>1087</v>
      </c>
      <c r="Q59" s="71" t="s">
        <v>1028</v>
      </c>
      <c r="R59" s="71"/>
      <c r="S59" s="75" t="s">
        <v>1073</v>
      </c>
      <c r="T59" s="75" t="s">
        <v>1074</v>
      </c>
      <c r="U59" s="75" t="s">
        <v>1075</v>
      </c>
      <c r="V59" s="71" t="s">
        <v>1086</v>
      </c>
      <c r="W59" s="71" t="s">
        <v>1014</v>
      </c>
      <c r="X59" s="76" t="s">
        <v>1077</v>
      </c>
      <c r="Y59" s="71" t="s">
        <v>776</v>
      </c>
      <c r="Z59" s="2" t="s">
        <v>777</v>
      </c>
      <c r="AA59" s="2" t="s">
        <v>778</v>
      </c>
      <c r="AB59" s="2" t="s">
        <v>779</v>
      </c>
      <c r="AC59" s="2" t="s">
        <v>1078</v>
      </c>
      <c r="AD59" s="2" t="s">
        <v>1042</v>
      </c>
      <c r="AE59" s="2" t="s">
        <v>1050</v>
      </c>
      <c r="AF59" s="2" t="s">
        <v>1051</v>
      </c>
      <c r="AG59" s="2" t="s">
        <v>1079</v>
      </c>
      <c r="AH59" s="111">
        <v>10</v>
      </c>
      <c r="AI59" s="111">
        <v>1.5</v>
      </c>
      <c r="AJ59" s="111">
        <f t="shared" si="2"/>
        <v>0</v>
      </c>
      <c r="AK59" s="111">
        <f t="shared" si="3"/>
        <v>0</v>
      </c>
      <c r="AL59" s="2" t="s">
        <v>1020</v>
      </c>
      <c r="AM59" s="2" t="s">
        <v>1088</v>
      </c>
      <c r="AN59" s="2" t="s">
        <v>1052</v>
      </c>
      <c r="AO59" s="2" t="s">
        <v>1081</v>
      </c>
    </row>
    <row r="60" spans="1:41" ht="45.95" customHeight="1" x14ac:dyDescent="0.25">
      <c r="A60" s="69" t="s">
        <v>1089</v>
      </c>
      <c r="B60" s="69" t="s">
        <v>7</v>
      </c>
      <c r="C60" s="69" t="s">
        <v>21</v>
      </c>
      <c r="D60" s="70" t="s">
        <v>1090</v>
      </c>
      <c r="E60" s="69" t="s">
        <v>788</v>
      </c>
      <c r="F60" s="69" t="s">
        <v>821</v>
      </c>
      <c r="G60" s="69" t="s">
        <v>68</v>
      </c>
      <c r="H60" s="70" t="s">
        <v>1091</v>
      </c>
      <c r="I60" s="70" t="s">
        <v>1092</v>
      </c>
      <c r="J60" s="69">
        <v>4</v>
      </c>
      <c r="K60" s="69" t="s">
        <v>1028</v>
      </c>
      <c r="L60" s="11" t="s">
        <v>985</v>
      </c>
      <c r="M60" s="7" t="s">
        <v>90</v>
      </c>
      <c r="N60" s="7" t="s">
        <v>986</v>
      </c>
      <c r="O60" s="7" t="s">
        <v>1093</v>
      </c>
      <c r="P60" s="12" t="s">
        <v>1094</v>
      </c>
      <c r="Q60" s="71" t="s">
        <v>1028</v>
      </c>
      <c r="R60" s="71"/>
      <c r="S60" s="75" t="s">
        <v>1073</v>
      </c>
      <c r="T60" s="75" t="s">
        <v>1074</v>
      </c>
      <c r="U60" s="75" t="s">
        <v>1075</v>
      </c>
      <c r="V60" s="71" t="s">
        <v>1093</v>
      </c>
      <c r="W60" s="71" t="s">
        <v>1014</v>
      </c>
      <c r="X60" s="76" t="s">
        <v>1077</v>
      </c>
      <c r="Y60" s="71" t="s">
        <v>776</v>
      </c>
      <c r="Z60" s="2" t="s">
        <v>777</v>
      </c>
      <c r="AA60" s="2" t="s">
        <v>778</v>
      </c>
      <c r="AB60" s="2" t="s">
        <v>779</v>
      </c>
      <c r="AC60" s="2" t="s">
        <v>780</v>
      </c>
      <c r="AD60" s="2" t="s">
        <v>1042</v>
      </c>
      <c r="AE60" s="2" t="s">
        <v>1017</v>
      </c>
      <c r="AF60" s="2" t="s">
        <v>1018</v>
      </c>
      <c r="AG60" s="2" t="s">
        <v>1029</v>
      </c>
      <c r="AH60" s="111">
        <v>9</v>
      </c>
      <c r="AI60" s="111">
        <v>1.5</v>
      </c>
      <c r="AJ60" s="111">
        <f t="shared" si="2"/>
        <v>0.44444444444444442</v>
      </c>
      <c r="AK60" s="111">
        <f t="shared" si="3"/>
        <v>0.66666666666666663</v>
      </c>
      <c r="AL60" s="2" t="s">
        <v>1043</v>
      </c>
      <c r="AM60" s="2" t="s">
        <v>1095</v>
      </c>
      <c r="AN60" s="2" t="s">
        <v>1022</v>
      </c>
      <c r="AO60" s="2" t="s">
        <v>1023</v>
      </c>
    </row>
    <row r="61" spans="1:41" ht="45.95" customHeight="1" x14ac:dyDescent="0.25">
      <c r="A61" s="142" t="s">
        <v>1096</v>
      </c>
      <c r="B61" s="142" t="s">
        <v>7</v>
      </c>
      <c r="C61" s="142" t="s">
        <v>21</v>
      </c>
      <c r="D61" s="143" t="s">
        <v>1097</v>
      </c>
      <c r="E61" s="142" t="s">
        <v>788</v>
      </c>
      <c r="F61" s="142" t="s">
        <v>1068</v>
      </c>
      <c r="G61" s="142" t="s">
        <v>68</v>
      </c>
      <c r="H61" s="143" t="s">
        <v>1098</v>
      </c>
      <c r="I61" s="143" t="s">
        <v>1099</v>
      </c>
      <c r="J61" s="142">
        <v>4</v>
      </c>
      <c r="K61" s="142" t="s">
        <v>1007</v>
      </c>
      <c r="L61" s="11" t="s">
        <v>985</v>
      </c>
      <c r="M61" s="7" t="s">
        <v>90</v>
      </c>
      <c r="N61" s="7" t="s">
        <v>986</v>
      </c>
      <c r="O61" s="7" t="s">
        <v>1100</v>
      </c>
      <c r="P61" s="12" t="s">
        <v>1101</v>
      </c>
      <c r="Q61" s="71" t="s">
        <v>1028</v>
      </c>
      <c r="R61" s="71"/>
      <c r="S61" s="75" t="s">
        <v>1073</v>
      </c>
      <c r="T61" s="75" t="s">
        <v>1102</v>
      </c>
      <c r="U61" s="75" t="s">
        <v>1103</v>
      </c>
      <c r="V61" s="71" t="s">
        <v>1100</v>
      </c>
      <c r="W61" s="71" t="s">
        <v>1014</v>
      </c>
      <c r="X61" s="76" t="s">
        <v>1077</v>
      </c>
      <c r="Y61" s="71" t="s">
        <v>776</v>
      </c>
      <c r="Z61" s="2" t="s">
        <v>777</v>
      </c>
      <c r="AA61" s="2" t="s">
        <v>778</v>
      </c>
      <c r="AB61" s="2" t="s">
        <v>779</v>
      </c>
      <c r="AC61" s="2" t="s">
        <v>780</v>
      </c>
      <c r="AD61" s="2" t="s">
        <v>1042</v>
      </c>
      <c r="AE61" s="2" t="s">
        <v>1050</v>
      </c>
      <c r="AF61" s="2" t="s">
        <v>1051</v>
      </c>
      <c r="AG61" s="2" t="s">
        <v>1029</v>
      </c>
      <c r="AH61" s="111">
        <v>9</v>
      </c>
      <c r="AI61" s="111">
        <v>1.5</v>
      </c>
      <c r="AJ61" s="111">
        <f t="shared" si="2"/>
        <v>0.44444444444444442</v>
      </c>
      <c r="AK61" s="111">
        <f t="shared" si="3"/>
        <v>0.66666666666666663</v>
      </c>
      <c r="AL61" s="2" t="s">
        <v>1043</v>
      </c>
      <c r="AM61" s="2" t="s">
        <v>1104</v>
      </c>
      <c r="AN61" s="2" t="s">
        <v>1052</v>
      </c>
      <c r="AO61" s="2" t="s">
        <v>1023</v>
      </c>
    </row>
    <row r="62" spans="1:41" ht="45.95" customHeight="1" x14ac:dyDescent="0.25">
      <c r="A62" s="69" t="s">
        <v>1105</v>
      </c>
      <c r="B62" s="69" t="s">
        <v>7</v>
      </c>
      <c r="C62" s="69" t="s">
        <v>21</v>
      </c>
      <c r="D62" s="70" t="s">
        <v>1106</v>
      </c>
      <c r="E62" s="69" t="s">
        <v>826</v>
      </c>
      <c r="F62" s="69" t="s">
        <v>1107</v>
      </c>
      <c r="G62" s="69" t="s">
        <v>67</v>
      </c>
      <c r="H62" s="70" t="s">
        <v>1108</v>
      </c>
      <c r="I62" s="70" t="s">
        <v>1109</v>
      </c>
      <c r="J62" s="69">
        <v>6</v>
      </c>
      <c r="K62" s="69" t="s">
        <v>1028</v>
      </c>
      <c r="L62" s="11" t="s">
        <v>985</v>
      </c>
      <c r="M62" s="7" t="s">
        <v>90</v>
      </c>
      <c r="N62" s="7" t="s">
        <v>986</v>
      </c>
      <c r="O62" s="7" t="s">
        <v>1110</v>
      </c>
      <c r="P62" s="12" t="s">
        <v>1111</v>
      </c>
      <c r="Q62" s="71" t="s">
        <v>1028</v>
      </c>
      <c r="R62" s="71"/>
      <c r="S62" s="75" t="s">
        <v>1073</v>
      </c>
      <c r="T62" s="75" t="s">
        <v>1112</v>
      </c>
      <c r="U62" s="75" t="s">
        <v>1113</v>
      </c>
      <c r="V62" s="71" t="s">
        <v>1110</v>
      </c>
      <c r="W62" s="71" t="s">
        <v>1076</v>
      </c>
      <c r="X62" s="76" t="s">
        <v>1077</v>
      </c>
      <c r="Y62" s="71" t="s">
        <v>776</v>
      </c>
      <c r="Z62" s="2" t="s">
        <v>777</v>
      </c>
      <c r="AA62" s="2" t="s">
        <v>778</v>
      </c>
      <c r="AB62" s="2" t="s">
        <v>779</v>
      </c>
      <c r="AC62" s="2" t="s">
        <v>1078</v>
      </c>
      <c r="AD62" s="2" t="s">
        <v>1042</v>
      </c>
      <c r="AE62" s="2" t="s">
        <v>1050</v>
      </c>
      <c r="AF62" s="2" t="s">
        <v>1051</v>
      </c>
      <c r="AG62" s="2" t="s">
        <v>1079</v>
      </c>
      <c r="AH62" s="111">
        <v>10</v>
      </c>
      <c r="AI62" s="111">
        <v>1.5</v>
      </c>
      <c r="AJ62" s="111">
        <f t="shared" si="2"/>
        <v>0.6</v>
      </c>
      <c r="AK62" s="111">
        <f t="shared" si="3"/>
        <v>0.89999999999999991</v>
      </c>
      <c r="AL62" s="2" t="s">
        <v>1043</v>
      </c>
      <c r="AM62" s="2" t="s">
        <v>1114</v>
      </c>
      <c r="AN62" s="2" t="s">
        <v>1052</v>
      </c>
      <c r="AO62" s="2" t="s">
        <v>1115</v>
      </c>
    </row>
    <row r="63" spans="1:41" ht="45.95" customHeight="1" x14ac:dyDescent="0.25">
      <c r="A63" s="69" t="s">
        <v>1116</v>
      </c>
      <c r="B63" s="69" t="s">
        <v>7</v>
      </c>
      <c r="C63" s="69" t="s">
        <v>21</v>
      </c>
      <c r="D63" s="70" t="s">
        <v>1117</v>
      </c>
      <c r="E63" s="69" t="s">
        <v>788</v>
      </c>
      <c r="F63" s="69" t="s">
        <v>1107</v>
      </c>
      <c r="G63" s="69" t="s">
        <v>67</v>
      </c>
      <c r="H63" s="70" t="s">
        <v>1118</v>
      </c>
      <c r="I63" s="70" t="s">
        <v>1119</v>
      </c>
      <c r="J63" s="69">
        <v>4</v>
      </c>
      <c r="K63" s="69" t="s">
        <v>1028</v>
      </c>
      <c r="L63" s="11" t="s">
        <v>985</v>
      </c>
      <c r="M63" s="7" t="s">
        <v>90</v>
      </c>
      <c r="N63" s="7" t="s">
        <v>986</v>
      </c>
      <c r="O63" s="7" t="s">
        <v>1120</v>
      </c>
      <c r="P63" s="12" t="s">
        <v>1121</v>
      </c>
      <c r="Q63" s="71" t="s">
        <v>1028</v>
      </c>
      <c r="R63" s="71"/>
      <c r="S63" s="75" t="s">
        <v>1073</v>
      </c>
      <c r="T63" s="75" t="s">
        <v>1112</v>
      </c>
      <c r="U63" s="75" t="s">
        <v>1113</v>
      </c>
      <c r="V63" s="71" t="s">
        <v>1120</v>
      </c>
      <c r="W63" s="71" t="s">
        <v>1014</v>
      </c>
      <c r="X63" s="76" t="s">
        <v>1077</v>
      </c>
      <c r="Y63" s="71" t="s">
        <v>776</v>
      </c>
      <c r="Z63" s="2" t="s">
        <v>777</v>
      </c>
      <c r="AA63" s="2" t="s">
        <v>778</v>
      </c>
      <c r="AB63" s="2" t="s">
        <v>779</v>
      </c>
      <c r="AC63" s="2" t="s">
        <v>780</v>
      </c>
      <c r="AD63" s="2" t="s">
        <v>1042</v>
      </c>
      <c r="AE63" s="2" t="s">
        <v>1050</v>
      </c>
      <c r="AF63" s="2" t="s">
        <v>1051</v>
      </c>
      <c r="AG63" s="2" t="s">
        <v>1029</v>
      </c>
      <c r="AH63" s="111">
        <v>9</v>
      </c>
      <c r="AI63" s="111">
        <v>1.5</v>
      </c>
      <c r="AJ63" s="111">
        <f t="shared" si="2"/>
        <v>0.44444444444444442</v>
      </c>
      <c r="AK63" s="111">
        <f t="shared" si="3"/>
        <v>0.66666666666666663</v>
      </c>
      <c r="AL63" s="2" t="s">
        <v>1043</v>
      </c>
      <c r="AM63" s="2" t="s">
        <v>1120</v>
      </c>
      <c r="AN63" s="2" t="s">
        <v>1052</v>
      </c>
      <c r="AO63" s="2" t="s">
        <v>1023</v>
      </c>
    </row>
    <row r="64" spans="1:41" ht="45.95" customHeight="1" x14ac:dyDescent="0.25">
      <c r="A64" s="69" t="s">
        <v>1122</v>
      </c>
      <c r="B64" s="69" t="s">
        <v>7</v>
      </c>
      <c r="C64" s="69" t="s">
        <v>21</v>
      </c>
      <c r="D64" s="70" t="s">
        <v>1123</v>
      </c>
      <c r="E64" s="69" t="s">
        <v>788</v>
      </c>
      <c r="F64" s="69" t="s">
        <v>1124</v>
      </c>
      <c r="G64" s="69" t="s">
        <v>68</v>
      </c>
      <c r="H64" s="70" t="s">
        <v>1125</v>
      </c>
      <c r="I64" s="70" t="s">
        <v>1126</v>
      </c>
      <c r="J64" s="69">
        <v>10</v>
      </c>
      <c r="K64" s="69" t="s">
        <v>1028</v>
      </c>
      <c r="L64" s="11" t="s">
        <v>985</v>
      </c>
      <c r="M64" s="7" t="s">
        <v>90</v>
      </c>
      <c r="N64" s="7" t="s">
        <v>986</v>
      </c>
      <c r="O64" s="7" t="s">
        <v>987</v>
      </c>
      <c r="P64" s="12" t="s">
        <v>1127</v>
      </c>
      <c r="Q64" s="71" t="s">
        <v>1028</v>
      </c>
      <c r="R64" s="71"/>
      <c r="S64" s="74" t="s">
        <v>1011</v>
      </c>
      <c r="T64" s="74" t="s">
        <v>1128</v>
      </c>
      <c r="U64" s="74" t="s">
        <v>1129</v>
      </c>
      <c r="V64" s="71" t="s">
        <v>987</v>
      </c>
      <c r="W64" s="71" t="s">
        <v>1014</v>
      </c>
      <c r="X64" s="74" t="s">
        <v>1015</v>
      </c>
      <c r="Y64" s="71" t="s">
        <v>776</v>
      </c>
      <c r="Z64" s="2" t="s">
        <v>777</v>
      </c>
      <c r="AA64" s="2" t="s">
        <v>778</v>
      </c>
      <c r="AB64" s="2" t="s">
        <v>779</v>
      </c>
      <c r="AC64" s="2" t="s">
        <v>780</v>
      </c>
      <c r="AD64" s="2" t="s">
        <v>1042</v>
      </c>
      <c r="AE64" s="2" t="s">
        <v>1050</v>
      </c>
      <c r="AF64" s="2" t="s">
        <v>1051</v>
      </c>
      <c r="AG64" s="2" t="s">
        <v>1029</v>
      </c>
      <c r="AH64" s="111">
        <v>9</v>
      </c>
      <c r="AI64" s="111">
        <v>1.5</v>
      </c>
      <c r="AJ64" s="111">
        <f t="shared" si="2"/>
        <v>1.1111111111111112</v>
      </c>
      <c r="AK64" s="111">
        <f t="shared" si="3"/>
        <v>1.6666666666666667</v>
      </c>
      <c r="AL64" s="2" t="s">
        <v>1043</v>
      </c>
      <c r="AM64" s="2" t="s">
        <v>987</v>
      </c>
      <c r="AN64" s="2" t="s">
        <v>1052</v>
      </c>
      <c r="AO64" s="2" t="s">
        <v>1023</v>
      </c>
    </row>
    <row r="65" spans="1:41" ht="45.95" customHeight="1" x14ac:dyDescent="0.25">
      <c r="A65" s="144" t="s">
        <v>1130</v>
      </c>
      <c r="B65" s="144" t="s">
        <v>7</v>
      </c>
      <c r="C65" s="144" t="s">
        <v>21</v>
      </c>
      <c r="D65" s="145" t="s">
        <v>1131</v>
      </c>
      <c r="E65" s="144" t="s">
        <v>826</v>
      </c>
      <c r="F65" s="144" t="s">
        <v>1132</v>
      </c>
      <c r="G65" s="144" t="s">
        <v>67</v>
      </c>
      <c r="H65" s="145" t="s">
        <v>1133</v>
      </c>
      <c r="I65" s="145" t="s">
        <v>1134</v>
      </c>
      <c r="J65" s="144">
        <v>8</v>
      </c>
      <c r="K65" s="73" t="s">
        <v>768</v>
      </c>
      <c r="L65" s="11" t="s">
        <v>985</v>
      </c>
      <c r="M65" s="146" t="s">
        <v>171</v>
      </c>
      <c r="N65" s="7" t="s">
        <v>986</v>
      </c>
      <c r="O65" s="7" t="s">
        <v>1135</v>
      </c>
      <c r="P65" s="12" t="s">
        <v>1136</v>
      </c>
      <c r="Q65" s="71" t="s">
        <v>1028</v>
      </c>
      <c r="R65" s="71"/>
      <c r="S65" s="75" t="s">
        <v>1073</v>
      </c>
      <c r="T65" s="75" t="s">
        <v>1137</v>
      </c>
      <c r="U65" s="75" t="s">
        <v>1138</v>
      </c>
      <c r="V65" s="71" t="s">
        <v>1135</v>
      </c>
      <c r="W65" s="71" t="s">
        <v>1076</v>
      </c>
      <c r="X65" s="76" t="s">
        <v>1077</v>
      </c>
      <c r="Y65" s="71" t="s">
        <v>776</v>
      </c>
      <c r="Z65" s="2" t="s">
        <v>777</v>
      </c>
      <c r="AA65" s="2" t="s">
        <v>778</v>
      </c>
      <c r="AB65" s="2" t="s">
        <v>779</v>
      </c>
      <c r="AC65" s="2" t="s">
        <v>1078</v>
      </c>
      <c r="AD65" s="2" t="s">
        <v>1042</v>
      </c>
      <c r="AE65" s="2" t="s">
        <v>1139</v>
      </c>
      <c r="AF65" s="2" t="s">
        <v>1140</v>
      </c>
      <c r="AG65" s="2" t="s">
        <v>1079</v>
      </c>
      <c r="AH65" s="111">
        <v>10</v>
      </c>
      <c r="AI65" s="111">
        <v>1.5</v>
      </c>
      <c r="AJ65" s="111">
        <f t="shared" si="2"/>
        <v>0</v>
      </c>
      <c r="AK65" s="111">
        <f t="shared" si="3"/>
        <v>0</v>
      </c>
      <c r="AL65" s="2" t="s">
        <v>1020</v>
      </c>
      <c r="AM65" s="2" t="s">
        <v>1141</v>
      </c>
      <c r="AN65" s="2" t="s">
        <v>1142</v>
      </c>
      <c r="AO65" s="2" t="s">
        <v>1143</v>
      </c>
    </row>
    <row r="66" spans="1:41" ht="45.95" customHeight="1" x14ac:dyDescent="0.25">
      <c r="A66" s="142" t="s">
        <v>1144</v>
      </c>
      <c r="B66" s="142" t="s">
        <v>7</v>
      </c>
      <c r="C66" s="142" t="s">
        <v>21</v>
      </c>
      <c r="D66" s="143" t="s">
        <v>1145</v>
      </c>
      <c r="E66" s="142" t="s">
        <v>788</v>
      </c>
      <c r="F66" s="142" t="s">
        <v>832</v>
      </c>
      <c r="G66" s="142" t="s">
        <v>67</v>
      </c>
      <c r="H66" s="143" t="s">
        <v>1146</v>
      </c>
      <c r="I66" s="143" t="s">
        <v>1147</v>
      </c>
      <c r="J66" s="142">
        <v>12</v>
      </c>
      <c r="K66" s="142" t="s">
        <v>1007</v>
      </c>
      <c r="L66" s="11" t="s">
        <v>985</v>
      </c>
      <c r="M66" s="7" t="s">
        <v>90</v>
      </c>
      <c r="N66" s="7" t="s">
        <v>986</v>
      </c>
      <c r="O66" s="7" t="s">
        <v>1148</v>
      </c>
      <c r="P66" s="12" t="s">
        <v>1149</v>
      </c>
      <c r="Q66" s="71" t="s">
        <v>1028</v>
      </c>
      <c r="R66" s="71"/>
      <c r="S66" s="75" t="s">
        <v>1073</v>
      </c>
      <c r="T66" s="75" t="s">
        <v>1150</v>
      </c>
      <c r="U66" s="75" t="s">
        <v>1151</v>
      </c>
      <c r="V66" s="71" t="s">
        <v>1148</v>
      </c>
      <c r="W66" s="71" t="s">
        <v>1014</v>
      </c>
      <c r="X66" s="76" t="s">
        <v>1077</v>
      </c>
      <c r="Y66" s="71" t="s">
        <v>776</v>
      </c>
      <c r="Z66" s="2" t="s">
        <v>777</v>
      </c>
      <c r="AA66" s="2" t="s">
        <v>778</v>
      </c>
      <c r="AB66" s="2" t="s">
        <v>779</v>
      </c>
      <c r="AC66" s="2" t="s">
        <v>1152</v>
      </c>
      <c r="AD66" s="2" t="s">
        <v>1042</v>
      </c>
      <c r="AE66" s="2" t="s">
        <v>1017</v>
      </c>
      <c r="AF66" s="2" t="s">
        <v>1018</v>
      </c>
      <c r="AG66" s="2" t="s">
        <v>1029</v>
      </c>
      <c r="AH66" s="111">
        <v>9</v>
      </c>
      <c r="AI66" s="111">
        <v>1.5</v>
      </c>
      <c r="AJ66" s="111">
        <f t="shared" ref="AJ66:AJ97" si="4">IF($K66="Done",0,MAX(0.25,$J66/$AH66))</f>
        <v>1.3333333333333333</v>
      </c>
      <c r="AK66" s="111">
        <f t="shared" ref="AK66:AK97" si="5">IF($K66="Done",0,$AJ66*$AI66)</f>
        <v>2</v>
      </c>
      <c r="AL66" s="2" t="s">
        <v>1153</v>
      </c>
      <c r="AM66" s="2" t="s">
        <v>1154</v>
      </c>
      <c r="AN66" s="2" t="s">
        <v>1022</v>
      </c>
      <c r="AO66" s="2" t="s">
        <v>1023</v>
      </c>
    </row>
    <row r="67" spans="1:41" ht="45.95" customHeight="1" x14ac:dyDescent="0.25">
      <c r="A67" s="142" t="s">
        <v>1155</v>
      </c>
      <c r="B67" s="142" t="s">
        <v>7</v>
      </c>
      <c r="C67" s="142" t="s">
        <v>21</v>
      </c>
      <c r="D67" s="143" t="s">
        <v>1156</v>
      </c>
      <c r="E67" s="142" t="s">
        <v>788</v>
      </c>
      <c r="F67" s="142" t="s">
        <v>832</v>
      </c>
      <c r="G67" s="142" t="s">
        <v>67</v>
      </c>
      <c r="H67" s="143" t="s">
        <v>1157</v>
      </c>
      <c r="I67" s="143" t="s">
        <v>1158</v>
      </c>
      <c r="J67" s="142">
        <v>6</v>
      </c>
      <c r="K67" s="142" t="s">
        <v>1007</v>
      </c>
      <c r="L67" s="11" t="s">
        <v>985</v>
      </c>
      <c r="M67" s="7" t="s">
        <v>90</v>
      </c>
      <c r="N67" s="7" t="s">
        <v>986</v>
      </c>
      <c r="O67" s="7" t="s">
        <v>1159</v>
      </c>
      <c r="P67" s="12" t="s">
        <v>1160</v>
      </c>
      <c r="Q67" s="71" t="s">
        <v>1028</v>
      </c>
      <c r="R67" s="71"/>
      <c r="S67" s="75" t="s">
        <v>1073</v>
      </c>
      <c r="T67" s="75" t="s">
        <v>1161</v>
      </c>
      <c r="U67" s="75" t="s">
        <v>1162</v>
      </c>
      <c r="V67" s="71" t="s">
        <v>1159</v>
      </c>
      <c r="W67" s="71" t="s">
        <v>1014</v>
      </c>
      <c r="X67" s="76" t="s">
        <v>1077</v>
      </c>
      <c r="Y67" s="71" t="s">
        <v>776</v>
      </c>
      <c r="Z67" s="2" t="s">
        <v>777</v>
      </c>
      <c r="AA67" s="2" t="s">
        <v>778</v>
      </c>
      <c r="AB67" s="2" t="s">
        <v>779</v>
      </c>
      <c r="AC67" s="2" t="s">
        <v>780</v>
      </c>
      <c r="AD67" s="2" t="s">
        <v>1042</v>
      </c>
      <c r="AE67" s="2" t="s">
        <v>1017</v>
      </c>
      <c r="AF67" s="2" t="s">
        <v>1018</v>
      </c>
      <c r="AG67" s="2" t="s">
        <v>1029</v>
      </c>
      <c r="AH67" s="111">
        <v>9</v>
      </c>
      <c r="AI67" s="111">
        <v>1.5</v>
      </c>
      <c r="AJ67" s="111">
        <f t="shared" si="4"/>
        <v>0.66666666666666663</v>
      </c>
      <c r="AK67" s="111">
        <f t="shared" si="5"/>
        <v>1</v>
      </c>
      <c r="AL67" s="2" t="s">
        <v>1153</v>
      </c>
      <c r="AM67" s="2" t="s">
        <v>1163</v>
      </c>
      <c r="AN67" s="2" t="s">
        <v>1022</v>
      </c>
      <c r="AO67" s="2" t="s">
        <v>1164</v>
      </c>
    </row>
    <row r="68" spans="1:41" ht="45.95" customHeight="1" x14ac:dyDescent="0.25">
      <c r="A68" s="144" t="s">
        <v>1165</v>
      </c>
      <c r="B68" s="144" t="s">
        <v>7</v>
      </c>
      <c r="C68" s="144" t="s">
        <v>21</v>
      </c>
      <c r="D68" s="145" t="s">
        <v>1166</v>
      </c>
      <c r="E68" s="144" t="s">
        <v>788</v>
      </c>
      <c r="F68" s="144" t="s">
        <v>832</v>
      </c>
      <c r="G68" s="144" t="s">
        <v>68</v>
      </c>
      <c r="H68" s="145" t="s">
        <v>1167</v>
      </c>
      <c r="I68" s="145" t="s">
        <v>1168</v>
      </c>
      <c r="J68" s="144">
        <v>8</v>
      </c>
      <c r="K68" s="73" t="s">
        <v>768</v>
      </c>
      <c r="L68" s="11" t="s">
        <v>985</v>
      </c>
      <c r="M68" s="146" t="s">
        <v>171</v>
      </c>
      <c r="N68" s="7" t="s">
        <v>986</v>
      </c>
      <c r="O68" s="7" t="s">
        <v>1169</v>
      </c>
      <c r="P68" s="12" t="s">
        <v>1170</v>
      </c>
      <c r="Q68" s="71" t="s">
        <v>1028</v>
      </c>
      <c r="R68" s="71"/>
      <c r="S68" s="71" t="s">
        <v>774</v>
      </c>
      <c r="T68" s="71"/>
      <c r="U68" s="71"/>
      <c r="V68" s="71" t="s">
        <v>1169</v>
      </c>
      <c r="W68" s="71" t="s">
        <v>1014</v>
      </c>
      <c r="X68" s="71" t="s">
        <v>775</v>
      </c>
      <c r="Y68" s="71" t="s">
        <v>776</v>
      </c>
      <c r="Z68" s="2" t="s">
        <v>777</v>
      </c>
      <c r="AA68" s="2" t="s">
        <v>778</v>
      </c>
      <c r="AB68" s="2" t="s">
        <v>779</v>
      </c>
      <c r="AC68" s="2" t="s">
        <v>780</v>
      </c>
      <c r="AD68" s="2" t="s">
        <v>1042</v>
      </c>
      <c r="AE68" s="2" t="s">
        <v>1139</v>
      </c>
      <c r="AF68" s="2" t="s">
        <v>1140</v>
      </c>
      <c r="AG68" s="2" t="s">
        <v>1029</v>
      </c>
      <c r="AH68" s="111">
        <v>9</v>
      </c>
      <c r="AI68" s="111">
        <v>1.5</v>
      </c>
      <c r="AJ68" s="111">
        <f t="shared" si="4"/>
        <v>0</v>
      </c>
      <c r="AK68" s="111">
        <f t="shared" si="5"/>
        <v>0</v>
      </c>
      <c r="AL68" s="2" t="s">
        <v>1153</v>
      </c>
      <c r="AM68" s="2" t="s">
        <v>1171</v>
      </c>
      <c r="AN68" s="2" t="s">
        <v>1142</v>
      </c>
      <c r="AO68" s="2" t="s">
        <v>1172</v>
      </c>
    </row>
    <row r="69" spans="1:41" ht="45.95" customHeight="1" x14ac:dyDescent="0.25">
      <c r="A69" s="144" t="s">
        <v>1173</v>
      </c>
      <c r="B69" s="144" t="s">
        <v>7</v>
      </c>
      <c r="C69" s="144" t="s">
        <v>21</v>
      </c>
      <c r="D69" s="145" t="s">
        <v>1174</v>
      </c>
      <c r="E69" s="144" t="s">
        <v>788</v>
      </c>
      <c r="F69" s="144" t="s">
        <v>832</v>
      </c>
      <c r="G69" s="144" t="s">
        <v>67</v>
      </c>
      <c r="H69" s="145" t="s">
        <v>1175</v>
      </c>
      <c r="I69" s="145" t="s">
        <v>1176</v>
      </c>
      <c r="J69" s="144">
        <v>6</v>
      </c>
      <c r="K69" s="73" t="s">
        <v>768</v>
      </c>
      <c r="L69" s="11" t="s">
        <v>985</v>
      </c>
      <c r="M69" s="7" t="s">
        <v>90</v>
      </c>
      <c r="N69" s="7" t="s">
        <v>986</v>
      </c>
      <c r="O69" s="7" t="s">
        <v>1177</v>
      </c>
      <c r="P69" s="12" t="s">
        <v>1178</v>
      </c>
      <c r="Q69" s="71" t="s">
        <v>1028</v>
      </c>
      <c r="R69" s="71"/>
      <c r="S69" s="75" t="s">
        <v>1073</v>
      </c>
      <c r="T69" s="75" t="s">
        <v>1179</v>
      </c>
      <c r="U69" s="75" t="s">
        <v>1180</v>
      </c>
      <c r="V69" s="71" t="s">
        <v>1177</v>
      </c>
      <c r="W69" s="71" t="s">
        <v>1014</v>
      </c>
      <c r="X69" s="76" t="s">
        <v>1077</v>
      </c>
      <c r="Y69" s="71" t="s">
        <v>776</v>
      </c>
      <c r="Z69" s="2" t="s">
        <v>777</v>
      </c>
      <c r="AA69" s="2" t="s">
        <v>778</v>
      </c>
      <c r="AB69" s="2" t="s">
        <v>779</v>
      </c>
      <c r="AC69" s="2" t="s">
        <v>1152</v>
      </c>
      <c r="AD69" s="2" t="s">
        <v>1042</v>
      </c>
      <c r="AE69" s="2" t="s">
        <v>1017</v>
      </c>
      <c r="AF69" s="2" t="s">
        <v>1018</v>
      </c>
      <c r="AG69" s="2" t="s">
        <v>1029</v>
      </c>
      <c r="AH69" s="111">
        <v>9</v>
      </c>
      <c r="AI69" s="111">
        <v>1.5</v>
      </c>
      <c r="AJ69" s="111">
        <f t="shared" si="4"/>
        <v>0</v>
      </c>
      <c r="AK69" s="111">
        <f t="shared" si="5"/>
        <v>0</v>
      </c>
      <c r="AL69" s="2" t="s">
        <v>1153</v>
      </c>
      <c r="AM69" s="2" t="s">
        <v>1181</v>
      </c>
      <c r="AN69" s="2" t="s">
        <v>1022</v>
      </c>
      <c r="AO69" s="2" t="s">
        <v>1023</v>
      </c>
    </row>
    <row r="70" spans="1:41" ht="45.95" customHeight="1" x14ac:dyDescent="0.25">
      <c r="A70" s="67" t="s">
        <v>1182</v>
      </c>
      <c r="B70" s="67" t="s">
        <v>7</v>
      </c>
      <c r="C70" s="67" t="s">
        <v>25</v>
      </c>
      <c r="D70" s="68" t="s">
        <v>1183</v>
      </c>
      <c r="E70" s="67" t="s">
        <v>1184</v>
      </c>
      <c r="F70" s="67" t="s">
        <v>1185</v>
      </c>
      <c r="G70" s="67" t="s">
        <v>67</v>
      </c>
      <c r="H70" s="68" t="s">
        <v>1186</v>
      </c>
      <c r="I70" s="68" t="s">
        <v>1187</v>
      </c>
      <c r="J70" s="67">
        <v>8</v>
      </c>
      <c r="K70" s="73" t="s">
        <v>768</v>
      </c>
      <c r="L70" s="11" t="s">
        <v>769</v>
      </c>
      <c r="M70" s="146" t="s">
        <v>171</v>
      </c>
      <c r="N70" s="7" t="s">
        <v>770</v>
      </c>
      <c r="O70" s="7" t="s">
        <v>771</v>
      </c>
      <c r="P70" s="12" t="s">
        <v>772</v>
      </c>
      <c r="Q70" s="71" t="s">
        <v>773</v>
      </c>
      <c r="R70" s="71"/>
      <c r="S70" s="71" t="s">
        <v>774</v>
      </c>
      <c r="T70" s="71"/>
      <c r="U70" s="71"/>
      <c r="V70" s="71" t="s">
        <v>771</v>
      </c>
      <c r="W70" s="71" t="s">
        <v>171</v>
      </c>
      <c r="X70" s="71" t="s">
        <v>775</v>
      </c>
      <c r="Y70" s="71" t="s">
        <v>776</v>
      </c>
      <c r="Z70" s="2" t="s">
        <v>777</v>
      </c>
      <c r="AA70" s="2" t="s">
        <v>778</v>
      </c>
      <c r="AB70" s="2" t="s">
        <v>779</v>
      </c>
      <c r="AC70" s="2" t="s">
        <v>780</v>
      </c>
      <c r="AD70" s="2" t="s">
        <v>781</v>
      </c>
      <c r="AE70" s="2" t="s">
        <v>171</v>
      </c>
      <c r="AF70" s="2" t="s">
        <v>782</v>
      </c>
      <c r="AG70" s="2" t="s">
        <v>781</v>
      </c>
      <c r="AH70" s="111">
        <v>0</v>
      </c>
      <c r="AI70" s="111">
        <v>0</v>
      </c>
      <c r="AJ70" s="111">
        <f t="shared" si="4"/>
        <v>0</v>
      </c>
      <c r="AK70" s="111">
        <f t="shared" si="5"/>
        <v>0</v>
      </c>
      <c r="AL70" s="2" t="s">
        <v>171</v>
      </c>
      <c r="AM70" s="2" t="s">
        <v>783</v>
      </c>
      <c r="AN70" s="2" t="s">
        <v>784</v>
      </c>
      <c r="AO70" s="2" t="s">
        <v>785</v>
      </c>
    </row>
    <row r="71" spans="1:41" ht="45.95" customHeight="1" x14ac:dyDescent="0.25">
      <c r="A71" s="67" t="s">
        <v>1188</v>
      </c>
      <c r="B71" s="67" t="s">
        <v>7</v>
      </c>
      <c r="C71" s="67" t="s">
        <v>25</v>
      </c>
      <c r="D71" s="68" t="s">
        <v>1189</v>
      </c>
      <c r="E71" s="67" t="s">
        <v>1184</v>
      </c>
      <c r="F71" s="67" t="s">
        <v>1185</v>
      </c>
      <c r="G71" s="67" t="s">
        <v>801</v>
      </c>
      <c r="H71" s="68" t="s">
        <v>1190</v>
      </c>
      <c r="I71" s="68" t="s">
        <v>1191</v>
      </c>
      <c r="J71" s="67">
        <v>6</v>
      </c>
      <c r="K71" s="73" t="s">
        <v>768</v>
      </c>
      <c r="L71" s="11" t="s">
        <v>769</v>
      </c>
      <c r="M71" s="146" t="s">
        <v>171</v>
      </c>
      <c r="N71" s="7" t="s">
        <v>770</v>
      </c>
      <c r="O71" s="7" t="s">
        <v>771</v>
      </c>
      <c r="P71" s="12" t="s">
        <v>772</v>
      </c>
      <c r="Q71" s="71" t="s">
        <v>773</v>
      </c>
      <c r="R71" s="71"/>
      <c r="S71" s="71" t="s">
        <v>774</v>
      </c>
      <c r="T71" s="71"/>
      <c r="U71" s="71"/>
      <c r="V71" s="71" t="s">
        <v>771</v>
      </c>
      <c r="W71" s="71" t="s">
        <v>171</v>
      </c>
      <c r="X71" s="71" t="s">
        <v>775</v>
      </c>
      <c r="Y71" s="71" t="s">
        <v>776</v>
      </c>
      <c r="Z71" s="2" t="s">
        <v>777</v>
      </c>
      <c r="AA71" s="2" t="s">
        <v>778</v>
      </c>
      <c r="AB71" s="2" t="s">
        <v>779</v>
      </c>
      <c r="AC71" s="2" t="s">
        <v>780</v>
      </c>
      <c r="AD71" s="2" t="s">
        <v>781</v>
      </c>
      <c r="AE71" s="2" t="s">
        <v>171</v>
      </c>
      <c r="AF71" s="2" t="s">
        <v>782</v>
      </c>
      <c r="AG71" s="2" t="s">
        <v>781</v>
      </c>
      <c r="AH71" s="111">
        <v>0</v>
      </c>
      <c r="AI71" s="111">
        <v>0</v>
      </c>
      <c r="AJ71" s="111">
        <f t="shared" si="4"/>
        <v>0</v>
      </c>
      <c r="AK71" s="111">
        <f t="shared" si="5"/>
        <v>0</v>
      </c>
      <c r="AL71" s="2" t="s">
        <v>171</v>
      </c>
      <c r="AM71" s="2" t="s">
        <v>783</v>
      </c>
      <c r="AN71" s="2" t="s">
        <v>784</v>
      </c>
      <c r="AO71" s="2" t="s">
        <v>785</v>
      </c>
    </row>
    <row r="72" spans="1:41" ht="45.95" customHeight="1" x14ac:dyDescent="0.25">
      <c r="A72" s="67" t="s">
        <v>170</v>
      </c>
      <c r="B72" s="67" t="s">
        <v>7</v>
      </c>
      <c r="C72" s="67" t="s">
        <v>25</v>
      </c>
      <c r="D72" s="68" t="s">
        <v>1192</v>
      </c>
      <c r="E72" s="67" t="s">
        <v>788</v>
      </c>
      <c r="F72" s="67" t="s">
        <v>1193</v>
      </c>
      <c r="G72" s="67" t="s">
        <v>67</v>
      </c>
      <c r="H72" s="68" t="s">
        <v>1194</v>
      </c>
      <c r="I72" s="68" t="s">
        <v>1195</v>
      </c>
      <c r="J72" s="67">
        <v>8</v>
      </c>
      <c r="K72" s="73" t="s">
        <v>768</v>
      </c>
      <c r="L72" s="11" t="s">
        <v>769</v>
      </c>
      <c r="M72" s="146" t="s">
        <v>171</v>
      </c>
      <c r="N72" s="7" t="s">
        <v>770</v>
      </c>
      <c r="O72" s="7" t="s">
        <v>771</v>
      </c>
      <c r="P72" s="12" t="s">
        <v>772</v>
      </c>
      <c r="Q72" s="71" t="s">
        <v>773</v>
      </c>
      <c r="R72" s="71"/>
      <c r="S72" s="71" t="s">
        <v>774</v>
      </c>
      <c r="T72" s="71"/>
      <c r="U72" s="71"/>
      <c r="V72" s="71" t="s">
        <v>771</v>
      </c>
      <c r="W72" s="71" t="s">
        <v>171</v>
      </c>
      <c r="X72" s="71" t="s">
        <v>775</v>
      </c>
      <c r="Y72" s="71" t="s">
        <v>776</v>
      </c>
      <c r="Z72" s="2" t="s">
        <v>777</v>
      </c>
      <c r="AA72" s="2" t="s">
        <v>778</v>
      </c>
      <c r="AB72" s="2" t="s">
        <v>779</v>
      </c>
      <c r="AC72" s="2" t="s">
        <v>1196</v>
      </c>
      <c r="AD72" s="2" t="s">
        <v>781</v>
      </c>
      <c r="AE72" s="2" t="s">
        <v>171</v>
      </c>
      <c r="AF72" s="2" t="s">
        <v>782</v>
      </c>
      <c r="AG72" s="2" t="s">
        <v>781</v>
      </c>
      <c r="AH72" s="111">
        <v>0</v>
      </c>
      <c r="AI72" s="111">
        <v>0</v>
      </c>
      <c r="AJ72" s="111">
        <f t="shared" si="4"/>
        <v>0</v>
      </c>
      <c r="AK72" s="111">
        <f t="shared" si="5"/>
        <v>0</v>
      </c>
      <c r="AL72" s="2" t="s">
        <v>171</v>
      </c>
      <c r="AM72" s="2" t="s">
        <v>783</v>
      </c>
      <c r="AN72" s="2" t="s">
        <v>784</v>
      </c>
      <c r="AO72" s="2" t="s">
        <v>785</v>
      </c>
    </row>
    <row r="73" spans="1:41" ht="45.95" customHeight="1" x14ac:dyDescent="0.25">
      <c r="A73" s="67" t="s">
        <v>175</v>
      </c>
      <c r="B73" s="67" t="s">
        <v>7</v>
      </c>
      <c r="C73" s="67" t="s">
        <v>25</v>
      </c>
      <c r="D73" s="68" t="s">
        <v>1197</v>
      </c>
      <c r="E73" s="67" t="s">
        <v>826</v>
      </c>
      <c r="F73" s="67" t="s">
        <v>1193</v>
      </c>
      <c r="G73" s="67" t="s">
        <v>67</v>
      </c>
      <c r="H73" s="68" t="s">
        <v>1198</v>
      </c>
      <c r="I73" s="68" t="s">
        <v>1199</v>
      </c>
      <c r="J73" s="67">
        <v>8</v>
      </c>
      <c r="K73" s="73" t="s">
        <v>768</v>
      </c>
      <c r="L73" s="11" t="s">
        <v>769</v>
      </c>
      <c r="M73" s="146" t="s">
        <v>171</v>
      </c>
      <c r="N73" s="7" t="s">
        <v>770</v>
      </c>
      <c r="O73" s="7" t="s">
        <v>771</v>
      </c>
      <c r="P73" s="12" t="s">
        <v>772</v>
      </c>
      <c r="Q73" s="71" t="s">
        <v>773</v>
      </c>
      <c r="R73" s="71"/>
      <c r="S73" s="71" t="s">
        <v>774</v>
      </c>
      <c r="T73" s="71"/>
      <c r="U73" s="71"/>
      <c r="V73" s="71" t="s">
        <v>771</v>
      </c>
      <c r="W73" s="71" t="s">
        <v>171</v>
      </c>
      <c r="X73" s="71" t="s">
        <v>775</v>
      </c>
      <c r="Y73" s="71" t="s">
        <v>776</v>
      </c>
      <c r="Z73" s="2" t="s">
        <v>777</v>
      </c>
      <c r="AA73" s="2" t="s">
        <v>778</v>
      </c>
      <c r="AB73" s="2" t="s">
        <v>779</v>
      </c>
      <c r="AC73" s="2" t="s">
        <v>1196</v>
      </c>
      <c r="AD73" s="2" t="s">
        <v>781</v>
      </c>
      <c r="AE73" s="2" t="s">
        <v>171</v>
      </c>
      <c r="AF73" s="2" t="s">
        <v>782</v>
      </c>
      <c r="AG73" s="2" t="s">
        <v>781</v>
      </c>
      <c r="AH73" s="111">
        <v>0</v>
      </c>
      <c r="AI73" s="111">
        <v>0</v>
      </c>
      <c r="AJ73" s="111">
        <f t="shared" si="4"/>
        <v>0</v>
      </c>
      <c r="AK73" s="111">
        <f t="shared" si="5"/>
        <v>0</v>
      </c>
      <c r="AL73" s="2" t="s">
        <v>171</v>
      </c>
      <c r="AM73" s="2" t="s">
        <v>783</v>
      </c>
      <c r="AN73" s="2" t="s">
        <v>784</v>
      </c>
      <c r="AO73" s="2" t="s">
        <v>785</v>
      </c>
    </row>
    <row r="74" spans="1:41" ht="45.95" customHeight="1" x14ac:dyDescent="0.25">
      <c r="A74" s="67" t="s">
        <v>179</v>
      </c>
      <c r="B74" s="67" t="s">
        <v>7</v>
      </c>
      <c r="C74" s="67" t="s">
        <v>25</v>
      </c>
      <c r="D74" s="68" t="s">
        <v>1200</v>
      </c>
      <c r="E74" s="67" t="s">
        <v>1201</v>
      </c>
      <c r="F74" s="67" t="s">
        <v>1193</v>
      </c>
      <c r="G74" s="67" t="s">
        <v>67</v>
      </c>
      <c r="H74" s="68" t="s">
        <v>1202</v>
      </c>
      <c r="I74" s="68" t="s">
        <v>1203</v>
      </c>
      <c r="J74" s="67">
        <v>8</v>
      </c>
      <c r="K74" s="73" t="s">
        <v>768</v>
      </c>
      <c r="L74" s="11" t="s">
        <v>769</v>
      </c>
      <c r="M74" s="146" t="s">
        <v>171</v>
      </c>
      <c r="N74" s="7" t="s">
        <v>770</v>
      </c>
      <c r="O74" s="7" t="s">
        <v>771</v>
      </c>
      <c r="P74" s="12" t="s">
        <v>772</v>
      </c>
      <c r="Q74" s="71" t="s">
        <v>773</v>
      </c>
      <c r="R74" s="71"/>
      <c r="S74" s="71" t="s">
        <v>774</v>
      </c>
      <c r="T74" s="71"/>
      <c r="U74" s="71"/>
      <c r="V74" s="71" t="s">
        <v>771</v>
      </c>
      <c r="W74" s="71" t="s">
        <v>171</v>
      </c>
      <c r="X74" s="71" t="s">
        <v>775</v>
      </c>
      <c r="Y74" s="71" t="s">
        <v>776</v>
      </c>
      <c r="Z74" s="2" t="s">
        <v>777</v>
      </c>
      <c r="AA74" s="2" t="s">
        <v>778</v>
      </c>
      <c r="AB74" s="2" t="s">
        <v>779</v>
      </c>
      <c r="AC74" s="2" t="s">
        <v>1196</v>
      </c>
      <c r="AD74" s="2" t="s">
        <v>781</v>
      </c>
      <c r="AE74" s="2" t="s">
        <v>171</v>
      </c>
      <c r="AF74" s="2" t="s">
        <v>782</v>
      </c>
      <c r="AG74" s="2" t="s">
        <v>781</v>
      </c>
      <c r="AH74" s="111">
        <v>0</v>
      </c>
      <c r="AI74" s="111">
        <v>0</v>
      </c>
      <c r="AJ74" s="111">
        <f t="shared" si="4"/>
        <v>0</v>
      </c>
      <c r="AK74" s="111">
        <f t="shared" si="5"/>
        <v>0</v>
      </c>
      <c r="AL74" s="2" t="s">
        <v>171</v>
      </c>
      <c r="AM74" s="2" t="s">
        <v>783</v>
      </c>
      <c r="AN74" s="2" t="s">
        <v>784</v>
      </c>
      <c r="AO74" s="2" t="s">
        <v>785</v>
      </c>
    </row>
    <row r="75" spans="1:41" ht="45.95" customHeight="1" x14ac:dyDescent="0.25">
      <c r="A75" s="67" t="s">
        <v>183</v>
      </c>
      <c r="B75" s="67" t="s">
        <v>7</v>
      </c>
      <c r="C75" s="67" t="s">
        <v>25</v>
      </c>
      <c r="D75" s="68" t="s">
        <v>1204</v>
      </c>
      <c r="E75" s="67" t="s">
        <v>826</v>
      </c>
      <c r="F75" s="67" t="s">
        <v>1193</v>
      </c>
      <c r="G75" s="67" t="s">
        <v>68</v>
      </c>
      <c r="H75" s="68" t="s">
        <v>1205</v>
      </c>
      <c r="I75" s="68" t="s">
        <v>1206</v>
      </c>
      <c r="J75" s="67">
        <v>4</v>
      </c>
      <c r="K75" s="73" t="s">
        <v>768</v>
      </c>
      <c r="L75" s="11" t="s">
        <v>769</v>
      </c>
      <c r="M75" s="146" t="s">
        <v>171</v>
      </c>
      <c r="N75" s="7" t="s">
        <v>770</v>
      </c>
      <c r="O75" s="7" t="s">
        <v>771</v>
      </c>
      <c r="P75" s="12" t="s">
        <v>772</v>
      </c>
      <c r="Q75" s="71" t="s">
        <v>773</v>
      </c>
      <c r="R75" s="71"/>
      <c r="S75" s="71" t="s">
        <v>774</v>
      </c>
      <c r="T75" s="71"/>
      <c r="U75" s="71"/>
      <c r="V75" s="71" t="s">
        <v>771</v>
      </c>
      <c r="W75" s="71" t="s">
        <v>171</v>
      </c>
      <c r="X75" s="71" t="s">
        <v>775</v>
      </c>
      <c r="Y75" s="71" t="s">
        <v>776</v>
      </c>
      <c r="Z75" s="2" t="s">
        <v>777</v>
      </c>
      <c r="AA75" s="2" t="s">
        <v>778</v>
      </c>
      <c r="AB75" s="2" t="s">
        <v>779</v>
      </c>
      <c r="AC75" s="2" t="s">
        <v>1196</v>
      </c>
      <c r="AD75" s="2" t="s">
        <v>781</v>
      </c>
      <c r="AE75" s="2" t="s">
        <v>171</v>
      </c>
      <c r="AF75" s="2" t="s">
        <v>782</v>
      </c>
      <c r="AG75" s="2" t="s">
        <v>781</v>
      </c>
      <c r="AH75" s="111">
        <v>0</v>
      </c>
      <c r="AI75" s="111">
        <v>0</v>
      </c>
      <c r="AJ75" s="111">
        <f t="shared" si="4"/>
        <v>0</v>
      </c>
      <c r="AK75" s="111">
        <f t="shared" si="5"/>
        <v>0</v>
      </c>
      <c r="AL75" s="2" t="s">
        <v>171</v>
      </c>
      <c r="AM75" s="2" t="s">
        <v>783</v>
      </c>
      <c r="AN75" s="2" t="s">
        <v>784</v>
      </c>
      <c r="AO75" s="2" t="s">
        <v>785</v>
      </c>
    </row>
    <row r="76" spans="1:41" ht="45.95" customHeight="1" x14ac:dyDescent="0.25">
      <c r="A76" s="67" t="s">
        <v>186</v>
      </c>
      <c r="B76" s="67" t="s">
        <v>7</v>
      </c>
      <c r="C76" s="67" t="s">
        <v>25</v>
      </c>
      <c r="D76" s="68" t="s">
        <v>1207</v>
      </c>
      <c r="E76" s="67" t="s">
        <v>788</v>
      </c>
      <c r="F76" s="67" t="s">
        <v>1193</v>
      </c>
      <c r="G76" s="67" t="s">
        <v>68</v>
      </c>
      <c r="H76" s="68" t="s">
        <v>1208</v>
      </c>
      <c r="I76" s="68" t="s">
        <v>1209</v>
      </c>
      <c r="J76" s="67">
        <v>4</v>
      </c>
      <c r="K76" s="73" t="s">
        <v>768</v>
      </c>
      <c r="L76" s="11" t="s">
        <v>769</v>
      </c>
      <c r="M76" s="146" t="s">
        <v>171</v>
      </c>
      <c r="N76" s="7" t="s">
        <v>770</v>
      </c>
      <c r="O76" s="7" t="s">
        <v>771</v>
      </c>
      <c r="P76" s="12" t="s">
        <v>772</v>
      </c>
      <c r="Q76" s="71" t="s">
        <v>773</v>
      </c>
      <c r="R76" s="71"/>
      <c r="S76" s="71" t="s">
        <v>774</v>
      </c>
      <c r="T76" s="71"/>
      <c r="U76" s="71"/>
      <c r="V76" s="71" t="s">
        <v>771</v>
      </c>
      <c r="W76" s="71" t="s">
        <v>171</v>
      </c>
      <c r="X76" s="71" t="s">
        <v>775</v>
      </c>
      <c r="Y76" s="71" t="s">
        <v>776</v>
      </c>
      <c r="Z76" s="2" t="s">
        <v>777</v>
      </c>
      <c r="AA76" s="2" t="s">
        <v>778</v>
      </c>
      <c r="AB76" s="2" t="s">
        <v>779</v>
      </c>
      <c r="AC76" s="2" t="s">
        <v>1196</v>
      </c>
      <c r="AD76" s="2" t="s">
        <v>781</v>
      </c>
      <c r="AE76" s="2" t="s">
        <v>171</v>
      </c>
      <c r="AF76" s="2" t="s">
        <v>782</v>
      </c>
      <c r="AG76" s="2" t="s">
        <v>781</v>
      </c>
      <c r="AH76" s="111">
        <v>0</v>
      </c>
      <c r="AI76" s="111">
        <v>0</v>
      </c>
      <c r="AJ76" s="111">
        <f t="shared" si="4"/>
        <v>0</v>
      </c>
      <c r="AK76" s="111">
        <f t="shared" si="5"/>
        <v>0</v>
      </c>
      <c r="AL76" s="2" t="s">
        <v>171</v>
      </c>
      <c r="AM76" s="2" t="s">
        <v>783</v>
      </c>
      <c r="AN76" s="2" t="s">
        <v>784</v>
      </c>
      <c r="AO76" s="2" t="s">
        <v>785</v>
      </c>
    </row>
    <row r="77" spans="1:41" ht="45.95" customHeight="1" x14ac:dyDescent="0.25">
      <c r="A77" s="69" t="s">
        <v>190</v>
      </c>
      <c r="B77" s="69" t="s">
        <v>7</v>
      </c>
      <c r="C77" s="69" t="s">
        <v>25</v>
      </c>
      <c r="D77" s="70" t="s">
        <v>1210</v>
      </c>
      <c r="E77" s="69" t="s">
        <v>764</v>
      </c>
      <c r="F77" s="69" t="s">
        <v>1193</v>
      </c>
      <c r="G77" s="69" t="s">
        <v>68</v>
      </c>
      <c r="H77" s="70" t="s">
        <v>1211</v>
      </c>
      <c r="I77" s="70" t="s">
        <v>1212</v>
      </c>
      <c r="J77" s="69">
        <v>4</v>
      </c>
      <c r="K77" s="69" t="s">
        <v>1028</v>
      </c>
      <c r="L77" s="11" t="s">
        <v>985</v>
      </c>
      <c r="M77" s="7" t="s">
        <v>90</v>
      </c>
      <c r="N77" s="7" t="s">
        <v>986</v>
      </c>
      <c r="O77" s="7" t="s">
        <v>1213</v>
      </c>
      <c r="P77" s="12" t="s">
        <v>1214</v>
      </c>
      <c r="Q77" s="71" t="s">
        <v>1028</v>
      </c>
      <c r="R77" s="71"/>
      <c r="S77" s="71" t="s">
        <v>774</v>
      </c>
      <c r="T77" s="71"/>
      <c r="U77" s="71"/>
      <c r="V77" s="71" t="s">
        <v>1213</v>
      </c>
      <c r="W77" s="71" t="s">
        <v>1014</v>
      </c>
      <c r="X77" s="71" t="s">
        <v>775</v>
      </c>
      <c r="Y77" s="71" t="s">
        <v>776</v>
      </c>
      <c r="Z77" s="2" t="s">
        <v>777</v>
      </c>
      <c r="AA77" s="2" t="s">
        <v>778</v>
      </c>
      <c r="AB77" s="2" t="s">
        <v>779</v>
      </c>
      <c r="AC77" s="2" t="s">
        <v>1196</v>
      </c>
      <c r="AD77" s="2" t="s">
        <v>1042</v>
      </c>
      <c r="AE77" s="2" t="s">
        <v>1139</v>
      </c>
      <c r="AF77" s="2" t="s">
        <v>1140</v>
      </c>
      <c r="AG77" s="2" t="s">
        <v>1215</v>
      </c>
      <c r="AH77" s="111">
        <v>18</v>
      </c>
      <c r="AI77" s="111">
        <v>1.35</v>
      </c>
      <c r="AJ77" s="111">
        <f t="shared" si="4"/>
        <v>0.25</v>
      </c>
      <c r="AK77" s="111">
        <f t="shared" si="5"/>
        <v>0.33750000000000002</v>
      </c>
      <c r="AL77" s="2" t="s">
        <v>1216</v>
      </c>
      <c r="AM77" s="2" t="s">
        <v>1217</v>
      </c>
      <c r="AN77" s="2" t="s">
        <v>1142</v>
      </c>
      <c r="AO77" s="2" t="s">
        <v>1218</v>
      </c>
    </row>
    <row r="78" spans="1:41" ht="45.95" customHeight="1" x14ac:dyDescent="0.25">
      <c r="A78" s="69" t="s">
        <v>1219</v>
      </c>
      <c r="B78" s="69" t="s">
        <v>7</v>
      </c>
      <c r="C78" s="69" t="s">
        <v>25</v>
      </c>
      <c r="D78" s="70" t="s">
        <v>1220</v>
      </c>
      <c r="E78" s="69" t="s">
        <v>820</v>
      </c>
      <c r="F78" s="69" t="s">
        <v>1221</v>
      </c>
      <c r="G78" s="69" t="s">
        <v>67</v>
      </c>
      <c r="H78" s="70" t="s">
        <v>1222</v>
      </c>
      <c r="I78" s="70" t="s">
        <v>1223</v>
      </c>
      <c r="J78" s="69">
        <v>6</v>
      </c>
      <c r="K78" s="69" t="s">
        <v>1028</v>
      </c>
      <c r="L78" s="11" t="s">
        <v>985</v>
      </c>
      <c r="M78" s="7" t="s">
        <v>90</v>
      </c>
      <c r="N78" s="7" t="s">
        <v>986</v>
      </c>
      <c r="O78" s="7" t="s">
        <v>1224</v>
      </c>
      <c r="P78" s="12" t="s">
        <v>1225</v>
      </c>
      <c r="Q78" s="71" t="s">
        <v>1028</v>
      </c>
      <c r="R78" s="71"/>
      <c r="S78" s="71" t="s">
        <v>774</v>
      </c>
      <c r="T78" s="71"/>
      <c r="U78" s="71"/>
      <c r="V78" s="71" t="s">
        <v>1224</v>
      </c>
      <c r="W78" s="71" t="s">
        <v>1014</v>
      </c>
      <c r="X78" s="71" t="s">
        <v>775</v>
      </c>
      <c r="Y78" s="71" t="s">
        <v>776</v>
      </c>
      <c r="Z78" s="2" t="s">
        <v>777</v>
      </c>
      <c r="AA78" s="2" t="s">
        <v>778</v>
      </c>
      <c r="AB78" s="2" t="s">
        <v>779</v>
      </c>
      <c r="AC78" s="2" t="s">
        <v>1226</v>
      </c>
      <c r="AD78" s="2" t="s">
        <v>1042</v>
      </c>
      <c r="AE78" s="2" t="s">
        <v>1017</v>
      </c>
      <c r="AF78" s="2" t="s">
        <v>1018</v>
      </c>
      <c r="AG78" s="2" t="s">
        <v>1227</v>
      </c>
      <c r="AH78" s="111">
        <v>5</v>
      </c>
      <c r="AI78" s="111">
        <v>1.7</v>
      </c>
      <c r="AJ78" s="111">
        <f t="shared" si="4"/>
        <v>1.2</v>
      </c>
      <c r="AK78" s="111">
        <f t="shared" si="5"/>
        <v>2.04</v>
      </c>
      <c r="AL78" s="2" t="s">
        <v>1216</v>
      </c>
      <c r="AM78" s="2" t="s">
        <v>1228</v>
      </c>
      <c r="AN78" s="2" t="s">
        <v>1022</v>
      </c>
      <c r="AO78" s="2" t="s">
        <v>1023</v>
      </c>
    </row>
    <row r="79" spans="1:41" ht="45.95" customHeight="1" x14ac:dyDescent="0.25">
      <c r="A79" s="69" t="s">
        <v>1229</v>
      </c>
      <c r="B79" s="69" t="s">
        <v>7</v>
      </c>
      <c r="C79" s="69" t="s">
        <v>25</v>
      </c>
      <c r="D79" s="70" t="s">
        <v>1230</v>
      </c>
      <c r="E79" s="69" t="s">
        <v>820</v>
      </c>
      <c r="F79" s="69" t="s">
        <v>1231</v>
      </c>
      <c r="G79" s="69" t="s">
        <v>68</v>
      </c>
      <c r="H79" s="70" t="s">
        <v>1232</v>
      </c>
      <c r="I79" s="70" t="s">
        <v>1233</v>
      </c>
      <c r="J79" s="69">
        <v>4</v>
      </c>
      <c r="K79" s="69" t="s">
        <v>1028</v>
      </c>
      <c r="L79" s="11" t="s">
        <v>985</v>
      </c>
      <c r="M79" s="7" t="s">
        <v>90</v>
      </c>
      <c r="N79" s="7" t="s">
        <v>986</v>
      </c>
      <c r="O79" s="7" t="s">
        <v>1234</v>
      </c>
      <c r="P79" s="12" t="s">
        <v>1235</v>
      </c>
      <c r="Q79" s="71" t="s">
        <v>1028</v>
      </c>
      <c r="R79" s="71"/>
      <c r="S79" s="71" t="s">
        <v>774</v>
      </c>
      <c r="T79" s="71"/>
      <c r="U79" s="71"/>
      <c r="V79" s="71" t="s">
        <v>1234</v>
      </c>
      <c r="W79" s="71" t="s">
        <v>1014</v>
      </c>
      <c r="X79" s="71" t="s">
        <v>775</v>
      </c>
      <c r="Y79" s="71" t="s">
        <v>776</v>
      </c>
      <c r="Z79" s="2" t="s">
        <v>777</v>
      </c>
      <c r="AA79" s="2" t="s">
        <v>778</v>
      </c>
      <c r="AB79" s="2" t="s">
        <v>779</v>
      </c>
      <c r="AC79" s="2" t="s">
        <v>780</v>
      </c>
      <c r="AD79" s="2" t="s">
        <v>1042</v>
      </c>
      <c r="AE79" s="2" t="s">
        <v>1017</v>
      </c>
      <c r="AF79" s="2" t="s">
        <v>1018</v>
      </c>
      <c r="AG79" s="2" t="s">
        <v>1227</v>
      </c>
      <c r="AH79" s="111">
        <v>5</v>
      </c>
      <c r="AI79" s="111">
        <v>1.7</v>
      </c>
      <c r="AJ79" s="111">
        <f t="shared" si="4"/>
        <v>0.8</v>
      </c>
      <c r="AK79" s="111">
        <f t="shared" si="5"/>
        <v>1.36</v>
      </c>
      <c r="AL79" s="2" t="s">
        <v>1216</v>
      </c>
      <c r="AM79" s="2" t="s">
        <v>1234</v>
      </c>
      <c r="AN79" s="2" t="s">
        <v>1022</v>
      </c>
      <c r="AO79" s="2" t="s">
        <v>1023</v>
      </c>
    </row>
    <row r="80" spans="1:41" ht="45.95" customHeight="1" x14ac:dyDescent="0.25">
      <c r="A80" s="69" t="s">
        <v>1236</v>
      </c>
      <c r="B80" s="69" t="s">
        <v>7</v>
      </c>
      <c r="C80" s="69" t="s">
        <v>25</v>
      </c>
      <c r="D80" s="70" t="s">
        <v>1237</v>
      </c>
      <c r="E80" s="69" t="s">
        <v>820</v>
      </c>
      <c r="F80" s="69" t="s">
        <v>1221</v>
      </c>
      <c r="G80" s="69" t="s">
        <v>68</v>
      </c>
      <c r="H80" s="70" t="s">
        <v>1238</v>
      </c>
      <c r="I80" s="70" t="s">
        <v>1239</v>
      </c>
      <c r="J80" s="69">
        <v>3</v>
      </c>
      <c r="K80" s="69" t="s">
        <v>1028</v>
      </c>
      <c r="L80" s="11" t="s">
        <v>985</v>
      </c>
      <c r="M80" s="7" t="s">
        <v>90</v>
      </c>
      <c r="N80" s="7" t="s">
        <v>986</v>
      </c>
      <c r="O80" s="7" t="s">
        <v>1240</v>
      </c>
      <c r="P80" s="12" t="s">
        <v>1241</v>
      </c>
      <c r="Q80" s="71" t="s">
        <v>1028</v>
      </c>
      <c r="R80" s="71"/>
      <c r="S80" s="71" t="s">
        <v>774</v>
      </c>
      <c r="T80" s="71"/>
      <c r="U80" s="71"/>
      <c r="V80" s="71" t="s">
        <v>1240</v>
      </c>
      <c r="W80" s="71" t="s">
        <v>1014</v>
      </c>
      <c r="X80" s="71" t="s">
        <v>775</v>
      </c>
      <c r="Y80" s="71" t="s">
        <v>776</v>
      </c>
      <c r="Z80" s="2" t="s">
        <v>777</v>
      </c>
      <c r="AA80" s="2" t="s">
        <v>778</v>
      </c>
      <c r="AB80" s="2" t="s">
        <v>779</v>
      </c>
      <c r="AC80" s="2" t="s">
        <v>780</v>
      </c>
      <c r="AD80" s="2" t="s">
        <v>1042</v>
      </c>
      <c r="AE80" s="2" t="s">
        <v>1017</v>
      </c>
      <c r="AF80" s="2" t="s">
        <v>1018</v>
      </c>
      <c r="AG80" s="2" t="s">
        <v>1227</v>
      </c>
      <c r="AH80" s="111">
        <v>5</v>
      </c>
      <c r="AI80" s="111">
        <v>1.7</v>
      </c>
      <c r="AJ80" s="111">
        <f t="shared" si="4"/>
        <v>0.6</v>
      </c>
      <c r="AK80" s="111">
        <f t="shared" si="5"/>
        <v>1.02</v>
      </c>
      <c r="AL80" s="2" t="s">
        <v>1216</v>
      </c>
      <c r="AM80" s="2" t="s">
        <v>1242</v>
      </c>
      <c r="AN80" s="2" t="s">
        <v>1022</v>
      </c>
      <c r="AO80" s="2" t="s">
        <v>1023</v>
      </c>
    </row>
    <row r="81" spans="1:41" ht="45.95" customHeight="1" x14ac:dyDescent="0.25">
      <c r="A81" s="69" t="s">
        <v>1243</v>
      </c>
      <c r="B81" s="69" t="s">
        <v>7</v>
      </c>
      <c r="C81" s="69" t="s">
        <v>25</v>
      </c>
      <c r="D81" s="70" t="s">
        <v>1244</v>
      </c>
      <c r="E81" s="69" t="s">
        <v>820</v>
      </c>
      <c r="F81" s="69" t="s">
        <v>1245</v>
      </c>
      <c r="G81" s="69" t="s">
        <v>67</v>
      </c>
      <c r="H81" s="70" t="s">
        <v>1246</v>
      </c>
      <c r="I81" s="70" t="s">
        <v>1247</v>
      </c>
      <c r="J81" s="69">
        <v>4</v>
      </c>
      <c r="K81" s="69" t="s">
        <v>1028</v>
      </c>
      <c r="L81" s="11" t="s">
        <v>985</v>
      </c>
      <c r="M81" s="7" t="s">
        <v>90</v>
      </c>
      <c r="N81" s="7" t="s">
        <v>986</v>
      </c>
      <c r="O81" s="7" t="s">
        <v>1248</v>
      </c>
      <c r="P81" s="12" t="s">
        <v>1249</v>
      </c>
      <c r="Q81" s="71" t="s">
        <v>1028</v>
      </c>
      <c r="R81" s="71"/>
      <c r="S81" s="71" t="s">
        <v>774</v>
      </c>
      <c r="T81" s="71"/>
      <c r="U81" s="71"/>
      <c r="V81" s="71" t="s">
        <v>1248</v>
      </c>
      <c r="W81" s="71" t="s">
        <v>1014</v>
      </c>
      <c r="X81" s="71" t="s">
        <v>775</v>
      </c>
      <c r="Y81" s="71" t="s">
        <v>776</v>
      </c>
      <c r="Z81" s="2" t="s">
        <v>777</v>
      </c>
      <c r="AA81" s="2" t="s">
        <v>778</v>
      </c>
      <c r="AB81" s="2" t="s">
        <v>779</v>
      </c>
      <c r="AC81" s="2" t="s">
        <v>1250</v>
      </c>
      <c r="AD81" s="2" t="s">
        <v>1042</v>
      </c>
      <c r="AE81" s="2" t="s">
        <v>1017</v>
      </c>
      <c r="AF81" s="2" t="s">
        <v>1018</v>
      </c>
      <c r="AG81" s="2" t="s">
        <v>1227</v>
      </c>
      <c r="AH81" s="111">
        <v>5</v>
      </c>
      <c r="AI81" s="111">
        <v>1.7</v>
      </c>
      <c r="AJ81" s="111">
        <f t="shared" si="4"/>
        <v>0.8</v>
      </c>
      <c r="AK81" s="111">
        <f t="shared" si="5"/>
        <v>1.36</v>
      </c>
      <c r="AL81" s="2" t="s">
        <v>1216</v>
      </c>
      <c r="AM81" s="2" t="s">
        <v>1251</v>
      </c>
      <c r="AN81" s="2" t="s">
        <v>1022</v>
      </c>
      <c r="AO81" s="2" t="s">
        <v>1023</v>
      </c>
    </row>
    <row r="82" spans="1:41" ht="45.95" customHeight="1" x14ac:dyDescent="0.25">
      <c r="A82" s="69" t="s">
        <v>1252</v>
      </c>
      <c r="B82" s="69" t="s">
        <v>7</v>
      </c>
      <c r="C82" s="69" t="s">
        <v>25</v>
      </c>
      <c r="D82" s="70" t="s">
        <v>1253</v>
      </c>
      <c r="E82" s="69" t="s">
        <v>764</v>
      </c>
      <c r="F82" s="69" t="s">
        <v>1254</v>
      </c>
      <c r="G82" s="69" t="s">
        <v>67</v>
      </c>
      <c r="H82" s="70" t="s">
        <v>1255</v>
      </c>
      <c r="I82" s="70" t="s">
        <v>1256</v>
      </c>
      <c r="J82" s="69">
        <v>6</v>
      </c>
      <c r="K82" s="69" t="s">
        <v>1028</v>
      </c>
      <c r="L82" s="11" t="s">
        <v>985</v>
      </c>
      <c r="M82" s="7" t="s">
        <v>90</v>
      </c>
      <c r="N82" s="7" t="s">
        <v>986</v>
      </c>
      <c r="O82" s="7" t="s">
        <v>1257</v>
      </c>
      <c r="P82" s="12" t="s">
        <v>1258</v>
      </c>
      <c r="Q82" s="71" t="s">
        <v>1028</v>
      </c>
      <c r="R82" s="71"/>
      <c r="S82" s="71" t="s">
        <v>774</v>
      </c>
      <c r="T82" s="71"/>
      <c r="U82" s="71"/>
      <c r="V82" s="71" t="s">
        <v>1257</v>
      </c>
      <c r="W82" s="71" t="s">
        <v>1014</v>
      </c>
      <c r="X82" s="71" t="s">
        <v>775</v>
      </c>
      <c r="Y82" s="71" t="s">
        <v>776</v>
      </c>
      <c r="Z82" s="2" t="s">
        <v>777</v>
      </c>
      <c r="AA82" s="2" t="s">
        <v>778</v>
      </c>
      <c r="AB82" s="2" t="s">
        <v>779</v>
      </c>
      <c r="AC82" s="2" t="s">
        <v>1250</v>
      </c>
      <c r="AD82" s="2" t="s">
        <v>1042</v>
      </c>
      <c r="AE82" s="2" t="s">
        <v>1017</v>
      </c>
      <c r="AF82" s="2" t="s">
        <v>1018</v>
      </c>
      <c r="AG82" s="2" t="s">
        <v>1215</v>
      </c>
      <c r="AH82" s="111">
        <v>18</v>
      </c>
      <c r="AI82" s="111">
        <v>1.35</v>
      </c>
      <c r="AJ82" s="111">
        <f t="shared" si="4"/>
        <v>0.33333333333333331</v>
      </c>
      <c r="AK82" s="111">
        <f t="shared" si="5"/>
        <v>0.45</v>
      </c>
      <c r="AL82" s="2" t="s">
        <v>1216</v>
      </c>
      <c r="AM82" s="2" t="s">
        <v>1257</v>
      </c>
      <c r="AN82" s="2" t="s">
        <v>1022</v>
      </c>
      <c r="AO82" s="2" t="s">
        <v>1023</v>
      </c>
    </row>
    <row r="83" spans="1:41" ht="45.95" customHeight="1" x14ac:dyDescent="0.25">
      <c r="A83" s="69" t="s">
        <v>1259</v>
      </c>
      <c r="B83" s="69" t="s">
        <v>7</v>
      </c>
      <c r="C83" s="69" t="s">
        <v>25</v>
      </c>
      <c r="D83" s="70" t="s">
        <v>1260</v>
      </c>
      <c r="E83" s="69" t="s">
        <v>793</v>
      </c>
      <c r="F83" s="69" t="s">
        <v>1254</v>
      </c>
      <c r="G83" s="69" t="s">
        <v>68</v>
      </c>
      <c r="H83" s="70" t="s">
        <v>1261</v>
      </c>
      <c r="I83" s="70" t="s">
        <v>1262</v>
      </c>
      <c r="J83" s="69">
        <v>4</v>
      </c>
      <c r="K83" s="69" t="s">
        <v>1028</v>
      </c>
      <c r="L83" s="11" t="s">
        <v>985</v>
      </c>
      <c r="M83" s="7" t="s">
        <v>90</v>
      </c>
      <c r="N83" s="7" t="s">
        <v>986</v>
      </c>
      <c r="O83" s="7" t="s">
        <v>1263</v>
      </c>
      <c r="P83" s="12" t="s">
        <v>1264</v>
      </c>
      <c r="Q83" s="71" t="s">
        <v>1028</v>
      </c>
      <c r="R83" s="71"/>
      <c r="S83" s="71" t="s">
        <v>774</v>
      </c>
      <c r="T83" s="71"/>
      <c r="U83" s="71"/>
      <c r="V83" s="71" t="s">
        <v>1263</v>
      </c>
      <c r="W83" s="71" t="s">
        <v>1014</v>
      </c>
      <c r="X83" s="71" t="s">
        <v>775</v>
      </c>
      <c r="Y83" s="71" t="s">
        <v>776</v>
      </c>
      <c r="Z83" s="2" t="s">
        <v>777</v>
      </c>
      <c r="AA83" s="2" t="s">
        <v>778</v>
      </c>
      <c r="AB83" s="2" t="s">
        <v>779</v>
      </c>
      <c r="AC83" s="2" t="s">
        <v>1250</v>
      </c>
      <c r="AD83" s="2" t="s">
        <v>1042</v>
      </c>
      <c r="AE83" s="2" t="s">
        <v>1017</v>
      </c>
      <c r="AF83" s="2" t="s">
        <v>1018</v>
      </c>
      <c r="AG83" s="2" t="s">
        <v>1265</v>
      </c>
      <c r="AH83" s="111">
        <v>6</v>
      </c>
      <c r="AI83" s="111">
        <v>1.6</v>
      </c>
      <c r="AJ83" s="111">
        <f t="shared" si="4"/>
        <v>0.66666666666666663</v>
      </c>
      <c r="AK83" s="111">
        <f t="shared" si="5"/>
        <v>1.0666666666666667</v>
      </c>
      <c r="AL83" s="2" t="s">
        <v>1216</v>
      </c>
      <c r="AM83" s="2" t="s">
        <v>1266</v>
      </c>
      <c r="AN83" s="2" t="s">
        <v>1022</v>
      </c>
      <c r="AO83" s="2" t="s">
        <v>1023</v>
      </c>
    </row>
    <row r="84" spans="1:41" ht="45.95" customHeight="1" x14ac:dyDescent="0.25">
      <c r="A84" s="69" t="s">
        <v>1267</v>
      </c>
      <c r="B84" s="69" t="s">
        <v>7</v>
      </c>
      <c r="C84" s="69" t="s">
        <v>25</v>
      </c>
      <c r="D84" s="70" t="s">
        <v>1268</v>
      </c>
      <c r="E84" s="69" t="s">
        <v>764</v>
      </c>
      <c r="F84" s="69" t="s">
        <v>1254</v>
      </c>
      <c r="G84" s="69" t="s">
        <v>67</v>
      </c>
      <c r="H84" s="70" t="s">
        <v>1269</v>
      </c>
      <c r="I84" s="70" t="s">
        <v>1270</v>
      </c>
      <c r="J84" s="69">
        <v>6</v>
      </c>
      <c r="K84" s="69" t="s">
        <v>1028</v>
      </c>
      <c r="L84" s="11" t="s">
        <v>985</v>
      </c>
      <c r="M84" s="7" t="s">
        <v>90</v>
      </c>
      <c r="N84" s="7" t="s">
        <v>986</v>
      </c>
      <c r="O84" s="7" t="s">
        <v>1271</v>
      </c>
      <c r="P84" s="12" t="s">
        <v>1272</v>
      </c>
      <c r="Q84" s="71" t="s">
        <v>1028</v>
      </c>
      <c r="R84" s="71"/>
      <c r="S84" s="71" t="s">
        <v>774</v>
      </c>
      <c r="T84" s="71"/>
      <c r="U84" s="71"/>
      <c r="V84" s="71" t="s">
        <v>1271</v>
      </c>
      <c r="W84" s="71" t="s">
        <v>1014</v>
      </c>
      <c r="X84" s="71" t="s">
        <v>775</v>
      </c>
      <c r="Y84" s="71" t="s">
        <v>776</v>
      </c>
      <c r="Z84" s="2" t="s">
        <v>777</v>
      </c>
      <c r="AA84" s="2" t="s">
        <v>778</v>
      </c>
      <c r="AB84" s="2" t="s">
        <v>779</v>
      </c>
      <c r="AC84" s="2" t="s">
        <v>1250</v>
      </c>
      <c r="AD84" s="2" t="s">
        <v>1042</v>
      </c>
      <c r="AE84" s="2" t="s">
        <v>1017</v>
      </c>
      <c r="AF84" s="2" t="s">
        <v>1018</v>
      </c>
      <c r="AG84" s="2" t="s">
        <v>1215</v>
      </c>
      <c r="AH84" s="111">
        <v>18</v>
      </c>
      <c r="AI84" s="111">
        <v>1.35</v>
      </c>
      <c r="AJ84" s="111">
        <f t="shared" si="4"/>
        <v>0.33333333333333331</v>
      </c>
      <c r="AK84" s="111">
        <f t="shared" si="5"/>
        <v>0.45</v>
      </c>
      <c r="AL84" s="2" t="s">
        <v>1216</v>
      </c>
      <c r="AM84" s="2" t="s">
        <v>1273</v>
      </c>
      <c r="AN84" s="2" t="s">
        <v>1022</v>
      </c>
      <c r="AO84" s="2" t="s">
        <v>1023</v>
      </c>
    </row>
    <row r="85" spans="1:41" ht="45.95" hidden="1" customHeight="1" x14ac:dyDescent="0.25">
      <c r="A85" s="69" t="s">
        <v>1274</v>
      </c>
      <c r="B85" s="69" t="s">
        <v>30</v>
      </c>
      <c r="C85" s="69" t="s">
        <v>29</v>
      </c>
      <c r="D85" s="70" t="s">
        <v>1275</v>
      </c>
      <c r="E85" s="69" t="s">
        <v>793</v>
      </c>
      <c r="F85" s="69" t="s">
        <v>847</v>
      </c>
      <c r="G85" s="69" t="s">
        <v>67</v>
      </c>
      <c r="H85" s="70" t="s">
        <v>1276</v>
      </c>
      <c r="I85" s="70" t="s">
        <v>1277</v>
      </c>
      <c r="J85" s="69">
        <v>10</v>
      </c>
      <c r="K85" s="69" t="s">
        <v>1028</v>
      </c>
      <c r="L85" s="11" t="s">
        <v>1278</v>
      </c>
      <c r="M85" s="7" t="s">
        <v>1279</v>
      </c>
      <c r="N85" s="7" t="s">
        <v>1280</v>
      </c>
      <c r="O85" s="7" t="s">
        <v>1281</v>
      </c>
      <c r="P85" s="12" t="s">
        <v>772</v>
      </c>
      <c r="Q85" s="71" t="s">
        <v>1028</v>
      </c>
      <c r="R85" s="71"/>
      <c r="S85" s="71" t="s">
        <v>774</v>
      </c>
      <c r="T85" s="71"/>
      <c r="U85" s="71"/>
      <c r="V85" s="71" t="s">
        <v>1281</v>
      </c>
      <c r="W85" s="71" t="s">
        <v>1279</v>
      </c>
      <c r="X85" s="71" t="s">
        <v>775</v>
      </c>
      <c r="Y85" s="71" t="s">
        <v>776</v>
      </c>
      <c r="Z85" s="2" t="s">
        <v>1282</v>
      </c>
      <c r="AA85" s="2" t="s">
        <v>1283</v>
      </c>
      <c r="AB85" s="2" t="s">
        <v>1284</v>
      </c>
      <c r="AC85" s="2" t="s">
        <v>1285</v>
      </c>
      <c r="AD85" s="2" t="s">
        <v>1042</v>
      </c>
      <c r="AE85" s="2" t="s">
        <v>1050</v>
      </c>
      <c r="AF85" s="2" t="s">
        <v>1286</v>
      </c>
      <c r="AG85" s="2" t="s">
        <v>1265</v>
      </c>
      <c r="AH85" s="111">
        <v>6</v>
      </c>
      <c r="AI85" s="111">
        <v>1.6</v>
      </c>
      <c r="AJ85" s="111">
        <f t="shared" si="4"/>
        <v>1.6666666666666667</v>
      </c>
      <c r="AK85" s="111">
        <f t="shared" si="5"/>
        <v>2.666666666666667</v>
      </c>
      <c r="AL85" s="2" t="s">
        <v>1287</v>
      </c>
      <c r="AM85" s="2" t="s">
        <v>1288</v>
      </c>
      <c r="AN85" s="2" t="s">
        <v>1289</v>
      </c>
      <c r="AO85" s="2" t="s">
        <v>1023</v>
      </c>
    </row>
    <row r="86" spans="1:41" ht="45.95" hidden="1" customHeight="1" x14ac:dyDescent="0.25">
      <c r="A86" s="69" t="s">
        <v>1290</v>
      </c>
      <c r="B86" s="69" t="s">
        <v>30</v>
      </c>
      <c r="C86" s="69" t="s">
        <v>29</v>
      </c>
      <c r="D86" s="70" t="s">
        <v>1291</v>
      </c>
      <c r="E86" s="69" t="s">
        <v>806</v>
      </c>
      <c r="F86" s="69" t="s">
        <v>847</v>
      </c>
      <c r="G86" s="69" t="s">
        <v>67</v>
      </c>
      <c r="H86" s="70" t="s">
        <v>1292</v>
      </c>
      <c r="I86" s="70" t="s">
        <v>1293</v>
      </c>
      <c r="J86" s="69">
        <v>10</v>
      </c>
      <c r="K86" s="69" t="s">
        <v>1028</v>
      </c>
      <c r="L86" s="11" t="s">
        <v>1278</v>
      </c>
      <c r="M86" s="7" t="s">
        <v>1279</v>
      </c>
      <c r="N86" s="7" t="s">
        <v>1280</v>
      </c>
      <c r="O86" s="7" t="s">
        <v>1281</v>
      </c>
      <c r="P86" s="12" t="s">
        <v>772</v>
      </c>
      <c r="Q86" s="71" t="s">
        <v>1028</v>
      </c>
      <c r="R86" s="71"/>
      <c r="S86" s="71" t="s">
        <v>774</v>
      </c>
      <c r="T86" s="71"/>
      <c r="U86" s="71"/>
      <c r="V86" s="71" t="s">
        <v>1281</v>
      </c>
      <c r="W86" s="71" t="s">
        <v>1279</v>
      </c>
      <c r="X86" s="71" t="s">
        <v>775</v>
      </c>
      <c r="Y86" s="71" t="s">
        <v>776</v>
      </c>
      <c r="Z86" s="2" t="s">
        <v>1282</v>
      </c>
      <c r="AA86" s="2" t="s">
        <v>1283</v>
      </c>
      <c r="AB86" s="2" t="s">
        <v>1284</v>
      </c>
      <c r="AC86" s="2" t="s">
        <v>1285</v>
      </c>
      <c r="AD86" s="2" t="s">
        <v>1042</v>
      </c>
      <c r="AE86" s="2" t="s">
        <v>1050</v>
      </c>
      <c r="AF86" s="2" t="s">
        <v>1286</v>
      </c>
      <c r="AG86" s="2" t="s">
        <v>1294</v>
      </c>
      <c r="AH86" s="111">
        <v>8</v>
      </c>
      <c r="AI86" s="111">
        <v>1.55</v>
      </c>
      <c r="AJ86" s="111">
        <f t="shared" si="4"/>
        <v>1.25</v>
      </c>
      <c r="AK86" s="111">
        <f t="shared" si="5"/>
        <v>1.9375</v>
      </c>
      <c r="AL86" s="2" t="s">
        <v>1287</v>
      </c>
      <c r="AM86" s="2" t="s">
        <v>1288</v>
      </c>
      <c r="AN86" s="2" t="s">
        <v>1289</v>
      </c>
      <c r="AO86" s="2" t="s">
        <v>1023</v>
      </c>
    </row>
    <row r="87" spans="1:41" ht="45.95" hidden="1" customHeight="1" x14ac:dyDescent="0.25">
      <c r="A87" s="69" t="s">
        <v>1295</v>
      </c>
      <c r="B87" s="69" t="s">
        <v>30</v>
      </c>
      <c r="C87" s="69" t="s">
        <v>29</v>
      </c>
      <c r="D87" s="70" t="s">
        <v>1296</v>
      </c>
      <c r="E87" s="69" t="s">
        <v>820</v>
      </c>
      <c r="F87" s="69" t="s">
        <v>847</v>
      </c>
      <c r="G87" s="69" t="s">
        <v>67</v>
      </c>
      <c r="H87" s="70" t="s">
        <v>1297</v>
      </c>
      <c r="I87" s="70" t="s">
        <v>1298</v>
      </c>
      <c r="J87" s="69">
        <v>8</v>
      </c>
      <c r="K87" s="69" t="s">
        <v>1028</v>
      </c>
      <c r="L87" s="11" t="s">
        <v>1278</v>
      </c>
      <c r="M87" s="7" t="s">
        <v>1279</v>
      </c>
      <c r="N87" s="7" t="s">
        <v>1280</v>
      </c>
      <c r="O87" s="7" t="s">
        <v>1281</v>
      </c>
      <c r="P87" s="12" t="s">
        <v>772</v>
      </c>
      <c r="Q87" s="71" t="s">
        <v>1028</v>
      </c>
      <c r="R87" s="71"/>
      <c r="S87" s="71" t="s">
        <v>774</v>
      </c>
      <c r="T87" s="71"/>
      <c r="U87" s="71"/>
      <c r="V87" s="71" t="s">
        <v>1281</v>
      </c>
      <c r="W87" s="71" t="s">
        <v>1279</v>
      </c>
      <c r="X87" s="71" t="s">
        <v>775</v>
      </c>
      <c r="Y87" s="71" t="s">
        <v>776</v>
      </c>
      <c r="Z87" s="2" t="s">
        <v>1282</v>
      </c>
      <c r="AA87" s="2" t="s">
        <v>1283</v>
      </c>
      <c r="AB87" s="2" t="s">
        <v>1284</v>
      </c>
      <c r="AC87" s="2" t="s">
        <v>1285</v>
      </c>
      <c r="AD87" s="2" t="s">
        <v>1042</v>
      </c>
      <c r="AE87" s="2" t="s">
        <v>1050</v>
      </c>
      <c r="AF87" s="2" t="s">
        <v>1286</v>
      </c>
      <c r="AG87" s="2" t="s">
        <v>1227</v>
      </c>
      <c r="AH87" s="111">
        <v>5</v>
      </c>
      <c r="AI87" s="111">
        <v>1.7</v>
      </c>
      <c r="AJ87" s="111">
        <f t="shared" si="4"/>
        <v>1.6</v>
      </c>
      <c r="AK87" s="111">
        <f t="shared" si="5"/>
        <v>2.72</v>
      </c>
      <c r="AL87" s="2" t="s">
        <v>1287</v>
      </c>
      <c r="AM87" s="2" t="s">
        <v>1288</v>
      </c>
      <c r="AN87" s="2" t="s">
        <v>1289</v>
      </c>
      <c r="AO87" s="2" t="s">
        <v>1023</v>
      </c>
    </row>
    <row r="88" spans="1:41" ht="45.95" hidden="1" customHeight="1" x14ac:dyDescent="0.25">
      <c r="A88" s="69" t="s">
        <v>1299</v>
      </c>
      <c r="B88" s="69" t="s">
        <v>30</v>
      </c>
      <c r="C88" s="69" t="s">
        <v>29</v>
      </c>
      <c r="D88" s="70" t="s">
        <v>1300</v>
      </c>
      <c r="E88" s="69" t="s">
        <v>806</v>
      </c>
      <c r="F88" s="69" t="s">
        <v>1301</v>
      </c>
      <c r="G88" s="69" t="s">
        <v>67</v>
      </c>
      <c r="H88" s="70" t="s">
        <v>1302</v>
      </c>
      <c r="I88" s="70" t="s">
        <v>1303</v>
      </c>
      <c r="J88" s="69">
        <v>12</v>
      </c>
      <c r="K88" s="69" t="s">
        <v>1028</v>
      </c>
      <c r="L88" s="11" t="s">
        <v>1278</v>
      </c>
      <c r="M88" s="7" t="s">
        <v>1279</v>
      </c>
      <c r="N88" s="7" t="s">
        <v>1280</v>
      </c>
      <c r="O88" s="7" t="s">
        <v>1304</v>
      </c>
      <c r="P88" s="12" t="s">
        <v>1305</v>
      </c>
      <c r="Q88" s="71" t="s">
        <v>1028</v>
      </c>
      <c r="R88" s="71"/>
      <c r="S88" s="75" t="s">
        <v>1073</v>
      </c>
      <c r="T88" s="75" t="s">
        <v>1306</v>
      </c>
      <c r="U88" s="75" t="s">
        <v>1307</v>
      </c>
      <c r="V88" s="71" t="s">
        <v>1304</v>
      </c>
      <c r="W88" s="71" t="s">
        <v>1279</v>
      </c>
      <c r="X88" s="76" t="s">
        <v>1077</v>
      </c>
      <c r="Y88" s="71" t="s">
        <v>776</v>
      </c>
      <c r="Z88" s="2" t="s">
        <v>1282</v>
      </c>
      <c r="AA88" s="2" t="s">
        <v>1283</v>
      </c>
      <c r="AB88" s="2" t="s">
        <v>1284</v>
      </c>
      <c r="AC88" s="2" t="s">
        <v>1308</v>
      </c>
      <c r="AD88" s="2" t="s">
        <v>1042</v>
      </c>
      <c r="AE88" s="2" t="s">
        <v>1050</v>
      </c>
      <c r="AF88" s="2" t="s">
        <v>1286</v>
      </c>
      <c r="AG88" s="2" t="s">
        <v>1294</v>
      </c>
      <c r="AH88" s="111">
        <v>8</v>
      </c>
      <c r="AI88" s="111">
        <v>1.55</v>
      </c>
      <c r="AJ88" s="111">
        <f t="shared" si="4"/>
        <v>1.5</v>
      </c>
      <c r="AK88" s="111">
        <f t="shared" si="5"/>
        <v>2.3250000000000002</v>
      </c>
      <c r="AL88" s="2" t="s">
        <v>1309</v>
      </c>
      <c r="AM88" s="2" t="s">
        <v>1310</v>
      </c>
      <c r="AN88" s="2" t="s">
        <v>1289</v>
      </c>
      <c r="AO88" s="2" t="s">
        <v>1023</v>
      </c>
    </row>
    <row r="89" spans="1:41" ht="45.95" hidden="1" customHeight="1" x14ac:dyDescent="0.25">
      <c r="A89" s="69" t="s">
        <v>1311</v>
      </c>
      <c r="B89" s="69" t="s">
        <v>30</v>
      </c>
      <c r="C89" s="69" t="s">
        <v>29</v>
      </c>
      <c r="D89" s="70" t="s">
        <v>1312</v>
      </c>
      <c r="E89" s="69" t="s">
        <v>806</v>
      </c>
      <c r="F89" s="69" t="s">
        <v>1301</v>
      </c>
      <c r="G89" s="69" t="s">
        <v>68</v>
      </c>
      <c r="H89" s="70" t="s">
        <v>1313</v>
      </c>
      <c r="I89" s="70" t="s">
        <v>1314</v>
      </c>
      <c r="J89" s="69">
        <v>12</v>
      </c>
      <c r="K89" s="69" t="s">
        <v>1028</v>
      </c>
      <c r="L89" s="11" t="s">
        <v>1278</v>
      </c>
      <c r="M89" s="7" t="s">
        <v>1279</v>
      </c>
      <c r="N89" s="7" t="s">
        <v>1280</v>
      </c>
      <c r="O89" s="7" t="s">
        <v>1315</v>
      </c>
      <c r="P89" s="12" t="s">
        <v>1316</v>
      </c>
      <c r="Q89" s="71" t="s">
        <v>1028</v>
      </c>
      <c r="R89" s="71"/>
      <c r="S89" s="75" t="s">
        <v>1073</v>
      </c>
      <c r="T89" s="75" t="s">
        <v>1317</v>
      </c>
      <c r="U89" s="75" t="s">
        <v>1318</v>
      </c>
      <c r="V89" s="71" t="s">
        <v>1315</v>
      </c>
      <c r="W89" s="71" t="s">
        <v>1279</v>
      </c>
      <c r="X89" s="76" t="s">
        <v>1077</v>
      </c>
      <c r="Y89" s="71" t="s">
        <v>776</v>
      </c>
      <c r="Z89" s="2" t="s">
        <v>1282</v>
      </c>
      <c r="AA89" s="2" t="s">
        <v>1283</v>
      </c>
      <c r="AB89" s="2" t="s">
        <v>1284</v>
      </c>
      <c r="AC89" s="2" t="s">
        <v>1308</v>
      </c>
      <c r="AD89" s="2" t="s">
        <v>1042</v>
      </c>
      <c r="AE89" s="2" t="s">
        <v>1050</v>
      </c>
      <c r="AF89" s="2" t="s">
        <v>1286</v>
      </c>
      <c r="AG89" s="2" t="s">
        <v>1294</v>
      </c>
      <c r="AH89" s="111">
        <v>8</v>
      </c>
      <c r="AI89" s="111">
        <v>1.55</v>
      </c>
      <c r="AJ89" s="111">
        <f t="shared" si="4"/>
        <v>1.5</v>
      </c>
      <c r="AK89" s="111">
        <f t="shared" si="5"/>
        <v>2.3250000000000002</v>
      </c>
      <c r="AL89" s="2" t="s">
        <v>1309</v>
      </c>
      <c r="AM89" s="2" t="s">
        <v>1319</v>
      </c>
      <c r="AN89" s="2" t="s">
        <v>1289</v>
      </c>
      <c r="AO89" s="2" t="s">
        <v>1023</v>
      </c>
    </row>
    <row r="90" spans="1:41" ht="45.95" hidden="1" customHeight="1" x14ac:dyDescent="0.25">
      <c r="A90" s="69" t="s">
        <v>1320</v>
      </c>
      <c r="B90" s="69" t="s">
        <v>30</v>
      </c>
      <c r="C90" s="69" t="s">
        <v>29</v>
      </c>
      <c r="D90" s="70" t="s">
        <v>1321</v>
      </c>
      <c r="E90" s="69" t="s">
        <v>806</v>
      </c>
      <c r="F90" s="69" t="s">
        <v>957</v>
      </c>
      <c r="G90" s="69" t="s">
        <v>67</v>
      </c>
      <c r="H90" s="70" t="s">
        <v>1322</v>
      </c>
      <c r="I90" s="70" t="s">
        <v>1323</v>
      </c>
      <c r="J90" s="69">
        <v>12</v>
      </c>
      <c r="K90" s="69" t="s">
        <v>1028</v>
      </c>
      <c r="L90" s="11" t="s">
        <v>1278</v>
      </c>
      <c r="M90" s="7" t="s">
        <v>1279</v>
      </c>
      <c r="N90" s="7" t="s">
        <v>1280</v>
      </c>
      <c r="O90" s="7" t="s">
        <v>1324</v>
      </c>
      <c r="P90" s="12" t="s">
        <v>1325</v>
      </c>
      <c r="Q90" s="71" t="s">
        <v>1028</v>
      </c>
      <c r="R90" s="71"/>
      <c r="S90" s="75" t="s">
        <v>1073</v>
      </c>
      <c r="T90" s="75" t="s">
        <v>1326</v>
      </c>
      <c r="U90" s="75" t="s">
        <v>1327</v>
      </c>
      <c r="V90" s="71" t="s">
        <v>1324</v>
      </c>
      <c r="W90" s="71" t="s">
        <v>1279</v>
      </c>
      <c r="X90" s="76" t="s">
        <v>1077</v>
      </c>
      <c r="Y90" s="71" t="s">
        <v>776</v>
      </c>
      <c r="Z90" s="2" t="s">
        <v>1282</v>
      </c>
      <c r="AA90" s="2" t="s">
        <v>1283</v>
      </c>
      <c r="AB90" s="2" t="s">
        <v>1284</v>
      </c>
      <c r="AC90" s="2" t="s">
        <v>1328</v>
      </c>
      <c r="AD90" s="2" t="s">
        <v>1042</v>
      </c>
      <c r="AE90" s="2" t="s">
        <v>1050</v>
      </c>
      <c r="AF90" s="2" t="s">
        <v>1286</v>
      </c>
      <c r="AG90" s="2" t="s">
        <v>1294</v>
      </c>
      <c r="AH90" s="111">
        <v>8</v>
      </c>
      <c r="AI90" s="111">
        <v>1.55</v>
      </c>
      <c r="AJ90" s="111">
        <f t="shared" si="4"/>
        <v>1.5</v>
      </c>
      <c r="AK90" s="111">
        <f t="shared" si="5"/>
        <v>2.3250000000000002</v>
      </c>
      <c r="AL90" s="2" t="s">
        <v>1309</v>
      </c>
      <c r="AM90" s="2" t="s">
        <v>1329</v>
      </c>
      <c r="AN90" s="2" t="s">
        <v>1289</v>
      </c>
      <c r="AO90" s="2" t="s">
        <v>1023</v>
      </c>
    </row>
    <row r="91" spans="1:41" ht="45.95" hidden="1" customHeight="1" x14ac:dyDescent="0.25">
      <c r="A91" s="69" t="s">
        <v>1330</v>
      </c>
      <c r="B91" s="69" t="s">
        <v>30</v>
      </c>
      <c r="C91" s="69" t="s">
        <v>29</v>
      </c>
      <c r="D91" s="70" t="s">
        <v>1331</v>
      </c>
      <c r="E91" s="69" t="s">
        <v>826</v>
      </c>
      <c r="F91" s="69" t="s">
        <v>957</v>
      </c>
      <c r="G91" s="69" t="s">
        <v>67</v>
      </c>
      <c r="H91" s="70" t="s">
        <v>1332</v>
      </c>
      <c r="I91" s="70" t="s">
        <v>1333</v>
      </c>
      <c r="J91" s="69">
        <v>12</v>
      </c>
      <c r="K91" s="69" t="s">
        <v>1028</v>
      </c>
      <c r="L91" s="11" t="s">
        <v>1278</v>
      </c>
      <c r="M91" s="7" t="s">
        <v>1279</v>
      </c>
      <c r="N91" s="7" t="s">
        <v>1280</v>
      </c>
      <c r="O91" s="7" t="s">
        <v>1334</v>
      </c>
      <c r="P91" s="12" t="s">
        <v>1335</v>
      </c>
      <c r="Q91" s="71" t="s">
        <v>1028</v>
      </c>
      <c r="R91" s="71"/>
      <c r="S91" s="75" t="s">
        <v>1073</v>
      </c>
      <c r="T91" s="75" t="s">
        <v>1336</v>
      </c>
      <c r="U91" s="75" t="s">
        <v>1337</v>
      </c>
      <c r="V91" s="71" t="s">
        <v>1334</v>
      </c>
      <c r="W91" s="71" t="s">
        <v>1279</v>
      </c>
      <c r="X91" s="76" t="s">
        <v>1077</v>
      </c>
      <c r="Y91" s="71" t="s">
        <v>776</v>
      </c>
      <c r="Z91" s="2" t="s">
        <v>1282</v>
      </c>
      <c r="AA91" s="2" t="s">
        <v>1283</v>
      </c>
      <c r="AB91" s="2" t="s">
        <v>1284</v>
      </c>
      <c r="AC91" s="2" t="s">
        <v>1328</v>
      </c>
      <c r="AD91" s="2" t="s">
        <v>1042</v>
      </c>
      <c r="AE91" s="2" t="s">
        <v>1050</v>
      </c>
      <c r="AF91" s="2" t="s">
        <v>1286</v>
      </c>
      <c r="AG91" s="2" t="s">
        <v>1079</v>
      </c>
      <c r="AH91" s="111">
        <v>10</v>
      </c>
      <c r="AI91" s="111">
        <v>1.5</v>
      </c>
      <c r="AJ91" s="111">
        <f t="shared" si="4"/>
        <v>1.2</v>
      </c>
      <c r="AK91" s="111">
        <f t="shared" si="5"/>
        <v>1.7999999999999998</v>
      </c>
      <c r="AL91" s="2" t="s">
        <v>1309</v>
      </c>
      <c r="AM91" s="2" t="s">
        <v>1338</v>
      </c>
      <c r="AN91" s="2" t="s">
        <v>1289</v>
      </c>
      <c r="AO91" s="2" t="s">
        <v>1023</v>
      </c>
    </row>
    <row r="92" spans="1:41" ht="45.95" hidden="1" customHeight="1" x14ac:dyDescent="0.25">
      <c r="A92" s="69" t="s">
        <v>1339</v>
      </c>
      <c r="B92" s="69" t="s">
        <v>30</v>
      </c>
      <c r="C92" s="69" t="s">
        <v>29</v>
      </c>
      <c r="D92" s="70" t="s">
        <v>1340</v>
      </c>
      <c r="E92" s="69" t="s">
        <v>826</v>
      </c>
      <c r="F92" s="69" t="s">
        <v>957</v>
      </c>
      <c r="G92" s="69" t="s">
        <v>68</v>
      </c>
      <c r="H92" s="70" t="s">
        <v>1341</v>
      </c>
      <c r="I92" s="70" t="s">
        <v>1342</v>
      </c>
      <c r="J92" s="69">
        <v>12</v>
      </c>
      <c r="K92" s="69" t="s">
        <v>1028</v>
      </c>
      <c r="L92" s="11" t="s">
        <v>1278</v>
      </c>
      <c r="M92" s="7" t="s">
        <v>1279</v>
      </c>
      <c r="N92" s="7" t="s">
        <v>1280</v>
      </c>
      <c r="O92" s="7" t="s">
        <v>1343</v>
      </c>
      <c r="P92" s="12" t="s">
        <v>1344</v>
      </c>
      <c r="Q92" s="71" t="s">
        <v>1028</v>
      </c>
      <c r="R92" s="71"/>
      <c r="S92" s="71" t="s">
        <v>774</v>
      </c>
      <c r="T92" s="71"/>
      <c r="U92" s="71"/>
      <c r="V92" s="71" t="s">
        <v>1343</v>
      </c>
      <c r="W92" s="71" t="s">
        <v>1279</v>
      </c>
      <c r="X92" s="71" t="s">
        <v>775</v>
      </c>
      <c r="Y92" s="71" t="s">
        <v>776</v>
      </c>
      <c r="Z92" s="2" t="s">
        <v>1282</v>
      </c>
      <c r="AA92" s="2" t="s">
        <v>1283</v>
      </c>
      <c r="AB92" s="2" t="s">
        <v>1284</v>
      </c>
      <c r="AC92" s="2" t="s">
        <v>1285</v>
      </c>
      <c r="AD92" s="2" t="s">
        <v>1042</v>
      </c>
      <c r="AE92" s="2" t="s">
        <v>1050</v>
      </c>
      <c r="AF92" s="2" t="s">
        <v>1286</v>
      </c>
      <c r="AG92" s="2" t="s">
        <v>1079</v>
      </c>
      <c r="AH92" s="111">
        <v>10</v>
      </c>
      <c r="AI92" s="111">
        <v>1.5</v>
      </c>
      <c r="AJ92" s="111">
        <f t="shared" si="4"/>
        <v>1.2</v>
      </c>
      <c r="AK92" s="111">
        <f t="shared" si="5"/>
        <v>1.7999999999999998</v>
      </c>
      <c r="AL92" s="2" t="s">
        <v>1309</v>
      </c>
      <c r="AM92" s="2" t="s">
        <v>1345</v>
      </c>
      <c r="AN92" s="2" t="s">
        <v>1289</v>
      </c>
      <c r="AO92" s="2" t="s">
        <v>1023</v>
      </c>
    </row>
    <row r="93" spans="1:41" ht="45.95" hidden="1" customHeight="1" x14ac:dyDescent="0.25">
      <c r="A93" s="69" t="s">
        <v>1346</v>
      </c>
      <c r="B93" s="69" t="s">
        <v>30</v>
      </c>
      <c r="C93" s="69" t="s">
        <v>29</v>
      </c>
      <c r="D93" s="70" t="s">
        <v>1347</v>
      </c>
      <c r="E93" s="69" t="s">
        <v>826</v>
      </c>
      <c r="F93" s="69" t="s">
        <v>990</v>
      </c>
      <c r="G93" s="69" t="s">
        <v>67</v>
      </c>
      <c r="H93" s="70" t="s">
        <v>1348</v>
      </c>
      <c r="I93" s="70" t="s">
        <v>1349</v>
      </c>
      <c r="J93" s="69">
        <v>12</v>
      </c>
      <c r="K93" s="69" t="s">
        <v>1028</v>
      </c>
      <c r="L93" s="11" t="s">
        <v>1278</v>
      </c>
      <c r="M93" s="7" t="s">
        <v>1279</v>
      </c>
      <c r="N93" s="7" t="s">
        <v>1280</v>
      </c>
      <c r="O93" s="7" t="s">
        <v>1350</v>
      </c>
      <c r="P93" s="12" t="s">
        <v>1351</v>
      </c>
      <c r="Q93" s="71" t="s">
        <v>1028</v>
      </c>
      <c r="R93" s="71"/>
      <c r="S93" s="75" t="s">
        <v>1073</v>
      </c>
      <c r="T93" s="75" t="s">
        <v>1352</v>
      </c>
      <c r="U93" s="75" t="s">
        <v>1353</v>
      </c>
      <c r="V93" s="71" t="s">
        <v>1350</v>
      </c>
      <c r="W93" s="71" t="s">
        <v>1279</v>
      </c>
      <c r="X93" s="76" t="s">
        <v>1077</v>
      </c>
      <c r="Y93" s="71" t="s">
        <v>776</v>
      </c>
      <c r="Z93" s="2" t="s">
        <v>1282</v>
      </c>
      <c r="AA93" s="2" t="s">
        <v>1283</v>
      </c>
      <c r="AB93" s="2" t="s">
        <v>1284</v>
      </c>
      <c r="AC93" s="2" t="s">
        <v>1285</v>
      </c>
      <c r="AD93" s="2" t="s">
        <v>1042</v>
      </c>
      <c r="AE93" s="2" t="s">
        <v>1050</v>
      </c>
      <c r="AF93" s="2" t="s">
        <v>1286</v>
      </c>
      <c r="AG93" s="2" t="s">
        <v>1079</v>
      </c>
      <c r="AH93" s="111">
        <v>10</v>
      </c>
      <c r="AI93" s="111">
        <v>1.5</v>
      </c>
      <c r="AJ93" s="111">
        <f t="shared" si="4"/>
        <v>1.2</v>
      </c>
      <c r="AK93" s="111">
        <f t="shared" si="5"/>
        <v>1.7999999999999998</v>
      </c>
      <c r="AL93" s="2" t="s">
        <v>1309</v>
      </c>
      <c r="AM93" s="2" t="s">
        <v>1354</v>
      </c>
      <c r="AN93" s="2" t="s">
        <v>1289</v>
      </c>
      <c r="AO93" s="2" t="s">
        <v>1023</v>
      </c>
    </row>
    <row r="94" spans="1:41" ht="45.95" hidden="1" customHeight="1" x14ac:dyDescent="0.25">
      <c r="A94" s="69" t="s">
        <v>1355</v>
      </c>
      <c r="B94" s="69" t="s">
        <v>30</v>
      </c>
      <c r="C94" s="69" t="s">
        <v>29</v>
      </c>
      <c r="D94" s="70" t="s">
        <v>1356</v>
      </c>
      <c r="E94" s="69" t="s">
        <v>826</v>
      </c>
      <c r="F94" s="69" t="s">
        <v>990</v>
      </c>
      <c r="G94" s="69" t="s">
        <v>68</v>
      </c>
      <c r="H94" s="70" t="s">
        <v>1357</v>
      </c>
      <c r="I94" s="70" t="s">
        <v>1358</v>
      </c>
      <c r="J94" s="69">
        <v>6</v>
      </c>
      <c r="K94" s="69" t="s">
        <v>1028</v>
      </c>
      <c r="L94" s="11" t="s">
        <v>1278</v>
      </c>
      <c r="M94" s="7" t="s">
        <v>1279</v>
      </c>
      <c r="N94" s="7" t="s">
        <v>1280</v>
      </c>
      <c r="O94" s="7" t="s">
        <v>1359</v>
      </c>
      <c r="P94" s="12" t="s">
        <v>1360</v>
      </c>
      <c r="Q94" s="71" t="s">
        <v>1028</v>
      </c>
      <c r="R94" s="71"/>
      <c r="S94" s="71" t="s">
        <v>774</v>
      </c>
      <c r="T94" s="71"/>
      <c r="U94" s="71"/>
      <c r="V94" s="71" t="s">
        <v>1359</v>
      </c>
      <c r="W94" s="71" t="s">
        <v>1279</v>
      </c>
      <c r="X94" s="71" t="s">
        <v>775</v>
      </c>
      <c r="Y94" s="71" t="s">
        <v>776</v>
      </c>
      <c r="Z94" s="2" t="s">
        <v>1282</v>
      </c>
      <c r="AA94" s="2" t="s">
        <v>1283</v>
      </c>
      <c r="AB94" s="2" t="s">
        <v>1284</v>
      </c>
      <c r="AC94" s="2" t="s">
        <v>1285</v>
      </c>
      <c r="AD94" s="2" t="s">
        <v>1042</v>
      </c>
      <c r="AE94" s="2" t="s">
        <v>1050</v>
      </c>
      <c r="AF94" s="2" t="s">
        <v>1286</v>
      </c>
      <c r="AG94" s="2" t="s">
        <v>1079</v>
      </c>
      <c r="AH94" s="111">
        <v>10</v>
      </c>
      <c r="AI94" s="111">
        <v>1.5</v>
      </c>
      <c r="AJ94" s="111">
        <f t="shared" si="4"/>
        <v>0.6</v>
      </c>
      <c r="AK94" s="111">
        <f t="shared" si="5"/>
        <v>0.89999999999999991</v>
      </c>
      <c r="AL94" s="2" t="s">
        <v>1309</v>
      </c>
      <c r="AM94" s="2" t="s">
        <v>1361</v>
      </c>
      <c r="AN94" s="2" t="s">
        <v>1289</v>
      </c>
      <c r="AO94" s="2" t="s">
        <v>1023</v>
      </c>
    </row>
    <row r="95" spans="1:41" ht="45.95" hidden="1" customHeight="1" x14ac:dyDescent="0.25">
      <c r="A95" s="69" t="s">
        <v>1362</v>
      </c>
      <c r="B95" s="69" t="s">
        <v>30</v>
      </c>
      <c r="C95" s="69" t="s">
        <v>29</v>
      </c>
      <c r="D95" s="70" t="s">
        <v>1363</v>
      </c>
      <c r="E95" s="69" t="s">
        <v>826</v>
      </c>
      <c r="F95" s="69" t="s">
        <v>990</v>
      </c>
      <c r="G95" s="69" t="s">
        <v>68</v>
      </c>
      <c r="H95" s="70" t="s">
        <v>1364</v>
      </c>
      <c r="I95" s="70" t="s">
        <v>1365</v>
      </c>
      <c r="J95" s="69">
        <v>8</v>
      </c>
      <c r="K95" s="69" t="s">
        <v>1028</v>
      </c>
      <c r="L95" s="11" t="s">
        <v>1278</v>
      </c>
      <c r="M95" s="7" t="s">
        <v>1279</v>
      </c>
      <c r="N95" s="7" t="s">
        <v>1280</v>
      </c>
      <c r="O95" s="7" t="s">
        <v>1366</v>
      </c>
      <c r="P95" s="12" t="s">
        <v>1367</v>
      </c>
      <c r="Q95" s="71" t="s">
        <v>1028</v>
      </c>
      <c r="R95" s="71"/>
      <c r="S95" s="75" t="s">
        <v>1073</v>
      </c>
      <c r="T95" s="75" t="s">
        <v>1368</v>
      </c>
      <c r="U95" s="75" t="s">
        <v>1369</v>
      </c>
      <c r="V95" s="71" t="s">
        <v>1366</v>
      </c>
      <c r="W95" s="71" t="s">
        <v>1279</v>
      </c>
      <c r="X95" s="76" t="s">
        <v>1077</v>
      </c>
      <c r="Y95" s="71" t="s">
        <v>776</v>
      </c>
      <c r="Z95" s="2" t="s">
        <v>1282</v>
      </c>
      <c r="AA95" s="2" t="s">
        <v>1283</v>
      </c>
      <c r="AB95" s="2" t="s">
        <v>1284</v>
      </c>
      <c r="AC95" s="2" t="s">
        <v>1285</v>
      </c>
      <c r="AD95" s="2" t="s">
        <v>1042</v>
      </c>
      <c r="AE95" s="2" t="s">
        <v>1050</v>
      </c>
      <c r="AF95" s="2" t="s">
        <v>1286</v>
      </c>
      <c r="AG95" s="2" t="s">
        <v>1079</v>
      </c>
      <c r="AH95" s="111">
        <v>10</v>
      </c>
      <c r="AI95" s="111">
        <v>1.5</v>
      </c>
      <c r="AJ95" s="111">
        <f t="shared" si="4"/>
        <v>0.8</v>
      </c>
      <c r="AK95" s="111">
        <f t="shared" si="5"/>
        <v>1.2000000000000002</v>
      </c>
      <c r="AL95" s="2" t="s">
        <v>1309</v>
      </c>
      <c r="AM95" s="2" t="s">
        <v>1370</v>
      </c>
      <c r="AN95" s="2" t="s">
        <v>1289</v>
      </c>
      <c r="AO95" s="2" t="s">
        <v>1023</v>
      </c>
    </row>
    <row r="96" spans="1:41" ht="45.95" hidden="1" customHeight="1" x14ac:dyDescent="0.25">
      <c r="A96" s="69" t="s">
        <v>1371</v>
      </c>
      <c r="B96" s="69" t="s">
        <v>30</v>
      </c>
      <c r="C96" s="69" t="s">
        <v>33</v>
      </c>
      <c r="D96" s="70" t="s">
        <v>1372</v>
      </c>
      <c r="E96" s="69" t="s">
        <v>826</v>
      </c>
      <c r="F96" s="69" t="s">
        <v>1068</v>
      </c>
      <c r="G96" s="69" t="s">
        <v>67</v>
      </c>
      <c r="H96" s="70" t="s">
        <v>1373</v>
      </c>
      <c r="I96" s="70" t="s">
        <v>1374</v>
      </c>
      <c r="J96" s="69">
        <v>12</v>
      </c>
      <c r="K96" s="69" t="s">
        <v>1028</v>
      </c>
      <c r="L96" s="11" t="s">
        <v>1278</v>
      </c>
      <c r="M96" s="7" t="s">
        <v>1279</v>
      </c>
      <c r="N96" s="7" t="s">
        <v>1280</v>
      </c>
      <c r="O96" s="7" t="s">
        <v>1375</v>
      </c>
      <c r="P96" s="12" t="s">
        <v>1376</v>
      </c>
      <c r="Q96" s="71" t="s">
        <v>1028</v>
      </c>
      <c r="R96" s="71"/>
      <c r="S96" s="75" t="s">
        <v>1073</v>
      </c>
      <c r="T96" s="75" t="s">
        <v>1377</v>
      </c>
      <c r="U96" s="75" t="s">
        <v>1378</v>
      </c>
      <c r="V96" s="71" t="s">
        <v>1375</v>
      </c>
      <c r="W96" s="71" t="s">
        <v>1279</v>
      </c>
      <c r="X96" s="76" t="s">
        <v>1077</v>
      </c>
      <c r="Y96" s="71" t="s">
        <v>776</v>
      </c>
      <c r="Z96" s="2" t="s">
        <v>1282</v>
      </c>
      <c r="AA96" s="2" t="s">
        <v>1283</v>
      </c>
      <c r="AB96" s="2" t="s">
        <v>1284</v>
      </c>
      <c r="AC96" s="2" t="s">
        <v>1328</v>
      </c>
      <c r="AD96" s="2" t="s">
        <v>1042</v>
      </c>
      <c r="AE96" s="2" t="s">
        <v>1050</v>
      </c>
      <c r="AF96" s="2" t="s">
        <v>1286</v>
      </c>
      <c r="AG96" s="2" t="s">
        <v>1079</v>
      </c>
      <c r="AH96" s="111">
        <v>10</v>
      </c>
      <c r="AI96" s="111">
        <v>1.5</v>
      </c>
      <c r="AJ96" s="111">
        <f t="shared" si="4"/>
        <v>1.2</v>
      </c>
      <c r="AK96" s="111">
        <f t="shared" si="5"/>
        <v>1.7999999999999998</v>
      </c>
      <c r="AL96" s="2" t="s">
        <v>1379</v>
      </c>
      <c r="AM96" s="2" t="s">
        <v>1380</v>
      </c>
      <c r="AN96" s="2" t="s">
        <v>1289</v>
      </c>
      <c r="AO96" s="2" t="s">
        <v>1023</v>
      </c>
    </row>
    <row r="97" spans="1:41" ht="45.95" hidden="1" customHeight="1" x14ac:dyDescent="0.25">
      <c r="A97" s="69" t="s">
        <v>1381</v>
      </c>
      <c r="B97" s="69" t="s">
        <v>30</v>
      </c>
      <c r="C97" s="69" t="s">
        <v>33</v>
      </c>
      <c r="D97" s="70" t="s">
        <v>1382</v>
      </c>
      <c r="E97" s="69" t="s">
        <v>826</v>
      </c>
      <c r="F97" s="69" t="s">
        <v>1068</v>
      </c>
      <c r="G97" s="69" t="s">
        <v>67</v>
      </c>
      <c r="H97" s="70" t="s">
        <v>1383</v>
      </c>
      <c r="I97" s="70" t="s">
        <v>1384</v>
      </c>
      <c r="J97" s="69">
        <v>8</v>
      </c>
      <c r="K97" s="69" t="s">
        <v>1028</v>
      </c>
      <c r="L97" s="11" t="s">
        <v>1278</v>
      </c>
      <c r="M97" s="7" t="s">
        <v>1279</v>
      </c>
      <c r="N97" s="7" t="s">
        <v>1280</v>
      </c>
      <c r="O97" s="7" t="s">
        <v>1385</v>
      </c>
      <c r="P97" s="12" t="s">
        <v>1386</v>
      </c>
      <c r="Q97" s="71" t="s">
        <v>1028</v>
      </c>
      <c r="R97" s="71"/>
      <c r="S97" s="74" t="s">
        <v>1011</v>
      </c>
      <c r="T97" s="74" t="s">
        <v>1387</v>
      </c>
      <c r="U97" s="74" t="s">
        <v>1388</v>
      </c>
      <c r="V97" s="71" t="s">
        <v>1385</v>
      </c>
      <c r="W97" s="71" t="s">
        <v>1279</v>
      </c>
      <c r="X97" s="74" t="s">
        <v>1015</v>
      </c>
      <c r="Y97" s="71" t="s">
        <v>776</v>
      </c>
      <c r="Z97" s="2" t="s">
        <v>1282</v>
      </c>
      <c r="AA97" s="2" t="s">
        <v>1283</v>
      </c>
      <c r="AB97" s="2" t="s">
        <v>1284</v>
      </c>
      <c r="AC97" s="2" t="s">
        <v>1285</v>
      </c>
      <c r="AD97" s="2" t="s">
        <v>1042</v>
      </c>
      <c r="AE97" s="2" t="s">
        <v>1050</v>
      </c>
      <c r="AF97" s="2" t="s">
        <v>1286</v>
      </c>
      <c r="AG97" s="2" t="s">
        <v>1079</v>
      </c>
      <c r="AH97" s="111">
        <v>10</v>
      </c>
      <c r="AI97" s="111">
        <v>1.5</v>
      </c>
      <c r="AJ97" s="111">
        <f t="shared" si="4"/>
        <v>0.8</v>
      </c>
      <c r="AK97" s="111">
        <f t="shared" si="5"/>
        <v>1.2000000000000002</v>
      </c>
      <c r="AL97" s="2" t="s">
        <v>1379</v>
      </c>
      <c r="AM97" s="2" t="s">
        <v>1389</v>
      </c>
      <c r="AN97" s="2" t="s">
        <v>1289</v>
      </c>
      <c r="AO97" s="2" t="s">
        <v>1023</v>
      </c>
    </row>
    <row r="98" spans="1:41" ht="45.95" hidden="1" customHeight="1" x14ac:dyDescent="0.25">
      <c r="A98" s="69" t="s">
        <v>1390</v>
      </c>
      <c r="B98" s="69" t="s">
        <v>30</v>
      </c>
      <c r="C98" s="69" t="s">
        <v>33</v>
      </c>
      <c r="D98" s="70" t="s">
        <v>1391</v>
      </c>
      <c r="E98" s="69" t="s">
        <v>826</v>
      </c>
      <c r="F98" s="69" t="s">
        <v>1068</v>
      </c>
      <c r="G98" s="69" t="s">
        <v>67</v>
      </c>
      <c r="H98" s="70" t="s">
        <v>1392</v>
      </c>
      <c r="I98" s="70" t="s">
        <v>1393</v>
      </c>
      <c r="J98" s="69">
        <v>6</v>
      </c>
      <c r="K98" s="69" t="s">
        <v>1028</v>
      </c>
      <c r="L98" s="11" t="s">
        <v>1278</v>
      </c>
      <c r="M98" s="7" t="s">
        <v>1279</v>
      </c>
      <c r="N98" s="7" t="s">
        <v>1280</v>
      </c>
      <c r="O98" s="7" t="s">
        <v>1394</v>
      </c>
      <c r="P98" s="12" t="s">
        <v>1395</v>
      </c>
      <c r="Q98" s="71" t="s">
        <v>1028</v>
      </c>
      <c r="R98" s="71"/>
      <c r="S98" s="74" t="s">
        <v>1011</v>
      </c>
      <c r="T98" s="74" t="s">
        <v>1387</v>
      </c>
      <c r="U98" s="74" t="s">
        <v>1388</v>
      </c>
      <c r="V98" s="71" t="s">
        <v>1394</v>
      </c>
      <c r="W98" s="71" t="s">
        <v>1279</v>
      </c>
      <c r="X98" s="74" t="s">
        <v>1015</v>
      </c>
      <c r="Y98" s="71" t="s">
        <v>776</v>
      </c>
      <c r="Z98" s="2" t="s">
        <v>1282</v>
      </c>
      <c r="AA98" s="2" t="s">
        <v>1283</v>
      </c>
      <c r="AB98" s="2" t="s">
        <v>1284</v>
      </c>
      <c r="AC98" s="2" t="s">
        <v>1285</v>
      </c>
      <c r="AD98" s="2" t="s">
        <v>1042</v>
      </c>
      <c r="AE98" s="2" t="s">
        <v>1050</v>
      </c>
      <c r="AF98" s="2" t="s">
        <v>1286</v>
      </c>
      <c r="AG98" s="2" t="s">
        <v>1079</v>
      </c>
      <c r="AH98" s="111">
        <v>10</v>
      </c>
      <c r="AI98" s="111">
        <v>1.5</v>
      </c>
      <c r="AJ98" s="111">
        <f t="shared" ref="AJ98:AJ129" si="6">IF($K98="Done",0,MAX(0.25,$J98/$AH98))</f>
        <v>0.6</v>
      </c>
      <c r="AK98" s="111">
        <f t="shared" ref="AK98:AK129" si="7">IF($K98="Done",0,$AJ98*$AI98)</f>
        <v>0.89999999999999991</v>
      </c>
      <c r="AL98" s="2" t="s">
        <v>1379</v>
      </c>
      <c r="AM98" s="2" t="s">
        <v>1396</v>
      </c>
      <c r="AN98" s="2" t="s">
        <v>1289</v>
      </c>
      <c r="AO98" s="2" t="s">
        <v>1023</v>
      </c>
    </row>
    <row r="99" spans="1:41" ht="45.95" hidden="1" customHeight="1" x14ac:dyDescent="0.25">
      <c r="A99" s="69" t="s">
        <v>1397</v>
      </c>
      <c r="B99" s="69" t="s">
        <v>30</v>
      </c>
      <c r="C99" s="69" t="s">
        <v>33</v>
      </c>
      <c r="D99" s="70" t="s">
        <v>1398</v>
      </c>
      <c r="E99" s="69" t="s">
        <v>788</v>
      </c>
      <c r="F99" s="69" t="s">
        <v>1068</v>
      </c>
      <c r="G99" s="69" t="s">
        <v>68</v>
      </c>
      <c r="H99" s="70" t="s">
        <v>1399</v>
      </c>
      <c r="I99" s="70" t="s">
        <v>1400</v>
      </c>
      <c r="J99" s="69">
        <v>12</v>
      </c>
      <c r="K99" s="69" t="s">
        <v>1028</v>
      </c>
      <c r="L99" s="11" t="s">
        <v>1278</v>
      </c>
      <c r="M99" s="7" t="s">
        <v>1279</v>
      </c>
      <c r="N99" s="7" t="s">
        <v>1280</v>
      </c>
      <c r="O99" s="7" t="s">
        <v>1401</v>
      </c>
      <c r="P99" s="12" t="s">
        <v>1402</v>
      </c>
      <c r="Q99" s="71" t="s">
        <v>1028</v>
      </c>
      <c r="R99" s="71"/>
      <c r="S99" s="74" t="s">
        <v>1011</v>
      </c>
      <c r="T99" s="74" t="s">
        <v>1387</v>
      </c>
      <c r="U99" s="74" t="s">
        <v>1388</v>
      </c>
      <c r="V99" s="71" t="s">
        <v>1401</v>
      </c>
      <c r="W99" s="71" t="s">
        <v>1279</v>
      </c>
      <c r="X99" s="74" t="s">
        <v>1015</v>
      </c>
      <c r="Y99" s="71" t="s">
        <v>776</v>
      </c>
      <c r="Z99" s="2" t="s">
        <v>1282</v>
      </c>
      <c r="AA99" s="2" t="s">
        <v>1283</v>
      </c>
      <c r="AB99" s="2" t="s">
        <v>1284</v>
      </c>
      <c r="AC99" s="2" t="s">
        <v>1285</v>
      </c>
      <c r="AD99" s="2" t="s">
        <v>1042</v>
      </c>
      <c r="AE99" s="2" t="s">
        <v>1017</v>
      </c>
      <c r="AF99" s="2" t="s">
        <v>1403</v>
      </c>
      <c r="AG99" s="2" t="s">
        <v>1029</v>
      </c>
      <c r="AH99" s="111">
        <v>9</v>
      </c>
      <c r="AI99" s="111">
        <v>1.5</v>
      </c>
      <c r="AJ99" s="111">
        <f t="shared" si="6"/>
        <v>1.3333333333333333</v>
      </c>
      <c r="AK99" s="111">
        <f t="shared" si="7"/>
        <v>2</v>
      </c>
      <c r="AL99" s="2" t="s">
        <v>1379</v>
      </c>
      <c r="AM99" s="2" t="s">
        <v>1404</v>
      </c>
      <c r="AN99" s="2" t="s">
        <v>1405</v>
      </c>
      <c r="AO99" s="2" t="s">
        <v>1023</v>
      </c>
    </row>
    <row r="100" spans="1:41" ht="45.95" hidden="1" customHeight="1" x14ac:dyDescent="0.25">
      <c r="A100" s="69" t="s">
        <v>1406</v>
      </c>
      <c r="B100" s="69" t="s">
        <v>30</v>
      </c>
      <c r="C100" s="69" t="s">
        <v>33</v>
      </c>
      <c r="D100" s="70" t="s">
        <v>1407</v>
      </c>
      <c r="E100" s="69" t="s">
        <v>826</v>
      </c>
      <c r="F100" s="69" t="s">
        <v>1408</v>
      </c>
      <c r="G100" s="69" t="s">
        <v>67</v>
      </c>
      <c r="H100" s="70" t="s">
        <v>1409</v>
      </c>
      <c r="I100" s="70" t="s">
        <v>1410</v>
      </c>
      <c r="J100" s="69">
        <v>8</v>
      </c>
      <c r="K100" s="69" t="s">
        <v>1028</v>
      </c>
      <c r="L100" s="11" t="s">
        <v>1278</v>
      </c>
      <c r="M100" s="7" t="s">
        <v>1279</v>
      </c>
      <c r="N100" s="7" t="s">
        <v>1280</v>
      </c>
      <c r="O100" s="7" t="s">
        <v>1411</v>
      </c>
      <c r="P100" s="12" t="s">
        <v>1412</v>
      </c>
      <c r="Q100" s="71" t="s">
        <v>1028</v>
      </c>
      <c r="R100" s="71"/>
      <c r="S100" s="75" t="s">
        <v>1073</v>
      </c>
      <c r="T100" s="75" t="s">
        <v>1112</v>
      </c>
      <c r="U100" s="75" t="s">
        <v>1113</v>
      </c>
      <c r="V100" s="71" t="s">
        <v>1411</v>
      </c>
      <c r="W100" s="71" t="s">
        <v>1279</v>
      </c>
      <c r="X100" s="76" t="s">
        <v>1077</v>
      </c>
      <c r="Y100" s="71" t="s">
        <v>776</v>
      </c>
      <c r="Z100" s="2" t="s">
        <v>1282</v>
      </c>
      <c r="AA100" s="2" t="s">
        <v>1283</v>
      </c>
      <c r="AB100" s="2" t="s">
        <v>1284</v>
      </c>
      <c r="AC100" s="2" t="s">
        <v>1328</v>
      </c>
      <c r="AD100" s="2" t="s">
        <v>1042</v>
      </c>
      <c r="AE100" s="2" t="s">
        <v>1050</v>
      </c>
      <c r="AF100" s="2" t="s">
        <v>1286</v>
      </c>
      <c r="AG100" s="2" t="s">
        <v>1079</v>
      </c>
      <c r="AH100" s="111">
        <v>10</v>
      </c>
      <c r="AI100" s="111">
        <v>1.5</v>
      </c>
      <c r="AJ100" s="111">
        <f t="shared" si="6"/>
        <v>0.8</v>
      </c>
      <c r="AK100" s="111">
        <f t="shared" si="7"/>
        <v>1.2000000000000002</v>
      </c>
      <c r="AL100" s="2" t="s">
        <v>1379</v>
      </c>
      <c r="AM100" s="2" t="s">
        <v>1413</v>
      </c>
      <c r="AN100" s="2" t="s">
        <v>1289</v>
      </c>
      <c r="AO100" s="2" t="s">
        <v>1023</v>
      </c>
    </row>
    <row r="101" spans="1:41" ht="45.95" hidden="1" customHeight="1" x14ac:dyDescent="0.25">
      <c r="A101" s="69" t="s">
        <v>1414</v>
      </c>
      <c r="B101" s="69" t="s">
        <v>30</v>
      </c>
      <c r="C101" s="69" t="s">
        <v>33</v>
      </c>
      <c r="D101" s="70" t="s">
        <v>1415</v>
      </c>
      <c r="E101" s="69" t="s">
        <v>826</v>
      </c>
      <c r="F101" s="69" t="s">
        <v>1408</v>
      </c>
      <c r="G101" s="69" t="s">
        <v>67</v>
      </c>
      <c r="H101" s="70" t="s">
        <v>1416</v>
      </c>
      <c r="I101" s="70" t="s">
        <v>1417</v>
      </c>
      <c r="J101" s="69">
        <v>6</v>
      </c>
      <c r="K101" s="69" t="s">
        <v>1028</v>
      </c>
      <c r="L101" s="11" t="s">
        <v>1278</v>
      </c>
      <c r="M101" s="7" t="s">
        <v>1279</v>
      </c>
      <c r="N101" s="7" t="s">
        <v>1280</v>
      </c>
      <c r="O101" s="7" t="s">
        <v>1418</v>
      </c>
      <c r="P101" s="12" t="s">
        <v>1419</v>
      </c>
      <c r="Q101" s="71" t="s">
        <v>1028</v>
      </c>
      <c r="R101" s="71"/>
      <c r="S101" s="75" t="s">
        <v>1073</v>
      </c>
      <c r="T101" s="75" t="s">
        <v>1112</v>
      </c>
      <c r="U101" s="75" t="s">
        <v>1113</v>
      </c>
      <c r="V101" s="71" t="s">
        <v>1418</v>
      </c>
      <c r="W101" s="71" t="s">
        <v>1279</v>
      </c>
      <c r="X101" s="76" t="s">
        <v>1077</v>
      </c>
      <c r="Y101" s="71" t="s">
        <v>776</v>
      </c>
      <c r="Z101" s="2" t="s">
        <v>1282</v>
      </c>
      <c r="AA101" s="2" t="s">
        <v>1283</v>
      </c>
      <c r="AB101" s="2" t="s">
        <v>1284</v>
      </c>
      <c r="AC101" s="2" t="s">
        <v>1328</v>
      </c>
      <c r="AD101" s="2" t="s">
        <v>1042</v>
      </c>
      <c r="AE101" s="2" t="s">
        <v>1050</v>
      </c>
      <c r="AF101" s="2" t="s">
        <v>1286</v>
      </c>
      <c r="AG101" s="2" t="s">
        <v>1079</v>
      </c>
      <c r="AH101" s="111">
        <v>10</v>
      </c>
      <c r="AI101" s="111">
        <v>1.5</v>
      </c>
      <c r="AJ101" s="111">
        <f t="shared" si="6"/>
        <v>0.6</v>
      </c>
      <c r="AK101" s="111">
        <f t="shared" si="7"/>
        <v>0.89999999999999991</v>
      </c>
      <c r="AL101" s="2" t="s">
        <v>1379</v>
      </c>
      <c r="AM101" s="2" t="s">
        <v>1420</v>
      </c>
      <c r="AN101" s="2" t="s">
        <v>1289</v>
      </c>
      <c r="AO101" s="2" t="s">
        <v>1023</v>
      </c>
    </row>
    <row r="102" spans="1:41" ht="45.95" hidden="1" customHeight="1" x14ac:dyDescent="0.25">
      <c r="A102" s="69" t="s">
        <v>1421</v>
      </c>
      <c r="B102" s="69" t="s">
        <v>30</v>
      </c>
      <c r="C102" s="69" t="s">
        <v>33</v>
      </c>
      <c r="D102" s="70" t="s">
        <v>1422</v>
      </c>
      <c r="E102" s="69" t="s">
        <v>788</v>
      </c>
      <c r="F102" s="69" t="s">
        <v>1408</v>
      </c>
      <c r="G102" s="69" t="s">
        <v>68</v>
      </c>
      <c r="H102" s="70" t="s">
        <v>1423</v>
      </c>
      <c r="I102" s="70" t="s">
        <v>1424</v>
      </c>
      <c r="J102" s="69">
        <v>12</v>
      </c>
      <c r="K102" s="69" t="s">
        <v>1028</v>
      </c>
      <c r="L102" s="11" t="s">
        <v>1278</v>
      </c>
      <c r="M102" s="7" t="s">
        <v>1279</v>
      </c>
      <c r="N102" s="7" t="s">
        <v>1280</v>
      </c>
      <c r="O102" s="7" t="s">
        <v>1425</v>
      </c>
      <c r="P102" s="12" t="s">
        <v>1426</v>
      </c>
      <c r="Q102" s="71" t="s">
        <v>1028</v>
      </c>
      <c r="R102" s="71"/>
      <c r="S102" s="75" t="s">
        <v>1073</v>
      </c>
      <c r="T102" s="75" t="s">
        <v>1112</v>
      </c>
      <c r="U102" s="75" t="s">
        <v>1113</v>
      </c>
      <c r="V102" s="71" t="s">
        <v>1425</v>
      </c>
      <c r="W102" s="71" t="s">
        <v>1279</v>
      </c>
      <c r="X102" s="76" t="s">
        <v>1077</v>
      </c>
      <c r="Y102" s="71" t="s">
        <v>776</v>
      </c>
      <c r="Z102" s="2" t="s">
        <v>1282</v>
      </c>
      <c r="AA102" s="2" t="s">
        <v>1283</v>
      </c>
      <c r="AB102" s="2" t="s">
        <v>1284</v>
      </c>
      <c r="AC102" s="2" t="s">
        <v>1285</v>
      </c>
      <c r="AD102" s="2" t="s">
        <v>1042</v>
      </c>
      <c r="AE102" s="2" t="s">
        <v>1017</v>
      </c>
      <c r="AF102" s="2" t="s">
        <v>1403</v>
      </c>
      <c r="AG102" s="2" t="s">
        <v>1029</v>
      </c>
      <c r="AH102" s="111">
        <v>9</v>
      </c>
      <c r="AI102" s="111">
        <v>1.5</v>
      </c>
      <c r="AJ102" s="111">
        <f t="shared" si="6"/>
        <v>1.3333333333333333</v>
      </c>
      <c r="AK102" s="111">
        <f t="shared" si="7"/>
        <v>2</v>
      </c>
      <c r="AL102" s="2" t="s">
        <v>1379</v>
      </c>
      <c r="AM102" s="2" t="s">
        <v>1427</v>
      </c>
      <c r="AN102" s="2" t="s">
        <v>1405</v>
      </c>
      <c r="AO102" s="2" t="s">
        <v>1023</v>
      </c>
    </row>
    <row r="103" spans="1:41" ht="45.95" hidden="1" customHeight="1" x14ac:dyDescent="0.25">
      <c r="A103" s="69" t="s">
        <v>1428</v>
      </c>
      <c r="B103" s="69" t="s">
        <v>30</v>
      </c>
      <c r="C103" s="69" t="s">
        <v>33</v>
      </c>
      <c r="D103" s="70" t="s">
        <v>1429</v>
      </c>
      <c r="E103" s="69" t="s">
        <v>826</v>
      </c>
      <c r="F103" s="69" t="s">
        <v>1124</v>
      </c>
      <c r="G103" s="69" t="s">
        <v>68</v>
      </c>
      <c r="H103" s="70" t="s">
        <v>1430</v>
      </c>
      <c r="I103" s="70" t="s">
        <v>1431</v>
      </c>
      <c r="J103" s="69">
        <v>8</v>
      </c>
      <c r="K103" s="69" t="s">
        <v>1028</v>
      </c>
      <c r="L103" s="11" t="s">
        <v>1278</v>
      </c>
      <c r="M103" s="7" t="s">
        <v>1279</v>
      </c>
      <c r="N103" s="7" t="s">
        <v>1280</v>
      </c>
      <c r="O103" s="7" t="s">
        <v>1432</v>
      </c>
      <c r="P103" s="12" t="s">
        <v>1433</v>
      </c>
      <c r="Q103" s="71" t="s">
        <v>1028</v>
      </c>
      <c r="R103" s="71"/>
      <c r="S103" s="71" t="s">
        <v>774</v>
      </c>
      <c r="T103" s="71"/>
      <c r="U103" s="71"/>
      <c r="V103" s="71" t="s">
        <v>1432</v>
      </c>
      <c r="W103" s="71" t="s">
        <v>1279</v>
      </c>
      <c r="X103" s="71" t="s">
        <v>775</v>
      </c>
      <c r="Y103" s="71" t="s">
        <v>776</v>
      </c>
      <c r="Z103" s="2" t="s">
        <v>1282</v>
      </c>
      <c r="AA103" s="2" t="s">
        <v>1283</v>
      </c>
      <c r="AB103" s="2" t="s">
        <v>1284</v>
      </c>
      <c r="AC103" s="2" t="s">
        <v>1285</v>
      </c>
      <c r="AD103" s="2" t="s">
        <v>1042</v>
      </c>
      <c r="AE103" s="2" t="s">
        <v>1050</v>
      </c>
      <c r="AF103" s="2" t="s">
        <v>1286</v>
      </c>
      <c r="AG103" s="2" t="s">
        <v>1079</v>
      </c>
      <c r="AH103" s="111">
        <v>10</v>
      </c>
      <c r="AI103" s="111">
        <v>1.5</v>
      </c>
      <c r="AJ103" s="111">
        <f t="shared" si="6"/>
        <v>0.8</v>
      </c>
      <c r="AK103" s="111">
        <f t="shared" si="7"/>
        <v>1.2000000000000002</v>
      </c>
      <c r="AL103" s="2" t="s">
        <v>1379</v>
      </c>
      <c r="AM103" s="2" t="s">
        <v>1434</v>
      </c>
      <c r="AN103" s="2" t="s">
        <v>1289</v>
      </c>
      <c r="AO103" s="2" t="s">
        <v>1023</v>
      </c>
    </row>
    <row r="104" spans="1:41" ht="45.95" hidden="1" customHeight="1" x14ac:dyDescent="0.25">
      <c r="A104" s="69" t="s">
        <v>1435</v>
      </c>
      <c r="B104" s="69" t="s">
        <v>30</v>
      </c>
      <c r="C104" s="69" t="s">
        <v>33</v>
      </c>
      <c r="D104" s="70" t="s">
        <v>1436</v>
      </c>
      <c r="E104" s="69" t="s">
        <v>826</v>
      </c>
      <c r="F104" s="69" t="s">
        <v>1124</v>
      </c>
      <c r="G104" s="69" t="s">
        <v>68</v>
      </c>
      <c r="H104" s="70" t="s">
        <v>1437</v>
      </c>
      <c r="I104" s="70" t="s">
        <v>1438</v>
      </c>
      <c r="J104" s="69">
        <v>6</v>
      </c>
      <c r="K104" s="69" t="s">
        <v>1028</v>
      </c>
      <c r="L104" s="11" t="s">
        <v>1278</v>
      </c>
      <c r="M104" s="7" t="s">
        <v>1279</v>
      </c>
      <c r="N104" s="7" t="s">
        <v>1280</v>
      </c>
      <c r="O104" s="7" t="s">
        <v>1439</v>
      </c>
      <c r="P104" s="12" t="s">
        <v>1440</v>
      </c>
      <c r="Q104" s="71" t="s">
        <v>1028</v>
      </c>
      <c r="R104" s="71"/>
      <c r="S104" s="71" t="s">
        <v>774</v>
      </c>
      <c r="T104" s="71"/>
      <c r="U104" s="71"/>
      <c r="V104" s="71" t="s">
        <v>1439</v>
      </c>
      <c r="W104" s="71" t="s">
        <v>1279</v>
      </c>
      <c r="X104" s="71" t="s">
        <v>775</v>
      </c>
      <c r="Y104" s="71" t="s">
        <v>776</v>
      </c>
      <c r="Z104" s="2" t="s">
        <v>1282</v>
      </c>
      <c r="AA104" s="2" t="s">
        <v>1283</v>
      </c>
      <c r="AB104" s="2" t="s">
        <v>1284</v>
      </c>
      <c r="AC104" s="2" t="s">
        <v>1285</v>
      </c>
      <c r="AD104" s="2" t="s">
        <v>1042</v>
      </c>
      <c r="AE104" s="2" t="s">
        <v>1050</v>
      </c>
      <c r="AF104" s="2" t="s">
        <v>1286</v>
      </c>
      <c r="AG104" s="2" t="s">
        <v>1079</v>
      </c>
      <c r="AH104" s="111">
        <v>10</v>
      </c>
      <c r="AI104" s="111">
        <v>1.5</v>
      </c>
      <c r="AJ104" s="111">
        <f t="shared" si="6"/>
        <v>0.6</v>
      </c>
      <c r="AK104" s="111">
        <f t="shared" si="7"/>
        <v>0.89999999999999991</v>
      </c>
      <c r="AL104" s="2" t="s">
        <v>1379</v>
      </c>
      <c r="AM104" s="2" t="s">
        <v>1441</v>
      </c>
      <c r="AN104" s="2" t="s">
        <v>1289</v>
      </c>
      <c r="AO104" s="2" t="s">
        <v>1023</v>
      </c>
    </row>
    <row r="105" spans="1:41" ht="45.95" hidden="1" customHeight="1" x14ac:dyDescent="0.25">
      <c r="A105" s="69" t="s">
        <v>1442</v>
      </c>
      <c r="B105" s="69" t="s">
        <v>30</v>
      </c>
      <c r="C105" s="69" t="s">
        <v>33</v>
      </c>
      <c r="D105" s="70" t="s">
        <v>1443</v>
      </c>
      <c r="E105" s="69" t="s">
        <v>826</v>
      </c>
      <c r="F105" s="69" t="s">
        <v>1444</v>
      </c>
      <c r="G105" s="69" t="s">
        <v>67</v>
      </c>
      <c r="H105" s="70" t="s">
        <v>1445</v>
      </c>
      <c r="I105" s="70" t="s">
        <v>1446</v>
      </c>
      <c r="J105" s="69">
        <v>8</v>
      </c>
      <c r="K105" s="69" t="s">
        <v>1028</v>
      </c>
      <c r="L105" s="11" t="s">
        <v>1278</v>
      </c>
      <c r="M105" s="7" t="s">
        <v>1279</v>
      </c>
      <c r="N105" s="7" t="s">
        <v>1280</v>
      </c>
      <c r="O105" s="7" t="s">
        <v>1447</v>
      </c>
      <c r="P105" s="12" t="s">
        <v>1448</v>
      </c>
      <c r="Q105" s="71" t="s">
        <v>1028</v>
      </c>
      <c r="R105" s="71"/>
      <c r="S105" s="71" t="s">
        <v>774</v>
      </c>
      <c r="T105" s="71"/>
      <c r="U105" s="71"/>
      <c r="V105" s="71" t="s">
        <v>1447</v>
      </c>
      <c r="W105" s="71" t="s">
        <v>1279</v>
      </c>
      <c r="X105" s="71" t="s">
        <v>775</v>
      </c>
      <c r="Y105" s="71" t="s">
        <v>776</v>
      </c>
      <c r="Z105" s="2" t="s">
        <v>1282</v>
      </c>
      <c r="AA105" s="2" t="s">
        <v>1283</v>
      </c>
      <c r="AB105" s="2" t="s">
        <v>1284</v>
      </c>
      <c r="AC105" s="2" t="s">
        <v>1285</v>
      </c>
      <c r="AD105" s="2" t="s">
        <v>1042</v>
      </c>
      <c r="AE105" s="2" t="s">
        <v>1050</v>
      </c>
      <c r="AF105" s="2" t="s">
        <v>1286</v>
      </c>
      <c r="AG105" s="2" t="s">
        <v>1079</v>
      </c>
      <c r="AH105" s="111">
        <v>10</v>
      </c>
      <c r="AI105" s="111">
        <v>1.5</v>
      </c>
      <c r="AJ105" s="111">
        <f t="shared" si="6"/>
        <v>0.8</v>
      </c>
      <c r="AK105" s="111">
        <f t="shared" si="7"/>
        <v>1.2000000000000002</v>
      </c>
      <c r="AL105" s="2" t="s">
        <v>1379</v>
      </c>
      <c r="AM105" s="2" t="s">
        <v>1449</v>
      </c>
      <c r="AN105" s="2" t="s">
        <v>1289</v>
      </c>
      <c r="AO105" s="2" t="s">
        <v>1023</v>
      </c>
    </row>
    <row r="106" spans="1:41" ht="45.95" hidden="1" customHeight="1" x14ac:dyDescent="0.25">
      <c r="A106" s="69" t="s">
        <v>1450</v>
      </c>
      <c r="B106" s="69" t="s">
        <v>30</v>
      </c>
      <c r="C106" s="69" t="s">
        <v>33</v>
      </c>
      <c r="D106" s="70" t="s">
        <v>1451</v>
      </c>
      <c r="E106" s="69" t="s">
        <v>826</v>
      </c>
      <c r="F106" s="69" t="s">
        <v>1444</v>
      </c>
      <c r="G106" s="69" t="s">
        <v>67</v>
      </c>
      <c r="H106" s="70" t="s">
        <v>1452</v>
      </c>
      <c r="I106" s="70" t="s">
        <v>1453</v>
      </c>
      <c r="J106" s="69">
        <v>6</v>
      </c>
      <c r="K106" s="69" t="s">
        <v>1028</v>
      </c>
      <c r="L106" s="11" t="s">
        <v>1278</v>
      </c>
      <c r="M106" s="7" t="s">
        <v>1279</v>
      </c>
      <c r="N106" s="7" t="s">
        <v>1280</v>
      </c>
      <c r="O106" s="7" t="s">
        <v>1454</v>
      </c>
      <c r="P106" s="12" t="s">
        <v>1455</v>
      </c>
      <c r="Q106" s="71" t="s">
        <v>1028</v>
      </c>
      <c r="R106" s="71"/>
      <c r="S106" s="71" t="s">
        <v>774</v>
      </c>
      <c r="T106" s="71"/>
      <c r="U106" s="71"/>
      <c r="V106" s="71" t="s">
        <v>1454</v>
      </c>
      <c r="W106" s="71" t="s">
        <v>1279</v>
      </c>
      <c r="X106" s="71" t="s">
        <v>775</v>
      </c>
      <c r="Y106" s="71" t="s">
        <v>776</v>
      </c>
      <c r="Z106" s="2" t="s">
        <v>1282</v>
      </c>
      <c r="AA106" s="2" t="s">
        <v>1283</v>
      </c>
      <c r="AB106" s="2" t="s">
        <v>1284</v>
      </c>
      <c r="AC106" s="2" t="s">
        <v>1285</v>
      </c>
      <c r="AD106" s="2" t="s">
        <v>1042</v>
      </c>
      <c r="AE106" s="2" t="s">
        <v>1050</v>
      </c>
      <c r="AF106" s="2" t="s">
        <v>1286</v>
      </c>
      <c r="AG106" s="2" t="s">
        <v>1079</v>
      </c>
      <c r="AH106" s="111">
        <v>10</v>
      </c>
      <c r="AI106" s="111">
        <v>1.5</v>
      </c>
      <c r="AJ106" s="111">
        <f t="shared" si="6"/>
        <v>0.6</v>
      </c>
      <c r="AK106" s="111">
        <f t="shared" si="7"/>
        <v>0.89999999999999991</v>
      </c>
      <c r="AL106" s="2" t="s">
        <v>1379</v>
      </c>
      <c r="AM106" s="2" t="s">
        <v>1456</v>
      </c>
      <c r="AN106" s="2" t="s">
        <v>1289</v>
      </c>
      <c r="AO106" s="2" t="s">
        <v>1457</v>
      </c>
    </row>
    <row r="107" spans="1:41" ht="45.95" hidden="1" customHeight="1" x14ac:dyDescent="0.25">
      <c r="A107" s="69" t="s">
        <v>1458</v>
      </c>
      <c r="B107" s="69" t="s">
        <v>30</v>
      </c>
      <c r="C107" s="69" t="s">
        <v>35</v>
      </c>
      <c r="D107" s="70" t="s">
        <v>1459</v>
      </c>
      <c r="E107" s="69" t="s">
        <v>826</v>
      </c>
      <c r="F107" s="69" t="s">
        <v>1132</v>
      </c>
      <c r="G107" s="69" t="s">
        <v>67</v>
      </c>
      <c r="H107" s="70" t="s">
        <v>1460</v>
      </c>
      <c r="I107" s="70" t="s">
        <v>1461</v>
      </c>
      <c r="J107" s="69">
        <v>12</v>
      </c>
      <c r="K107" s="69" t="s">
        <v>1028</v>
      </c>
      <c r="L107" s="11" t="s">
        <v>1278</v>
      </c>
      <c r="M107" s="7" t="s">
        <v>1279</v>
      </c>
      <c r="N107" s="7" t="s">
        <v>1280</v>
      </c>
      <c r="O107" s="7" t="s">
        <v>1462</v>
      </c>
      <c r="P107" s="12" t="s">
        <v>1463</v>
      </c>
      <c r="Q107" s="71" t="s">
        <v>1028</v>
      </c>
      <c r="R107" s="71"/>
      <c r="S107" s="75" t="s">
        <v>1073</v>
      </c>
      <c r="T107" s="75" t="s">
        <v>1137</v>
      </c>
      <c r="U107" s="75" t="s">
        <v>1138</v>
      </c>
      <c r="V107" s="71" t="s">
        <v>1462</v>
      </c>
      <c r="W107" s="71" t="s">
        <v>1279</v>
      </c>
      <c r="X107" s="76" t="s">
        <v>1077</v>
      </c>
      <c r="Y107" s="71" t="s">
        <v>776</v>
      </c>
      <c r="Z107" s="2" t="s">
        <v>1282</v>
      </c>
      <c r="AA107" s="2" t="s">
        <v>1283</v>
      </c>
      <c r="AB107" s="2" t="s">
        <v>1284</v>
      </c>
      <c r="AC107" s="2" t="s">
        <v>1328</v>
      </c>
      <c r="AD107" s="2" t="s">
        <v>1042</v>
      </c>
      <c r="AE107" s="2" t="s">
        <v>1139</v>
      </c>
      <c r="AF107" s="2" t="s">
        <v>1464</v>
      </c>
      <c r="AG107" s="2" t="s">
        <v>1079</v>
      </c>
      <c r="AH107" s="111">
        <v>10</v>
      </c>
      <c r="AI107" s="111">
        <v>1.5</v>
      </c>
      <c r="AJ107" s="111">
        <f t="shared" si="6"/>
        <v>1.2</v>
      </c>
      <c r="AK107" s="111">
        <f t="shared" si="7"/>
        <v>1.7999999999999998</v>
      </c>
      <c r="AL107" s="2" t="s">
        <v>1465</v>
      </c>
      <c r="AM107" s="2" t="s">
        <v>1466</v>
      </c>
      <c r="AN107" s="2" t="s">
        <v>1467</v>
      </c>
      <c r="AO107" s="2" t="s">
        <v>1023</v>
      </c>
    </row>
    <row r="108" spans="1:41" ht="45.95" hidden="1" customHeight="1" x14ac:dyDescent="0.25">
      <c r="A108" s="69" t="s">
        <v>1468</v>
      </c>
      <c r="B108" s="69" t="s">
        <v>30</v>
      </c>
      <c r="C108" s="69" t="s">
        <v>35</v>
      </c>
      <c r="D108" s="70" t="s">
        <v>1469</v>
      </c>
      <c r="E108" s="69" t="s">
        <v>826</v>
      </c>
      <c r="F108" s="69" t="s">
        <v>1132</v>
      </c>
      <c r="G108" s="69" t="s">
        <v>67</v>
      </c>
      <c r="H108" s="70" t="s">
        <v>1470</v>
      </c>
      <c r="I108" s="70" t="s">
        <v>1471</v>
      </c>
      <c r="J108" s="69">
        <v>12</v>
      </c>
      <c r="K108" s="69" t="s">
        <v>1028</v>
      </c>
      <c r="L108" s="11" t="s">
        <v>1472</v>
      </c>
      <c r="M108" s="7" t="s">
        <v>1473</v>
      </c>
      <c r="N108" s="7" t="s">
        <v>1474</v>
      </c>
      <c r="O108" s="7" t="s">
        <v>1475</v>
      </c>
      <c r="P108" s="12" t="s">
        <v>1476</v>
      </c>
      <c r="Q108" s="71" t="s">
        <v>1028</v>
      </c>
      <c r="R108" s="71"/>
      <c r="S108" s="74" t="s">
        <v>1011</v>
      </c>
      <c r="T108" s="74" t="s">
        <v>1477</v>
      </c>
      <c r="U108" s="74" t="s">
        <v>1478</v>
      </c>
      <c r="V108" s="71" t="s">
        <v>1475</v>
      </c>
      <c r="W108" s="71" t="s">
        <v>1473</v>
      </c>
      <c r="X108" s="74" t="s">
        <v>1015</v>
      </c>
      <c r="Y108" s="71" t="s">
        <v>776</v>
      </c>
      <c r="Z108" s="2" t="s">
        <v>1282</v>
      </c>
      <c r="AA108" s="2" t="s">
        <v>1283</v>
      </c>
      <c r="AB108" s="2" t="s">
        <v>1284</v>
      </c>
      <c r="AC108" s="2" t="s">
        <v>1285</v>
      </c>
      <c r="AD108" s="2" t="s">
        <v>1042</v>
      </c>
      <c r="AE108" s="2" t="s">
        <v>1139</v>
      </c>
      <c r="AF108" s="2" t="s">
        <v>1464</v>
      </c>
      <c r="AG108" s="2" t="s">
        <v>1079</v>
      </c>
      <c r="AH108" s="111">
        <v>10</v>
      </c>
      <c r="AI108" s="111">
        <v>1.5</v>
      </c>
      <c r="AJ108" s="111">
        <f t="shared" si="6"/>
        <v>1.2</v>
      </c>
      <c r="AK108" s="111">
        <f t="shared" si="7"/>
        <v>1.7999999999999998</v>
      </c>
      <c r="AL108" s="2" t="s">
        <v>1465</v>
      </c>
      <c r="AM108" s="2" t="s">
        <v>1479</v>
      </c>
      <c r="AN108" s="2" t="s">
        <v>1467</v>
      </c>
      <c r="AO108" s="2" t="s">
        <v>1023</v>
      </c>
    </row>
    <row r="109" spans="1:41" ht="45.95" hidden="1" customHeight="1" x14ac:dyDescent="0.25">
      <c r="A109" s="69" t="s">
        <v>1480</v>
      </c>
      <c r="B109" s="69" t="s">
        <v>30</v>
      </c>
      <c r="C109" s="69" t="s">
        <v>35</v>
      </c>
      <c r="D109" s="70" t="s">
        <v>1481</v>
      </c>
      <c r="E109" s="69" t="s">
        <v>826</v>
      </c>
      <c r="F109" s="69" t="s">
        <v>1482</v>
      </c>
      <c r="G109" s="69" t="s">
        <v>67</v>
      </c>
      <c r="H109" s="70" t="s">
        <v>1483</v>
      </c>
      <c r="I109" s="70" t="s">
        <v>1484</v>
      </c>
      <c r="J109" s="69">
        <v>8</v>
      </c>
      <c r="K109" s="69" t="s">
        <v>1028</v>
      </c>
      <c r="L109" s="11" t="s">
        <v>1278</v>
      </c>
      <c r="M109" s="7" t="s">
        <v>1279</v>
      </c>
      <c r="N109" s="7" t="s">
        <v>1280</v>
      </c>
      <c r="O109" s="7" t="s">
        <v>1281</v>
      </c>
      <c r="P109" s="12" t="s">
        <v>772</v>
      </c>
      <c r="Q109" s="71" t="s">
        <v>1028</v>
      </c>
      <c r="R109" s="71"/>
      <c r="S109" s="71" t="s">
        <v>774</v>
      </c>
      <c r="T109" s="71"/>
      <c r="U109" s="71"/>
      <c r="V109" s="71" t="s">
        <v>1281</v>
      </c>
      <c r="W109" s="71" t="s">
        <v>1279</v>
      </c>
      <c r="X109" s="71" t="s">
        <v>775</v>
      </c>
      <c r="Y109" s="71" t="s">
        <v>776</v>
      </c>
      <c r="Z109" s="2" t="s">
        <v>1282</v>
      </c>
      <c r="AA109" s="2" t="s">
        <v>1283</v>
      </c>
      <c r="AB109" s="2" t="s">
        <v>1284</v>
      </c>
      <c r="AC109" s="2" t="s">
        <v>1285</v>
      </c>
      <c r="AD109" s="2" t="s">
        <v>1042</v>
      </c>
      <c r="AE109" s="2" t="s">
        <v>1050</v>
      </c>
      <c r="AF109" s="2" t="s">
        <v>1286</v>
      </c>
      <c r="AG109" s="2" t="s">
        <v>1079</v>
      </c>
      <c r="AH109" s="111">
        <v>10</v>
      </c>
      <c r="AI109" s="111">
        <v>1.5</v>
      </c>
      <c r="AJ109" s="111">
        <f t="shared" si="6"/>
        <v>0.8</v>
      </c>
      <c r="AK109" s="111">
        <f t="shared" si="7"/>
        <v>1.2000000000000002</v>
      </c>
      <c r="AL109" s="2" t="s">
        <v>1465</v>
      </c>
      <c r="AM109" s="2" t="s">
        <v>1288</v>
      </c>
      <c r="AN109" s="2" t="s">
        <v>1289</v>
      </c>
      <c r="AO109" s="2" t="s">
        <v>1023</v>
      </c>
    </row>
    <row r="110" spans="1:41" ht="45.95" hidden="1" customHeight="1" x14ac:dyDescent="0.25">
      <c r="A110" s="69" t="s">
        <v>1485</v>
      </c>
      <c r="B110" s="69" t="s">
        <v>30</v>
      </c>
      <c r="C110" s="69" t="s">
        <v>35</v>
      </c>
      <c r="D110" s="70" t="s">
        <v>1486</v>
      </c>
      <c r="E110" s="69" t="s">
        <v>826</v>
      </c>
      <c r="F110" s="69" t="s">
        <v>1482</v>
      </c>
      <c r="G110" s="69" t="s">
        <v>67</v>
      </c>
      <c r="H110" s="70" t="s">
        <v>1487</v>
      </c>
      <c r="I110" s="70" t="s">
        <v>1488</v>
      </c>
      <c r="J110" s="69">
        <v>6</v>
      </c>
      <c r="K110" s="69" t="s">
        <v>1028</v>
      </c>
      <c r="L110" s="11" t="s">
        <v>1139</v>
      </c>
      <c r="M110" s="7" t="s">
        <v>86</v>
      </c>
      <c r="N110" s="7" t="s">
        <v>1489</v>
      </c>
      <c r="O110" s="7" t="s">
        <v>1490</v>
      </c>
      <c r="P110" s="12" t="s">
        <v>1491</v>
      </c>
      <c r="Q110" s="71" t="s">
        <v>1028</v>
      </c>
      <c r="R110" s="71"/>
      <c r="S110" s="71" t="s">
        <v>774</v>
      </c>
      <c r="T110" s="71"/>
      <c r="U110" s="71"/>
      <c r="V110" s="71" t="s">
        <v>1490</v>
      </c>
      <c r="W110" s="71" t="s">
        <v>1492</v>
      </c>
      <c r="X110" s="71" t="s">
        <v>775</v>
      </c>
      <c r="Y110" s="71" t="s">
        <v>776</v>
      </c>
      <c r="Z110" s="2" t="s">
        <v>1282</v>
      </c>
      <c r="AA110" s="2" t="s">
        <v>1283</v>
      </c>
      <c r="AB110" s="2" t="s">
        <v>1284</v>
      </c>
      <c r="AC110" s="2" t="s">
        <v>1285</v>
      </c>
      <c r="AD110" s="2" t="s">
        <v>1042</v>
      </c>
      <c r="AE110" s="2" t="s">
        <v>1139</v>
      </c>
      <c r="AF110" s="2" t="s">
        <v>1464</v>
      </c>
      <c r="AG110" s="2" t="s">
        <v>1079</v>
      </c>
      <c r="AH110" s="111">
        <v>10</v>
      </c>
      <c r="AI110" s="111">
        <v>1.5</v>
      </c>
      <c r="AJ110" s="111">
        <f t="shared" si="6"/>
        <v>0.6</v>
      </c>
      <c r="AK110" s="111">
        <f t="shared" si="7"/>
        <v>0.89999999999999991</v>
      </c>
      <c r="AL110" s="2" t="s">
        <v>1465</v>
      </c>
      <c r="AM110" s="2" t="s">
        <v>1493</v>
      </c>
      <c r="AN110" s="2" t="s">
        <v>1467</v>
      </c>
      <c r="AO110" s="2" t="s">
        <v>1023</v>
      </c>
    </row>
    <row r="111" spans="1:41" ht="45.95" hidden="1" customHeight="1" x14ac:dyDescent="0.25">
      <c r="A111" s="69" t="s">
        <v>1494</v>
      </c>
      <c r="B111" s="69" t="s">
        <v>30</v>
      </c>
      <c r="C111" s="69" t="s">
        <v>35</v>
      </c>
      <c r="D111" s="70" t="s">
        <v>1495</v>
      </c>
      <c r="E111" s="69" t="s">
        <v>826</v>
      </c>
      <c r="F111" s="69" t="s">
        <v>1482</v>
      </c>
      <c r="G111" s="69" t="s">
        <v>67</v>
      </c>
      <c r="H111" s="70" t="s">
        <v>1496</v>
      </c>
      <c r="I111" s="70" t="s">
        <v>1497</v>
      </c>
      <c r="J111" s="69">
        <v>12</v>
      </c>
      <c r="K111" s="69" t="s">
        <v>1028</v>
      </c>
      <c r="L111" s="11" t="s">
        <v>1278</v>
      </c>
      <c r="M111" s="7" t="s">
        <v>1279</v>
      </c>
      <c r="N111" s="7" t="s">
        <v>1280</v>
      </c>
      <c r="O111" s="7" t="s">
        <v>1281</v>
      </c>
      <c r="P111" s="12" t="s">
        <v>772</v>
      </c>
      <c r="Q111" s="71" t="s">
        <v>1028</v>
      </c>
      <c r="R111" s="71"/>
      <c r="S111" s="71" t="s">
        <v>774</v>
      </c>
      <c r="T111" s="71"/>
      <c r="U111" s="71"/>
      <c r="V111" s="71" t="s">
        <v>1281</v>
      </c>
      <c r="W111" s="71" t="s">
        <v>1279</v>
      </c>
      <c r="X111" s="71" t="s">
        <v>775</v>
      </c>
      <c r="Y111" s="71" t="s">
        <v>776</v>
      </c>
      <c r="Z111" s="2" t="s">
        <v>1282</v>
      </c>
      <c r="AA111" s="2" t="s">
        <v>1283</v>
      </c>
      <c r="AB111" s="2" t="s">
        <v>1284</v>
      </c>
      <c r="AC111" s="2" t="s">
        <v>1285</v>
      </c>
      <c r="AD111" s="2" t="s">
        <v>1042</v>
      </c>
      <c r="AE111" s="2" t="s">
        <v>1050</v>
      </c>
      <c r="AF111" s="2" t="s">
        <v>1286</v>
      </c>
      <c r="AG111" s="2" t="s">
        <v>1079</v>
      </c>
      <c r="AH111" s="111">
        <v>10</v>
      </c>
      <c r="AI111" s="111">
        <v>1.5</v>
      </c>
      <c r="AJ111" s="111">
        <f t="shared" si="6"/>
        <v>1.2</v>
      </c>
      <c r="AK111" s="111">
        <f t="shared" si="7"/>
        <v>1.7999999999999998</v>
      </c>
      <c r="AL111" s="2" t="s">
        <v>1465</v>
      </c>
      <c r="AM111" s="2" t="s">
        <v>1288</v>
      </c>
      <c r="AN111" s="2" t="s">
        <v>1289</v>
      </c>
      <c r="AO111" s="2" t="s">
        <v>1023</v>
      </c>
    </row>
    <row r="112" spans="1:41" ht="45.95" hidden="1" customHeight="1" x14ac:dyDescent="0.25">
      <c r="A112" s="69" t="s">
        <v>1498</v>
      </c>
      <c r="B112" s="69" t="s">
        <v>30</v>
      </c>
      <c r="C112" s="69" t="s">
        <v>35</v>
      </c>
      <c r="D112" s="70" t="s">
        <v>1499</v>
      </c>
      <c r="E112" s="69" t="s">
        <v>793</v>
      </c>
      <c r="F112" s="69" t="s">
        <v>1500</v>
      </c>
      <c r="G112" s="69" t="s">
        <v>68</v>
      </c>
      <c r="H112" s="70" t="s">
        <v>1501</v>
      </c>
      <c r="I112" s="70" t="s">
        <v>1502</v>
      </c>
      <c r="J112" s="69">
        <v>12</v>
      </c>
      <c r="K112" s="69" t="s">
        <v>1028</v>
      </c>
      <c r="L112" s="11" t="s">
        <v>1278</v>
      </c>
      <c r="M112" s="7" t="s">
        <v>1279</v>
      </c>
      <c r="N112" s="7" t="s">
        <v>1280</v>
      </c>
      <c r="O112" s="7" t="s">
        <v>1281</v>
      </c>
      <c r="P112" s="12" t="s">
        <v>772</v>
      </c>
      <c r="Q112" s="71" t="s">
        <v>1028</v>
      </c>
      <c r="R112" s="71"/>
      <c r="S112" s="71" t="s">
        <v>774</v>
      </c>
      <c r="T112" s="71"/>
      <c r="U112" s="71"/>
      <c r="V112" s="71" t="s">
        <v>1281</v>
      </c>
      <c r="W112" s="71" t="s">
        <v>1279</v>
      </c>
      <c r="X112" s="71" t="s">
        <v>775</v>
      </c>
      <c r="Y112" s="71" t="s">
        <v>776</v>
      </c>
      <c r="Z112" s="2" t="s">
        <v>1282</v>
      </c>
      <c r="AA112" s="2" t="s">
        <v>1283</v>
      </c>
      <c r="AB112" s="2" t="s">
        <v>1284</v>
      </c>
      <c r="AC112" s="2" t="s">
        <v>1285</v>
      </c>
      <c r="AD112" s="2" t="s">
        <v>1042</v>
      </c>
      <c r="AE112" s="2" t="s">
        <v>1050</v>
      </c>
      <c r="AF112" s="2" t="s">
        <v>1286</v>
      </c>
      <c r="AG112" s="2" t="s">
        <v>1265</v>
      </c>
      <c r="AH112" s="111">
        <v>6</v>
      </c>
      <c r="AI112" s="111">
        <v>1.6</v>
      </c>
      <c r="AJ112" s="111">
        <f t="shared" si="6"/>
        <v>2</v>
      </c>
      <c r="AK112" s="111">
        <f t="shared" si="7"/>
        <v>3.2</v>
      </c>
      <c r="AL112" s="2" t="s">
        <v>1465</v>
      </c>
      <c r="AM112" s="2" t="s">
        <v>1288</v>
      </c>
      <c r="AN112" s="2" t="s">
        <v>1289</v>
      </c>
      <c r="AO112" s="2" t="s">
        <v>1023</v>
      </c>
    </row>
    <row r="113" spans="1:41" ht="45.95" hidden="1" customHeight="1" x14ac:dyDescent="0.25">
      <c r="A113" s="69" t="s">
        <v>1503</v>
      </c>
      <c r="B113" s="69" t="s">
        <v>30</v>
      </c>
      <c r="C113" s="69" t="s">
        <v>35</v>
      </c>
      <c r="D113" s="70" t="s">
        <v>1504</v>
      </c>
      <c r="E113" s="69" t="s">
        <v>806</v>
      </c>
      <c r="F113" s="69" t="s">
        <v>1505</v>
      </c>
      <c r="G113" s="69" t="s">
        <v>67</v>
      </c>
      <c r="H113" s="70" t="s">
        <v>1506</v>
      </c>
      <c r="I113" s="70" t="s">
        <v>1507</v>
      </c>
      <c r="J113" s="69">
        <v>12</v>
      </c>
      <c r="K113" s="69" t="s">
        <v>1028</v>
      </c>
      <c r="L113" s="11" t="s">
        <v>1278</v>
      </c>
      <c r="M113" s="7" t="s">
        <v>1279</v>
      </c>
      <c r="N113" s="7" t="s">
        <v>1280</v>
      </c>
      <c r="O113" s="7" t="s">
        <v>1508</v>
      </c>
      <c r="P113" s="12" t="s">
        <v>1509</v>
      </c>
      <c r="Q113" s="71" t="s">
        <v>1028</v>
      </c>
      <c r="R113" s="71"/>
      <c r="S113" s="75" t="s">
        <v>1073</v>
      </c>
      <c r="T113" s="75" t="s">
        <v>1510</v>
      </c>
      <c r="U113" s="75" t="s">
        <v>1511</v>
      </c>
      <c r="V113" s="71" t="s">
        <v>1508</v>
      </c>
      <c r="W113" s="71" t="s">
        <v>1279</v>
      </c>
      <c r="X113" s="76" t="s">
        <v>1077</v>
      </c>
      <c r="Y113" s="71" t="s">
        <v>776</v>
      </c>
      <c r="Z113" s="2" t="s">
        <v>1282</v>
      </c>
      <c r="AA113" s="2" t="s">
        <v>1283</v>
      </c>
      <c r="AB113" s="2" t="s">
        <v>1284</v>
      </c>
      <c r="AC113" s="2" t="s">
        <v>1512</v>
      </c>
      <c r="AD113" s="2" t="s">
        <v>1042</v>
      </c>
      <c r="AE113" s="2" t="s">
        <v>1050</v>
      </c>
      <c r="AF113" s="2" t="s">
        <v>1286</v>
      </c>
      <c r="AG113" s="2" t="s">
        <v>1294</v>
      </c>
      <c r="AH113" s="111">
        <v>8</v>
      </c>
      <c r="AI113" s="111">
        <v>1.55</v>
      </c>
      <c r="AJ113" s="111">
        <f t="shared" si="6"/>
        <v>1.5</v>
      </c>
      <c r="AK113" s="111">
        <f t="shared" si="7"/>
        <v>2.3250000000000002</v>
      </c>
      <c r="AL113" s="2" t="s">
        <v>1465</v>
      </c>
      <c r="AM113" s="2" t="s">
        <v>1513</v>
      </c>
      <c r="AN113" s="2" t="s">
        <v>1289</v>
      </c>
      <c r="AO113" s="2" t="s">
        <v>1457</v>
      </c>
    </row>
    <row r="114" spans="1:41" ht="45.95" hidden="1" customHeight="1" x14ac:dyDescent="0.25">
      <c r="A114" s="69" t="s">
        <v>210</v>
      </c>
      <c r="B114" s="69" t="s">
        <v>30</v>
      </c>
      <c r="C114" s="69" t="s">
        <v>35</v>
      </c>
      <c r="D114" s="70" t="s">
        <v>1514</v>
      </c>
      <c r="E114" s="69" t="s">
        <v>826</v>
      </c>
      <c r="F114" s="69" t="s">
        <v>1505</v>
      </c>
      <c r="G114" s="69" t="s">
        <v>68</v>
      </c>
      <c r="H114" s="70" t="s">
        <v>1515</v>
      </c>
      <c r="I114" s="70" t="s">
        <v>1516</v>
      </c>
      <c r="J114" s="69">
        <v>8</v>
      </c>
      <c r="K114" s="69" t="s">
        <v>1028</v>
      </c>
      <c r="L114" s="11" t="s">
        <v>1278</v>
      </c>
      <c r="M114" s="7" t="s">
        <v>1279</v>
      </c>
      <c r="N114" s="7" t="s">
        <v>1280</v>
      </c>
      <c r="O114" s="7" t="s">
        <v>1281</v>
      </c>
      <c r="P114" s="12" t="s">
        <v>772</v>
      </c>
      <c r="Q114" s="71" t="s">
        <v>1028</v>
      </c>
      <c r="R114" s="71"/>
      <c r="S114" s="75" t="s">
        <v>1073</v>
      </c>
      <c r="T114" s="75" t="s">
        <v>1517</v>
      </c>
      <c r="U114" s="75" t="s">
        <v>1518</v>
      </c>
      <c r="V114" s="71" t="s">
        <v>1281</v>
      </c>
      <c r="W114" s="71" t="s">
        <v>1279</v>
      </c>
      <c r="X114" s="76" t="s">
        <v>1077</v>
      </c>
      <c r="Y114" s="71" t="s">
        <v>776</v>
      </c>
      <c r="Z114" s="2" t="s">
        <v>1282</v>
      </c>
      <c r="AA114" s="2" t="s">
        <v>1283</v>
      </c>
      <c r="AB114" s="2" t="s">
        <v>1284</v>
      </c>
      <c r="AC114" s="2" t="s">
        <v>1285</v>
      </c>
      <c r="AD114" s="2" t="s">
        <v>1042</v>
      </c>
      <c r="AE114" s="2" t="s">
        <v>1050</v>
      </c>
      <c r="AF114" s="2" t="s">
        <v>1286</v>
      </c>
      <c r="AG114" s="2" t="s">
        <v>1079</v>
      </c>
      <c r="AH114" s="111">
        <v>10</v>
      </c>
      <c r="AI114" s="111">
        <v>1.5</v>
      </c>
      <c r="AJ114" s="111">
        <f t="shared" si="6"/>
        <v>0.8</v>
      </c>
      <c r="AK114" s="111">
        <f t="shared" si="7"/>
        <v>1.2000000000000002</v>
      </c>
      <c r="AL114" s="2" t="s">
        <v>1465</v>
      </c>
      <c r="AM114" s="2" t="s">
        <v>1288</v>
      </c>
      <c r="AN114" s="2" t="s">
        <v>1289</v>
      </c>
      <c r="AO114" s="2" t="s">
        <v>1023</v>
      </c>
    </row>
    <row r="115" spans="1:41" ht="45.95" hidden="1" customHeight="1" x14ac:dyDescent="0.25">
      <c r="A115" s="69" t="s">
        <v>1519</v>
      </c>
      <c r="B115" s="69" t="s">
        <v>30</v>
      </c>
      <c r="C115" s="69" t="s">
        <v>35</v>
      </c>
      <c r="D115" s="70" t="s">
        <v>1520</v>
      </c>
      <c r="E115" s="69" t="s">
        <v>826</v>
      </c>
      <c r="F115" s="69" t="s">
        <v>1505</v>
      </c>
      <c r="G115" s="69" t="s">
        <v>68</v>
      </c>
      <c r="H115" s="70" t="s">
        <v>1521</v>
      </c>
      <c r="I115" s="70" t="s">
        <v>1522</v>
      </c>
      <c r="J115" s="69">
        <v>6</v>
      </c>
      <c r="K115" s="69" t="s">
        <v>1028</v>
      </c>
      <c r="L115" s="11" t="s">
        <v>1278</v>
      </c>
      <c r="M115" s="7" t="s">
        <v>1279</v>
      </c>
      <c r="N115" s="7" t="s">
        <v>1280</v>
      </c>
      <c r="O115" s="7" t="s">
        <v>1523</v>
      </c>
      <c r="P115" s="12" t="s">
        <v>1509</v>
      </c>
      <c r="Q115" s="71" t="s">
        <v>1028</v>
      </c>
      <c r="R115" s="71"/>
      <c r="S115" s="75" t="s">
        <v>1073</v>
      </c>
      <c r="T115" s="75" t="s">
        <v>1510</v>
      </c>
      <c r="U115" s="75" t="s">
        <v>1511</v>
      </c>
      <c r="V115" s="71" t="s">
        <v>1523</v>
      </c>
      <c r="W115" s="71" t="s">
        <v>1279</v>
      </c>
      <c r="X115" s="76" t="s">
        <v>1077</v>
      </c>
      <c r="Y115" s="71" t="s">
        <v>776</v>
      </c>
      <c r="Z115" s="2" t="s">
        <v>1282</v>
      </c>
      <c r="AA115" s="2" t="s">
        <v>1283</v>
      </c>
      <c r="AB115" s="2" t="s">
        <v>1284</v>
      </c>
      <c r="AC115" s="2" t="s">
        <v>1512</v>
      </c>
      <c r="AD115" s="2" t="s">
        <v>1042</v>
      </c>
      <c r="AE115" s="2" t="s">
        <v>1050</v>
      </c>
      <c r="AF115" s="2" t="s">
        <v>1286</v>
      </c>
      <c r="AG115" s="2" t="s">
        <v>1079</v>
      </c>
      <c r="AH115" s="111">
        <v>10</v>
      </c>
      <c r="AI115" s="111">
        <v>1.5</v>
      </c>
      <c r="AJ115" s="111">
        <f t="shared" si="6"/>
        <v>0.6</v>
      </c>
      <c r="AK115" s="111">
        <f t="shared" si="7"/>
        <v>0.89999999999999991</v>
      </c>
      <c r="AL115" s="2" t="s">
        <v>1465</v>
      </c>
      <c r="AM115" s="2" t="s">
        <v>1524</v>
      </c>
      <c r="AN115" s="2" t="s">
        <v>1289</v>
      </c>
      <c r="AO115" s="2" t="s">
        <v>1457</v>
      </c>
    </row>
    <row r="116" spans="1:41" ht="45.95" hidden="1" customHeight="1" x14ac:dyDescent="0.25">
      <c r="A116" s="69" t="s">
        <v>1525</v>
      </c>
      <c r="B116" s="69" t="s">
        <v>30</v>
      </c>
      <c r="C116" s="69" t="s">
        <v>35</v>
      </c>
      <c r="D116" s="70" t="s">
        <v>1526</v>
      </c>
      <c r="E116" s="69" t="s">
        <v>806</v>
      </c>
      <c r="F116" s="69" t="s">
        <v>1301</v>
      </c>
      <c r="G116" s="69" t="s">
        <v>68</v>
      </c>
      <c r="H116" s="70" t="s">
        <v>1527</v>
      </c>
      <c r="I116" s="70" t="s">
        <v>1528</v>
      </c>
      <c r="J116" s="69">
        <v>4</v>
      </c>
      <c r="K116" s="69" t="s">
        <v>1028</v>
      </c>
      <c r="L116" s="11" t="s">
        <v>1278</v>
      </c>
      <c r="M116" s="7" t="s">
        <v>1279</v>
      </c>
      <c r="N116" s="7" t="s">
        <v>1280</v>
      </c>
      <c r="O116" s="7" t="s">
        <v>1281</v>
      </c>
      <c r="P116" s="12" t="s">
        <v>772</v>
      </c>
      <c r="Q116" s="71" t="s">
        <v>1028</v>
      </c>
      <c r="R116" s="71"/>
      <c r="S116" s="75" t="s">
        <v>1073</v>
      </c>
      <c r="T116" s="75" t="s">
        <v>1317</v>
      </c>
      <c r="U116" s="75" t="s">
        <v>1318</v>
      </c>
      <c r="V116" s="71" t="s">
        <v>1281</v>
      </c>
      <c r="W116" s="71" t="s">
        <v>1279</v>
      </c>
      <c r="X116" s="76" t="s">
        <v>1077</v>
      </c>
      <c r="Y116" s="71" t="s">
        <v>776</v>
      </c>
      <c r="Z116" s="2" t="s">
        <v>1282</v>
      </c>
      <c r="AA116" s="2" t="s">
        <v>1283</v>
      </c>
      <c r="AB116" s="2" t="s">
        <v>1284</v>
      </c>
      <c r="AC116" s="2" t="s">
        <v>1285</v>
      </c>
      <c r="AD116" s="2" t="s">
        <v>1042</v>
      </c>
      <c r="AE116" s="2" t="s">
        <v>1050</v>
      </c>
      <c r="AF116" s="2" t="s">
        <v>1286</v>
      </c>
      <c r="AG116" s="2" t="s">
        <v>1294</v>
      </c>
      <c r="AH116" s="111">
        <v>8</v>
      </c>
      <c r="AI116" s="111">
        <v>1.55</v>
      </c>
      <c r="AJ116" s="111">
        <f t="shared" si="6"/>
        <v>0.5</v>
      </c>
      <c r="AK116" s="111">
        <f t="shared" si="7"/>
        <v>0.77500000000000002</v>
      </c>
      <c r="AL116" s="2" t="s">
        <v>1465</v>
      </c>
      <c r="AM116" s="2" t="s">
        <v>1288</v>
      </c>
      <c r="AN116" s="2" t="s">
        <v>1289</v>
      </c>
      <c r="AO116" s="2" t="s">
        <v>1023</v>
      </c>
    </row>
    <row r="117" spans="1:41" ht="45.95" hidden="1" customHeight="1" x14ac:dyDescent="0.25">
      <c r="A117" s="69" t="s">
        <v>1529</v>
      </c>
      <c r="B117" s="69" t="s">
        <v>30</v>
      </c>
      <c r="C117" s="69" t="s">
        <v>35</v>
      </c>
      <c r="D117" s="70" t="s">
        <v>1530</v>
      </c>
      <c r="E117" s="69" t="s">
        <v>826</v>
      </c>
      <c r="F117" s="69" t="s">
        <v>1531</v>
      </c>
      <c r="G117" s="69" t="s">
        <v>68</v>
      </c>
      <c r="H117" s="70" t="s">
        <v>1532</v>
      </c>
      <c r="I117" s="70" t="s">
        <v>1533</v>
      </c>
      <c r="J117" s="69">
        <v>8</v>
      </c>
      <c r="K117" s="69" t="s">
        <v>1028</v>
      </c>
      <c r="L117" s="11" t="s">
        <v>1278</v>
      </c>
      <c r="M117" s="7" t="s">
        <v>1279</v>
      </c>
      <c r="N117" s="7" t="s">
        <v>1280</v>
      </c>
      <c r="O117" s="7" t="s">
        <v>1281</v>
      </c>
      <c r="P117" s="12" t="s">
        <v>772</v>
      </c>
      <c r="Q117" s="71" t="s">
        <v>1028</v>
      </c>
      <c r="R117" s="71"/>
      <c r="S117" s="75" t="s">
        <v>1073</v>
      </c>
      <c r="T117" s="75" t="s">
        <v>1534</v>
      </c>
      <c r="U117" s="75" t="s">
        <v>1535</v>
      </c>
      <c r="V117" s="71" t="s">
        <v>1281</v>
      </c>
      <c r="W117" s="71" t="s">
        <v>1279</v>
      </c>
      <c r="X117" s="76" t="s">
        <v>1077</v>
      </c>
      <c r="Y117" s="71" t="s">
        <v>776</v>
      </c>
      <c r="Z117" s="2" t="s">
        <v>1282</v>
      </c>
      <c r="AA117" s="2" t="s">
        <v>1283</v>
      </c>
      <c r="AB117" s="2" t="s">
        <v>1284</v>
      </c>
      <c r="AC117" s="2" t="s">
        <v>1285</v>
      </c>
      <c r="AD117" s="2" t="s">
        <v>1042</v>
      </c>
      <c r="AE117" s="2" t="s">
        <v>1050</v>
      </c>
      <c r="AF117" s="2" t="s">
        <v>1286</v>
      </c>
      <c r="AG117" s="2" t="s">
        <v>1079</v>
      </c>
      <c r="AH117" s="111">
        <v>10</v>
      </c>
      <c r="AI117" s="111">
        <v>1.5</v>
      </c>
      <c r="AJ117" s="111">
        <f t="shared" si="6"/>
        <v>0.8</v>
      </c>
      <c r="AK117" s="111">
        <f t="shared" si="7"/>
        <v>1.2000000000000002</v>
      </c>
      <c r="AL117" s="2" t="s">
        <v>1465</v>
      </c>
      <c r="AM117" s="2" t="s">
        <v>1288</v>
      </c>
      <c r="AN117" s="2" t="s">
        <v>1289</v>
      </c>
      <c r="AO117" s="2" t="s">
        <v>1023</v>
      </c>
    </row>
    <row r="118" spans="1:41" ht="45.95" hidden="1" customHeight="1" x14ac:dyDescent="0.25">
      <c r="A118" s="69" t="s">
        <v>1536</v>
      </c>
      <c r="B118" s="69" t="s">
        <v>30</v>
      </c>
      <c r="C118" s="69" t="s">
        <v>35</v>
      </c>
      <c r="D118" s="70" t="s">
        <v>1537</v>
      </c>
      <c r="E118" s="69" t="s">
        <v>826</v>
      </c>
      <c r="F118" s="69" t="s">
        <v>1531</v>
      </c>
      <c r="G118" s="69" t="s">
        <v>68</v>
      </c>
      <c r="H118" s="70" t="s">
        <v>1538</v>
      </c>
      <c r="I118" s="70" t="s">
        <v>1539</v>
      </c>
      <c r="J118" s="69">
        <v>6</v>
      </c>
      <c r="K118" s="69" t="s">
        <v>1028</v>
      </c>
      <c r="L118" s="11" t="s">
        <v>1278</v>
      </c>
      <c r="M118" s="7" t="s">
        <v>1279</v>
      </c>
      <c r="N118" s="7" t="s">
        <v>1280</v>
      </c>
      <c r="O118" s="7" t="s">
        <v>1281</v>
      </c>
      <c r="P118" s="12" t="s">
        <v>772</v>
      </c>
      <c r="Q118" s="71" t="s">
        <v>1028</v>
      </c>
      <c r="R118" s="71"/>
      <c r="S118" s="75" t="s">
        <v>1073</v>
      </c>
      <c r="T118" s="75" t="s">
        <v>1534</v>
      </c>
      <c r="U118" s="75" t="s">
        <v>1535</v>
      </c>
      <c r="V118" s="71" t="s">
        <v>1281</v>
      </c>
      <c r="W118" s="71" t="s">
        <v>1279</v>
      </c>
      <c r="X118" s="76" t="s">
        <v>1077</v>
      </c>
      <c r="Y118" s="71" t="s">
        <v>776</v>
      </c>
      <c r="Z118" s="2" t="s">
        <v>1282</v>
      </c>
      <c r="AA118" s="2" t="s">
        <v>1283</v>
      </c>
      <c r="AB118" s="2" t="s">
        <v>1284</v>
      </c>
      <c r="AC118" s="2" t="s">
        <v>1285</v>
      </c>
      <c r="AD118" s="2" t="s">
        <v>1042</v>
      </c>
      <c r="AE118" s="2" t="s">
        <v>1050</v>
      </c>
      <c r="AF118" s="2" t="s">
        <v>1286</v>
      </c>
      <c r="AG118" s="2" t="s">
        <v>1079</v>
      </c>
      <c r="AH118" s="111">
        <v>10</v>
      </c>
      <c r="AI118" s="111">
        <v>1.5</v>
      </c>
      <c r="AJ118" s="111">
        <f t="shared" si="6"/>
        <v>0.6</v>
      </c>
      <c r="AK118" s="111">
        <f t="shared" si="7"/>
        <v>0.89999999999999991</v>
      </c>
      <c r="AL118" s="2" t="s">
        <v>1465</v>
      </c>
      <c r="AM118" s="2" t="s">
        <v>1288</v>
      </c>
      <c r="AN118" s="2" t="s">
        <v>1289</v>
      </c>
      <c r="AO118" s="2" t="s">
        <v>1023</v>
      </c>
    </row>
    <row r="119" spans="1:41" ht="45.95" hidden="1" customHeight="1" x14ac:dyDescent="0.25">
      <c r="A119" s="69" t="s">
        <v>1540</v>
      </c>
      <c r="B119" s="69" t="s">
        <v>30</v>
      </c>
      <c r="C119" s="69" t="s">
        <v>38</v>
      </c>
      <c r="D119" s="70" t="s">
        <v>1541</v>
      </c>
      <c r="E119" s="69" t="s">
        <v>826</v>
      </c>
      <c r="F119" s="69" t="s">
        <v>1542</v>
      </c>
      <c r="G119" s="69" t="s">
        <v>67</v>
      </c>
      <c r="H119" s="70" t="s">
        <v>1543</v>
      </c>
      <c r="I119" s="70" t="s">
        <v>1544</v>
      </c>
      <c r="J119" s="69">
        <v>12</v>
      </c>
      <c r="K119" s="69" t="s">
        <v>1028</v>
      </c>
      <c r="L119" s="11" t="s">
        <v>1278</v>
      </c>
      <c r="M119" s="7" t="s">
        <v>1279</v>
      </c>
      <c r="N119" s="7" t="s">
        <v>1280</v>
      </c>
      <c r="O119" s="7" t="s">
        <v>1281</v>
      </c>
      <c r="P119" s="12" t="s">
        <v>772</v>
      </c>
      <c r="Q119" s="71" t="s">
        <v>1028</v>
      </c>
      <c r="R119" s="71"/>
      <c r="S119" s="71" t="s">
        <v>774</v>
      </c>
      <c r="T119" s="71"/>
      <c r="U119" s="71"/>
      <c r="V119" s="71" t="s">
        <v>1281</v>
      </c>
      <c r="W119" s="71" t="s">
        <v>1279</v>
      </c>
      <c r="X119" s="71" t="s">
        <v>775</v>
      </c>
      <c r="Y119" s="71" t="s">
        <v>776</v>
      </c>
      <c r="Z119" s="2" t="s">
        <v>1282</v>
      </c>
      <c r="AA119" s="2" t="s">
        <v>1283</v>
      </c>
      <c r="AB119" s="2" t="s">
        <v>1284</v>
      </c>
      <c r="AC119" s="2" t="s">
        <v>1285</v>
      </c>
      <c r="AD119" s="2" t="s">
        <v>1042</v>
      </c>
      <c r="AE119" s="2" t="s">
        <v>1050</v>
      </c>
      <c r="AF119" s="2" t="s">
        <v>1286</v>
      </c>
      <c r="AG119" s="2" t="s">
        <v>1079</v>
      </c>
      <c r="AH119" s="111">
        <v>10</v>
      </c>
      <c r="AI119" s="111">
        <v>1.5</v>
      </c>
      <c r="AJ119" s="111">
        <f t="shared" si="6"/>
        <v>1.2</v>
      </c>
      <c r="AK119" s="111">
        <f t="shared" si="7"/>
        <v>1.7999999999999998</v>
      </c>
      <c r="AL119" s="2" t="s">
        <v>1545</v>
      </c>
      <c r="AM119" s="2" t="s">
        <v>1288</v>
      </c>
      <c r="AN119" s="2" t="s">
        <v>1289</v>
      </c>
      <c r="AO119" s="2" t="s">
        <v>1023</v>
      </c>
    </row>
    <row r="120" spans="1:41" ht="45.95" hidden="1" customHeight="1" x14ac:dyDescent="0.25">
      <c r="A120" s="69" t="s">
        <v>1546</v>
      </c>
      <c r="B120" s="69" t="s">
        <v>30</v>
      </c>
      <c r="C120" s="69" t="s">
        <v>38</v>
      </c>
      <c r="D120" s="70" t="s">
        <v>1547</v>
      </c>
      <c r="E120" s="69" t="s">
        <v>826</v>
      </c>
      <c r="F120" s="69" t="s">
        <v>1548</v>
      </c>
      <c r="G120" s="69" t="s">
        <v>67</v>
      </c>
      <c r="H120" s="70" t="s">
        <v>1549</v>
      </c>
      <c r="I120" s="70" t="s">
        <v>1550</v>
      </c>
      <c r="J120" s="69">
        <v>12</v>
      </c>
      <c r="K120" s="69" t="s">
        <v>1028</v>
      </c>
      <c r="L120" s="11" t="s">
        <v>1278</v>
      </c>
      <c r="M120" s="7" t="s">
        <v>1279</v>
      </c>
      <c r="N120" s="7" t="s">
        <v>1280</v>
      </c>
      <c r="O120" s="7" t="s">
        <v>1281</v>
      </c>
      <c r="P120" s="12" t="s">
        <v>772</v>
      </c>
      <c r="Q120" s="71" t="s">
        <v>1028</v>
      </c>
      <c r="R120" s="71"/>
      <c r="S120" s="71" t="s">
        <v>774</v>
      </c>
      <c r="T120" s="71"/>
      <c r="U120" s="71"/>
      <c r="V120" s="71" t="s">
        <v>1281</v>
      </c>
      <c r="W120" s="71" t="s">
        <v>1279</v>
      </c>
      <c r="X120" s="71" t="s">
        <v>775</v>
      </c>
      <c r="Y120" s="71" t="s">
        <v>776</v>
      </c>
      <c r="Z120" s="2" t="s">
        <v>1282</v>
      </c>
      <c r="AA120" s="2" t="s">
        <v>1283</v>
      </c>
      <c r="AB120" s="2" t="s">
        <v>1284</v>
      </c>
      <c r="AC120" s="2" t="s">
        <v>1512</v>
      </c>
      <c r="AD120" s="2" t="s">
        <v>1042</v>
      </c>
      <c r="AE120" s="2" t="s">
        <v>1050</v>
      </c>
      <c r="AF120" s="2" t="s">
        <v>1286</v>
      </c>
      <c r="AG120" s="2" t="s">
        <v>1079</v>
      </c>
      <c r="AH120" s="111">
        <v>10</v>
      </c>
      <c r="AI120" s="111">
        <v>1.5</v>
      </c>
      <c r="AJ120" s="111">
        <f t="shared" si="6"/>
        <v>1.2</v>
      </c>
      <c r="AK120" s="111">
        <f t="shared" si="7"/>
        <v>1.7999999999999998</v>
      </c>
      <c r="AL120" s="2" t="s">
        <v>1545</v>
      </c>
      <c r="AM120" s="2" t="s">
        <v>1288</v>
      </c>
      <c r="AN120" s="2" t="s">
        <v>1289</v>
      </c>
      <c r="AO120" s="2" t="s">
        <v>1023</v>
      </c>
    </row>
    <row r="121" spans="1:41" ht="45.95" hidden="1" customHeight="1" x14ac:dyDescent="0.25">
      <c r="A121" s="69" t="s">
        <v>1551</v>
      </c>
      <c r="B121" s="69" t="s">
        <v>30</v>
      </c>
      <c r="C121" s="69" t="s">
        <v>38</v>
      </c>
      <c r="D121" s="70" t="s">
        <v>1552</v>
      </c>
      <c r="E121" s="69" t="s">
        <v>788</v>
      </c>
      <c r="F121" s="69" t="s">
        <v>1548</v>
      </c>
      <c r="G121" s="69" t="s">
        <v>68</v>
      </c>
      <c r="H121" s="70" t="s">
        <v>1553</v>
      </c>
      <c r="I121" s="70" t="s">
        <v>1554</v>
      </c>
      <c r="J121" s="69">
        <v>12</v>
      </c>
      <c r="K121" s="69" t="s">
        <v>1028</v>
      </c>
      <c r="L121" s="11" t="s">
        <v>1278</v>
      </c>
      <c r="M121" s="7" t="s">
        <v>1279</v>
      </c>
      <c r="N121" s="7" t="s">
        <v>1280</v>
      </c>
      <c r="O121" s="7" t="s">
        <v>1281</v>
      </c>
      <c r="P121" s="12" t="s">
        <v>772</v>
      </c>
      <c r="Q121" s="71" t="s">
        <v>1028</v>
      </c>
      <c r="R121" s="71"/>
      <c r="S121" s="71" t="s">
        <v>774</v>
      </c>
      <c r="T121" s="71"/>
      <c r="U121" s="71"/>
      <c r="V121" s="71" t="s">
        <v>1281</v>
      </c>
      <c r="W121" s="71" t="s">
        <v>1279</v>
      </c>
      <c r="X121" s="71" t="s">
        <v>775</v>
      </c>
      <c r="Y121" s="71" t="s">
        <v>776</v>
      </c>
      <c r="Z121" s="2" t="s">
        <v>1282</v>
      </c>
      <c r="AA121" s="2" t="s">
        <v>1283</v>
      </c>
      <c r="AB121" s="2" t="s">
        <v>1284</v>
      </c>
      <c r="AC121" s="2" t="s">
        <v>1512</v>
      </c>
      <c r="AD121" s="2" t="s">
        <v>1042</v>
      </c>
      <c r="AE121" s="2" t="s">
        <v>1017</v>
      </c>
      <c r="AF121" s="2" t="s">
        <v>1403</v>
      </c>
      <c r="AG121" s="2" t="s">
        <v>1029</v>
      </c>
      <c r="AH121" s="111">
        <v>9</v>
      </c>
      <c r="AI121" s="111">
        <v>1.5</v>
      </c>
      <c r="AJ121" s="111">
        <f t="shared" si="6"/>
        <v>1.3333333333333333</v>
      </c>
      <c r="AK121" s="111">
        <f t="shared" si="7"/>
        <v>2</v>
      </c>
      <c r="AL121" s="2" t="s">
        <v>1545</v>
      </c>
      <c r="AM121" s="2" t="s">
        <v>1288</v>
      </c>
      <c r="AN121" s="2" t="s">
        <v>1405</v>
      </c>
      <c r="AO121" s="2" t="s">
        <v>1023</v>
      </c>
    </row>
    <row r="122" spans="1:41" ht="45.95" hidden="1" customHeight="1" x14ac:dyDescent="0.25">
      <c r="A122" s="69" t="s">
        <v>1555</v>
      </c>
      <c r="B122" s="69" t="s">
        <v>30</v>
      </c>
      <c r="C122" s="69" t="s">
        <v>38</v>
      </c>
      <c r="D122" s="70" t="s">
        <v>1556</v>
      </c>
      <c r="E122" s="69" t="s">
        <v>826</v>
      </c>
      <c r="F122" s="69" t="s">
        <v>1557</v>
      </c>
      <c r="G122" s="69" t="s">
        <v>67</v>
      </c>
      <c r="H122" s="70" t="s">
        <v>1558</v>
      </c>
      <c r="I122" s="70" t="s">
        <v>1559</v>
      </c>
      <c r="J122" s="69">
        <v>12</v>
      </c>
      <c r="K122" s="69" t="s">
        <v>1028</v>
      </c>
      <c r="L122" s="11" t="s">
        <v>1278</v>
      </c>
      <c r="M122" s="7" t="s">
        <v>1279</v>
      </c>
      <c r="N122" s="7" t="s">
        <v>1280</v>
      </c>
      <c r="O122" s="7" t="s">
        <v>1560</v>
      </c>
      <c r="P122" s="12" t="s">
        <v>1561</v>
      </c>
      <c r="Q122" s="71" t="s">
        <v>1028</v>
      </c>
      <c r="R122" s="71"/>
      <c r="S122" s="74" t="s">
        <v>1011</v>
      </c>
      <c r="T122" s="74" t="s">
        <v>1562</v>
      </c>
      <c r="U122" s="74" t="s">
        <v>1563</v>
      </c>
      <c r="V122" s="71" t="s">
        <v>1560</v>
      </c>
      <c r="W122" s="71" t="s">
        <v>1279</v>
      </c>
      <c r="X122" s="74" t="s">
        <v>1015</v>
      </c>
      <c r="Y122" s="71" t="s">
        <v>776</v>
      </c>
      <c r="Z122" s="2" t="s">
        <v>1282</v>
      </c>
      <c r="AA122" s="2" t="s">
        <v>1283</v>
      </c>
      <c r="AB122" s="2" t="s">
        <v>1284</v>
      </c>
      <c r="AC122" s="2" t="s">
        <v>1512</v>
      </c>
      <c r="AD122" s="2" t="s">
        <v>1042</v>
      </c>
      <c r="AE122" s="2" t="s">
        <v>1050</v>
      </c>
      <c r="AF122" s="2" t="s">
        <v>1286</v>
      </c>
      <c r="AG122" s="2" t="s">
        <v>1079</v>
      </c>
      <c r="AH122" s="111">
        <v>10</v>
      </c>
      <c r="AI122" s="111">
        <v>1.5</v>
      </c>
      <c r="AJ122" s="111">
        <f t="shared" si="6"/>
        <v>1.2</v>
      </c>
      <c r="AK122" s="111">
        <f t="shared" si="7"/>
        <v>1.7999999999999998</v>
      </c>
      <c r="AL122" s="2" t="s">
        <v>1545</v>
      </c>
      <c r="AM122" s="2" t="s">
        <v>1564</v>
      </c>
      <c r="AN122" s="2" t="s">
        <v>1289</v>
      </c>
      <c r="AO122" s="2" t="s">
        <v>1023</v>
      </c>
    </row>
    <row r="123" spans="1:41" ht="45.95" hidden="1" customHeight="1" x14ac:dyDescent="0.25">
      <c r="A123" s="69" t="s">
        <v>1565</v>
      </c>
      <c r="B123" s="69" t="s">
        <v>30</v>
      </c>
      <c r="C123" s="69" t="s">
        <v>38</v>
      </c>
      <c r="D123" s="70" t="s">
        <v>1566</v>
      </c>
      <c r="E123" s="69" t="s">
        <v>793</v>
      </c>
      <c r="F123" s="69" t="s">
        <v>1567</v>
      </c>
      <c r="G123" s="69" t="s">
        <v>67</v>
      </c>
      <c r="H123" s="70" t="s">
        <v>1568</v>
      </c>
      <c r="I123" s="70" t="s">
        <v>1569</v>
      </c>
      <c r="J123" s="69">
        <v>12</v>
      </c>
      <c r="K123" s="69" t="s">
        <v>1028</v>
      </c>
      <c r="L123" s="11" t="s">
        <v>1570</v>
      </c>
      <c r="M123" s="7" t="s">
        <v>1571</v>
      </c>
      <c r="N123" s="7" t="s">
        <v>1572</v>
      </c>
      <c r="O123" s="7" t="s">
        <v>1573</v>
      </c>
      <c r="P123" s="12" t="s">
        <v>1574</v>
      </c>
      <c r="Q123" s="71" t="s">
        <v>1028</v>
      </c>
      <c r="R123" s="71"/>
      <c r="S123" s="71" t="s">
        <v>774</v>
      </c>
      <c r="T123" s="71"/>
      <c r="U123" s="71"/>
      <c r="V123" s="71" t="s">
        <v>1573</v>
      </c>
      <c r="W123" s="71" t="s">
        <v>1571</v>
      </c>
      <c r="X123" s="71" t="s">
        <v>775</v>
      </c>
      <c r="Y123" s="71" t="s">
        <v>776</v>
      </c>
      <c r="Z123" s="2" t="s">
        <v>1282</v>
      </c>
      <c r="AA123" s="2" t="s">
        <v>1283</v>
      </c>
      <c r="AB123" s="2" t="s">
        <v>1284</v>
      </c>
      <c r="AC123" s="2" t="s">
        <v>1512</v>
      </c>
      <c r="AD123" s="2" t="s">
        <v>1042</v>
      </c>
      <c r="AE123" s="2" t="s">
        <v>1050</v>
      </c>
      <c r="AF123" s="2" t="s">
        <v>1286</v>
      </c>
      <c r="AG123" s="2" t="s">
        <v>1265</v>
      </c>
      <c r="AH123" s="111">
        <v>6</v>
      </c>
      <c r="AI123" s="111">
        <v>1.6</v>
      </c>
      <c r="AJ123" s="111">
        <f t="shared" si="6"/>
        <v>2</v>
      </c>
      <c r="AK123" s="111">
        <f t="shared" si="7"/>
        <v>3.2</v>
      </c>
      <c r="AL123" s="2" t="s">
        <v>1545</v>
      </c>
      <c r="AM123" s="2" t="s">
        <v>1575</v>
      </c>
      <c r="AN123" s="2" t="s">
        <v>1289</v>
      </c>
      <c r="AO123" s="2" t="s">
        <v>1023</v>
      </c>
    </row>
    <row r="124" spans="1:41" ht="45.95" hidden="1" customHeight="1" x14ac:dyDescent="0.25">
      <c r="A124" s="69" t="s">
        <v>1576</v>
      </c>
      <c r="B124" s="69" t="s">
        <v>30</v>
      </c>
      <c r="C124" s="69" t="s">
        <v>38</v>
      </c>
      <c r="D124" s="70" t="s">
        <v>1577</v>
      </c>
      <c r="E124" s="69" t="s">
        <v>793</v>
      </c>
      <c r="F124" s="69" t="s">
        <v>1567</v>
      </c>
      <c r="G124" s="69" t="s">
        <v>67</v>
      </c>
      <c r="H124" s="70" t="s">
        <v>1578</v>
      </c>
      <c r="I124" s="70" t="s">
        <v>1579</v>
      </c>
      <c r="J124" s="69">
        <v>12</v>
      </c>
      <c r="K124" s="69" t="s">
        <v>1028</v>
      </c>
      <c r="L124" s="11" t="s">
        <v>1278</v>
      </c>
      <c r="M124" s="7" t="s">
        <v>1279</v>
      </c>
      <c r="N124" s="7" t="s">
        <v>1280</v>
      </c>
      <c r="O124" s="7" t="s">
        <v>1281</v>
      </c>
      <c r="P124" s="12" t="s">
        <v>772</v>
      </c>
      <c r="Q124" s="71" t="s">
        <v>1028</v>
      </c>
      <c r="R124" s="71"/>
      <c r="S124" s="75" t="s">
        <v>1073</v>
      </c>
      <c r="T124" s="75" t="s">
        <v>1317</v>
      </c>
      <c r="U124" s="75" t="s">
        <v>1318</v>
      </c>
      <c r="V124" s="71" t="s">
        <v>1281</v>
      </c>
      <c r="W124" s="71" t="s">
        <v>1279</v>
      </c>
      <c r="X124" s="76" t="s">
        <v>1077</v>
      </c>
      <c r="Y124" s="71" t="s">
        <v>776</v>
      </c>
      <c r="Z124" s="2" t="s">
        <v>1282</v>
      </c>
      <c r="AA124" s="2" t="s">
        <v>1283</v>
      </c>
      <c r="AB124" s="2" t="s">
        <v>1284</v>
      </c>
      <c r="AC124" s="2" t="s">
        <v>1285</v>
      </c>
      <c r="AD124" s="2" t="s">
        <v>1042</v>
      </c>
      <c r="AE124" s="2" t="s">
        <v>1050</v>
      </c>
      <c r="AF124" s="2" t="s">
        <v>1286</v>
      </c>
      <c r="AG124" s="2" t="s">
        <v>1265</v>
      </c>
      <c r="AH124" s="111">
        <v>6</v>
      </c>
      <c r="AI124" s="111">
        <v>1.6</v>
      </c>
      <c r="AJ124" s="111">
        <f t="shared" si="6"/>
        <v>2</v>
      </c>
      <c r="AK124" s="111">
        <f t="shared" si="7"/>
        <v>3.2</v>
      </c>
      <c r="AL124" s="2" t="s">
        <v>1545</v>
      </c>
      <c r="AM124" s="2" t="s">
        <v>1288</v>
      </c>
      <c r="AN124" s="2" t="s">
        <v>1289</v>
      </c>
      <c r="AO124" s="2" t="s">
        <v>1023</v>
      </c>
    </row>
    <row r="125" spans="1:41" ht="45.95" hidden="1" customHeight="1" x14ac:dyDescent="0.25">
      <c r="A125" s="69" t="s">
        <v>1580</v>
      </c>
      <c r="B125" s="69" t="s">
        <v>30</v>
      </c>
      <c r="C125" s="69" t="s">
        <v>38</v>
      </c>
      <c r="D125" s="70" t="s">
        <v>1581</v>
      </c>
      <c r="E125" s="69" t="s">
        <v>793</v>
      </c>
      <c r="F125" s="69" t="s">
        <v>1582</v>
      </c>
      <c r="G125" s="69" t="s">
        <v>67</v>
      </c>
      <c r="H125" s="70" t="s">
        <v>1583</v>
      </c>
      <c r="I125" s="70" t="s">
        <v>1584</v>
      </c>
      <c r="J125" s="69">
        <v>12</v>
      </c>
      <c r="K125" s="69" t="s">
        <v>1028</v>
      </c>
      <c r="L125" s="11" t="s">
        <v>1278</v>
      </c>
      <c r="M125" s="7" t="s">
        <v>1279</v>
      </c>
      <c r="N125" s="7" t="s">
        <v>1280</v>
      </c>
      <c r="O125" s="7" t="s">
        <v>1281</v>
      </c>
      <c r="P125" s="12" t="s">
        <v>772</v>
      </c>
      <c r="Q125" s="71" t="s">
        <v>1028</v>
      </c>
      <c r="R125" s="71"/>
      <c r="S125" s="75" t="s">
        <v>1073</v>
      </c>
      <c r="T125" s="75" t="s">
        <v>1585</v>
      </c>
      <c r="U125" s="75" t="s">
        <v>1586</v>
      </c>
      <c r="V125" s="71" t="s">
        <v>1281</v>
      </c>
      <c r="W125" s="71" t="s">
        <v>1279</v>
      </c>
      <c r="X125" s="76" t="s">
        <v>1077</v>
      </c>
      <c r="Y125" s="71" t="s">
        <v>776</v>
      </c>
      <c r="Z125" s="2" t="s">
        <v>1282</v>
      </c>
      <c r="AA125" s="2" t="s">
        <v>1283</v>
      </c>
      <c r="AB125" s="2" t="s">
        <v>1284</v>
      </c>
      <c r="AC125" s="2" t="s">
        <v>1285</v>
      </c>
      <c r="AD125" s="2" t="s">
        <v>1042</v>
      </c>
      <c r="AE125" s="2" t="s">
        <v>1050</v>
      </c>
      <c r="AF125" s="2" t="s">
        <v>1286</v>
      </c>
      <c r="AG125" s="2" t="s">
        <v>1265</v>
      </c>
      <c r="AH125" s="111">
        <v>6</v>
      </c>
      <c r="AI125" s="111">
        <v>1.6</v>
      </c>
      <c r="AJ125" s="111">
        <f t="shared" si="6"/>
        <v>2</v>
      </c>
      <c r="AK125" s="111">
        <f t="shared" si="7"/>
        <v>3.2</v>
      </c>
      <c r="AL125" s="2" t="s">
        <v>1545</v>
      </c>
      <c r="AM125" s="2" t="s">
        <v>1288</v>
      </c>
      <c r="AN125" s="2" t="s">
        <v>1289</v>
      </c>
      <c r="AO125" s="2" t="s">
        <v>1023</v>
      </c>
    </row>
    <row r="126" spans="1:41" ht="45.95" hidden="1" customHeight="1" x14ac:dyDescent="0.25">
      <c r="A126" s="69" t="s">
        <v>1587</v>
      </c>
      <c r="B126" s="69" t="s">
        <v>30</v>
      </c>
      <c r="C126" s="69" t="s">
        <v>38</v>
      </c>
      <c r="D126" s="70" t="s">
        <v>1588</v>
      </c>
      <c r="E126" s="69" t="s">
        <v>793</v>
      </c>
      <c r="F126" s="69" t="s">
        <v>1500</v>
      </c>
      <c r="G126" s="69" t="s">
        <v>68</v>
      </c>
      <c r="H126" s="70" t="s">
        <v>1589</v>
      </c>
      <c r="I126" s="70" t="s">
        <v>1590</v>
      </c>
      <c r="J126" s="69">
        <v>12</v>
      </c>
      <c r="K126" s="69" t="s">
        <v>1028</v>
      </c>
      <c r="L126" s="11" t="s">
        <v>1278</v>
      </c>
      <c r="M126" s="7" t="s">
        <v>1279</v>
      </c>
      <c r="N126" s="7" t="s">
        <v>1280</v>
      </c>
      <c r="O126" s="7" t="s">
        <v>1281</v>
      </c>
      <c r="P126" s="12" t="s">
        <v>772</v>
      </c>
      <c r="Q126" s="71" t="s">
        <v>1028</v>
      </c>
      <c r="R126" s="71"/>
      <c r="S126" s="75" t="s">
        <v>1073</v>
      </c>
      <c r="T126" s="75" t="s">
        <v>1591</v>
      </c>
      <c r="U126" s="75" t="s">
        <v>1592</v>
      </c>
      <c r="V126" s="71" t="s">
        <v>1281</v>
      </c>
      <c r="W126" s="71" t="s">
        <v>1279</v>
      </c>
      <c r="X126" s="76" t="s">
        <v>1077</v>
      </c>
      <c r="Y126" s="71" t="s">
        <v>776</v>
      </c>
      <c r="Z126" s="2" t="s">
        <v>1282</v>
      </c>
      <c r="AA126" s="2" t="s">
        <v>1283</v>
      </c>
      <c r="AB126" s="2" t="s">
        <v>1284</v>
      </c>
      <c r="AC126" s="2" t="s">
        <v>1285</v>
      </c>
      <c r="AD126" s="2" t="s">
        <v>1042</v>
      </c>
      <c r="AE126" s="2" t="s">
        <v>1050</v>
      </c>
      <c r="AF126" s="2" t="s">
        <v>1286</v>
      </c>
      <c r="AG126" s="2" t="s">
        <v>1265</v>
      </c>
      <c r="AH126" s="111">
        <v>6</v>
      </c>
      <c r="AI126" s="111">
        <v>1.6</v>
      </c>
      <c r="AJ126" s="111">
        <f t="shared" si="6"/>
        <v>2</v>
      </c>
      <c r="AK126" s="111">
        <f t="shared" si="7"/>
        <v>3.2</v>
      </c>
      <c r="AL126" s="2" t="s">
        <v>1545</v>
      </c>
      <c r="AM126" s="2" t="s">
        <v>1288</v>
      </c>
      <c r="AN126" s="2" t="s">
        <v>1289</v>
      </c>
      <c r="AO126" s="2" t="s">
        <v>1023</v>
      </c>
    </row>
    <row r="127" spans="1:41" ht="45.95" hidden="1" customHeight="1" x14ac:dyDescent="0.25">
      <c r="A127" s="69" t="s">
        <v>1593</v>
      </c>
      <c r="B127" s="69" t="s">
        <v>30</v>
      </c>
      <c r="C127" s="69" t="s">
        <v>38</v>
      </c>
      <c r="D127" s="70" t="s">
        <v>1594</v>
      </c>
      <c r="E127" s="69" t="s">
        <v>764</v>
      </c>
      <c r="F127" s="69" t="s">
        <v>1595</v>
      </c>
      <c r="G127" s="69" t="s">
        <v>68</v>
      </c>
      <c r="H127" s="70" t="s">
        <v>1596</v>
      </c>
      <c r="I127" s="70" t="s">
        <v>1597</v>
      </c>
      <c r="J127" s="69">
        <v>12</v>
      </c>
      <c r="K127" s="69" t="s">
        <v>1028</v>
      </c>
      <c r="L127" s="11" t="s">
        <v>1278</v>
      </c>
      <c r="M127" s="7" t="s">
        <v>1279</v>
      </c>
      <c r="N127" s="7" t="s">
        <v>1280</v>
      </c>
      <c r="O127" s="7" t="s">
        <v>1281</v>
      </c>
      <c r="P127" s="12" t="s">
        <v>772</v>
      </c>
      <c r="Q127" s="71" t="s">
        <v>1028</v>
      </c>
      <c r="R127" s="71"/>
      <c r="S127" s="71" t="s">
        <v>774</v>
      </c>
      <c r="T127" s="71"/>
      <c r="U127" s="71"/>
      <c r="V127" s="71" t="s">
        <v>1281</v>
      </c>
      <c r="W127" s="71" t="s">
        <v>1279</v>
      </c>
      <c r="X127" s="71" t="s">
        <v>775</v>
      </c>
      <c r="Y127" s="71" t="s">
        <v>776</v>
      </c>
      <c r="Z127" s="2" t="s">
        <v>1282</v>
      </c>
      <c r="AA127" s="2" t="s">
        <v>1283</v>
      </c>
      <c r="AB127" s="2" t="s">
        <v>1284</v>
      </c>
      <c r="AC127" s="2" t="s">
        <v>1285</v>
      </c>
      <c r="AD127" s="2" t="s">
        <v>1042</v>
      </c>
      <c r="AE127" s="2" t="s">
        <v>1050</v>
      </c>
      <c r="AF127" s="2" t="s">
        <v>1286</v>
      </c>
      <c r="AG127" s="2" t="s">
        <v>1215</v>
      </c>
      <c r="AH127" s="111">
        <v>18</v>
      </c>
      <c r="AI127" s="111">
        <v>1.35</v>
      </c>
      <c r="AJ127" s="111">
        <f t="shared" si="6"/>
        <v>0.66666666666666663</v>
      </c>
      <c r="AK127" s="111">
        <f t="shared" si="7"/>
        <v>0.9</v>
      </c>
      <c r="AL127" s="2" t="s">
        <v>1545</v>
      </c>
      <c r="AM127" s="2" t="s">
        <v>1288</v>
      </c>
      <c r="AN127" s="2" t="s">
        <v>1289</v>
      </c>
      <c r="AO127" s="2" t="s">
        <v>1023</v>
      </c>
    </row>
    <row r="128" spans="1:41" ht="45.95" hidden="1" customHeight="1" x14ac:dyDescent="0.25">
      <c r="A128" s="69" t="s">
        <v>1598</v>
      </c>
      <c r="B128" s="69" t="s">
        <v>30</v>
      </c>
      <c r="C128" s="69" t="s">
        <v>38</v>
      </c>
      <c r="D128" s="70" t="s">
        <v>1599</v>
      </c>
      <c r="E128" s="69" t="s">
        <v>820</v>
      </c>
      <c r="F128" s="69" t="s">
        <v>1245</v>
      </c>
      <c r="G128" s="69" t="s">
        <v>67</v>
      </c>
      <c r="H128" s="70" t="s">
        <v>1600</v>
      </c>
      <c r="I128" s="70" t="s">
        <v>1601</v>
      </c>
      <c r="J128" s="69">
        <v>12</v>
      </c>
      <c r="K128" s="69" t="s">
        <v>1028</v>
      </c>
      <c r="L128" s="11" t="s">
        <v>1278</v>
      </c>
      <c r="M128" s="7" t="s">
        <v>1279</v>
      </c>
      <c r="N128" s="7" t="s">
        <v>1280</v>
      </c>
      <c r="O128" s="7" t="s">
        <v>1602</v>
      </c>
      <c r="P128" s="12" t="s">
        <v>1603</v>
      </c>
      <c r="Q128" s="71" t="s">
        <v>1028</v>
      </c>
      <c r="R128" s="71"/>
      <c r="S128" s="75" t="s">
        <v>1073</v>
      </c>
      <c r="T128" s="75" t="s">
        <v>1604</v>
      </c>
      <c r="U128" s="75" t="s">
        <v>1605</v>
      </c>
      <c r="V128" s="71" t="s">
        <v>1602</v>
      </c>
      <c r="W128" s="71" t="s">
        <v>1279</v>
      </c>
      <c r="X128" s="76" t="s">
        <v>1077</v>
      </c>
      <c r="Y128" s="71" t="s">
        <v>776</v>
      </c>
      <c r="Z128" s="2" t="s">
        <v>1282</v>
      </c>
      <c r="AA128" s="2" t="s">
        <v>1283</v>
      </c>
      <c r="AB128" s="2" t="s">
        <v>1284</v>
      </c>
      <c r="AC128" s="2" t="s">
        <v>1285</v>
      </c>
      <c r="AD128" s="2" t="s">
        <v>1042</v>
      </c>
      <c r="AE128" s="2" t="s">
        <v>1017</v>
      </c>
      <c r="AF128" s="2" t="s">
        <v>1403</v>
      </c>
      <c r="AG128" s="2" t="s">
        <v>1227</v>
      </c>
      <c r="AH128" s="111">
        <v>5</v>
      </c>
      <c r="AI128" s="111">
        <v>1.7</v>
      </c>
      <c r="AJ128" s="111">
        <f t="shared" si="6"/>
        <v>2.4</v>
      </c>
      <c r="AK128" s="111">
        <f t="shared" si="7"/>
        <v>4.08</v>
      </c>
      <c r="AL128" s="2" t="s">
        <v>1545</v>
      </c>
      <c r="AM128" s="2" t="s">
        <v>1606</v>
      </c>
      <c r="AN128" s="2" t="s">
        <v>1405</v>
      </c>
      <c r="AO128" s="2" t="s">
        <v>1607</v>
      </c>
    </row>
    <row r="129" spans="1:41" ht="45.95" hidden="1" customHeight="1" x14ac:dyDescent="0.25">
      <c r="A129" s="69" t="s">
        <v>423</v>
      </c>
      <c r="B129" s="69" t="s">
        <v>41</v>
      </c>
      <c r="C129" s="69" t="s">
        <v>47</v>
      </c>
      <c r="D129" s="70" t="s">
        <v>424</v>
      </c>
      <c r="E129" s="69" t="s">
        <v>1201</v>
      </c>
      <c r="F129" s="69" t="s">
        <v>1608</v>
      </c>
      <c r="G129" s="69" t="s">
        <v>67</v>
      </c>
      <c r="H129" s="70" t="s">
        <v>1609</v>
      </c>
      <c r="I129" s="70" t="s">
        <v>1610</v>
      </c>
      <c r="J129" s="69">
        <v>10</v>
      </c>
      <c r="K129" s="69" t="s">
        <v>1028</v>
      </c>
      <c r="L129" s="11" t="s">
        <v>1139</v>
      </c>
      <c r="M129" s="7" t="s">
        <v>86</v>
      </c>
      <c r="N129" s="7" t="s">
        <v>422</v>
      </c>
      <c r="O129" s="7" t="s">
        <v>1611</v>
      </c>
      <c r="P129" s="12" t="s">
        <v>1612</v>
      </c>
      <c r="Q129" s="71" t="s">
        <v>1028</v>
      </c>
      <c r="R129" s="71"/>
      <c r="S129" s="75" t="s">
        <v>1073</v>
      </c>
      <c r="T129" s="75" t="s">
        <v>1613</v>
      </c>
      <c r="U129" s="75" t="s">
        <v>1614</v>
      </c>
      <c r="V129" s="71" t="s">
        <v>1611</v>
      </c>
      <c r="W129" s="71" t="s">
        <v>1492</v>
      </c>
      <c r="X129" s="76" t="s">
        <v>1077</v>
      </c>
      <c r="Y129" s="71" t="s">
        <v>776</v>
      </c>
      <c r="Z129" s="2" t="s">
        <v>1282</v>
      </c>
      <c r="AA129" s="2" t="s">
        <v>1283</v>
      </c>
      <c r="AB129" s="2" t="s">
        <v>1284</v>
      </c>
      <c r="AC129" s="2" t="s">
        <v>1285</v>
      </c>
      <c r="AD129" s="2" t="s">
        <v>1042</v>
      </c>
      <c r="AE129" s="2" t="s">
        <v>1139</v>
      </c>
      <c r="AF129" s="2" t="s">
        <v>1615</v>
      </c>
      <c r="AG129" s="2" t="s">
        <v>1616</v>
      </c>
      <c r="AH129" s="111">
        <v>10</v>
      </c>
      <c r="AI129" s="111">
        <v>1.5</v>
      </c>
      <c r="AJ129" s="111">
        <f t="shared" si="6"/>
        <v>1</v>
      </c>
      <c r="AK129" s="111">
        <f t="shared" si="7"/>
        <v>1.5</v>
      </c>
      <c r="AL129" s="2" t="s">
        <v>1617</v>
      </c>
      <c r="AM129" s="2" t="s">
        <v>1618</v>
      </c>
      <c r="AN129" s="2" t="s">
        <v>1619</v>
      </c>
      <c r="AO129" s="2" t="s">
        <v>1023</v>
      </c>
    </row>
    <row r="130" spans="1:41" ht="45.95" hidden="1" customHeight="1" x14ac:dyDescent="0.25">
      <c r="A130" s="69" t="s">
        <v>432</v>
      </c>
      <c r="B130" s="69" t="s">
        <v>41</v>
      </c>
      <c r="C130" s="69" t="s">
        <v>47</v>
      </c>
      <c r="D130" s="70" t="s">
        <v>433</v>
      </c>
      <c r="E130" s="69" t="s">
        <v>1201</v>
      </c>
      <c r="F130" s="69" t="s">
        <v>1608</v>
      </c>
      <c r="G130" s="69" t="s">
        <v>67</v>
      </c>
      <c r="H130" s="70" t="s">
        <v>1620</v>
      </c>
      <c r="I130" s="70" t="s">
        <v>1621</v>
      </c>
      <c r="J130" s="69">
        <v>12</v>
      </c>
      <c r="K130" s="69" t="s">
        <v>1028</v>
      </c>
      <c r="L130" s="11" t="s">
        <v>1139</v>
      </c>
      <c r="M130" s="7" t="s">
        <v>86</v>
      </c>
      <c r="N130" s="7" t="s">
        <v>422</v>
      </c>
      <c r="O130" s="7" t="s">
        <v>1622</v>
      </c>
      <c r="P130" s="12" t="s">
        <v>1623</v>
      </c>
      <c r="Q130" s="71" t="s">
        <v>1028</v>
      </c>
      <c r="R130" s="71"/>
      <c r="S130" s="75" t="s">
        <v>1073</v>
      </c>
      <c r="T130" s="75" t="s">
        <v>1624</v>
      </c>
      <c r="U130" s="75" t="s">
        <v>1625</v>
      </c>
      <c r="V130" s="71" t="s">
        <v>1622</v>
      </c>
      <c r="W130" s="71" t="s">
        <v>1492</v>
      </c>
      <c r="X130" s="76" t="s">
        <v>1077</v>
      </c>
      <c r="Y130" s="71" t="s">
        <v>776</v>
      </c>
      <c r="Z130" s="2" t="s">
        <v>1282</v>
      </c>
      <c r="AA130" s="2" t="s">
        <v>1283</v>
      </c>
      <c r="AB130" s="2" t="s">
        <v>1284</v>
      </c>
      <c r="AC130" s="2" t="s">
        <v>1285</v>
      </c>
      <c r="AD130" s="2" t="s">
        <v>1042</v>
      </c>
      <c r="AE130" s="2" t="s">
        <v>1139</v>
      </c>
      <c r="AF130" s="2" t="s">
        <v>1615</v>
      </c>
      <c r="AG130" s="2" t="s">
        <v>1616</v>
      </c>
      <c r="AH130" s="111">
        <v>10</v>
      </c>
      <c r="AI130" s="111">
        <v>1.5</v>
      </c>
      <c r="AJ130" s="111">
        <f t="shared" ref="AJ130:AJ161" si="8">IF($K130="Done",0,MAX(0.25,$J130/$AH130))</f>
        <v>1.2</v>
      </c>
      <c r="AK130" s="111">
        <f t="shared" ref="AK130:AK161" si="9">IF($K130="Done",0,$AJ130*$AI130)</f>
        <v>1.7999999999999998</v>
      </c>
      <c r="AL130" s="2" t="s">
        <v>1617</v>
      </c>
      <c r="AM130" s="2" t="s">
        <v>1622</v>
      </c>
      <c r="AN130" s="2" t="s">
        <v>1619</v>
      </c>
      <c r="AO130" s="2" t="s">
        <v>1023</v>
      </c>
    </row>
    <row r="131" spans="1:41" ht="45.95" hidden="1" customHeight="1" x14ac:dyDescent="0.25">
      <c r="A131" s="69" t="s">
        <v>435</v>
      </c>
      <c r="B131" s="69" t="s">
        <v>41</v>
      </c>
      <c r="C131" s="69" t="s">
        <v>47</v>
      </c>
      <c r="D131" s="70" t="s">
        <v>436</v>
      </c>
      <c r="E131" s="69" t="s">
        <v>1201</v>
      </c>
      <c r="F131" s="69" t="s">
        <v>1626</v>
      </c>
      <c r="G131" s="69" t="s">
        <v>67</v>
      </c>
      <c r="H131" s="70" t="s">
        <v>1627</v>
      </c>
      <c r="I131" s="70" t="s">
        <v>1628</v>
      </c>
      <c r="J131" s="69">
        <v>12</v>
      </c>
      <c r="K131" s="69" t="s">
        <v>1028</v>
      </c>
      <c r="L131" s="11" t="s">
        <v>1139</v>
      </c>
      <c r="M131" s="7" t="s">
        <v>86</v>
      </c>
      <c r="N131" s="7" t="s">
        <v>422</v>
      </c>
      <c r="O131" s="7" t="s">
        <v>1622</v>
      </c>
      <c r="P131" s="12" t="s">
        <v>1623</v>
      </c>
      <c r="Q131" s="71" t="s">
        <v>1028</v>
      </c>
      <c r="R131" s="71"/>
      <c r="S131" s="75" t="s">
        <v>1073</v>
      </c>
      <c r="T131" s="75" t="s">
        <v>1624</v>
      </c>
      <c r="U131" s="75" t="s">
        <v>1625</v>
      </c>
      <c r="V131" s="71" t="s">
        <v>1622</v>
      </c>
      <c r="W131" s="71" t="s">
        <v>1492</v>
      </c>
      <c r="X131" s="76" t="s">
        <v>1077</v>
      </c>
      <c r="Y131" s="71" t="s">
        <v>776</v>
      </c>
      <c r="Z131" s="2" t="s">
        <v>1282</v>
      </c>
      <c r="AA131" s="2" t="s">
        <v>1283</v>
      </c>
      <c r="AB131" s="2" t="s">
        <v>1284</v>
      </c>
      <c r="AC131" s="2" t="s">
        <v>1285</v>
      </c>
      <c r="AD131" s="2" t="s">
        <v>1042</v>
      </c>
      <c r="AE131" s="2" t="s">
        <v>1139</v>
      </c>
      <c r="AF131" s="2" t="s">
        <v>1615</v>
      </c>
      <c r="AG131" s="2" t="s">
        <v>1616</v>
      </c>
      <c r="AH131" s="111">
        <v>10</v>
      </c>
      <c r="AI131" s="111">
        <v>1.5</v>
      </c>
      <c r="AJ131" s="111">
        <f t="shared" si="8"/>
        <v>1.2</v>
      </c>
      <c r="AK131" s="111">
        <f t="shared" si="9"/>
        <v>1.7999999999999998</v>
      </c>
      <c r="AL131" s="2" t="s">
        <v>1617</v>
      </c>
      <c r="AM131" s="2" t="s">
        <v>1622</v>
      </c>
      <c r="AN131" s="2" t="s">
        <v>1619</v>
      </c>
      <c r="AO131" s="2" t="s">
        <v>1023</v>
      </c>
    </row>
    <row r="132" spans="1:41" ht="45.95" hidden="1" customHeight="1" x14ac:dyDescent="0.25">
      <c r="A132" s="69" t="s">
        <v>437</v>
      </c>
      <c r="B132" s="69" t="s">
        <v>41</v>
      </c>
      <c r="C132" s="69" t="s">
        <v>47</v>
      </c>
      <c r="D132" s="70" t="s">
        <v>438</v>
      </c>
      <c r="E132" s="69" t="s">
        <v>1201</v>
      </c>
      <c r="F132" s="69" t="s">
        <v>1629</v>
      </c>
      <c r="G132" s="69" t="s">
        <v>67</v>
      </c>
      <c r="H132" s="70" t="s">
        <v>1630</v>
      </c>
      <c r="I132" s="70" t="s">
        <v>1631</v>
      </c>
      <c r="J132" s="69">
        <v>12</v>
      </c>
      <c r="K132" s="69" t="s">
        <v>1028</v>
      </c>
      <c r="L132" s="11" t="s">
        <v>1139</v>
      </c>
      <c r="M132" s="7" t="s">
        <v>86</v>
      </c>
      <c r="N132" s="7" t="s">
        <v>422</v>
      </c>
      <c r="O132" s="7" t="s">
        <v>439</v>
      </c>
      <c r="P132" s="12" t="s">
        <v>1491</v>
      </c>
      <c r="Q132" s="71" t="s">
        <v>1028</v>
      </c>
      <c r="R132" s="71"/>
      <c r="S132" s="71" t="s">
        <v>774</v>
      </c>
      <c r="T132" s="71"/>
      <c r="U132" s="71"/>
      <c r="V132" s="71" t="s">
        <v>439</v>
      </c>
      <c r="W132" s="71" t="s">
        <v>1492</v>
      </c>
      <c r="X132" s="71" t="s">
        <v>775</v>
      </c>
      <c r="Y132" s="71" t="s">
        <v>776</v>
      </c>
      <c r="Z132" s="2" t="s">
        <v>1282</v>
      </c>
      <c r="AA132" s="2" t="s">
        <v>1283</v>
      </c>
      <c r="AB132" s="2" t="s">
        <v>1284</v>
      </c>
      <c r="AC132" s="2" t="s">
        <v>1285</v>
      </c>
      <c r="AD132" s="2" t="s">
        <v>1042</v>
      </c>
      <c r="AE132" s="2" t="s">
        <v>1139</v>
      </c>
      <c r="AF132" s="2" t="s">
        <v>1615</v>
      </c>
      <c r="AG132" s="2" t="s">
        <v>1616</v>
      </c>
      <c r="AH132" s="111">
        <v>10</v>
      </c>
      <c r="AI132" s="111">
        <v>1.5</v>
      </c>
      <c r="AJ132" s="111">
        <f t="shared" si="8"/>
        <v>1.2</v>
      </c>
      <c r="AK132" s="111">
        <f t="shared" si="9"/>
        <v>1.7999999999999998</v>
      </c>
      <c r="AL132" s="2" t="s">
        <v>1617</v>
      </c>
      <c r="AM132" s="2" t="s">
        <v>439</v>
      </c>
      <c r="AN132" s="2" t="s">
        <v>1619</v>
      </c>
      <c r="AO132" s="2" t="s">
        <v>1023</v>
      </c>
    </row>
    <row r="133" spans="1:41" ht="45.95" hidden="1" customHeight="1" x14ac:dyDescent="0.25">
      <c r="A133" s="69" t="s">
        <v>440</v>
      </c>
      <c r="B133" s="69" t="s">
        <v>41</v>
      </c>
      <c r="C133" s="69" t="s">
        <v>47</v>
      </c>
      <c r="D133" s="70" t="s">
        <v>441</v>
      </c>
      <c r="E133" s="69" t="s">
        <v>1201</v>
      </c>
      <c r="F133" s="69" t="s">
        <v>1629</v>
      </c>
      <c r="G133" s="69" t="s">
        <v>67</v>
      </c>
      <c r="H133" s="70" t="s">
        <v>1632</v>
      </c>
      <c r="I133" s="70" t="s">
        <v>1633</v>
      </c>
      <c r="J133" s="69">
        <v>12</v>
      </c>
      <c r="K133" s="69" t="s">
        <v>1028</v>
      </c>
      <c r="L133" s="11" t="s">
        <v>1139</v>
      </c>
      <c r="M133" s="7" t="s">
        <v>86</v>
      </c>
      <c r="N133" s="7" t="s">
        <v>422</v>
      </c>
      <c r="O133" s="7" t="s">
        <v>437</v>
      </c>
      <c r="P133" s="12" t="s">
        <v>1491</v>
      </c>
      <c r="Q133" s="71" t="s">
        <v>1028</v>
      </c>
      <c r="R133" s="71"/>
      <c r="S133" s="71" t="s">
        <v>774</v>
      </c>
      <c r="T133" s="71"/>
      <c r="U133" s="71"/>
      <c r="V133" s="71" t="s">
        <v>437</v>
      </c>
      <c r="W133" s="71" t="s">
        <v>1492</v>
      </c>
      <c r="X133" s="71" t="s">
        <v>775</v>
      </c>
      <c r="Y133" s="71" t="s">
        <v>776</v>
      </c>
      <c r="Z133" s="2" t="s">
        <v>1282</v>
      </c>
      <c r="AA133" s="2" t="s">
        <v>1283</v>
      </c>
      <c r="AB133" s="2" t="s">
        <v>1284</v>
      </c>
      <c r="AC133" s="2" t="s">
        <v>1285</v>
      </c>
      <c r="AD133" s="2" t="s">
        <v>1042</v>
      </c>
      <c r="AE133" s="2" t="s">
        <v>1139</v>
      </c>
      <c r="AF133" s="2" t="s">
        <v>1615</v>
      </c>
      <c r="AG133" s="2" t="s">
        <v>1616</v>
      </c>
      <c r="AH133" s="111">
        <v>10</v>
      </c>
      <c r="AI133" s="111">
        <v>1.5</v>
      </c>
      <c r="AJ133" s="111">
        <f t="shared" si="8"/>
        <v>1.2</v>
      </c>
      <c r="AK133" s="111">
        <f t="shared" si="9"/>
        <v>1.7999999999999998</v>
      </c>
      <c r="AL133" s="2" t="s">
        <v>1617</v>
      </c>
      <c r="AM133" s="2" t="s">
        <v>437</v>
      </c>
      <c r="AN133" s="2" t="s">
        <v>1619</v>
      </c>
      <c r="AO133" s="2" t="s">
        <v>1023</v>
      </c>
    </row>
    <row r="134" spans="1:41" ht="45.95" hidden="1" customHeight="1" x14ac:dyDescent="0.25">
      <c r="A134" s="69" t="s">
        <v>451</v>
      </c>
      <c r="B134" s="69" t="s">
        <v>41</v>
      </c>
      <c r="C134" s="69" t="s">
        <v>49</v>
      </c>
      <c r="D134" s="70" t="s">
        <v>452</v>
      </c>
      <c r="E134" s="69" t="s">
        <v>1201</v>
      </c>
      <c r="F134" s="69" t="s">
        <v>1629</v>
      </c>
      <c r="G134" s="69" t="s">
        <v>68</v>
      </c>
      <c r="H134" s="70" t="s">
        <v>1634</v>
      </c>
      <c r="I134" s="70" t="s">
        <v>1635</v>
      </c>
      <c r="J134" s="69">
        <v>12</v>
      </c>
      <c r="K134" s="69" t="s">
        <v>1028</v>
      </c>
      <c r="L134" s="11" t="s">
        <v>1139</v>
      </c>
      <c r="M134" s="7" t="s">
        <v>445</v>
      </c>
      <c r="N134" s="7" t="s">
        <v>447</v>
      </c>
      <c r="O134" s="7" t="s">
        <v>453</v>
      </c>
      <c r="P134" s="12" t="s">
        <v>1491</v>
      </c>
      <c r="Q134" s="71" t="s">
        <v>1028</v>
      </c>
      <c r="R134" s="71"/>
      <c r="S134" s="71" t="s">
        <v>774</v>
      </c>
      <c r="T134" s="71"/>
      <c r="U134" s="71"/>
      <c r="V134" s="71" t="s">
        <v>453</v>
      </c>
      <c r="W134" s="71" t="s">
        <v>1636</v>
      </c>
      <c r="X134" s="71" t="s">
        <v>775</v>
      </c>
      <c r="Y134" s="71" t="s">
        <v>776</v>
      </c>
      <c r="Z134" s="2" t="s">
        <v>1282</v>
      </c>
      <c r="AA134" s="2" t="s">
        <v>1283</v>
      </c>
      <c r="AB134" s="2" t="s">
        <v>1284</v>
      </c>
      <c r="AC134" s="2" t="s">
        <v>1285</v>
      </c>
      <c r="AD134" s="2" t="s">
        <v>1042</v>
      </c>
      <c r="AE134" s="2" t="s">
        <v>1139</v>
      </c>
      <c r="AF134" s="2" t="s">
        <v>1615</v>
      </c>
      <c r="AG134" s="2" t="s">
        <v>1616</v>
      </c>
      <c r="AH134" s="111">
        <v>10</v>
      </c>
      <c r="AI134" s="111">
        <v>1.5</v>
      </c>
      <c r="AJ134" s="111">
        <f t="shared" si="8"/>
        <v>1.2</v>
      </c>
      <c r="AK134" s="111">
        <f t="shared" si="9"/>
        <v>1.7999999999999998</v>
      </c>
      <c r="AL134" s="2" t="s">
        <v>1617</v>
      </c>
      <c r="AM134" s="2" t="s">
        <v>453</v>
      </c>
      <c r="AN134" s="2" t="s">
        <v>1619</v>
      </c>
      <c r="AO134" s="2" t="s">
        <v>1023</v>
      </c>
    </row>
    <row r="135" spans="1:41" ht="45.95" hidden="1" customHeight="1" x14ac:dyDescent="0.25">
      <c r="A135" s="69" t="s">
        <v>454</v>
      </c>
      <c r="B135" s="69" t="s">
        <v>41</v>
      </c>
      <c r="C135" s="69" t="s">
        <v>49</v>
      </c>
      <c r="D135" s="70" t="s">
        <v>455</v>
      </c>
      <c r="E135" s="69" t="s">
        <v>1201</v>
      </c>
      <c r="F135" s="69" t="s">
        <v>1608</v>
      </c>
      <c r="G135" s="69" t="s">
        <v>67</v>
      </c>
      <c r="H135" s="70" t="s">
        <v>1637</v>
      </c>
      <c r="I135" s="70" t="s">
        <v>1638</v>
      </c>
      <c r="J135" s="69">
        <v>12</v>
      </c>
      <c r="K135" s="69" t="s">
        <v>1028</v>
      </c>
      <c r="L135" s="11" t="s">
        <v>1139</v>
      </c>
      <c r="M135" s="7" t="s">
        <v>445</v>
      </c>
      <c r="N135" s="7" t="s">
        <v>447</v>
      </c>
      <c r="O135" s="7" t="s">
        <v>1639</v>
      </c>
      <c r="P135" s="12" t="s">
        <v>1640</v>
      </c>
      <c r="Q135" s="71" t="s">
        <v>1028</v>
      </c>
      <c r="R135" s="71"/>
      <c r="S135" s="75" t="s">
        <v>1073</v>
      </c>
      <c r="T135" s="75" t="s">
        <v>1641</v>
      </c>
      <c r="U135" s="75" t="s">
        <v>1642</v>
      </c>
      <c r="V135" s="71" t="s">
        <v>1639</v>
      </c>
      <c r="W135" s="71" t="s">
        <v>1636</v>
      </c>
      <c r="X135" s="76" t="s">
        <v>1077</v>
      </c>
      <c r="Y135" s="71" t="s">
        <v>776</v>
      </c>
      <c r="Z135" s="2" t="s">
        <v>1282</v>
      </c>
      <c r="AA135" s="2" t="s">
        <v>1283</v>
      </c>
      <c r="AB135" s="2" t="s">
        <v>1284</v>
      </c>
      <c r="AC135" s="2" t="s">
        <v>1285</v>
      </c>
      <c r="AD135" s="2" t="s">
        <v>1042</v>
      </c>
      <c r="AE135" s="2" t="s">
        <v>1139</v>
      </c>
      <c r="AF135" s="2" t="s">
        <v>1615</v>
      </c>
      <c r="AG135" s="2" t="s">
        <v>1616</v>
      </c>
      <c r="AH135" s="111">
        <v>10</v>
      </c>
      <c r="AI135" s="111">
        <v>1.5</v>
      </c>
      <c r="AJ135" s="111">
        <f t="shared" si="8"/>
        <v>1.2</v>
      </c>
      <c r="AK135" s="111">
        <f t="shared" si="9"/>
        <v>1.7999999999999998</v>
      </c>
      <c r="AL135" s="2" t="s">
        <v>1617</v>
      </c>
      <c r="AM135" s="2" t="s">
        <v>1643</v>
      </c>
      <c r="AN135" s="2" t="s">
        <v>1619</v>
      </c>
      <c r="AO135" s="2" t="s">
        <v>1023</v>
      </c>
    </row>
    <row r="136" spans="1:41" ht="45.95" hidden="1" customHeight="1" x14ac:dyDescent="0.25">
      <c r="A136" s="69" t="s">
        <v>426</v>
      </c>
      <c r="B136" s="69" t="s">
        <v>41</v>
      </c>
      <c r="C136" s="69" t="s">
        <v>47</v>
      </c>
      <c r="D136" s="70" t="s">
        <v>427</v>
      </c>
      <c r="E136" s="69" t="s">
        <v>806</v>
      </c>
      <c r="F136" s="69" t="s">
        <v>1608</v>
      </c>
      <c r="G136" s="69" t="s">
        <v>68</v>
      </c>
      <c r="H136" s="70" t="s">
        <v>1644</v>
      </c>
      <c r="I136" s="70" t="s">
        <v>1645</v>
      </c>
      <c r="J136" s="69">
        <v>10</v>
      </c>
      <c r="K136" s="69" t="s">
        <v>1028</v>
      </c>
      <c r="L136" s="11" t="s">
        <v>1139</v>
      </c>
      <c r="M136" s="7" t="s">
        <v>86</v>
      </c>
      <c r="N136" s="7" t="s">
        <v>422</v>
      </c>
      <c r="O136" s="7" t="s">
        <v>1646</v>
      </c>
      <c r="P136" s="12" t="s">
        <v>1647</v>
      </c>
      <c r="Q136" s="71" t="s">
        <v>1028</v>
      </c>
      <c r="R136" s="71"/>
      <c r="S136" s="75" t="s">
        <v>1073</v>
      </c>
      <c r="T136" s="75" t="s">
        <v>1648</v>
      </c>
      <c r="U136" s="75" t="s">
        <v>1649</v>
      </c>
      <c r="V136" s="71" t="s">
        <v>1646</v>
      </c>
      <c r="W136" s="71" t="s">
        <v>1492</v>
      </c>
      <c r="X136" s="76" t="s">
        <v>1077</v>
      </c>
      <c r="Y136" s="71" t="s">
        <v>776</v>
      </c>
      <c r="Z136" s="2" t="s">
        <v>1282</v>
      </c>
      <c r="AA136" s="2" t="s">
        <v>1283</v>
      </c>
      <c r="AB136" s="2" t="s">
        <v>1284</v>
      </c>
      <c r="AC136" s="2" t="s">
        <v>1285</v>
      </c>
      <c r="AD136" s="2" t="s">
        <v>1042</v>
      </c>
      <c r="AE136" s="2" t="s">
        <v>1139</v>
      </c>
      <c r="AF136" s="2" t="s">
        <v>1615</v>
      </c>
      <c r="AG136" s="2" t="s">
        <v>1294</v>
      </c>
      <c r="AH136" s="111">
        <v>8</v>
      </c>
      <c r="AI136" s="111">
        <v>1.55</v>
      </c>
      <c r="AJ136" s="111">
        <f t="shared" si="8"/>
        <v>1.25</v>
      </c>
      <c r="AK136" s="111">
        <f t="shared" si="9"/>
        <v>1.9375</v>
      </c>
      <c r="AL136" s="2" t="s">
        <v>1617</v>
      </c>
      <c r="AM136" s="2" t="s">
        <v>1650</v>
      </c>
      <c r="AN136" s="2" t="s">
        <v>1619</v>
      </c>
      <c r="AO136" s="2" t="s">
        <v>1023</v>
      </c>
    </row>
    <row r="137" spans="1:41" ht="45.95" hidden="1" customHeight="1" x14ac:dyDescent="0.25">
      <c r="A137" s="69" t="s">
        <v>457</v>
      </c>
      <c r="B137" s="69" t="s">
        <v>41</v>
      </c>
      <c r="C137" s="69" t="s">
        <v>49</v>
      </c>
      <c r="D137" s="70" t="s">
        <v>458</v>
      </c>
      <c r="E137" s="69" t="s">
        <v>1201</v>
      </c>
      <c r="F137" s="69" t="s">
        <v>1629</v>
      </c>
      <c r="G137" s="69" t="s">
        <v>801</v>
      </c>
      <c r="H137" s="70" t="s">
        <v>1651</v>
      </c>
      <c r="I137" s="70" t="s">
        <v>1652</v>
      </c>
      <c r="J137" s="69">
        <v>10</v>
      </c>
      <c r="K137" s="69" t="s">
        <v>1028</v>
      </c>
      <c r="L137" s="11" t="s">
        <v>1139</v>
      </c>
      <c r="M137" s="7" t="s">
        <v>445</v>
      </c>
      <c r="N137" s="7" t="s">
        <v>447</v>
      </c>
      <c r="O137" s="7" t="s">
        <v>459</v>
      </c>
      <c r="P137" s="12" t="s">
        <v>1491</v>
      </c>
      <c r="Q137" s="71" t="s">
        <v>1028</v>
      </c>
      <c r="R137" s="71"/>
      <c r="S137" s="71" t="s">
        <v>774</v>
      </c>
      <c r="T137" s="71"/>
      <c r="U137" s="71"/>
      <c r="V137" s="71" t="s">
        <v>459</v>
      </c>
      <c r="W137" s="71" t="s">
        <v>1636</v>
      </c>
      <c r="X137" s="71" t="s">
        <v>775</v>
      </c>
      <c r="Y137" s="71" t="s">
        <v>776</v>
      </c>
      <c r="Z137" s="2" t="s">
        <v>1282</v>
      </c>
      <c r="AA137" s="2" t="s">
        <v>1283</v>
      </c>
      <c r="AB137" s="2" t="s">
        <v>1284</v>
      </c>
      <c r="AC137" s="2" t="s">
        <v>1285</v>
      </c>
      <c r="AD137" s="2" t="s">
        <v>1042</v>
      </c>
      <c r="AE137" s="2" t="s">
        <v>1139</v>
      </c>
      <c r="AF137" s="2" t="s">
        <v>1615</v>
      </c>
      <c r="AG137" s="2" t="s">
        <v>1616</v>
      </c>
      <c r="AH137" s="111">
        <v>10</v>
      </c>
      <c r="AI137" s="111">
        <v>1.5</v>
      </c>
      <c r="AJ137" s="111">
        <f t="shared" si="8"/>
        <v>1</v>
      </c>
      <c r="AK137" s="111">
        <f t="shared" si="9"/>
        <v>1.5</v>
      </c>
      <c r="AL137" s="2" t="s">
        <v>1653</v>
      </c>
      <c r="AM137" s="2" t="s">
        <v>459</v>
      </c>
      <c r="AN137" s="2" t="s">
        <v>1619</v>
      </c>
      <c r="AO137" s="2" t="s">
        <v>1023</v>
      </c>
    </row>
    <row r="138" spans="1:41" ht="45.95" hidden="1" customHeight="1" x14ac:dyDescent="0.25">
      <c r="A138" s="67" t="s">
        <v>413</v>
      </c>
      <c r="B138" s="67" t="s">
        <v>41</v>
      </c>
      <c r="C138" s="67" t="s">
        <v>44</v>
      </c>
      <c r="D138" s="68" t="s">
        <v>414</v>
      </c>
      <c r="E138" s="67" t="s">
        <v>1201</v>
      </c>
      <c r="F138" s="67" t="s">
        <v>1654</v>
      </c>
      <c r="G138" s="67" t="s">
        <v>68</v>
      </c>
      <c r="H138" s="68" t="s">
        <v>1655</v>
      </c>
      <c r="I138" s="68" t="s">
        <v>1656</v>
      </c>
      <c r="J138" s="67">
        <v>10</v>
      </c>
      <c r="K138" s="73" t="s">
        <v>768</v>
      </c>
      <c r="L138" s="11" t="s">
        <v>1139</v>
      </c>
      <c r="M138" s="146" t="s">
        <v>171</v>
      </c>
      <c r="N138" s="7" t="s">
        <v>376</v>
      </c>
      <c r="O138" s="7" t="s">
        <v>375</v>
      </c>
      <c r="P138" s="12" t="s">
        <v>1491</v>
      </c>
      <c r="Q138" s="71" t="s">
        <v>979</v>
      </c>
      <c r="R138" s="71" t="s">
        <v>1657</v>
      </c>
      <c r="S138" s="71" t="s">
        <v>981</v>
      </c>
      <c r="T138" s="71"/>
      <c r="U138" s="71"/>
      <c r="V138" s="71" t="s">
        <v>375</v>
      </c>
      <c r="W138" s="71" t="s">
        <v>1658</v>
      </c>
      <c r="X138" s="71" t="s">
        <v>775</v>
      </c>
      <c r="Y138" s="71" t="s">
        <v>776</v>
      </c>
      <c r="Z138" s="2" t="s">
        <v>1282</v>
      </c>
      <c r="AA138" s="2" t="s">
        <v>1283</v>
      </c>
      <c r="AB138" s="2" t="s">
        <v>1659</v>
      </c>
      <c r="AC138" s="2" t="s">
        <v>1660</v>
      </c>
      <c r="AD138" s="2" t="s">
        <v>781</v>
      </c>
      <c r="AE138" s="2" t="s">
        <v>171</v>
      </c>
      <c r="AF138" s="2" t="s">
        <v>782</v>
      </c>
      <c r="AG138" s="2" t="s">
        <v>781</v>
      </c>
      <c r="AH138" s="111">
        <v>0</v>
      </c>
      <c r="AI138" s="111">
        <v>0</v>
      </c>
      <c r="AJ138" s="111">
        <f t="shared" si="8"/>
        <v>0</v>
      </c>
      <c r="AK138" s="111">
        <f t="shared" si="9"/>
        <v>0</v>
      </c>
      <c r="AL138" s="2" t="s">
        <v>171</v>
      </c>
      <c r="AM138" s="2" t="s">
        <v>783</v>
      </c>
      <c r="AN138" s="2" t="s">
        <v>784</v>
      </c>
      <c r="AO138" s="2" t="s">
        <v>785</v>
      </c>
    </row>
    <row r="139" spans="1:41" ht="45.95" hidden="1" customHeight="1" x14ac:dyDescent="0.25">
      <c r="A139" s="69" t="s">
        <v>507</v>
      </c>
      <c r="B139" s="69" t="s">
        <v>41</v>
      </c>
      <c r="C139" s="69" t="s">
        <v>55</v>
      </c>
      <c r="D139" s="70" t="s">
        <v>508</v>
      </c>
      <c r="E139" s="69" t="s">
        <v>1201</v>
      </c>
      <c r="F139" s="69" t="s">
        <v>1193</v>
      </c>
      <c r="G139" s="69" t="s">
        <v>67</v>
      </c>
      <c r="H139" s="70" t="s">
        <v>1661</v>
      </c>
      <c r="I139" s="70" t="s">
        <v>1662</v>
      </c>
      <c r="J139" s="69">
        <v>12</v>
      </c>
      <c r="K139" s="69" t="s">
        <v>1028</v>
      </c>
      <c r="L139" s="11" t="s">
        <v>1139</v>
      </c>
      <c r="M139" s="7" t="s">
        <v>471</v>
      </c>
      <c r="N139" s="7" t="s">
        <v>510</v>
      </c>
      <c r="O139" s="7" t="s">
        <v>509</v>
      </c>
      <c r="P139" s="12" t="s">
        <v>1491</v>
      </c>
      <c r="Q139" s="71" t="s">
        <v>1028</v>
      </c>
      <c r="R139" s="71"/>
      <c r="S139" s="71" t="s">
        <v>774</v>
      </c>
      <c r="T139" s="71"/>
      <c r="U139" s="71"/>
      <c r="V139" s="71" t="s">
        <v>509</v>
      </c>
      <c r="W139" s="71" t="s">
        <v>1663</v>
      </c>
      <c r="X139" s="71" t="s">
        <v>775</v>
      </c>
      <c r="Y139" s="71" t="s">
        <v>776</v>
      </c>
      <c r="Z139" s="2" t="s">
        <v>1282</v>
      </c>
      <c r="AA139" s="2" t="s">
        <v>1283</v>
      </c>
      <c r="AB139" s="2" t="s">
        <v>1284</v>
      </c>
      <c r="AC139" s="2" t="s">
        <v>1664</v>
      </c>
      <c r="AD139" s="2" t="s">
        <v>1042</v>
      </c>
      <c r="AE139" s="2" t="s">
        <v>1139</v>
      </c>
      <c r="AF139" s="2" t="s">
        <v>1615</v>
      </c>
      <c r="AG139" s="2" t="s">
        <v>1616</v>
      </c>
      <c r="AH139" s="111">
        <v>10</v>
      </c>
      <c r="AI139" s="111">
        <v>1.5</v>
      </c>
      <c r="AJ139" s="111">
        <f t="shared" si="8"/>
        <v>1.2</v>
      </c>
      <c r="AK139" s="111">
        <f t="shared" si="9"/>
        <v>1.7999999999999998</v>
      </c>
      <c r="AL139" s="2" t="s">
        <v>1665</v>
      </c>
      <c r="AM139" s="2" t="s">
        <v>509</v>
      </c>
      <c r="AN139" s="2" t="s">
        <v>1619</v>
      </c>
      <c r="AO139" s="2" t="s">
        <v>1023</v>
      </c>
    </row>
    <row r="140" spans="1:41" ht="45.95" hidden="1" customHeight="1" x14ac:dyDescent="0.25">
      <c r="A140" s="69" t="s">
        <v>469</v>
      </c>
      <c r="B140" s="69" t="s">
        <v>41</v>
      </c>
      <c r="C140" s="69" t="s">
        <v>52</v>
      </c>
      <c r="D140" s="70" t="s">
        <v>470</v>
      </c>
      <c r="E140" s="69" t="s">
        <v>1201</v>
      </c>
      <c r="F140" s="69" t="s">
        <v>1666</v>
      </c>
      <c r="G140" s="69" t="s">
        <v>67</v>
      </c>
      <c r="H140" s="70" t="s">
        <v>1667</v>
      </c>
      <c r="I140" s="70" t="s">
        <v>1668</v>
      </c>
      <c r="J140" s="69">
        <v>12</v>
      </c>
      <c r="K140" s="69" t="s">
        <v>1028</v>
      </c>
      <c r="L140" s="11" t="s">
        <v>1139</v>
      </c>
      <c r="M140" s="7" t="s">
        <v>471</v>
      </c>
      <c r="N140" s="7" t="s">
        <v>473</v>
      </c>
      <c r="O140" s="7" t="s">
        <v>472</v>
      </c>
      <c r="P140" s="12" t="s">
        <v>1491</v>
      </c>
      <c r="Q140" s="71" t="s">
        <v>1028</v>
      </c>
      <c r="R140" s="71"/>
      <c r="S140" s="75" t="s">
        <v>1073</v>
      </c>
      <c r="T140" s="75" t="s">
        <v>1648</v>
      </c>
      <c r="U140" s="75" t="s">
        <v>1649</v>
      </c>
      <c r="V140" s="71" t="s">
        <v>472</v>
      </c>
      <c r="W140" s="71" t="s">
        <v>1663</v>
      </c>
      <c r="X140" s="76" t="s">
        <v>1077</v>
      </c>
      <c r="Y140" s="71" t="s">
        <v>776</v>
      </c>
      <c r="Z140" s="2" t="s">
        <v>1282</v>
      </c>
      <c r="AA140" s="2" t="s">
        <v>1283</v>
      </c>
      <c r="AB140" s="2" t="s">
        <v>1284</v>
      </c>
      <c r="AC140" s="2" t="s">
        <v>1285</v>
      </c>
      <c r="AD140" s="2" t="s">
        <v>1042</v>
      </c>
      <c r="AE140" s="2" t="s">
        <v>1139</v>
      </c>
      <c r="AF140" s="2" t="s">
        <v>1615</v>
      </c>
      <c r="AG140" s="2" t="s">
        <v>1616</v>
      </c>
      <c r="AH140" s="111">
        <v>10</v>
      </c>
      <c r="AI140" s="111">
        <v>1.5</v>
      </c>
      <c r="AJ140" s="111">
        <f t="shared" si="8"/>
        <v>1.2</v>
      </c>
      <c r="AK140" s="111">
        <f t="shared" si="9"/>
        <v>1.7999999999999998</v>
      </c>
      <c r="AL140" s="2" t="s">
        <v>1669</v>
      </c>
      <c r="AM140" s="2" t="s">
        <v>472</v>
      </c>
      <c r="AN140" s="2" t="s">
        <v>1619</v>
      </c>
      <c r="AO140" s="2" t="s">
        <v>1023</v>
      </c>
    </row>
    <row r="141" spans="1:41" ht="45.95" hidden="1" customHeight="1" x14ac:dyDescent="0.25">
      <c r="A141" s="69" t="s">
        <v>474</v>
      </c>
      <c r="B141" s="69" t="s">
        <v>41</v>
      </c>
      <c r="C141" s="69" t="s">
        <v>52</v>
      </c>
      <c r="D141" s="70" t="s">
        <v>475</v>
      </c>
      <c r="E141" s="69" t="s">
        <v>1201</v>
      </c>
      <c r="F141" s="69" t="s">
        <v>1666</v>
      </c>
      <c r="G141" s="69" t="s">
        <v>67</v>
      </c>
      <c r="H141" s="70" t="s">
        <v>1670</v>
      </c>
      <c r="I141" s="70" t="s">
        <v>1671</v>
      </c>
      <c r="J141" s="69">
        <v>12</v>
      </c>
      <c r="K141" s="69" t="s">
        <v>1028</v>
      </c>
      <c r="L141" s="11" t="s">
        <v>1139</v>
      </c>
      <c r="M141" s="7" t="s">
        <v>471</v>
      </c>
      <c r="N141" s="7" t="s">
        <v>473</v>
      </c>
      <c r="O141" s="7" t="s">
        <v>476</v>
      </c>
      <c r="P141" s="12" t="s">
        <v>1491</v>
      </c>
      <c r="Q141" s="71" t="s">
        <v>1028</v>
      </c>
      <c r="R141" s="71"/>
      <c r="S141" s="71" t="s">
        <v>774</v>
      </c>
      <c r="T141" s="71"/>
      <c r="U141" s="71"/>
      <c r="V141" s="71" t="s">
        <v>476</v>
      </c>
      <c r="W141" s="71" t="s">
        <v>1663</v>
      </c>
      <c r="X141" s="71" t="s">
        <v>775</v>
      </c>
      <c r="Y141" s="71" t="s">
        <v>776</v>
      </c>
      <c r="Z141" s="2" t="s">
        <v>1282</v>
      </c>
      <c r="AA141" s="2" t="s">
        <v>1283</v>
      </c>
      <c r="AB141" s="2" t="s">
        <v>1284</v>
      </c>
      <c r="AC141" s="2" t="s">
        <v>1285</v>
      </c>
      <c r="AD141" s="2" t="s">
        <v>1042</v>
      </c>
      <c r="AE141" s="2" t="s">
        <v>1139</v>
      </c>
      <c r="AF141" s="2" t="s">
        <v>1615</v>
      </c>
      <c r="AG141" s="2" t="s">
        <v>1616</v>
      </c>
      <c r="AH141" s="111">
        <v>10</v>
      </c>
      <c r="AI141" s="111">
        <v>1.5</v>
      </c>
      <c r="AJ141" s="111">
        <f t="shared" si="8"/>
        <v>1.2</v>
      </c>
      <c r="AK141" s="111">
        <f t="shared" si="9"/>
        <v>1.7999999999999998</v>
      </c>
      <c r="AL141" s="2" t="s">
        <v>1669</v>
      </c>
      <c r="AM141" s="2" t="s">
        <v>476</v>
      </c>
      <c r="AN141" s="2" t="s">
        <v>1619</v>
      </c>
      <c r="AO141" s="2" t="s">
        <v>1023</v>
      </c>
    </row>
    <row r="142" spans="1:41" ht="45.95" hidden="1" customHeight="1" x14ac:dyDescent="0.25">
      <c r="A142" s="69" t="s">
        <v>477</v>
      </c>
      <c r="B142" s="69" t="s">
        <v>41</v>
      </c>
      <c r="C142" s="69" t="s">
        <v>52</v>
      </c>
      <c r="D142" s="70" t="s">
        <v>478</v>
      </c>
      <c r="E142" s="69" t="s">
        <v>1201</v>
      </c>
      <c r="F142" s="69" t="s">
        <v>1666</v>
      </c>
      <c r="G142" s="69" t="s">
        <v>68</v>
      </c>
      <c r="H142" s="70" t="s">
        <v>1672</v>
      </c>
      <c r="I142" s="70" t="s">
        <v>1673</v>
      </c>
      <c r="J142" s="69">
        <v>12</v>
      </c>
      <c r="K142" s="69" t="s">
        <v>1028</v>
      </c>
      <c r="L142" s="11" t="s">
        <v>1139</v>
      </c>
      <c r="M142" s="7" t="s">
        <v>479</v>
      </c>
      <c r="N142" s="7" t="s">
        <v>481</v>
      </c>
      <c r="O142" s="7" t="s">
        <v>480</v>
      </c>
      <c r="P142" s="12" t="s">
        <v>1491</v>
      </c>
      <c r="Q142" s="71" t="s">
        <v>1028</v>
      </c>
      <c r="R142" s="71"/>
      <c r="S142" s="71" t="s">
        <v>774</v>
      </c>
      <c r="T142" s="71"/>
      <c r="U142" s="71"/>
      <c r="V142" s="71" t="s">
        <v>480</v>
      </c>
      <c r="W142" s="71" t="s">
        <v>1674</v>
      </c>
      <c r="X142" s="71" t="s">
        <v>775</v>
      </c>
      <c r="Y142" s="71" t="s">
        <v>776</v>
      </c>
      <c r="Z142" s="2" t="s">
        <v>1282</v>
      </c>
      <c r="AA142" s="2" t="s">
        <v>1283</v>
      </c>
      <c r="AB142" s="2" t="s">
        <v>1284</v>
      </c>
      <c r="AC142" s="2" t="s">
        <v>1285</v>
      </c>
      <c r="AD142" s="2" t="s">
        <v>1042</v>
      </c>
      <c r="AE142" s="2" t="s">
        <v>1139</v>
      </c>
      <c r="AF142" s="2" t="s">
        <v>1615</v>
      </c>
      <c r="AG142" s="2" t="s">
        <v>1616</v>
      </c>
      <c r="AH142" s="111">
        <v>10</v>
      </c>
      <c r="AI142" s="111">
        <v>1.5</v>
      </c>
      <c r="AJ142" s="111">
        <f t="shared" si="8"/>
        <v>1.2</v>
      </c>
      <c r="AK142" s="111">
        <f t="shared" si="9"/>
        <v>1.7999999999999998</v>
      </c>
      <c r="AL142" s="2" t="s">
        <v>1669</v>
      </c>
      <c r="AM142" s="2" t="s">
        <v>480</v>
      </c>
      <c r="AN142" s="2" t="s">
        <v>1619</v>
      </c>
      <c r="AO142" s="2" t="s">
        <v>1023</v>
      </c>
    </row>
    <row r="143" spans="1:41" ht="45.95" hidden="1" customHeight="1" x14ac:dyDescent="0.25">
      <c r="A143" s="69" t="s">
        <v>482</v>
      </c>
      <c r="B143" s="69" t="s">
        <v>41</v>
      </c>
      <c r="C143" s="69" t="s">
        <v>52</v>
      </c>
      <c r="D143" s="70" t="s">
        <v>483</v>
      </c>
      <c r="E143" s="69" t="s">
        <v>1201</v>
      </c>
      <c r="F143" s="69" t="s">
        <v>1675</v>
      </c>
      <c r="G143" s="69" t="s">
        <v>67</v>
      </c>
      <c r="H143" s="70" t="s">
        <v>1676</v>
      </c>
      <c r="I143" s="70" t="s">
        <v>1677</v>
      </c>
      <c r="J143" s="69">
        <v>8</v>
      </c>
      <c r="K143" s="69" t="s">
        <v>1028</v>
      </c>
      <c r="L143" s="11" t="s">
        <v>1139</v>
      </c>
      <c r="M143" s="7" t="s">
        <v>471</v>
      </c>
      <c r="N143" s="7" t="s">
        <v>473</v>
      </c>
      <c r="O143" s="7" t="s">
        <v>484</v>
      </c>
      <c r="P143" s="12" t="s">
        <v>1491</v>
      </c>
      <c r="Q143" s="71" t="s">
        <v>1028</v>
      </c>
      <c r="R143" s="71"/>
      <c r="S143" s="71" t="s">
        <v>774</v>
      </c>
      <c r="T143" s="71"/>
      <c r="U143" s="71"/>
      <c r="V143" s="71" t="s">
        <v>484</v>
      </c>
      <c r="W143" s="71" t="s">
        <v>1663</v>
      </c>
      <c r="X143" s="71" t="s">
        <v>775</v>
      </c>
      <c r="Y143" s="71" t="s">
        <v>776</v>
      </c>
      <c r="Z143" s="2" t="s">
        <v>1282</v>
      </c>
      <c r="AA143" s="2" t="s">
        <v>1283</v>
      </c>
      <c r="AB143" s="2" t="s">
        <v>1284</v>
      </c>
      <c r="AC143" s="2" t="s">
        <v>1285</v>
      </c>
      <c r="AD143" s="2" t="s">
        <v>1042</v>
      </c>
      <c r="AE143" s="2" t="s">
        <v>1139</v>
      </c>
      <c r="AF143" s="2" t="s">
        <v>1615</v>
      </c>
      <c r="AG143" s="2" t="s">
        <v>1616</v>
      </c>
      <c r="AH143" s="111">
        <v>10</v>
      </c>
      <c r="AI143" s="111">
        <v>1.5</v>
      </c>
      <c r="AJ143" s="111">
        <f t="shared" si="8"/>
        <v>0.8</v>
      </c>
      <c r="AK143" s="111">
        <f t="shared" si="9"/>
        <v>1.2000000000000002</v>
      </c>
      <c r="AL143" s="2" t="s">
        <v>1669</v>
      </c>
      <c r="AM143" s="2" t="s">
        <v>484</v>
      </c>
      <c r="AN143" s="2" t="s">
        <v>1619</v>
      </c>
      <c r="AO143" s="2" t="s">
        <v>1023</v>
      </c>
    </row>
    <row r="144" spans="1:41" ht="45.95" hidden="1" customHeight="1" x14ac:dyDescent="0.25">
      <c r="A144" s="69" t="s">
        <v>485</v>
      </c>
      <c r="B144" s="69" t="s">
        <v>41</v>
      </c>
      <c r="C144" s="69" t="s">
        <v>52</v>
      </c>
      <c r="D144" s="70" t="s">
        <v>486</v>
      </c>
      <c r="E144" s="69" t="s">
        <v>1201</v>
      </c>
      <c r="F144" s="69" t="s">
        <v>1675</v>
      </c>
      <c r="G144" s="69" t="s">
        <v>67</v>
      </c>
      <c r="H144" s="70" t="s">
        <v>1678</v>
      </c>
      <c r="I144" s="70" t="s">
        <v>1679</v>
      </c>
      <c r="J144" s="69">
        <v>8</v>
      </c>
      <c r="K144" s="69" t="s">
        <v>1028</v>
      </c>
      <c r="L144" s="11" t="s">
        <v>1139</v>
      </c>
      <c r="M144" s="7" t="s">
        <v>471</v>
      </c>
      <c r="N144" s="7" t="s">
        <v>473</v>
      </c>
      <c r="O144" s="7" t="s">
        <v>487</v>
      </c>
      <c r="P144" s="12" t="s">
        <v>1491</v>
      </c>
      <c r="Q144" s="71" t="s">
        <v>1028</v>
      </c>
      <c r="R144" s="71"/>
      <c r="S144" s="71" t="s">
        <v>774</v>
      </c>
      <c r="T144" s="71"/>
      <c r="U144" s="71"/>
      <c r="V144" s="71" t="s">
        <v>487</v>
      </c>
      <c r="W144" s="71" t="s">
        <v>1663</v>
      </c>
      <c r="X144" s="71" t="s">
        <v>775</v>
      </c>
      <c r="Y144" s="71" t="s">
        <v>776</v>
      </c>
      <c r="Z144" s="2" t="s">
        <v>1282</v>
      </c>
      <c r="AA144" s="2" t="s">
        <v>1283</v>
      </c>
      <c r="AB144" s="2" t="s">
        <v>1284</v>
      </c>
      <c r="AC144" s="2" t="s">
        <v>1285</v>
      </c>
      <c r="AD144" s="2" t="s">
        <v>1042</v>
      </c>
      <c r="AE144" s="2" t="s">
        <v>1139</v>
      </c>
      <c r="AF144" s="2" t="s">
        <v>1615</v>
      </c>
      <c r="AG144" s="2" t="s">
        <v>1616</v>
      </c>
      <c r="AH144" s="111">
        <v>10</v>
      </c>
      <c r="AI144" s="111">
        <v>1.5</v>
      </c>
      <c r="AJ144" s="111">
        <f t="shared" si="8"/>
        <v>0.8</v>
      </c>
      <c r="AK144" s="111">
        <f t="shared" si="9"/>
        <v>1.2000000000000002</v>
      </c>
      <c r="AL144" s="2" t="s">
        <v>1669</v>
      </c>
      <c r="AM144" s="2" t="s">
        <v>487</v>
      </c>
      <c r="AN144" s="2" t="s">
        <v>1619</v>
      </c>
      <c r="AO144" s="2" t="s">
        <v>1023</v>
      </c>
    </row>
    <row r="145" spans="1:41" ht="45.95" hidden="1" customHeight="1" x14ac:dyDescent="0.25">
      <c r="A145" s="69" t="s">
        <v>488</v>
      </c>
      <c r="B145" s="69" t="s">
        <v>41</v>
      </c>
      <c r="C145" s="69" t="s">
        <v>52</v>
      </c>
      <c r="D145" s="70" t="s">
        <v>489</v>
      </c>
      <c r="E145" s="69" t="s">
        <v>1201</v>
      </c>
      <c r="F145" s="69" t="s">
        <v>1680</v>
      </c>
      <c r="G145" s="69" t="s">
        <v>67</v>
      </c>
      <c r="H145" s="70" t="s">
        <v>1681</v>
      </c>
      <c r="I145" s="70" t="s">
        <v>1682</v>
      </c>
      <c r="J145" s="69">
        <v>8</v>
      </c>
      <c r="K145" s="69" t="s">
        <v>1028</v>
      </c>
      <c r="L145" s="11" t="s">
        <v>1139</v>
      </c>
      <c r="M145" s="7" t="s">
        <v>471</v>
      </c>
      <c r="N145" s="7" t="s">
        <v>473</v>
      </c>
      <c r="O145" s="7" t="s">
        <v>485</v>
      </c>
      <c r="P145" s="12" t="s">
        <v>1491</v>
      </c>
      <c r="Q145" s="71" t="s">
        <v>1028</v>
      </c>
      <c r="R145" s="71"/>
      <c r="S145" s="71" t="s">
        <v>774</v>
      </c>
      <c r="T145" s="71"/>
      <c r="U145" s="71"/>
      <c r="V145" s="71" t="s">
        <v>485</v>
      </c>
      <c r="W145" s="71" t="s">
        <v>1663</v>
      </c>
      <c r="X145" s="71" t="s">
        <v>775</v>
      </c>
      <c r="Y145" s="71" t="s">
        <v>776</v>
      </c>
      <c r="Z145" s="2" t="s">
        <v>1282</v>
      </c>
      <c r="AA145" s="2" t="s">
        <v>1283</v>
      </c>
      <c r="AB145" s="2" t="s">
        <v>1284</v>
      </c>
      <c r="AC145" s="2" t="s">
        <v>1285</v>
      </c>
      <c r="AD145" s="2" t="s">
        <v>1042</v>
      </c>
      <c r="AE145" s="2" t="s">
        <v>1139</v>
      </c>
      <c r="AF145" s="2" t="s">
        <v>1615</v>
      </c>
      <c r="AG145" s="2" t="s">
        <v>1616</v>
      </c>
      <c r="AH145" s="111">
        <v>10</v>
      </c>
      <c r="AI145" s="111">
        <v>1.5</v>
      </c>
      <c r="AJ145" s="111">
        <f t="shared" si="8"/>
        <v>0.8</v>
      </c>
      <c r="AK145" s="111">
        <f t="shared" si="9"/>
        <v>1.2000000000000002</v>
      </c>
      <c r="AL145" s="2" t="s">
        <v>1669</v>
      </c>
      <c r="AM145" s="2" t="s">
        <v>485</v>
      </c>
      <c r="AN145" s="2" t="s">
        <v>1619</v>
      </c>
      <c r="AO145" s="2" t="s">
        <v>1023</v>
      </c>
    </row>
    <row r="146" spans="1:41" ht="45.95" hidden="1" customHeight="1" x14ac:dyDescent="0.25">
      <c r="A146" s="69" t="s">
        <v>490</v>
      </c>
      <c r="B146" s="69" t="s">
        <v>41</v>
      </c>
      <c r="C146" s="69" t="s">
        <v>52</v>
      </c>
      <c r="D146" s="70" t="s">
        <v>491</v>
      </c>
      <c r="E146" s="69" t="s">
        <v>1201</v>
      </c>
      <c r="F146" s="69" t="s">
        <v>1680</v>
      </c>
      <c r="G146" s="69" t="s">
        <v>67</v>
      </c>
      <c r="H146" s="70" t="s">
        <v>1683</v>
      </c>
      <c r="I146" s="70" t="s">
        <v>1684</v>
      </c>
      <c r="J146" s="69">
        <v>8</v>
      </c>
      <c r="K146" s="69" t="s">
        <v>1028</v>
      </c>
      <c r="L146" s="11" t="s">
        <v>1139</v>
      </c>
      <c r="M146" s="7" t="s">
        <v>471</v>
      </c>
      <c r="N146" s="7" t="s">
        <v>473</v>
      </c>
      <c r="O146" s="7" t="s">
        <v>488</v>
      </c>
      <c r="P146" s="12" t="s">
        <v>1491</v>
      </c>
      <c r="Q146" s="71" t="s">
        <v>1028</v>
      </c>
      <c r="R146" s="71"/>
      <c r="S146" s="71" t="s">
        <v>774</v>
      </c>
      <c r="T146" s="71"/>
      <c r="U146" s="71"/>
      <c r="V146" s="71" t="s">
        <v>488</v>
      </c>
      <c r="W146" s="71" t="s">
        <v>1663</v>
      </c>
      <c r="X146" s="71" t="s">
        <v>775</v>
      </c>
      <c r="Y146" s="71" t="s">
        <v>776</v>
      </c>
      <c r="Z146" s="2" t="s">
        <v>1282</v>
      </c>
      <c r="AA146" s="2" t="s">
        <v>1283</v>
      </c>
      <c r="AB146" s="2" t="s">
        <v>1284</v>
      </c>
      <c r="AC146" s="2" t="s">
        <v>1285</v>
      </c>
      <c r="AD146" s="2" t="s">
        <v>1042</v>
      </c>
      <c r="AE146" s="2" t="s">
        <v>1139</v>
      </c>
      <c r="AF146" s="2" t="s">
        <v>1615</v>
      </c>
      <c r="AG146" s="2" t="s">
        <v>1616</v>
      </c>
      <c r="AH146" s="111">
        <v>10</v>
      </c>
      <c r="AI146" s="111">
        <v>1.5</v>
      </c>
      <c r="AJ146" s="111">
        <f t="shared" si="8"/>
        <v>0.8</v>
      </c>
      <c r="AK146" s="111">
        <f t="shared" si="9"/>
        <v>1.2000000000000002</v>
      </c>
      <c r="AL146" s="2" t="s">
        <v>1669</v>
      </c>
      <c r="AM146" s="2" t="s">
        <v>488</v>
      </c>
      <c r="AN146" s="2" t="s">
        <v>1619</v>
      </c>
      <c r="AO146" s="2" t="s">
        <v>1023</v>
      </c>
    </row>
    <row r="147" spans="1:41" ht="45.95" hidden="1" customHeight="1" x14ac:dyDescent="0.25">
      <c r="A147" s="69" t="s">
        <v>505</v>
      </c>
      <c r="B147" s="69" t="s">
        <v>41</v>
      </c>
      <c r="C147" s="69" t="s">
        <v>55</v>
      </c>
      <c r="D147" s="70" t="s">
        <v>506</v>
      </c>
      <c r="E147" s="69" t="s">
        <v>832</v>
      </c>
      <c r="F147" s="69" t="s">
        <v>1685</v>
      </c>
      <c r="G147" s="69" t="s">
        <v>68</v>
      </c>
      <c r="H147" s="70" t="s">
        <v>1686</v>
      </c>
      <c r="I147" s="70" t="s">
        <v>1687</v>
      </c>
      <c r="J147" s="69">
        <v>10</v>
      </c>
      <c r="K147" s="69" t="s">
        <v>1028</v>
      </c>
      <c r="L147" s="11" t="s">
        <v>1139</v>
      </c>
      <c r="M147" s="7" t="s">
        <v>502</v>
      </c>
      <c r="N147" s="7" t="s">
        <v>504</v>
      </c>
      <c r="O147" s="7" t="s">
        <v>1688</v>
      </c>
      <c r="P147" s="12" t="s">
        <v>1689</v>
      </c>
      <c r="Q147" s="71" t="s">
        <v>1028</v>
      </c>
      <c r="R147" s="71"/>
      <c r="S147" s="74" t="s">
        <v>1011</v>
      </c>
      <c r="T147" s="74" t="s">
        <v>1690</v>
      </c>
      <c r="U147" s="74" t="s">
        <v>1691</v>
      </c>
      <c r="V147" s="71" t="s">
        <v>1688</v>
      </c>
      <c r="W147" s="71" t="s">
        <v>1692</v>
      </c>
      <c r="X147" s="74" t="s">
        <v>1015</v>
      </c>
      <c r="Y147" s="71" t="s">
        <v>776</v>
      </c>
      <c r="Z147" s="2" t="s">
        <v>1282</v>
      </c>
      <c r="AA147" s="2" t="s">
        <v>1283</v>
      </c>
      <c r="AB147" s="2" t="s">
        <v>1284</v>
      </c>
      <c r="AC147" s="2" t="s">
        <v>1285</v>
      </c>
      <c r="AD147" s="2" t="s">
        <v>1042</v>
      </c>
      <c r="AE147" s="2" t="s">
        <v>1139</v>
      </c>
      <c r="AF147" s="2" t="s">
        <v>1615</v>
      </c>
      <c r="AG147" s="2" t="s">
        <v>1616</v>
      </c>
      <c r="AH147" s="111">
        <v>10</v>
      </c>
      <c r="AI147" s="111">
        <v>1.5</v>
      </c>
      <c r="AJ147" s="111">
        <f t="shared" si="8"/>
        <v>1</v>
      </c>
      <c r="AK147" s="111">
        <f t="shared" si="9"/>
        <v>1.5</v>
      </c>
      <c r="AL147" s="2" t="s">
        <v>1665</v>
      </c>
      <c r="AM147" s="2" t="s">
        <v>1688</v>
      </c>
      <c r="AN147" s="2" t="s">
        <v>1619</v>
      </c>
      <c r="AO147" s="2" t="s">
        <v>1023</v>
      </c>
    </row>
    <row r="148" spans="1:41" ht="45.95" hidden="1" customHeight="1" x14ac:dyDescent="0.25">
      <c r="A148" s="69" t="s">
        <v>145</v>
      </c>
      <c r="B148" s="69" t="s">
        <v>41</v>
      </c>
      <c r="C148" s="69" t="s">
        <v>55</v>
      </c>
      <c r="D148" s="70" t="s">
        <v>501</v>
      </c>
      <c r="E148" s="69" t="s">
        <v>832</v>
      </c>
      <c r="F148" s="69" t="s">
        <v>1685</v>
      </c>
      <c r="G148" s="69" t="s">
        <v>67</v>
      </c>
      <c r="H148" s="70" t="s">
        <v>1693</v>
      </c>
      <c r="I148" s="70" t="s">
        <v>1694</v>
      </c>
      <c r="J148" s="69">
        <v>12</v>
      </c>
      <c r="K148" s="69" t="s">
        <v>1028</v>
      </c>
      <c r="L148" s="11" t="s">
        <v>1139</v>
      </c>
      <c r="M148" s="7" t="s">
        <v>502</v>
      </c>
      <c r="N148" s="7" t="s">
        <v>504</v>
      </c>
      <c r="O148" s="7" t="s">
        <v>1695</v>
      </c>
      <c r="P148" s="12" t="s">
        <v>1696</v>
      </c>
      <c r="Q148" s="71" t="s">
        <v>1028</v>
      </c>
      <c r="R148" s="71"/>
      <c r="S148" s="75" t="s">
        <v>1073</v>
      </c>
      <c r="T148" s="75" t="s">
        <v>1697</v>
      </c>
      <c r="U148" s="75" t="s">
        <v>1698</v>
      </c>
      <c r="V148" s="71" t="s">
        <v>1695</v>
      </c>
      <c r="W148" s="71" t="s">
        <v>1692</v>
      </c>
      <c r="X148" s="76" t="s">
        <v>1077</v>
      </c>
      <c r="Y148" s="71" t="s">
        <v>776</v>
      </c>
      <c r="Z148" s="2" t="s">
        <v>1282</v>
      </c>
      <c r="AA148" s="2" t="s">
        <v>1283</v>
      </c>
      <c r="AB148" s="2" t="s">
        <v>1284</v>
      </c>
      <c r="AC148" s="2" t="s">
        <v>1285</v>
      </c>
      <c r="AD148" s="2" t="s">
        <v>1042</v>
      </c>
      <c r="AE148" s="2" t="s">
        <v>1139</v>
      </c>
      <c r="AF148" s="2" t="s">
        <v>1615</v>
      </c>
      <c r="AG148" s="2" t="s">
        <v>1616</v>
      </c>
      <c r="AH148" s="111">
        <v>10</v>
      </c>
      <c r="AI148" s="111">
        <v>1.5</v>
      </c>
      <c r="AJ148" s="111">
        <f t="shared" si="8"/>
        <v>1.2</v>
      </c>
      <c r="AK148" s="111">
        <f t="shared" si="9"/>
        <v>1.7999999999999998</v>
      </c>
      <c r="AL148" s="2" t="s">
        <v>1665</v>
      </c>
      <c r="AM148" s="2" t="s">
        <v>1699</v>
      </c>
      <c r="AN148" s="2" t="s">
        <v>1619</v>
      </c>
      <c r="AO148" s="2" t="s">
        <v>1023</v>
      </c>
    </row>
    <row r="149" spans="1:41" ht="45.95" hidden="1" customHeight="1" x14ac:dyDescent="0.25">
      <c r="A149" s="69" t="s">
        <v>1700</v>
      </c>
      <c r="B149" s="69" t="s">
        <v>41</v>
      </c>
      <c r="C149" s="69" t="s">
        <v>55</v>
      </c>
      <c r="D149" s="70" t="s">
        <v>1701</v>
      </c>
      <c r="E149" s="69" t="s">
        <v>788</v>
      </c>
      <c r="F149" s="69" t="s">
        <v>1531</v>
      </c>
      <c r="G149" s="69" t="s">
        <v>68</v>
      </c>
      <c r="H149" s="70" t="s">
        <v>1702</v>
      </c>
      <c r="I149" s="70" t="s">
        <v>1703</v>
      </c>
      <c r="J149" s="69">
        <v>8</v>
      </c>
      <c r="K149" s="69" t="s">
        <v>1028</v>
      </c>
      <c r="L149" s="11" t="s">
        <v>1704</v>
      </c>
      <c r="M149" s="7" t="s">
        <v>90</v>
      </c>
      <c r="N149" s="7" t="s">
        <v>1705</v>
      </c>
      <c r="O149" s="7" t="s">
        <v>1706</v>
      </c>
      <c r="P149" s="12" t="s">
        <v>1707</v>
      </c>
      <c r="Q149" s="71" t="s">
        <v>1028</v>
      </c>
      <c r="R149" s="71"/>
      <c r="S149" s="75" t="s">
        <v>1073</v>
      </c>
      <c r="T149" s="75" t="s">
        <v>1708</v>
      </c>
      <c r="U149" s="75" t="s">
        <v>1709</v>
      </c>
      <c r="V149" s="71" t="s">
        <v>1706</v>
      </c>
      <c r="W149" s="71" t="s">
        <v>1014</v>
      </c>
      <c r="X149" s="76" t="s">
        <v>1077</v>
      </c>
      <c r="Y149" s="71" t="s">
        <v>776</v>
      </c>
      <c r="Z149" s="2" t="s">
        <v>1282</v>
      </c>
      <c r="AA149" s="2" t="s">
        <v>1283</v>
      </c>
      <c r="AB149" s="2" t="s">
        <v>1284</v>
      </c>
      <c r="AC149" s="2" t="s">
        <v>1285</v>
      </c>
      <c r="AD149" s="2" t="s">
        <v>1042</v>
      </c>
      <c r="AE149" s="2" t="s">
        <v>1017</v>
      </c>
      <c r="AF149" s="2" t="s">
        <v>1710</v>
      </c>
      <c r="AG149" s="2" t="s">
        <v>1029</v>
      </c>
      <c r="AH149" s="111">
        <v>9</v>
      </c>
      <c r="AI149" s="111">
        <v>1.5</v>
      </c>
      <c r="AJ149" s="111">
        <f t="shared" si="8"/>
        <v>0.88888888888888884</v>
      </c>
      <c r="AK149" s="111">
        <f t="shared" si="9"/>
        <v>1.3333333333333333</v>
      </c>
      <c r="AL149" s="2" t="s">
        <v>1665</v>
      </c>
      <c r="AM149" s="2" t="s">
        <v>1711</v>
      </c>
      <c r="AN149" s="2" t="s">
        <v>1712</v>
      </c>
      <c r="AO149" s="2" t="s">
        <v>1023</v>
      </c>
    </row>
    <row r="150" spans="1:41" ht="45.95" hidden="1" customHeight="1" x14ac:dyDescent="0.25">
      <c r="A150" s="69" t="s">
        <v>1713</v>
      </c>
      <c r="B150" s="69" t="s">
        <v>41</v>
      </c>
      <c r="C150" s="69" t="s">
        <v>55</v>
      </c>
      <c r="D150" s="70" t="s">
        <v>1714</v>
      </c>
      <c r="E150" s="69" t="s">
        <v>788</v>
      </c>
      <c r="F150" s="69" t="s">
        <v>1531</v>
      </c>
      <c r="G150" s="69" t="s">
        <v>68</v>
      </c>
      <c r="H150" s="70" t="s">
        <v>1715</v>
      </c>
      <c r="I150" s="70" t="s">
        <v>1716</v>
      </c>
      <c r="J150" s="69">
        <v>6</v>
      </c>
      <c r="K150" s="69" t="s">
        <v>1028</v>
      </c>
      <c r="L150" s="11" t="s">
        <v>1704</v>
      </c>
      <c r="M150" s="7" t="s">
        <v>90</v>
      </c>
      <c r="N150" s="7" t="s">
        <v>1705</v>
      </c>
      <c r="O150" s="7" t="s">
        <v>1717</v>
      </c>
      <c r="P150" s="12" t="s">
        <v>1491</v>
      </c>
      <c r="Q150" s="71" t="s">
        <v>1028</v>
      </c>
      <c r="R150" s="71"/>
      <c r="S150" s="71" t="s">
        <v>774</v>
      </c>
      <c r="T150" s="71"/>
      <c r="U150" s="71"/>
      <c r="V150" s="71" t="s">
        <v>1717</v>
      </c>
      <c r="W150" s="71" t="s">
        <v>1014</v>
      </c>
      <c r="X150" s="71" t="s">
        <v>775</v>
      </c>
      <c r="Y150" s="71" t="s">
        <v>776</v>
      </c>
      <c r="Z150" s="2" t="s">
        <v>1282</v>
      </c>
      <c r="AA150" s="2" t="s">
        <v>1283</v>
      </c>
      <c r="AB150" s="2" t="s">
        <v>1284</v>
      </c>
      <c r="AC150" s="2" t="s">
        <v>1285</v>
      </c>
      <c r="AD150" s="2" t="s">
        <v>1042</v>
      </c>
      <c r="AE150" s="2" t="s">
        <v>1017</v>
      </c>
      <c r="AF150" s="2" t="s">
        <v>1710</v>
      </c>
      <c r="AG150" s="2" t="s">
        <v>1029</v>
      </c>
      <c r="AH150" s="111">
        <v>9</v>
      </c>
      <c r="AI150" s="111">
        <v>1.5</v>
      </c>
      <c r="AJ150" s="111">
        <f t="shared" si="8"/>
        <v>0.66666666666666663</v>
      </c>
      <c r="AK150" s="111">
        <f t="shared" si="9"/>
        <v>1</v>
      </c>
      <c r="AL150" s="2" t="s">
        <v>1665</v>
      </c>
      <c r="AM150" s="2" t="s">
        <v>1717</v>
      </c>
      <c r="AN150" s="2" t="s">
        <v>1712</v>
      </c>
      <c r="AO150" s="2" t="s">
        <v>1023</v>
      </c>
    </row>
    <row r="151" spans="1:41" ht="45.95" hidden="1" customHeight="1" x14ac:dyDescent="0.25">
      <c r="A151" s="69" t="s">
        <v>206</v>
      </c>
      <c r="B151" s="69" t="s">
        <v>41</v>
      </c>
      <c r="C151" s="69" t="s">
        <v>55</v>
      </c>
      <c r="D151" s="70" t="s">
        <v>1718</v>
      </c>
      <c r="E151" s="69" t="s">
        <v>820</v>
      </c>
      <c r="F151" s="69" t="s">
        <v>837</v>
      </c>
      <c r="G151" s="69" t="s">
        <v>67</v>
      </c>
      <c r="H151" s="70" t="s">
        <v>1719</v>
      </c>
      <c r="I151" s="70" t="s">
        <v>1720</v>
      </c>
      <c r="J151" s="69">
        <v>12</v>
      </c>
      <c r="K151" s="69" t="s">
        <v>1028</v>
      </c>
      <c r="L151" s="11" t="s">
        <v>1721</v>
      </c>
      <c r="M151" s="7" t="s">
        <v>1722</v>
      </c>
      <c r="N151" s="7" t="s">
        <v>1723</v>
      </c>
      <c r="O151" s="7" t="s">
        <v>1724</v>
      </c>
      <c r="P151" s="12" t="s">
        <v>1725</v>
      </c>
      <c r="Q151" s="71" t="s">
        <v>1028</v>
      </c>
      <c r="R151" s="71"/>
      <c r="S151" s="75" t="s">
        <v>1073</v>
      </c>
      <c r="T151" s="75" t="s">
        <v>1726</v>
      </c>
      <c r="U151" s="75" t="s">
        <v>1727</v>
      </c>
      <c r="V151" s="71" t="s">
        <v>1724</v>
      </c>
      <c r="W151" s="71" t="s">
        <v>1722</v>
      </c>
      <c r="X151" s="76" t="s">
        <v>1077</v>
      </c>
      <c r="Y151" s="71" t="s">
        <v>776</v>
      </c>
      <c r="Z151" s="2" t="s">
        <v>1282</v>
      </c>
      <c r="AA151" s="2" t="s">
        <v>1283</v>
      </c>
      <c r="AB151" s="2" t="s">
        <v>1284</v>
      </c>
      <c r="AC151" s="2" t="s">
        <v>1285</v>
      </c>
      <c r="AD151" s="2" t="s">
        <v>1042</v>
      </c>
      <c r="AE151" s="2" t="s">
        <v>1050</v>
      </c>
      <c r="AF151" s="2" t="s">
        <v>1728</v>
      </c>
      <c r="AG151" s="2" t="s">
        <v>1227</v>
      </c>
      <c r="AH151" s="111">
        <v>5</v>
      </c>
      <c r="AI151" s="111">
        <v>1.7</v>
      </c>
      <c r="AJ151" s="111">
        <f t="shared" si="8"/>
        <v>2.4</v>
      </c>
      <c r="AK151" s="111">
        <f t="shared" si="9"/>
        <v>4.08</v>
      </c>
      <c r="AL151" s="2" t="s">
        <v>1665</v>
      </c>
      <c r="AM151" s="2" t="s">
        <v>1729</v>
      </c>
      <c r="AN151" s="2" t="s">
        <v>1730</v>
      </c>
      <c r="AO151" s="2" t="s">
        <v>1731</v>
      </c>
    </row>
    <row r="152" spans="1:41" ht="45.95" hidden="1" customHeight="1" x14ac:dyDescent="0.25">
      <c r="A152" s="69" t="s">
        <v>1732</v>
      </c>
      <c r="B152" s="69" t="s">
        <v>59</v>
      </c>
      <c r="C152" s="69" t="s">
        <v>58</v>
      </c>
      <c r="D152" s="70" t="s">
        <v>1733</v>
      </c>
      <c r="E152" s="69" t="s">
        <v>826</v>
      </c>
      <c r="F152" s="69" t="s">
        <v>1734</v>
      </c>
      <c r="G152" s="69" t="s">
        <v>67</v>
      </c>
      <c r="H152" s="70" t="s">
        <v>1735</v>
      </c>
      <c r="I152" s="70" t="s">
        <v>1736</v>
      </c>
      <c r="J152" s="69">
        <v>12</v>
      </c>
      <c r="K152" s="69" t="s">
        <v>1028</v>
      </c>
      <c r="L152" s="11" t="s">
        <v>1737</v>
      </c>
      <c r="M152" s="7" t="s">
        <v>1279</v>
      </c>
      <c r="N152" s="7" t="s">
        <v>1738</v>
      </c>
      <c r="O152" s="7" t="s">
        <v>1739</v>
      </c>
      <c r="P152" s="12" t="s">
        <v>772</v>
      </c>
      <c r="Q152" s="71" t="s">
        <v>1028</v>
      </c>
      <c r="R152" s="71"/>
      <c r="S152" s="71" t="s">
        <v>774</v>
      </c>
      <c r="T152" s="71"/>
      <c r="U152" s="71"/>
      <c r="V152" s="71" t="s">
        <v>1739</v>
      </c>
      <c r="W152" s="71" t="s">
        <v>1279</v>
      </c>
      <c r="X152" s="71" t="s">
        <v>775</v>
      </c>
      <c r="Y152" s="71" t="s">
        <v>776</v>
      </c>
      <c r="Z152" s="2" t="s">
        <v>1740</v>
      </c>
      <c r="AA152" s="2" t="s">
        <v>1741</v>
      </c>
      <c r="AB152" s="2" t="s">
        <v>1742</v>
      </c>
      <c r="AC152" s="2" t="s">
        <v>1743</v>
      </c>
      <c r="AD152" s="2" t="s">
        <v>1042</v>
      </c>
      <c r="AE152" s="2" t="s">
        <v>1050</v>
      </c>
      <c r="AF152" s="2" t="s">
        <v>1744</v>
      </c>
      <c r="AG152" s="2" t="s">
        <v>1745</v>
      </c>
      <c r="AH152" s="111">
        <v>3</v>
      </c>
      <c r="AI152" s="111">
        <v>1.8</v>
      </c>
      <c r="AJ152" s="111">
        <f t="shared" si="8"/>
        <v>4</v>
      </c>
      <c r="AK152" s="111">
        <f t="shared" si="9"/>
        <v>7.2</v>
      </c>
      <c r="AL152" s="2" t="s">
        <v>1746</v>
      </c>
      <c r="AM152" s="2" t="s">
        <v>1747</v>
      </c>
      <c r="AN152" s="2" t="s">
        <v>1748</v>
      </c>
      <c r="AO152" s="2" t="s">
        <v>1023</v>
      </c>
    </row>
    <row r="153" spans="1:41" ht="45.95" hidden="1" customHeight="1" x14ac:dyDescent="0.25">
      <c r="A153" s="69" t="s">
        <v>1749</v>
      </c>
      <c r="B153" s="69" t="s">
        <v>59</v>
      </c>
      <c r="C153" s="69" t="s">
        <v>58</v>
      </c>
      <c r="D153" s="70" t="s">
        <v>1750</v>
      </c>
      <c r="E153" s="69" t="s">
        <v>806</v>
      </c>
      <c r="F153" s="69" t="s">
        <v>1734</v>
      </c>
      <c r="G153" s="69" t="s">
        <v>67</v>
      </c>
      <c r="H153" s="70" t="s">
        <v>1751</v>
      </c>
      <c r="I153" s="70" t="s">
        <v>1752</v>
      </c>
      <c r="J153" s="69">
        <v>12</v>
      </c>
      <c r="K153" s="69" t="s">
        <v>1028</v>
      </c>
      <c r="L153" s="11" t="s">
        <v>1737</v>
      </c>
      <c r="M153" s="7" t="s">
        <v>1279</v>
      </c>
      <c r="N153" s="7" t="s">
        <v>1738</v>
      </c>
      <c r="O153" s="7" t="s">
        <v>1739</v>
      </c>
      <c r="P153" s="12" t="s">
        <v>772</v>
      </c>
      <c r="Q153" s="71" t="s">
        <v>1028</v>
      </c>
      <c r="R153" s="71"/>
      <c r="S153" s="71" t="s">
        <v>774</v>
      </c>
      <c r="T153" s="71"/>
      <c r="U153" s="71"/>
      <c r="V153" s="71" t="s">
        <v>1739</v>
      </c>
      <c r="W153" s="71" t="s">
        <v>1279</v>
      </c>
      <c r="X153" s="71" t="s">
        <v>775</v>
      </c>
      <c r="Y153" s="71" t="s">
        <v>776</v>
      </c>
      <c r="Z153" s="2" t="s">
        <v>1740</v>
      </c>
      <c r="AA153" s="2" t="s">
        <v>1741</v>
      </c>
      <c r="AB153" s="2" t="s">
        <v>1742</v>
      </c>
      <c r="AC153" s="2" t="s">
        <v>1743</v>
      </c>
      <c r="AD153" s="2" t="s">
        <v>1042</v>
      </c>
      <c r="AE153" s="2" t="s">
        <v>1050</v>
      </c>
      <c r="AF153" s="2" t="s">
        <v>1744</v>
      </c>
      <c r="AG153" s="2" t="s">
        <v>1745</v>
      </c>
      <c r="AH153" s="111">
        <v>3</v>
      </c>
      <c r="AI153" s="111">
        <v>1.8</v>
      </c>
      <c r="AJ153" s="111">
        <f t="shared" si="8"/>
        <v>4</v>
      </c>
      <c r="AK153" s="111">
        <f t="shared" si="9"/>
        <v>7.2</v>
      </c>
      <c r="AL153" s="2" t="s">
        <v>1746</v>
      </c>
      <c r="AM153" s="2" t="s">
        <v>1747</v>
      </c>
      <c r="AN153" s="2" t="s">
        <v>1748</v>
      </c>
      <c r="AO153" s="2" t="s">
        <v>1023</v>
      </c>
    </row>
    <row r="154" spans="1:41" ht="45.95" hidden="1" customHeight="1" x14ac:dyDescent="0.25">
      <c r="A154" s="69" t="s">
        <v>1753</v>
      </c>
      <c r="B154" s="69" t="s">
        <v>59</v>
      </c>
      <c r="C154" s="69" t="s">
        <v>58</v>
      </c>
      <c r="D154" s="70" t="s">
        <v>1754</v>
      </c>
      <c r="E154" s="69" t="s">
        <v>826</v>
      </c>
      <c r="F154" s="69" t="s">
        <v>1755</v>
      </c>
      <c r="G154" s="69" t="s">
        <v>67</v>
      </c>
      <c r="H154" s="70" t="s">
        <v>1756</v>
      </c>
      <c r="I154" s="70" t="s">
        <v>1757</v>
      </c>
      <c r="J154" s="69">
        <v>12</v>
      </c>
      <c r="K154" s="69" t="s">
        <v>1028</v>
      </c>
      <c r="L154" s="11" t="s">
        <v>1737</v>
      </c>
      <c r="M154" s="7" t="s">
        <v>1279</v>
      </c>
      <c r="N154" s="7" t="s">
        <v>1738</v>
      </c>
      <c r="O154" s="7" t="s">
        <v>1739</v>
      </c>
      <c r="P154" s="12" t="s">
        <v>772</v>
      </c>
      <c r="Q154" s="71" t="s">
        <v>1028</v>
      </c>
      <c r="R154" s="71"/>
      <c r="S154" s="71" t="s">
        <v>774</v>
      </c>
      <c r="T154" s="71"/>
      <c r="U154" s="71"/>
      <c r="V154" s="71" t="s">
        <v>1739</v>
      </c>
      <c r="W154" s="71" t="s">
        <v>1279</v>
      </c>
      <c r="X154" s="71" t="s">
        <v>775</v>
      </c>
      <c r="Y154" s="71" t="s">
        <v>776</v>
      </c>
      <c r="Z154" s="2" t="s">
        <v>1740</v>
      </c>
      <c r="AA154" s="2" t="s">
        <v>1741</v>
      </c>
      <c r="AB154" s="2" t="s">
        <v>1742</v>
      </c>
      <c r="AC154" s="2" t="s">
        <v>1743</v>
      </c>
      <c r="AD154" s="2" t="s">
        <v>1042</v>
      </c>
      <c r="AE154" s="2" t="s">
        <v>1050</v>
      </c>
      <c r="AF154" s="2" t="s">
        <v>1744</v>
      </c>
      <c r="AG154" s="2" t="s">
        <v>1745</v>
      </c>
      <c r="AH154" s="111">
        <v>3</v>
      </c>
      <c r="AI154" s="111">
        <v>1.8</v>
      </c>
      <c r="AJ154" s="111">
        <f t="shared" si="8"/>
        <v>4</v>
      </c>
      <c r="AK154" s="111">
        <f t="shared" si="9"/>
        <v>7.2</v>
      </c>
      <c r="AL154" s="2" t="s">
        <v>1746</v>
      </c>
      <c r="AM154" s="2" t="s">
        <v>1747</v>
      </c>
      <c r="AN154" s="2" t="s">
        <v>1748</v>
      </c>
      <c r="AO154" s="2" t="s">
        <v>1023</v>
      </c>
    </row>
    <row r="155" spans="1:41" ht="45.95" hidden="1" customHeight="1" x14ac:dyDescent="0.25">
      <c r="A155" s="69" t="s">
        <v>1758</v>
      </c>
      <c r="B155" s="69" t="s">
        <v>59</v>
      </c>
      <c r="C155" s="69" t="s">
        <v>58</v>
      </c>
      <c r="D155" s="70" t="s">
        <v>1759</v>
      </c>
      <c r="E155" s="69" t="s">
        <v>806</v>
      </c>
      <c r="F155" s="69" t="s">
        <v>1760</v>
      </c>
      <c r="G155" s="69" t="s">
        <v>68</v>
      </c>
      <c r="H155" s="70" t="s">
        <v>1761</v>
      </c>
      <c r="I155" s="70" t="s">
        <v>1762</v>
      </c>
      <c r="J155" s="69">
        <v>12</v>
      </c>
      <c r="K155" s="69" t="s">
        <v>1028</v>
      </c>
      <c r="L155" s="11" t="s">
        <v>1737</v>
      </c>
      <c r="M155" s="7" t="s">
        <v>1279</v>
      </c>
      <c r="N155" s="7" t="s">
        <v>1738</v>
      </c>
      <c r="O155" s="7" t="s">
        <v>1739</v>
      </c>
      <c r="P155" s="12" t="s">
        <v>772</v>
      </c>
      <c r="Q155" s="71" t="s">
        <v>1028</v>
      </c>
      <c r="R155" s="71"/>
      <c r="S155" s="71" t="s">
        <v>774</v>
      </c>
      <c r="T155" s="71"/>
      <c r="U155" s="71"/>
      <c r="V155" s="71" t="s">
        <v>1739</v>
      </c>
      <c r="W155" s="71" t="s">
        <v>1279</v>
      </c>
      <c r="X155" s="71" t="s">
        <v>775</v>
      </c>
      <c r="Y155" s="71" t="s">
        <v>776</v>
      </c>
      <c r="Z155" s="2" t="s">
        <v>1740</v>
      </c>
      <c r="AA155" s="2" t="s">
        <v>1741</v>
      </c>
      <c r="AB155" s="2" t="s">
        <v>1742</v>
      </c>
      <c r="AC155" s="2" t="s">
        <v>1743</v>
      </c>
      <c r="AD155" s="2" t="s">
        <v>1042</v>
      </c>
      <c r="AE155" s="2" t="s">
        <v>1050</v>
      </c>
      <c r="AF155" s="2" t="s">
        <v>1744</v>
      </c>
      <c r="AG155" s="2" t="s">
        <v>1745</v>
      </c>
      <c r="AH155" s="111">
        <v>3</v>
      </c>
      <c r="AI155" s="111">
        <v>1.8</v>
      </c>
      <c r="AJ155" s="111">
        <f t="shared" si="8"/>
        <v>4</v>
      </c>
      <c r="AK155" s="111">
        <f t="shared" si="9"/>
        <v>7.2</v>
      </c>
      <c r="AL155" s="2" t="s">
        <v>1746</v>
      </c>
      <c r="AM155" s="2" t="s">
        <v>1747</v>
      </c>
      <c r="AN155" s="2" t="s">
        <v>1748</v>
      </c>
      <c r="AO155" s="2" t="s">
        <v>1023</v>
      </c>
    </row>
    <row r="156" spans="1:41" ht="45.95" hidden="1" customHeight="1" x14ac:dyDescent="0.25">
      <c r="A156" s="69" t="s">
        <v>528</v>
      </c>
      <c r="B156" s="69" t="s">
        <v>59</v>
      </c>
      <c r="C156" s="69" t="s">
        <v>58</v>
      </c>
      <c r="D156" s="70" t="s">
        <v>529</v>
      </c>
      <c r="E156" s="69" t="s">
        <v>793</v>
      </c>
      <c r="F156" s="69" t="s">
        <v>1760</v>
      </c>
      <c r="G156" s="69" t="s">
        <v>68</v>
      </c>
      <c r="H156" s="70" t="s">
        <v>1763</v>
      </c>
      <c r="I156" s="70" t="s">
        <v>1764</v>
      </c>
      <c r="J156" s="69">
        <v>12</v>
      </c>
      <c r="K156" s="69" t="s">
        <v>1028</v>
      </c>
      <c r="L156" s="11" t="s">
        <v>1570</v>
      </c>
      <c r="M156" s="7" t="s">
        <v>530</v>
      </c>
      <c r="N156" s="7" t="s">
        <v>532</v>
      </c>
      <c r="O156" s="7" t="s">
        <v>531</v>
      </c>
      <c r="P156" s="12" t="s">
        <v>1491</v>
      </c>
      <c r="Q156" s="71" t="s">
        <v>1028</v>
      </c>
      <c r="R156" s="71"/>
      <c r="S156" s="74" t="s">
        <v>1011</v>
      </c>
      <c r="T156" s="74" t="s">
        <v>1477</v>
      </c>
      <c r="U156" s="74" t="s">
        <v>1478</v>
      </c>
      <c r="V156" s="71" t="s">
        <v>531</v>
      </c>
      <c r="W156" s="71" t="s">
        <v>530</v>
      </c>
      <c r="X156" s="74" t="s">
        <v>1015</v>
      </c>
      <c r="Y156" s="71" t="s">
        <v>776</v>
      </c>
      <c r="Z156" s="2" t="s">
        <v>1740</v>
      </c>
      <c r="AA156" s="2" t="s">
        <v>1741</v>
      </c>
      <c r="AB156" s="2" t="s">
        <v>1742</v>
      </c>
      <c r="AC156" s="2" t="s">
        <v>1743</v>
      </c>
      <c r="AD156" s="2" t="s">
        <v>1042</v>
      </c>
      <c r="AE156" s="2" t="s">
        <v>1139</v>
      </c>
      <c r="AF156" s="2" t="s">
        <v>1765</v>
      </c>
      <c r="AG156" s="2" t="s">
        <v>1766</v>
      </c>
      <c r="AH156" s="111">
        <v>5</v>
      </c>
      <c r="AI156" s="111">
        <v>1.8</v>
      </c>
      <c r="AJ156" s="111">
        <f t="shared" si="8"/>
        <v>2.4</v>
      </c>
      <c r="AK156" s="111">
        <f t="shared" si="9"/>
        <v>4.32</v>
      </c>
      <c r="AL156" s="2" t="s">
        <v>1746</v>
      </c>
      <c r="AM156" s="2" t="s">
        <v>1767</v>
      </c>
      <c r="AN156" s="2" t="s">
        <v>1768</v>
      </c>
      <c r="AO156" s="2" t="s">
        <v>1023</v>
      </c>
    </row>
    <row r="157" spans="1:41" ht="45.95" hidden="1" customHeight="1" x14ac:dyDescent="0.25">
      <c r="A157" s="69" t="s">
        <v>1769</v>
      </c>
      <c r="B157" s="69" t="s">
        <v>59</v>
      </c>
      <c r="C157" s="69" t="s">
        <v>58</v>
      </c>
      <c r="D157" s="70" t="s">
        <v>1770</v>
      </c>
      <c r="E157" s="69" t="s">
        <v>788</v>
      </c>
      <c r="F157" s="69" t="s">
        <v>1771</v>
      </c>
      <c r="G157" s="69" t="s">
        <v>68</v>
      </c>
      <c r="H157" s="70" t="s">
        <v>1772</v>
      </c>
      <c r="I157" s="70" t="s">
        <v>1773</v>
      </c>
      <c r="J157" s="69">
        <v>12</v>
      </c>
      <c r="K157" s="69" t="s">
        <v>1028</v>
      </c>
      <c r="L157" s="11" t="s">
        <v>1737</v>
      </c>
      <c r="M157" s="7" t="s">
        <v>1279</v>
      </c>
      <c r="N157" s="7" t="s">
        <v>1738</v>
      </c>
      <c r="O157" s="7" t="s">
        <v>1739</v>
      </c>
      <c r="P157" s="12" t="s">
        <v>772</v>
      </c>
      <c r="Q157" s="71" t="s">
        <v>1028</v>
      </c>
      <c r="R157" s="71"/>
      <c r="S157" s="71" t="s">
        <v>774</v>
      </c>
      <c r="T157" s="71"/>
      <c r="U157" s="71"/>
      <c r="V157" s="71" t="s">
        <v>1739</v>
      </c>
      <c r="W157" s="71" t="s">
        <v>1279</v>
      </c>
      <c r="X157" s="71" t="s">
        <v>775</v>
      </c>
      <c r="Y157" s="71" t="s">
        <v>776</v>
      </c>
      <c r="Z157" s="2" t="s">
        <v>1740</v>
      </c>
      <c r="AA157" s="2" t="s">
        <v>1741</v>
      </c>
      <c r="AB157" s="2" t="s">
        <v>1742</v>
      </c>
      <c r="AC157" s="2" t="s">
        <v>1743</v>
      </c>
      <c r="AD157" s="2" t="s">
        <v>1042</v>
      </c>
      <c r="AE157" s="2" t="s">
        <v>1017</v>
      </c>
      <c r="AF157" s="2" t="s">
        <v>1774</v>
      </c>
      <c r="AG157" s="2" t="s">
        <v>1745</v>
      </c>
      <c r="AH157" s="111">
        <v>3</v>
      </c>
      <c r="AI157" s="111">
        <v>1.8</v>
      </c>
      <c r="AJ157" s="111">
        <f t="shared" si="8"/>
        <v>4</v>
      </c>
      <c r="AK157" s="111">
        <f t="shared" si="9"/>
        <v>7.2</v>
      </c>
      <c r="AL157" s="2" t="s">
        <v>1746</v>
      </c>
      <c r="AM157" s="2" t="s">
        <v>1747</v>
      </c>
      <c r="AN157" s="2" t="s">
        <v>1775</v>
      </c>
      <c r="AO157" s="2" t="s">
        <v>1023</v>
      </c>
    </row>
    <row r="158" spans="1:41" ht="45.95" hidden="1" customHeight="1" x14ac:dyDescent="0.25">
      <c r="A158" s="69" t="s">
        <v>521</v>
      </c>
      <c r="B158" s="69" t="s">
        <v>59</v>
      </c>
      <c r="C158" s="69" t="s">
        <v>58</v>
      </c>
      <c r="D158" s="70" t="s">
        <v>522</v>
      </c>
      <c r="E158" s="69" t="s">
        <v>1201</v>
      </c>
      <c r="F158" s="69" t="s">
        <v>1776</v>
      </c>
      <c r="G158" s="69" t="s">
        <v>68</v>
      </c>
      <c r="H158" s="70" t="s">
        <v>1777</v>
      </c>
      <c r="I158" s="70" t="s">
        <v>1778</v>
      </c>
      <c r="J158" s="69">
        <v>12</v>
      </c>
      <c r="K158" s="69" t="s">
        <v>1028</v>
      </c>
      <c r="L158" s="11" t="s">
        <v>1139</v>
      </c>
      <c r="M158" s="7" t="s">
        <v>523</v>
      </c>
      <c r="N158" s="7" t="s">
        <v>525</v>
      </c>
      <c r="O158" s="7" t="s">
        <v>524</v>
      </c>
      <c r="P158" s="12" t="s">
        <v>1491</v>
      </c>
      <c r="Q158" s="71" t="s">
        <v>1028</v>
      </c>
      <c r="R158" s="71"/>
      <c r="S158" s="74" t="s">
        <v>1011</v>
      </c>
      <c r="T158" s="74" t="s">
        <v>1779</v>
      </c>
      <c r="U158" s="74" t="s">
        <v>1780</v>
      </c>
      <c r="V158" s="71" t="s">
        <v>524</v>
      </c>
      <c r="W158" s="71" t="s">
        <v>523</v>
      </c>
      <c r="X158" s="74" t="s">
        <v>1015</v>
      </c>
      <c r="Y158" s="71" t="s">
        <v>776</v>
      </c>
      <c r="Z158" s="2" t="s">
        <v>1740</v>
      </c>
      <c r="AA158" s="2" t="s">
        <v>1741</v>
      </c>
      <c r="AB158" s="2" t="s">
        <v>1742</v>
      </c>
      <c r="AC158" s="2" t="s">
        <v>1743</v>
      </c>
      <c r="AD158" s="2" t="s">
        <v>1042</v>
      </c>
      <c r="AE158" s="2" t="s">
        <v>1139</v>
      </c>
      <c r="AF158" s="2" t="s">
        <v>1765</v>
      </c>
      <c r="AG158" s="2" t="s">
        <v>1766</v>
      </c>
      <c r="AH158" s="111">
        <v>5</v>
      </c>
      <c r="AI158" s="111">
        <v>1.8</v>
      </c>
      <c r="AJ158" s="111">
        <f t="shared" si="8"/>
        <v>2.4</v>
      </c>
      <c r="AK158" s="111">
        <f t="shared" si="9"/>
        <v>4.32</v>
      </c>
      <c r="AL158" s="2" t="s">
        <v>1746</v>
      </c>
      <c r="AM158" s="2" t="s">
        <v>1781</v>
      </c>
      <c r="AN158" s="2" t="s">
        <v>1768</v>
      </c>
      <c r="AO158" s="2" t="s">
        <v>1023</v>
      </c>
    </row>
    <row r="159" spans="1:41" ht="45.95" hidden="1" customHeight="1" x14ac:dyDescent="0.25">
      <c r="A159" s="69" t="s">
        <v>526</v>
      </c>
      <c r="B159" s="69" t="s">
        <v>59</v>
      </c>
      <c r="C159" s="69" t="s">
        <v>58</v>
      </c>
      <c r="D159" s="70" t="s">
        <v>527</v>
      </c>
      <c r="E159" s="69" t="s">
        <v>1201</v>
      </c>
      <c r="F159" s="69" t="s">
        <v>1675</v>
      </c>
      <c r="G159" s="69" t="s">
        <v>68</v>
      </c>
      <c r="H159" s="70" t="s">
        <v>1782</v>
      </c>
      <c r="I159" s="70" t="s">
        <v>1783</v>
      </c>
      <c r="J159" s="69">
        <v>12</v>
      </c>
      <c r="K159" s="69" t="s">
        <v>1028</v>
      </c>
      <c r="L159" s="11" t="s">
        <v>1139</v>
      </c>
      <c r="M159" s="7" t="s">
        <v>523</v>
      </c>
      <c r="N159" s="7" t="s">
        <v>525</v>
      </c>
      <c r="O159" s="7" t="s">
        <v>524</v>
      </c>
      <c r="P159" s="12" t="s">
        <v>1491</v>
      </c>
      <c r="Q159" s="71" t="s">
        <v>1028</v>
      </c>
      <c r="R159" s="71"/>
      <c r="S159" s="71" t="s">
        <v>774</v>
      </c>
      <c r="T159" s="71"/>
      <c r="U159" s="71"/>
      <c r="V159" s="71" t="s">
        <v>524</v>
      </c>
      <c r="W159" s="71" t="s">
        <v>523</v>
      </c>
      <c r="X159" s="71" t="s">
        <v>775</v>
      </c>
      <c r="Y159" s="71" t="s">
        <v>776</v>
      </c>
      <c r="Z159" s="2" t="s">
        <v>1740</v>
      </c>
      <c r="AA159" s="2" t="s">
        <v>1741</v>
      </c>
      <c r="AB159" s="2" t="s">
        <v>1742</v>
      </c>
      <c r="AC159" s="2" t="s">
        <v>1743</v>
      </c>
      <c r="AD159" s="2" t="s">
        <v>1042</v>
      </c>
      <c r="AE159" s="2" t="s">
        <v>1139</v>
      </c>
      <c r="AF159" s="2" t="s">
        <v>1765</v>
      </c>
      <c r="AG159" s="2" t="s">
        <v>1766</v>
      </c>
      <c r="AH159" s="111">
        <v>5</v>
      </c>
      <c r="AI159" s="111">
        <v>1.8</v>
      </c>
      <c r="AJ159" s="111">
        <f t="shared" si="8"/>
        <v>2.4</v>
      </c>
      <c r="AK159" s="111">
        <f t="shared" si="9"/>
        <v>4.32</v>
      </c>
      <c r="AL159" s="2" t="s">
        <v>1746</v>
      </c>
      <c r="AM159" s="2" t="s">
        <v>1781</v>
      </c>
      <c r="AN159" s="2" t="s">
        <v>1768</v>
      </c>
      <c r="AO159" s="2" t="s">
        <v>1023</v>
      </c>
    </row>
    <row r="160" spans="1:41" ht="45.95" hidden="1" customHeight="1" x14ac:dyDescent="0.25">
      <c r="A160" s="69" t="s">
        <v>533</v>
      </c>
      <c r="B160" s="69" t="s">
        <v>59</v>
      </c>
      <c r="C160" s="69" t="s">
        <v>62</v>
      </c>
      <c r="D160" s="70" t="s">
        <v>534</v>
      </c>
      <c r="E160" s="69" t="s">
        <v>793</v>
      </c>
      <c r="F160" s="69" t="s">
        <v>1784</v>
      </c>
      <c r="G160" s="69" t="s">
        <v>67</v>
      </c>
      <c r="H160" s="70" t="s">
        <v>1785</v>
      </c>
      <c r="I160" s="70" t="s">
        <v>1786</v>
      </c>
      <c r="J160" s="69">
        <v>12</v>
      </c>
      <c r="K160" s="69" t="s">
        <v>1028</v>
      </c>
      <c r="L160" s="11" t="s">
        <v>1570</v>
      </c>
      <c r="M160" s="7" t="s">
        <v>530</v>
      </c>
      <c r="N160" s="7" t="s">
        <v>532</v>
      </c>
      <c r="O160" s="7" t="s">
        <v>531</v>
      </c>
      <c r="P160" s="12" t="s">
        <v>1491</v>
      </c>
      <c r="Q160" s="71" t="s">
        <v>1028</v>
      </c>
      <c r="R160" s="71"/>
      <c r="S160" s="74" t="s">
        <v>1011</v>
      </c>
      <c r="T160" s="74" t="s">
        <v>1787</v>
      </c>
      <c r="U160" s="74" t="s">
        <v>1788</v>
      </c>
      <c r="V160" s="71" t="s">
        <v>531</v>
      </c>
      <c r="W160" s="71" t="s">
        <v>530</v>
      </c>
      <c r="X160" s="74" t="s">
        <v>1015</v>
      </c>
      <c r="Y160" s="71" t="s">
        <v>776</v>
      </c>
      <c r="Z160" s="2" t="s">
        <v>1740</v>
      </c>
      <c r="AA160" s="2" t="s">
        <v>1741</v>
      </c>
      <c r="AB160" s="2" t="s">
        <v>1742</v>
      </c>
      <c r="AC160" s="2" t="s">
        <v>1743</v>
      </c>
      <c r="AD160" s="2" t="s">
        <v>1042</v>
      </c>
      <c r="AE160" s="2" t="s">
        <v>1139</v>
      </c>
      <c r="AF160" s="2" t="s">
        <v>1765</v>
      </c>
      <c r="AG160" s="2" t="s">
        <v>1766</v>
      </c>
      <c r="AH160" s="111">
        <v>5</v>
      </c>
      <c r="AI160" s="111">
        <v>1.8</v>
      </c>
      <c r="AJ160" s="111">
        <f t="shared" si="8"/>
        <v>2.4</v>
      </c>
      <c r="AK160" s="111">
        <f t="shared" si="9"/>
        <v>4.32</v>
      </c>
      <c r="AL160" s="2" t="s">
        <v>1746</v>
      </c>
      <c r="AM160" s="2" t="s">
        <v>1767</v>
      </c>
      <c r="AN160" s="2" t="s">
        <v>1768</v>
      </c>
      <c r="AO160" s="2" t="s">
        <v>1023</v>
      </c>
    </row>
    <row r="161" spans="1:41" ht="45.95" hidden="1" customHeight="1" x14ac:dyDescent="0.25">
      <c r="A161" s="69" t="s">
        <v>1789</v>
      </c>
      <c r="B161" s="69" t="s">
        <v>59</v>
      </c>
      <c r="C161" s="69" t="s">
        <v>62</v>
      </c>
      <c r="D161" s="70" t="s">
        <v>1790</v>
      </c>
      <c r="E161" s="69" t="s">
        <v>793</v>
      </c>
      <c r="F161" s="69" t="s">
        <v>1791</v>
      </c>
      <c r="G161" s="69" t="s">
        <v>67</v>
      </c>
      <c r="H161" s="70" t="s">
        <v>1792</v>
      </c>
      <c r="I161" s="70" t="s">
        <v>1793</v>
      </c>
      <c r="J161" s="69">
        <v>12</v>
      </c>
      <c r="K161" s="69" t="s">
        <v>1028</v>
      </c>
      <c r="L161" s="11" t="s">
        <v>1737</v>
      </c>
      <c r="M161" s="7" t="s">
        <v>1279</v>
      </c>
      <c r="N161" s="7" t="s">
        <v>1738</v>
      </c>
      <c r="O161" s="7" t="s">
        <v>1739</v>
      </c>
      <c r="P161" s="12" t="s">
        <v>772</v>
      </c>
      <c r="Q161" s="71" t="s">
        <v>1028</v>
      </c>
      <c r="R161" s="71"/>
      <c r="S161" s="71" t="s">
        <v>774</v>
      </c>
      <c r="T161" s="71"/>
      <c r="U161" s="71"/>
      <c r="V161" s="71" t="s">
        <v>1739</v>
      </c>
      <c r="W161" s="71" t="s">
        <v>1279</v>
      </c>
      <c r="X161" s="71" t="s">
        <v>775</v>
      </c>
      <c r="Y161" s="71" t="s">
        <v>776</v>
      </c>
      <c r="Z161" s="2" t="s">
        <v>1740</v>
      </c>
      <c r="AA161" s="2" t="s">
        <v>1741</v>
      </c>
      <c r="AB161" s="2" t="s">
        <v>1742</v>
      </c>
      <c r="AC161" s="2" t="s">
        <v>1743</v>
      </c>
      <c r="AD161" s="2" t="s">
        <v>1042</v>
      </c>
      <c r="AE161" s="2" t="s">
        <v>1050</v>
      </c>
      <c r="AF161" s="2" t="s">
        <v>1744</v>
      </c>
      <c r="AG161" s="2" t="s">
        <v>1745</v>
      </c>
      <c r="AH161" s="111">
        <v>3</v>
      </c>
      <c r="AI161" s="111">
        <v>1.8</v>
      </c>
      <c r="AJ161" s="111">
        <f t="shared" si="8"/>
        <v>4</v>
      </c>
      <c r="AK161" s="111">
        <f t="shared" si="9"/>
        <v>7.2</v>
      </c>
      <c r="AL161" s="2" t="s">
        <v>1746</v>
      </c>
      <c r="AM161" s="2" t="s">
        <v>1747</v>
      </c>
      <c r="AN161" s="2" t="s">
        <v>1748</v>
      </c>
      <c r="AO161" s="2" t="s">
        <v>1023</v>
      </c>
    </row>
    <row r="162" spans="1:41" ht="45.95" hidden="1" customHeight="1" x14ac:dyDescent="0.25">
      <c r="A162" s="69" t="s">
        <v>1794</v>
      </c>
      <c r="B162" s="69" t="s">
        <v>59</v>
      </c>
      <c r="C162" s="69" t="s">
        <v>62</v>
      </c>
      <c r="D162" s="70" t="s">
        <v>1795</v>
      </c>
      <c r="E162" s="69" t="s">
        <v>826</v>
      </c>
      <c r="F162" s="69" t="s">
        <v>1505</v>
      </c>
      <c r="G162" s="69" t="s">
        <v>68</v>
      </c>
      <c r="H162" s="70" t="s">
        <v>1796</v>
      </c>
      <c r="I162" s="70" t="s">
        <v>1797</v>
      </c>
      <c r="J162" s="69">
        <v>12</v>
      </c>
      <c r="K162" s="69" t="s">
        <v>1028</v>
      </c>
      <c r="L162" s="11" t="s">
        <v>1737</v>
      </c>
      <c r="M162" s="7" t="s">
        <v>1279</v>
      </c>
      <c r="N162" s="7" t="s">
        <v>1738</v>
      </c>
      <c r="O162" s="7" t="s">
        <v>1739</v>
      </c>
      <c r="P162" s="12" t="s">
        <v>772</v>
      </c>
      <c r="Q162" s="71" t="s">
        <v>1028</v>
      </c>
      <c r="R162" s="71"/>
      <c r="S162" s="71" t="s">
        <v>774</v>
      </c>
      <c r="T162" s="71"/>
      <c r="U162" s="71"/>
      <c r="V162" s="71" t="s">
        <v>1739</v>
      </c>
      <c r="W162" s="71" t="s">
        <v>1279</v>
      </c>
      <c r="X162" s="71" t="s">
        <v>775</v>
      </c>
      <c r="Y162" s="71" t="s">
        <v>776</v>
      </c>
      <c r="Z162" s="2" t="s">
        <v>1740</v>
      </c>
      <c r="AA162" s="2" t="s">
        <v>1741</v>
      </c>
      <c r="AB162" s="2" t="s">
        <v>1742</v>
      </c>
      <c r="AC162" s="2" t="s">
        <v>1743</v>
      </c>
      <c r="AD162" s="2" t="s">
        <v>1042</v>
      </c>
      <c r="AE162" s="2" t="s">
        <v>1050</v>
      </c>
      <c r="AF162" s="2" t="s">
        <v>1744</v>
      </c>
      <c r="AG162" s="2" t="s">
        <v>1745</v>
      </c>
      <c r="AH162" s="111">
        <v>3</v>
      </c>
      <c r="AI162" s="111">
        <v>1.8</v>
      </c>
      <c r="AJ162" s="111">
        <f t="shared" ref="AJ162:AJ193" si="10">IF($K162="Done",0,MAX(0.25,$J162/$AH162))</f>
        <v>4</v>
      </c>
      <c r="AK162" s="111">
        <f t="shared" ref="AK162:AK193" si="11">IF($K162="Done",0,$AJ162*$AI162)</f>
        <v>7.2</v>
      </c>
      <c r="AL162" s="2" t="s">
        <v>1746</v>
      </c>
      <c r="AM162" s="2" t="s">
        <v>1747</v>
      </c>
      <c r="AN162" s="2" t="s">
        <v>1748</v>
      </c>
      <c r="AO162" s="2" t="s">
        <v>1023</v>
      </c>
    </row>
    <row r="163" spans="1:41" ht="45.95" hidden="1" customHeight="1" x14ac:dyDescent="0.25">
      <c r="A163" s="69" t="s">
        <v>1798</v>
      </c>
      <c r="B163" s="69" t="s">
        <v>59</v>
      </c>
      <c r="C163" s="69" t="s">
        <v>62</v>
      </c>
      <c r="D163" s="70" t="s">
        <v>1799</v>
      </c>
      <c r="E163" s="69" t="s">
        <v>793</v>
      </c>
      <c r="F163" s="69" t="s">
        <v>1505</v>
      </c>
      <c r="G163" s="69" t="s">
        <v>67</v>
      </c>
      <c r="H163" s="70" t="s">
        <v>1800</v>
      </c>
      <c r="I163" s="70" t="s">
        <v>1801</v>
      </c>
      <c r="J163" s="69">
        <v>12</v>
      </c>
      <c r="K163" s="69" t="s">
        <v>1028</v>
      </c>
      <c r="L163" s="11" t="s">
        <v>1737</v>
      </c>
      <c r="M163" s="7" t="s">
        <v>1279</v>
      </c>
      <c r="N163" s="7" t="s">
        <v>1738</v>
      </c>
      <c r="O163" s="7" t="s">
        <v>1739</v>
      </c>
      <c r="P163" s="12" t="s">
        <v>772</v>
      </c>
      <c r="Q163" s="71" t="s">
        <v>1028</v>
      </c>
      <c r="R163" s="71"/>
      <c r="S163" s="71" t="s">
        <v>774</v>
      </c>
      <c r="T163" s="71"/>
      <c r="U163" s="71"/>
      <c r="V163" s="71" t="s">
        <v>1739</v>
      </c>
      <c r="W163" s="71" t="s">
        <v>1279</v>
      </c>
      <c r="X163" s="71" t="s">
        <v>775</v>
      </c>
      <c r="Y163" s="71" t="s">
        <v>776</v>
      </c>
      <c r="Z163" s="2" t="s">
        <v>1740</v>
      </c>
      <c r="AA163" s="2" t="s">
        <v>1741</v>
      </c>
      <c r="AB163" s="2" t="s">
        <v>1742</v>
      </c>
      <c r="AC163" s="2" t="s">
        <v>1743</v>
      </c>
      <c r="AD163" s="2" t="s">
        <v>1042</v>
      </c>
      <c r="AE163" s="2" t="s">
        <v>1050</v>
      </c>
      <c r="AF163" s="2" t="s">
        <v>1744</v>
      </c>
      <c r="AG163" s="2" t="s">
        <v>1745</v>
      </c>
      <c r="AH163" s="111">
        <v>3</v>
      </c>
      <c r="AI163" s="111">
        <v>1.8</v>
      </c>
      <c r="AJ163" s="111">
        <f t="shared" si="10"/>
        <v>4</v>
      </c>
      <c r="AK163" s="111">
        <f t="shared" si="11"/>
        <v>7.2</v>
      </c>
      <c r="AL163" s="2" t="s">
        <v>1746</v>
      </c>
      <c r="AM163" s="2" t="s">
        <v>1747</v>
      </c>
      <c r="AN163" s="2" t="s">
        <v>1748</v>
      </c>
      <c r="AO163" s="2" t="s">
        <v>1023</v>
      </c>
    </row>
    <row r="164" spans="1:41" ht="45.95" hidden="1" customHeight="1" x14ac:dyDescent="0.25">
      <c r="A164" s="69" t="s">
        <v>1802</v>
      </c>
      <c r="B164" s="69" t="s">
        <v>59</v>
      </c>
      <c r="C164" s="69" t="s">
        <v>62</v>
      </c>
      <c r="D164" s="70" t="s">
        <v>1803</v>
      </c>
      <c r="E164" s="69" t="s">
        <v>793</v>
      </c>
      <c r="F164" s="69" t="s">
        <v>1500</v>
      </c>
      <c r="G164" s="69" t="s">
        <v>68</v>
      </c>
      <c r="H164" s="70" t="s">
        <v>1804</v>
      </c>
      <c r="I164" s="70" t="s">
        <v>1805</v>
      </c>
      <c r="J164" s="69">
        <v>12</v>
      </c>
      <c r="K164" s="69" t="s">
        <v>1028</v>
      </c>
      <c r="L164" s="11" t="s">
        <v>1737</v>
      </c>
      <c r="M164" s="7" t="s">
        <v>1279</v>
      </c>
      <c r="N164" s="7" t="s">
        <v>1738</v>
      </c>
      <c r="O164" s="7" t="s">
        <v>1739</v>
      </c>
      <c r="P164" s="12" t="s">
        <v>772</v>
      </c>
      <c r="Q164" s="71" t="s">
        <v>1028</v>
      </c>
      <c r="R164" s="71"/>
      <c r="S164" s="71" t="s">
        <v>774</v>
      </c>
      <c r="T164" s="71"/>
      <c r="U164" s="71"/>
      <c r="V164" s="71" t="s">
        <v>1739</v>
      </c>
      <c r="W164" s="71" t="s">
        <v>1279</v>
      </c>
      <c r="X164" s="71" t="s">
        <v>775</v>
      </c>
      <c r="Y164" s="71" t="s">
        <v>776</v>
      </c>
      <c r="Z164" s="2" t="s">
        <v>1740</v>
      </c>
      <c r="AA164" s="2" t="s">
        <v>1741</v>
      </c>
      <c r="AB164" s="2" t="s">
        <v>1742</v>
      </c>
      <c r="AC164" s="2" t="s">
        <v>1743</v>
      </c>
      <c r="AD164" s="2" t="s">
        <v>1042</v>
      </c>
      <c r="AE164" s="2" t="s">
        <v>1050</v>
      </c>
      <c r="AF164" s="2" t="s">
        <v>1744</v>
      </c>
      <c r="AG164" s="2" t="s">
        <v>1745</v>
      </c>
      <c r="AH164" s="111">
        <v>3</v>
      </c>
      <c r="AI164" s="111">
        <v>1.8</v>
      </c>
      <c r="AJ164" s="111">
        <f t="shared" si="10"/>
        <v>4</v>
      </c>
      <c r="AK164" s="111">
        <f t="shared" si="11"/>
        <v>7.2</v>
      </c>
      <c r="AL164" s="2" t="s">
        <v>1746</v>
      </c>
      <c r="AM164" s="2" t="s">
        <v>1747</v>
      </c>
      <c r="AN164" s="2" t="s">
        <v>1748</v>
      </c>
      <c r="AO164" s="2" t="s">
        <v>1023</v>
      </c>
    </row>
    <row r="165" spans="1:41" ht="45.95" hidden="1" customHeight="1" x14ac:dyDescent="0.25">
      <c r="A165" s="69" t="s">
        <v>243</v>
      </c>
      <c r="B165" s="69" t="s">
        <v>59</v>
      </c>
      <c r="C165" s="69" t="s">
        <v>62</v>
      </c>
      <c r="D165" s="70" t="s">
        <v>1806</v>
      </c>
      <c r="E165" s="69" t="s">
        <v>826</v>
      </c>
      <c r="F165" s="69" t="s">
        <v>349</v>
      </c>
      <c r="G165" s="69" t="s">
        <v>67</v>
      </c>
      <c r="H165" s="70" t="s">
        <v>1807</v>
      </c>
      <c r="I165" s="70" t="s">
        <v>1808</v>
      </c>
      <c r="J165" s="69">
        <v>12</v>
      </c>
      <c r="K165" s="69" t="s">
        <v>1028</v>
      </c>
      <c r="L165" s="11" t="s">
        <v>1737</v>
      </c>
      <c r="M165" s="7" t="s">
        <v>1279</v>
      </c>
      <c r="N165" s="7" t="s">
        <v>1738</v>
      </c>
      <c r="O165" s="7" t="s">
        <v>1739</v>
      </c>
      <c r="P165" s="12" t="s">
        <v>772</v>
      </c>
      <c r="Q165" s="71" t="s">
        <v>1028</v>
      </c>
      <c r="R165" s="71"/>
      <c r="S165" s="71" t="s">
        <v>774</v>
      </c>
      <c r="T165" s="71"/>
      <c r="U165" s="71"/>
      <c r="V165" s="71" t="s">
        <v>1739</v>
      </c>
      <c r="W165" s="71" t="s">
        <v>1279</v>
      </c>
      <c r="X165" s="71" t="s">
        <v>775</v>
      </c>
      <c r="Y165" s="71" t="s">
        <v>776</v>
      </c>
      <c r="Z165" s="2" t="s">
        <v>1740</v>
      </c>
      <c r="AA165" s="2" t="s">
        <v>1741</v>
      </c>
      <c r="AB165" s="2" t="s">
        <v>1742</v>
      </c>
      <c r="AC165" s="2" t="s">
        <v>1743</v>
      </c>
      <c r="AD165" s="2" t="s">
        <v>1042</v>
      </c>
      <c r="AE165" s="2" t="s">
        <v>1050</v>
      </c>
      <c r="AF165" s="2" t="s">
        <v>1744</v>
      </c>
      <c r="AG165" s="2" t="s">
        <v>1745</v>
      </c>
      <c r="AH165" s="111">
        <v>3</v>
      </c>
      <c r="AI165" s="111">
        <v>1.8</v>
      </c>
      <c r="AJ165" s="111">
        <f t="shared" si="10"/>
        <v>4</v>
      </c>
      <c r="AK165" s="111">
        <f t="shared" si="11"/>
        <v>7.2</v>
      </c>
      <c r="AL165" s="2" t="s">
        <v>1746</v>
      </c>
      <c r="AM165" s="2" t="s">
        <v>1747</v>
      </c>
      <c r="AN165" s="2" t="s">
        <v>1748</v>
      </c>
      <c r="AO165" s="2" t="s">
        <v>1023</v>
      </c>
    </row>
    <row r="166" spans="1:41" ht="45.95" hidden="1" customHeight="1" x14ac:dyDescent="0.25">
      <c r="A166" s="69" t="s">
        <v>1809</v>
      </c>
      <c r="B166" s="69" t="s">
        <v>59</v>
      </c>
      <c r="C166" s="69" t="s">
        <v>62</v>
      </c>
      <c r="D166" s="70" t="s">
        <v>1810</v>
      </c>
      <c r="E166" s="69" t="s">
        <v>826</v>
      </c>
      <c r="F166" s="69" t="s">
        <v>1811</v>
      </c>
      <c r="G166" s="69" t="s">
        <v>68</v>
      </c>
      <c r="H166" s="70" t="s">
        <v>1812</v>
      </c>
      <c r="I166" s="70" t="s">
        <v>1813</v>
      </c>
      <c r="J166" s="69">
        <v>12</v>
      </c>
      <c r="K166" s="69" t="s">
        <v>1028</v>
      </c>
      <c r="L166" s="11" t="s">
        <v>1737</v>
      </c>
      <c r="M166" s="7" t="s">
        <v>1279</v>
      </c>
      <c r="N166" s="7" t="s">
        <v>1738</v>
      </c>
      <c r="O166" s="7" t="s">
        <v>1739</v>
      </c>
      <c r="P166" s="12" t="s">
        <v>772</v>
      </c>
      <c r="Q166" s="71" t="s">
        <v>1028</v>
      </c>
      <c r="R166" s="71"/>
      <c r="S166" s="71" t="s">
        <v>774</v>
      </c>
      <c r="T166" s="71"/>
      <c r="U166" s="71"/>
      <c r="V166" s="71" t="s">
        <v>1739</v>
      </c>
      <c r="W166" s="71" t="s">
        <v>1279</v>
      </c>
      <c r="X166" s="71" t="s">
        <v>775</v>
      </c>
      <c r="Y166" s="71" t="s">
        <v>776</v>
      </c>
      <c r="Z166" s="2" t="s">
        <v>1740</v>
      </c>
      <c r="AA166" s="2" t="s">
        <v>1741</v>
      </c>
      <c r="AB166" s="2" t="s">
        <v>1742</v>
      </c>
      <c r="AC166" s="2" t="s">
        <v>1743</v>
      </c>
      <c r="AD166" s="2" t="s">
        <v>1042</v>
      </c>
      <c r="AE166" s="2" t="s">
        <v>1050</v>
      </c>
      <c r="AF166" s="2" t="s">
        <v>1744</v>
      </c>
      <c r="AG166" s="2" t="s">
        <v>1745</v>
      </c>
      <c r="AH166" s="111">
        <v>3</v>
      </c>
      <c r="AI166" s="111">
        <v>1.8</v>
      </c>
      <c r="AJ166" s="111">
        <f t="shared" si="10"/>
        <v>4</v>
      </c>
      <c r="AK166" s="111">
        <f t="shared" si="11"/>
        <v>7.2</v>
      </c>
      <c r="AL166" s="2" t="s">
        <v>1746</v>
      </c>
      <c r="AM166" s="2" t="s">
        <v>1747</v>
      </c>
      <c r="AN166" s="2" t="s">
        <v>1748</v>
      </c>
      <c r="AO166" s="2" t="s">
        <v>1023</v>
      </c>
    </row>
    <row r="167" spans="1:41" ht="45.95" hidden="1" customHeight="1" x14ac:dyDescent="0.25">
      <c r="A167" s="69" t="s">
        <v>1814</v>
      </c>
      <c r="B167" s="69" t="s">
        <v>59</v>
      </c>
      <c r="C167" s="69" t="s">
        <v>62</v>
      </c>
      <c r="D167" s="70" t="s">
        <v>1815</v>
      </c>
      <c r="E167" s="69" t="s">
        <v>1184</v>
      </c>
      <c r="F167" s="69" t="s">
        <v>1185</v>
      </c>
      <c r="G167" s="69" t="s">
        <v>801</v>
      </c>
      <c r="H167" s="70" t="s">
        <v>1816</v>
      </c>
      <c r="I167" s="70" t="s">
        <v>1817</v>
      </c>
      <c r="J167" s="69">
        <v>12</v>
      </c>
      <c r="K167" s="69" t="s">
        <v>1028</v>
      </c>
      <c r="L167" s="11" t="s">
        <v>1737</v>
      </c>
      <c r="M167" s="7" t="s">
        <v>1279</v>
      </c>
      <c r="N167" s="7" t="s">
        <v>1738</v>
      </c>
      <c r="O167" s="7" t="s">
        <v>1739</v>
      </c>
      <c r="P167" s="12" t="s">
        <v>772</v>
      </c>
      <c r="Q167" s="71" t="s">
        <v>1028</v>
      </c>
      <c r="R167" s="71"/>
      <c r="S167" s="71" t="s">
        <v>774</v>
      </c>
      <c r="T167" s="71"/>
      <c r="U167" s="71"/>
      <c r="V167" s="71" t="s">
        <v>1739</v>
      </c>
      <c r="W167" s="71" t="s">
        <v>1279</v>
      </c>
      <c r="X167" s="71" t="s">
        <v>775</v>
      </c>
      <c r="Y167" s="71" t="s">
        <v>776</v>
      </c>
      <c r="Z167" s="2" t="s">
        <v>1740</v>
      </c>
      <c r="AA167" s="2" t="s">
        <v>1741</v>
      </c>
      <c r="AB167" s="2" t="s">
        <v>1742</v>
      </c>
      <c r="AC167" s="2" t="s">
        <v>1743</v>
      </c>
      <c r="AD167" s="2" t="s">
        <v>1042</v>
      </c>
      <c r="AE167" s="2" t="s">
        <v>1017</v>
      </c>
      <c r="AF167" s="2" t="s">
        <v>1774</v>
      </c>
      <c r="AG167" s="2" t="s">
        <v>1745</v>
      </c>
      <c r="AH167" s="111">
        <v>3</v>
      </c>
      <c r="AI167" s="111">
        <v>1.8</v>
      </c>
      <c r="AJ167" s="111">
        <f t="shared" si="10"/>
        <v>4</v>
      </c>
      <c r="AK167" s="111">
        <f t="shared" si="11"/>
        <v>7.2</v>
      </c>
      <c r="AL167" s="2" t="s">
        <v>1746</v>
      </c>
      <c r="AM167" s="2" t="s">
        <v>1747</v>
      </c>
      <c r="AN167" s="2" t="s">
        <v>1775</v>
      </c>
      <c r="AO167" s="2" t="s">
        <v>1023</v>
      </c>
    </row>
    <row r="168" spans="1:41" ht="45.95" hidden="1" customHeight="1" x14ac:dyDescent="0.25">
      <c r="A168" s="69" t="s">
        <v>1818</v>
      </c>
      <c r="B168" s="69" t="s">
        <v>59</v>
      </c>
      <c r="C168" s="69" t="s">
        <v>62</v>
      </c>
      <c r="D168" s="70" t="s">
        <v>1819</v>
      </c>
      <c r="E168" s="69" t="s">
        <v>764</v>
      </c>
      <c r="F168" s="69" t="s">
        <v>1595</v>
      </c>
      <c r="G168" s="69" t="s">
        <v>67</v>
      </c>
      <c r="H168" s="70" t="s">
        <v>1820</v>
      </c>
      <c r="I168" s="70" t="s">
        <v>1821</v>
      </c>
      <c r="J168" s="69">
        <v>12</v>
      </c>
      <c r="K168" s="69" t="s">
        <v>1028</v>
      </c>
      <c r="L168" s="11" t="s">
        <v>1737</v>
      </c>
      <c r="M168" s="7" t="s">
        <v>1279</v>
      </c>
      <c r="N168" s="7" t="s">
        <v>1738</v>
      </c>
      <c r="O168" s="7" t="s">
        <v>1739</v>
      </c>
      <c r="P168" s="12" t="s">
        <v>772</v>
      </c>
      <c r="Q168" s="71" t="s">
        <v>1028</v>
      </c>
      <c r="R168" s="71"/>
      <c r="S168" s="71" t="s">
        <v>774</v>
      </c>
      <c r="T168" s="71"/>
      <c r="U168" s="71"/>
      <c r="V168" s="71" t="s">
        <v>1739</v>
      </c>
      <c r="W168" s="71" t="s">
        <v>1279</v>
      </c>
      <c r="X168" s="71" t="s">
        <v>775</v>
      </c>
      <c r="Y168" s="71" t="s">
        <v>776</v>
      </c>
      <c r="Z168" s="2" t="s">
        <v>1740</v>
      </c>
      <c r="AA168" s="2" t="s">
        <v>1741</v>
      </c>
      <c r="AB168" s="2" t="s">
        <v>1742</v>
      </c>
      <c r="AC168" s="2" t="s">
        <v>1743</v>
      </c>
      <c r="AD168" s="2" t="s">
        <v>1042</v>
      </c>
      <c r="AE168" s="2" t="s">
        <v>1017</v>
      </c>
      <c r="AF168" s="2" t="s">
        <v>1774</v>
      </c>
      <c r="AG168" s="2" t="s">
        <v>1745</v>
      </c>
      <c r="AH168" s="111">
        <v>3</v>
      </c>
      <c r="AI168" s="111">
        <v>1.8</v>
      </c>
      <c r="AJ168" s="111">
        <f t="shared" si="10"/>
        <v>4</v>
      </c>
      <c r="AK168" s="111">
        <f t="shared" si="11"/>
        <v>7.2</v>
      </c>
      <c r="AL168" s="2" t="s">
        <v>1746</v>
      </c>
      <c r="AM168" s="2" t="s">
        <v>1747</v>
      </c>
      <c r="AN168" s="2" t="s">
        <v>1775</v>
      </c>
      <c r="AO168" s="2" t="s">
        <v>1023</v>
      </c>
    </row>
    <row r="169" spans="1:41" ht="45.95" hidden="1" customHeight="1" x14ac:dyDescent="0.25">
      <c r="A169" s="65" t="s">
        <v>378</v>
      </c>
      <c r="B169" s="65" t="s">
        <v>41</v>
      </c>
      <c r="C169" s="65" t="s">
        <v>40</v>
      </c>
      <c r="D169" s="65" t="s">
        <v>379</v>
      </c>
      <c r="E169" s="65" t="s">
        <v>1201</v>
      </c>
      <c r="F169" s="65" t="s">
        <v>1822</v>
      </c>
      <c r="G169" s="65" t="s">
        <v>67</v>
      </c>
      <c r="H169" s="65" t="s">
        <v>1823</v>
      </c>
      <c r="I169" s="65" t="s">
        <v>1824</v>
      </c>
      <c r="J169" s="67">
        <v>12</v>
      </c>
      <c r="K169" s="73" t="s">
        <v>768</v>
      </c>
      <c r="L169" s="9" t="s">
        <v>1139</v>
      </c>
      <c r="M169" s="146" t="s">
        <v>171</v>
      </c>
      <c r="N169" s="9" t="s">
        <v>376</v>
      </c>
      <c r="O169" s="9" t="s">
        <v>375</v>
      </c>
      <c r="P169" s="10" t="s">
        <v>1825</v>
      </c>
      <c r="Q169" s="71" t="s">
        <v>979</v>
      </c>
      <c r="R169" s="71" t="s">
        <v>1826</v>
      </c>
      <c r="S169" s="71" t="s">
        <v>981</v>
      </c>
      <c r="T169" s="71"/>
      <c r="U169" s="71"/>
      <c r="V169" s="71" t="s">
        <v>375</v>
      </c>
      <c r="W169" s="71" t="s">
        <v>1658</v>
      </c>
      <c r="X169" s="71" t="s">
        <v>775</v>
      </c>
      <c r="Y169" s="71" t="s">
        <v>776</v>
      </c>
      <c r="Z169" s="2" t="s">
        <v>1282</v>
      </c>
      <c r="AA169" s="2" t="s">
        <v>1283</v>
      </c>
      <c r="AB169" s="2" t="s">
        <v>1659</v>
      </c>
      <c r="AC169" s="2" t="s">
        <v>1660</v>
      </c>
      <c r="AD169" s="2" t="s">
        <v>781</v>
      </c>
      <c r="AE169" s="2" t="s">
        <v>171</v>
      </c>
      <c r="AF169" s="2" t="s">
        <v>782</v>
      </c>
      <c r="AG169" s="2" t="s">
        <v>781</v>
      </c>
      <c r="AH169" s="111">
        <v>0</v>
      </c>
      <c r="AI169" s="111">
        <v>0</v>
      </c>
      <c r="AJ169" s="111">
        <f t="shared" si="10"/>
        <v>0</v>
      </c>
      <c r="AK169" s="111">
        <f t="shared" si="11"/>
        <v>0</v>
      </c>
      <c r="AL169" s="2" t="s">
        <v>171</v>
      </c>
      <c r="AM169" s="2" t="s">
        <v>783</v>
      </c>
      <c r="AN169" s="2" t="s">
        <v>784</v>
      </c>
      <c r="AO169" s="2" t="s">
        <v>785</v>
      </c>
    </row>
    <row r="170" spans="1:41" ht="45.95" hidden="1" customHeight="1" x14ac:dyDescent="0.25">
      <c r="A170" s="65" t="s">
        <v>381</v>
      </c>
      <c r="B170" s="65" t="s">
        <v>41</v>
      </c>
      <c r="C170" s="65" t="s">
        <v>40</v>
      </c>
      <c r="D170" s="65" t="s">
        <v>382</v>
      </c>
      <c r="E170" s="65" t="s">
        <v>1201</v>
      </c>
      <c r="F170" s="65" t="s">
        <v>1827</v>
      </c>
      <c r="G170" s="65" t="s">
        <v>67</v>
      </c>
      <c r="H170" s="65" t="s">
        <v>1828</v>
      </c>
      <c r="I170" s="65" t="s">
        <v>1829</v>
      </c>
      <c r="J170" s="67">
        <v>10</v>
      </c>
      <c r="K170" s="73" t="s">
        <v>768</v>
      </c>
      <c r="L170" s="7" t="s">
        <v>1139</v>
      </c>
      <c r="M170" s="146" t="s">
        <v>171</v>
      </c>
      <c r="N170" s="7" t="s">
        <v>376</v>
      </c>
      <c r="O170" s="7" t="s">
        <v>375</v>
      </c>
      <c r="P170" s="12" t="s">
        <v>1825</v>
      </c>
      <c r="Q170" s="71" t="s">
        <v>979</v>
      </c>
      <c r="R170" s="71" t="s">
        <v>1830</v>
      </c>
      <c r="S170" s="74" t="s">
        <v>1011</v>
      </c>
      <c r="T170" s="74" t="s">
        <v>1779</v>
      </c>
      <c r="U170" s="74" t="s">
        <v>1780</v>
      </c>
      <c r="V170" s="71" t="s">
        <v>375</v>
      </c>
      <c r="W170" s="71" t="s">
        <v>1658</v>
      </c>
      <c r="X170" s="74" t="s">
        <v>1015</v>
      </c>
      <c r="Y170" s="71" t="s">
        <v>776</v>
      </c>
      <c r="Z170" s="2" t="s">
        <v>1282</v>
      </c>
      <c r="AA170" s="2" t="s">
        <v>1283</v>
      </c>
      <c r="AB170" s="2" t="s">
        <v>1659</v>
      </c>
      <c r="AC170" s="2" t="s">
        <v>1660</v>
      </c>
      <c r="AD170" s="2" t="s">
        <v>781</v>
      </c>
      <c r="AE170" s="2" t="s">
        <v>171</v>
      </c>
      <c r="AF170" s="2" t="s">
        <v>782</v>
      </c>
      <c r="AG170" s="2" t="s">
        <v>781</v>
      </c>
      <c r="AH170" s="111">
        <v>0</v>
      </c>
      <c r="AI170" s="111">
        <v>0</v>
      </c>
      <c r="AJ170" s="111">
        <f t="shared" si="10"/>
        <v>0</v>
      </c>
      <c r="AK170" s="111">
        <f t="shared" si="11"/>
        <v>0</v>
      </c>
      <c r="AL170" s="2" t="s">
        <v>171</v>
      </c>
      <c r="AM170" s="2" t="s">
        <v>783</v>
      </c>
      <c r="AN170" s="2" t="s">
        <v>784</v>
      </c>
      <c r="AO170" s="2" t="s">
        <v>785</v>
      </c>
    </row>
    <row r="171" spans="1:41" ht="45.95" hidden="1" customHeight="1" x14ac:dyDescent="0.25">
      <c r="A171" s="65" t="s">
        <v>396</v>
      </c>
      <c r="B171" s="65" t="s">
        <v>41</v>
      </c>
      <c r="C171" s="65" t="s">
        <v>40</v>
      </c>
      <c r="D171" s="65" t="s">
        <v>397</v>
      </c>
      <c r="E171" s="65" t="s">
        <v>1201</v>
      </c>
      <c r="F171" s="65" t="s">
        <v>1827</v>
      </c>
      <c r="G171" s="65" t="s">
        <v>67</v>
      </c>
      <c r="H171" s="65" t="s">
        <v>1831</v>
      </c>
      <c r="I171" s="65" t="s">
        <v>1832</v>
      </c>
      <c r="J171" s="67">
        <v>10</v>
      </c>
      <c r="K171" s="73" t="s">
        <v>768</v>
      </c>
      <c r="L171" s="7" t="s">
        <v>1139</v>
      </c>
      <c r="M171" s="146" t="s">
        <v>171</v>
      </c>
      <c r="N171" s="7" t="s">
        <v>376</v>
      </c>
      <c r="O171" s="7" t="s">
        <v>375</v>
      </c>
      <c r="P171" s="12" t="s">
        <v>1825</v>
      </c>
      <c r="Q171" s="71" t="s">
        <v>979</v>
      </c>
      <c r="R171" s="71" t="s">
        <v>1833</v>
      </c>
      <c r="S171" s="74" t="s">
        <v>1011</v>
      </c>
      <c r="T171" s="74" t="s">
        <v>1779</v>
      </c>
      <c r="U171" s="74" t="s">
        <v>1780</v>
      </c>
      <c r="V171" s="71" t="s">
        <v>375</v>
      </c>
      <c r="W171" s="71" t="s">
        <v>1658</v>
      </c>
      <c r="X171" s="74" t="s">
        <v>1015</v>
      </c>
      <c r="Y171" s="71" t="s">
        <v>776</v>
      </c>
      <c r="Z171" s="2" t="s">
        <v>1282</v>
      </c>
      <c r="AA171" s="2" t="s">
        <v>1283</v>
      </c>
      <c r="AB171" s="2" t="s">
        <v>1659</v>
      </c>
      <c r="AC171" s="2" t="s">
        <v>1660</v>
      </c>
      <c r="AD171" s="2" t="s">
        <v>781</v>
      </c>
      <c r="AE171" s="2" t="s">
        <v>171</v>
      </c>
      <c r="AF171" s="2" t="s">
        <v>782</v>
      </c>
      <c r="AG171" s="2" t="s">
        <v>781</v>
      </c>
      <c r="AH171" s="111">
        <v>0</v>
      </c>
      <c r="AI171" s="111">
        <v>0</v>
      </c>
      <c r="AJ171" s="111">
        <f t="shared" si="10"/>
        <v>0</v>
      </c>
      <c r="AK171" s="111">
        <f t="shared" si="11"/>
        <v>0</v>
      </c>
      <c r="AL171" s="2" t="s">
        <v>171</v>
      </c>
      <c r="AM171" s="2" t="s">
        <v>783</v>
      </c>
      <c r="AN171" s="2" t="s">
        <v>784</v>
      </c>
      <c r="AO171" s="2" t="s">
        <v>785</v>
      </c>
    </row>
    <row r="172" spans="1:41" ht="45.95" hidden="1" customHeight="1" x14ac:dyDescent="0.25">
      <c r="A172" s="65" t="s">
        <v>373</v>
      </c>
      <c r="B172" s="65" t="s">
        <v>41</v>
      </c>
      <c r="C172" s="65" t="s">
        <v>40</v>
      </c>
      <c r="D172" s="65" t="s">
        <v>374</v>
      </c>
      <c r="E172" s="65" t="s">
        <v>832</v>
      </c>
      <c r="F172" s="65" t="s">
        <v>1834</v>
      </c>
      <c r="G172" s="65" t="s">
        <v>67</v>
      </c>
      <c r="H172" s="65" t="s">
        <v>1835</v>
      </c>
      <c r="I172" s="65" t="s">
        <v>1836</v>
      </c>
      <c r="J172" s="67">
        <v>10</v>
      </c>
      <c r="K172" s="73" t="s">
        <v>768</v>
      </c>
      <c r="L172" s="7" t="s">
        <v>1139</v>
      </c>
      <c r="M172" s="146" t="s">
        <v>171</v>
      </c>
      <c r="N172" s="7" t="s">
        <v>376</v>
      </c>
      <c r="O172" s="7" t="s">
        <v>375</v>
      </c>
      <c r="P172" s="12" t="s">
        <v>1825</v>
      </c>
      <c r="Q172" s="71" t="s">
        <v>979</v>
      </c>
      <c r="R172" s="71" t="s">
        <v>1837</v>
      </c>
      <c r="S172" s="71" t="s">
        <v>981</v>
      </c>
      <c r="T172" s="71"/>
      <c r="U172" s="71"/>
      <c r="V172" s="71" t="s">
        <v>375</v>
      </c>
      <c r="W172" s="71" t="s">
        <v>1658</v>
      </c>
      <c r="X172" s="71" t="s">
        <v>775</v>
      </c>
      <c r="Y172" s="71" t="s">
        <v>776</v>
      </c>
      <c r="Z172" s="2" t="s">
        <v>1282</v>
      </c>
      <c r="AA172" s="2" t="s">
        <v>1283</v>
      </c>
      <c r="AB172" s="2" t="s">
        <v>1659</v>
      </c>
      <c r="AC172" s="2" t="s">
        <v>1660</v>
      </c>
      <c r="AD172" s="2" t="s">
        <v>781</v>
      </c>
      <c r="AE172" s="2" t="s">
        <v>171</v>
      </c>
      <c r="AF172" s="2" t="s">
        <v>782</v>
      </c>
      <c r="AG172" s="2" t="s">
        <v>781</v>
      </c>
      <c r="AH172" s="111">
        <v>0</v>
      </c>
      <c r="AI172" s="111">
        <v>0</v>
      </c>
      <c r="AJ172" s="111">
        <f t="shared" si="10"/>
        <v>0</v>
      </c>
      <c r="AK172" s="111">
        <f t="shared" si="11"/>
        <v>0</v>
      </c>
      <c r="AL172" s="2" t="s">
        <v>171</v>
      </c>
      <c r="AM172" s="2" t="s">
        <v>783</v>
      </c>
      <c r="AN172" s="2" t="s">
        <v>784</v>
      </c>
      <c r="AO172" s="2" t="s">
        <v>785</v>
      </c>
    </row>
    <row r="173" spans="1:41" ht="45.95" hidden="1" customHeight="1" x14ac:dyDescent="0.25">
      <c r="A173" s="65" t="s">
        <v>284</v>
      </c>
      <c r="B173" s="65" t="s">
        <v>41</v>
      </c>
      <c r="C173" s="65" t="s">
        <v>40</v>
      </c>
      <c r="D173" s="65" t="s">
        <v>399</v>
      </c>
      <c r="E173" s="65" t="s">
        <v>1201</v>
      </c>
      <c r="F173" s="65" t="s">
        <v>1838</v>
      </c>
      <c r="G173" s="65" t="s">
        <v>68</v>
      </c>
      <c r="H173" s="65" t="s">
        <v>1839</v>
      </c>
      <c r="I173" s="65" t="s">
        <v>1840</v>
      </c>
      <c r="J173" s="67">
        <v>12</v>
      </c>
      <c r="K173" s="73" t="s">
        <v>768</v>
      </c>
      <c r="L173" s="7" t="s">
        <v>1139</v>
      </c>
      <c r="M173" s="146" t="s">
        <v>171</v>
      </c>
      <c r="N173" s="7" t="s">
        <v>376</v>
      </c>
      <c r="O173" s="7" t="s">
        <v>375</v>
      </c>
      <c r="P173" s="12" t="s">
        <v>1825</v>
      </c>
      <c r="Q173" s="71" t="s">
        <v>979</v>
      </c>
      <c r="R173" s="71" t="s">
        <v>1841</v>
      </c>
      <c r="S173" s="74" t="s">
        <v>1011</v>
      </c>
      <c r="T173" s="74" t="s">
        <v>1779</v>
      </c>
      <c r="U173" s="74" t="s">
        <v>1780</v>
      </c>
      <c r="V173" s="71" t="s">
        <v>375</v>
      </c>
      <c r="W173" s="71" t="s">
        <v>1658</v>
      </c>
      <c r="X173" s="74" t="s">
        <v>1015</v>
      </c>
      <c r="Y173" s="71" t="s">
        <v>776</v>
      </c>
      <c r="Z173" s="2" t="s">
        <v>1282</v>
      </c>
      <c r="AA173" s="2" t="s">
        <v>1283</v>
      </c>
      <c r="AB173" s="2" t="s">
        <v>1659</v>
      </c>
      <c r="AC173" s="2" t="s">
        <v>1660</v>
      </c>
      <c r="AD173" s="2" t="s">
        <v>781</v>
      </c>
      <c r="AE173" s="2" t="s">
        <v>171</v>
      </c>
      <c r="AF173" s="2" t="s">
        <v>782</v>
      </c>
      <c r="AG173" s="2" t="s">
        <v>781</v>
      </c>
      <c r="AH173" s="111">
        <v>0</v>
      </c>
      <c r="AI173" s="111">
        <v>0</v>
      </c>
      <c r="AJ173" s="111">
        <f t="shared" si="10"/>
        <v>0</v>
      </c>
      <c r="AK173" s="111">
        <f t="shared" si="11"/>
        <v>0</v>
      </c>
      <c r="AL173" s="2" t="s">
        <v>171</v>
      </c>
      <c r="AM173" s="2" t="s">
        <v>783</v>
      </c>
      <c r="AN173" s="2" t="s">
        <v>784</v>
      </c>
      <c r="AO173" s="2" t="s">
        <v>785</v>
      </c>
    </row>
    <row r="174" spans="1:41" ht="45.95" hidden="1" customHeight="1" x14ac:dyDescent="0.25">
      <c r="A174" s="65" t="s">
        <v>288</v>
      </c>
      <c r="B174" s="65" t="s">
        <v>41</v>
      </c>
      <c r="C174" s="65" t="s">
        <v>40</v>
      </c>
      <c r="D174" s="65" t="s">
        <v>392</v>
      </c>
      <c r="E174" s="65" t="s">
        <v>1201</v>
      </c>
      <c r="F174" s="65" t="s">
        <v>1842</v>
      </c>
      <c r="G174" s="65" t="s">
        <v>67</v>
      </c>
      <c r="H174" s="65" t="s">
        <v>1843</v>
      </c>
      <c r="I174" s="65" t="s">
        <v>1844</v>
      </c>
      <c r="J174" s="67">
        <v>12</v>
      </c>
      <c r="K174" s="73" t="s">
        <v>768</v>
      </c>
      <c r="L174" s="7" t="s">
        <v>1139</v>
      </c>
      <c r="M174" s="146" t="s">
        <v>171</v>
      </c>
      <c r="N174" s="7" t="s">
        <v>376</v>
      </c>
      <c r="O174" s="7" t="s">
        <v>375</v>
      </c>
      <c r="P174" s="12" t="s">
        <v>1825</v>
      </c>
      <c r="Q174" s="71" t="s">
        <v>979</v>
      </c>
      <c r="R174" s="71" t="s">
        <v>1845</v>
      </c>
      <c r="S174" s="74" t="s">
        <v>1011</v>
      </c>
      <c r="T174" s="74" t="s">
        <v>1779</v>
      </c>
      <c r="U174" s="74" t="s">
        <v>1780</v>
      </c>
      <c r="V174" s="71" t="s">
        <v>375</v>
      </c>
      <c r="W174" s="71" t="s">
        <v>1658</v>
      </c>
      <c r="X174" s="74" t="s">
        <v>1015</v>
      </c>
      <c r="Y174" s="71" t="s">
        <v>776</v>
      </c>
      <c r="Z174" s="2" t="s">
        <v>1282</v>
      </c>
      <c r="AA174" s="2" t="s">
        <v>1283</v>
      </c>
      <c r="AB174" s="2" t="s">
        <v>1659</v>
      </c>
      <c r="AC174" s="2" t="s">
        <v>1660</v>
      </c>
      <c r="AD174" s="2" t="s">
        <v>781</v>
      </c>
      <c r="AE174" s="2" t="s">
        <v>171</v>
      </c>
      <c r="AF174" s="2" t="s">
        <v>782</v>
      </c>
      <c r="AG174" s="2" t="s">
        <v>781</v>
      </c>
      <c r="AH174" s="111">
        <v>0</v>
      </c>
      <c r="AI174" s="111">
        <v>0</v>
      </c>
      <c r="AJ174" s="111">
        <f t="shared" si="10"/>
        <v>0</v>
      </c>
      <c r="AK174" s="111">
        <f t="shared" si="11"/>
        <v>0</v>
      </c>
      <c r="AL174" s="2" t="s">
        <v>171</v>
      </c>
      <c r="AM174" s="2" t="s">
        <v>783</v>
      </c>
      <c r="AN174" s="2" t="s">
        <v>784</v>
      </c>
      <c r="AO174" s="2" t="s">
        <v>785</v>
      </c>
    </row>
    <row r="175" spans="1:41" ht="45.95" hidden="1" customHeight="1" x14ac:dyDescent="0.25">
      <c r="A175" s="65" t="s">
        <v>292</v>
      </c>
      <c r="B175" s="65" t="s">
        <v>41</v>
      </c>
      <c r="C175" s="65" t="s">
        <v>40</v>
      </c>
      <c r="D175" s="65" t="s">
        <v>394</v>
      </c>
      <c r="E175" s="65" t="s">
        <v>1201</v>
      </c>
      <c r="F175" s="65" t="s">
        <v>583</v>
      </c>
      <c r="G175" s="65" t="s">
        <v>68</v>
      </c>
      <c r="H175" s="65" t="s">
        <v>1846</v>
      </c>
      <c r="I175" s="65" t="s">
        <v>1847</v>
      </c>
      <c r="J175" s="67">
        <v>10</v>
      </c>
      <c r="K175" s="73" t="s">
        <v>768</v>
      </c>
      <c r="L175" s="7" t="s">
        <v>1139</v>
      </c>
      <c r="M175" s="146" t="s">
        <v>171</v>
      </c>
      <c r="N175" s="7" t="s">
        <v>376</v>
      </c>
      <c r="O175" s="7" t="s">
        <v>375</v>
      </c>
      <c r="P175" s="12" t="s">
        <v>1825</v>
      </c>
      <c r="Q175" s="71" t="s">
        <v>979</v>
      </c>
      <c r="R175" s="71" t="s">
        <v>1848</v>
      </c>
      <c r="S175" s="71" t="s">
        <v>981</v>
      </c>
      <c r="T175" s="71"/>
      <c r="U175" s="71"/>
      <c r="V175" s="71" t="s">
        <v>375</v>
      </c>
      <c r="W175" s="71" t="s">
        <v>1658</v>
      </c>
      <c r="X175" s="71" t="s">
        <v>775</v>
      </c>
      <c r="Y175" s="71" t="s">
        <v>776</v>
      </c>
      <c r="Z175" s="2" t="s">
        <v>1282</v>
      </c>
      <c r="AA175" s="2" t="s">
        <v>1283</v>
      </c>
      <c r="AB175" s="2" t="s">
        <v>1659</v>
      </c>
      <c r="AC175" s="2" t="s">
        <v>1660</v>
      </c>
      <c r="AD175" s="2" t="s">
        <v>781</v>
      </c>
      <c r="AE175" s="2" t="s">
        <v>171</v>
      </c>
      <c r="AF175" s="2" t="s">
        <v>782</v>
      </c>
      <c r="AG175" s="2" t="s">
        <v>781</v>
      </c>
      <c r="AH175" s="111">
        <v>0</v>
      </c>
      <c r="AI175" s="111">
        <v>0</v>
      </c>
      <c r="AJ175" s="111">
        <f t="shared" si="10"/>
        <v>0</v>
      </c>
      <c r="AK175" s="111">
        <f t="shared" si="11"/>
        <v>0</v>
      </c>
      <c r="AL175" s="2" t="s">
        <v>171</v>
      </c>
      <c r="AM175" s="2" t="s">
        <v>783</v>
      </c>
      <c r="AN175" s="2" t="s">
        <v>784</v>
      </c>
      <c r="AO175" s="2" t="s">
        <v>785</v>
      </c>
    </row>
    <row r="176" spans="1:41" ht="45.95" hidden="1" customHeight="1" x14ac:dyDescent="0.25">
      <c r="A176" s="65" t="s">
        <v>384</v>
      </c>
      <c r="B176" s="65" t="s">
        <v>41</v>
      </c>
      <c r="C176" s="65" t="s">
        <v>44</v>
      </c>
      <c r="D176" s="65" t="s">
        <v>385</v>
      </c>
      <c r="E176" s="65" t="s">
        <v>1201</v>
      </c>
      <c r="F176" s="65" t="s">
        <v>1849</v>
      </c>
      <c r="G176" s="65" t="s">
        <v>67</v>
      </c>
      <c r="H176" s="65" t="s">
        <v>1850</v>
      </c>
      <c r="I176" s="65" t="s">
        <v>1851</v>
      </c>
      <c r="J176" s="67">
        <v>12</v>
      </c>
      <c r="K176" s="73" t="s">
        <v>768</v>
      </c>
      <c r="L176" s="7" t="s">
        <v>1139</v>
      </c>
      <c r="M176" s="146" t="s">
        <v>171</v>
      </c>
      <c r="N176" s="7" t="s">
        <v>1852</v>
      </c>
      <c r="O176" s="7" t="s">
        <v>1853</v>
      </c>
      <c r="P176" s="12" t="s">
        <v>1854</v>
      </c>
      <c r="Q176" s="71" t="s">
        <v>979</v>
      </c>
      <c r="R176" s="71" t="s">
        <v>1855</v>
      </c>
      <c r="S176" s="71" t="s">
        <v>981</v>
      </c>
      <c r="T176" s="71"/>
      <c r="U176" s="71"/>
      <c r="V176" s="71" t="s">
        <v>1853</v>
      </c>
      <c r="W176" s="71" t="s">
        <v>1658</v>
      </c>
      <c r="X176" s="71" t="s">
        <v>775</v>
      </c>
      <c r="Y176" s="71" t="s">
        <v>776</v>
      </c>
      <c r="Z176" s="2" t="s">
        <v>1282</v>
      </c>
      <c r="AA176" s="2" t="s">
        <v>1283</v>
      </c>
      <c r="AB176" s="2" t="s">
        <v>1659</v>
      </c>
      <c r="AC176" s="2" t="s">
        <v>1660</v>
      </c>
      <c r="AD176" s="2" t="s">
        <v>781</v>
      </c>
      <c r="AE176" s="2" t="s">
        <v>171</v>
      </c>
      <c r="AF176" s="2" t="s">
        <v>782</v>
      </c>
      <c r="AG176" s="2" t="s">
        <v>781</v>
      </c>
      <c r="AH176" s="111">
        <v>0</v>
      </c>
      <c r="AI176" s="111">
        <v>0</v>
      </c>
      <c r="AJ176" s="111">
        <f t="shared" si="10"/>
        <v>0</v>
      </c>
      <c r="AK176" s="111">
        <f t="shared" si="11"/>
        <v>0</v>
      </c>
      <c r="AL176" s="2" t="s">
        <v>171</v>
      </c>
      <c r="AM176" s="2" t="s">
        <v>783</v>
      </c>
      <c r="AN176" s="2" t="s">
        <v>784</v>
      </c>
      <c r="AO176" s="2" t="s">
        <v>785</v>
      </c>
    </row>
    <row r="177" spans="1:41" ht="45.95" hidden="1" customHeight="1" x14ac:dyDescent="0.25">
      <c r="A177" s="65" t="s">
        <v>389</v>
      </c>
      <c r="B177" s="65" t="s">
        <v>41</v>
      </c>
      <c r="C177" s="65" t="s">
        <v>44</v>
      </c>
      <c r="D177" s="65" t="s">
        <v>390</v>
      </c>
      <c r="E177" s="65" t="s">
        <v>1201</v>
      </c>
      <c r="F177" s="65" t="s">
        <v>1856</v>
      </c>
      <c r="G177" s="65" t="s">
        <v>67</v>
      </c>
      <c r="H177" s="65" t="s">
        <v>1857</v>
      </c>
      <c r="I177" s="65" t="s">
        <v>1858</v>
      </c>
      <c r="J177" s="67">
        <v>12</v>
      </c>
      <c r="K177" s="73" t="s">
        <v>768</v>
      </c>
      <c r="L177" s="7" t="s">
        <v>1139</v>
      </c>
      <c r="M177" s="146" t="s">
        <v>171</v>
      </c>
      <c r="N177" s="7" t="s">
        <v>376</v>
      </c>
      <c r="O177" s="7" t="s">
        <v>375</v>
      </c>
      <c r="P177" s="12" t="s">
        <v>1825</v>
      </c>
      <c r="Q177" s="71" t="s">
        <v>979</v>
      </c>
      <c r="R177" s="71" t="s">
        <v>1859</v>
      </c>
      <c r="S177" s="71" t="s">
        <v>981</v>
      </c>
      <c r="T177" s="71"/>
      <c r="U177" s="71"/>
      <c r="V177" s="71" t="s">
        <v>375</v>
      </c>
      <c r="W177" s="71" t="s">
        <v>1658</v>
      </c>
      <c r="X177" s="71" t="s">
        <v>775</v>
      </c>
      <c r="Y177" s="71" t="s">
        <v>776</v>
      </c>
      <c r="Z177" s="2" t="s">
        <v>1282</v>
      </c>
      <c r="AA177" s="2" t="s">
        <v>1283</v>
      </c>
      <c r="AB177" s="2" t="s">
        <v>1659</v>
      </c>
      <c r="AC177" s="2" t="s">
        <v>1660</v>
      </c>
      <c r="AD177" s="2" t="s">
        <v>781</v>
      </c>
      <c r="AE177" s="2" t="s">
        <v>171</v>
      </c>
      <c r="AF177" s="2" t="s">
        <v>782</v>
      </c>
      <c r="AG177" s="2" t="s">
        <v>781</v>
      </c>
      <c r="AH177" s="111">
        <v>0</v>
      </c>
      <c r="AI177" s="111">
        <v>0</v>
      </c>
      <c r="AJ177" s="111">
        <f t="shared" si="10"/>
        <v>0</v>
      </c>
      <c r="AK177" s="111">
        <f t="shared" si="11"/>
        <v>0</v>
      </c>
      <c r="AL177" s="2" t="s">
        <v>171</v>
      </c>
      <c r="AM177" s="2" t="s">
        <v>783</v>
      </c>
      <c r="AN177" s="2" t="s">
        <v>784</v>
      </c>
      <c r="AO177" s="2" t="s">
        <v>785</v>
      </c>
    </row>
    <row r="178" spans="1:41" ht="45.95" hidden="1" customHeight="1" x14ac:dyDescent="0.25">
      <c r="A178" s="65" t="s">
        <v>368</v>
      </c>
      <c r="B178" s="65" t="s">
        <v>41</v>
      </c>
      <c r="C178" s="65" t="s">
        <v>44</v>
      </c>
      <c r="D178" s="65" t="s">
        <v>369</v>
      </c>
      <c r="E178" s="65" t="s">
        <v>832</v>
      </c>
      <c r="F178" s="65" t="s">
        <v>1860</v>
      </c>
      <c r="G178" s="65" t="s">
        <v>67</v>
      </c>
      <c r="H178" s="65" t="s">
        <v>1861</v>
      </c>
      <c r="I178" s="65" t="s">
        <v>1862</v>
      </c>
      <c r="J178" s="67">
        <v>10</v>
      </c>
      <c r="K178" s="73" t="s">
        <v>768</v>
      </c>
      <c r="L178" s="7" t="s">
        <v>1139</v>
      </c>
      <c r="M178" s="146" t="s">
        <v>171</v>
      </c>
      <c r="N178" s="7" t="s">
        <v>1863</v>
      </c>
      <c r="O178" s="7" t="s">
        <v>1864</v>
      </c>
      <c r="P178" s="12" t="s">
        <v>1865</v>
      </c>
      <c r="Q178" s="71" t="s">
        <v>979</v>
      </c>
      <c r="R178" s="71" t="s">
        <v>1866</v>
      </c>
      <c r="S178" s="71" t="s">
        <v>981</v>
      </c>
      <c r="T178" s="71"/>
      <c r="U178" s="71"/>
      <c r="V178" s="71" t="s">
        <v>1864</v>
      </c>
      <c r="W178" s="71" t="s">
        <v>1658</v>
      </c>
      <c r="X178" s="71" t="s">
        <v>775</v>
      </c>
      <c r="Y178" s="71" t="s">
        <v>776</v>
      </c>
      <c r="Z178" s="2" t="s">
        <v>1282</v>
      </c>
      <c r="AA178" s="2" t="s">
        <v>1283</v>
      </c>
      <c r="AB178" s="2" t="s">
        <v>1659</v>
      </c>
      <c r="AC178" s="2" t="s">
        <v>1660</v>
      </c>
      <c r="AD178" s="2" t="s">
        <v>781</v>
      </c>
      <c r="AE178" s="2" t="s">
        <v>171</v>
      </c>
      <c r="AF178" s="2" t="s">
        <v>782</v>
      </c>
      <c r="AG178" s="2" t="s">
        <v>781</v>
      </c>
      <c r="AH178" s="111">
        <v>0</v>
      </c>
      <c r="AI178" s="111">
        <v>0</v>
      </c>
      <c r="AJ178" s="111">
        <f t="shared" si="10"/>
        <v>0</v>
      </c>
      <c r="AK178" s="111">
        <f t="shared" si="11"/>
        <v>0</v>
      </c>
      <c r="AL178" s="2" t="s">
        <v>171</v>
      </c>
      <c r="AM178" s="2" t="s">
        <v>783</v>
      </c>
      <c r="AN178" s="2" t="s">
        <v>784</v>
      </c>
      <c r="AO178" s="2" t="s">
        <v>785</v>
      </c>
    </row>
    <row r="179" spans="1:41" ht="45.95" hidden="1" customHeight="1" x14ac:dyDescent="0.25">
      <c r="A179" s="65" t="s">
        <v>401</v>
      </c>
      <c r="B179" s="65" t="s">
        <v>41</v>
      </c>
      <c r="C179" s="65" t="s">
        <v>44</v>
      </c>
      <c r="D179" s="65" t="s">
        <v>402</v>
      </c>
      <c r="E179" s="65" t="s">
        <v>1201</v>
      </c>
      <c r="F179" s="65" t="s">
        <v>1675</v>
      </c>
      <c r="G179" s="65" t="s">
        <v>67</v>
      </c>
      <c r="H179" s="65" t="s">
        <v>1867</v>
      </c>
      <c r="I179" s="65" t="s">
        <v>1868</v>
      </c>
      <c r="J179" s="67">
        <v>8</v>
      </c>
      <c r="K179" s="73" t="s">
        <v>768</v>
      </c>
      <c r="L179" s="7" t="s">
        <v>1139</v>
      </c>
      <c r="M179" s="146" t="s">
        <v>171</v>
      </c>
      <c r="N179" s="7" t="s">
        <v>376</v>
      </c>
      <c r="O179" s="7" t="s">
        <v>375</v>
      </c>
      <c r="P179" s="12" t="s">
        <v>1825</v>
      </c>
      <c r="Q179" s="71" t="s">
        <v>979</v>
      </c>
      <c r="R179" s="71" t="s">
        <v>1869</v>
      </c>
      <c r="S179" s="71" t="s">
        <v>981</v>
      </c>
      <c r="T179" s="71"/>
      <c r="U179" s="71"/>
      <c r="V179" s="71" t="s">
        <v>375</v>
      </c>
      <c r="W179" s="71" t="s">
        <v>1658</v>
      </c>
      <c r="X179" s="71" t="s">
        <v>775</v>
      </c>
      <c r="Y179" s="71" t="s">
        <v>776</v>
      </c>
      <c r="Z179" s="2" t="s">
        <v>1282</v>
      </c>
      <c r="AA179" s="2" t="s">
        <v>1283</v>
      </c>
      <c r="AB179" s="2" t="s">
        <v>1659</v>
      </c>
      <c r="AC179" s="2" t="s">
        <v>1660</v>
      </c>
      <c r="AD179" s="2" t="s">
        <v>781</v>
      </c>
      <c r="AE179" s="2" t="s">
        <v>171</v>
      </c>
      <c r="AF179" s="2" t="s">
        <v>782</v>
      </c>
      <c r="AG179" s="2" t="s">
        <v>781</v>
      </c>
      <c r="AH179" s="111">
        <v>0</v>
      </c>
      <c r="AI179" s="111">
        <v>0</v>
      </c>
      <c r="AJ179" s="111">
        <f t="shared" si="10"/>
        <v>0</v>
      </c>
      <c r="AK179" s="111">
        <f t="shared" si="11"/>
        <v>0</v>
      </c>
      <c r="AL179" s="2" t="s">
        <v>171</v>
      </c>
      <c r="AM179" s="2" t="s">
        <v>783</v>
      </c>
      <c r="AN179" s="2" t="s">
        <v>784</v>
      </c>
      <c r="AO179" s="2" t="s">
        <v>785</v>
      </c>
    </row>
    <row r="180" spans="1:41" ht="45.95" hidden="1" customHeight="1" x14ac:dyDescent="0.25">
      <c r="A180" s="65" t="s">
        <v>404</v>
      </c>
      <c r="B180" s="65" t="s">
        <v>41</v>
      </c>
      <c r="C180" s="65" t="s">
        <v>44</v>
      </c>
      <c r="D180" s="65" t="s">
        <v>405</v>
      </c>
      <c r="E180" s="65" t="s">
        <v>1201</v>
      </c>
      <c r="F180" s="65" t="s">
        <v>1870</v>
      </c>
      <c r="G180" s="65" t="s">
        <v>67</v>
      </c>
      <c r="H180" s="65" t="s">
        <v>1871</v>
      </c>
      <c r="I180" s="65" t="s">
        <v>1872</v>
      </c>
      <c r="J180" s="67">
        <v>10</v>
      </c>
      <c r="K180" s="73" t="s">
        <v>768</v>
      </c>
      <c r="L180" s="7" t="s">
        <v>1139</v>
      </c>
      <c r="M180" s="146" t="s">
        <v>171</v>
      </c>
      <c r="N180" s="7" t="s">
        <v>376</v>
      </c>
      <c r="O180" s="7" t="s">
        <v>375</v>
      </c>
      <c r="P180" s="12" t="s">
        <v>1825</v>
      </c>
      <c r="Q180" s="71" t="s">
        <v>979</v>
      </c>
      <c r="R180" s="71" t="s">
        <v>1873</v>
      </c>
      <c r="S180" s="71" t="s">
        <v>981</v>
      </c>
      <c r="T180" s="71"/>
      <c r="U180" s="71"/>
      <c r="V180" s="71" t="s">
        <v>375</v>
      </c>
      <c r="W180" s="71" t="s">
        <v>1658</v>
      </c>
      <c r="X180" s="71" t="s">
        <v>775</v>
      </c>
      <c r="Y180" s="71" t="s">
        <v>776</v>
      </c>
      <c r="Z180" s="2" t="s">
        <v>1282</v>
      </c>
      <c r="AA180" s="2" t="s">
        <v>1283</v>
      </c>
      <c r="AB180" s="2" t="s">
        <v>1659</v>
      </c>
      <c r="AC180" s="2" t="s">
        <v>1660</v>
      </c>
      <c r="AD180" s="2" t="s">
        <v>781</v>
      </c>
      <c r="AE180" s="2" t="s">
        <v>171</v>
      </c>
      <c r="AF180" s="2" t="s">
        <v>782</v>
      </c>
      <c r="AG180" s="2" t="s">
        <v>781</v>
      </c>
      <c r="AH180" s="111">
        <v>0</v>
      </c>
      <c r="AI180" s="111">
        <v>0</v>
      </c>
      <c r="AJ180" s="111">
        <f t="shared" si="10"/>
        <v>0</v>
      </c>
      <c r="AK180" s="111">
        <f t="shared" si="11"/>
        <v>0</v>
      </c>
      <c r="AL180" s="2" t="s">
        <v>171</v>
      </c>
      <c r="AM180" s="2" t="s">
        <v>783</v>
      </c>
      <c r="AN180" s="2" t="s">
        <v>784</v>
      </c>
      <c r="AO180" s="2" t="s">
        <v>785</v>
      </c>
    </row>
    <row r="181" spans="1:41" ht="45.95" hidden="1" customHeight="1" x14ac:dyDescent="0.25">
      <c r="A181" s="65" t="s">
        <v>407</v>
      </c>
      <c r="B181" s="65" t="s">
        <v>41</v>
      </c>
      <c r="C181" s="65" t="s">
        <v>44</v>
      </c>
      <c r="D181" s="65" t="s">
        <v>408</v>
      </c>
      <c r="E181" s="65" t="s">
        <v>1201</v>
      </c>
      <c r="F181" s="65" t="s">
        <v>1874</v>
      </c>
      <c r="G181" s="65" t="s">
        <v>67</v>
      </c>
      <c r="H181" s="65" t="s">
        <v>1875</v>
      </c>
      <c r="I181" s="65" t="s">
        <v>1876</v>
      </c>
      <c r="J181" s="67">
        <v>12</v>
      </c>
      <c r="K181" s="73" t="s">
        <v>768</v>
      </c>
      <c r="L181" s="7" t="s">
        <v>1139</v>
      </c>
      <c r="M181" s="146" t="s">
        <v>171</v>
      </c>
      <c r="N181" s="7" t="s">
        <v>376</v>
      </c>
      <c r="O181" s="7" t="s">
        <v>375</v>
      </c>
      <c r="P181" s="12" t="s">
        <v>1825</v>
      </c>
      <c r="Q181" s="71" t="s">
        <v>979</v>
      </c>
      <c r="R181" s="71" t="s">
        <v>1877</v>
      </c>
      <c r="S181" s="74" t="s">
        <v>1011</v>
      </c>
      <c r="T181" s="74" t="s">
        <v>1779</v>
      </c>
      <c r="U181" s="74" t="s">
        <v>1780</v>
      </c>
      <c r="V181" s="71" t="s">
        <v>375</v>
      </c>
      <c r="W181" s="71" t="s">
        <v>1658</v>
      </c>
      <c r="X181" s="74" t="s">
        <v>1015</v>
      </c>
      <c r="Y181" s="71" t="s">
        <v>776</v>
      </c>
      <c r="Z181" s="2" t="s">
        <v>1282</v>
      </c>
      <c r="AA181" s="2" t="s">
        <v>1283</v>
      </c>
      <c r="AB181" s="2" t="s">
        <v>1659</v>
      </c>
      <c r="AC181" s="2" t="s">
        <v>1660</v>
      </c>
      <c r="AD181" s="2" t="s">
        <v>781</v>
      </c>
      <c r="AE181" s="2" t="s">
        <v>171</v>
      </c>
      <c r="AF181" s="2" t="s">
        <v>782</v>
      </c>
      <c r="AG181" s="2" t="s">
        <v>781</v>
      </c>
      <c r="AH181" s="111">
        <v>0</v>
      </c>
      <c r="AI181" s="111">
        <v>0</v>
      </c>
      <c r="AJ181" s="111">
        <f t="shared" si="10"/>
        <v>0</v>
      </c>
      <c r="AK181" s="111">
        <f t="shared" si="11"/>
        <v>0</v>
      </c>
      <c r="AL181" s="2" t="s">
        <v>171</v>
      </c>
      <c r="AM181" s="2" t="s">
        <v>783</v>
      </c>
      <c r="AN181" s="2" t="s">
        <v>784</v>
      </c>
      <c r="AO181" s="2" t="s">
        <v>785</v>
      </c>
    </row>
    <row r="182" spans="1:41" ht="45.95" hidden="1" customHeight="1" x14ac:dyDescent="0.25">
      <c r="A182" s="65" t="s">
        <v>410</v>
      </c>
      <c r="B182" s="65" t="s">
        <v>41</v>
      </c>
      <c r="C182" s="65" t="s">
        <v>44</v>
      </c>
      <c r="D182" s="65" t="s">
        <v>411</v>
      </c>
      <c r="E182" s="65" t="s">
        <v>1201</v>
      </c>
      <c r="F182" s="65" t="s">
        <v>1878</v>
      </c>
      <c r="G182" s="65" t="s">
        <v>67</v>
      </c>
      <c r="H182" s="65" t="s">
        <v>1879</v>
      </c>
      <c r="I182" s="65" t="s">
        <v>1880</v>
      </c>
      <c r="J182" s="67">
        <v>12</v>
      </c>
      <c r="K182" s="73" t="s">
        <v>768</v>
      </c>
      <c r="L182" s="7" t="s">
        <v>1139</v>
      </c>
      <c r="M182" s="146" t="s">
        <v>171</v>
      </c>
      <c r="N182" s="7" t="s">
        <v>376</v>
      </c>
      <c r="O182" s="7" t="s">
        <v>375</v>
      </c>
      <c r="P182" s="12" t="s">
        <v>1825</v>
      </c>
      <c r="Q182" s="71" t="s">
        <v>979</v>
      </c>
      <c r="R182" s="71" t="s">
        <v>1881</v>
      </c>
      <c r="S182" s="71" t="s">
        <v>981</v>
      </c>
      <c r="T182" s="71"/>
      <c r="U182" s="71"/>
      <c r="V182" s="71" t="s">
        <v>375</v>
      </c>
      <c r="W182" s="71" t="s">
        <v>1658</v>
      </c>
      <c r="X182" s="71" t="s">
        <v>775</v>
      </c>
      <c r="Y182" s="71" t="s">
        <v>776</v>
      </c>
      <c r="Z182" s="2" t="s">
        <v>1282</v>
      </c>
      <c r="AA182" s="2" t="s">
        <v>1283</v>
      </c>
      <c r="AB182" s="2" t="s">
        <v>1659</v>
      </c>
      <c r="AC182" s="2" t="s">
        <v>1660</v>
      </c>
      <c r="AD182" s="2" t="s">
        <v>781</v>
      </c>
      <c r="AE182" s="2" t="s">
        <v>171</v>
      </c>
      <c r="AF182" s="2" t="s">
        <v>782</v>
      </c>
      <c r="AG182" s="2" t="s">
        <v>781</v>
      </c>
      <c r="AH182" s="111">
        <v>0</v>
      </c>
      <c r="AI182" s="111">
        <v>0</v>
      </c>
      <c r="AJ182" s="111">
        <f t="shared" si="10"/>
        <v>0</v>
      </c>
      <c r="AK182" s="111">
        <f t="shared" si="11"/>
        <v>0</v>
      </c>
      <c r="AL182" s="2" t="s">
        <v>171</v>
      </c>
      <c r="AM182" s="2" t="s">
        <v>783</v>
      </c>
      <c r="AN182" s="2" t="s">
        <v>784</v>
      </c>
      <c r="AO182" s="2" t="s">
        <v>785</v>
      </c>
    </row>
    <row r="183" spans="1:41" ht="45.95" hidden="1" customHeight="1" x14ac:dyDescent="0.25">
      <c r="A183" s="65" t="s">
        <v>416</v>
      </c>
      <c r="B183" s="65" t="s">
        <v>41</v>
      </c>
      <c r="C183" s="65" t="s">
        <v>40</v>
      </c>
      <c r="D183" s="65" t="s">
        <v>417</v>
      </c>
      <c r="E183" s="65" t="s">
        <v>820</v>
      </c>
      <c r="F183" s="65" t="s">
        <v>1882</v>
      </c>
      <c r="G183" s="65" t="s">
        <v>68</v>
      </c>
      <c r="H183" s="65" t="s">
        <v>1883</v>
      </c>
      <c r="I183" s="65" t="s">
        <v>1884</v>
      </c>
      <c r="J183" s="67">
        <v>10</v>
      </c>
      <c r="K183" s="73" t="s">
        <v>768</v>
      </c>
      <c r="L183" s="7" t="s">
        <v>1139</v>
      </c>
      <c r="M183" s="146" t="s">
        <v>171</v>
      </c>
      <c r="N183" s="7" t="s">
        <v>376</v>
      </c>
      <c r="O183" s="7" t="s">
        <v>375</v>
      </c>
      <c r="P183" s="12" t="s">
        <v>1825</v>
      </c>
      <c r="Q183" s="71" t="s">
        <v>979</v>
      </c>
      <c r="R183" s="71" t="s">
        <v>1885</v>
      </c>
      <c r="S183" s="74" t="s">
        <v>1011</v>
      </c>
      <c r="T183" s="74" t="s">
        <v>1787</v>
      </c>
      <c r="U183" s="74" t="s">
        <v>1788</v>
      </c>
      <c r="V183" s="71" t="s">
        <v>375</v>
      </c>
      <c r="W183" s="71" t="s">
        <v>1658</v>
      </c>
      <c r="X183" s="74" t="s">
        <v>1015</v>
      </c>
      <c r="Y183" s="71" t="s">
        <v>776</v>
      </c>
      <c r="Z183" s="2" t="s">
        <v>1282</v>
      </c>
      <c r="AA183" s="2" t="s">
        <v>1283</v>
      </c>
      <c r="AB183" s="2" t="s">
        <v>1659</v>
      </c>
      <c r="AC183" s="2" t="s">
        <v>1660</v>
      </c>
      <c r="AD183" s="2" t="s">
        <v>781</v>
      </c>
      <c r="AE183" s="2" t="s">
        <v>171</v>
      </c>
      <c r="AF183" s="2" t="s">
        <v>782</v>
      </c>
      <c r="AG183" s="2" t="s">
        <v>781</v>
      </c>
      <c r="AH183" s="111">
        <v>0</v>
      </c>
      <c r="AI183" s="111">
        <v>0</v>
      </c>
      <c r="AJ183" s="111">
        <f t="shared" si="10"/>
        <v>0</v>
      </c>
      <c r="AK183" s="111">
        <f t="shared" si="11"/>
        <v>0</v>
      </c>
      <c r="AL183" s="2" t="s">
        <v>171</v>
      </c>
      <c r="AM183" s="2" t="s">
        <v>783</v>
      </c>
      <c r="AN183" s="2" t="s">
        <v>784</v>
      </c>
      <c r="AO183" s="2" t="s">
        <v>785</v>
      </c>
    </row>
    <row r="184" spans="1:41" ht="45.95" hidden="1" customHeight="1" x14ac:dyDescent="0.25">
      <c r="A184" s="66" t="s">
        <v>261</v>
      </c>
      <c r="B184" s="66" t="s">
        <v>41</v>
      </c>
      <c r="C184" s="66" t="s">
        <v>47</v>
      </c>
      <c r="D184" s="66" t="s">
        <v>420</v>
      </c>
      <c r="E184" s="66" t="s">
        <v>826</v>
      </c>
      <c r="F184" s="66" t="s">
        <v>1886</v>
      </c>
      <c r="G184" s="66" t="s">
        <v>67</v>
      </c>
      <c r="H184" s="66" t="s">
        <v>1887</v>
      </c>
      <c r="I184" s="66" t="s">
        <v>1888</v>
      </c>
      <c r="J184" s="66">
        <v>12</v>
      </c>
      <c r="K184" s="66" t="s">
        <v>1028</v>
      </c>
      <c r="L184" s="7" t="s">
        <v>1139</v>
      </c>
      <c r="M184" s="7" t="s">
        <v>86</v>
      </c>
      <c r="N184" s="7" t="s">
        <v>422</v>
      </c>
      <c r="O184" s="7" t="s">
        <v>1889</v>
      </c>
      <c r="P184" s="12" t="s">
        <v>1890</v>
      </c>
      <c r="Q184" s="71" t="s">
        <v>1028</v>
      </c>
      <c r="R184" s="71"/>
      <c r="S184" s="75" t="s">
        <v>1073</v>
      </c>
      <c r="T184" s="75" t="s">
        <v>1613</v>
      </c>
      <c r="U184" s="75" t="s">
        <v>1614</v>
      </c>
      <c r="V184" s="71" t="s">
        <v>1889</v>
      </c>
      <c r="W184" s="71" t="s">
        <v>1492</v>
      </c>
      <c r="X184" s="76" t="s">
        <v>1077</v>
      </c>
      <c r="Y184" s="71" t="s">
        <v>776</v>
      </c>
      <c r="Z184" s="2" t="s">
        <v>1282</v>
      </c>
      <c r="AA184" s="2" t="s">
        <v>1283</v>
      </c>
      <c r="AB184" s="2" t="s">
        <v>1284</v>
      </c>
      <c r="AC184" s="2" t="s">
        <v>1664</v>
      </c>
      <c r="AD184" s="2" t="s">
        <v>1042</v>
      </c>
      <c r="AE184" s="2" t="s">
        <v>1139</v>
      </c>
      <c r="AF184" s="2" t="s">
        <v>1615</v>
      </c>
      <c r="AG184" s="2" t="s">
        <v>1079</v>
      </c>
      <c r="AH184" s="111">
        <v>10</v>
      </c>
      <c r="AI184" s="111">
        <v>1.5</v>
      </c>
      <c r="AJ184" s="111">
        <f t="shared" si="10"/>
        <v>1.2</v>
      </c>
      <c r="AK184" s="111">
        <f t="shared" si="11"/>
        <v>1.7999999999999998</v>
      </c>
      <c r="AL184" s="2" t="s">
        <v>1617</v>
      </c>
      <c r="AM184" s="2" t="s">
        <v>1891</v>
      </c>
      <c r="AN184" s="2" t="s">
        <v>1619</v>
      </c>
      <c r="AO184" s="2" t="s">
        <v>1023</v>
      </c>
    </row>
    <row r="185" spans="1:41" ht="45.95" hidden="1" customHeight="1" x14ac:dyDescent="0.25">
      <c r="A185" s="66" t="s">
        <v>429</v>
      </c>
      <c r="B185" s="66" t="s">
        <v>41</v>
      </c>
      <c r="C185" s="66" t="s">
        <v>47</v>
      </c>
      <c r="D185" s="66" t="s">
        <v>430</v>
      </c>
      <c r="E185" s="66" t="s">
        <v>1201</v>
      </c>
      <c r="F185" s="66" t="s">
        <v>1892</v>
      </c>
      <c r="G185" s="66" t="s">
        <v>67</v>
      </c>
      <c r="H185" s="66" t="s">
        <v>1893</v>
      </c>
      <c r="I185" s="66" t="s">
        <v>1894</v>
      </c>
      <c r="J185" s="66">
        <v>12</v>
      </c>
      <c r="K185" s="66" t="s">
        <v>1028</v>
      </c>
      <c r="L185" s="7" t="s">
        <v>1139</v>
      </c>
      <c r="M185" s="7" t="s">
        <v>86</v>
      </c>
      <c r="N185" s="7" t="s">
        <v>422</v>
      </c>
      <c r="O185" s="7" t="s">
        <v>1895</v>
      </c>
      <c r="P185" s="12" t="s">
        <v>1896</v>
      </c>
      <c r="Q185" s="71" t="s">
        <v>1028</v>
      </c>
      <c r="R185" s="71"/>
      <c r="S185" s="75" t="s">
        <v>1073</v>
      </c>
      <c r="T185" s="75" t="s">
        <v>1897</v>
      </c>
      <c r="U185" s="75" t="s">
        <v>1898</v>
      </c>
      <c r="V185" s="71" t="s">
        <v>1895</v>
      </c>
      <c r="W185" s="71" t="s">
        <v>1492</v>
      </c>
      <c r="X185" s="76" t="s">
        <v>1077</v>
      </c>
      <c r="Y185" s="71" t="s">
        <v>776</v>
      </c>
      <c r="Z185" s="2" t="s">
        <v>1282</v>
      </c>
      <c r="AA185" s="2" t="s">
        <v>1283</v>
      </c>
      <c r="AB185" s="2" t="s">
        <v>1284</v>
      </c>
      <c r="AC185" s="2" t="s">
        <v>1664</v>
      </c>
      <c r="AD185" s="2" t="s">
        <v>1042</v>
      </c>
      <c r="AE185" s="2" t="s">
        <v>1139</v>
      </c>
      <c r="AF185" s="2" t="s">
        <v>1615</v>
      </c>
      <c r="AG185" s="2" t="s">
        <v>1616</v>
      </c>
      <c r="AH185" s="111">
        <v>10</v>
      </c>
      <c r="AI185" s="111">
        <v>1.5</v>
      </c>
      <c r="AJ185" s="111">
        <f t="shared" si="10"/>
        <v>1.2</v>
      </c>
      <c r="AK185" s="111">
        <f t="shared" si="11"/>
        <v>1.7999999999999998</v>
      </c>
      <c r="AL185" s="2" t="s">
        <v>1617</v>
      </c>
      <c r="AM185" s="2" t="s">
        <v>1895</v>
      </c>
      <c r="AN185" s="2" t="s">
        <v>1619</v>
      </c>
      <c r="AO185" s="2" t="s">
        <v>1023</v>
      </c>
    </row>
    <row r="186" spans="1:41" ht="45.95" hidden="1" customHeight="1" x14ac:dyDescent="0.25">
      <c r="A186" s="66" t="s">
        <v>443</v>
      </c>
      <c r="B186" s="66" t="s">
        <v>41</v>
      </c>
      <c r="C186" s="66" t="s">
        <v>49</v>
      </c>
      <c r="D186" s="66" t="s">
        <v>444</v>
      </c>
      <c r="E186" s="66" t="s">
        <v>1201</v>
      </c>
      <c r="F186" s="66" t="s">
        <v>1892</v>
      </c>
      <c r="G186" s="66" t="s">
        <v>67</v>
      </c>
      <c r="H186" s="66" t="s">
        <v>1899</v>
      </c>
      <c r="I186" s="66" t="s">
        <v>1900</v>
      </c>
      <c r="J186" s="66">
        <v>12</v>
      </c>
      <c r="K186" s="66" t="s">
        <v>1028</v>
      </c>
      <c r="L186" s="7" t="s">
        <v>1139</v>
      </c>
      <c r="M186" s="7" t="s">
        <v>445</v>
      </c>
      <c r="N186" s="7" t="s">
        <v>447</v>
      </c>
      <c r="O186" s="7" t="s">
        <v>1901</v>
      </c>
      <c r="P186" s="12" t="s">
        <v>1902</v>
      </c>
      <c r="Q186" s="71" t="s">
        <v>1028</v>
      </c>
      <c r="R186" s="71"/>
      <c r="S186" s="75" t="s">
        <v>1073</v>
      </c>
      <c r="T186" s="75" t="s">
        <v>1903</v>
      </c>
      <c r="U186" s="75" t="s">
        <v>1904</v>
      </c>
      <c r="V186" s="71" t="s">
        <v>1901</v>
      </c>
      <c r="W186" s="71" t="s">
        <v>1636</v>
      </c>
      <c r="X186" s="76" t="s">
        <v>1077</v>
      </c>
      <c r="Y186" s="71" t="s">
        <v>776</v>
      </c>
      <c r="Z186" s="2" t="s">
        <v>1282</v>
      </c>
      <c r="AA186" s="2" t="s">
        <v>1283</v>
      </c>
      <c r="AB186" s="2" t="s">
        <v>1284</v>
      </c>
      <c r="AC186" s="2" t="s">
        <v>1664</v>
      </c>
      <c r="AD186" s="2" t="s">
        <v>1042</v>
      </c>
      <c r="AE186" s="2" t="s">
        <v>1139</v>
      </c>
      <c r="AF186" s="2" t="s">
        <v>1615</v>
      </c>
      <c r="AG186" s="2" t="s">
        <v>1616</v>
      </c>
      <c r="AH186" s="111">
        <v>10</v>
      </c>
      <c r="AI186" s="111">
        <v>1.5</v>
      </c>
      <c r="AJ186" s="111">
        <f t="shared" si="10"/>
        <v>1.2</v>
      </c>
      <c r="AK186" s="111">
        <f t="shared" si="11"/>
        <v>1.7999999999999998</v>
      </c>
      <c r="AL186" s="2" t="s">
        <v>1653</v>
      </c>
      <c r="AM186" s="2" t="s">
        <v>1905</v>
      </c>
      <c r="AN186" s="2" t="s">
        <v>1619</v>
      </c>
      <c r="AO186" s="2" t="s">
        <v>1023</v>
      </c>
    </row>
    <row r="187" spans="1:41" ht="45.95" hidden="1" customHeight="1" x14ac:dyDescent="0.25">
      <c r="A187" s="66" t="s">
        <v>448</v>
      </c>
      <c r="B187" s="66" t="s">
        <v>41</v>
      </c>
      <c r="C187" s="66" t="s">
        <v>49</v>
      </c>
      <c r="D187" s="66" t="s">
        <v>449</v>
      </c>
      <c r="E187" s="66" t="s">
        <v>832</v>
      </c>
      <c r="F187" s="66" t="s">
        <v>1834</v>
      </c>
      <c r="G187" s="66" t="s">
        <v>67</v>
      </c>
      <c r="H187" s="66" t="s">
        <v>1906</v>
      </c>
      <c r="I187" s="66" t="s">
        <v>1907</v>
      </c>
      <c r="J187" s="66">
        <v>12</v>
      </c>
      <c r="K187" s="66" t="s">
        <v>1028</v>
      </c>
      <c r="L187" s="7" t="s">
        <v>1139</v>
      </c>
      <c r="M187" s="7" t="s">
        <v>445</v>
      </c>
      <c r="N187" s="7" t="s">
        <v>447</v>
      </c>
      <c r="O187" s="7" t="s">
        <v>1908</v>
      </c>
      <c r="P187" s="12" t="s">
        <v>1909</v>
      </c>
      <c r="Q187" s="71" t="s">
        <v>1028</v>
      </c>
      <c r="R187" s="71"/>
      <c r="S187" s="75" t="s">
        <v>1073</v>
      </c>
      <c r="T187" s="75" t="s">
        <v>1910</v>
      </c>
      <c r="U187" s="75" t="s">
        <v>1911</v>
      </c>
      <c r="V187" s="71" t="s">
        <v>1908</v>
      </c>
      <c r="W187" s="71" t="s">
        <v>1636</v>
      </c>
      <c r="X187" s="76" t="s">
        <v>1077</v>
      </c>
      <c r="Y187" s="71" t="s">
        <v>776</v>
      </c>
      <c r="Z187" s="2" t="s">
        <v>1282</v>
      </c>
      <c r="AA187" s="2" t="s">
        <v>1283</v>
      </c>
      <c r="AB187" s="2" t="s">
        <v>1284</v>
      </c>
      <c r="AC187" s="2" t="s">
        <v>1664</v>
      </c>
      <c r="AD187" s="2" t="s">
        <v>1042</v>
      </c>
      <c r="AE187" s="2" t="s">
        <v>1139</v>
      </c>
      <c r="AF187" s="2" t="s">
        <v>1615</v>
      </c>
      <c r="AG187" s="2" t="s">
        <v>1616</v>
      </c>
      <c r="AH187" s="111">
        <v>10</v>
      </c>
      <c r="AI187" s="111">
        <v>1.5</v>
      </c>
      <c r="AJ187" s="111">
        <f t="shared" si="10"/>
        <v>1.2</v>
      </c>
      <c r="AK187" s="111">
        <f t="shared" si="11"/>
        <v>1.7999999999999998</v>
      </c>
      <c r="AL187" s="2" t="s">
        <v>1617</v>
      </c>
      <c r="AM187" s="2" t="s">
        <v>1912</v>
      </c>
      <c r="AN187" s="2" t="s">
        <v>1619</v>
      </c>
      <c r="AO187" s="2" t="s">
        <v>1023</v>
      </c>
    </row>
    <row r="188" spans="1:41" ht="45.95" hidden="1" customHeight="1" x14ac:dyDescent="0.25">
      <c r="A188" s="66" t="s">
        <v>463</v>
      </c>
      <c r="B188" s="66" t="s">
        <v>41</v>
      </c>
      <c r="C188" s="66" t="s">
        <v>49</v>
      </c>
      <c r="D188" s="66" t="s">
        <v>464</v>
      </c>
      <c r="E188" s="66" t="s">
        <v>1201</v>
      </c>
      <c r="F188" s="66" t="s">
        <v>1913</v>
      </c>
      <c r="G188" s="66" t="s">
        <v>67</v>
      </c>
      <c r="H188" s="66" t="s">
        <v>1914</v>
      </c>
      <c r="I188" s="66" t="s">
        <v>1915</v>
      </c>
      <c r="J188" s="66">
        <v>12</v>
      </c>
      <c r="K188" s="66" t="s">
        <v>1028</v>
      </c>
      <c r="L188" s="7" t="s">
        <v>1139</v>
      </c>
      <c r="M188" s="7" t="s">
        <v>465</v>
      </c>
      <c r="N188" s="7" t="s">
        <v>467</v>
      </c>
      <c r="O188" s="7" t="s">
        <v>1916</v>
      </c>
      <c r="P188" s="12" t="s">
        <v>1917</v>
      </c>
      <c r="Q188" s="71" t="s">
        <v>1028</v>
      </c>
      <c r="R188" s="71"/>
      <c r="S188" s="75" t="s">
        <v>1073</v>
      </c>
      <c r="T188" s="75" t="s">
        <v>1903</v>
      </c>
      <c r="U188" s="75" t="s">
        <v>1904</v>
      </c>
      <c r="V188" s="71" t="s">
        <v>1916</v>
      </c>
      <c r="W188" s="71" t="s">
        <v>1918</v>
      </c>
      <c r="X188" s="76" t="s">
        <v>1077</v>
      </c>
      <c r="Y188" s="71" t="s">
        <v>776</v>
      </c>
      <c r="Z188" s="2" t="s">
        <v>1282</v>
      </c>
      <c r="AA188" s="2" t="s">
        <v>1283</v>
      </c>
      <c r="AB188" s="2" t="s">
        <v>1284</v>
      </c>
      <c r="AC188" s="2" t="s">
        <v>1664</v>
      </c>
      <c r="AD188" s="2" t="s">
        <v>1042</v>
      </c>
      <c r="AE188" s="2" t="s">
        <v>1139</v>
      </c>
      <c r="AF188" s="2" t="s">
        <v>1615</v>
      </c>
      <c r="AG188" s="2" t="s">
        <v>1616</v>
      </c>
      <c r="AH188" s="111">
        <v>10</v>
      </c>
      <c r="AI188" s="111">
        <v>1.5</v>
      </c>
      <c r="AJ188" s="111">
        <f t="shared" si="10"/>
        <v>1.2</v>
      </c>
      <c r="AK188" s="111">
        <f t="shared" si="11"/>
        <v>1.7999999999999998</v>
      </c>
      <c r="AL188" s="2" t="s">
        <v>1653</v>
      </c>
      <c r="AM188" s="2" t="s">
        <v>1916</v>
      </c>
      <c r="AN188" s="2" t="s">
        <v>1619</v>
      </c>
      <c r="AO188" s="2" t="s">
        <v>1023</v>
      </c>
    </row>
    <row r="189" spans="1:41" ht="45.95" hidden="1" customHeight="1" x14ac:dyDescent="0.25">
      <c r="A189" s="66" t="s">
        <v>460</v>
      </c>
      <c r="B189" s="66" t="s">
        <v>41</v>
      </c>
      <c r="C189" s="66" t="s">
        <v>49</v>
      </c>
      <c r="D189" s="66" t="s">
        <v>461</v>
      </c>
      <c r="E189" s="66" t="s">
        <v>788</v>
      </c>
      <c r="F189" s="66" t="s">
        <v>1919</v>
      </c>
      <c r="G189" s="66" t="s">
        <v>67</v>
      </c>
      <c r="H189" s="66" t="s">
        <v>1920</v>
      </c>
      <c r="I189" s="66" t="s">
        <v>1921</v>
      </c>
      <c r="J189" s="66">
        <v>10</v>
      </c>
      <c r="K189" s="66" t="s">
        <v>1028</v>
      </c>
      <c r="L189" s="7" t="s">
        <v>1139</v>
      </c>
      <c r="M189" s="7" t="s">
        <v>445</v>
      </c>
      <c r="N189" s="7" t="s">
        <v>447</v>
      </c>
      <c r="O189" s="7" t="s">
        <v>1922</v>
      </c>
      <c r="P189" s="12" t="s">
        <v>1923</v>
      </c>
      <c r="Q189" s="71" t="s">
        <v>1028</v>
      </c>
      <c r="R189" s="71"/>
      <c r="S189" s="75" t="s">
        <v>1073</v>
      </c>
      <c r="T189" s="75" t="s">
        <v>1641</v>
      </c>
      <c r="U189" s="75" t="s">
        <v>1642</v>
      </c>
      <c r="V189" s="71" t="s">
        <v>1922</v>
      </c>
      <c r="W189" s="71" t="s">
        <v>1636</v>
      </c>
      <c r="X189" s="76" t="s">
        <v>1077</v>
      </c>
      <c r="Y189" s="71" t="s">
        <v>776</v>
      </c>
      <c r="Z189" s="2" t="s">
        <v>1282</v>
      </c>
      <c r="AA189" s="2" t="s">
        <v>1283</v>
      </c>
      <c r="AB189" s="2" t="s">
        <v>1284</v>
      </c>
      <c r="AC189" s="2" t="s">
        <v>1664</v>
      </c>
      <c r="AD189" s="2" t="s">
        <v>1042</v>
      </c>
      <c r="AE189" s="2" t="s">
        <v>1139</v>
      </c>
      <c r="AF189" s="2" t="s">
        <v>1615</v>
      </c>
      <c r="AG189" s="2" t="s">
        <v>1029</v>
      </c>
      <c r="AH189" s="111">
        <v>9</v>
      </c>
      <c r="AI189" s="111">
        <v>1.5</v>
      </c>
      <c r="AJ189" s="111">
        <f t="shared" si="10"/>
        <v>1.1111111111111112</v>
      </c>
      <c r="AK189" s="111">
        <f t="shared" si="11"/>
        <v>1.6666666666666667</v>
      </c>
      <c r="AL189" s="2" t="s">
        <v>1653</v>
      </c>
      <c r="AM189" s="2" t="s">
        <v>1922</v>
      </c>
      <c r="AN189" s="2" t="s">
        <v>1619</v>
      </c>
      <c r="AO189" s="2" t="s">
        <v>1023</v>
      </c>
    </row>
    <row r="190" spans="1:41" ht="45.95" hidden="1" customHeight="1" x14ac:dyDescent="0.25">
      <c r="A190" s="66" t="s">
        <v>492</v>
      </c>
      <c r="B190" s="66" t="s">
        <v>41</v>
      </c>
      <c r="C190" s="66" t="s">
        <v>52</v>
      </c>
      <c r="D190" s="66" t="s">
        <v>493</v>
      </c>
      <c r="E190" s="66" t="s">
        <v>788</v>
      </c>
      <c r="F190" s="66" t="s">
        <v>1924</v>
      </c>
      <c r="G190" s="66" t="s">
        <v>67</v>
      </c>
      <c r="H190" s="66" t="s">
        <v>1925</v>
      </c>
      <c r="I190" s="66" t="s">
        <v>1926</v>
      </c>
      <c r="J190" s="66">
        <v>12</v>
      </c>
      <c r="K190" s="66" t="s">
        <v>1028</v>
      </c>
      <c r="L190" s="7" t="s">
        <v>1139</v>
      </c>
      <c r="M190" s="7" t="s">
        <v>471</v>
      </c>
      <c r="N190" s="7" t="s">
        <v>473</v>
      </c>
      <c r="O190" s="7" t="s">
        <v>494</v>
      </c>
      <c r="P190" s="12" t="s">
        <v>1825</v>
      </c>
      <c r="Q190" s="71" t="s">
        <v>1028</v>
      </c>
      <c r="R190" s="71"/>
      <c r="S190" s="75" t="s">
        <v>1073</v>
      </c>
      <c r="T190" s="75" t="s">
        <v>1641</v>
      </c>
      <c r="U190" s="75" t="s">
        <v>1642</v>
      </c>
      <c r="V190" s="71" t="s">
        <v>494</v>
      </c>
      <c r="W190" s="71" t="s">
        <v>1663</v>
      </c>
      <c r="X190" s="76" t="s">
        <v>1077</v>
      </c>
      <c r="Y190" s="71" t="s">
        <v>776</v>
      </c>
      <c r="Z190" s="2" t="s">
        <v>1282</v>
      </c>
      <c r="AA190" s="2" t="s">
        <v>1283</v>
      </c>
      <c r="AB190" s="2" t="s">
        <v>1284</v>
      </c>
      <c r="AC190" s="2" t="s">
        <v>1285</v>
      </c>
      <c r="AD190" s="2" t="s">
        <v>1042</v>
      </c>
      <c r="AE190" s="2" t="s">
        <v>1139</v>
      </c>
      <c r="AF190" s="2" t="s">
        <v>1615</v>
      </c>
      <c r="AG190" s="2" t="s">
        <v>1029</v>
      </c>
      <c r="AH190" s="111">
        <v>9</v>
      </c>
      <c r="AI190" s="111">
        <v>1.5</v>
      </c>
      <c r="AJ190" s="111">
        <f t="shared" si="10"/>
        <v>1.3333333333333333</v>
      </c>
      <c r="AK190" s="111">
        <f t="shared" si="11"/>
        <v>2</v>
      </c>
      <c r="AL190" s="2" t="s">
        <v>1669</v>
      </c>
      <c r="AM190" s="2" t="s">
        <v>494</v>
      </c>
      <c r="AN190" s="2" t="s">
        <v>1619</v>
      </c>
      <c r="AO190" s="2" t="s">
        <v>1023</v>
      </c>
    </row>
    <row r="191" spans="1:41" ht="45.95" hidden="1" customHeight="1" x14ac:dyDescent="0.25">
      <c r="A191" s="66" t="s">
        <v>495</v>
      </c>
      <c r="B191" s="66" t="s">
        <v>41</v>
      </c>
      <c r="C191" s="66" t="s">
        <v>52</v>
      </c>
      <c r="D191" s="66" t="s">
        <v>496</v>
      </c>
      <c r="E191" s="66" t="s">
        <v>788</v>
      </c>
      <c r="F191" s="66" t="s">
        <v>1927</v>
      </c>
      <c r="G191" s="66" t="s">
        <v>67</v>
      </c>
      <c r="H191" s="66" t="s">
        <v>1928</v>
      </c>
      <c r="I191" s="66" t="s">
        <v>1929</v>
      </c>
      <c r="J191" s="66">
        <v>12</v>
      </c>
      <c r="K191" s="66" t="s">
        <v>1028</v>
      </c>
      <c r="L191" s="7" t="s">
        <v>1139</v>
      </c>
      <c r="M191" s="7" t="s">
        <v>471</v>
      </c>
      <c r="N191" s="7" t="s">
        <v>473</v>
      </c>
      <c r="O191" s="7" t="s">
        <v>497</v>
      </c>
      <c r="P191" s="12" t="s">
        <v>1825</v>
      </c>
      <c r="Q191" s="71" t="s">
        <v>1028</v>
      </c>
      <c r="R191" s="71"/>
      <c r="S191" s="71" t="s">
        <v>774</v>
      </c>
      <c r="T191" s="71"/>
      <c r="U191" s="71"/>
      <c r="V191" s="71" t="s">
        <v>497</v>
      </c>
      <c r="W191" s="71" t="s">
        <v>1663</v>
      </c>
      <c r="X191" s="71" t="s">
        <v>775</v>
      </c>
      <c r="Y191" s="71" t="s">
        <v>776</v>
      </c>
      <c r="Z191" s="2" t="s">
        <v>1282</v>
      </c>
      <c r="AA191" s="2" t="s">
        <v>1283</v>
      </c>
      <c r="AB191" s="2" t="s">
        <v>1284</v>
      </c>
      <c r="AC191" s="2" t="s">
        <v>1285</v>
      </c>
      <c r="AD191" s="2" t="s">
        <v>1042</v>
      </c>
      <c r="AE191" s="2" t="s">
        <v>1139</v>
      </c>
      <c r="AF191" s="2" t="s">
        <v>1615</v>
      </c>
      <c r="AG191" s="2" t="s">
        <v>1029</v>
      </c>
      <c r="AH191" s="111">
        <v>9</v>
      </c>
      <c r="AI191" s="111">
        <v>1.5</v>
      </c>
      <c r="AJ191" s="111">
        <f t="shared" si="10"/>
        <v>1.3333333333333333</v>
      </c>
      <c r="AK191" s="111">
        <f t="shared" si="11"/>
        <v>2</v>
      </c>
      <c r="AL191" s="2" t="s">
        <v>1669</v>
      </c>
      <c r="AM191" s="2" t="s">
        <v>497</v>
      </c>
      <c r="AN191" s="2" t="s">
        <v>1619</v>
      </c>
      <c r="AO191" s="2" t="s">
        <v>1023</v>
      </c>
    </row>
    <row r="192" spans="1:41" ht="45.95" hidden="1" customHeight="1" x14ac:dyDescent="0.25">
      <c r="A192" s="66" t="s">
        <v>336</v>
      </c>
      <c r="B192" s="66" t="s">
        <v>41</v>
      </c>
      <c r="C192" s="66" t="s">
        <v>52</v>
      </c>
      <c r="D192" s="66" t="s">
        <v>498</v>
      </c>
      <c r="E192" s="66" t="s">
        <v>1201</v>
      </c>
      <c r="F192" s="66" t="s">
        <v>1930</v>
      </c>
      <c r="G192" s="66" t="s">
        <v>68</v>
      </c>
      <c r="H192" s="66" t="s">
        <v>1931</v>
      </c>
      <c r="I192" s="66" t="s">
        <v>1932</v>
      </c>
      <c r="J192" s="66">
        <v>12</v>
      </c>
      <c r="K192" s="66" t="s">
        <v>1028</v>
      </c>
      <c r="L192" s="7" t="s">
        <v>1139</v>
      </c>
      <c r="M192" s="7" t="s">
        <v>471</v>
      </c>
      <c r="N192" s="7" t="s">
        <v>473</v>
      </c>
      <c r="O192" s="7" t="s">
        <v>499</v>
      </c>
      <c r="P192" s="12" t="s">
        <v>1825</v>
      </c>
      <c r="Q192" s="71" t="s">
        <v>1028</v>
      </c>
      <c r="R192" s="71"/>
      <c r="S192" s="71" t="s">
        <v>774</v>
      </c>
      <c r="T192" s="71"/>
      <c r="U192" s="71"/>
      <c r="V192" s="71" t="s">
        <v>499</v>
      </c>
      <c r="W192" s="71" t="s">
        <v>1663</v>
      </c>
      <c r="X192" s="71" t="s">
        <v>775</v>
      </c>
      <c r="Y192" s="71" t="s">
        <v>776</v>
      </c>
      <c r="Z192" s="2" t="s">
        <v>1282</v>
      </c>
      <c r="AA192" s="2" t="s">
        <v>1283</v>
      </c>
      <c r="AB192" s="2" t="s">
        <v>1284</v>
      </c>
      <c r="AC192" s="2" t="s">
        <v>1285</v>
      </c>
      <c r="AD192" s="2" t="s">
        <v>1042</v>
      </c>
      <c r="AE192" s="2" t="s">
        <v>1139</v>
      </c>
      <c r="AF192" s="2" t="s">
        <v>1615</v>
      </c>
      <c r="AG192" s="2" t="s">
        <v>1616</v>
      </c>
      <c r="AH192" s="111">
        <v>10</v>
      </c>
      <c r="AI192" s="111">
        <v>1.5</v>
      </c>
      <c r="AJ192" s="111">
        <f t="shared" si="10"/>
        <v>1.2</v>
      </c>
      <c r="AK192" s="111">
        <f t="shared" si="11"/>
        <v>1.7999999999999998</v>
      </c>
      <c r="AL192" s="2" t="s">
        <v>1669</v>
      </c>
      <c r="AM192" s="2" t="s">
        <v>499</v>
      </c>
      <c r="AN192" s="2" t="s">
        <v>1619</v>
      </c>
      <c r="AO192" s="2" t="s">
        <v>1023</v>
      </c>
    </row>
    <row r="193" spans="1:41" ht="45.95" hidden="1" customHeight="1" x14ac:dyDescent="0.25">
      <c r="A193" s="66" t="s">
        <v>515</v>
      </c>
      <c r="B193" s="66" t="s">
        <v>41</v>
      </c>
      <c r="C193" s="66" t="s">
        <v>55</v>
      </c>
      <c r="D193" s="66" t="s">
        <v>516</v>
      </c>
      <c r="E193" s="66" t="s">
        <v>820</v>
      </c>
      <c r="F193" s="66" t="s">
        <v>1933</v>
      </c>
      <c r="G193" s="66" t="s">
        <v>67</v>
      </c>
      <c r="H193" s="66" t="s">
        <v>1934</v>
      </c>
      <c r="I193" s="66" t="s">
        <v>1935</v>
      </c>
      <c r="J193" s="66">
        <v>10</v>
      </c>
      <c r="K193" s="66" t="s">
        <v>1028</v>
      </c>
      <c r="L193" s="7" t="s">
        <v>1139</v>
      </c>
      <c r="M193" s="7" t="s">
        <v>517</v>
      </c>
      <c r="N193" s="7" t="s">
        <v>519</v>
      </c>
      <c r="O193" s="7" t="s">
        <v>518</v>
      </c>
      <c r="P193" s="12" t="s">
        <v>1825</v>
      </c>
      <c r="Q193" s="71" t="s">
        <v>1028</v>
      </c>
      <c r="R193" s="71"/>
      <c r="S193" s="71" t="s">
        <v>774</v>
      </c>
      <c r="T193" s="71"/>
      <c r="U193" s="71"/>
      <c r="V193" s="71" t="s">
        <v>518</v>
      </c>
      <c r="W193" s="71" t="s">
        <v>1936</v>
      </c>
      <c r="X193" s="71" t="s">
        <v>775</v>
      </c>
      <c r="Y193" s="71" t="s">
        <v>776</v>
      </c>
      <c r="Z193" s="2" t="s">
        <v>1282</v>
      </c>
      <c r="AA193" s="2" t="s">
        <v>1283</v>
      </c>
      <c r="AB193" s="2" t="s">
        <v>1284</v>
      </c>
      <c r="AC193" s="2" t="s">
        <v>1285</v>
      </c>
      <c r="AD193" s="2" t="s">
        <v>1042</v>
      </c>
      <c r="AE193" s="2" t="s">
        <v>1139</v>
      </c>
      <c r="AF193" s="2" t="s">
        <v>1615</v>
      </c>
      <c r="AG193" s="2" t="s">
        <v>1227</v>
      </c>
      <c r="AH193" s="111">
        <v>10</v>
      </c>
      <c r="AI193" s="111">
        <v>1.7</v>
      </c>
      <c r="AJ193" s="111">
        <f t="shared" si="10"/>
        <v>1</v>
      </c>
      <c r="AK193" s="111">
        <f t="shared" si="11"/>
        <v>1.7</v>
      </c>
      <c r="AL193" s="2" t="s">
        <v>1665</v>
      </c>
      <c r="AM193" s="2" t="s">
        <v>518</v>
      </c>
      <c r="AN193" s="2" t="s">
        <v>1619</v>
      </c>
      <c r="AO193" s="2" t="s">
        <v>1023</v>
      </c>
    </row>
    <row r="194" spans="1:41" ht="45.95" hidden="1" customHeight="1" x14ac:dyDescent="0.25">
      <c r="A194" s="66" t="s">
        <v>340</v>
      </c>
      <c r="B194" s="66" t="s">
        <v>41</v>
      </c>
      <c r="C194" s="66" t="s">
        <v>55</v>
      </c>
      <c r="D194" s="66" t="s">
        <v>511</v>
      </c>
      <c r="E194" s="66" t="s">
        <v>1201</v>
      </c>
      <c r="F194" s="66" t="s">
        <v>1856</v>
      </c>
      <c r="G194" s="66" t="s">
        <v>68</v>
      </c>
      <c r="H194" s="66" t="s">
        <v>1937</v>
      </c>
      <c r="I194" s="66" t="s">
        <v>1938</v>
      </c>
      <c r="J194" s="66">
        <v>10</v>
      </c>
      <c r="K194" s="66" t="s">
        <v>1028</v>
      </c>
      <c r="L194" s="14" t="s">
        <v>1139</v>
      </c>
      <c r="M194" s="14" t="s">
        <v>512</v>
      </c>
      <c r="N194" s="14" t="s">
        <v>514</v>
      </c>
      <c r="O194" s="14" t="s">
        <v>513</v>
      </c>
      <c r="P194" s="15" t="s">
        <v>1825</v>
      </c>
      <c r="Q194" s="71" t="s">
        <v>1028</v>
      </c>
      <c r="R194" s="71"/>
      <c r="S194" s="71" t="s">
        <v>774</v>
      </c>
      <c r="T194" s="71"/>
      <c r="U194" s="71"/>
      <c r="V194" s="71" t="s">
        <v>513</v>
      </c>
      <c r="W194" s="71" t="s">
        <v>1939</v>
      </c>
      <c r="X194" s="71" t="s">
        <v>775</v>
      </c>
      <c r="Y194" s="71" t="s">
        <v>776</v>
      </c>
      <c r="Z194" s="2" t="s">
        <v>1282</v>
      </c>
      <c r="AA194" s="2" t="s">
        <v>1283</v>
      </c>
      <c r="AB194" s="2" t="s">
        <v>1284</v>
      </c>
      <c r="AC194" s="2" t="s">
        <v>1285</v>
      </c>
      <c r="AD194" s="2" t="s">
        <v>1042</v>
      </c>
      <c r="AE194" s="2" t="s">
        <v>1139</v>
      </c>
      <c r="AF194" s="2" t="s">
        <v>1615</v>
      </c>
      <c r="AG194" s="2" t="s">
        <v>1616</v>
      </c>
      <c r="AH194" s="111">
        <v>10</v>
      </c>
      <c r="AI194" s="111">
        <v>1.5</v>
      </c>
      <c r="AJ194" s="111">
        <f t="shared" ref="AJ194:AJ201" si="12">IF($K194="Done",0,MAX(0.25,$J194/$AH194))</f>
        <v>1</v>
      </c>
      <c r="AK194" s="111">
        <f t="shared" ref="AK194:AK201" si="13">IF($K194="Done",0,$AJ194*$AI194)</f>
        <v>1.5</v>
      </c>
      <c r="AL194" s="2" t="s">
        <v>1665</v>
      </c>
      <c r="AM194" s="2" t="s">
        <v>513</v>
      </c>
      <c r="AN194" s="2" t="s">
        <v>1619</v>
      </c>
      <c r="AO194" s="2" t="s">
        <v>1023</v>
      </c>
    </row>
    <row r="195" spans="1:41" ht="45.95" hidden="1" customHeight="1" x14ac:dyDescent="0.25">
      <c r="A195" s="7" t="s">
        <v>1940</v>
      </c>
      <c r="B195" s="7" t="s">
        <v>30</v>
      </c>
      <c r="C195" s="7" t="s">
        <v>38</v>
      </c>
      <c r="D195" s="7" t="s">
        <v>1941</v>
      </c>
      <c r="E195" s="7" t="s">
        <v>826</v>
      </c>
      <c r="F195" s="7" t="s">
        <v>1942</v>
      </c>
      <c r="G195" s="7" t="s">
        <v>68</v>
      </c>
      <c r="H195" s="7" t="s">
        <v>1943</v>
      </c>
      <c r="I195" s="7" t="s">
        <v>1944</v>
      </c>
      <c r="J195" s="7">
        <v>6</v>
      </c>
      <c r="K195" s="7" t="s">
        <v>1028</v>
      </c>
      <c r="L195" s="7" t="s">
        <v>1278</v>
      </c>
      <c r="M195" s="7" t="s">
        <v>1279</v>
      </c>
      <c r="N195" s="7" t="s">
        <v>1945</v>
      </c>
      <c r="O195" s="7" t="s">
        <v>1946</v>
      </c>
      <c r="P195" s="7" t="s">
        <v>1947</v>
      </c>
      <c r="Q195" s="71" t="s">
        <v>1028</v>
      </c>
      <c r="R195" s="71"/>
      <c r="S195" s="102" t="s">
        <v>1948</v>
      </c>
      <c r="T195" s="102" t="s">
        <v>1534</v>
      </c>
      <c r="U195" s="102" t="s">
        <v>1535</v>
      </c>
      <c r="V195" s="71" t="s">
        <v>1946</v>
      </c>
      <c r="W195" s="71" t="s">
        <v>1279</v>
      </c>
      <c r="X195" s="76" t="s">
        <v>1077</v>
      </c>
      <c r="Y195" s="71" t="s">
        <v>776</v>
      </c>
      <c r="Z195" s="2" t="s">
        <v>1282</v>
      </c>
      <c r="AA195" s="2" t="s">
        <v>1283</v>
      </c>
      <c r="AB195" s="2" t="s">
        <v>1284</v>
      </c>
      <c r="AC195" s="2" t="s">
        <v>1285</v>
      </c>
      <c r="AD195" s="2" t="s">
        <v>1042</v>
      </c>
      <c r="AE195" s="2" t="s">
        <v>1050</v>
      </c>
      <c r="AF195" s="2" t="s">
        <v>1286</v>
      </c>
      <c r="AG195" s="2" t="s">
        <v>1079</v>
      </c>
      <c r="AH195" s="111">
        <v>10</v>
      </c>
      <c r="AI195" s="111">
        <v>1.5</v>
      </c>
      <c r="AJ195" s="111">
        <f t="shared" si="12"/>
        <v>0.6</v>
      </c>
      <c r="AK195" s="111">
        <f t="shared" si="13"/>
        <v>0.89999999999999991</v>
      </c>
      <c r="AL195" s="2" t="s">
        <v>1545</v>
      </c>
      <c r="AM195" s="2" t="s">
        <v>1949</v>
      </c>
      <c r="AN195" s="2" t="s">
        <v>1289</v>
      </c>
      <c r="AO195" s="2" t="s">
        <v>1023</v>
      </c>
    </row>
    <row r="196" spans="1:41" ht="45.95" hidden="1" customHeight="1" x14ac:dyDescent="0.25">
      <c r="A196" s="7" t="s">
        <v>1950</v>
      </c>
      <c r="B196" s="7" t="s">
        <v>41</v>
      </c>
      <c r="C196" s="7" t="s">
        <v>47</v>
      </c>
      <c r="D196" s="7" t="s">
        <v>1951</v>
      </c>
      <c r="E196" s="7" t="s">
        <v>826</v>
      </c>
      <c r="F196" s="7" t="s">
        <v>1952</v>
      </c>
      <c r="G196" s="7" t="s">
        <v>67</v>
      </c>
      <c r="H196" s="7" t="s">
        <v>1953</v>
      </c>
      <c r="I196" s="7" t="s">
        <v>1954</v>
      </c>
      <c r="J196" s="7">
        <v>10</v>
      </c>
      <c r="K196" s="7" t="s">
        <v>1028</v>
      </c>
      <c r="L196" s="7" t="s">
        <v>1139</v>
      </c>
      <c r="M196" s="7" t="s">
        <v>1955</v>
      </c>
      <c r="N196" s="7" t="s">
        <v>1956</v>
      </c>
      <c r="O196" s="7" t="s">
        <v>1957</v>
      </c>
      <c r="P196" s="7" t="s">
        <v>1958</v>
      </c>
      <c r="Q196" s="71" t="s">
        <v>1028</v>
      </c>
      <c r="R196" s="71"/>
      <c r="S196" s="102" t="s">
        <v>1948</v>
      </c>
      <c r="T196" s="102" t="s">
        <v>1959</v>
      </c>
      <c r="U196" s="102" t="s">
        <v>1960</v>
      </c>
      <c r="V196" s="71" t="s">
        <v>1957</v>
      </c>
      <c r="W196" s="71" t="s">
        <v>1961</v>
      </c>
      <c r="X196" s="76" t="s">
        <v>1077</v>
      </c>
      <c r="Y196" s="71" t="s">
        <v>776</v>
      </c>
      <c r="Z196" s="2" t="s">
        <v>1282</v>
      </c>
      <c r="AA196" s="2" t="s">
        <v>1283</v>
      </c>
      <c r="AB196" s="2" t="s">
        <v>1284</v>
      </c>
      <c r="AC196" s="2" t="s">
        <v>1285</v>
      </c>
      <c r="AD196" s="2" t="s">
        <v>1042</v>
      </c>
      <c r="AE196" s="2" t="s">
        <v>1139</v>
      </c>
      <c r="AF196" s="2" t="s">
        <v>1615</v>
      </c>
      <c r="AG196" s="2" t="s">
        <v>1079</v>
      </c>
      <c r="AH196" s="111">
        <v>10</v>
      </c>
      <c r="AI196" s="111">
        <v>1.5</v>
      </c>
      <c r="AJ196" s="111">
        <f t="shared" si="12"/>
        <v>1</v>
      </c>
      <c r="AK196" s="111">
        <f t="shared" si="13"/>
        <v>1.5</v>
      </c>
      <c r="AL196" s="2" t="s">
        <v>1617</v>
      </c>
      <c r="AM196" s="2" t="s">
        <v>1957</v>
      </c>
      <c r="AN196" s="2" t="s">
        <v>1619</v>
      </c>
      <c r="AO196" s="2" t="s">
        <v>1023</v>
      </c>
    </row>
    <row r="197" spans="1:41" ht="45.95" hidden="1" customHeight="1" x14ac:dyDescent="0.25">
      <c r="A197" s="7" t="s">
        <v>1962</v>
      </c>
      <c r="B197" s="7" t="s">
        <v>30</v>
      </c>
      <c r="C197" s="7" t="s">
        <v>33</v>
      </c>
      <c r="D197" s="7" t="s">
        <v>1963</v>
      </c>
      <c r="E197" s="7" t="s">
        <v>788</v>
      </c>
      <c r="F197" s="7" t="s">
        <v>1964</v>
      </c>
      <c r="G197" s="7" t="s">
        <v>68</v>
      </c>
      <c r="H197" s="7" t="s">
        <v>1965</v>
      </c>
      <c r="I197" s="7" t="s">
        <v>1966</v>
      </c>
      <c r="J197" s="7">
        <v>8</v>
      </c>
      <c r="K197" s="7" t="s">
        <v>1028</v>
      </c>
      <c r="L197" s="7" t="s">
        <v>1278</v>
      </c>
      <c r="M197" s="7" t="s">
        <v>1279</v>
      </c>
      <c r="N197" s="7" t="s">
        <v>1967</v>
      </c>
      <c r="O197" s="7" t="s">
        <v>1968</v>
      </c>
      <c r="P197" s="7" t="s">
        <v>1969</v>
      </c>
      <c r="Q197" s="71" t="s">
        <v>1028</v>
      </c>
      <c r="R197" s="71"/>
      <c r="S197" s="102" t="s">
        <v>1948</v>
      </c>
      <c r="T197" s="102" t="s">
        <v>1970</v>
      </c>
      <c r="U197" s="102" t="s">
        <v>1971</v>
      </c>
      <c r="V197" s="71" t="s">
        <v>1968</v>
      </c>
      <c r="W197" s="71" t="s">
        <v>1279</v>
      </c>
      <c r="X197" s="76" t="s">
        <v>1077</v>
      </c>
      <c r="Y197" s="71" t="s">
        <v>776</v>
      </c>
      <c r="Z197" s="2" t="s">
        <v>1282</v>
      </c>
      <c r="AA197" s="2" t="s">
        <v>1283</v>
      </c>
      <c r="AB197" s="2" t="s">
        <v>1284</v>
      </c>
      <c r="AC197" s="2" t="s">
        <v>1512</v>
      </c>
      <c r="AD197" s="2" t="s">
        <v>1042</v>
      </c>
      <c r="AE197" s="2" t="s">
        <v>1017</v>
      </c>
      <c r="AF197" s="2" t="s">
        <v>1403</v>
      </c>
      <c r="AG197" s="2" t="s">
        <v>1029</v>
      </c>
      <c r="AH197" s="111">
        <v>9</v>
      </c>
      <c r="AI197" s="111">
        <v>1.5</v>
      </c>
      <c r="AJ197" s="111">
        <f t="shared" si="12"/>
        <v>0.88888888888888884</v>
      </c>
      <c r="AK197" s="111">
        <f t="shared" si="13"/>
        <v>1.3333333333333333</v>
      </c>
      <c r="AL197" s="2" t="s">
        <v>1379</v>
      </c>
      <c r="AM197" s="2" t="s">
        <v>1972</v>
      </c>
      <c r="AN197" s="2" t="s">
        <v>1405</v>
      </c>
      <c r="AO197" s="2" t="s">
        <v>1023</v>
      </c>
    </row>
    <row r="198" spans="1:41" ht="45.95" hidden="1" customHeight="1" x14ac:dyDescent="0.25">
      <c r="A198" s="7" t="s">
        <v>1973</v>
      </c>
      <c r="B198" s="7" t="s">
        <v>30</v>
      </c>
      <c r="C198" s="7" t="s">
        <v>38</v>
      </c>
      <c r="D198" s="7" t="s">
        <v>1974</v>
      </c>
      <c r="E198" s="7" t="s">
        <v>1975</v>
      </c>
      <c r="F198" s="7" t="s">
        <v>1976</v>
      </c>
      <c r="G198" s="7" t="s">
        <v>68</v>
      </c>
      <c r="H198" s="7" t="s">
        <v>1977</v>
      </c>
      <c r="I198" s="7" t="s">
        <v>1978</v>
      </c>
      <c r="J198" s="7">
        <v>10</v>
      </c>
      <c r="K198" s="7" t="s">
        <v>1028</v>
      </c>
      <c r="L198" s="7" t="s">
        <v>1278</v>
      </c>
      <c r="M198" s="7" t="s">
        <v>1279</v>
      </c>
      <c r="N198" s="7" t="s">
        <v>1979</v>
      </c>
      <c r="O198" s="7" t="s">
        <v>1980</v>
      </c>
      <c r="P198" s="7" t="s">
        <v>1981</v>
      </c>
      <c r="Q198" s="71" t="s">
        <v>1028</v>
      </c>
      <c r="R198" s="71"/>
      <c r="S198" s="102" t="s">
        <v>1948</v>
      </c>
      <c r="T198" s="102" t="s">
        <v>1591</v>
      </c>
      <c r="U198" s="102" t="s">
        <v>1592</v>
      </c>
      <c r="V198" s="71" t="s">
        <v>1980</v>
      </c>
      <c r="W198" s="71" t="s">
        <v>1279</v>
      </c>
      <c r="X198" s="76" t="s">
        <v>1077</v>
      </c>
      <c r="Y198" s="71" t="s">
        <v>776</v>
      </c>
      <c r="Z198" s="2" t="s">
        <v>1282</v>
      </c>
      <c r="AA198" s="2" t="s">
        <v>1283</v>
      </c>
      <c r="AB198" s="2" t="s">
        <v>1284</v>
      </c>
      <c r="AC198" s="2" t="s">
        <v>1512</v>
      </c>
      <c r="AD198" s="2" t="s">
        <v>1042</v>
      </c>
      <c r="AE198" s="2" t="s">
        <v>1017</v>
      </c>
      <c r="AF198" s="2" t="s">
        <v>1403</v>
      </c>
      <c r="AG198" s="2" t="s">
        <v>1982</v>
      </c>
      <c r="AH198" s="111">
        <v>7</v>
      </c>
      <c r="AI198" s="111">
        <v>1.6</v>
      </c>
      <c r="AJ198" s="111">
        <f t="shared" si="12"/>
        <v>1.4285714285714286</v>
      </c>
      <c r="AK198" s="111">
        <f t="shared" si="13"/>
        <v>2.285714285714286</v>
      </c>
      <c r="AL198" s="2" t="s">
        <v>1545</v>
      </c>
      <c r="AM198" s="2" t="s">
        <v>1983</v>
      </c>
      <c r="AN198" s="2" t="s">
        <v>1405</v>
      </c>
      <c r="AO198" s="2" t="s">
        <v>1023</v>
      </c>
    </row>
    <row r="199" spans="1:41" ht="45.95" hidden="1" customHeight="1" x14ac:dyDescent="0.25">
      <c r="A199" s="7" t="s">
        <v>1984</v>
      </c>
      <c r="B199" s="7" t="s">
        <v>30</v>
      </c>
      <c r="C199" s="7" t="s">
        <v>38</v>
      </c>
      <c r="D199" s="7" t="s">
        <v>1985</v>
      </c>
      <c r="E199" s="7" t="s">
        <v>1975</v>
      </c>
      <c r="F199" s="7" t="s">
        <v>1986</v>
      </c>
      <c r="G199" s="7" t="s">
        <v>67</v>
      </c>
      <c r="H199" s="7" t="s">
        <v>1987</v>
      </c>
      <c r="I199" s="7" t="s">
        <v>1988</v>
      </c>
      <c r="J199" s="7">
        <v>12</v>
      </c>
      <c r="K199" s="7" t="s">
        <v>1028</v>
      </c>
      <c r="L199" s="7" t="s">
        <v>1278</v>
      </c>
      <c r="M199" s="7" t="s">
        <v>1279</v>
      </c>
      <c r="N199" s="7" t="s">
        <v>1989</v>
      </c>
      <c r="O199" s="7" t="s">
        <v>1990</v>
      </c>
      <c r="P199" s="7" t="s">
        <v>1991</v>
      </c>
      <c r="Q199" s="71" t="s">
        <v>1028</v>
      </c>
      <c r="R199" s="71"/>
      <c r="S199" s="102" t="s">
        <v>1948</v>
      </c>
      <c r="T199" s="102" t="s">
        <v>1992</v>
      </c>
      <c r="U199" s="102" t="s">
        <v>1993</v>
      </c>
      <c r="V199" s="71" t="s">
        <v>1990</v>
      </c>
      <c r="W199" s="71" t="s">
        <v>1279</v>
      </c>
      <c r="X199" s="76" t="s">
        <v>1077</v>
      </c>
      <c r="Y199" s="71" t="s">
        <v>776</v>
      </c>
      <c r="Z199" s="2" t="s">
        <v>1282</v>
      </c>
      <c r="AA199" s="2" t="s">
        <v>1283</v>
      </c>
      <c r="AB199" s="2" t="s">
        <v>1284</v>
      </c>
      <c r="AC199" s="2" t="s">
        <v>1512</v>
      </c>
      <c r="AD199" s="2" t="s">
        <v>1042</v>
      </c>
      <c r="AE199" s="2" t="s">
        <v>1017</v>
      </c>
      <c r="AF199" s="2" t="s">
        <v>1403</v>
      </c>
      <c r="AG199" s="2" t="s">
        <v>1982</v>
      </c>
      <c r="AH199" s="111">
        <v>7</v>
      </c>
      <c r="AI199" s="111">
        <v>1.6</v>
      </c>
      <c r="AJ199" s="111">
        <f t="shared" si="12"/>
        <v>1.7142857142857142</v>
      </c>
      <c r="AK199" s="111">
        <f t="shared" si="13"/>
        <v>2.7428571428571429</v>
      </c>
      <c r="AL199" s="2" t="s">
        <v>1545</v>
      </c>
      <c r="AM199" s="2" t="s">
        <v>1994</v>
      </c>
      <c r="AN199" s="2" t="s">
        <v>1405</v>
      </c>
      <c r="AO199" s="2" t="s">
        <v>1023</v>
      </c>
    </row>
    <row r="200" spans="1:41" ht="45.95" hidden="1" customHeight="1" x14ac:dyDescent="0.25">
      <c r="A200" s="7" t="s">
        <v>1995</v>
      </c>
      <c r="B200" s="7" t="s">
        <v>30</v>
      </c>
      <c r="C200" s="7" t="s">
        <v>38</v>
      </c>
      <c r="D200" s="7" t="s">
        <v>1996</v>
      </c>
      <c r="E200" s="7" t="s">
        <v>1975</v>
      </c>
      <c r="F200" s="7" t="s">
        <v>1997</v>
      </c>
      <c r="G200" s="7" t="s">
        <v>67</v>
      </c>
      <c r="H200" s="7" t="s">
        <v>1998</v>
      </c>
      <c r="I200" s="7" t="s">
        <v>1999</v>
      </c>
      <c r="J200" s="7">
        <v>12</v>
      </c>
      <c r="K200" s="7" t="s">
        <v>1028</v>
      </c>
      <c r="L200" s="7" t="s">
        <v>1278</v>
      </c>
      <c r="M200" s="7" t="s">
        <v>1279</v>
      </c>
      <c r="N200" s="7" t="s">
        <v>2000</v>
      </c>
      <c r="O200" s="7" t="s">
        <v>2001</v>
      </c>
      <c r="P200" s="7" t="s">
        <v>2002</v>
      </c>
      <c r="Q200" s="71" t="s">
        <v>1028</v>
      </c>
      <c r="R200" s="71"/>
      <c r="S200" s="102" t="s">
        <v>1948</v>
      </c>
      <c r="T200" s="102" t="s">
        <v>1585</v>
      </c>
      <c r="U200" s="102" t="s">
        <v>1586</v>
      </c>
      <c r="V200" s="71" t="s">
        <v>2001</v>
      </c>
      <c r="W200" s="71" t="s">
        <v>1279</v>
      </c>
      <c r="X200" s="76" t="s">
        <v>1077</v>
      </c>
      <c r="Y200" s="71" t="s">
        <v>776</v>
      </c>
      <c r="Z200" s="2" t="s">
        <v>1282</v>
      </c>
      <c r="AA200" s="2" t="s">
        <v>1283</v>
      </c>
      <c r="AB200" s="2" t="s">
        <v>1284</v>
      </c>
      <c r="AC200" s="2" t="s">
        <v>1512</v>
      </c>
      <c r="AD200" s="2" t="s">
        <v>1042</v>
      </c>
      <c r="AE200" s="2" t="s">
        <v>1017</v>
      </c>
      <c r="AF200" s="2" t="s">
        <v>1403</v>
      </c>
      <c r="AG200" s="2" t="s">
        <v>1982</v>
      </c>
      <c r="AH200" s="111">
        <v>7</v>
      </c>
      <c r="AI200" s="111">
        <v>1.6</v>
      </c>
      <c r="AJ200" s="111">
        <f t="shared" si="12"/>
        <v>1.7142857142857142</v>
      </c>
      <c r="AK200" s="111">
        <f t="shared" si="13"/>
        <v>2.7428571428571429</v>
      </c>
      <c r="AL200" s="2" t="s">
        <v>1545</v>
      </c>
      <c r="AM200" s="2" t="s">
        <v>2003</v>
      </c>
      <c r="AN200" s="2" t="s">
        <v>1405</v>
      </c>
      <c r="AO200" s="2" t="s">
        <v>1023</v>
      </c>
    </row>
    <row r="201" spans="1:41" ht="45.95" hidden="1" customHeight="1" x14ac:dyDescent="0.25">
      <c r="A201" s="7" t="s">
        <v>2004</v>
      </c>
      <c r="B201" s="7" t="s">
        <v>30</v>
      </c>
      <c r="C201" s="7" t="s">
        <v>38</v>
      </c>
      <c r="D201" s="7" t="s">
        <v>2005</v>
      </c>
      <c r="E201" s="7" t="s">
        <v>1975</v>
      </c>
      <c r="F201" s="7" t="s">
        <v>2006</v>
      </c>
      <c r="G201" s="7" t="s">
        <v>68</v>
      </c>
      <c r="H201" s="7" t="s">
        <v>2007</v>
      </c>
      <c r="I201" s="7" t="s">
        <v>2008</v>
      </c>
      <c r="J201" s="7">
        <v>10</v>
      </c>
      <c r="K201" s="7" t="s">
        <v>1028</v>
      </c>
      <c r="L201" s="7" t="s">
        <v>1278</v>
      </c>
      <c r="M201" s="7" t="s">
        <v>1279</v>
      </c>
      <c r="N201" s="7" t="s">
        <v>2009</v>
      </c>
      <c r="O201" s="7" t="s">
        <v>2010</v>
      </c>
      <c r="P201" s="7" t="s">
        <v>2011</v>
      </c>
      <c r="Q201" s="71" t="s">
        <v>1028</v>
      </c>
      <c r="R201" s="71"/>
      <c r="S201" s="102" t="s">
        <v>1948</v>
      </c>
      <c r="T201" s="102" t="s">
        <v>1517</v>
      </c>
      <c r="U201" s="102" t="s">
        <v>1518</v>
      </c>
      <c r="V201" s="71" t="s">
        <v>2010</v>
      </c>
      <c r="W201" s="71" t="s">
        <v>1279</v>
      </c>
      <c r="X201" s="76" t="s">
        <v>1077</v>
      </c>
      <c r="Y201" s="71" t="s">
        <v>776</v>
      </c>
      <c r="Z201" s="2" t="s">
        <v>1282</v>
      </c>
      <c r="AA201" s="2" t="s">
        <v>1283</v>
      </c>
      <c r="AB201" s="2" t="s">
        <v>1284</v>
      </c>
      <c r="AC201" s="2" t="s">
        <v>1512</v>
      </c>
      <c r="AD201" s="2" t="s">
        <v>1042</v>
      </c>
      <c r="AE201" s="2" t="s">
        <v>1017</v>
      </c>
      <c r="AF201" s="2" t="s">
        <v>1403</v>
      </c>
      <c r="AG201" s="2" t="s">
        <v>1982</v>
      </c>
      <c r="AH201" s="111">
        <v>7</v>
      </c>
      <c r="AI201" s="111">
        <v>1.6</v>
      </c>
      <c r="AJ201" s="111">
        <f t="shared" si="12"/>
        <v>1.4285714285714286</v>
      </c>
      <c r="AK201" s="111">
        <f t="shared" si="13"/>
        <v>2.285714285714286</v>
      </c>
      <c r="AL201" s="2" t="s">
        <v>1545</v>
      </c>
      <c r="AM201" s="2" t="s">
        <v>2012</v>
      </c>
      <c r="AN201" s="2" t="s">
        <v>1405</v>
      </c>
      <c r="AO201" s="2" t="s">
        <v>1023</v>
      </c>
    </row>
  </sheetData>
  <autoFilter ref="A1:AO201" xr:uid="{00000000-0001-0000-0000-000000000000}">
    <filterColumn colId="1">
      <filters>
        <filter val="M1"/>
      </filters>
    </filterColumn>
  </autoFilter>
  <conditionalFormatting sqref="M2:M194">
    <cfRule type="expression" dxfId="4" priority="1">
      <formula>M2="W3 SAFE NOW"</formula>
    </cfRule>
    <cfRule type="expression" dxfId="3" priority="2">
      <formula>ISNUMBER(SEARCH("DO NOT",M2))</formula>
    </cfRule>
    <cfRule type="expression" dxfId="2" priority="3">
      <formula>ISNUMBER(SEARCH("AFTER",M2))</formula>
    </cfRule>
    <cfRule type="expression" dxfId="1" priority="4">
      <formula>ISNUMBER(SEARCH("SHARED",M2))</formula>
    </cfRule>
    <cfRule type="expression" dxfId="0" priority="5">
      <formula>M2="CLOSED"</formula>
    </cfRule>
  </conditionalFormatting>
  <conditionalFormatting sqref="P2:P194">
    <cfRule type="expression" dxfId="35" priority="6">
      <formula>ISNUMBER(SEARCH("NEW",P2))</formula>
    </cfRule>
    <cfRule type="expression" dxfId="34" priority="7">
      <formula>ISNUMBER(SEARCH("EXPANDED",P2))</formula>
    </cfRule>
  </conditionalFormatting>
  <conditionalFormatting sqref="AB2:AB201">
    <cfRule type="expression" dxfId="33" priority="10">
      <formula>AB2="Customer Release"</formula>
    </cfRule>
    <cfRule type="expression" dxfId="32" priority="11">
      <formula>AB2="M1 Contract"</formula>
    </cfRule>
  </conditionalFormatting>
  <conditionalFormatting sqref="AD2:AD201">
    <cfRule type="expression" dxfId="31" priority="8">
      <formula>ISNUMBER(SEARCH("High",AD2))</formula>
    </cfRule>
    <cfRule type="expression" dxfId="30" priority="9">
      <formula>AD2="Closed"</formula>
    </cfRule>
  </conditionalFormatting>
  <conditionalFormatting sqref="AE2:AE201">
    <cfRule type="expression" dxfId="29" priority="12">
      <formula>AE2="Worker 1"</formula>
    </cfRule>
    <cfRule type="expression" dxfId="28" priority="13">
      <formula>AE2="Worker 2"</formula>
    </cfRule>
    <cfRule type="expression" dxfId="27" priority="14">
      <formula>AE2="Worker 3"</formula>
    </cfRule>
    <cfRule type="expression" dxfId="26" priority="15">
      <formula>AE2="CLOSED"</formula>
    </cfRule>
  </conditionalFormatting>
  <conditionalFormatting sqref="AK2:AK201">
    <cfRule type="dataBar" priority="16">
      <dataBar>
        <cfvo type="min"/>
        <cfvo type="max"/>
        <color rgb="FF4BACC6"/>
      </dataBar>
    </cfRule>
    <cfRule type="dataBar" priority="17">
      <dataBar>
        <cfvo type="min"/>
        <cfvo type="max"/>
        <color rgb="FF4BACC6"/>
      </dataBar>
      <extLst>
        <ext xmlns:x14="http://schemas.microsoft.com/office/spreadsheetml/2009/9/main" uri="{B025F937-C7B1-47D3-B67F-A62EFF666E3E}">
          <x14:id>{B809FE00-AAF7-75A3-1ED1-D1BDE8F8C969}</x14:id>
        </ext>
      </extLst>
    </cfRule>
  </conditionalFormatting>
  <dataValidations count="1">
    <dataValidation type="list" sqref="K2:K194" xr:uid="{00000000-0002-0000-0000-000000000000}">
      <formula1>"Not Started,In Progress,Blocked,Done"</formula1>
    </dataValidation>
  </dataValidations>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dataBar" id="{B809FE00-AAF7-75A3-1ED1-D1BDE8F8C969}">
            <x14:dataBar>
              <x14:cfvo type="min"/>
              <x14:cfvo type="max"/>
              <x14:negativeFillColor auto="1"/>
              <x14:axisColor auto="1"/>
            </x14:dataBar>
          </x14:cfRule>
          <xm:sqref>AK2:AK201</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P20"/>
  <sheetViews>
    <sheetView topLeftCell="C1" workbookViewId="0"/>
  </sheetViews>
  <sheetFormatPr defaultRowHeight="15" x14ac:dyDescent="0.25"/>
  <cols>
    <col min="1" max="1" width="12" customWidth="1"/>
    <col min="2" max="2" width="10" customWidth="1"/>
    <col min="3" max="3" width="46" customWidth="1"/>
    <col min="4" max="4" width="60" customWidth="1"/>
    <col min="5" max="6" width="10" customWidth="1"/>
    <col min="7" max="7" width="12.5703125" customWidth="1"/>
    <col min="8" max="8" width="28" customWidth="1"/>
    <col min="9" max="9" width="12" customWidth="1"/>
    <col min="11" max="11" width="12" customWidth="1"/>
    <col min="12" max="12" width="17" customWidth="1"/>
    <col min="13" max="15" width="12" customWidth="1"/>
    <col min="16" max="16" width="38" customWidth="1"/>
  </cols>
  <sheetData>
    <row r="1" spans="1:16" ht="30" x14ac:dyDescent="0.25">
      <c r="A1" s="87" t="s">
        <v>0</v>
      </c>
      <c r="B1" s="88" t="s">
        <v>1</v>
      </c>
      <c r="C1" s="88" t="s">
        <v>2</v>
      </c>
      <c r="D1" s="88" t="s">
        <v>3</v>
      </c>
      <c r="E1" s="88" t="s">
        <v>4</v>
      </c>
      <c r="F1" s="89" t="s">
        <v>5</v>
      </c>
      <c r="G1" s="77"/>
      <c r="H1" s="77"/>
      <c r="I1" s="77"/>
      <c r="K1" s="112" t="s">
        <v>0</v>
      </c>
      <c r="L1" s="112" t="s">
        <v>2013</v>
      </c>
      <c r="M1" s="112" t="s">
        <v>2014</v>
      </c>
      <c r="N1" s="112" t="s">
        <v>2015</v>
      </c>
      <c r="O1" s="112" t="s">
        <v>2016</v>
      </c>
      <c r="P1" s="112" t="s">
        <v>2017</v>
      </c>
    </row>
    <row r="2" spans="1:16" ht="60" customHeight="1" x14ac:dyDescent="0.25">
      <c r="A2" s="51" t="s">
        <v>6</v>
      </c>
      <c r="B2" s="54" t="s">
        <v>7</v>
      </c>
      <c r="C2" s="52" t="s">
        <v>8</v>
      </c>
      <c r="D2" s="52" t="s">
        <v>9</v>
      </c>
      <c r="E2" s="52">
        <f>COUNTIF(Backlog!$C:$C,A2)</f>
        <v>12</v>
      </c>
      <c r="F2" s="53">
        <f>SUMIF(Backlog!$C:$C,A2,Backlog!$J:$J)</f>
        <v>84</v>
      </c>
      <c r="G2" s="2"/>
      <c r="H2" s="2"/>
      <c r="I2" s="2"/>
      <c r="K2" s="2" t="s">
        <v>6</v>
      </c>
      <c r="L2" s="111">
        <v>0</v>
      </c>
      <c r="M2" s="111">
        <v>0</v>
      </c>
      <c r="N2" s="111">
        <v>0</v>
      </c>
      <c r="O2" s="111">
        <v>0</v>
      </c>
      <c r="P2" s="2" t="s">
        <v>2018</v>
      </c>
    </row>
    <row r="3" spans="1:16" ht="60" customHeight="1" x14ac:dyDescent="0.25">
      <c r="A3" s="51" t="s">
        <v>10</v>
      </c>
      <c r="B3" s="54" t="s">
        <v>7</v>
      </c>
      <c r="C3" s="52" t="s">
        <v>11</v>
      </c>
      <c r="D3" s="52" t="s">
        <v>12</v>
      </c>
      <c r="E3" s="52">
        <f>COUNTIF(Backlog!$C:$C,A3)</f>
        <v>17</v>
      </c>
      <c r="F3" s="53">
        <f>SUMIF(Backlog!$C:$C,A3,Backlog!$J:$J)</f>
        <v>114</v>
      </c>
      <c r="G3" s="2"/>
      <c r="H3" s="2"/>
      <c r="I3" s="2"/>
      <c r="K3" s="2" t="s">
        <v>10</v>
      </c>
      <c r="L3" s="111">
        <v>0</v>
      </c>
      <c r="M3" s="111">
        <v>0</v>
      </c>
      <c r="N3" s="111">
        <v>0</v>
      </c>
      <c r="O3" s="111">
        <v>0</v>
      </c>
      <c r="P3" s="2" t="s">
        <v>2018</v>
      </c>
    </row>
    <row r="4" spans="1:16" ht="60" customHeight="1" x14ac:dyDescent="0.25">
      <c r="A4" s="51" t="s">
        <v>13</v>
      </c>
      <c r="B4" s="54" t="s">
        <v>7</v>
      </c>
      <c r="C4" s="52" t="s">
        <v>14</v>
      </c>
      <c r="D4" s="52" t="s">
        <v>15</v>
      </c>
      <c r="E4" s="52">
        <f>COUNTIF(Backlog!$C:$C,A4)</f>
        <v>11</v>
      </c>
      <c r="F4" s="53">
        <f>SUMIF(Backlog!$C:$C,A4,Backlog!$J:$J)</f>
        <v>107</v>
      </c>
      <c r="G4" s="2"/>
      <c r="H4" s="22" t="s">
        <v>16</v>
      </c>
      <c r="I4" s="23">
        <f>SUMIF(Backlog!$B:$B,"M1",Backlog!$J:$J)</f>
        <v>574</v>
      </c>
      <c r="K4" s="2" t="s">
        <v>13</v>
      </c>
      <c r="L4" s="111">
        <v>0</v>
      </c>
      <c r="M4" s="111">
        <v>0</v>
      </c>
      <c r="N4" s="111">
        <v>0</v>
      </c>
      <c r="O4" s="111">
        <v>0</v>
      </c>
      <c r="P4" s="2" t="s">
        <v>2018</v>
      </c>
    </row>
    <row r="5" spans="1:16" ht="60" customHeight="1" x14ac:dyDescent="0.25">
      <c r="A5" s="51" t="s">
        <v>17</v>
      </c>
      <c r="B5" s="54" t="s">
        <v>7</v>
      </c>
      <c r="C5" s="52" t="s">
        <v>18</v>
      </c>
      <c r="D5" s="52" t="s">
        <v>19</v>
      </c>
      <c r="E5" s="52">
        <f>COUNTIF(Backlog!$C:$C,A5)</f>
        <v>12</v>
      </c>
      <c r="F5" s="53">
        <f>SUMIF(Backlog!$C:$C,A5,Backlog!$J:$J)</f>
        <v>80</v>
      </c>
      <c r="G5" s="2"/>
      <c r="H5" s="24" t="s">
        <v>20</v>
      </c>
      <c r="I5" s="25">
        <f>SUMIFS(Backlog!$J:$J,Backlog!$B:$B,"M1",Backlog!$K:$K,"Done")</f>
        <v>473</v>
      </c>
      <c r="K5" s="2" t="s">
        <v>17</v>
      </c>
      <c r="L5" s="111">
        <v>20</v>
      </c>
      <c r="M5" s="111">
        <v>0</v>
      </c>
      <c r="N5" s="111">
        <v>4.166666666666667</v>
      </c>
      <c r="O5" s="111">
        <v>0</v>
      </c>
      <c r="P5" s="2" t="s">
        <v>2019</v>
      </c>
    </row>
    <row r="6" spans="1:16" ht="60" customHeight="1" x14ac:dyDescent="0.25">
      <c r="A6" s="51" t="s">
        <v>21</v>
      </c>
      <c r="B6" s="54" t="s">
        <v>7</v>
      </c>
      <c r="C6" s="52" t="s">
        <v>22</v>
      </c>
      <c r="D6" s="52" t="s">
        <v>23</v>
      </c>
      <c r="E6" s="52">
        <f>COUNTIF(Backlog!$C:$C,A6)</f>
        <v>16</v>
      </c>
      <c r="F6" s="53">
        <f>SUMIF(Backlog!$C:$C,A6,Backlog!$J:$J)</f>
        <v>106</v>
      </c>
      <c r="G6" s="2"/>
      <c r="H6" s="24" t="s">
        <v>24</v>
      </c>
      <c r="I6" s="25">
        <f>I4-I5</f>
        <v>101</v>
      </c>
      <c r="K6" s="2" t="s">
        <v>21</v>
      </c>
      <c r="L6" s="111">
        <v>106</v>
      </c>
      <c r="M6" s="111">
        <v>9.2333333333333325</v>
      </c>
      <c r="N6" s="111">
        <v>5.333333333333333</v>
      </c>
      <c r="O6" s="111">
        <v>2.5333333333333332</v>
      </c>
      <c r="P6" s="2" t="s">
        <v>2020</v>
      </c>
    </row>
    <row r="7" spans="1:16" ht="60" customHeight="1" x14ac:dyDescent="0.25">
      <c r="A7" s="51" t="s">
        <v>25</v>
      </c>
      <c r="B7" s="54" t="s">
        <v>7</v>
      </c>
      <c r="C7" s="52" t="s">
        <v>26</v>
      </c>
      <c r="D7" s="52" t="s">
        <v>27</v>
      </c>
      <c r="E7" s="52">
        <f>COUNTIF(Backlog!$C:$C,A7)</f>
        <v>15</v>
      </c>
      <c r="F7" s="53">
        <f>SUMIF(Backlog!$C:$C,A7,Backlog!$J:$J)</f>
        <v>83</v>
      </c>
      <c r="G7" s="2"/>
      <c r="H7" s="26" t="s">
        <v>28</v>
      </c>
      <c r="I7" s="27">
        <f>IFERROR(I5/I4,0)</f>
        <v>0.8240418118466899</v>
      </c>
      <c r="K7" s="2" t="s">
        <v>25</v>
      </c>
      <c r="L7" s="111">
        <v>37</v>
      </c>
      <c r="M7" s="111">
        <v>0</v>
      </c>
      <c r="N7" s="111">
        <v>7.746666666666667</v>
      </c>
      <c r="O7" s="111">
        <v>0.33750000000000002</v>
      </c>
      <c r="P7" s="2" t="s">
        <v>2019</v>
      </c>
    </row>
    <row r="8" spans="1:16" ht="60" customHeight="1" x14ac:dyDescent="0.25">
      <c r="A8" s="51" t="s">
        <v>29</v>
      </c>
      <c r="B8" s="55" t="s">
        <v>30</v>
      </c>
      <c r="C8" s="52" t="s">
        <v>31</v>
      </c>
      <c r="D8" s="52" t="s">
        <v>32</v>
      </c>
      <c r="E8" s="52">
        <f>COUNTIF(Backlog!$C:$C,A8)</f>
        <v>11</v>
      </c>
      <c r="F8" s="53">
        <f>SUMIF(Backlog!$C:$C,A8,Backlog!$J:$J)</f>
        <v>114</v>
      </c>
      <c r="G8" s="2"/>
      <c r="H8" s="2"/>
      <c r="I8" s="2"/>
      <c r="K8" s="2" t="s">
        <v>29</v>
      </c>
      <c r="L8" s="111">
        <v>114</v>
      </c>
      <c r="M8" s="111">
        <v>21.799166666666668</v>
      </c>
      <c r="N8" s="111">
        <v>0</v>
      </c>
      <c r="O8" s="111">
        <v>0</v>
      </c>
      <c r="P8" s="2" t="s">
        <v>2020</v>
      </c>
    </row>
    <row r="9" spans="1:16" ht="60" customHeight="1" x14ac:dyDescent="0.25">
      <c r="A9" s="51" t="s">
        <v>33</v>
      </c>
      <c r="B9" s="55" t="s">
        <v>30</v>
      </c>
      <c r="C9" s="52" t="s">
        <v>34</v>
      </c>
      <c r="D9" s="52" t="s">
        <v>2021</v>
      </c>
      <c r="E9" s="52">
        <v>12</v>
      </c>
      <c r="F9" s="53">
        <v>100</v>
      </c>
      <c r="G9" s="2"/>
      <c r="H9" s="2"/>
      <c r="I9" s="2"/>
      <c r="K9" s="2" t="s">
        <v>33</v>
      </c>
      <c r="L9" s="111">
        <v>100</v>
      </c>
      <c r="M9" s="111">
        <v>10.199999999999999</v>
      </c>
      <c r="N9" s="111">
        <v>5.333333333333333</v>
      </c>
      <c r="O9" s="111">
        <v>0</v>
      </c>
      <c r="P9" s="2" t="s">
        <v>2020</v>
      </c>
    </row>
    <row r="10" spans="1:16" ht="60" customHeight="1" x14ac:dyDescent="0.25">
      <c r="A10" s="51" t="s">
        <v>35</v>
      </c>
      <c r="B10" s="55" t="s">
        <v>30</v>
      </c>
      <c r="C10" s="52" t="s">
        <v>36</v>
      </c>
      <c r="D10" s="52" t="s">
        <v>37</v>
      </c>
      <c r="E10" s="52">
        <f>COUNTIF(Backlog!$C:$C,A10)</f>
        <v>12</v>
      </c>
      <c r="F10" s="53">
        <f>SUMIF(Backlog!$C:$C,A10,Backlog!$J:$J)</f>
        <v>106</v>
      </c>
      <c r="G10" s="2"/>
      <c r="H10" s="2"/>
      <c r="I10" s="2"/>
      <c r="K10" s="2" t="s">
        <v>35</v>
      </c>
      <c r="L10" s="111">
        <v>106</v>
      </c>
      <c r="M10" s="111">
        <v>13.5</v>
      </c>
      <c r="N10" s="111">
        <v>0</v>
      </c>
      <c r="O10" s="111">
        <v>4.5</v>
      </c>
      <c r="P10" s="2" t="s">
        <v>2020</v>
      </c>
    </row>
    <row r="11" spans="1:16" ht="60" customHeight="1" x14ac:dyDescent="0.25">
      <c r="A11" s="51" t="s">
        <v>38</v>
      </c>
      <c r="B11" s="55" t="s">
        <v>30</v>
      </c>
      <c r="C11" s="52" t="s">
        <v>39</v>
      </c>
      <c r="D11" s="52" t="s">
        <v>2022</v>
      </c>
      <c r="E11" s="52">
        <v>15</v>
      </c>
      <c r="F11" s="53">
        <v>170</v>
      </c>
      <c r="G11" s="2"/>
      <c r="H11" s="2"/>
      <c r="I11" s="2"/>
      <c r="K11" s="2" t="s">
        <v>38</v>
      </c>
      <c r="L11" s="111">
        <v>170</v>
      </c>
      <c r="M11" s="111">
        <v>20</v>
      </c>
      <c r="N11" s="111">
        <v>16.137142857142859</v>
      </c>
      <c r="O11" s="111">
        <v>0</v>
      </c>
      <c r="P11" s="2" t="s">
        <v>2020</v>
      </c>
    </row>
    <row r="12" spans="1:16" ht="60" customHeight="1" x14ac:dyDescent="0.25">
      <c r="A12" s="51" t="s">
        <v>40</v>
      </c>
      <c r="B12" s="56" t="s">
        <v>41</v>
      </c>
      <c r="C12" s="52" t="s">
        <v>42</v>
      </c>
      <c r="D12" s="52" t="s">
        <v>43</v>
      </c>
      <c r="E12" s="52">
        <f>COUNTIF(Backlog!$C:$C,A12)</f>
        <v>8</v>
      </c>
      <c r="F12" s="53">
        <f>SUMIF(Backlog!$C:$C,A12,Backlog!$J:$J)</f>
        <v>86</v>
      </c>
      <c r="G12" s="2"/>
      <c r="H12" s="22"/>
      <c r="I12" s="23"/>
      <c r="K12" s="2" t="s">
        <v>40</v>
      </c>
      <c r="L12" s="111">
        <v>0</v>
      </c>
      <c r="M12" s="111">
        <v>0</v>
      </c>
      <c r="N12" s="111">
        <v>0</v>
      </c>
      <c r="O12" s="111">
        <v>0</v>
      </c>
      <c r="P12" s="2" t="s">
        <v>2018</v>
      </c>
    </row>
    <row r="13" spans="1:16" ht="60" customHeight="1" x14ac:dyDescent="0.25">
      <c r="A13" s="51" t="s">
        <v>44</v>
      </c>
      <c r="B13" s="56" t="s">
        <v>41</v>
      </c>
      <c r="C13" s="52" t="s">
        <v>45</v>
      </c>
      <c r="D13" s="52" t="s">
        <v>46</v>
      </c>
      <c r="E13" s="52">
        <f>COUNTIF(Backlog!$C:$C,A13)</f>
        <v>8</v>
      </c>
      <c r="F13" s="53">
        <f>SUMIF(Backlog!$C:$C,A13,Backlog!$J:$J)</f>
        <v>86</v>
      </c>
      <c r="G13" s="2"/>
      <c r="H13" s="24"/>
      <c r="I13" s="25"/>
      <c r="K13" s="2" t="s">
        <v>44</v>
      </c>
      <c r="L13" s="111">
        <v>0</v>
      </c>
      <c r="M13" s="111">
        <v>0</v>
      </c>
      <c r="N13" s="111">
        <v>0</v>
      </c>
      <c r="O13" s="111">
        <v>0</v>
      </c>
      <c r="P13" s="2" t="s">
        <v>2018</v>
      </c>
    </row>
    <row r="14" spans="1:16" ht="60" customHeight="1" x14ac:dyDescent="0.25">
      <c r="A14" s="51" t="s">
        <v>47</v>
      </c>
      <c r="B14" s="56" t="s">
        <v>41</v>
      </c>
      <c r="C14" s="52" t="s">
        <v>48</v>
      </c>
      <c r="D14" s="52" t="s">
        <v>2023</v>
      </c>
      <c r="E14" s="52">
        <v>9</v>
      </c>
      <c r="F14" s="53">
        <v>102</v>
      </c>
      <c r="G14" s="2"/>
      <c r="H14" s="24"/>
      <c r="I14" s="25"/>
      <c r="K14" s="2" t="s">
        <v>47</v>
      </c>
      <c r="L14" s="111">
        <v>102</v>
      </c>
      <c r="M14" s="111">
        <v>0</v>
      </c>
      <c r="N14" s="111">
        <v>0</v>
      </c>
      <c r="O14" s="111">
        <v>15.737499999999999</v>
      </c>
      <c r="P14" s="2" t="s">
        <v>2024</v>
      </c>
    </row>
    <row r="15" spans="1:16" ht="60" customHeight="1" x14ac:dyDescent="0.25">
      <c r="A15" s="57" t="s">
        <v>49</v>
      </c>
      <c r="B15" s="58" t="s">
        <v>41</v>
      </c>
      <c r="C15" s="59" t="s">
        <v>50</v>
      </c>
      <c r="D15" s="59" t="s">
        <v>51</v>
      </c>
      <c r="E15" s="59">
        <f>COUNTIF(Backlog!$C:$C,A15)</f>
        <v>7</v>
      </c>
      <c r="F15" s="60">
        <f>SUMIF(Backlog!$C:$C,A15,Backlog!$J:$J)</f>
        <v>80</v>
      </c>
      <c r="G15" s="2"/>
      <c r="H15" s="26"/>
      <c r="I15" s="27"/>
      <c r="K15" s="2" t="s">
        <v>49</v>
      </c>
      <c r="L15" s="111">
        <v>80</v>
      </c>
      <c r="M15" s="111">
        <v>0</v>
      </c>
      <c r="N15" s="111">
        <v>0</v>
      </c>
      <c r="O15" s="111">
        <v>12.166666666666666</v>
      </c>
      <c r="P15" s="2" t="s">
        <v>2024</v>
      </c>
    </row>
    <row r="16" spans="1:16" ht="30" x14ac:dyDescent="0.25">
      <c r="A16" s="82" t="s">
        <v>52</v>
      </c>
      <c r="B16" s="83" t="s">
        <v>41</v>
      </c>
      <c r="C16" s="84" t="s">
        <v>53</v>
      </c>
      <c r="D16" s="82" t="s">
        <v>54</v>
      </c>
      <c r="E16" s="84">
        <f>COUNTIF(Backlog!$C:$C,A16)</f>
        <v>10</v>
      </c>
      <c r="F16" s="84">
        <f>SUMIF(Backlog!$C:$C,A16,Backlog!$J:$J)</f>
        <v>104</v>
      </c>
      <c r="G16" s="2"/>
      <c r="H16" s="2"/>
      <c r="I16" s="2"/>
      <c r="K16" s="2" t="s">
        <v>52</v>
      </c>
      <c r="L16" s="111">
        <v>104</v>
      </c>
      <c r="M16" s="111">
        <v>0</v>
      </c>
      <c r="N16" s="111">
        <v>0</v>
      </c>
      <c r="O16" s="111">
        <v>16</v>
      </c>
      <c r="P16" s="2" t="s">
        <v>2024</v>
      </c>
    </row>
    <row r="17" spans="1:16" ht="38.25" x14ac:dyDescent="0.25">
      <c r="A17" s="82" t="s">
        <v>55</v>
      </c>
      <c r="B17" s="83" t="s">
        <v>41</v>
      </c>
      <c r="C17" s="82" t="s">
        <v>56</v>
      </c>
      <c r="D17" s="82" t="s">
        <v>57</v>
      </c>
      <c r="E17" s="82">
        <f>COUNTIF(Backlog!$C:$C,A17)</f>
        <v>8</v>
      </c>
      <c r="F17" s="82">
        <f>SUMIF(Backlog!$C:$C,A17,Backlog!$J:$J)</f>
        <v>80</v>
      </c>
      <c r="G17" s="2"/>
      <c r="H17" s="2"/>
      <c r="I17" s="2"/>
      <c r="K17" s="2" t="s">
        <v>55</v>
      </c>
      <c r="L17" s="111">
        <v>80</v>
      </c>
      <c r="M17" s="111">
        <v>4.08</v>
      </c>
      <c r="N17" s="111">
        <v>2.333333333333333</v>
      </c>
      <c r="O17" s="111">
        <v>8.2999999999999989</v>
      </c>
      <c r="P17" s="2" t="s">
        <v>2024</v>
      </c>
    </row>
    <row r="18" spans="1:16" ht="30" x14ac:dyDescent="0.25">
      <c r="A18" s="82" t="s">
        <v>58</v>
      </c>
      <c r="B18" s="85" t="s">
        <v>59</v>
      </c>
      <c r="C18" s="82" t="s">
        <v>60</v>
      </c>
      <c r="D18" s="82" t="s">
        <v>61</v>
      </c>
      <c r="E18" s="82">
        <f>COUNTIF(Backlog!$C:$C,A18)</f>
        <v>8</v>
      </c>
      <c r="F18" s="82">
        <f>SUMIF(Backlog!$C:$C,A18,Backlog!$J:$J)</f>
        <v>96</v>
      </c>
      <c r="G18" s="2"/>
      <c r="H18" s="2"/>
      <c r="I18" s="2"/>
      <c r="K18" s="2" t="s">
        <v>58</v>
      </c>
      <c r="L18" s="111">
        <v>96</v>
      </c>
      <c r="M18" s="111">
        <v>28.8</v>
      </c>
      <c r="N18" s="111">
        <v>7.2</v>
      </c>
      <c r="O18" s="111">
        <v>12.96</v>
      </c>
      <c r="P18" s="2" t="s">
        <v>2020</v>
      </c>
    </row>
    <row r="19" spans="1:16" ht="30" x14ac:dyDescent="0.25">
      <c r="A19" s="82" t="s">
        <v>62</v>
      </c>
      <c r="B19" s="85" t="s">
        <v>59</v>
      </c>
      <c r="C19" s="82" t="s">
        <v>63</v>
      </c>
      <c r="D19" s="82" t="s">
        <v>64</v>
      </c>
      <c r="E19" s="82">
        <f>COUNTIF(Backlog!$C:$C,A19)</f>
        <v>9</v>
      </c>
      <c r="F19" s="82">
        <f>SUMIF(Backlog!$C:$C,A19,Backlog!$J:$J)</f>
        <v>108</v>
      </c>
      <c r="G19" s="2"/>
      <c r="H19" s="2"/>
      <c r="I19" s="2"/>
      <c r="K19" s="2" t="s">
        <v>62</v>
      </c>
      <c r="L19" s="111">
        <v>108</v>
      </c>
      <c r="M19" s="111">
        <v>43.2</v>
      </c>
      <c r="N19" s="111">
        <v>14.4</v>
      </c>
      <c r="O19" s="111">
        <v>4.32</v>
      </c>
      <c r="P19" s="2" t="s">
        <v>2020</v>
      </c>
    </row>
    <row r="20" spans="1:16" x14ac:dyDescent="0.25">
      <c r="A20" s="66"/>
      <c r="B20" s="66"/>
      <c r="C20" s="86" t="s">
        <v>65</v>
      </c>
      <c r="D20" s="86"/>
      <c r="E20" s="86">
        <v>200</v>
      </c>
      <c r="F20" s="86">
        <v>1806</v>
      </c>
      <c r="G20" s="2"/>
      <c r="H20" s="2"/>
      <c r="I20" s="2"/>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N6"/>
  <sheetViews>
    <sheetView workbookViewId="0"/>
  </sheetViews>
  <sheetFormatPr defaultRowHeight="15" x14ac:dyDescent="0.25"/>
  <cols>
    <col min="1" max="1" width="12" customWidth="1"/>
    <col min="2" max="2" width="80" customWidth="1"/>
    <col min="3" max="6" width="14" customWidth="1"/>
    <col min="8" max="8" width="12" customWidth="1"/>
    <col min="9" max="9" width="18" customWidth="1"/>
    <col min="10" max="12" width="11" customWidth="1"/>
    <col min="13" max="13" width="17" customWidth="1"/>
    <col min="14" max="14" width="42" customWidth="1"/>
  </cols>
  <sheetData>
    <row r="1" spans="1:14" ht="25.5" x14ac:dyDescent="0.25">
      <c r="A1" s="90" t="s">
        <v>1</v>
      </c>
      <c r="B1" s="91" t="s">
        <v>66</v>
      </c>
      <c r="C1" s="91" t="s">
        <v>4</v>
      </c>
      <c r="D1" s="91" t="s">
        <v>5</v>
      </c>
      <c r="E1" s="91" t="s">
        <v>67</v>
      </c>
      <c r="F1" s="92" t="s">
        <v>68</v>
      </c>
      <c r="H1" s="112" t="s">
        <v>1</v>
      </c>
      <c r="I1" s="112" t="s">
        <v>2013</v>
      </c>
      <c r="J1" s="112" t="s">
        <v>2025</v>
      </c>
      <c r="K1" s="112" t="s">
        <v>2026</v>
      </c>
      <c r="L1" s="112" t="s">
        <v>2027</v>
      </c>
      <c r="M1" s="112" t="s">
        <v>2028</v>
      </c>
      <c r="N1" s="112" t="s">
        <v>2029</v>
      </c>
    </row>
    <row r="2" spans="1:14" ht="33.950000000000003" customHeight="1" x14ac:dyDescent="0.25">
      <c r="A2" s="28" t="s">
        <v>7</v>
      </c>
      <c r="B2" s="1" t="s">
        <v>2030</v>
      </c>
      <c r="C2" s="1">
        <f>COUNTIF(Backlog!$B:$B,A2)</f>
        <v>83</v>
      </c>
      <c r="D2" s="1">
        <f>SUMIF(Backlog!$B:$B,A2,Backlog!$J:$J)</f>
        <v>574</v>
      </c>
      <c r="E2" s="1">
        <v>55</v>
      </c>
      <c r="F2" s="16">
        <v>22</v>
      </c>
      <c r="H2" s="2" t="s">
        <v>7</v>
      </c>
      <c r="I2" s="115">
        <v>163</v>
      </c>
      <c r="J2" s="115">
        <v>9.2333333333333325</v>
      </c>
      <c r="K2" s="115">
        <v>17.246666666666666</v>
      </c>
      <c r="L2" s="115">
        <v>2.8708333333333336</v>
      </c>
      <c r="M2" s="2" t="s">
        <v>1017</v>
      </c>
      <c r="N2" s="2" t="s">
        <v>2031</v>
      </c>
    </row>
    <row r="3" spans="1:14" ht="33.950000000000003" customHeight="1" x14ac:dyDescent="0.25">
      <c r="A3" s="29" t="s">
        <v>30</v>
      </c>
      <c r="B3" s="1" t="s">
        <v>2032</v>
      </c>
      <c r="C3" s="1">
        <v>50</v>
      </c>
      <c r="D3" s="1">
        <v>490</v>
      </c>
      <c r="E3" s="1">
        <v>29</v>
      </c>
      <c r="F3" s="16">
        <v>21</v>
      </c>
      <c r="H3" s="2" t="s">
        <v>30</v>
      </c>
      <c r="I3" s="115">
        <v>490</v>
      </c>
      <c r="J3" s="115">
        <v>65.499166666666667</v>
      </c>
      <c r="K3" s="115">
        <v>21.470476190476191</v>
      </c>
      <c r="L3" s="115">
        <v>4.5</v>
      </c>
      <c r="M3" s="2" t="s">
        <v>1050</v>
      </c>
      <c r="N3" s="2" t="s">
        <v>2033</v>
      </c>
    </row>
    <row r="4" spans="1:14" ht="33.950000000000003" customHeight="1" x14ac:dyDescent="0.25">
      <c r="A4" s="30" t="s">
        <v>41</v>
      </c>
      <c r="B4" s="1" t="s">
        <v>2034</v>
      </c>
      <c r="C4" s="1">
        <v>50</v>
      </c>
      <c r="D4" s="1">
        <v>538</v>
      </c>
      <c r="E4" s="1">
        <v>37</v>
      </c>
      <c r="F4" s="16">
        <v>12</v>
      </c>
      <c r="H4" s="2" t="s">
        <v>41</v>
      </c>
      <c r="I4" s="115">
        <v>366</v>
      </c>
      <c r="J4" s="115">
        <v>4.08</v>
      </c>
      <c r="K4" s="115">
        <v>2.333333333333333</v>
      </c>
      <c r="L4" s="115">
        <v>52.204166666666666</v>
      </c>
      <c r="M4" s="2" t="s">
        <v>1139</v>
      </c>
      <c r="N4" s="2" t="s">
        <v>2035</v>
      </c>
    </row>
    <row r="5" spans="1:14" ht="33.950000000000003" customHeight="1" x14ac:dyDescent="0.25">
      <c r="A5" s="31" t="s">
        <v>59</v>
      </c>
      <c r="B5" s="1" t="s">
        <v>2036</v>
      </c>
      <c r="C5" s="1">
        <f>COUNTIF(Backlog!$B:$B,A5)</f>
        <v>17</v>
      </c>
      <c r="D5" s="1">
        <f>SUMIF(Backlog!$B:$B,A5,Backlog!$J:$J)</f>
        <v>204</v>
      </c>
      <c r="E5" s="1">
        <v>8</v>
      </c>
      <c r="F5" s="16">
        <v>8</v>
      </c>
      <c r="H5" s="2" t="s">
        <v>59</v>
      </c>
      <c r="I5" s="115">
        <v>204</v>
      </c>
      <c r="J5" s="115">
        <v>72</v>
      </c>
      <c r="K5" s="115">
        <v>21.6</v>
      </c>
      <c r="L5" s="115">
        <v>17.28</v>
      </c>
      <c r="M5" s="2" t="s">
        <v>1050</v>
      </c>
      <c r="N5" s="2" t="s">
        <v>2037</v>
      </c>
    </row>
    <row r="6" spans="1:14" x14ac:dyDescent="0.25">
      <c r="A6" s="46"/>
      <c r="B6" s="32" t="s">
        <v>65</v>
      </c>
      <c r="C6" s="93">
        <v>200</v>
      </c>
      <c r="D6" s="93">
        <v>1806</v>
      </c>
      <c r="E6" s="40"/>
      <c r="F6" s="47"/>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42"/>
  <sheetViews>
    <sheetView workbookViewId="0"/>
  </sheetViews>
  <sheetFormatPr defaultRowHeight="15" x14ac:dyDescent="0.25"/>
  <cols>
    <col min="1" max="1" width="28" customWidth="1"/>
    <col min="2" max="2" width="70" customWidth="1"/>
  </cols>
  <sheetData>
    <row r="1" spans="1:2" ht="15.6" customHeight="1" x14ac:dyDescent="0.25">
      <c r="A1" s="33" t="s">
        <v>69</v>
      </c>
      <c r="B1" s="34"/>
    </row>
    <row r="2" spans="1:2" x14ac:dyDescent="0.25">
      <c r="A2" s="11"/>
      <c r="B2" s="12"/>
    </row>
    <row r="3" spans="1:2" ht="15" customHeight="1" x14ac:dyDescent="0.25">
      <c r="A3" s="35" t="s">
        <v>70</v>
      </c>
      <c r="B3" s="36" t="s">
        <v>71</v>
      </c>
    </row>
    <row r="4" spans="1:2" ht="15" customHeight="1" x14ac:dyDescent="0.25">
      <c r="A4" s="35" t="s">
        <v>72</v>
      </c>
      <c r="B4" s="36" t="s">
        <v>73</v>
      </c>
    </row>
    <row r="5" spans="1:2" ht="15" customHeight="1" x14ac:dyDescent="0.25">
      <c r="A5" s="35" t="s">
        <v>74</v>
      </c>
      <c r="B5" s="36" t="s">
        <v>75</v>
      </c>
    </row>
    <row r="6" spans="1:2" ht="15" customHeight="1" x14ac:dyDescent="0.25">
      <c r="A6" s="35" t="s">
        <v>0</v>
      </c>
      <c r="B6" s="36" t="s">
        <v>76</v>
      </c>
    </row>
    <row r="7" spans="1:2" ht="15" customHeight="1" x14ac:dyDescent="0.25">
      <c r="A7" s="35" t="s">
        <v>77</v>
      </c>
      <c r="B7" s="36" t="s">
        <v>78</v>
      </c>
    </row>
    <row r="8" spans="1:2" ht="15" customHeight="1" x14ac:dyDescent="0.25">
      <c r="A8" s="35" t="s">
        <v>5</v>
      </c>
      <c r="B8" s="36" t="s">
        <v>79</v>
      </c>
    </row>
    <row r="9" spans="1:2" ht="21.6" customHeight="1" x14ac:dyDescent="0.25">
      <c r="A9" s="35" t="s">
        <v>80</v>
      </c>
      <c r="B9" s="36" t="s">
        <v>81</v>
      </c>
    </row>
    <row r="10" spans="1:2" ht="15" customHeight="1" x14ac:dyDescent="0.25">
      <c r="A10" s="35" t="s">
        <v>82</v>
      </c>
      <c r="B10" s="36" t="s">
        <v>83</v>
      </c>
    </row>
    <row r="11" spans="1:2" ht="15" customHeight="1" x14ac:dyDescent="0.25">
      <c r="A11" s="35"/>
      <c r="B11" s="36"/>
    </row>
    <row r="12" spans="1:2" ht="15" customHeight="1" x14ac:dyDescent="0.25">
      <c r="A12" s="35" t="s">
        <v>84</v>
      </c>
      <c r="B12" s="36" t="s">
        <v>85</v>
      </c>
    </row>
    <row r="13" spans="1:2" ht="15" customHeight="1" x14ac:dyDescent="0.25">
      <c r="A13" s="35" t="s">
        <v>86</v>
      </c>
      <c r="B13" s="36" t="s">
        <v>87</v>
      </c>
    </row>
    <row r="14" spans="1:2" ht="15" customHeight="1" x14ac:dyDescent="0.25">
      <c r="A14" s="35" t="s">
        <v>88</v>
      </c>
      <c r="B14" s="36" t="s">
        <v>89</v>
      </c>
    </row>
    <row r="15" spans="1:2" ht="15" customHeight="1" x14ac:dyDescent="0.25">
      <c r="A15" s="35" t="s">
        <v>90</v>
      </c>
      <c r="B15" s="36" t="s">
        <v>91</v>
      </c>
    </row>
    <row r="16" spans="1:2" ht="15" customHeight="1" x14ac:dyDescent="0.25">
      <c r="A16" s="35" t="s">
        <v>92</v>
      </c>
      <c r="B16" s="36" t="s">
        <v>93</v>
      </c>
    </row>
    <row r="17" spans="1:2" ht="15" customHeight="1" x14ac:dyDescent="0.25">
      <c r="A17" s="35"/>
      <c r="B17" s="36"/>
    </row>
    <row r="18" spans="1:2" ht="21.6" customHeight="1" x14ac:dyDescent="0.25">
      <c r="A18" s="35" t="s">
        <v>94</v>
      </c>
      <c r="B18" s="36" t="s">
        <v>95</v>
      </c>
    </row>
    <row r="19" spans="1:2" ht="26.45" customHeight="1" x14ac:dyDescent="0.25">
      <c r="A19" s="37" t="s">
        <v>96</v>
      </c>
      <c r="B19" s="12" t="s">
        <v>97</v>
      </c>
    </row>
    <row r="20" spans="1:2" ht="26.45" customHeight="1" x14ac:dyDescent="0.25">
      <c r="A20" s="37" t="s">
        <v>98</v>
      </c>
      <c r="B20" s="12" t="s">
        <v>99</v>
      </c>
    </row>
    <row r="21" spans="1:2" ht="26.45" customHeight="1" x14ac:dyDescent="0.25">
      <c r="A21" s="37" t="s">
        <v>100</v>
      </c>
      <c r="B21" s="12" t="s">
        <v>101</v>
      </c>
    </row>
    <row r="22" spans="1:2" ht="26.45" customHeight="1" x14ac:dyDescent="0.25">
      <c r="A22" s="37" t="s">
        <v>102</v>
      </c>
      <c r="B22" s="12" t="s">
        <v>103</v>
      </c>
    </row>
    <row r="23" spans="1:2" ht="45" x14ac:dyDescent="0.25">
      <c r="A23" s="11" t="s">
        <v>104</v>
      </c>
      <c r="B23" s="12" t="s">
        <v>105</v>
      </c>
    </row>
    <row r="24" spans="1:2" ht="30" x14ac:dyDescent="0.25">
      <c r="A24" s="11" t="s">
        <v>106</v>
      </c>
      <c r="B24" s="12" t="s">
        <v>107</v>
      </c>
    </row>
    <row r="25" spans="1:2" ht="45" x14ac:dyDescent="0.25">
      <c r="A25" s="11" t="s">
        <v>108</v>
      </c>
      <c r="B25" s="12" t="s">
        <v>109</v>
      </c>
    </row>
    <row r="26" spans="1:2" x14ac:dyDescent="0.25">
      <c r="A26" s="11"/>
      <c r="B26" s="12"/>
    </row>
    <row r="27" spans="1:2" ht="30" x14ac:dyDescent="0.25">
      <c r="A27" s="11" t="s">
        <v>110</v>
      </c>
      <c r="B27" s="12" t="s">
        <v>111</v>
      </c>
    </row>
    <row r="28" spans="1:2" ht="45" x14ac:dyDescent="0.25">
      <c r="A28" s="13" t="s">
        <v>112</v>
      </c>
      <c r="B28" s="15" t="s">
        <v>113</v>
      </c>
    </row>
    <row r="29" spans="1:2" x14ac:dyDescent="0.25">
      <c r="A29" s="77" t="s">
        <v>2038</v>
      </c>
      <c r="B29" s="77" t="s">
        <v>2039</v>
      </c>
    </row>
    <row r="30" spans="1:2" x14ac:dyDescent="0.25">
      <c r="A30" s="2" t="s">
        <v>737</v>
      </c>
      <c r="B30" s="2" t="s">
        <v>2040</v>
      </c>
    </row>
    <row r="31" spans="1:2" ht="30" x14ac:dyDescent="0.25">
      <c r="A31" s="2" t="s">
        <v>739</v>
      </c>
      <c r="B31" s="2" t="s">
        <v>2041</v>
      </c>
    </row>
    <row r="32" spans="1:2" ht="30" x14ac:dyDescent="0.25">
      <c r="A32" s="2" t="s">
        <v>744</v>
      </c>
      <c r="B32" s="2" t="s">
        <v>2042</v>
      </c>
    </row>
    <row r="33" spans="1:2" ht="45" x14ac:dyDescent="0.25">
      <c r="A33" s="2" t="s">
        <v>2043</v>
      </c>
      <c r="B33" s="2" t="s">
        <v>2044</v>
      </c>
    </row>
    <row r="34" spans="1:2" ht="45" x14ac:dyDescent="0.25">
      <c r="A34" s="2" t="s">
        <v>2045</v>
      </c>
      <c r="B34" s="2" t="s">
        <v>2046</v>
      </c>
    </row>
    <row r="36" spans="1:2" ht="30" x14ac:dyDescent="0.25">
      <c r="A36" s="114" t="s">
        <v>751</v>
      </c>
      <c r="B36" s="2" t="s">
        <v>2047</v>
      </c>
    </row>
    <row r="37" spans="1:2" ht="30" x14ac:dyDescent="0.25">
      <c r="A37" s="114" t="s">
        <v>2048</v>
      </c>
      <c r="B37" s="2" t="s">
        <v>2049</v>
      </c>
    </row>
    <row r="38" spans="1:2" ht="30" x14ac:dyDescent="0.25">
      <c r="A38" s="114" t="s">
        <v>2050</v>
      </c>
      <c r="B38" s="2" t="s">
        <v>2051</v>
      </c>
    </row>
    <row r="39" spans="1:2" ht="30" x14ac:dyDescent="0.25">
      <c r="A39" s="114" t="s">
        <v>2052</v>
      </c>
      <c r="B39" s="2" t="s">
        <v>2053</v>
      </c>
    </row>
    <row r="40" spans="1:2" ht="30" x14ac:dyDescent="0.25">
      <c r="A40" s="114" t="s">
        <v>760</v>
      </c>
      <c r="B40" s="2" t="s">
        <v>2054</v>
      </c>
    </row>
    <row r="41" spans="1:2" ht="30" x14ac:dyDescent="0.25">
      <c r="A41" s="114" t="s">
        <v>2055</v>
      </c>
      <c r="B41" s="2" t="s">
        <v>2056</v>
      </c>
    </row>
    <row r="42" spans="1:2" ht="30" x14ac:dyDescent="0.25">
      <c r="A42" s="114" t="s">
        <v>2057</v>
      </c>
      <c r="B42" s="2" t="s">
        <v>2058</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I92"/>
  <sheetViews>
    <sheetView workbookViewId="0">
      <selection sqref="A1:F1"/>
    </sheetView>
  </sheetViews>
  <sheetFormatPr defaultRowHeight="15" x14ac:dyDescent="0.25"/>
  <cols>
    <col min="1" max="1" width="12" customWidth="1"/>
    <col min="2" max="2" width="55" customWidth="1"/>
    <col min="3" max="3" width="32" customWidth="1"/>
    <col min="4" max="4" width="18" customWidth="1"/>
    <col min="5" max="5" width="22" customWidth="1"/>
    <col min="6" max="6" width="60" customWidth="1"/>
    <col min="8" max="8" width="26" customWidth="1"/>
    <col min="9" max="9" width="14" customWidth="1"/>
  </cols>
  <sheetData>
    <row r="1" spans="1:9" ht="19.149999999999999" customHeight="1" x14ac:dyDescent="0.25">
      <c r="A1" s="120" t="s">
        <v>2059</v>
      </c>
      <c r="B1" s="120"/>
      <c r="C1" s="120"/>
      <c r="D1" s="120"/>
      <c r="E1" s="120"/>
      <c r="F1" s="120"/>
      <c r="G1" s="62"/>
      <c r="H1" s="103" t="s">
        <v>114</v>
      </c>
      <c r="I1" s="104" t="s">
        <v>115</v>
      </c>
    </row>
    <row r="2" spans="1:9" ht="15" customHeight="1" x14ac:dyDescent="0.25">
      <c r="A2" s="121" t="s">
        <v>2060</v>
      </c>
      <c r="B2" s="121"/>
      <c r="C2" s="121"/>
      <c r="D2" s="121"/>
      <c r="E2" s="121"/>
      <c r="F2" s="121"/>
      <c r="H2" s="105" t="s">
        <v>116</v>
      </c>
      <c r="I2" s="106">
        <v>82</v>
      </c>
    </row>
    <row r="3" spans="1:9" ht="15" customHeight="1" x14ac:dyDescent="0.25">
      <c r="H3" s="105" t="s">
        <v>117</v>
      </c>
      <c r="I3" s="106">
        <v>0</v>
      </c>
    </row>
    <row r="4" spans="1:9" ht="15" customHeight="1" x14ac:dyDescent="0.25">
      <c r="H4" s="105" t="s">
        <v>118</v>
      </c>
      <c r="I4" s="106">
        <v>33</v>
      </c>
    </row>
    <row r="5" spans="1:9" ht="15" customHeight="1" x14ac:dyDescent="0.25">
      <c r="H5" s="105" t="s">
        <v>119</v>
      </c>
      <c r="I5" s="106">
        <v>16</v>
      </c>
    </row>
    <row r="6" spans="1:9" ht="15" customHeight="1" x14ac:dyDescent="0.25">
      <c r="H6" s="105" t="s">
        <v>120</v>
      </c>
      <c r="I6" s="106">
        <v>172</v>
      </c>
    </row>
    <row r="7" spans="1:9" ht="15" customHeight="1" x14ac:dyDescent="0.25">
      <c r="A7" s="3" t="s">
        <v>121</v>
      </c>
      <c r="B7" s="3" t="s">
        <v>122</v>
      </c>
      <c r="C7" s="3" t="s">
        <v>123</v>
      </c>
      <c r="D7" s="3" t="s">
        <v>124</v>
      </c>
      <c r="E7" s="3" t="s">
        <v>125</v>
      </c>
      <c r="F7" s="3" t="s">
        <v>126</v>
      </c>
      <c r="H7" s="44" t="s">
        <v>127</v>
      </c>
      <c r="I7" s="45">
        <v>0</v>
      </c>
    </row>
    <row r="8" spans="1:9" ht="15" customHeight="1" x14ac:dyDescent="0.25">
      <c r="A8" s="2"/>
      <c r="B8" s="2"/>
      <c r="C8" s="2"/>
      <c r="D8" s="2"/>
      <c r="E8" s="2"/>
      <c r="F8" s="2"/>
      <c r="H8" s="46" t="s">
        <v>2061</v>
      </c>
      <c r="I8" s="47">
        <v>58</v>
      </c>
    </row>
    <row r="9" spans="1:9" ht="15" customHeight="1" x14ac:dyDescent="0.25">
      <c r="A9" s="2"/>
      <c r="B9" s="2"/>
      <c r="C9" s="2"/>
      <c r="D9" s="2"/>
      <c r="E9" s="2"/>
      <c r="F9" s="2"/>
      <c r="H9" s="2" t="s">
        <v>2062</v>
      </c>
      <c r="I9" s="2">
        <v>10</v>
      </c>
    </row>
    <row r="10" spans="1:9" ht="15" customHeight="1" x14ac:dyDescent="0.25">
      <c r="A10" s="48" t="s">
        <v>128</v>
      </c>
      <c r="B10" s="49" t="s">
        <v>129</v>
      </c>
      <c r="C10" s="49" t="s">
        <v>130</v>
      </c>
      <c r="D10" s="49" t="s">
        <v>131</v>
      </c>
      <c r="E10" s="49" t="s">
        <v>132</v>
      </c>
      <c r="F10" s="50" t="s">
        <v>133</v>
      </c>
    </row>
    <row r="11" spans="1:9" ht="15" customHeight="1" x14ac:dyDescent="0.25">
      <c r="A11" s="44" t="s">
        <v>134</v>
      </c>
      <c r="B11" s="2" t="s">
        <v>135</v>
      </c>
      <c r="C11" s="2" t="s">
        <v>136</v>
      </c>
      <c r="D11" s="2" t="s">
        <v>137</v>
      </c>
      <c r="E11" s="2" t="s">
        <v>138</v>
      </c>
      <c r="F11" s="45" t="s">
        <v>139</v>
      </c>
    </row>
    <row r="12" spans="1:9" ht="26.45" customHeight="1" x14ac:dyDescent="0.25">
      <c r="A12" s="44" t="s">
        <v>140</v>
      </c>
      <c r="B12" s="2" t="s">
        <v>141</v>
      </c>
      <c r="C12" s="2" t="s">
        <v>136</v>
      </c>
      <c r="D12" s="2" t="s">
        <v>137</v>
      </c>
      <c r="E12" s="2" t="s">
        <v>138</v>
      </c>
      <c r="F12" s="45" t="s">
        <v>142</v>
      </c>
    </row>
    <row r="13" spans="1:9" ht="15" customHeight="1" x14ac:dyDescent="0.25">
      <c r="A13" s="44" t="s">
        <v>143</v>
      </c>
      <c r="B13" s="2" t="s">
        <v>144</v>
      </c>
      <c r="C13" s="2" t="s">
        <v>145</v>
      </c>
      <c r="D13" s="2" t="s">
        <v>55</v>
      </c>
      <c r="E13" s="2" t="s">
        <v>146</v>
      </c>
      <c r="F13" s="45" t="s">
        <v>147</v>
      </c>
    </row>
    <row r="14" spans="1:9" ht="15" customHeight="1" x14ac:dyDescent="0.25">
      <c r="A14" s="44" t="s">
        <v>148</v>
      </c>
      <c r="B14" s="2" t="s">
        <v>149</v>
      </c>
      <c r="C14" s="2" t="s">
        <v>150</v>
      </c>
      <c r="D14" s="2" t="s">
        <v>17</v>
      </c>
      <c r="E14" s="2" t="s">
        <v>146</v>
      </c>
      <c r="F14" s="45" t="s">
        <v>151</v>
      </c>
    </row>
    <row r="15" spans="1:9" ht="26.45" customHeight="1" x14ac:dyDescent="0.25">
      <c r="A15" s="44" t="s">
        <v>152</v>
      </c>
      <c r="B15" s="2" t="s">
        <v>153</v>
      </c>
      <c r="C15" s="2" t="s">
        <v>154</v>
      </c>
      <c r="D15" s="2" t="s">
        <v>17</v>
      </c>
      <c r="E15" s="2" t="s">
        <v>146</v>
      </c>
      <c r="F15" s="45" t="s">
        <v>155</v>
      </c>
    </row>
    <row r="16" spans="1:9" ht="15" customHeight="1" x14ac:dyDescent="0.25">
      <c r="A16" s="44" t="s">
        <v>156</v>
      </c>
      <c r="B16" s="2" t="s">
        <v>157</v>
      </c>
      <c r="C16" s="2" t="s">
        <v>158</v>
      </c>
      <c r="D16" s="2" t="s">
        <v>17</v>
      </c>
      <c r="E16" s="2" t="s">
        <v>146</v>
      </c>
      <c r="F16" s="45" t="s">
        <v>159</v>
      </c>
    </row>
    <row r="17" spans="1:6" ht="15" customHeight="1" x14ac:dyDescent="0.25">
      <c r="A17" s="44" t="s">
        <v>160</v>
      </c>
      <c r="B17" s="2" t="s">
        <v>161</v>
      </c>
      <c r="C17" s="2" t="s">
        <v>162</v>
      </c>
      <c r="D17" s="2" t="s">
        <v>17</v>
      </c>
      <c r="E17" s="2" t="s">
        <v>146</v>
      </c>
      <c r="F17" s="45" t="s">
        <v>163</v>
      </c>
    </row>
    <row r="18" spans="1:6" ht="15" customHeight="1" x14ac:dyDescent="0.25">
      <c r="A18" s="44" t="s">
        <v>164</v>
      </c>
      <c r="B18" s="2" t="s">
        <v>165</v>
      </c>
      <c r="C18" s="2" t="s">
        <v>166</v>
      </c>
      <c r="D18" s="2" t="s">
        <v>17</v>
      </c>
      <c r="E18" s="2" t="s">
        <v>146</v>
      </c>
      <c r="F18" s="45" t="s">
        <v>167</v>
      </c>
    </row>
    <row r="19" spans="1:6" ht="15" customHeight="1" x14ac:dyDescent="0.25">
      <c r="A19" s="44" t="s">
        <v>168</v>
      </c>
      <c r="B19" s="2" t="s">
        <v>169</v>
      </c>
      <c r="C19" s="2" t="s">
        <v>170</v>
      </c>
      <c r="D19" s="2" t="s">
        <v>25</v>
      </c>
      <c r="E19" s="2" t="s">
        <v>171</v>
      </c>
      <c r="F19" s="45" t="s">
        <v>172</v>
      </c>
    </row>
    <row r="20" spans="1:6" ht="15" customHeight="1" x14ac:dyDescent="0.25">
      <c r="A20" s="44" t="s">
        <v>173</v>
      </c>
      <c r="B20" s="2" t="s">
        <v>174</v>
      </c>
      <c r="C20" s="2" t="s">
        <v>175</v>
      </c>
      <c r="D20" s="2" t="s">
        <v>25</v>
      </c>
      <c r="E20" s="2" t="s">
        <v>171</v>
      </c>
      <c r="F20" s="45" t="s">
        <v>176</v>
      </c>
    </row>
    <row r="21" spans="1:6" ht="15" customHeight="1" x14ac:dyDescent="0.25">
      <c r="A21" s="44" t="s">
        <v>177</v>
      </c>
      <c r="B21" s="2" t="s">
        <v>178</v>
      </c>
      <c r="C21" s="2" t="s">
        <v>179</v>
      </c>
      <c r="D21" s="2" t="s">
        <v>25</v>
      </c>
      <c r="E21" s="2" t="s">
        <v>171</v>
      </c>
      <c r="F21" s="45" t="s">
        <v>180</v>
      </c>
    </row>
    <row r="22" spans="1:6" ht="26.45" customHeight="1" x14ac:dyDescent="0.25">
      <c r="A22" s="44" t="s">
        <v>181</v>
      </c>
      <c r="B22" s="2" t="s">
        <v>182</v>
      </c>
      <c r="C22" s="2" t="s">
        <v>183</v>
      </c>
      <c r="D22" s="2" t="s">
        <v>25</v>
      </c>
      <c r="E22" s="2" t="s">
        <v>171</v>
      </c>
      <c r="F22" s="45" t="s">
        <v>176</v>
      </c>
    </row>
    <row r="23" spans="1:6" ht="15" customHeight="1" x14ac:dyDescent="0.25">
      <c r="A23" s="44" t="s">
        <v>184</v>
      </c>
      <c r="B23" s="2" t="s">
        <v>185</v>
      </c>
      <c r="C23" s="2" t="s">
        <v>186</v>
      </c>
      <c r="D23" s="2" t="s">
        <v>25</v>
      </c>
      <c r="E23" s="2" t="s">
        <v>171</v>
      </c>
      <c r="F23" s="45" t="s">
        <v>187</v>
      </c>
    </row>
    <row r="24" spans="1:6" ht="15" customHeight="1" x14ac:dyDescent="0.25">
      <c r="A24" s="44" t="s">
        <v>188</v>
      </c>
      <c r="B24" s="2" t="s">
        <v>189</v>
      </c>
      <c r="C24" s="2" t="s">
        <v>190</v>
      </c>
      <c r="D24" s="2" t="s">
        <v>25</v>
      </c>
      <c r="E24" s="2" t="s">
        <v>146</v>
      </c>
      <c r="F24" s="45" t="s">
        <v>191</v>
      </c>
    </row>
    <row r="25" spans="1:6" ht="15" customHeight="1" x14ac:dyDescent="0.25">
      <c r="A25" s="44" t="s">
        <v>192</v>
      </c>
      <c r="B25" s="2" t="s">
        <v>193</v>
      </c>
      <c r="C25" s="2" t="s">
        <v>194</v>
      </c>
      <c r="D25" s="2" t="s">
        <v>195</v>
      </c>
      <c r="E25" s="2" t="s">
        <v>146</v>
      </c>
      <c r="F25" s="45" t="s">
        <v>196</v>
      </c>
    </row>
    <row r="26" spans="1:6" ht="26.45" customHeight="1" x14ac:dyDescent="0.25">
      <c r="A26" s="44" t="s">
        <v>197</v>
      </c>
      <c r="B26" s="2" t="s">
        <v>198</v>
      </c>
      <c r="C26" s="2" t="s">
        <v>194</v>
      </c>
      <c r="D26" s="2" t="s">
        <v>195</v>
      </c>
      <c r="E26" s="2" t="s">
        <v>146</v>
      </c>
      <c r="F26" s="45" t="s">
        <v>196</v>
      </c>
    </row>
    <row r="27" spans="1:6" ht="15" customHeight="1" x14ac:dyDescent="0.25">
      <c r="A27" s="44" t="s">
        <v>199</v>
      </c>
      <c r="B27" s="2" t="s">
        <v>200</v>
      </c>
      <c r="C27" s="2" t="s">
        <v>201</v>
      </c>
      <c r="D27" s="2" t="s">
        <v>202</v>
      </c>
      <c r="E27" s="2" t="s">
        <v>146</v>
      </c>
      <c r="F27" s="45" t="s">
        <v>203</v>
      </c>
    </row>
    <row r="28" spans="1:6" ht="15" customHeight="1" x14ac:dyDescent="0.25">
      <c r="A28" s="44" t="s">
        <v>204</v>
      </c>
      <c r="B28" s="2" t="s">
        <v>205</v>
      </c>
      <c r="C28" s="2" t="s">
        <v>206</v>
      </c>
      <c r="D28" s="2" t="s">
        <v>55</v>
      </c>
      <c r="E28" s="2" t="s">
        <v>138</v>
      </c>
      <c r="F28" s="45" t="s">
        <v>207</v>
      </c>
    </row>
    <row r="29" spans="1:6" ht="15" customHeight="1" x14ac:dyDescent="0.25">
      <c r="A29" s="44" t="s">
        <v>208</v>
      </c>
      <c r="B29" s="2" t="s">
        <v>209</v>
      </c>
      <c r="C29" s="2" t="s">
        <v>210</v>
      </c>
      <c r="D29" s="2" t="s">
        <v>35</v>
      </c>
      <c r="E29" s="2" t="s">
        <v>146</v>
      </c>
      <c r="F29" s="45" t="s">
        <v>211</v>
      </c>
    </row>
    <row r="30" spans="1:6" ht="15" customHeight="1" x14ac:dyDescent="0.25">
      <c r="A30" s="44" t="s">
        <v>212</v>
      </c>
      <c r="B30" s="2" t="s">
        <v>213</v>
      </c>
      <c r="C30" s="2" t="s">
        <v>214</v>
      </c>
      <c r="D30" s="2" t="s">
        <v>215</v>
      </c>
      <c r="E30" s="2" t="s">
        <v>138</v>
      </c>
      <c r="F30" s="45" t="s">
        <v>216</v>
      </c>
    </row>
    <row r="31" spans="1:6" ht="15" customHeight="1" x14ac:dyDescent="0.25">
      <c r="A31" s="44" t="s">
        <v>217</v>
      </c>
      <c r="B31" s="2" t="s">
        <v>218</v>
      </c>
      <c r="C31" s="2" t="s">
        <v>219</v>
      </c>
      <c r="D31" s="2" t="s">
        <v>13</v>
      </c>
      <c r="E31" s="2" t="s">
        <v>146</v>
      </c>
      <c r="F31" s="45" t="s">
        <v>220</v>
      </c>
    </row>
    <row r="32" spans="1:6" ht="26.45" customHeight="1" x14ac:dyDescent="0.25">
      <c r="A32" s="44" t="s">
        <v>221</v>
      </c>
      <c r="B32" s="2" t="s">
        <v>222</v>
      </c>
      <c r="C32" s="2" t="s">
        <v>223</v>
      </c>
      <c r="D32" s="2" t="s">
        <v>29</v>
      </c>
      <c r="E32" s="2" t="s">
        <v>146</v>
      </c>
      <c r="F32" s="45" t="s">
        <v>224</v>
      </c>
    </row>
    <row r="33" spans="1:6" ht="15" customHeight="1" x14ac:dyDescent="0.25">
      <c r="A33" s="44" t="s">
        <v>225</v>
      </c>
      <c r="B33" s="2" t="s">
        <v>226</v>
      </c>
      <c r="C33" s="2" t="s">
        <v>227</v>
      </c>
      <c r="D33" s="2" t="s">
        <v>29</v>
      </c>
      <c r="E33" s="2" t="s">
        <v>146</v>
      </c>
      <c r="F33" s="45" t="s">
        <v>228</v>
      </c>
    </row>
    <row r="34" spans="1:6" ht="15" customHeight="1" x14ac:dyDescent="0.25">
      <c r="A34" s="44" t="s">
        <v>229</v>
      </c>
      <c r="B34" s="2" t="s">
        <v>230</v>
      </c>
      <c r="C34" s="2" t="s">
        <v>231</v>
      </c>
      <c r="D34" s="2" t="s">
        <v>33</v>
      </c>
      <c r="E34" s="2" t="s">
        <v>146</v>
      </c>
      <c r="F34" s="45" t="s">
        <v>232</v>
      </c>
    </row>
    <row r="35" spans="1:6" ht="15" customHeight="1" x14ac:dyDescent="0.25">
      <c r="A35" s="44" t="s">
        <v>233</v>
      </c>
      <c r="B35" s="2" t="s">
        <v>234</v>
      </c>
      <c r="C35" s="2" t="s">
        <v>235</v>
      </c>
      <c r="D35" s="2" t="s">
        <v>41</v>
      </c>
      <c r="E35" s="2" t="s">
        <v>138</v>
      </c>
      <c r="F35" s="45" t="s">
        <v>236</v>
      </c>
    </row>
    <row r="36" spans="1:6" ht="15" customHeight="1" x14ac:dyDescent="0.25">
      <c r="A36" s="44" t="s">
        <v>237</v>
      </c>
      <c r="B36" s="2" t="s">
        <v>238</v>
      </c>
      <c r="C36" s="2" t="s">
        <v>239</v>
      </c>
      <c r="D36" s="2" t="s">
        <v>41</v>
      </c>
      <c r="E36" s="2" t="s">
        <v>138</v>
      </c>
      <c r="F36" s="45" t="s">
        <v>240</v>
      </c>
    </row>
    <row r="37" spans="1:6" ht="15" customHeight="1" x14ac:dyDescent="0.25">
      <c r="A37" s="44" t="s">
        <v>241</v>
      </c>
      <c r="B37" s="2" t="s">
        <v>242</v>
      </c>
      <c r="C37" s="2" t="s">
        <v>243</v>
      </c>
      <c r="D37" s="2" t="s">
        <v>62</v>
      </c>
      <c r="E37" s="2" t="s">
        <v>146</v>
      </c>
      <c r="F37" s="45" t="s">
        <v>196</v>
      </c>
    </row>
    <row r="38" spans="1:6" ht="15" customHeight="1" x14ac:dyDescent="0.25">
      <c r="A38" s="44" t="s">
        <v>244</v>
      </c>
      <c r="B38" s="2" t="s">
        <v>245</v>
      </c>
      <c r="C38" s="2" t="s">
        <v>246</v>
      </c>
      <c r="D38" s="2" t="s">
        <v>247</v>
      </c>
      <c r="E38" s="2" t="s">
        <v>248</v>
      </c>
      <c r="F38" s="45" t="s">
        <v>249</v>
      </c>
    </row>
    <row r="39" spans="1:6" x14ac:dyDescent="0.25">
      <c r="A39" s="44" t="s">
        <v>250</v>
      </c>
      <c r="B39" s="2" t="s">
        <v>251</v>
      </c>
      <c r="C39" s="2" t="s">
        <v>246</v>
      </c>
      <c r="D39" s="2" t="s">
        <v>247</v>
      </c>
      <c r="E39" s="2" t="s">
        <v>248</v>
      </c>
      <c r="F39" s="45" t="s">
        <v>252</v>
      </c>
    </row>
    <row r="40" spans="1:6" x14ac:dyDescent="0.25">
      <c r="A40" s="44" t="s">
        <v>253</v>
      </c>
      <c r="B40" s="2" t="s">
        <v>254</v>
      </c>
      <c r="C40" s="2" t="s">
        <v>246</v>
      </c>
      <c r="D40" s="2" t="s">
        <v>247</v>
      </c>
      <c r="E40" s="2" t="s">
        <v>248</v>
      </c>
      <c r="F40" s="45" t="s">
        <v>255</v>
      </c>
    </row>
    <row r="41" spans="1:6" x14ac:dyDescent="0.25">
      <c r="A41" s="44" t="s">
        <v>256</v>
      </c>
      <c r="B41" s="2" t="s">
        <v>257</v>
      </c>
      <c r="C41" s="2" t="s">
        <v>246</v>
      </c>
      <c r="D41" s="2" t="s">
        <v>247</v>
      </c>
      <c r="E41" s="2" t="s">
        <v>248</v>
      </c>
      <c r="F41" s="45" t="s">
        <v>258</v>
      </c>
    </row>
    <row r="42" spans="1:6" x14ac:dyDescent="0.25">
      <c r="A42" s="44" t="s">
        <v>259</v>
      </c>
      <c r="B42" s="2" t="s">
        <v>260</v>
      </c>
      <c r="C42" s="2" t="s">
        <v>261</v>
      </c>
      <c r="D42" s="2" t="s">
        <v>47</v>
      </c>
      <c r="E42" s="2" t="s">
        <v>262</v>
      </c>
      <c r="F42" s="45" t="s">
        <v>263</v>
      </c>
    </row>
    <row r="43" spans="1:6" x14ac:dyDescent="0.25">
      <c r="A43" s="44" t="s">
        <v>264</v>
      </c>
      <c r="B43" s="2" t="s">
        <v>265</v>
      </c>
      <c r="C43" s="2" t="s">
        <v>266</v>
      </c>
      <c r="D43" s="2" t="s">
        <v>267</v>
      </c>
      <c r="E43" s="2" t="s">
        <v>262</v>
      </c>
      <c r="F43" s="45" t="s">
        <v>268</v>
      </c>
    </row>
    <row r="44" spans="1:6" x14ac:dyDescent="0.25">
      <c r="A44" s="44" t="s">
        <v>269</v>
      </c>
      <c r="B44" s="2" t="s">
        <v>270</v>
      </c>
      <c r="C44" s="2" t="s">
        <v>271</v>
      </c>
      <c r="D44" s="2" t="s">
        <v>272</v>
      </c>
      <c r="E44" s="2" t="s">
        <v>262</v>
      </c>
      <c r="F44" s="45" t="s">
        <v>273</v>
      </c>
    </row>
    <row r="45" spans="1:6" x14ac:dyDescent="0.25">
      <c r="A45" s="44" t="s">
        <v>274</v>
      </c>
      <c r="B45" s="2" t="s">
        <v>275</v>
      </c>
      <c r="C45" s="2" t="s">
        <v>276</v>
      </c>
      <c r="D45" s="2" t="s">
        <v>272</v>
      </c>
      <c r="E45" s="2" t="s">
        <v>262</v>
      </c>
      <c r="F45" s="45" t="s">
        <v>277</v>
      </c>
    </row>
    <row r="46" spans="1:6" x14ac:dyDescent="0.25">
      <c r="A46" s="44" t="s">
        <v>278</v>
      </c>
      <c r="B46" s="2" t="s">
        <v>279</v>
      </c>
      <c r="C46" s="2" t="s">
        <v>280</v>
      </c>
      <c r="D46" s="2" t="s">
        <v>272</v>
      </c>
      <c r="E46" s="2" t="s">
        <v>262</v>
      </c>
      <c r="F46" s="45" t="s">
        <v>281</v>
      </c>
    </row>
    <row r="47" spans="1:6" x14ac:dyDescent="0.25">
      <c r="A47" s="44" t="s">
        <v>282</v>
      </c>
      <c r="B47" s="2" t="s">
        <v>283</v>
      </c>
      <c r="C47" s="2" t="s">
        <v>284</v>
      </c>
      <c r="D47" s="2" t="s">
        <v>40</v>
      </c>
      <c r="E47" s="2" t="s">
        <v>262</v>
      </c>
      <c r="F47" s="45" t="s">
        <v>285</v>
      </c>
    </row>
    <row r="48" spans="1:6" x14ac:dyDescent="0.25">
      <c r="A48" s="44" t="s">
        <v>286</v>
      </c>
      <c r="B48" s="2" t="s">
        <v>287</v>
      </c>
      <c r="C48" s="2" t="s">
        <v>288</v>
      </c>
      <c r="D48" s="2" t="s">
        <v>40</v>
      </c>
      <c r="E48" s="2" t="s">
        <v>262</v>
      </c>
      <c r="F48" s="45" t="s">
        <v>289</v>
      </c>
    </row>
    <row r="49" spans="1:6" x14ac:dyDescent="0.25">
      <c r="A49" s="44" t="s">
        <v>290</v>
      </c>
      <c r="B49" s="2" t="s">
        <v>291</v>
      </c>
      <c r="C49" s="2" t="s">
        <v>292</v>
      </c>
      <c r="D49" s="2" t="s">
        <v>40</v>
      </c>
      <c r="E49" s="2" t="s">
        <v>262</v>
      </c>
      <c r="F49" s="45" t="s">
        <v>293</v>
      </c>
    </row>
    <row r="50" spans="1:6" x14ac:dyDescent="0.25">
      <c r="A50" s="44" t="s">
        <v>294</v>
      </c>
      <c r="B50" s="2" t="s">
        <v>295</v>
      </c>
      <c r="C50" s="2" t="s">
        <v>296</v>
      </c>
      <c r="D50" s="2" t="s">
        <v>297</v>
      </c>
      <c r="E50" s="2" t="s">
        <v>262</v>
      </c>
      <c r="F50" s="45" t="s">
        <v>298</v>
      </c>
    </row>
    <row r="51" spans="1:6" x14ac:dyDescent="0.25">
      <c r="A51" s="44" t="s">
        <v>299</v>
      </c>
      <c r="B51" s="2" t="s">
        <v>300</v>
      </c>
      <c r="C51" s="2" t="s">
        <v>301</v>
      </c>
      <c r="D51" s="2" t="s">
        <v>302</v>
      </c>
      <c r="E51" s="2" t="s">
        <v>262</v>
      </c>
      <c r="F51" s="45" t="s">
        <v>303</v>
      </c>
    </row>
    <row r="52" spans="1:6" ht="30" x14ac:dyDescent="0.25">
      <c r="A52" s="44" t="s">
        <v>304</v>
      </c>
      <c r="B52" s="2" t="s">
        <v>305</v>
      </c>
      <c r="C52" s="2" t="s">
        <v>306</v>
      </c>
      <c r="D52" s="2" t="s">
        <v>307</v>
      </c>
      <c r="E52" s="2" t="s">
        <v>138</v>
      </c>
      <c r="F52" s="45" t="s">
        <v>308</v>
      </c>
    </row>
    <row r="53" spans="1:6" x14ac:dyDescent="0.25">
      <c r="A53" s="44" t="s">
        <v>309</v>
      </c>
      <c r="B53" s="2" t="s">
        <v>310</v>
      </c>
      <c r="C53" s="2" t="s">
        <v>311</v>
      </c>
      <c r="D53" s="2" t="s">
        <v>137</v>
      </c>
      <c r="E53" s="2" t="s">
        <v>262</v>
      </c>
      <c r="F53" s="45" t="s">
        <v>312</v>
      </c>
    </row>
    <row r="54" spans="1:6" x14ac:dyDescent="0.25">
      <c r="A54" s="44" t="s">
        <v>313</v>
      </c>
      <c r="B54" s="2" t="s">
        <v>314</v>
      </c>
      <c r="C54" s="2" t="s">
        <v>315</v>
      </c>
      <c r="D54" s="2" t="s">
        <v>137</v>
      </c>
      <c r="E54" s="2" t="s">
        <v>262</v>
      </c>
      <c r="F54" s="45" t="s">
        <v>316</v>
      </c>
    </row>
    <row r="55" spans="1:6" x14ac:dyDescent="0.25">
      <c r="A55" s="44" t="s">
        <v>317</v>
      </c>
      <c r="B55" s="2" t="s">
        <v>318</v>
      </c>
      <c r="C55" s="2" t="s">
        <v>319</v>
      </c>
      <c r="D55" s="2" t="s">
        <v>137</v>
      </c>
      <c r="E55" s="2" t="s">
        <v>262</v>
      </c>
      <c r="F55" s="45" t="s">
        <v>320</v>
      </c>
    </row>
    <row r="56" spans="1:6" x14ac:dyDescent="0.25">
      <c r="A56" s="44" t="s">
        <v>321</v>
      </c>
      <c r="B56" s="2" t="s">
        <v>322</v>
      </c>
      <c r="C56" s="2" t="s">
        <v>323</v>
      </c>
      <c r="D56" s="2" t="s">
        <v>55</v>
      </c>
      <c r="E56" s="2" t="s">
        <v>262</v>
      </c>
      <c r="F56" s="45" t="s">
        <v>324</v>
      </c>
    </row>
    <row r="57" spans="1:6" x14ac:dyDescent="0.25">
      <c r="A57" s="44" t="s">
        <v>325</v>
      </c>
      <c r="B57" s="2" t="s">
        <v>326</v>
      </c>
      <c r="C57" s="2" t="s">
        <v>327</v>
      </c>
      <c r="D57" s="2" t="s">
        <v>328</v>
      </c>
      <c r="E57" s="2" t="s">
        <v>262</v>
      </c>
      <c r="F57" s="45" t="s">
        <v>329</v>
      </c>
    </row>
    <row r="58" spans="1:6" ht="30" x14ac:dyDescent="0.25">
      <c r="A58" s="44" t="s">
        <v>330</v>
      </c>
      <c r="B58" s="2" t="s">
        <v>331</v>
      </c>
      <c r="C58" s="2" t="s">
        <v>332</v>
      </c>
      <c r="D58" s="2" t="s">
        <v>41</v>
      </c>
      <c r="E58" s="2" t="s">
        <v>262</v>
      </c>
      <c r="F58" s="45" t="s">
        <v>333</v>
      </c>
    </row>
    <row r="59" spans="1:6" x14ac:dyDescent="0.25">
      <c r="A59" s="44" t="s">
        <v>334</v>
      </c>
      <c r="B59" s="2" t="s">
        <v>335</v>
      </c>
      <c r="C59" s="2" t="s">
        <v>336</v>
      </c>
      <c r="D59" s="2" t="s">
        <v>52</v>
      </c>
      <c r="E59" s="2" t="s">
        <v>262</v>
      </c>
      <c r="F59" s="45" t="s">
        <v>337</v>
      </c>
    </row>
    <row r="60" spans="1:6" ht="30" x14ac:dyDescent="0.25">
      <c r="A60" s="46" t="s">
        <v>338</v>
      </c>
      <c r="B60" s="40" t="s">
        <v>339</v>
      </c>
      <c r="C60" s="40" t="s">
        <v>340</v>
      </c>
      <c r="D60" s="40" t="s">
        <v>55</v>
      </c>
      <c r="E60" s="40" t="s">
        <v>262</v>
      </c>
      <c r="F60" s="47" t="s">
        <v>341</v>
      </c>
    </row>
    <row r="61" spans="1:6" x14ac:dyDescent="0.25">
      <c r="A61" t="s">
        <v>342</v>
      </c>
      <c r="B61" t="s">
        <v>343</v>
      </c>
      <c r="C61" t="s">
        <v>344</v>
      </c>
      <c r="D61" t="s">
        <v>345</v>
      </c>
      <c r="E61" t="s">
        <v>138</v>
      </c>
      <c r="F61" t="s">
        <v>346</v>
      </c>
    </row>
    <row r="62" spans="1:6" ht="90" x14ac:dyDescent="0.25">
      <c r="A62" s="78" t="s">
        <v>2063</v>
      </c>
      <c r="B62" s="75" t="s">
        <v>2064</v>
      </c>
      <c r="C62" s="75" t="s">
        <v>2065</v>
      </c>
      <c r="D62" s="75"/>
      <c r="E62" s="75" t="s">
        <v>2066</v>
      </c>
      <c r="F62" s="75" t="s">
        <v>2067</v>
      </c>
    </row>
    <row r="63" spans="1:6" ht="105" x14ac:dyDescent="0.25">
      <c r="A63" s="78" t="s">
        <v>2068</v>
      </c>
      <c r="B63" s="75" t="s">
        <v>2069</v>
      </c>
      <c r="C63" s="75" t="s">
        <v>2070</v>
      </c>
      <c r="D63" s="75"/>
      <c r="E63" s="75" t="s">
        <v>2066</v>
      </c>
      <c r="F63" s="75" t="s">
        <v>2071</v>
      </c>
    </row>
    <row r="64" spans="1:6" ht="75" x14ac:dyDescent="0.25">
      <c r="A64" s="78" t="s">
        <v>2072</v>
      </c>
      <c r="B64" s="75" t="s">
        <v>2073</v>
      </c>
      <c r="C64" s="75" t="s">
        <v>2074</v>
      </c>
      <c r="D64" s="75"/>
      <c r="E64" s="75" t="s">
        <v>2066</v>
      </c>
      <c r="F64" s="75" t="s">
        <v>2075</v>
      </c>
    </row>
    <row r="65" spans="1:6" ht="75" x14ac:dyDescent="0.25">
      <c r="A65" s="78" t="s">
        <v>2076</v>
      </c>
      <c r="B65" s="75" t="s">
        <v>2077</v>
      </c>
      <c r="C65" s="75" t="s">
        <v>2078</v>
      </c>
      <c r="D65" s="75"/>
      <c r="E65" s="75" t="s">
        <v>2079</v>
      </c>
      <c r="F65" s="75" t="s">
        <v>2080</v>
      </c>
    </row>
    <row r="66" spans="1:6" ht="105" x14ac:dyDescent="0.25">
      <c r="A66" s="78" t="s">
        <v>2081</v>
      </c>
      <c r="B66" s="75" t="s">
        <v>2082</v>
      </c>
      <c r="C66" s="75" t="s">
        <v>2083</v>
      </c>
      <c r="D66" s="75"/>
      <c r="E66" s="75" t="s">
        <v>2066</v>
      </c>
      <c r="F66" s="75" t="s">
        <v>2084</v>
      </c>
    </row>
    <row r="67" spans="1:6" ht="60" x14ac:dyDescent="0.25">
      <c r="A67" s="78" t="s">
        <v>2085</v>
      </c>
      <c r="B67" s="75" t="s">
        <v>2086</v>
      </c>
      <c r="C67" s="75" t="s">
        <v>2087</v>
      </c>
      <c r="D67" s="75"/>
      <c r="E67" s="75" t="s">
        <v>2088</v>
      </c>
      <c r="F67" s="75" t="s">
        <v>2089</v>
      </c>
    </row>
    <row r="68" spans="1:6" ht="90" x14ac:dyDescent="0.25">
      <c r="A68" s="78" t="s">
        <v>2090</v>
      </c>
      <c r="B68" s="75" t="s">
        <v>2091</v>
      </c>
      <c r="C68" s="75" t="s">
        <v>2092</v>
      </c>
      <c r="D68" s="75"/>
      <c r="E68" s="75" t="s">
        <v>2093</v>
      </c>
      <c r="F68" s="75" t="s">
        <v>2094</v>
      </c>
    </row>
    <row r="69" spans="1:6" ht="90" x14ac:dyDescent="0.25">
      <c r="A69" s="78" t="s">
        <v>2095</v>
      </c>
      <c r="B69" s="75" t="s">
        <v>2096</v>
      </c>
      <c r="C69" s="75" t="s">
        <v>2097</v>
      </c>
      <c r="D69" s="75"/>
      <c r="E69" s="75" t="s">
        <v>2098</v>
      </c>
      <c r="F69" s="75" t="s">
        <v>2099</v>
      </c>
    </row>
    <row r="70" spans="1:6" ht="45" x14ac:dyDescent="0.25">
      <c r="A70" s="79" t="s">
        <v>2100</v>
      </c>
      <c r="B70" s="74" t="s">
        <v>2101</v>
      </c>
      <c r="C70" s="74" t="s">
        <v>2102</v>
      </c>
      <c r="D70" s="74"/>
      <c r="E70" s="74" t="s">
        <v>2103</v>
      </c>
      <c r="F70" s="74" t="s">
        <v>2104</v>
      </c>
    </row>
    <row r="71" spans="1:6" ht="75" x14ac:dyDescent="0.25">
      <c r="A71" s="78" t="s">
        <v>2105</v>
      </c>
      <c r="B71" s="75" t="s">
        <v>2106</v>
      </c>
      <c r="C71" s="75" t="s">
        <v>2107</v>
      </c>
      <c r="D71" s="75"/>
      <c r="E71" s="75" t="s">
        <v>2108</v>
      </c>
      <c r="F71" s="75" t="s">
        <v>2109</v>
      </c>
    </row>
    <row r="72" spans="1:6" ht="60" x14ac:dyDescent="0.25">
      <c r="A72" s="79" t="s">
        <v>2110</v>
      </c>
      <c r="B72" s="74" t="s">
        <v>2111</v>
      </c>
      <c r="C72" s="74" t="s">
        <v>2112</v>
      </c>
      <c r="D72" s="74"/>
      <c r="E72" s="74" t="s">
        <v>2088</v>
      </c>
      <c r="F72" s="74" t="s">
        <v>2113</v>
      </c>
    </row>
    <row r="73" spans="1:6" ht="90" x14ac:dyDescent="0.25">
      <c r="A73" s="78" t="s">
        <v>2114</v>
      </c>
      <c r="B73" s="75" t="s">
        <v>2115</v>
      </c>
      <c r="C73" s="75" t="s">
        <v>2116</v>
      </c>
      <c r="D73" s="75"/>
      <c r="E73" s="75" t="s">
        <v>2117</v>
      </c>
      <c r="F73" s="75" t="s">
        <v>2118</v>
      </c>
    </row>
    <row r="74" spans="1:6" ht="60" x14ac:dyDescent="0.25">
      <c r="A74" s="78" t="s">
        <v>2119</v>
      </c>
      <c r="B74" s="75" t="s">
        <v>2120</v>
      </c>
      <c r="C74" s="75" t="s">
        <v>2121</v>
      </c>
      <c r="D74" s="75"/>
      <c r="E74" s="75" t="s">
        <v>2122</v>
      </c>
      <c r="F74" s="75" t="s">
        <v>2123</v>
      </c>
    </row>
    <row r="75" spans="1:6" ht="90" x14ac:dyDescent="0.25">
      <c r="A75" s="78" t="s">
        <v>2124</v>
      </c>
      <c r="B75" s="75" t="s">
        <v>2125</v>
      </c>
      <c r="C75" s="75" t="s">
        <v>2126</v>
      </c>
      <c r="D75" s="75"/>
      <c r="E75" s="75" t="s">
        <v>2127</v>
      </c>
      <c r="F75" s="75" t="s">
        <v>2128</v>
      </c>
    </row>
    <row r="76" spans="1:6" ht="60" x14ac:dyDescent="0.25">
      <c r="A76" s="79" t="s">
        <v>2129</v>
      </c>
      <c r="B76" s="74" t="s">
        <v>2130</v>
      </c>
      <c r="C76" s="74" t="s">
        <v>2131</v>
      </c>
      <c r="D76" s="74"/>
      <c r="E76" s="74" t="s">
        <v>2132</v>
      </c>
      <c r="F76" s="74" t="s">
        <v>2133</v>
      </c>
    </row>
    <row r="77" spans="1:6" ht="60" x14ac:dyDescent="0.25">
      <c r="A77" s="79" t="s">
        <v>2134</v>
      </c>
      <c r="B77" s="74" t="s">
        <v>2135</v>
      </c>
      <c r="C77" s="74" t="s">
        <v>2136</v>
      </c>
      <c r="D77" s="74"/>
      <c r="E77" s="74" t="s">
        <v>2137</v>
      </c>
      <c r="F77" s="74" t="s">
        <v>2138</v>
      </c>
    </row>
    <row r="78" spans="1:6" ht="75" x14ac:dyDescent="0.25">
      <c r="A78" s="79" t="s">
        <v>2139</v>
      </c>
      <c r="B78" s="74" t="s">
        <v>2140</v>
      </c>
      <c r="C78" s="74" t="s">
        <v>2141</v>
      </c>
      <c r="D78" s="74"/>
      <c r="E78" s="74" t="s">
        <v>2142</v>
      </c>
      <c r="F78" s="74" t="s">
        <v>2143</v>
      </c>
    </row>
    <row r="79" spans="1:6" ht="60" x14ac:dyDescent="0.25">
      <c r="A79" s="78" t="s">
        <v>2144</v>
      </c>
      <c r="B79" s="75" t="s">
        <v>2145</v>
      </c>
      <c r="C79" s="75" t="s">
        <v>2146</v>
      </c>
      <c r="D79" s="75"/>
      <c r="E79" s="75" t="s">
        <v>262</v>
      </c>
      <c r="F79" s="75" t="s">
        <v>2147</v>
      </c>
    </row>
    <row r="80" spans="1:6" ht="75" x14ac:dyDescent="0.25">
      <c r="A80" s="79" t="s">
        <v>2148</v>
      </c>
      <c r="B80" s="74" t="s">
        <v>2149</v>
      </c>
      <c r="C80" s="74" t="s">
        <v>1003</v>
      </c>
      <c r="D80" s="74"/>
      <c r="E80" s="74" t="s">
        <v>2150</v>
      </c>
      <c r="F80" s="74" t="s">
        <v>2151</v>
      </c>
    </row>
    <row r="81" spans="1:6" ht="75" x14ac:dyDescent="0.25">
      <c r="A81" s="78" t="s">
        <v>2152</v>
      </c>
      <c r="B81" s="75" t="s">
        <v>2153</v>
      </c>
      <c r="C81" s="75" t="s">
        <v>2154</v>
      </c>
      <c r="D81" s="75"/>
      <c r="E81" s="75" t="s">
        <v>2155</v>
      </c>
      <c r="F81" s="75" t="s">
        <v>2156</v>
      </c>
    </row>
    <row r="82" spans="1:6" ht="60" x14ac:dyDescent="0.25">
      <c r="A82" s="79" t="s">
        <v>2157</v>
      </c>
      <c r="B82" s="74" t="s">
        <v>2158</v>
      </c>
      <c r="C82" s="74" t="s">
        <v>2159</v>
      </c>
      <c r="D82" s="74"/>
      <c r="E82" s="74" t="s">
        <v>2160</v>
      </c>
      <c r="F82" s="74" t="s">
        <v>2161</v>
      </c>
    </row>
    <row r="83" spans="1:6" ht="45" x14ac:dyDescent="0.25">
      <c r="A83" s="79" t="s">
        <v>2162</v>
      </c>
      <c r="B83" s="74" t="s">
        <v>2163</v>
      </c>
      <c r="C83" s="74" t="s">
        <v>2164</v>
      </c>
      <c r="D83" s="74"/>
      <c r="E83" s="74" t="s">
        <v>2160</v>
      </c>
      <c r="F83" s="74" t="s">
        <v>2165</v>
      </c>
    </row>
    <row r="84" spans="1:6" ht="75" x14ac:dyDescent="0.25">
      <c r="A84" s="78" t="s">
        <v>2166</v>
      </c>
      <c r="B84" s="75" t="s">
        <v>2167</v>
      </c>
      <c r="C84" s="75" t="s">
        <v>2168</v>
      </c>
      <c r="D84" s="75"/>
      <c r="E84" s="75" t="s">
        <v>2169</v>
      </c>
      <c r="F84" s="75" t="s">
        <v>2170</v>
      </c>
    </row>
    <row r="85" spans="1:6" ht="60" x14ac:dyDescent="0.25">
      <c r="A85" s="78" t="s">
        <v>2171</v>
      </c>
      <c r="B85" s="75" t="s">
        <v>2172</v>
      </c>
      <c r="C85" s="75" t="s">
        <v>2173</v>
      </c>
      <c r="D85" s="75"/>
      <c r="E85" s="75" t="s">
        <v>262</v>
      </c>
      <c r="F85" s="75" t="s">
        <v>2174</v>
      </c>
    </row>
    <row r="86" spans="1:6" ht="75" x14ac:dyDescent="0.25">
      <c r="A86" s="78" t="s">
        <v>2175</v>
      </c>
      <c r="B86" s="75" t="s">
        <v>2176</v>
      </c>
      <c r="C86" s="75" t="s">
        <v>2177</v>
      </c>
      <c r="D86" s="75"/>
      <c r="E86" s="75" t="s">
        <v>262</v>
      </c>
      <c r="F86" s="75" t="s">
        <v>2178</v>
      </c>
    </row>
    <row r="87" spans="1:6" ht="60" x14ac:dyDescent="0.25">
      <c r="A87" s="78" t="s">
        <v>2179</v>
      </c>
      <c r="B87" s="75" t="s">
        <v>2180</v>
      </c>
      <c r="C87" s="75" t="s">
        <v>2181</v>
      </c>
      <c r="D87" s="75"/>
      <c r="E87" s="75" t="s">
        <v>262</v>
      </c>
      <c r="F87" s="75" t="s">
        <v>2182</v>
      </c>
    </row>
    <row r="88" spans="1:6" ht="75" x14ac:dyDescent="0.25">
      <c r="A88" s="78" t="s">
        <v>2183</v>
      </c>
      <c r="B88" s="75" t="s">
        <v>2184</v>
      </c>
      <c r="C88" s="75" t="s">
        <v>2185</v>
      </c>
      <c r="D88" s="75"/>
      <c r="E88" s="75" t="s">
        <v>262</v>
      </c>
      <c r="F88" s="75" t="s">
        <v>2186</v>
      </c>
    </row>
    <row r="89" spans="1:6" ht="60" x14ac:dyDescent="0.25">
      <c r="A89" s="79" t="s">
        <v>2187</v>
      </c>
      <c r="B89" s="74" t="s">
        <v>2188</v>
      </c>
      <c r="C89" s="74" t="s">
        <v>1555</v>
      </c>
      <c r="D89" s="74"/>
      <c r="E89" s="74" t="s">
        <v>2189</v>
      </c>
      <c r="F89" s="74" t="s">
        <v>2190</v>
      </c>
    </row>
    <row r="90" spans="1:6" ht="60" x14ac:dyDescent="0.25">
      <c r="A90" s="78" t="s">
        <v>2191</v>
      </c>
      <c r="B90" s="75" t="s">
        <v>2192</v>
      </c>
      <c r="C90" s="75" t="s">
        <v>2193</v>
      </c>
      <c r="D90" s="75"/>
      <c r="E90" s="75" t="s">
        <v>2150</v>
      </c>
      <c r="F90" s="75" t="s">
        <v>2194</v>
      </c>
    </row>
    <row r="91" spans="1:6" ht="75" x14ac:dyDescent="0.25">
      <c r="A91" s="79" t="s">
        <v>2195</v>
      </c>
      <c r="B91" s="74" t="s">
        <v>2196</v>
      </c>
      <c r="C91" s="74" t="s">
        <v>2197</v>
      </c>
      <c r="D91" s="74"/>
      <c r="E91" s="74" t="s">
        <v>2150</v>
      </c>
      <c r="F91" s="74" t="s">
        <v>2198</v>
      </c>
    </row>
    <row r="92" spans="1:6" ht="45" x14ac:dyDescent="0.25">
      <c r="A92" s="79" t="s">
        <v>2199</v>
      </c>
      <c r="B92" s="74" t="s">
        <v>2200</v>
      </c>
      <c r="C92" s="74" t="s">
        <v>2201</v>
      </c>
      <c r="D92" s="74"/>
      <c r="E92" s="74" t="s">
        <v>2202</v>
      </c>
      <c r="F92" s="74" t="s">
        <v>2203</v>
      </c>
    </row>
  </sheetData>
  <mergeCells count="2">
    <mergeCell ref="A1:F1"/>
    <mergeCell ref="A2:F2"/>
  </mergeCells>
  <conditionalFormatting sqref="E8:E38">
    <cfRule type="expression" dxfId="25" priority="1">
      <formula>E8="EXPANDED"</formula>
    </cfRule>
    <cfRule type="expression" dxfId="24" priority="2">
      <formula>E8="GLOBAL LAW"</formula>
    </cfRule>
    <cfRule type="expression" dxfId="23" priority="3">
      <formula>E8="EXISTING"</formula>
    </cfRule>
  </conditionalFormatting>
  <conditionalFormatting sqref="I3">
    <cfRule type="expression" dxfId="22" priority="4">
      <formula>I3=0</formula>
    </cfRule>
    <cfRule type="expression" dxfId="21" priority="5">
      <formula>I3&gt;0</formula>
    </cfRule>
  </conditionalFormatting>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L63"/>
  <sheetViews>
    <sheetView workbookViewId="0">
      <selection sqref="A1:J1"/>
    </sheetView>
  </sheetViews>
  <sheetFormatPr defaultRowHeight="15" x14ac:dyDescent="0.25"/>
  <cols>
    <col min="1" max="1" width="26" customWidth="1"/>
    <col min="2" max="2" width="14" customWidth="1"/>
    <col min="3" max="3" width="10" customWidth="1"/>
    <col min="4" max="4" width="42" customWidth="1"/>
    <col min="5" max="5" width="8" customWidth="1"/>
    <col min="6" max="6" width="24" customWidth="1"/>
    <col min="7" max="7" width="34" customWidth="1"/>
    <col min="8" max="8" width="60" customWidth="1"/>
    <col min="9" max="9" width="38" customWidth="1"/>
    <col min="10" max="10" width="13" customWidth="1"/>
    <col min="11" max="11" width="34" customWidth="1"/>
    <col min="12" max="12" width="58" customWidth="1"/>
  </cols>
  <sheetData>
    <row r="1" spans="1:12" ht="18.75" x14ac:dyDescent="0.25">
      <c r="A1" s="123" t="s">
        <v>347</v>
      </c>
      <c r="B1" s="123"/>
      <c r="C1" s="123"/>
      <c r="D1" s="123"/>
      <c r="E1" s="123"/>
      <c r="F1" s="123"/>
      <c r="G1" s="123"/>
      <c r="H1" s="123"/>
      <c r="I1" s="123"/>
      <c r="J1" s="123"/>
      <c r="K1" s="2"/>
      <c r="L1" s="2"/>
    </row>
    <row r="2" spans="1:12" x14ac:dyDescent="0.25">
      <c r="A2" s="124" t="s">
        <v>2204</v>
      </c>
      <c r="B2" s="124"/>
      <c r="C2" s="124"/>
      <c r="D2" s="124"/>
      <c r="E2" s="124"/>
      <c r="F2" s="124"/>
      <c r="G2" s="124"/>
      <c r="H2" s="124"/>
      <c r="I2" s="124"/>
      <c r="J2" s="124"/>
      <c r="K2" s="2"/>
      <c r="L2" s="2"/>
    </row>
    <row r="3" spans="1:12" x14ac:dyDescent="0.25">
      <c r="A3" s="2"/>
      <c r="B3" s="2"/>
      <c r="C3" s="2"/>
      <c r="D3" s="2"/>
      <c r="E3" s="2"/>
      <c r="F3" s="2"/>
      <c r="G3" s="2"/>
      <c r="H3" s="2"/>
      <c r="I3" s="2"/>
      <c r="J3" s="2"/>
      <c r="K3" s="2"/>
      <c r="L3" s="2"/>
    </row>
    <row r="4" spans="1:12" x14ac:dyDescent="0.25">
      <c r="A4" s="94" t="s">
        <v>348</v>
      </c>
      <c r="B4" s="95" t="s">
        <v>349</v>
      </c>
      <c r="C4" s="2"/>
      <c r="D4" s="125" t="s">
        <v>350</v>
      </c>
      <c r="E4" s="125"/>
      <c r="F4" s="125"/>
      <c r="G4" s="125"/>
      <c r="H4" s="125"/>
      <c r="I4" s="125"/>
      <c r="J4" s="125"/>
      <c r="K4" s="2"/>
      <c r="L4" s="2"/>
    </row>
    <row r="5" spans="1:12" x14ac:dyDescent="0.25">
      <c r="A5" s="44" t="s">
        <v>351</v>
      </c>
      <c r="B5" s="45">
        <f>COUNTIF(Backlog!$M:$M,"W3 SAFE NOW")</f>
        <v>0</v>
      </c>
      <c r="C5" s="2"/>
      <c r="D5" s="122" t="s">
        <v>352</v>
      </c>
      <c r="E5" s="122"/>
      <c r="F5" s="122"/>
      <c r="G5" s="122"/>
      <c r="H5" s="122"/>
      <c r="I5" s="122"/>
      <c r="J5" s="122"/>
      <c r="K5" s="2"/>
      <c r="L5" s="2"/>
    </row>
    <row r="6" spans="1:12" x14ac:dyDescent="0.25">
      <c r="A6" s="44" t="s">
        <v>353</v>
      </c>
      <c r="B6" s="45">
        <f>SUMIF(Backlog!$M:$M,"W3 SAFE NOW",Backlog!$J:$J)</f>
        <v>0</v>
      </c>
      <c r="C6" s="2"/>
      <c r="D6" s="122" t="s">
        <v>354</v>
      </c>
      <c r="E6" s="122"/>
      <c r="F6" s="122"/>
      <c r="G6" s="122"/>
      <c r="H6" s="122"/>
      <c r="I6" s="122"/>
      <c r="J6" s="122"/>
      <c r="K6" s="2"/>
      <c r="L6" s="2"/>
    </row>
    <row r="7" spans="1:12" ht="30" x14ac:dyDescent="0.25">
      <c r="A7" s="46" t="s">
        <v>355</v>
      </c>
      <c r="B7" s="47">
        <f>SUMIF(Backlog!$L:$L,"Worker 3",Backlog!$J:$J)+SUMIF(Backlog!$L:$L,"Shared: Core Platform + Worker 3",Backlog!$J:$J)+SUMIF(Backlog!$L:$L,"Shared: Infrastructure + Worker 3",Backlog!$J:$J)</f>
        <v>590</v>
      </c>
      <c r="C7" s="2"/>
      <c r="D7" s="122" t="s">
        <v>356</v>
      </c>
      <c r="E7" s="122"/>
      <c r="F7" s="122"/>
      <c r="G7" s="122"/>
      <c r="H7" s="122"/>
      <c r="I7" s="122"/>
      <c r="J7" s="122"/>
      <c r="K7" s="2"/>
      <c r="L7" s="2"/>
    </row>
    <row r="8" spans="1:12" x14ac:dyDescent="0.25">
      <c r="A8" s="2"/>
      <c r="B8" s="2"/>
      <c r="C8" s="2"/>
      <c r="D8" s="122" t="s">
        <v>357</v>
      </c>
      <c r="E8" s="122"/>
      <c r="F8" s="122"/>
      <c r="G8" s="122"/>
      <c r="H8" s="122"/>
      <c r="I8" s="122"/>
      <c r="J8" s="122"/>
      <c r="K8" s="2"/>
      <c r="L8" s="2"/>
    </row>
    <row r="9" spans="1:12" x14ac:dyDescent="0.25">
      <c r="A9" s="2"/>
      <c r="B9" s="2"/>
      <c r="C9" s="2"/>
      <c r="D9" s="122" t="s">
        <v>358</v>
      </c>
      <c r="E9" s="122"/>
      <c r="F9" s="122"/>
      <c r="G9" s="122"/>
      <c r="H9" s="122"/>
      <c r="I9" s="122"/>
      <c r="J9" s="122"/>
      <c r="K9" s="2"/>
      <c r="L9" s="2"/>
    </row>
    <row r="10" spans="1:12" x14ac:dyDescent="0.25">
      <c r="A10" s="2"/>
      <c r="B10" s="2"/>
      <c r="C10" s="2"/>
      <c r="D10" s="2"/>
      <c r="E10" s="2"/>
      <c r="F10" s="2"/>
      <c r="G10" s="2"/>
      <c r="H10" s="2"/>
      <c r="I10" s="2"/>
      <c r="J10" s="2"/>
      <c r="K10" s="2"/>
      <c r="L10" s="2"/>
    </row>
    <row r="11" spans="1:12" x14ac:dyDescent="0.25">
      <c r="A11" s="2"/>
      <c r="B11" s="2"/>
      <c r="C11" s="2"/>
      <c r="D11" s="2"/>
      <c r="E11" s="2"/>
      <c r="F11" s="2"/>
      <c r="G11" s="2"/>
      <c r="H11" s="2"/>
      <c r="I11" s="2"/>
      <c r="J11" s="2"/>
      <c r="K11" s="2"/>
      <c r="L11" s="2"/>
    </row>
    <row r="12" spans="1:12" x14ac:dyDescent="0.25">
      <c r="A12" s="96" t="s">
        <v>359</v>
      </c>
      <c r="B12" s="97" t="s">
        <v>360</v>
      </c>
      <c r="C12" s="97" t="s">
        <v>72</v>
      </c>
      <c r="D12" s="97" t="s">
        <v>361</v>
      </c>
      <c r="E12" s="97" t="s">
        <v>5</v>
      </c>
      <c r="F12" s="97" t="s">
        <v>362</v>
      </c>
      <c r="G12" s="97" t="s">
        <v>363</v>
      </c>
      <c r="H12" s="97" t="s">
        <v>364</v>
      </c>
      <c r="I12" s="97" t="s">
        <v>365</v>
      </c>
      <c r="J12" s="98" t="s">
        <v>366</v>
      </c>
      <c r="K12" s="77" t="s">
        <v>2205</v>
      </c>
      <c r="L12" s="77" t="s">
        <v>2206</v>
      </c>
    </row>
    <row r="13" spans="1:12" ht="75" x14ac:dyDescent="0.25">
      <c r="A13" s="11">
        <v>1</v>
      </c>
      <c r="B13" s="7" t="s">
        <v>367</v>
      </c>
      <c r="C13" s="7" t="s">
        <v>368</v>
      </c>
      <c r="D13" s="7" t="s">
        <v>369</v>
      </c>
      <c r="E13" s="7">
        <v>10</v>
      </c>
      <c r="F13" s="7" t="s">
        <v>84</v>
      </c>
      <c r="G13" s="7" t="s">
        <v>370</v>
      </c>
      <c r="H13" s="7" t="s">
        <v>371</v>
      </c>
      <c r="I13" s="7" t="s">
        <v>372</v>
      </c>
      <c r="J13" s="99" t="s">
        <v>768</v>
      </c>
      <c r="K13" s="2" t="s">
        <v>1866</v>
      </c>
      <c r="L13" s="2" t="s">
        <v>1864</v>
      </c>
    </row>
    <row r="14" spans="1:12" ht="45" x14ac:dyDescent="0.25">
      <c r="A14" s="11">
        <v>2</v>
      </c>
      <c r="B14" s="7" t="s">
        <v>367</v>
      </c>
      <c r="C14" s="7" t="s">
        <v>373</v>
      </c>
      <c r="D14" s="7" t="s">
        <v>374</v>
      </c>
      <c r="E14" s="7">
        <v>10</v>
      </c>
      <c r="F14" s="7" t="s">
        <v>84</v>
      </c>
      <c r="G14" s="7" t="s">
        <v>375</v>
      </c>
      <c r="H14" s="7" t="s">
        <v>376</v>
      </c>
      <c r="I14" s="7" t="s">
        <v>377</v>
      </c>
      <c r="J14" s="99" t="s">
        <v>768</v>
      </c>
      <c r="K14" s="2" t="s">
        <v>1837</v>
      </c>
      <c r="L14" s="2" t="s">
        <v>375</v>
      </c>
    </row>
    <row r="15" spans="1:12" ht="45" x14ac:dyDescent="0.25">
      <c r="A15" s="11">
        <v>3</v>
      </c>
      <c r="B15" s="7" t="s">
        <v>367</v>
      </c>
      <c r="C15" s="7" t="s">
        <v>378</v>
      </c>
      <c r="D15" s="7" t="s">
        <v>379</v>
      </c>
      <c r="E15" s="7">
        <v>12</v>
      </c>
      <c r="F15" s="7" t="s">
        <v>84</v>
      </c>
      <c r="G15" s="7" t="s">
        <v>375</v>
      </c>
      <c r="H15" s="7" t="s">
        <v>376</v>
      </c>
      <c r="I15" s="7" t="s">
        <v>380</v>
      </c>
      <c r="J15" s="99" t="s">
        <v>768</v>
      </c>
      <c r="K15" s="2" t="s">
        <v>1826</v>
      </c>
      <c r="L15" s="2" t="s">
        <v>375</v>
      </c>
    </row>
    <row r="16" spans="1:12" ht="90" x14ac:dyDescent="0.25">
      <c r="A16" s="11">
        <v>4</v>
      </c>
      <c r="B16" s="7" t="s">
        <v>367</v>
      </c>
      <c r="C16" s="7" t="s">
        <v>381</v>
      </c>
      <c r="D16" s="7" t="s">
        <v>382</v>
      </c>
      <c r="E16" s="7">
        <v>10</v>
      </c>
      <c r="F16" s="7" t="s">
        <v>84</v>
      </c>
      <c r="G16" s="7" t="s">
        <v>375</v>
      </c>
      <c r="H16" s="7" t="s">
        <v>376</v>
      </c>
      <c r="I16" s="7" t="s">
        <v>383</v>
      </c>
      <c r="J16" s="99" t="s">
        <v>768</v>
      </c>
      <c r="K16" s="2" t="s">
        <v>1830</v>
      </c>
      <c r="L16" s="2" t="s">
        <v>2207</v>
      </c>
    </row>
    <row r="17" spans="1:12" ht="75" x14ac:dyDescent="0.25">
      <c r="A17" s="11">
        <v>5</v>
      </c>
      <c r="B17" s="7" t="s">
        <v>367</v>
      </c>
      <c r="C17" s="7" t="s">
        <v>384</v>
      </c>
      <c r="D17" s="7" t="s">
        <v>385</v>
      </c>
      <c r="E17" s="7">
        <v>12</v>
      </c>
      <c r="F17" s="7" t="s">
        <v>84</v>
      </c>
      <c r="G17" s="7" t="s">
        <v>386</v>
      </c>
      <c r="H17" s="7" t="s">
        <v>387</v>
      </c>
      <c r="I17" s="7" t="s">
        <v>388</v>
      </c>
      <c r="J17" s="99" t="s">
        <v>768</v>
      </c>
      <c r="K17" s="2" t="s">
        <v>1855</v>
      </c>
      <c r="L17" s="2" t="s">
        <v>1853</v>
      </c>
    </row>
    <row r="18" spans="1:12" ht="45" x14ac:dyDescent="0.25">
      <c r="A18" s="11">
        <v>6</v>
      </c>
      <c r="B18" s="7" t="s">
        <v>367</v>
      </c>
      <c r="C18" s="7" t="s">
        <v>389</v>
      </c>
      <c r="D18" s="7" t="s">
        <v>390</v>
      </c>
      <c r="E18" s="7">
        <v>12</v>
      </c>
      <c r="F18" s="7" t="s">
        <v>84</v>
      </c>
      <c r="G18" s="7" t="s">
        <v>375</v>
      </c>
      <c r="H18" s="7" t="s">
        <v>376</v>
      </c>
      <c r="I18" s="7" t="s">
        <v>391</v>
      </c>
      <c r="J18" s="99" t="s">
        <v>768</v>
      </c>
      <c r="K18" s="2" t="s">
        <v>1859</v>
      </c>
      <c r="L18" s="2" t="s">
        <v>375</v>
      </c>
    </row>
    <row r="19" spans="1:12" ht="90" x14ac:dyDescent="0.25">
      <c r="A19" s="11">
        <v>7</v>
      </c>
      <c r="B19" s="7" t="s">
        <v>367</v>
      </c>
      <c r="C19" s="7" t="s">
        <v>288</v>
      </c>
      <c r="D19" s="7" t="s">
        <v>392</v>
      </c>
      <c r="E19" s="7">
        <v>12</v>
      </c>
      <c r="F19" s="7" t="s">
        <v>84</v>
      </c>
      <c r="G19" s="7" t="s">
        <v>375</v>
      </c>
      <c r="H19" s="7" t="s">
        <v>376</v>
      </c>
      <c r="I19" s="7" t="s">
        <v>393</v>
      </c>
      <c r="J19" s="99" t="s">
        <v>768</v>
      </c>
      <c r="K19" s="2" t="s">
        <v>1845</v>
      </c>
      <c r="L19" s="2" t="s">
        <v>2207</v>
      </c>
    </row>
    <row r="20" spans="1:12" ht="45" x14ac:dyDescent="0.25">
      <c r="A20" s="11">
        <v>8</v>
      </c>
      <c r="B20" s="7" t="s">
        <v>367</v>
      </c>
      <c r="C20" s="7" t="s">
        <v>292</v>
      </c>
      <c r="D20" s="7" t="s">
        <v>394</v>
      </c>
      <c r="E20" s="7">
        <v>10</v>
      </c>
      <c r="F20" s="7" t="s">
        <v>84</v>
      </c>
      <c r="G20" s="7" t="s">
        <v>375</v>
      </c>
      <c r="H20" s="7" t="s">
        <v>376</v>
      </c>
      <c r="I20" s="7" t="s">
        <v>395</v>
      </c>
      <c r="J20" s="99" t="s">
        <v>768</v>
      </c>
      <c r="K20" s="2" t="s">
        <v>1848</v>
      </c>
      <c r="L20" s="2" t="s">
        <v>375</v>
      </c>
    </row>
    <row r="21" spans="1:12" ht="90" x14ac:dyDescent="0.25">
      <c r="A21" s="11">
        <v>9</v>
      </c>
      <c r="B21" s="7" t="s">
        <v>367</v>
      </c>
      <c r="C21" s="7" t="s">
        <v>396</v>
      </c>
      <c r="D21" s="7" t="s">
        <v>397</v>
      </c>
      <c r="E21" s="7">
        <v>10</v>
      </c>
      <c r="F21" s="7" t="s">
        <v>84</v>
      </c>
      <c r="G21" s="7" t="s">
        <v>375</v>
      </c>
      <c r="H21" s="7" t="s">
        <v>376</v>
      </c>
      <c r="I21" s="7" t="s">
        <v>398</v>
      </c>
      <c r="J21" s="99" t="s">
        <v>768</v>
      </c>
      <c r="K21" s="2" t="s">
        <v>1833</v>
      </c>
      <c r="L21" s="2" t="s">
        <v>2207</v>
      </c>
    </row>
    <row r="22" spans="1:12" ht="90" x14ac:dyDescent="0.25">
      <c r="A22" s="11">
        <v>10</v>
      </c>
      <c r="B22" s="7" t="s">
        <v>367</v>
      </c>
      <c r="C22" s="7" t="s">
        <v>284</v>
      </c>
      <c r="D22" s="7" t="s">
        <v>399</v>
      </c>
      <c r="E22" s="7">
        <v>12</v>
      </c>
      <c r="F22" s="7" t="s">
        <v>84</v>
      </c>
      <c r="G22" s="7" t="s">
        <v>375</v>
      </c>
      <c r="H22" s="7" t="s">
        <v>376</v>
      </c>
      <c r="I22" s="7" t="s">
        <v>400</v>
      </c>
      <c r="J22" s="99" t="s">
        <v>768</v>
      </c>
      <c r="K22" s="2" t="s">
        <v>1841</v>
      </c>
      <c r="L22" s="2" t="s">
        <v>2207</v>
      </c>
    </row>
    <row r="23" spans="1:12" ht="45" x14ac:dyDescent="0.25">
      <c r="A23" s="11">
        <v>11</v>
      </c>
      <c r="B23" s="7" t="s">
        <v>367</v>
      </c>
      <c r="C23" s="7" t="s">
        <v>401</v>
      </c>
      <c r="D23" s="7" t="s">
        <v>402</v>
      </c>
      <c r="E23" s="7">
        <v>8</v>
      </c>
      <c r="F23" s="7" t="s">
        <v>84</v>
      </c>
      <c r="G23" s="7" t="s">
        <v>375</v>
      </c>
      <c r="H23" s="7" t="s">
        <v>376</v>
      </c>
      <c r="I23" s="7" t="s">
        <v>403</v>
      </c>
      <c r="J23" s="99" t="s">
        <v>768</v>
      </c>
      <c r="K23" s="2" t="s">
        <v>1869</v>
      </c>
      <c r="L23" s="2" t="s">
        <v>375</v>
      </c>
    </row>
    <row r="24" spans="1:12" ht="45" x14ac:dyDescent="0.25">
      <c r="A24" s="11">
        <v>12</v>
      </c>
      <c r="B24" s="7" t="s">
        <v>367</v>
      </c>
      <c r="C24" s="7" t="s">
        <v>404</v>
      </c>
      <c r="D24" s="7" t="s">
        <v>405</v>
      </c>
      <c r="E24" s="7">
        <v>10</v>
      </c>
      <c r="F24" s="7" t="s">
        <v>84</v>
      </c>
      <c r="G24" s="7" t="s">
        <v>375</v>
      </c>
      <c r="H24" s="7" t="s">
        <v>376</v>
      </c>
      <c r="I24" s="7" t="s">
        <v>406</v>
      </c>
      <c r="J24" s="99" t="s">
        <v>768</v>
      </c>
      <c r="K24" s="2" t="s">
        <v>1873</v>
      </c>
      <c r="L24" s="2" t="s">
        <v>375</v>
      </c>
    </row>
    <row r="25" spans="1:12" ht="90" x14ac:dyDescent="0.25">
      <c r="A25" s="11">
        <v>13</v>
      </c>
      <c r="B25" s="7" t="s">
        <v>367</v>
      </c>
      <c r="C25" s="7" t="s">
        <v>407</v>
      </c>
      <c r="D25" s="7" t="s">
        <v>408</v>
      </c>
      <c r="E25" s="7">
        <v>12</v>
      </c>
      <c r="F25" s="7" t="s">
        <v>84</v>
      </c>
      <c r="G25" s="7" t="s">
        <v>375</v>
      </c>
      <c r="H25" s="7" t="s">
        <v>376</v>
      </c>
      <c r="I25" s="7" t="s">
        <v>409</v>
      </c>
      <c r="J25" s="99" t="s">
        <v>768</v>
      </c>
      <c r="K25" s="2" t="s">
        <v>1877</v>
      </c>
      <c r="L25" s="2" t="s">
        <v>2207</v>
      </c>
    </row>
    <row r="26" spans="1:12" ht="45" x14ac:dyDescent="0.25">
      <c r="A26" s="11">
        <v>14</v>
      </c>
      <c r="B26" s="7" t="s">
        <v>367</v>
      </c>
      <c r="C26" s="7" t="s">
        <v>410</v>
      </c>
      <c r="D26" s="7" t="s">
        <v>411</v>
      </c>
      <c r="E26" s="7">
        <v>12</v>
      </c>
      <c r="F26" s="7" t="s">
        <v>84</v>
      </c>
      <c r="G26" s="7" t="s">
        <v>375</v>
      </c>
      <c r="H26" s="7" t="s">
        <v>376</v>
      </c>
      <c r="I26" s="7" t="s">
        <v>412</v>
      </c>
      <c r="J26" s="99" t="s">
        <v>768</v>
      </c>
      <c r="K26" s="2" t="s">
        <v>1881</v>
      </c>
      <c r="L26" s="2" t="s">
        <v>375</v>
      </c>
    </row>
    <row r="27" spans="1:12" ht="45" x14ac:dyDescent="0.25">
      <c r="A27" s="11">
        <v>15</v>
      </c>
      <c r="B27" s="7" t="s">
        <v>367</v>
      </c>
      <c r="C27" s="7" t="s">
        <v>413</v>
      </c>
      <c r="D27" s="7" t="s">
        <v>414</v>
      </c>
      <c r="E27" s="7">
        <v>10</v>
      </c>
      <c r="F27" s="7" t="s">
        <v>84</v>
      </c>
      <c r="G27" s="7" t="s">
        <v>375</v>
      </c>
      <c r="H27" s="7" t="s">
        <v>376</v>
      </c>
      <c r="I27" s="7" t="s">
        <v>415</v>
      </c>
      <c r="J27" s="99" t="s">
        <v>768</v>
      </c>
      <c r="K27" s="2" t="s">
        <v>1657</v>
      </c>
      <c r="L27" s="2" t="s">
        <v>375</v>
      </c>
    </row>
    <row r="28" spans="1:12" ht="135" x14ac:dyDescent="0.25">
      <c r="A28" s="11">
        <v>16</v>
      </c>
      <c r="B28" s="7" t="s">
        <v>367</v>
      </c>
      <c r="C28" s="7" t="s">
        <v>416</v>
      </c>
      <c r="D28" s="7" t="s">
        <v>417</v>
      </c>
      <c r="E28" s="7">
        <v>10</v>
      </c>
      <c r="F28" s="7" t="s">
        <v>84</v>
      </c>
      <c r="G28" s="7" t="s">
        <v>375</v>
      </c>
      <c r="H28" s="7" t="s">
        <v>376</v>
      </c>
      <c r="I28" s="7" t="s">
        <v>418</v>
      </c>
      <c r="J28" s="99" t="s">
        <v>768</v>
      </c>
      <c r="K28" s="2" t="s">
        <v>1885</v>
      </c>
      <c r="L28" s="2" t="s">
        <v>2208</v>
      </c>
    </row>
    <row r="29" spans="1:12" ht="195" x14ac:dyDescent="0.25">
      <c r="A29" s="11">
        <v>17</v>
      </c>
      <c r="B29" s="7" t="s">
        <v>419</v>
      </c>
      <c r="C29" s="7" t="s">
        <v>261</v>
      </c>
      <c r="D29" s="7" t="s">
        <v>420</v>
      </c>
      <c r="E29" s="7">
        <v>12</v>
      </c>
      <c r="F29" s="7" t="s">
        <v>86</v>
      </c>
      <c r="G29" s="7" t="s">
        <v>421</v>
      </c>
      <c r="H29" s="7" t="s">
        <v>422</v>
      </c>
      <c r="I29" s="7" t="s">
        <v>420</v>
      </c>
      <c r="J29" s="12" t="s">
        <v>1028</v>
      </c>
      <c r="K29" s="2"/>
      <c r="L29" s="2" t="s">
        <v>2209</v>
      </c>
    </row>
    <row r="30" spans="1:12" ht="195" x14ac:dyDescent="0.25">
      <c r="A30" s="11">
        <v>18</v>
      </c>
      <c r="B30" s="7" t="s">
        <v>419</v>
      </c>
      <c r="C30" s="7" t="s">
        <v>423</v>
      </c>
      <c r="D30" s="7" t="s">
        <v>424</v>
      </c>
      <c r="E30" s="7">
        <v>10</v>
      </c>
      <c r="F30" s="7" t="s">
        <v>86</v>
      </c>
      <c r="G30" s="7" t="s">
        <v>425</v>
      </c>
      <c r="H30" s="7" t="s">
        <v>422</v>
      </c>
      <c r="I30" s="7" t="s">
        <v>424</v>
      </c>
      <c r="J30" s="12" t="s">
        <v>1028</v>
      </c>
      <c r="K30" s="2"/>
      <c r="L30" s="2" t="s">
        <v>2210</v>
      </c>
    </row>
    <row r="31" spans="1:12" ht="195" x14ac:dyDescent="0.25">
      <c r="A31" s="11">
        <v>19</v>
      </c>
      <c r="B31" s="7" t="s">
        <v>419</v>
      </c>
      <c r="C31" s="7" t="s">
        <v>426</v>
      </c>
      <c r="D31" s="7" t="s">
        <v>427</v>
      </c>
      <c r="E31" s="7">
        <v>10</v>
      </c>
      <c r="F31" s="7" t="s">
        <v>86</v>
      </c>
      <c r="G31" s="7" t="s">
        <v>428</v>
      </c>
      <c r="H31" s="7" t="s">
        <v>422</v>
      </c>
      <c r="I31" s="7" t="s">
        <v>427</v>
      </c>
      <c r="J31" s="12" t="s">
        <v>1028</v>
      </c>
      <c r="K31" s="2"/>
      <c r="L31" s="2" t="s">
        <v>2211</v>
      </c>
    </row>
    <row r="32" spans="1:12" ht="210" x14ac:dyDescent="0.25">
      <c r="A32" s="11">
        <v>20</v>
      </c>
      <c r="B32" s="7" t="s">
        <v>419</v>
      </c>
      <c r="C32" s="7" t="s">
        <v>429</v>
      </c>
      <c r="D32" s="7" t="s">
        <v>430</v>
      </c>
      <c r="E32" s="7">
        <v>12</v>
      </c>
      <c r="F32" s="7" t="s">
        <v>86</v>
      </c>
      <c r="G32" s="7" t="s">
        <v>431</v>
      </c>
      <c r="H32" s="7" t="s">
        <v>422</v>
      </c>
      <c r="I32" s="7" t="s">
        <v>430</v>
      </c>
      <c r="J32" s="12" t="s">
        <v>1028</v>
      </c>
      <c r="K32" s="2"/>
      <c r="L32" s="2" t="s">
        <v>2212</v>
      </c>
    </row>
    <row r="33" spans="1:12" ht="135" x14ac:dyDescent="0.25">
      <c r="A33" s="11">
        <v>21</v>
      </c>
      <c r="B33" s="7" t="s">
        <v>419</v>
      </c>
      <c r="C33" s="7" t="s">
        <v>432</v>
      </c>
      <c r="D33" s="7" t="s">
        <v>433</v>
      </c>
      <c r="E33" s="7">
        <v>12</v>
      </c>
      <c r="F33" s="7" t="s">
        <v>86</v>
      </c>
      <c r="G33" s="7" t="s">
        <v>434</v>
      </c>
      <c r="H33" s="7" t="s">
        <v>422</v>
      </c>
      <c r="I33" s="7" t="s">
        <v>433</v>
      </c>
      <c r="J33" s="12" t="s">
        <v>1028</v>
      </c>
      <c r="K33" s="2"/>
      <c r="L33" s="2" t="s">
        <v>2213</v>
      </c>
    </row>
    <row r="34" spans="1:12" ht="135" x14ac:dyDescent="0.25">
      <c r="A34" s="11">
        <v>22</v>
      </c>
      <c r="B34" s="7" t="s">
        <v>419</v>
      </c>
      <c r="C34" s="7" t="s">
        <v>435</v>
      </c>
      <c r="D34" s="7" t="s">
        <v>436</v>
      </c>
      <c r="E34" s="7">
        <v>12</v>
      </c>
      <c r="F34" s="7" t="s">
        <v>86</v>
      </c>
      <c r="G34" s="7" t="s">
        <v>434</v>
      </c>
      <c r="H34" s="7" t="s">
        <v>422</v>
      </c>
      <c r="I34" s="7" t="s">
        <v>436</v>
      </c>
      <c r="J34" s="12" t="s">
        <v>1028</v>
      </c>
      <c r="K34" s="2"/>
      <c r="L34" s="2" t="s">
        <v>2213</v>
      </c>
    </row>
    <row r="35" spans="1:12" ht="45" x14ac:dyDescent="0.25">
      <c r="A35" s="11">
        <v>23</v>
      </c>
      <c r="B35" s="7" t="s">
        <v>419</v>
      </c>
      <c r="C35" s="7" t="s">
        <v>437</v>
      </c>
      <c r="D35" s="7" t="s">
        <v>438</v>
      </c>
      <c r="E35" s="7">
        <v>12</v>
      </c>
      <c r="F35" s="7" t="s">
        <v>86</v>
      </c>
      <c r="G35" s="7" t="s">
        <v>439</v>
      </c>
      <c r="H35" s="7" t="s">
        <v>422</v>
      </c>
      <c r="I35" s="7" t="s">
        <v>438</v>
      </c>
      <c r="J35" s="12" t="s">
        <v>1028</v>
      </c>
      <c r="K35" s="2"/>
      <c r="L35" s="2" t="s">
        <v>439</v>
      </c>
    </row>
    <row r="36" spans="1:12" ht="45" x14ac:dyDescent="0.25">
      <c r="A36" s="11">
        <v>24</v>
      </c>
      <c r="B36" s="7" t="s">
        <v>419</v>
      </c>
      <c r="C36" s="7" t="s">
        <v>440</v>
      </c>
      <c r="D36" s="7" t="s">
        <v>441</v>
      </c>
      <c r="E36" s="7">
        <v>12</v>
      </c>
      <c r="F36" s="7" t="s">
        <v>86</v>
      </c>
      <c r="G36" s="7" t="s">
        <v>437</v>
      </c>
      <c r="H36" s="7" t="s">
        <v>422</v>
      </c>
      <c r="I36" s="7" t="s">
        <v>441</v>
      </c>
      <c r="J36" s="12" t="s">
        <v>1028</v>
      </c>
      <c r="K36" s="2"/>
      <c r="L36" s="2" t="s">
        <v>437</v>
      </c>
    </row>
    <row r="37" spans="1:12" ht="180" x14ac:dyDescent="0.25">
      <c r="A37" s="11">
        <v>25</v>
      </c>
      <c r="B37" s="7" t="s">
        <v>442</v>
      </c>
      <c r="C37" s="7" t="s">
        <v>443</v>
      </c>
      <c r="D37" s="7" t="s">
        <v>444</v>
      </c>
      <c r="E37" s="7">
        <v>12</v>
      </c>
      <c r="F37" s="7" t="s">
        <v>445</v>
      </c>
      <c r="G37" s="7" t="s">
        <v>446</v>
      </c>
      <c r="H37" s="7" t="s">
        <v>447</v>
      </c>
      <c r="I37" s="7" t="s">
        <v>444</v>
      </c>
      <c r="J37" s="12" t="s">
        <v>1028</v>
      </c>
      <c r="K37" s="2"/>
      <c r="L37" s="2" t="s">
        <v>2214</v>
      </c>
    </row>
    <row r="38" spans="1:12" ht="225" x14ac:dyDescent="0.25">
      <c r="A38" s="11">
        <v>26</v>
      </c>
      <c r="B38" s="7" t="s">
        <v>442</v>
      </c>
      <c r="C38" s="7" t="s">
        <v>448</v>
      </c>
      <c r="D38" s="7" t="s">
        <v>449</v>
      </c>
      <c r="E38" s="7">
        <v>12</v>
      </c>
      <c r="F38" s="7" t="s">
        <v>445</v>
      </c>
      <c r="G38" s="7" t="s">
        <v>450</v>
      </c>
      <c r="H38" s="7" t="s">
        <v>447</v>
      </c>
      <c r="I38" s="7" t="s">
        <v>449</v>
      </c>
      <c r="J38" s="12" t="s">
        <v>1028</v>
      </c>
      <c r="K38" s="2"/>
      <c r="L38" s="2" t="s">
        <v>2215</v>
      </c>
    </row>
    <row r="39" spans="1:12" ht="45" x14ac:dyDescent="0.25">
      <c r="A39" s="11">
        <v>27</v>
      </c>
      <c r="B39" s="7" t="s">
        <v>442</v>
      </c>
      <c r="C39" s="7" t="s">
        <v>451</v>
      </c>
      <c r="D39" s="7" t="s">
        <v>452</v>
      </c>
      <c r="E39" s="7">
        <v>12</v>
      </c>
      <c r="F39" s="7" t="s">
        <v>445</v>
      </c>
      <c r="G39" s="7" t="s">
        <v>453</v>
      </c>
      <c r="H39" s="7" t="s">
        <v>447</v>
      </c>
      <c r="I39" s="7" t="s">
        <v>452</v>
      </c>
      <c r="J39" s="12" t="s">
        <v>1028</v>
      </c>
      <c r="K39" s="2"/>
      <c r="L39" s="2" t="s">
        <v>453</v>
      </c>
    </row>
    <row r="40" spans="1:12" ht="135" x14ac:dyDescent="0.25">
      <c r="A40" s="11">
        <v>28</v>
      </c>
      <c r="B40" s="7" t="s">
        <v>442</v>
      </c>
      <c r="C40" s="7" t="s">
        <v>454</v>
      </c>
      <c r="D40" s="7" t="s">
        <v>455</v>
      </c>
      <c r="E40" s="7">
        <v>12</v>
      </c>
      <c r="F40" s="7" t="s">
        <v>445</v>
      </c>
      <c r="G40" s="7" t="s">
        <v>456</v>
      </c>
      <c r="H40" s="7" t="s">
        <v>447</v>
      </c>
      <c r="I40" s="7" t="s">
        <v>455</v>
      </c>
      <c r="J40" s="12" t="s">
        <v>1028</v>
      </c>
      <c r="K40" s="2"/>
      <c r="L40" s="2" t="s">
        <v>2216</v>
      </c>
    </row>
    <row r="41" spans="1:12" ht="45" x14ac:dyDescent="0.25">
      <c r="A41" s="11">
        <v>29</v>
      </c>
      <c r="B41" s="7" t="s">
        <v>442</v>
      </c>
      <c r="C41" s="7" t="s">
        <v>457</v>
      </c>
      <c r="D41" s="7" t="s">
        <v>458</v>
      </c>
      <c r="E41" s="7">
        <v>10</v>
      </c>
      <c r="F41" s="7" t="s">
        <v>445</v>
      </c>
      <c r="G41" s="7" t="s">
        <v>459</v>
      </c>
      <c r="H41" s="7" t="s">
        <v>447</v>
      </c>
      <c r="I41" s="7" t="s">
        <v>458</v>
      </c>
      <c r="J41" s="12" t="s">
        <v>1028</v>
      </c>
      <c r="K41" s="2"/>
      <c r="L41" s="2" t="s">
        <v>459</v>
      </c>
    </row>
    <row r="42" spans="1:12" ht="90" x14ac:dyDescent="0.25">
      <c r="A42" s="11">
        <v>30</v>
      </c>
      <c r="B42" s="7" t="s">
        <v>442</v>
      </c>
      <c r="C42" s="7" t="s">
        <v>460</v>
      </c>
      <c r="D42" s="7" t="s">
        <v>461</v>
      </c>
      <c r="E42" s="7">
        <v>10</v>
      </c>
      <c r="F42" s="7" t="s">
        <v>445</v>
      </c>
      <c r="G42" s="7" t="s">
        <v>462</v>
      </c>
      <c r="H42" s="7" t="s">
        <v>447</v>
      </c>
      <c r="I42" s="7" t="s">
        <v>461</v>
      </c>
      <c r="J42" s="12" t="s">
        <v>1028</v>
      </c>
      <c r="K42" s="2"/>
      <c r="L42" s="2" t="s">
        <v>2217</v>
      </c>
    </row>
    <row r="43" spans="1:12" ht="180" x14ac:dyDescent="0.25">
      <c r="A43" s="11">
        <v>31</v>
      </c>
      <c r="B43" s="7" t="s">
        <v>442</v>
      </c>
      <c r="C43" s="7" t="s">
        <v>463</v>
      </c>
      <c r="D43" s="7" t="s">
        <v>464</v>
      </c>
      <c r="E43" s="7">
        <v>12</v>
      </c>
      <c r="F43" s="7" t="s">
        <v>465</v>
      </c>
      <c r="G43" s="7" t="s">
        <v>466</v>
      </c>
      <c r="H43" s="7" t="s">
        <v>467</v>
      </c>
      <c r="I43" s="7" t="s">
        <v>464</v>
      </c>
      <c r="J43" s="12" t="s">
        <v>1028</v>
      </c>
      <c r="K43" s="2"/>
      <c r="L43" s="2" t="s">
        <v>2218</v>
      </c>
    </row>
    <row r="44" spans="1:12" ht="165" x14ac:dyDescent="0.25">
      <c r="A44" s="11">
        <v>32</v>
      </c>
      <c r="B44" s="7" t="s">
        <v>468</v>
      </c>
      <c r="C44" s="7" t="s">
        <v>469</v>
      </c>
      <c r="D44" s="7" t="s">
        <v>470</v>
      </c>
      <c r="E44" s="7">
        <v>12</v>
      </c>
      <c r="F44" s="7" t="s">
        <v>471</v>
      </c>
      <c r="G44" s="7" t="s">
        <v>472</v>
      </c>
      <c r="H44" s="7" t="s">
        <v>473</v>
      </c>
      <c r="I44" s="7" t="s">
        <v>470</v>
      </c>
      <c r="J44" s="12" t="s">
        <v>1028</v>
      </c>
      <c r="K44" s="2"/>
      <c r="L44" s="2" t="s">
        <v>2219</v>
      </c>
    </row>
    <row r="45" spans="1:12" ht="45" x14ac:dyDescent="0.25">
      <c r="A45" s="11">
        <v>33</v>
      </c>
      <c r="B45" s="7" t="s">
        <v>468</v>
      </c>
      <c r="C45" s="7" t="s">
        <v>474</v>
      </c>
      <c r="D45" s="7" t="s">
        <v>475</v>
      </c>
      <c r="E45" s="7">
        <v>12</v>
      </c>
      <c r="F45" s="7" t="s">
        <v>471</v>
      </c>
      <c r="G45" s="7" t="s">
        <v>476</v>
      </c>
      <c r="H45" s="7" t="s">
        <v>473</v>
      </c>
      <c r="I45" s="7" t="s">
        <v>475</v>
      </c>
      <c r="J45" s="12" t="s">
        <v>1028</v>
      </c>
      <c r="K45" s="2"/>
      <c r="L45" s="2" t="s">
        <v>476</v>
      </c>
    </row>
    <row r="46" spans="1:12" ht="45" x14ac:dyDescent="0.25">
      <c r="A46" s="11">
        <v>34</v>
      </c>
      <c r="B46" s="7" t="s">
        <v>468</v>
      </c>
      <c r="C46" s="7" t="s">
        <v>477</v>
      </c>
      <c r="D46" s="7" t="s">
        <v>478</v>
      </c>
      <c r="E46" s="7">
        <v>12</v>
      </c>
      <c r="F46" s="7" t="s">
        <v>479</v>
      </c>
      <c r="G46" s="7" t="s">
        <v>480</v>
      </c>
      <c r="H46" s="7" t="s">
        <v>481</v>
      </c>
      <c r="I46" s="7" t="s">
        <v>478</v>
      </c>
      <c r="J46" s="12" t="s">
        <v>1028</v>
      </c>
      <c r="K46" s="2"/>
      <c r="L46" s="2" t="s">
        <v>480</v>
      </c>
    </row>
    <row r="47" spans="1:12" ht="45" x14ac:dyDescent="0.25">
      <c r="A47" s="11">
        <v>35</v>
      </c>
      <c r="B47" s="7" t="s">
        <v>468</v>
      </c>
      <c r="C47" s="7" t="s">
        <v>482</v>
      </c>
      <c r="D47" s="7" t="s">
        <v>483</v>
      </c>
      <c r="E47" s="7">
        <v>8</v>
      </c>
      <c r="F47" s="7" t="s">
        <v>471</v>
      </c>
      <c r="G47" s="7" t="s">
        <v>484</v>
      </c>
      <c r="H47" s="7" t="s">
        <v>473</v>
      </c>
      <c r="I47" s="7" t="s">
        <v>483</v>
      </c>
      <c r="J47" s="12" t="s">
        <v>1028</v>
      </c>
      <c r="K47" s="2"/>
      <c r="L47" s="2" t="s">
        <v>484</v>
      </c>
    </row>
    <row r="48" spans="1:12" ht="45" x14ac:dyDescent="0.25">
      <c r="A48" s="11">
        <v>36</v>
      </c>
      <c r="B48" s="7" t="s">
        <v>468</v>
      </c>
      <c r="C48" s="7" t="s">
        <v>485</v>
      </c>
      <c r="D48" s="7" t="s">
        <v>486</v>
      </c>
      <c r="E48" s="7">
        <v>8</v>
      </c>
      <c r="F48" s="7" t="s">
        <v>471</v>
      </c>
      <c r="G48" s="7" t="s">
        <v>487</v>
      </c>
      <c r="H48" s="7" t="s">
        <v>473</v>
      </c>
      <c r="I48" s="7" t="s">
        <v>486</v>
      </c>
      <c r="J48" s="12" t="s">
        <v>1028</v>
      </c>
      <c r="K48" s="2"/>
      <c r="L48" s="2" t="s">
        <v>487</v>
      </c>
    </row>
    <row r="49" spans="1:12" ht="45" x14ac:dyDescent="0.25">
      <c r="A49" s="11">
        <v>37</v>
      </c>
      <c r="B49" s="7" t="s">
        <v>468</v>
      </c>
      <c r="C49" s="7" t="s">
        <v>488</v>
      </c>
      <c r="D49" s="7" t="s">
        <v>489</v>
      </c>
      <c r="E49" s="7">
        <v>8</v>
      </c>
      <c r="F49" s="7" t="s">
        <v>471</v>
      </c>
      <c r="G49" s="7" t="s">
        <v>485</v>
      </c>
      <c r="H49" s="7" t="s">
        <v>473</v>
      </c>
      <c r="I49" s="7" t="s">
        <v>489</v>
      </c>
      <c r="J49" s="12" t="s">
        <v>1028</v>
      </c>
      <c r="K49" s="2"/>
      <c r="L49" s="2" t="s">
        <v>485</v>
      </c>
    </row>
    <row r="50" spans="1:12" ht="45" x14ac:dyDescent="0.25">
      <c r="A50" s="11">
        <v>38</v>
      </c>
      <c r="B50" s="7" t="s">
        <v>468</v>
      </c>
      <c r="C50" s="7" t="s">
        <v>490</v>
      </c>
      <c r="D50" s="7" t="s">
        <v>491</v>
      </c>
      <c r="E50" s="7">
        <v>8</v>
      </c>
      <c r="F50" s="7" t="s">
        <v>471</v>
      </c>
      <c r="G50" s="7" t="s">
        <v>488</v>
      </c>
      <c r="H50" s="7" t="s">
        <v>473</v>
      </c>
      <c r="I50" s="7" t="s">
        <v>491</v>
      </c>
      <c r="J50" s="12" t="s">
        <v>1028</v>
      </c>
      <c r="K50" s="2"/>
      <c r="L50" s="2" t="s">
        <v>488</v>
      </c>
    </row>
    <row r="51" spans="1:12" ht="90" x14ac:dyDescent="0.25">
      <c r="A51" s="11">
        <v>39</v>
      </c>
      <c r="B51" s="7" t="s">
        <v>468</v>
      </c>
      <c r="C51" s="7" t="s">
        <v>492</v>
      </c>
      <c r="D51" s="7" t="s">
        <v>493</v>
      </c>
      <c r="E51" s="7">
        <v>12</v>
      </c>
      <c r="F51" s="7" t="s">
        <v>471</v>
      </c>
      <c r="G51" s="7" t="s">
        <v>494</v>
      </c>
      <c r="H51" s="7" t="s">
        <v>473</v>
      </c>
      <c r="I51" s="7" t="s">
        <v>493</v>
      </c>
      <c r="J51" s="12" t="s">
        <v>1028</v>
      </c>
      <c r="K51" s="2"/>
      <c r="L51" s="2" t="s">
        <v>2220</v>
      </c>
    </row>
    <row r="52" spans="1:12" ht="45" x14ac:dyDescent="0.25">
      <c r="A52" s="11">
        <v>40</v>
      </c>
      <c r="B52" s="7" t="s">
        <v>468</v>
      </c>
      <c r="C52" s="7" t="s">
        <v>495</v>
      </c>
      <c r="D52" s="7" t="s">
        <v>496</v>
      </c>
      <c r="E52" s="7">
        <v>12</v>
      </c>
      <c r="F52" s="7" t="s">
        <v>471</v>
      </c>
      <c r="G52" s="7" t="s">
        <v>497</v>
      </c>
      <c r="H52" s="7" t="s">
        <v>473</v>
      </c>
      <c r="I52" s="7" t="s">
        <v>496</v>
      </c>
      <c r="J52" s="12" t="s">
        <v>1028</v>
      </c>
      <c r="K52" s="2"/>
      <c r="L52" s="2" t="s">
        <v>497</v>
      </c>
    </row>
    <row r="53" spans="1:12" ht="45" x14ac:dyDescent="0.25">
      <c r="A53" s="11">
        <v>41</v>
      </c>
      <c r="B53" s="7" t="s">
        <v>468</v>
      </c>
      <c r="C53" s="7" t="s">
        <v>336</v>
      </c>
      <c r="D53" s="7" t="s">
        <v>498</v>
      </c>
      <c r="E53" s="7">
        <v>12</v>
      </c>
      <c r="F53" s="7" t="s">
        <v>471</v>
      </c>
      <c r="G53" s="7" t="s">
        <v>499</v>
      </c>
      <c r="H53" s="7" t="s">
        <v>473</v>
      </c>
      <c r="I53" s="7" t="s">
        <v>498</v>
      </c>
      <c r="J53" s="12" t="s">
        <v>1028</v>
      </c>
      <c r="K53" s="2"/>
      <c r="L53" s="2" t="s">
        <v>499</v>
      </c>
    </row>
    <row r="54" spans="1:12" ht="210" x14ac:dyDescent="0.25">
      <c r="A54" s="11">
        <v>42</v>
      </c>
      <c r="B54" s="7" t="s">
        <v>500</v>
      </c>
      <c r="C54" s="7" t="s">
        <v>145</v>
      </c>
      <c r="D54" s="7" t="s">
        <v>501</v>
      </c>
      <c r="E54" s="7">
        <v>12</v>
      </c>
      <c r="F54" s="7" t="s">
        <v>502</v>
      </c>
      <c r="G54" s="7" t="s">
        <v>503</v>
      </c>
      <c r="H54" s="7" t="s">
        <v>504</v>
      </c>
      <c r="I54" s="7" t="s">
        <v>501</v>
      </c>
      <c r="J54" s="12" t="s">
        <v>1028</v>
      </c>
      <c r="K54" s="2"/>
      <c r="L54" s="2" t="s">
        <v>2221</v>
      </c>
    </row>
    <row r="55" spans="1:12" ht="60" x14ac:dyDescent="0.25">
      <c r="A55" s="11">
        <v>43</v>
      </c>
      <c r="B55" s="7" t="s">
        <v>500</v>
      </c>
      <c r="C55" s="7" t="s">
        <v>505</v>
      </c>
      <c r="D55" s="7" t="s">
        <v>506</v>
      </c>
      <c r="E55" s="7">
        <v>10</v>
      </c>
      <c r="F55" s="7" t="s">
        <v>502</v>
      </c>
      <c r="G55" s="7" t="s">
        <v>503</v>
      </c>
      <c r="H55" s="7" t="s">
        <v>504</v>
      </c>
      <c r="I55" s="7" t="s">
        <v>506</v>
      </c>
      <c r="J55" s="12" t="s">
        <v>1028</v>
      </c>
      <c r="K55" s="2"/>
      <c r="L55" s="2" t="s">
        <v>2222</v>
      </c>
    </row>
    <row r="56" spans="1:12" ht="45" x14ac:dyDescent="0.25">
      <c r="A56" s="11">
        <v>44</v>
      </c>
      <c r="B56" s="7" t="s">
        <v>500</v>
      </c>
      <c r="C56" s="7" t="s">
        <v>507</v>
      </c>
      <c r="D56" s="7" t="s">
        <v>508</v>
      </c>
      <c r="E56" s="7">
        <v>12</v>
      </c>
      <c r="F56" s="7" t="s">
        <v>471</v>
      </c>
      <c r="G56" s="7" t="s">
        <v>509</v>
      </c>
      <c r="H56" s="7" t="s">
        <v>510</v>
      </c>
      <c r="I56" s="7" t="s">
        <v>508</v>
      </c>
      <c r="J56" s="12" t="s">
        <v>1028</v>
      </c>
      <c r="K56" s="2"/>
      <c r="L56" s="2" t="s">
        <v>509</v>
      </c>
    </row>
    <row r="57" spans="1:12" ht="45" x14ac:dyDescent="0.25">
      <c r="A57" s="11">
        <v>45</v>
      </c>
      <c r="B57" s="7" t="s">
        <v>500</v>
      </c>
      <c r="C57" s="7" t="s">
        <v>340</v>
      </c>
      <c r="D57" s="7" t="s">
        <v>511</v>
      </c>
      <c r="E57" s="7">
        <v>10</v>
      </c>
      <c r="F57" s="7" t="s">
        <v>512</v>
      </c>
      <c r="G57" s="7" t="s">
        <v>513</v>
      </c>
      <c r="H57" s="7" t="s">
        <v>514</v>
      </c>
      <c r="I57" s="7" t="s">
        <v>511</v>
      </c>
      <c r="J57" s="12" t="s">
        <v>1028</v>
      </c>
      <c r="K57" s="2"/>
      <c r="L57" s="2" t="s">
        <v>513</v>
      </c>
    </row>
    <row r="58" spans="1:12" ht="45" x14ac:dyDescent="0.25">
      <c r="A58" s="11">
        <v>46</v>
      </c>
      <c r="B58" s="7" t="s">
        <v>500</v>
      </c>
      <c r="C58" s="7" t="s">
        <v>515</v>
      </c>
      <c r="D58" s="7" t="s">
        <v>516</v>
      </c>
      <c r="E58" s="7">
        <v>10</v>
      </c>
      <c r="F58" s="7" t="s">
        <v>517</v>
      </c>
      <c r="G58" s="7" t="s">
        <v>518</v>
      </c>
      <c r="H58" s="7" t="s">
        <v>519</v>
      </c>
      <c r="I58" s="7" t="s">
        <v>516</v>
      </c>
      <c r="J58" s="12" t="s">
        <v>1028</v>
      </c>
      <c r="K58" s="2"/>
      <c r="L58" s="2" t="s">
        <v>518</v>
      </c>
    </row>
    <row r="59" spans="1:12" ht="90" x14ac:dyDescent="0.25">
      <c r="A59" s="11">
        <v>47</v>
      </c>
      <c r="B59" s="7" t="s">
        <v>520</v>
      </c>
      <c r="C59" s="7" t="s">
        <v>521</v>
      </c>
      <c r="D59" s="7" t="s">
        <v>522</v>
      </c>
      <c r="E59" s="7">
        <v>12</v>
      </c>
      <c r="F59" s="7" t="s">
        <v>523</v>
      </c>
      <c r="G59" s="7" t="s">
        <v>524</v>
      </c>
      <c r="H59" s="7" t="s">
        <v>525</v>
      </c>
      <c r="I59" s="7" t="s">
        <v>522</v>
      </c>
      <c r="J59" s="12" t="s">
        <v>1028</v>
      </c>
      <c r="K59" s="2"/>
      <c r="L59" s="2" t="s">
        <v>2223</v>
      </c>
    </row>
    <row r="60" spans="1:12" ht="30" x14ac:dyDescent="0.25">
      <c r="A60" s="11">
        <v>48</v>
      </c>
      <c r="B60" s="7" t="s">
        <v>520</v>
      </c>
      <c r="C60" s="7" t="s">
        <v>526</v>
      </c>
      <c r="D60" s="7" t="s">
        <v>527</v>
      </c>
      <c r="E60" s="7">
        <v>12</v>
      </c>
      <c r="F60" s="7" t="s">
        <v>523</v>
      </c>
      <c r="G60" s="7" t="s">
        <v>524</v>
      </c>
      <c r="H60" s="7" t="s">
        <v>525</v>
      </c>
      <c r="I60" s="7" t="s">
        <v>527</v>
      </c>
      <c r="J60" s="12" t="s">
        <v>1028</v>
      </c>
      <c r="K60" s="2"/>
      <c r="L60" s="2" t="s">
        <v>524</v>
      </c>
    </row>
    <row r="61" spans="1:12" ht="75" x14ac:dyDescent="0.25">
      <c r="A61" s="11">
        <v>49</v>
      </c>
      <c r="B61" s="7" t="s">
        <v>520</v>
      </c>
      <c r="C61" s="7" t="s">
        <v>528</v>
      </c>
      <c r="D61" s="7" t="s">
        <v>529</v>
      </c>
      <c r="E61" s="7">
        <v>12</v>
      </c>
      <c r="F61" s="7" t="s">
        <v>530</v>
      </c>
      <c r="G61" s="7" t="s">
        <v>531</v>
      </c>
      <c r="H61" s="7" t="s">
        <v>532</v>
      </c>
      <c r="I61" s="7" t="s">
        <v>529</v>
      </c>
      <c r="J61" s="12" t="s">
        <v>1028</v>
      </c>
      <c r="K61" s="2"/>
      <c r="L61" s="2" t="s">
        <v>2224</v>
      </c>
    </row>
    <row r="62" spans="1:12" ht="135" x14ac:dyDescent="0.25">
      <c r="A62" s="13">
        <v>50</v>
      </c>
      <c r="B62" s="14" t="s">
        <v>520</v>
      </c>
      <c r="C62" s="14" t="s">
        <v>533</v>
      </c>
      <c r="D62" s="14" t="s">
        <v>534</v>
      </c>
      <c r="E62" s="14">
        <v>12</v>
      </c>
      <c r="F62" s="14" t="s">
        <v>530</v>
      </c>
      <c r="G62" s="14" t="s">
        <v>531</v>
      </c>
      <c r="H62" s="14" t="s">
        <v>532</v>
      </c>
      <c r="I62" s="14" t="s">
        <v>534</v>
      </c>
      <c r="J62" s="15" t="s">
        <v>1028</v>
      </c>
      <c r="K62" s="2"/>
      <c r="L62" s="2" t="s">
        <v>2225</v>
      </c>
    </row>
    <row r="63" spans="1:12" ht="45" x14ac:dyDescent="0.25">
      <c r="A63" s="2" t="s">
        <v>2226</v>
      </c>
      <c r="B63" s="2" t="s">
        <v>2227</v>
      </c>
      <c r="C63" s="2" t="s">
        <v>1950</v>
      </c>
      <c r="D63" s="2" t="s">
        <v>1951</v>
      </c>
      <c r="E63" s="2">
        <v>10</v>
      </c>
      <c r="F63" s="2" t="s">
        <v>1955</v>
      </c>
      <c r="G63" s="2" t="s">
        <v>1957</v>
      </c>
      <c r="H63" s="2" t="s">
        <v>1956</v>
      </c>
      <c r="I63" s="2" t="s">
        <v>2228</v>
      </c>
      <c r="J63" s="2" t="s">
        <v>1028</v>
      </c>
      <c r="K63" s="2"/>
      <c r="L63" s="2" t="s">
        <v>2229</v>
      </c>
    </row>
  </sheetData>
  <mergeCells count="8">
    <mergeCell ref="D7:J7"/>
    <mergeCell ref="D8:J8"/>
    <mergeCell ref="D9:J9"/>
    <mergeCell ref="A1:J1"/>
    <mergeCell ref="A2:J2"/>
    <mergeCell ref="D4:J4"/>
    <mergeCell ref="D5:J5"/>
    <mergeCell ref="D6:J6"/>
  </mergeCells>
  <conditionalFormatting sqref="F13:F62">
    <cfRule type="expression" dxfId="20" priority="1">
      <formula>F13="W3 SAFE NOW"</formula>
    </cfRule>
  </conditionalFormatting>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28"/>
  <sheetViews>
    <sheetView topLeftCell="A17" workbookViewId="0">
      <selection sqref="A1:H1"/>
    </sheetView>
  </sheetViews>
  <sheetFormatPr defaultRowHeight="15" x14ac:dyDescent="0.25"/>
  <cols>
    <col min="1" max="1" width="34" customWidth="1"/>
    <col min="2" max="2" width="28" customWidth="1"/>
    <col min="3" max="3" width="24" customWidth="1"/>
    <col min="4" max="4" width="26" customWidth="1"/>
    <col min="5" max="5" width="28" customWidth="1"/>
    <col min="6" max="6" width="26" customWidth="1"/>
    <col min="7" max="7" width="14" customWidth="1"/>
    <col min="8" max="8" width="52" customWidth="1"/>
  </cols>
  <sheetData>
    <row r="1" spans="1:8" ht="18.75" x14ac:dyDescent="0.3">
      <c r="A1" s="126" t="s">
        <v>535</v>
      </c>
      <c r="B1" s="126"/>
      <c r="C1" s="126"/>
      <c r="D1" s="126"/>
      <c r="E1" s="126"/>
      <c r="F1" s="126"/>
      <c r="G1" s="126"/>
      <c r="H1" s="126"/>
    </row>
    <row r="3" spans="1:8" x14ac:dyDescent="0.25">
      <c r="A3" s="41" t="s">
        <v>536</v>
      </c>
      <c r="B3" s="42" t="s">
        <v>537</v>
      </c>
      <c r="C3" s="42" t="s">
        <v>538</v>
      </c>
      <c r="D3" s="42" t="s">
        <v>539</v>
      </c>
      <c r="E3" s="42" t="s">
        <v>540</v>
      </c>
      <c r="F3" s="42" t="s">
        <v>541</v>
      </c>
      <c r="G3" s="42" t="s">
        <v>542</v>
      </c>
      <c r="H3" s="43" t="s">
        <v>543</v>
      </c>
    </row>
    <row r="4" spans="1:8" ht="60" x14ac:dyDescent="0.25">
      <c r="A4" s="11" t="s">
        <v>544</v>
      </c>
      <c r="B4" s="7" t="s">
        <v>261</v>
      </c>
      <c r="C4" s="7" t="s">
        <v>545</v>
      </c>
      <c r="D4" s="7" t="s">
        <v>2230</v>
      </c>
      <c r="E4" s="7" t="s">
        <v>546</v>
      </c>
      <c r="F4" s="7" t="s">
        <v>547</v>
      </c>
      <c r="G4" s="7" t="s">
        <v>548</v>
      </c>
      <c r="H4" s="12" t="s">
        <v>549</v>
      </c>
    </row>
    <row r="5" spans="1:8" ht="45" x14ac:dyDescent="0.25">
      <c r="A5" s="11" t="s">
        <v>550</v>
      </c>
      <c r="B5" s="7" t="s">
        <v>551</v>
      </c>
      <c r="C5" s="7" t="s">
        <v>552</v>
      </c>
      <c r="D5" s="7" t="s">
        <v>2231</v>
      </c>
      <c r="E5" s="7" t="s">
        <v>553</v>
      </c>
      <c r="F5" s="7" t="s">
        <v>554</v>
      </c>
      <c r="G5" s="7" t="s">
        <v>548</v>
      </c>
      <c r="H5" s="12" t="s">
        <v>555</v>
      </c>
    </row>
    <row r="6" spans="1:8" ht="45" x14ac:dyDescent="0.25">
      <c r="A6" s="11" t="s">
        <v>556</v>
      </c>
      <c r="B6" s="7" t="s">
        <v>557</v>
      </c>
      <c r="C6" s="7" t="s">
        <v>552</v>
      </c>
      <c r="D6" s="7" t="s">
        <v>2232</v>
      </c>
      <c r="E6" s="7" t="s">
        <v>553</v>
      </c>
      <c r="F6" s="7" t="s">
        <v>558</v>
      </c>
      <c r="G6" s="7" t="s">
        <v>548</v>
      </c>
      <c r="H6" s="12" t="s">
        <v>559</v>
      </c>
    </row>
    <row r="7" spans="1:8" ht="30" x14ac:dyDescent="0.25">
      <c r="A7" s="11" t="s">
        <v>560</v>
      </c>
      <c r="B7" s="7" t="s">
        <v>561</v>
      </c>
      <c r="C7" s="7" t="s">
        <v>562</v>
      </c>
      <c r="D7" s="7" t="s">
        <v>563</v>
      </c>
      <c r="E7" s="7" t="s">
        <v>564</v>
      </c>
      <c r="F7" s="7" t="s">
        <v>565</v>
      </c>
      <c r="G7" s="7" t="s">
        <v>548</v>
      </c>
      <c r="H7" s="12" t="s">
        <v>566</v>
      </c>
    </row>
    <row r="8" spans="1:8" ht="45" x14ac:dyDescent="0.25">
      <c r="A8" s="11" t="s">
        <v>567</v>
      </c>
      <c r="B8" s="7" t="s">
        <v>568</v>
      </c>
      <c r="C8" s="7" t="s">
        <v>569</v>
      </c>
      <c r="D8" s="7" t="s">
        <v>2233</v>
      </c>
      <c r="E8" s="7" t="s">
        <v>570</v>
      </c>
      <c r="F8" s="7" t="s">
        <v>571</v>
      </c>
      <c r="G8" s="7" t="s">
        <v>548</v>
      </c>
      <c r="H8" s="12" t="s">
        <v>572</v>
      </c>
    </row>
    <row r="9" spans="1:8" x14ac:dyDescent="0.25">
      <c r="A9" s="11" t="s">
        <v>573</v>
      </c>
      <c r="B9" s="7" t="s">
        <v>574</v>
      </c>
      <c r="C9" s="7" t="s">
        <v>575</v>
      </c>
      <c r="D9" s="7" t="s">
        <v>576</v>
      </c>
      <c r="E9" s="7" t="s">
        <v>570</v>
      </c>
      <c r="F9" s="7" t="s">
        <v>577</v>
      </c>
      <c r="G9" s="7" t="s">
        <v>548</v>
      </c>
      <c r="H9" s="12" t="s">
        <v>578</v>
      </c>
    </row>
    <row r="10" spans="1:8" x14ac:dyDescent="0.25">
      <c r="A10" s="11" t="s">
        <v>579</v>
      </c>
      <c r="B10" s="7" t="s">
        <v>580</v>
      </c>
      <c r="C10" s="7" t="s">
        <v>575</v>
      </c>
      <c r="D10" s="7" t="s">
        <v>576</v>
      </c>
      <c r="E10" s="7" t="s">
        <v>570</v>
      </c>
      <c r="F10" s="7" t="s">
        <v>581</v>
      </c>
      <c r="G10" s="7" t="s">
        <v>548</v>
      </c>
      <c r="H10" s="12" t="s">
        <v>582</v>
      </c>
    </row>
    <row r="11" spans="1:8" x14ac:dyDescent="0.25">
      <c r="A11" s="11" t="s">
        <v>583</v>
      </c>
      <c r="B11" s="7" t="s">
        <v>584</v>
      </c>
      <c r="C11" s="7" t="s">
        <v>575</v>
      </c>
      <c r="D11" s="7" t="s">
        <v>576</v>
      </c>
      <c r="E11" s="7" t="s">
        <v>570</v>
      </c>
      <c r="F11" s="7" t="s">
        <v>585</v>
      </c>
      <c r="G11" s="7" t="s">
        <v>548</v>
      </c>
      <c r="H11" s="12" t="s">
        <v>586</v>
      </c>
    </row>
    <row r="12" spans="1:8" x14ac:dyDescent="0.25">
      <c r="A12" s="11" t="s">
        <v>587</v>
      </c>
      <c r="B12" s="7" t="s">
        <v>588</v>
      </c>
      <c r="C12" s="7" t="s">
        <v>575</v>
      </c>
      <c r="D12" s="7" t="s">
        <v>576</v>
      </c>
      <c r="E12" s="7" t="s">
        <v>570</v>
      </c>
      <c r="F12" s="7" t="s">
        <v>589</v>
      </c>
      <c r="G12" s="7" t="s">
        <v>548</v>
      </c>
      <c r="H12" s="12" t="s">
        <v>590</v>
      </c>
    </row>
    <row r="13" spans="1:8" ht="30" x14ac:dyDescent="0.25">
      <c r="A13" s="11" t="s">
        <v>591</v>
      </c>
      <c r="B13" s="7" t="s">
        <v>592</v>
      </c>
      <c r="C13" s="7" t="s">
        <v>593</v>
      </c>
      <c r="D13" s="7" t="s">
        <v>594</v>
      </c>
      <c r="E13" s="7" t="s">
        <v>595</v>
      </c>
      <c r="F13" s="7" t="s">
        <v>596</v>
      </c>
      <c r="G13" s="7" t="s">
        <v>548</v>
      </c>
      <c r="H13" s="12" t="s">
        <v>597</v>
      </c>
    </row>
    <row r="14" spans="1:8" ht="30" x14ac:dyDescent="0.25">
      <c r="A14" s="11" t="s">
        <v>598</v>
      </c>
      <c r="B14" s="7" t="s">
        <v>599</v>
      </c>
      <c r="C14" s="7" t="s">
        <v>593</v>
      </c>
      <c r="D14" s="7" t="s">
        <v>2234</v>
      </c>
      <c r="E14" s="7" t="s">
        <v>600</v>
      </c>
      <c r="F14" s="7" t="s">
        <v>601</v>
      </c>
      <c r="G14" s="7" t="s">
        <v>548</v>
      </c>
      <c r="H14" s="12" t="s">
        <v>602</v>
      </c>
    </row>
    <row r="15" spans="1:8" ht="30" x14ac:dyDescent="0.25">
      <c r="A15" s="11" t="s">
        <v>603</v>
      </c>
      <c r="B15" s="7" t="s">
        <v>499</v>
      </c>
      <c r="C15" s="7" t="s">
        <v>593</v>
      </c>
      <c r="D15" s="7" t="s">
        <v>2234</v>
      </c>
      <c r="E15" s="7" t="s">
        <v>604</v>
      </c>
      <c r="F15" s="7" t="s">
        <v>605</v>
      </c>
      <c r="G15" s="7" t="s">
        <v>548</v>
      </c>
      <c r="H15" s="12" t="s">
        <v>606</v>
      </c>
    </row>
    <row r="16" spans="1:8" x14ac:dyDescent="0.25">
      <c r="A16" s="11" t="s">
        <v>607</v>
      </c>
      <c r="B16" s="7" t="s">
        <v>608</v>
      </c>
      <c r="C16" s="7" t="s">
        <v>609</v>
      </c>
      <c r="D16" s="7" t="s">
        <v>610</v>
      </c>
      <c r="E16" s="7" t="s">
        <v>611</v>
      </c>
      <c r="F16" s="7" t="s">
        <v>612</v>
      </c>
      <c r="G16" s="7" t="s">
        <v>548</v>
      </c>
      <c r="H16" s="12" t="s">
        <v>613</v>
      </c>
    </row>
    <row r="17" spans="1:8" ht="30" x14ac:dyDescent="0.25">
      <c r="A17" s="11" t="s">
        <v>614</v>
      </c>
      <c r="B17" s="7" t="s">
        <v>615</v>
      </c>
      <c r="C17" s="7" t="s">
        <v>616</v>
      </c>
      <c r="D17" s="7" t="s">
        <v>617</v>
      </c>
      <c r="E17" s="7" t="s">
        <v>618</v>
      </c>
      <c r="F17" s="7" t="s">
        <v>619</v>
      </c>
      <c r="G17" s="7" t="s">
        <v>548</v>
      </c>
      <c r="H17" s="12" t="s">
        <v>620</v>
      </c>
    </row>
    <row r="18" spans="1:8" ht="30" x14ac:dyDescent="0.25">
      <c r="A18" s="11" t="s">
        <v>621</v>
      </c>
      <c r="B18" s="7" t="s">
        <v>622</v>
      </c>
      <c r="C18" s="7" t="s">
        <v>623</v>
      </c>
      <c r="D18" s="7" t="s">
        <v>2235</v>
      </c>
      <c r="E18" s="7" t="s">
        <v>624</v>
      </c>
      <c r="F18" s="7" t="s">
        <v>625</v>
      </c>
      <c r="G18" s="7" t="s">
        <v>548</v>
      </c>
      <c r="H18" s="12" t="s">
        <v>626</v>
      </c>
    </row>
    <row r="19" spans="1:8" ht="30" x14ac:dyDescent="0.25">
      <c r="A19" s="11" t="s">
        <v>627</v>
      </c>
      <c r="B19" s="7" t="s">
        <v>336</v>
      </c>
      <c r="C19" s="7" t="s">
        <v>575</v>
      </c>
      <c r="D19" s="7" t="s">
        <v>617</v>
      </c>
      <c r="E19" s="7" t="s">
        <v>628</v>
      </c>
      <c r="F19" s="7" t="s">
        <v>629</v>
      </c>
      <c r="G19" s="7" t="s">
        <v>548</v>
      </c>
      <c r="H19" s="12" t="s">
        <v>630</v>
      </c>
    </row>
    <row r="20" spans="1:8" x14ac:dyDescent="0.25">
      <c r="A20" s="11" t="s">
        <v>631</v>
      </c>
      <c r="B20" s="7" t="s">
        <v>632</v>
      </c>
      <c r="C20" s="7" t="s">
        <v>633</v>
      </c>
      <c r="D20" s="7" t="s">
        <v>634</v>
      </c>
      <c r="E20" s="7" t="s">
        <v>635</v>
      </c>
      <c r="F20" s="7" t="s">
        <v>636</v>
      </c>
      <c r="G20" s="7" t="s">
        <v>548</v>
      </c>
      <c r="H20" s="12" t="s">
        <v>637</v>
      </c>
    </row>
    <row r="21" spans="1:8" x14ac:dyDescent="0.25">
      <c r="A21" s="11" t="s">
        <v>638</v>
      </c>
      <c r="B21" s="7" t="s">
        <v>639</v>
      </c>
      <c r="C21" s="7" t="s">
        <v>633</v>
      </c>
      <c r="D21" s="7" t="s">
        <v>576</v>
      </c>
      <c r="E21" s="7" t="s">
        <v>640</v>
      </c>
      <c r="F21" s="7" t="s">
        <v>641</v>
      </c>
      <c r="G21" s="7" t="s">
        <v>548</v>
      </c>
      <c r="H21" s="12" t="s">
        <v>642</v>
      </c>
    </row>
    <row r="22" spans="1:8" x14ac:dyDescent="0.25">
      <c r="A22" s="11" t="s">
        <v>643</v>
      </c>
      <c r="B22" s="7" t="s">
        <v>644</v>
      </c>
      <c r="C22" s="7" t="s">
        <v>645</v>
      </c>
      <c r="D22" s="7" t="s">
        <v>576</v>
      </c>
      <c r="E22" s="7" t="s">
        <v>646</v>
      </c>
      <c r="F22" s="7" t="s">
        <v>647</v>
      </c>
      <c r="G22" s="7" t="s">
        <v>548</v>
      </c>
      <c r="H22" s="12" t="s">
        <v>648</v>
      </c>
    </row>
    <row r="23" spans="1:8" x14ac:dyDescent="0.25">
      <c r="A23" s="11" t="s">
        <v>649</v>
      </c>
      <c r="B23" s="7" t="s">
        <v>650</v>
      </c>
      <c r="C23" s="7" t="s">
        <v>575</v>
      </c>
      <c r="D23" s="7" t="s">
        <v>576</v>
      </c>
      <c r="E23" s="7" t="s">
        <v>635</v>
      </c>
      <c r="F23" s="7" t="s">
        <v>651</v>
      </c>
      <c r="G23" s="7" t="s">
        <v>548</v>
      </c>
      <c r="H23" s="12" t="s">
        <v>652</v>
      </c>
    </row>
    <row r="24" spans="1:8" x14ac:dyDescent="0.25">
      <c r="A24" s="11" t="s">
        <v>653</v>
      </c>
      <c r="B24" s="7" t="s">
        <v>654</v>
      </c>
      <c r="C24" s="7" t="s">
        <v>655</v>
      </c>
      <c r="D24" s="7" t="s">
        <v>656</v>
      </c>
      <c r="E24" s="7" t="s">
        <v>604</v>
      </c>
      <c r="F24" s="7" t="s">
        <v>657</v>
      </c>
      <c r="G24" s="7" t="s">
        <v>548</v>
      </c>
      <c r="H24" s="12" t="s">
        <v>658</v>
      </c>
    </row>
    <row r="25" spans="1:8" ht="30" x14ac:dyDescent="0.25">
      <c r="A25" s="11" t="s">
        <v>659</v>
      </c>
      <c r="B25" s="7" t="s">
        <v>660</v>
      </c>
      <c r="C25" s="7" t="s">
        <v>661</v>
      </c>
      <c r="D25" s="7" t="s">
        <v>662</v>
      </c>
      <c r="E25" s="7" t="s">
        <v>604</v>
      </c>
      <c r="F25" s="7" t="s">
        <v>663</v>
      </c>
      <c r="G25" s="7" t="s">
        <v>548</v>
      </c>
      <c r="H25" s="12" t="s">
        <v>664</v>
      </c>
    </row>
    <row r="26" spans="1:8" ht="30" x14ac:dyDescent="0.25">
      <c r="A26" s="13" t="s">
        <v>665</v>
      </c>
      <c r="B26" s="14" t="s">
        <v>340</v>
      </c>
      <c r="C26" s="14" t="s">
        <v>575</v>
      </c>
      <c r="D26" s="14" t="s">
        <v>617</v>
      </c>
      <c r="E26" s="14" t="s">
        <v>604</v>
      </c>
      <c r="F26" s="14" t="s">
        <v>666</v>
      </c>
      <c r="G26" s="14" t="s">
        <v>548</v>
      </c>
      <c r="H26" s="15" t="s">
        <v>667</v>
      </c>
    </row>
    <row r="27" spans="1:8" x14ac:dyDescent="0.25">
      <c r="A27" t="s">
        <v>668</v>
      </c>
      <c r="B27" t="s">
        <v>669</v>
      </c>
      <c r="C27" t="s">
        <v>670</v>
      </c>
      <c r="D27" t="s">
        <v>671</v>
      </c>
      <c r="E27" t="s">
        <v>672</v>
      </c>
      <c r="F27" t="s">
        <v>673</v>
      </c>
      <c r="G27" t="s">
        <v>548</v>
      </c>
      <c r="H27" t="s">
        <v>674</v>
      </c>
    </row>
    <row r="28" spans="1:8" ht="60" x14ac:dyDescent="0.25">
      <c r="A28" s="101" t="s">
        <v>2236</v>
      </c>
      <c r="B28" s="101" t="s">
        <v>2237</v>
      </c>
      <c r="C28" s="101" t="s">
        <v>2238</v>
      </c>
      <c r="D28" s="101" t="s">
        <v>2239</v>
      </c>
      <c r="E28" s="101" t="s">
        <v>2240</v>
      </c>
      <c r="F28" s="101" t="s">
        <v>2241</v>
      </c>
      <c r="G28" s="101" t="s">
        <v>548</v>
      </c>
      <c r="H28" s="101" t="s">
        <v>2242</v>
      </c>
    </row>
  </sheetData>
  <mergeCells count="1">
    <mergeCell ref="A1:H1"/>
  </mergeCells>
  <conditionalFormatting sqref="G4:G26">
    <cfRule type="expression" dxfId="19" priority="1">
      <formula>G4="COVERED"</formula>
    </cfRule>
  </conditionalFormatting>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F26"/>
  <sheetViews>
    <sheetView workbookViewId="0">
      <selection sqref="A1:F1"/>
    </sheetView>
  </sheetViews>
  <sheetFormatPr defaultRowHeight="15" x14ac:dyDescent="0.25"/>
  <cols>
    <col min="1" max="2" width="24" customWidth="1"/>
    <col min="3" max="4" width="48" customWidth="1"/>
    <col min="5" max="5" width="30" customWidth="1"/>
    <col min="6" max="6" width="42" customWidth="1"/>
  </cols>
  <sheetData>
    <row r="1" spans="1:6" ht="17.25" x14ac:dyDescent="0.3">
      <c r="A1" s="127" t="s">
        <v>2243</v>
      </c>
      <c r="B1" s="127"/>
      <c r="C1" s="127"/>
      <c r="D1" s="127"/>
      <c r="E1" s="127"/>
      <c r="F1" s="127"/>
    </row>
    <row r="3" spans="1:6" x14ac:dyDescent="0.25">
      <c r="A3" s="38" t="s">
        <v>675</v>
      </c>
      <c r="B3" s="39" t="s">
        <v>676</v>
      </c>
      <c r="D3" s="128" t="s">
        <v>677</v>
      </c>
      <c r="E3" s="128"/>
      <c r="F3" s="128"/>
    </row>
    <row r="4" spans="1:6" x14ac:dyDescent="0.25">
      <c r="A4" s="17" t="s">
        <v>678</v>
      </c>
      <c r="B4" s="18" t="s">
        <v>679</v>
      </c>
      <c r="D4" s="129" t="s">
        <v>680</v>
      </c>
      <c r="E4" s="129"/>
      <c r="F4" s="129"/>
    </row>
    <row r="5" spans="1:6" x14ac:dyDescent="0.25">
      <c r="A5" s="17" t="s">
        <v>681</v>
      </c>
      <c r="B5" s="18" t="s">
        <v>2244</v>
      </c>
      <c r="D5" s="129"/>
      <c r="E5" s="129"/>
      <c r="F5" s="129"/>
    </row>
    <row r="6" spans="1:6" x14ac:dyDescent="0.25">
      <c r="A6" s="17" t="s">
        <v>682</v>
      </c>
      <c r="B6" s="18" t="s">
        <v>2245</v>
      </c>
      <c r="D6" s="129"/>
      <c r="E6" s="129"/>
      <c r="F6" s="129"/>
    </row>
    <row r="7" spans="1:6" x14ac:dyDescent="0.25">
      <c r="A7" s="17" t="s">
        <v>683</v>
      </c>
      <c r="B7" s="18" t="s">
        <v>2246</v>
      </c>
      <c r="D7" s="129"/>
      <c r="E7" s="129"/>
      <c r="F7" s="129"/>
    </row>
    <row r="8" spans="1:6" x14ac:dyDescent="0.25">
      <c r="A8" s="17" t="s">
        <v>684</v>
      </c>
      <c r="B8" s="18" t="s">
        <v>2247</v>
      </c>
      <c r="D8" s="129"/>
      <c r="E8" s="129"/>
      <c r="F8" s="129"/>
    </row>
    <row r="9" spans="1:6" x14ac:dyDescent="0.25">
      <c r="A9" s="19" t="s">
        <v>685</v>
      </c>
      <c r="B9" s="20" t="s">
        <v>2248</v>
      </c>
    </row>
    <row r="12" spans="1:6" x14ac:dyDescent="0.25">
      <c r="A12" s="94" t="s">
        <v>686</v>
      </c>
      <c r="B12" s="100" t="s">
        <v>687</v>
      </c>
      <c r="C12" s="100" t="s">
        <v>688</v>
      </c>
      <c r="D12" s="100" t="s">
        <v>689</v>
      </c>
      <c r="E12" s="100" t="s">
        <v>690</v>
      </c>
      <c r="F12" s="95" t="s">
        <v>691</v>
      </c>
    </row>
    <row r="13" spans="1:6" ht="30" x14ac:dyDescent="0.25">
      <c r="A13" s="44" t="s">
        <v>692</v>
      </c>
      <c r="B13" s="2" t="s">
        <v>693</v>
      </c>
      <c r="C13" s="2" t="s">
        <v>694</v>
      </c>
      <c r="D13" s="2" t="s">
        <v>695</v>
      </c>
      <c r="E13" s="2" t="s">
        <v>696</v>
      </c>
      <c r="F13" s="45" t="s">
        <v>697</v>
      </c>
    </row>
    <row r="14" spans="1:6" ht="45" x14ac:dyDescent="0.25">
      <c r="A14" s="44" t="s">
        <v>698</v>
      </c>
      <c r="B14" s="2" t="s">
        <v>699</v>
      </c>
      <c r="C14" s="2" t="s">
        <v>700</v>
      </c>
      <c r="D14" s="2" t="s">
        <v>701</v>
      </c>
      <c r="E14" s="2" t="s">
        <v>702</v>
      </c>
      <c r="F14" s="45" t="s">
        <v>703</v>
      </c>
    </row>
    <row r="15" spans="1:6" ht="30" x14ac:dyDescent="0.25">
      <c r="A15" s="44" t="s">
        <v>704</v>
      </c>
      <c r="B15" s="2" t="s">
        <v>705</v>
      </c>
      <c r="C15" s="2" t="s">
        <v>706</v>
      </c>
      <c r="D15" s="2" t="s">
        <v>707</v>
      </c>
      <c r="E15" s="2" t="s">
        <v>708</v>
      </c>
      <c r="F15" s="45" t="s">
        <v>709</v>
      </c>
    </row>
    <row r="16" spans="1:6" ht="45" x14ac:dyDescent="0.25">
      <c r="A16" s="44" t="s">
        <v>710</v>
      </c>
      <c r="B16" s="2" t="s">
        <v>711</v>
      </c>
      <c r="C16" s="2" t="s">
        <v>712</v>
      </c>
      <c r="D16" s="2" t="s">
        <v>713</v>
      </c>
      <c r="E16" s="2" t="s">
        <v>714</v>
      </c>
      <c r="F16" s="45" t="s">
        <v>715</v>
      </c>
    </row>
    <row r="17" spans="1:6" ht="30" x14ac:dyDescent="0.25">
      <c r="A17" s="46" t="s">
        <v>716</v>
      </c>
      <c r="B17" s="40" t="s">
        <v>717</v>
      </c>
      <c r="C17" s="40" t="s">
        <v>718</v>
      </c>
      <c r="D17" s="40" t="s">
        <v>719</v>
      </c>
      <c r="E17" s="40" t="s">
        <v>720</v>
      </c>
      <c r="F17" s="47" t="s">
        <v>721</v>
      </c>
    </row>
    <row r="18" spans="1:6" ht="60" x14ac:dyDescent="0.25">
      <c r="A18" s="2" t="s">
        <v>722</v>
      </c>
      <c r="B18" s="2" t="s">
        <v>723</v>
      </c>
      <c r="C18" s="2" t="s">
        <v>724</v>
      </c>
      <c r="D18" s="2" t="s">
        <v>725</v>
      </c>
      <c r="E18" s="2" t="s">
        <v>726</v>
      </c>
      <c r="F18" s="2" t="s">
        <v>727</v>
      </c>
    </row>
    <row r="19" spans="1:6" ht="75" x14ac:dyDescent="0.25">
      <c r="A19" s="2" t="s">
        <v>2249</v>
      </c>
      <c r="B19" s="2" t="s">
        <v>2250</v>
      </c>
      <c r="C19" s="2" t="s">
        <v>2251</v>
      </c>
      <c r="D19" s="2" t="s">
        <v>2252</v>
      </c>
      <c r="E19" s="2" t="s">
        <v>2253</v>
      </c>
      <c r="F19" s="2" t="s">
        <v>2254</v>
      </c>
    </row>
    <row r="20" spans="1:6" ht="45" x14ac:dyDescent="0.25">
      <c r="A20" s="2" t="s">
        <v>2255</v>
      </c>
      <c r="B20" s="2" t="s">
        <v>2256</v>
      </c>
      <c r="C20" s="2" t="s">
        <v>2257</v>
      </c>
      <c r="D20" s="2" t="s">
        <v>2258</v>
      </c>
      <c r="E20" s="2" t="s">
        <v>2259</v>
      </c>
      <c r="F20" s="2" t="s">
        <v>2260</v>
      </c>
    </row>
    <row r="21" spans="1:6" ht="60" x14ac:dyDescent="0.25">
      <c r="A21" s="2" t="s">
        <v>2261</v>
      </c>
      <c r="B21" s="2" t="s">
        <v>2262</v>
      </c>
      <c r="C21" s="2" t="s">
        <v>2263</v>
      </c>
      <c r="D21" s="2" t="s">
        <v>2264</v>
      </c>
      <c r="E21" s="2" t="s">
        <v>2265</v>
      </c>
      <c r="F21" s="2" t="s">
        <v>2266</v>
      </c>
    </row>
    <row r="22" spans="1:6" ht="60" x14ac:dyDescent="0.25">
      <c r="A22" s="2" t="s">
        <v>2267</v>
      </c>
      <c r="B22" s="2" t="s">
        <v>1003</v>
      </c>
      <c r="C22" s="2" t="s">
        <v>2268</v>
      </c>
      <c r="D22" s="2" t="s">
        <v>2269</v>
      </c>
      <c r="E22" s="2" t="s">
        <v>2270</v>
      </c>
      <c r="F22" s="2" t="s">
        <v>2271</v>
      </c>
    </row>
    <row r="23" spans="1:6" ht="45" x14ac:dyDescent="0.25">
      <c r="A23" s="2" t="s">
        <v>2272</v>
      </c>
      <c r="B23" s="2" t="s">
        <v>2273</v>
      </c>
      <c r="C23" s="2" t="s">
        <v>2274</v>
      </c>
      <c r="D23" s="2" t="s">
        <v>2275</v>
      </c>
      <c r="E23" s="2" t="s">
        <v>720</v>
      </c>
      <c r="F23" s="2" t="s">
        <v>2276</v>
      </c>
    </row>
    <row r="25" spans="1:6" ht="30" x14ac:dyDescent="0.25">
      <c r="A25" s="2" t="s">
        <v>2277</v>
      </c>
      <c r="B25" s="2" t="s">
        <v>2278</v>
      </c>
      <c r="C25" s="2" t="s">
        <v>2279</v>
      </c>
      <c r="D25" s="2" t="s">
        <v>2280</v>
      </c>
      <c r="E25" s="2" t="s">
        <v>2281</v>
      </c>
      <c r="F25" s="2" t="s">
        <v>2282</v>
      </c>
    </row>
    <row r="26" spans="1:6" ht="45" x14ac:dyDescent="0.25">
      <c r="A26" s="2" t="s">
        <v>2283</v>
      </c>
      <c r="B26" s="2" t="s">
        <v>2278</v>
      </c>
      <c r="C26" s="2" t="s">
        <v>2284</v>
      </c>
      <c r="D26" s="2" t="s">
        <v>2285</v>
      </c>
      <c r="E26" s="2" t="s">
        <v>2281</v>
      </c>
      <c r="F26" s="2" t="s">
        <v>2286</v>
      </c>
    </row>
  </sheetData>
  <mergeCells count="3">
    <mergeCell ref="A1:F1"/>
    <mergeCell ref="D3:F3"/>
    <mergeCell ref="D4:F8"/>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H32"/>
  <sheetViews>
    <sheetView workbookViewId="0"/>
  </sheetViews>
  <sheetFormatPr defaultRowHeight="15" x14ac:dyDescent="0.25"/>
  <cols>
    <col min="1" max="1" width="11" customWidth="1"/>
    <col min="2" max="2" width="15" customWidth="1"/>
    <col min="3" max="3" width="24" customWidth="1"/>
    <col min="4" max="4" width="30" customWidth="1"/>
    <col min="5" max="5" width="55" customWidth="1"/>
    <col min="6" max="6" width="38" customWidth="1"/>
    <col min="7" max="7" width="55" customWidth="1"/>
    <col min="8" max="8" width="22" customWidth="1"/>
  </cols>
  <sheetData>
    <row r="1" spans="1:8" ht="30" customHeight="1" x14ac:dyDescent="0.25">
      <c r="A1" s="77" t="s">
        <v>128</v>
      </c>
      <c r="B1" s="77" t="s">
        <v>2287</v>
      </c>
      <c r="C1" s="77" t="s">
        <v>2288</v>
      </c>
      <c r="D1" s="77" t="s">
        <v>2289</v>
      </c>
      <c r="E1" s="77" t="s">
        <v>129</v>
      </c>
      <c r="F1" s="77" t="s">
        <v>2290</v>
      </c>
      <c r="G1" s="77" t="s">
        <v>741</v>
      </c>
      <c r="H1" s="77" t="s">
        <v>132</v>
      </c>
    </row>
    <row r="2" spans="1:8" ht="87.95" customHeight="1" x14ac:dyDescent="0.25">
      <c r="A2" s="7" t="s">
        <v>2063</v>
      </c>
      <c r="B2" s="78" t="s">
        <v>67</v>
      </c>
      <c r="C2" s="7" t="s">
        <v>2291</v>
      </c>
      <c r="D2" s="7" t="s">
        <v>2065</v>
      </c>
      <c r="E2" s="7" t="s">
        <v>2064</v>
      </c>
      <c r="F2" s="7" t="s">
        <v>2292</v>
      </c>
      <c r="G2" s="7" t="s">
        <v>2067</v>
      </c>
      <c r="H2" s="7" t="s">
        <v>2066</v>
      </c>
    </row>
    <row r="3" spans="1:8" ht="87.95" customHeight="1" x14ac:dyDescent="0.25">
      <c r="A3" s="7" t="s">
        <v>2068</v>
      </c>
      <c r="B3" s="78" t="s">
        <v>67</v>
      </c>
      <c r="C3" s="7" t="s">
        <v>2293</v>
      </c>
      <c r="D3" s="7" t="s">
        <v>2070</v>
      </c>
      <c r="E3" s="7" t="s">
        <v>2069</v>
      </c>
      <c r="F3" s="7" t="s">
        <v>2294</v>
      </c>
      <c r="G3" s="7" t="s">
        <v>2071</v>
      </c>
      <c r="H3" s="7" t="s">
        <v>2066</v>
      </c>
    </row>
    <row r="4" spans="1:8" ht="87.95" customHeight="1" x14ac:dyDescent="0.25">
      <c r="A4" s="7" t="s">
        <v>2072</v>
      </c>
      <c r="B4" s="78" t="s">
        <v>67</v>
      </c>
      <c r="C4" s="7" t="s">
        <v>2291</v>
      </c>
      <c r="D4" s="7" t="s">
        <v>2074</v>
      </c>
      <c r="E4" s="7" t="s">
        <v>2073</v>
      </c>
      <c r="F4" s="7" t="s">
        <v>2295</v>
      </c>
      <c r="G4" s="7" t="s">
        <v>2075</v>
      </c>
      <c r="H4" s="7" t="s">
        <v>2066</v>
      </c>
    </row>
    <row r="5" spans="1:8" ht="87.95" customHeight="1" x14ac:dyDescent="0.25">
      <c r="A5" s="7" t="s">
        <v>2076</v>
      </c>
      <c r="B5" s="78" t="s">
        <v>67</v>
      </c>
      <c r="C5" s="7" t="s">
        <v>2296</v>
      </c>
      <c r="D5" s="7" t="s">
        <v>2078</v>
      </c>
      <c r="E5" s="7" t="s">
        <v>2077</v>
      </c>
      <c r="F5" s="7" t="s">
        <v>2297</v>
      </c>
      <c r="G5" s="7" t="s">
        <v>2080</v>
      </c>
      <c r="H5" s="7" t="s">
        <v>2079</v>
      </c>
    </row>
    <row r="6" spans="1:8" ht="87.95" customHeight="1" x14ac:dyDescent="0.25">
      <c r="A6" s="7" t="s">
        <v>2081</v>
      </c>
      <c r="B6" s="78" t="s">
        <v>67</v>
      </c>
      <c r="C6" s="7" t="s">
        <v>2298</v>
      </c>
      <c r="D6" s="7" t="s">
        <v>2083</v>
      </c>
      <c r="E6" s="7" t="s">
        <v>2082</v>
      </c>
      <c r="F6" s="7" t="s">
        <v>2299</v>
      </c>
      <c r="G6" s="7" t="s">
        <v>2084</v>
      </c>
      <c r="H6" s="7" t="s">
        <v>2066</v>
      </c>
    </row>
    <row r="7" spans="1:8" ht="87.95" customHeight="1" x14ac:dyDescent="0.25">
      <c r="A7" s="7" t="s">
        <v>2085</v>
      </c>
      <c r="B7" s="78" t="s">
        <v>67</v>
      </c>
      <c r="C7" s="7" t="s">
        <v>2300</v>
      </c>
      <c r="D7" s="7" t="s">
        <v>2087</v>
      </c>
      <c r="E7" s="7" t="s">
        <v>2086</v>
      </c>
      <c r="F7" s="7" t="s">
        <v>2301</v>
      </c>
      <c r="G7" s="7" t="s">
        <v>2089</v>
      </c>
      <c r="H7" s="7" t="s">
        <v>2088</v>
      </c>
    </row>
    <row r="8" spans="1:8" ht="87.95" customHeight="1" x14ac:dyDescent="0.25">
      <c r="A8" s="7" t="s">
        <v>2090</v>
      </c>
      <c r="B8" s="78" t="s">
        <v>67</v>
      </c>
      <c r="C8" s="7" t="s">
        <v>2302</v>
      </c>
      <c r="D8" s="7" t="s">
        <v>2092</v>
      </c>
      <c r="E8" s="7" t="s">
        <v>2091</v>
      </c>
      <c r="F8" s="7" t="s">
        <v>2303</v>
      </c>
      <c r="G8" s="7" t="s">
        <v>2094</v>
      </c>
      <c r="H8" s="7" t="s">
        <v>2093</v>
      </c>
    </row>
    <row r="9" spans="1:8" ht="87.95" customHeight="1" x14ac:dyDescent="0.25">
      <c r="A9" s="7" t="s">
        <v>2095</v>
      </c>
      <c r="B9" s="78" t="s">
        <v>67</v>
      </c>
      <c r="C9" s="7" t="s">
        <v>2304</v>
      </c>
      <c r="D9" s="7" t="s">
        <v>2097</v>
      </c>
      <c r="E9" s="7" t="s">
        <v>2096</v>
      </c>
      <c r="F9" s="7" t="s">
        <v>2305</v>
      </c>
      <c r="G9" s="7" t="s">
        <v>2099</v>
      </c>
      <c r="H9" s="7" t="s">
        <v>2098</v>
      </c>
    </row>
    <row r="10" spans="1:8" ht="87.95" customHeight="1" x14ac:dyDescent="0.25">
      <c r="A10" s="7" t="s">
        <v>2100</v>
      </c>
      <c r="B10" s="79" t="s">
        <v>68</v>
      </c>
      <c r="C10" s="7" t="s">
        <v>2306</v>
      </c>
      <c r="D10" s="7" t="s">
        <v>2102</v>
      </c>
      <c r="E10" s="7" t="s">
        <v>2101</v>
      </c>
      <c r="F10" s="7" t="s">
        <v>2307</v>
      </c>
      <c r="G10" s="7" t="s">
        <v>2104</v>
      </c>
      <c r="H10" s="7" t="s">
        <v>2103</v>
      </c>
    </row>
    <row r="11" spans="1:8" ht="87.95" customHeight="1" x14ac:dyDescent="0.25">
      <c r="A11" s="7" t="s">
        <v>2105</v>
      </c>
      <c r="B11" s="78" t="s">
        <v>67</v>
      </c>
      <c r="C11" s="7" t="s">
        <v>2308</v>
      </c>
      <c r="D11" s="7" t="s">
        <v>2107</v>
      </c>
      <c r="E11" s="7" t="s">
        <v>2106</v>
      </c>
      <c r="F11" s="7" t="s">
        <v>2309</v>
      </c>
      <c r="G11" s="7" t="s">
        <v>2109</v>
      </c>
      <c r="H11" s="7" t="s">
        <v>2108</v>
      </c>
    </row>
    <row r="12" spans="1:8" ht="87.95" customHeight="1" x14ac:dyDescent="0.25">
      <c r="A12" s="7" t="s">
        <v>2110</v>
      </c>
      <c r="B12" s="79" t="s">
        <v>68</v>
      </c>
      <c r="C12" s="7" t="s">
        <v>2310</v>
      </c>
      <c r="D12" s="7" t="s">
        <v>2112</v>
      </c>
      <c r="E12" s="7" t="s">
        <v>2111</v>
      </c>
      <c r="F12" s="7" t="s">
        <v>2311</v>
      </c>
      <c r="G12" s="7" t="s">
        <v>2113</v>
      </c>
      <c r="H12" s="7" t="s">
        <v>2088</v>
      </c>
    </row>
    <row r="13" spans="1:8" ht="87.95" customHeight="1" x14ac:dyDescent="0.25">
      <c r="A13" s="7" t="s">
        <v>2114</v>
      </c>
      <c r="B13" s="78" t="s">
        <v>67</v>
      </c>
      <c r="C13" s="7" t="s">
        <v>2312</v>
      </c>
      <c r="D13" s="7" t="s">
        <v>2116</v>
      </c>
      <c r="E13" s="7" t="s">
        <v>2115</v>
      </c>
      <c r="F13" s="7" t="s">
        <v>2313</v>
      </c>
      <c r="G13" s="7" t="s">
        <v>2118</v>
      </c>
      <c r="H13" s="7" t="s">
        <v>2117</v>
      </c>
    </row>
    <row r="14" spans="1:8" ht="87.95" customHeight="1" x14ac:dyDescent="0.25">
      <c r="A14" s="7" t="s">
        <v>2119</v>
      </c>
      <c r="B14" s="78" t="s">
        <v>67</v>
      </c>
      <c r="C14" s="7" t="s">
        <v>2314</v>
      </c>
      <c r="D14" s="7" t="s">
        <v>2121</v>
      </c>
      <c r="E14" s="7" t="s">
        <v>2120</v>
      </c>
      <c r="F14" s="7" t="s">
        <v>2315</v>
      </c>
      <c r="G14" s="7" t="s">
        <v>2123</v>
      </c>
      <c r="H14" s="7" t="s">
        <v>2122</v>
      </c>
    </row>
    <row r="15" spans="1:8" ht="87.95" customHeight="1" x14ac:dyDescent="0.25">
      <c r="A15" s="7" t="s">
        <v>2124</v>
      </c>
      <c r="B15" s="78" t="s">
        <v>67</v>
      </c>
      <c r="C15" s="7" t="s">
        <v>2316</v>
      </c>
      <c r="D15" s="7" t="s">
        <v>2126</v>
      </c>
      <c r="E15" s="7" t="s">
        <v>2125</v>
      </c>
      <c r="F15" s="7" t="s">
        <v>2317</v>
      </c>
      <c r="G15" s="7" t="s">
        <v>2128</v>
      </c>
      <c r="H15" s="7" t="s">
        <v>2127</v>
      </c>
    </row>
    <row r="16" spans="1:8" ht="87.95" customHeight="1" x14ac:dyDescent="0.25">
      <c r="A16" s="7" t="s">
        <v>2129</v>
      </c>
      <c r="B16" s="79" t="s">
        <v>68</v>
      </c>
      <c r="C16" s="7" t="s">
        <v>2318</v>
      </c>
      <c r="D16" s="7" t="s">
        <v>2131</v>
      </c>
      <c r="E16" s="7" t="s">
        <v>2130</v>
      </c>
      <c r="F16" s="7" t="s">
        <v>2319</v>
      </c>
      <c r="G16" s="7" t="s">
        <v>2133</v>
      </c>
      <c r="H16" s="7" t="s">
        <v>2132</v>
      </c>
    </row>
    <row r="17" spans="1:8" ht="87.95" customHeight="1" x14ac:dyDescent="0.25">
      <c r="A17" s="7" t="s">
        <v>2134</v>
      </c>
      <c r="B17" s="79" t="s">
        <v>68</v>
      </c>
      <c r="C17" s="7" t="s">
        <v>2320</v>
      </c>
      <c r="D17" s="7" t="s">
        <v>2136</v>
      </c>
      <c r="E17" s="7" t="s">
        <v>2135</v>
      </c>
      <c r="F17" s="7" t="s">
        <v>2321</v>
      </c>
      <c r="G17" s="7" t="s">
        <v>2138</v>
      </c>
      <c r="H17" s="7" t="s">
        <v>2137</v>
      </c>
    </row>
    <row r="18" spans="1:8" ht="87.95" customHeight="1" x14ac:dyDescent="0.25">
      <c r="A18" s="7" t="s">
        <v>2139</v>
      </c>
      <c r="B18" s="79" t="s">
        <v>68</v>
      </c>
      <c r="C18" s="7" t="s">
        <v>2322</v>
      </c>
      <c r="D18" s="7" t="s">
        <v>2141</v>
      </c>
      <c r="E18" s="7" t="s">
        <v>2140</v>
      </c>
      <c r="F18" s="7" t="s">
        <v>2323</v>
      </c>
      <c r="G18" s="7" t="s">
        <v>2143</v>
      </c>
      <c r="H18" s="7" t="s">
        <v>2142</v>
      </c>
    </row>
    <row r="19" spans="1:8" ht="87.95" customHeight="1" x14ac:dyDescent="0.25">
      <c r="A19" s="7" t="s">
        <v>2144</v>
      </c>
      <c r="B19" s="78" t="s">
        <v>67</v>
      </c>
      <c r="C19" s="7" t="s">
        <v>2324</v>
      </c>
      <c r="D19" s="7" t="s">
        <v>2146</v>
      </c>
      <c r="E19" s="7" t="s">
        <v>2145</v>
      </c>
      <c r="F19" s="7" t="s">
        <v>2325</v>
      </c>
      <c r="G19" s="7" t="s">
        <v>2147</v>
      </c>
      <c r="H19" s="7" t="s">
        <v>262</v>
      </c>
    </row>
    <row r="20" spans="1:8" ht="87.95" customHeight="1" x14ac:dyDescent="0.25">
      <c r="A20" s="7" t="s">
        <v>2148</v>
      </c>
      <c r="B20" s="79" t="s">
        <v>68</v>
      </c>
      <c r="C20" s="7" t="s">
        <v>2326</v>
      </c>
      <c r="D20" s="7" t="s">
        <v>1003</v>
      </c>
      <c r="E20" s="7" t="s">
        <v>2149</v>
      </c>
      <c r="F20" s="7" t="s">
        <v>2327</v>
      </c>
      <c r="G20" s="7" t="s">
        <v>2151</v>
      </c>
      <c r="H20" s="7" t="s">
        <v>2150</v>
      </c>
    </row>
    <row r="21" spans="1:8" ht="87.95" customHeight="1" x14ac:dyDescent="0.25">
      <c r="A21" s="7" t="s">
        <v>2152</v>
      </c>
      <c r="B21" s="78" t="s">
        <v>67</v>
      </c>
      <c r="C21" s="7" t="s">
        <v>2328</v>
      </c>
      <c r="D21" s="7" t="s">
        <v>2154</v>
      </c>
      <c r="E21" s="7" t="s">
        <v>2153</v>
      </c>
      <c r="F21" s="7" t="s">
        <v>2329</v>
      </c>
      <c r="G21" s="7" t="s">
        <v>2156</v>
      </c>
      <c r="H21" s="7" t="s">
        <v>2155</v>
      </c>
    </row>
    <row r="22" spans="1:8" ht="87.95" customHeight="1" x14ac:dyDescent="0.25">
      <c r="A22" s="7" t="s">
        <v>2157</v>
      </c>
      <c r="B22" s="79" t="s">
        <v>68</v>
      </c>
      <c r="C22" s="7" t="s">
        <v>2330</v>
      </c>
      <c r="D22" s="7" t="s">
        <v>2159</v>
      </c>
      <c r="E22" s="7" t="s">
        <v>2158</v>
      </c>
      <c r="F22" s="7" t="s">
        <v>2331</v>
      </c>
      <c r="G22" s="7" t="s">
        <v>2161</v>
      </c>
      <c r="H22" s="7" t="s">
        <v>2160</v>
      </c>
    </row>
    <row r="23" spans="1:8" ht="87.95" customHeight="1" x14ac:dyDescent="0.25">
      <c r="A23" s="7" t="s">
        <v>2162</v>
      </c>
      <c r="B23" s="79" t="s">
        <v>68</v>
      </c>
      <c r="C23" s="7" t="s">
        <v>2332</v>
      </c>
      <c r="D23" s="7" t="s">
        <v>2164</v>
      </c>
      <c r="E23" s="7" t="s">
        <v>2163</v>
      </c>
      <c r="F23" s="7" t="s">
        <v>2333</v>
      </c>
      <c r="G23" s="7" t="s">
        <v>2165</v>
      </c>
      <c r="H23" s="7" t="s">
        <v>2160</v>
      </c>
    </row>
    <row r="24" spans="1:8" ht="87.95" customHeight="1" x14ac:dyDescent="0.25">
      <c r="A24" s="7" t="s">
        <v>2166</v>
      </c>
      <c r="B24" s="78" t="s">
        <v>67</v>
      </c>
      <c r="C24" s="7" t="s">
        <v>2334</v>
      </c>
      <c r="D24" s="7" t="s">
        <v>2168</v>
      </c>
      <c r="E24" s="7" t="s">
        <v>2167</v>
      </c>
      <c r="F24" s="7" t="s">
        <v>2335</v>
      </c>
      <c r="G24" s="7" t="s">
        <v>2170</v>
      </c>
      <c r="H24" s="7" t="s">
        <v>2169</v>
      </c>
    </row>
    <row r="25" spans="1:8" ht="87.95" customHeight="1" x14ac:dyDescent="0.25">
      <c r="A25" s="7" t="s">
        <v>2171</v>
      </c>
      <c r="B25" s="78" t="s">
        <v>67</v>
      </c>
      <c r="C25" s="7" t="s">
        <v>2336</v>
      </c>
      <c r="D25" s="7" t="s">
        <v>2173</v>
      </c>
      <c r="E25" s="7" t="s">
        <v>2172</v>
      </c>
      <c r="F25" s="7" t="s">
        <v>2337</v>
      </c>
      <c r="G25" s="7" t="s">
        <v>2174</v>
      </c>
      <c r="H25" s="7" t="s">
        <v>262</v>
      </c>
    </row>
    <row r="26" spans="1:8" ht="87.95" customHeight="1" x14ac:dyDescent="0.25">
      <c r="A26" s="7" t="s">
        <v>2175</v>
      </c>
      <c r="B26" s="78" t="s">
        <v>67</v>
      </c>
      <c r="C26" s="7" t="s">
        <v>2338</v>
      </c>
      <c r="D26" s="7" t="s">
        <v>2177</v>
      </c>
      <c r="E26" s="7" t="s">
        <v>2176</v>
      </c>
      <c r="F26" s="7" t="s">
        <v>2339</v>
      </c>
      <c r="G26" s="7" t="s">
        <v>2178</v>
      </c>
      <c r="H26" s="7" t="s">
        <v>262</v>
      </c>
    </row>
    <row r="27" spans="1:8" ht="87.95" customHeight="1" x14ac:dyDescent="0.25">
      <c r="A27" s="7" t="s">
        <v>2179</v>
      </c>
      <c r="B27" s="78" t="s">
        <v>67</v>
      </c>
      <c r="C27" s="7" t="s">
        <v>2340</v>
      </c>
      <c r="D27" s="7" t="s">
        <v>2181</v>
      </c>
      <c r="E27" s="7" t="s">
        <v>2180</v>
      </c>
      <c r="F27" s="7" t="s">
        <v>2341</v>
      </c>
      <c r="G27" s="7" t="s">
        <v>2182</v>
      </c>
      <c r="H27" s="7" t="s">
        <v>262</v>
      </c>
    </row>
    <row r="28" spans="1:8" ht="87.95" customHeight="1" x14ac:dyDescent="0.25">
      <c r="A28" s="7" t="s">
        <v>2183</v>
      </c>
      <c r="B28" s="78" t="s">
        <v>67</v>
      </c>
      <c r="C28" s="7" t="s">
        <v>2342</v>
      </c>
      <c r="D28" s="7" t="s">
        <v>2185</v>
      </c>
      <c r="E28" s="7" t="s">
        <v>2184</v>
      </c>
      <c r="F28" s="7" t="s">
        <v>2343</v>
      </c>
      <c r="G28" s="7" t="s">
        <v>2186</v>
      </c>
      <c r="H28" s="7" t="s">
        <v>262</v>
      </c>
    </row>
    <row r="29" spans="1:8" ht="87.95" customHeight="1" x14ac:dyDescent="0.25">
      <c r="A29" s="7" t="s">
        <v>2187</v>
      </c>
      <c r="B29" s="79" t="s">
        <v>68</v>
      </c>
      <c r="C29" s="7" t="s">
        <v>2334</v>
      </c>
      <c r="D29" s="7" t="s">
        <v>1555</v>
      </c>
      <c r="E29" s="7" t="s">
        <v>2188</v>
      </c>
      <c r="F29" s="7" t="s">
        <v>2344</v>
      </c>
      <c r="G29" s="7" t="s">
        <v>2190</v>
      </c>
      <c r="H29" s="7" t="s">
        <v>2189</v>
      </c>
    </row>
    <row r="30" spans="1:8" ht="87.95" customHeight="1" x14ac:dyDescent="0.25">
      <c r="A30" s="7" t="s">
        <v>2191</v>
      </c>
      <c r="B30" s="78" t="s">
        <v>67</v>
      </c>
      <c r="C30" s="7" t="s">
        <v>2345</v>
      </c>
      <c r="D30" s="7" t="s">
        <v>2193</v>
      </c>
      <c r="E30" s="7" t="s">
        <v>2192</v>
      </c>
      <c r="F30" s="7" t="s">
        <v>2346</v>
      </c>
      <c r="G30" s="7" t="s">
        <v>2194</v>
      </c>
      <c r="H30" s="7" t="s">
        <v>2150</v>
      </c>
    </row>
    <row r="31" spans="1:8" ht="87.95" customHeight="1" x14ac:dyDescent="0.25">
      <c r="A31" s="7" t="s">
        <v>2195</v>
      </c>
      <c r="B31" s="79" t="s">
        <v>68</v>
      </c>
      <c r="C31" s="7" t="s">
        <v>2347</v>
      </c>
      <c r="D31" s="7" t="s">
        <v>2197</v>
      </c>
      <c r="E31" s="7" t="s">
        <v>2196</v>
      </c>
      <c r="F31" s="7" t="s">
        <v>2348</v>
      </c>
      <c r="G31" s="7" t="s">
        <v>2198</v>
      </c>
      <c r="H31" s="7" t="s">
        <v>2150</v>
      </c>
    </row>
    <row r="32" spans="1:8" ht="87.95" customHeight="1" x14ac:dyDescent="0.25">
      <c r="A32" s="7" t="s">
        <v>2199</v>
      </c>
      <c r="B32" s="79" t="s">
        <v>68</v>
      </c>
      <c r="C32" s="7" t="s">
        <v>2349</v>
      </c>
      <c r="D32" s="7" t="s">
        <v>2201</v>
      </c>
      <c r="E32" s="7" t="s">
        <v>2200</v>
      </c>
      <c r="F32" s="7" t="s">
        <v>2350</v>
      </c>
      <c r="G32" s="7" t="s">
        <v>2203</v>
      </c>
      <c r="H32" s="7" t="s">
        <v>2202</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G41"/>
  <sheetViews>
    <sheetView workbookViewId="0"/>
  </sheetViews>
  <sheetFormatPr defaultRowHeight="15" x14ac:dyDescent="0.25"/>
  <cols>
    <col min="1" max="1" width="12" customWidth="1"/>
    <col min="2" max="2" width="30" customWidth="1"/>
    <col min="3" max="3" width="34" customWidth="1"/>
    <col min="4" max="4" width="15" customWidth="1"/>
    <col min="5" max="5" width="21" customWidth="1"/>
    <col min="6" max="6" width="34" customWidth="1"/>
    <col min="7" max="7" width="48" customWidth="1"/>
  </cols>
  <sheetData>
    <row r="1" spans="1:7" ht="30" customHeight="1" x14ac:dyDescent="0.25">
      <c r="A1" s="77" t="s">
        <v>2351</v>
      </c>
      <c r="B1" s="77" t="s">
        <v>2352</v>
      </c>
      <c r="C1" s="77" t="s">
        <v>2353</v>
      </c>
      <c r="D1" s="77" t="s">
        <v>842</v>
      </c>
      <c r="E1" s="77" t="s">
        <v>2354</v>
      </c>
      <c r="F1" s="77" t="s">
        <v>130</v>
      </c>
      <c r="G1" s="77" t="s">
        <v>2355</v>
      </c>
    </row>
    <row r="2" spans="1:7" ht="30" x14ac:dyDescent="0.25">
      <c r="A2" s="7" t="s">
        <v>2356</v>
      </c>
      <c r="B2" s="7" t="s">
        <v>2357</v>
      </c>
      <c r="C2" s="7" t="s">
        <v>2358</v>
      </c>
      <c r="D2" s="7" t="s">
        <v>2359</v>
      </c>
      <c r="E2" s="7" t="s">
        <v>2360</v>
      </c>
      <c r="F2" s="7" t="s">
        <v>2361</v>
      </c>
      <c r="G2" s="7" t="s">
        <v>2362</v>
      </c>
    </row>
    <row r="3" spans="1:7" ht="30" x14ac:dyDescent="0.25">
      <c r="A3" s="7" t="s">
        <v>2363</v>
      </c>
      <c r="B3" s="7" t="s">
        <v>2364</v>
      </c>
      <c r="C3" s="7" t="s">
        <v>2365</v>
      </c>
      <c r="D3" s="7" t="s">
        <v>2359</v>
      </c>
      <c r="E3" s="7" t="s">
        <v>2360</v>
      </c>
      <c r="F3" s="7" t="s">
        <v>2366</v>
      </c>
      <c r="G3" s="7" t="s">
        <v>2362</v>
      </c>
    </row>
    <row r="4" spans="1:7" ht="30" x14ac:dyDescent="0.25">
      <c r="A4" s="7" t="s">
        <v>2367</v>
      </c>
      <c r="B4" s="7" t="s">
        <v>1046</v>
      </c>
      <c r="C4" s="7" t="s">
        <v>2368</v>
      </c>
      <c r="D4" s="7" t="s">
        <v>2369</v>
      </c>
      <c r="E4" s="7" t="s">
        <v>2360</v>
      </c>
      <c r="F4" s="7" t="s">
        <v>2370</v>
      </c>
      <c r="G4" s="7" t="s">
        <v>2362</v>
      </c>
    </row>
    <row r="5" spans="1:7" ht="30" x14ac:dyDescent="0.25">
      <c r="A5" s="7" t="s">
        <v>2371</v>
      </c>
      <c r="B5" s="7" t="s">
        <v>2372</v>
      </c>
      <c r="C5" s="7" t="s">
        <v>2373</v>
      </c>
      <c r="D5" s="7" t="s">
        <v>2374</v>
      </c>
      <c r="E5" s="7" t="s">
        <v>2360</v>
      </c>
      <c r="F5" s="7" t="s">
        <v>2375</v>
      </c>
      <c r="G5" s="7" t="s">
        <v>2362</v>
      </c>
    </row>
    <row r="6" spans="1:7" ht="30" x14ac:dyDescent="0.25">
      <c r="A6" s="7" t="s">
        <v>2376</v>
      </c>
      <c r="B6" s="7" t="s">
        <v>2377</v>
      </c>
      <c r="C6" s="7" t="s">
        <v>2378</v>
      </c>
      <c r="D6" s="7" t="s">
        <v>2374</v>
      </c>
      <c r="E6" s="7" t="s">
        <v>2360</v>
      </c>
      <c r="F6" s="7" t="s">
        <v>2379</v>
      </c>
      <c r="G6" s="7" t="s">
        <v>2362</v>
      </c>
    </row>
    <row r="7" spans="1:7" ht="30" x14ac:dyDescent="0.25">
      <c r="A7" s="7" t="s">
        <v>2380</v>
      </c>
      <c r="B7" s="7" t="s">
        <v>2381</v>
      </c>
      <c r="C7" s="7" t="s">
        <v>2382</v>
      </c>
      <c r="D7" s="7" t="s">
        <v>2383</v>
      </c>
      <c r="E7" s="7" t="s">
        <v>2360</v>
      </c>
      <c r="F7" s="7" t="s">
        <v>2384</v>
      </c>
      <c r="G7" s="7" t="s">
        <v>2362</v>
      </c>
    </row>
    <row r="8" spans="1:7" ht="30" x14ac:dyDescent="0.25">
      <c r="A8" s="7" t="s">
        <v>2385</v>
      </c>
      <c r="B8" s="7" t="s">
        <v>2386</v>
      </c>
      <c r="C8" s="7" t="s">
        <v>2387</v>
      </c>
      <c r="D8" s="7" t="s">
        <v>2388</v>
      </c>
      <c r="E8" s="7" t="s">
        <v>2360</v>
      </c>
      <c r="F8" s="7" t="s">
        <v>2389</v>
      </c>
      <c r="G8" s="7" t="s">
        <v>2362</v>
      </c>
    </row>
    <row r="9" spans="1:7" ht="30" x14ac:dyDescent="0.25">
      <c r="A9" s="7" t="s">
        <v>2390</v>
      </c>
      <c r="B9" s="7" t="s">
        <v>2391</v>
      </c>
      <c r="C9" s="7" t="s">
        <v>2392</v>
      </c>
      <c r="D9" s="7" t="s">
        <v>2369</v>
      </c>
      <c r="E9" s="7" t="s">
        <v>2360</v>
      </c>
      <c r="F9" s="7" t="s">
        <v>2393</v>
      </c>
      <c r="G9" s="7" t="s">
        <v>2362</v>
      </c>
    </row>
    <row r="10" spans="1:7" ht="30" x14ac:dyDescent="0.25">
      <c r="A10" s="7" t="s">
        <v>2394</v>
      </c>
      <c r="B10" s="7" t="s">
        <v>2395</v>
      </c>
      <c r="C10" s="7" t="s">
        <v>2396</v>
      </c>
      <c r="D10" s="7" t="s">
        <v>2397</v>
      </c>
      <c r="E10" s="7" t="s">
        <v>2360</v>
      </c>
      <c r="F10" s="7" t="s">
        <v>2398</v>
      </c>
      <c r="G10" s="7" t="s">
        <v>2362</v>
      </c>
    </row>
    <row r="11" spans="1:7" ht="30" x14ac:dyDescent="0.25">
      <c r="A11" s="7" t="s">
        <v>2399</v>
      </c>
      <c r="B11" s="7" t="s">
        <v>2400</v>
      </c>
      <c r="C11" s="7" t="s">
        <v>2401</v>
      </c>
      <c r="D11" s="7" t="s">
        <v>2402</v>
      </c>
      <c r="E11" s="7" t="s">
        <v>2360</v>
      </c>
      <c r="F11" s="7" t="s">
        <v>2403</v>
      </c>
      <c r="G11" s="7" t="s">
        <v>2362</v>
      </c>
    </row>
    <row r="12" spans="1:7" ht="30" x14ac:dyDescent="0.25">
      <c r="A12" s="7" t="s">
        <v>2404</v>
      </c>
      <c r="B12" s="7" t="s">
        <v>2405</v>
      </c>
      <c r="C12" s="7" t="s">
        <v>2406</v>
      </c>
      <c r="D12" s="7" t="s">
        <v>2402</v>
      </c>
      <c r="E12" s="7" t="s">
        <v>2360</v>
      </c>
      <c r="F12" s="7" t="s">
        <v>2403</v>
      </c>
      <c r="G12" s="7" t="s">
        <v>2362</v>
      </c>
    </row>
    <row r="13" spans="1:7" ht="30" x14ac:dyDescent="0.25">
      <c r="A13" s="7" t="s">
        <v>2407</v>
      </c>
      <c r="B13" s="7" t="s">
        <v>2408</v>
      </c>
      <c r="C13" s="7" t="s">
        <v>2409</v>
      </c>
      <c r="D13" s="7" t="s">
        <v>2410</v>
      </c>
      <c r="E13" s="75" t="s">
        <v>2411</v>
      </c>
      <c r="F13" s="75" t="s">
        <v>2412</v>
      </c>
      <c r="G13" s="75" t="s">
        <v>2413</v>
      </c>
    </row>
    <row r="14" spans="1:7" ht="30" x14ac:dyDescent="0.25">
      <c r="A14" s="7" t="s">
        <v>2414</v>
      </c>
      <c r="B14" s="7" t="s">
        <v>2415</v>
      </c>
      <c r="C14" s="7" t="s">
        <v>2416</v>
      </c>
      <c r="D14" s="7" t="s">
        <v>2410</v>
      </c>
      <c r="E14" s="7" t="s">
        <v>2360</v>
      </c>
      <c r="F14" s="7" t="s">
        <v>2417</v>
      </c>
      <c r="G14" s="7" t="s">
        <v>2362</v>
      </c>
    </row>
    <row r="15" spans="1:7" ht="30" x14ac:dyDescent="0.25">
      <c r="A15" s="7" t="s">
        <v>2418</v>
      </c>
      <c r="B15" s="7" t="s">
        <v>2419</v>
      </c>
      <c r="C15" s="7" t="s">
        <v>2420</v>
      </c>
      <c r="D15" s="7" t="s">
        <v>2397</v>
      </c>
      <c r="E15" s="74" t="s">
        <v>2411</v>
      </c>
      <c r="F15" s="74" t="s">
        <v>2421</v>
      </c>
      <c r="G15" s="74" t="s">
        <v>2422</v>
      </c>
    </row>
    <row r="16" spans="1:7" ht="30" x14ac:dyDescent="0.25">
      <c r="A16" s="7" t="s">
        <v>2423</v>
      </c>
      <c r="B16" s="7" t="s">
        <v>2424</v>
      </c>
      <c r="C16" s="7" t="s">
        <v>2425</v>
      </c>
      <c r="D16" s="7" t="s">
        <v>2426</v>
      </c>
      <c r="E16" s="7" t="s">
        <v>2360</v>
      </c>
      <c r="F16" s="7" t="s">
        <v>2427</v>
      </c>
      <c r="G16" s="7" t="s">
        <v>2362</v>
      </c>
    </row>
    <row r="17" spans="1:7" ht="30" x14ac:dyDescent="0.25">
      <c r="A17" s="7" t="s">
        <v>2428</v>
      </c>
      <c r="B17" s="7" t="s">
        <v>2429</v>
      </c>
      <c r="C17" s="7" t="s">
        <v>2430</v>
      </c>
      <c r="D17" s="7" t="s">
        <v>2431</v>
      </c>
      <c r="E17" s="7" t="s">
        <v>2360</v>
      </c>
      <c r="F17" s="7" t="s">
        <v>2432</v>
      </c>
      <c r="G17" s="7" t="s">
        <v>2362</v>
      </c>
    </row>
    <row r="18" spans="1:7" ht="30" x14ac:dyDescent="0.25">
      <c r="A18" s="7" t="s">
        <v>2433</v>
      </c>
      <c r="B18" s="7" t="s">
        <v>2434</v>
      </c>
      <c r="C18" s="7" t="s">
        <v>2435</v>
      </c>
      <c r="D18" s="7" t="s">
        <v>2436</v>
      </c>
      <c r="E18" s="7" t="s">
        <v>2360</v>
      </c>
      <c r="F18" s="7" t="s">
        <v>2437</v>
      </c>
      <c r="G18" s="7" t="s">
        <v>2362</v>
      </c>
    </row>
    <row r="19" spans="1:7" ht="30" x14ac:dyDescent="0.25">
      <c r="A19" s="7" t="s">
        <v>2438</v>
      </c>
      <c r="B19" s="7" t="s">
        <v>2439</v>
      </c>
      <c r="C19" s="7" t="s">
        <v>2440</v>
      </c>
      <c r="D19" s="7" t="s">
        <v>2441</v>
      </c>
      <c r="E19" s="7" t="s">
        <v>2360</v>
      </c>
      <c r="F19" s="7" t="s">
        <v>2442</v>
      </c>
      <c r="G19" s="7" t="s">
        <v>2362</v>
      </c>
    </row>
    <row r="20" spans="1:7" ht="30" x14ac:dyDescent="0.25">
      <c r="A20" s="7" t="s">
        <v>2443</v>
      </c>
      <c r="B20" s="7" t="s">
        <v>2444</v>
      </c>
      <c r="C20" s="7" t="s">
        <v>2445</v>
      </c>
      <c r="D20" s="7" t="s">
        <v>2441</v>
      </c>
      <c r="E20" s="7" t="s">
        <v>2360</v>
      </c>
      <c r="F20" s="7" t="s">
        <v>2446</v>
      </c>
      <c r="G20" s="7" t="s">
        <v>2362</v>
      </c>
    </row>
    <row r="21" spans="1:7" ht="30" x14ac:dyDescent="0.25">
      <c r="A21" s="7" t="s">
        <v>2447</v>
      </c>
      <c r="B21" s="7" t="s">
        <v>2448</v>
      </c>
      <c r="C21" s="7" t="s">
        <v>2449</v>
      </c>
      <c r="D21" s="7" t="s">
        <v>2450</v>
      </c>
      <c r="E21" s="7" t="s">
        <v>2360</v>
      </c>
      <c r="F21" s="7" t="s">
        <v>2451</v>
      </c>
      <c r="G21" s="7" t="s">
        <v>2362</v>
      </c>
    </row>
    <row r="22" spans="1:7" ht="30" x14ac:dyDescent="0.25">
      <c r="A22" s="7" t="s">
        <v>2452</v>
      </c>
      <c r="B22" s="7" t="s">
        <v>2453</v>
      </c>
      <c r="C22" s="7" t="s">
        <v>2454</v>
      </c>
      <c r="D22" s="7" t="s">
        <v>2450</v>
      </c>
      <c r="E22" s="7" t="s">
        <v>2360</v>
      </c>
      <c r="F22" s="7" t="s">
        <v>2455</v>
      </c>
      <c r="G22" s="7" t="s">
        <v>2362</v>
      </c>
    </row>
    <row r="23" spans="1:7" ht="30" x14ac:dyDescent="0.25">
      <c r="A23" s="7" t="s">
        <v>2456</v>
      </c>
      <c r="B23" s="7" t="s">
        <v>2457</v>
      </c>
      <c r="C23" s="7" t="s">
        <v>2458</v>
      </c>
      <c r="D23" s="7" t="s">
        <v>2436</v>
      </c>
      <c r="E23" s="7" t="s">
        <v>2360</v>
      </c>
      <c r="F23" s="7" t="s">
        <v>2459</v>
      </c>
      <c r="G23" s="7" t="s">
        <v>2362</v>
      </c>
    </row>
    <row r="24" spans="1:7" ht="30" x14ac:dyDescent="0.25">
      <c r="A24" s="7" t="s">
        <v>2460</v>
      </c>
      <c r="B24" s="7" t="s">
        <v>2461</v>
      </c>
      <c r="C24" s="7" t="s">
        <v>2462</v>
      </c>
      <c r="D24" s="7" t="s">
        <v>2450</v>
      </c>
      <c r="E24" s="74" t="s">
        <v>2411</v>
      </c>
      <c r="F24" s="74" t="s">
        <v>492</v>
      </c>
      <c r="G24" s="74" t="s">
        <v>2422</v>
      </c>
    </row>
    <row r="25" spans="1:7" ht="30" x14ac:dyDescent="0.25">
      <c r="A25" s="7" t="s">
        <v>2463</v>
      </c>
      <c r="B25" s="7" t="s">
        <v>2464</v>
      </c>
      <c r="C25" s="7" t="s">
        <v>2465</v>
      </c>
      <c r="D25" s="7" t="s">
        <v>2441</v>
      </c>
      <c r="E25" s="74" t="s">
        <v>2411</v>
      </c>
      <c r="F25" s="74" t="s">
        <v>2466</v>
      </c>
      <c r="G25" s="74" t="s">
        <v>2422</v>
      </c>
    </row>
    <row r="26" spans="1:7" ht="30" x14ac:dyDescent="0.25">
      <c r="A26" s="7" t="s">
        <v>2467</v>
      </c>
      <c r="B26" s="7" t="s">
        <v>2468</v>
      </c>
      <c r="C26" s="7" t="s">
        <v>2469</v>
      </c>
      <c r="D26" s="7" t="s">
        <v>2441</v>
      </c>
      <c r="E26" s="7" t="s">
        <v>2360</v>
      </c>
      <c r="F26" s="7" t="s">
        <v>2470</v>
      </c>
      <c r="G26" s="7" t="s">
        <v>2362</v>
      </c>
    </row>
    <row r="27" spans="1:7" ht="30" x14ac:dyDescent="0.25">
      <c r="A27" s="7" t="s">
        <v>2471</v>
      </c>
      <c r="B27" s="7" t="s">
        <v>2472</v>
      </c>
      <c r="C27" s="7" t="s">
        <v>2473</v>
      </c>
      <c r="D27" s="7" t="s">
        <v>2441</v>
      </c>
      <c r="E27" s="7" t="s">
        <v>2360</v>
      </c>
      <c r="F27" s="7" t="s">
        <v>2474</v>
      </c>
      <c r="G27" s="7" t="s">
        <v>2362</v>
      </c>
    </row>
    <row r="28" spans="1:7" ht="30" x14ac:dyDescent="0.25">
      <c r="A28" s="7" t="s">
        <v>2475</v>
      </c>
      <c r="B28" s="7" t="s">
        <v>2476</v>
      </c>
      <c r="C28" s="7" t="s">
        <v>2477</v>
      </c>
      <c r="D28" s="7" t="s">
        <v>2478</v>
      </c>
      <c r="E28" s="7" t="s">
        <v>2360</v>
      </c>
      <c r="F28" s="7" t="s">
        <v>2479</v>
      </c>
      <c r="G28" s="7" t="s">
        <v>2362</v>
      </c>
    </row>
    <row r="29" spans="1:7" ht="30" x14ac:dyDescent="0.25">
      <c r="A29" s="7" t="s">
        <v>2480</v>
      </c>
      <c r="B29" s="7" t="s">
        <v>2481</v>
      </c>
      <c r="C29" s="7" t="s">
        <v>2482</v>
      </c>
      <c r="D29" s="7" t="s">
        <v>2478</v>
      </c>
      <c r="E29" s="7" t="s">
        <v>2360</v>
      </c>
      <c r="F29" s="7" t="s">
        <v>2483</v>
      </c>
      <c r="G29" s="7" t="s">
        <v>2362</v>
      </c>
    </row>
    <row r="30" spans="1:7" ht="30" x14ac:dyDescent="0.25">
      <c r="A30" s="7" t="s">
        <v>2484</v>
      </c>
      <c r="B30" s="7" t="s">
        <v>2485</v>
      </c>
      <c r="C30" s="7" t="s">
        <v>2486</v>
      </c>
      <c r="D30" s="7" t="s">
        <v>2478</v>
      </c>
      <c r="E30" s="7" t="s">
        <v>2360</v>
      </c>
      <c r="F30" s="7" t="s">
        <v>2483</v>
      </c>
      <c r="G30" s="7" t="s">
        <v>2362</v>
      </c>
    </row>
    <row r="31" spans="1:7" ht="30" x14ac:dyDescent="0.25">
      <c r="A31" s="7" t="s">
        <v>2487</v>
      </c>
      <c r="B31" s="7" t="s">
        <v>2488</v>
      </c>
      <c r="C31" s="7" t="s">
        <v>2489</v>
      </c>
      <c r="D31" s="7" t="s">
        <v>2478</v>
      </c>
      <c r="E31" s="7" t="s">
        <v>2360</v>
      </c>
      <c r="F31" s="7" t="s">
        <v>2490</v>
      </c>
      <c r="G31" s="7" t="s">
        <v>2362</v>
      </c>
    </row>
    <row r="32" spans="1:7" ht="30" x14ac:dyDescent="0.25">
      <c r="A32" s="7" t="s">
        <v>2491</v>
      </c>
      <c r="B32" s="7" t="s">
        <v>2492</v>
      </c>
      <c r="C32" s="7" t="s">
        <v>2493</v>
      </c>
      <c r="D32" s="7" t="s">
        <v>2478</v>
      </c>
      <c r="E32" s="75" t="s">
        <v>2411</v>
      </c>
      <c r="F32" s="75" t="s">
        <v>2494</v>
      </c>
      <c r="G32" s="75" t="s">
        <v>2413</v>
      </c>
    </row>
    <row r="33" spans="1:7" ht="30" x14ac:dyDescent="0.25">
      <c r="A33" s="7" t="s">
        <v>2495</v>
      </c>
      <c r="B33" s="7" t="s">
        <v>2496</v>
      </c>
      <c r="C33" s="7" t="s">
        <v>2497</v>
      </c>
      <c r="D33" s="7" t="s">
        <v>2498</v>
      </c>
      <c r="E33" s="74" t="s">
        <v>2411</v>
      </c>
      <c r="F33" s="74" t="s">
        <v>1551</v>
      </c>
      <c r="G33" s="74" t="s">
        <v>2422</v>
      </c>
    </row>
    <row r="34" spans="1:7" ht="30" x14ac:dyDescent="0.25">
      <c r="A34" s="7" t="s">
        <v>2499</v>
      </c>
      <c r="B34" s="7" t="s">
        <v>2500</v>
      </c>
      <c r="C34" s="7" t="s">
        <v>2501</v>
      </c>
      <c r="D34" s="7" t="s">
        <v>2502</v>
      </c>
      <c r="E34" s="7" t="s">
        <v>2360</v>
      </c>
      <c r="F34" s="7" t="s">
        <v>2503</v>
      </c>
      <c r="G34" s="7" t="s">
        <v>2362</v>
      </c>
    </row>
    <row r="35" spans="1:7" ht="30" x14ac:dyDescent="0.25">
      <c r="A35" s="7" t="s">
        <v>2504</v>
      </c>
      <c r="B35" s="7" t="s">
        <v>2505</v>
      </c>
      <c r="C35" s="7" t="s">
        <v>2506</v>
      </c>
      <c r="D35" s="7" t="s">
        <v>2498</v>
      </c>
      <c r="E35" s="74" t="s">
        <v>2411</v>
      </c>
      <c r="F35" s="74" t="s">
        <v>2507</v>
      </c>
      <c r="G35" s="74" t="s">
        <v>2508</v>
      </c>
    </row>
    <row r="36" spans="1:7" ht="30" x14ac:dyDescent="0.25">
      <c r="A36" s="7" t="s">
        <v>2509</v>
      </c>
      <c r="B36" s="7" t="s">
        <v>2510</v>
      </c>
      <c r="C36" s="7" t="s">
        <v>2511</v>
      </c>
      <c r="D36" s="7" t="s">
        <v>2478</v>
      </c>
      <c r="E36" s="7" t="s">
        <v>2360</v>
      </c>
      <c r="F36" s="7" t="s">
        <v>2512</v>
      </c>
      <c r="G36" s="7" t="s">
        <v>2362</v>
      </c>
    </row>
    <row r="37" spans="1:7" ht="30" x14ac:dyDescent="0.25">
      <c r="A37" s="7" t="s">
        <v>2513</v>
      </c>
      <c r="B37" s="7" t="s">
        <v>2514</v>
      </c>
      <c r="C37" s="7" t="s">
        <v>2515</v>
      </c>
      <c r="D37" s="7" t="s">
        <v>2478</v>
      </c>
      <c r="E37" s="75" t="s">
        <v>2411</v>
      </c>
      <c r="F37" s="75" t="s">
        <v>2516</v>
      </c>
      <c r="G37" s="75" t="s">
        <v>2413</v>
      </c>
    </row>
    <row r="38" spans="1:7" ht="30" x14ac:dyDescent="0.25">
      <c r="A38" s="7" t="s">
        <v>2517</v>
      </c>
      <c r="B38" s="7" t="s">
        <v>2518</v>
      </c>
      <c r="C38" s="7" t="s">
        <v>2519</v>
      </c>
      <c r="D38" s="7" t="s">
        <v>2478</v>
      </c>
      <c r="E38" s="75" t="s">
        <v>2411</v>
      </c>
      <c r="F38" s="75" t="s">
        <v>2516</v>
      </c>
      <c r="G38" s="75" t="s">
        <v>2413</v>
      </c>
    </row>
    <row r="39" spans="1:7" ht="30" x14ac:dyDescent="0.25">
      <c r="A39" s="7" t="s">
        <v>2520</v>
      </c>
      <c r="B39" s="7" t="s">
        <v>2521</v>
      </c>
      <c r="C39" s="7" t="s">
        <v>2522</v>
      </c>
      <c r="D39" s="7" t="s">
        <v>2359</v>
      </c>
      <c r="E39" s="75" t="s">
        <v>2411</v>
      </c>
      <c r="F39" s="75" t="s">
        <v>2523</v>
      </c>
      <c r="G39" s="75" t="s">
        <v>2413</v>
      </c>
    </row>
    <row r="40" spans="1:7" ht="30" x14ac:dyDescent="0.25">
      <c r="A40" s="7" t="s">
        <v>2524</v>
      </c>
      <c r="B40" s="7" t="s">
        <v>2525</v>
      </c>
      <c r="C40" s="7" t="s">
        <v>2526</v>
      </c>
      <c r="D40" s="7" t="s">
        <v>2359</v>
      </c>
      <c r="E40" s="75" t="s">
        <v>2411</v>
      </c>
      <c r="F40" s="75" t="s">
        <v>2523</v>
      </c>
      <c r="G40" s="75" t="s">
        <v>2413</v>
      </c>
    </row>
    <row r="41" spans="1:7" ht="30" x14ac:dyDescent="0.25">
      <c r="A41" s="7" t="s">
        <v>2527</v>
      </c>
      <c r="B41" s="7" t="s">
        <v>2528</v>
      </c>
      <c r="C41" s="7" t="s">
        <v>2529</v>
      </c>
      <c r="D41" s="7" t="s">
        <v>2478</v>
      </c>
      <c r="E41" s="75" t="s">
        <v>2411</v>
      </c>
      <c r="F41" s="75" t="s">
        <v>2530</v>
      </c>
      <c r="G41" s="75" t="s">
        <v>2413</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H46"/>
  <sheetViews>
    <sheetView workbookViewId="0">
      <selection sqref="A1:H1"/>
    </sheetView>
  </sheetViews>
  <sheetFormatPr defaultRowHeight="15" x14ac:dyDescent="0.25"/>
  <cols>
    <col min="1" max="1" width="26" customWidth="1"/>
    <col min="2" max="3" width="31" customWidth="1"/>
    <col min="4" max="5" width="42" customWidth="1"/>
  </cols>
  <sheetData>
    <row r="1" spans="1:8" ht="33.950000000000003" customHeight="1" x14ac:dyDescent="0.25">
      <c r="A1" s="130" t="s">
        <v>2531</v>
      </c>
      <c r="B1" s="130"/>
      <c r="C1" s="130"/>
      <c r="D1" s="130"/>
      <c r="E1" s="130"/>
      <c r="F1" s="130"/>
      <c r="G1" s="130"/>
      <c r="H1" s="130"/>
    </row>
    <row r="3" spans="1:8" x14ac:dyDescent="0.25">
      <c r="A3" s="81" t="s">
        <v>348</v>
      </c>
      <c r="B3" s="81" t="s">
        <v>2532</v>
      </c>
      <c r="C3" s="81" t="s">
        <v>2533</v>
      </c>
      <c r="D3" s="81" t="s">
        <v>2534</v>
      </c>
      <c r="E3" s="81" t="s">
        <v>2535</v>
      </c>
    </row>
    <row r="4" spans="1:8" ht="30" x14ac:dyDescent="0.25">
      <c r="A4" s="2" t="s">
        <v>2536</v>
      </c>
      <c r="B4" s="2">
        <v>193</v>
      </c>
      <c r="C4" s="2">
        <v>200</v>
      </c>
      <c r="D4" s="2">
        <v>7</v>
      </c>
      <c r="E4" s="2" t="s">
        <v>2537</v>
      </c>
    </row>
    <row r="5" spans="1:8" ht="30" x14ac:dyDescent="0.25">
      <c r="A5" s="2" t="s">
        <v>2538</v>
      </c>
      <c r="B5" s="2">
        <v>1738</v>
      </c>
      <c r="C5" s="2">
        <v>1806</v>
      </c>
      <c r="D5" s="2">
        <v>68</v>
      </c>
      <c r="E5" s="2" t="s">
        <v>2539</v>
      </c>
    </row>
    <row r="6" spans="1:8" ht="30" x14ac:dyDescent="0.25">
      <c r="A6" s="2" t="s">
        <v>2540</v>
      </c>
      <c r="B6" s="2">
        <v>51</v>
      </c>
      <c r="C6" s="2">
        <v>82</v>
      </c>
      <c r="D6" s="2">
        <v>31</v>
      </c>
      <c r="E6" s="2" t="s">
        <v>2541</v>
      </c>
    </row>
    <row r="7" spans="1:8" ht="30" x14ac:dyDescent="0.25">
      <c r="A7" s="2" t="s">
        <v>2542</v>
      </c>
      <c r="B7" s="2"/>
      <c r="C7" s="2">
        <v>20</v>
      </c>
      <c r="D7" s="2">
        <v>20</v>
      </c>
      <c r="E7" s="2" t="s">
        <v>2543</v>
      </c>
    </row>
    <row r="8" spans="1:8" ht="30" x14ac:dyDescent="0.25">
      <c r="A8" s="2" t="s">
        <v>2544</v>
      </c>
      <c r="B8" s="2"/>
      <c r="C8" s="2">
        <v>11</v>
      </c>
      <c r="D8" s="2">
        <v>11</v>
      </c>
      <c r="E8" s="2" t="s">
        <v>2545</v>
      </c>
    </row>
    <row r="9" spans="1:8" x14ac:dyDescent="0.25">
      <c r="A9" s="2" t="s">
        <v>2546</v>
      </c>
      <c r="B9" s="2">
        <v>16</v>
      </c>
      <c r="C9" s="2">
        <v>16</v>
      </c>
      <c r="D9" s="2">
        <v>0</v>
      </c>
      <c r="E9" s="2" t="s">
        <v>2547</v>
      </c>
    </row>
    <row r="10" spans="1:8" x14ac:dyDescent="0.25">
      <c r="A10" s="2" t="s">
        <v>2548</v>
      </c>
      <c r="B10" s="2">
        <v>574</v>
      </c>
      <c r="C10" s="2">
        <v>574</v>
      </c>
      <c r="D10" s="2">
        <v>0</v>
      </c>
      <c r="E10" s="2" t="s">
        <v>2549</v>
      </c>
    </row>
    <row r="11" spans="1:8" ht="30" x14ac:dyDescent="0.25">
      <c r="A11" s="2" t="s">
        <v>2550</v>
      </c>
      <c r="B11" s="2">
        <v>432</v>
      </c>
      <c r="C11" s="2">
        <v>490</v>
      </c>
      <c r="D11" s="2">
        <v>58</v>
      </c>
      <c r="E11" s="2" t="s">
        <v>2551</v>
      </c>
    </row>
    <row r="12" spans="1:8" ht="30" x14ac:dyDescent="0.25">
      <c r="A12" s="2" t="s">
        <v>2552</v>
      </c>
      <c r="B12" s="2">
        <v>528</v>
      </c>
      <c r="C12" s="2">
        <v>538</v>
      </c>
      <c r="D12" s="2">
        <v>10</v>
      </c>
      <c r="E12" s="2" t="s">
        <v>2553</v>
      </c>
    </row>
    <row r="14" spans="1:8" x14ac:dyDescent="0.25">
      <c r="A14" s="80" t="s">
        <v>1</v>
      </c>
      <c r="B14" s="80" t="s">
        <v>2554</v>
      </c>
      <c r="C14" s="80" t="s">
        <v>2555</v>
      </c>
    </row>
    <row r="15" spans="1:8" x14ac:dyDescent="0.25">
      <c r="A15" t="s">
        <v>7</v>
      </c>
      <c r="B15">
        <v>574</v>
      </c>
      <c r="C15">
        <v>574</v>
      </c>
    </row>
    <row r="16" spans="1:8" x14ac:dyDescent="0.25">
      <c r="A16" t="s">
        <v>30</v>
      </c>
      <c r="B16">
        <v>432</v>
      </c>
      <c r="C16">
        <v>490</v>
      </c>
    </row>
    <row r="17" spans="1:8" x14ac:dyDescent="0.25">
      <c r="A17" t="s">
        <v>41</v>
      </c>
      <c r="B17">
        <v>528</v>
      </c>
      <c r="C17">
        <v>538</v>
      </c>
    </row>
    <row r="18" spans="1:8" x14ac:dyDescent="0.25">
      <c r="A18" t="s">
        <v>59</v>
      </c>
      <c r="B18">
        <v>204</v>
      </c>
      <c r="C18">
        <v>204</v>
      </c>
    </row>
    <row r="19" spans="1:8" x14ac:dyDescent="0.25">
      <c r="A19" t="s">
        <v>65</v>
      </c>
      <c r="B19">
        <v>1738</v>
      </c>
      <c r="C19">
        <v>1806</v>
      </c>
    </row>
    <row r="21" spans="1:8" ht="15.75" x14ac:dyDescent="0.25">
      <c r="A21" s="131" t="s">
        <v>2556</v>
      </c>
      <c r="B21" s="131"/>
      <c r="C21" s="131"/>
      <c r="D21" s="131"/>
      <c r="E21" s="131"/>
      <c r="F21" s="131"/>
      <c r="G21" s="131"/>
      <c r="H21" s="131"/>
    </row>
    <row r="22" spans="1:8" x14ac:dyDescent="0.25">
      <c r="A22" s="81" t="s">
        <v>2557</v>
      </c>
      <c r="B22" s="81" t="s">
        <v>2558</v>
      </c>
    </row>
    <row r="23" spans="1:8" ht="60" x14ac:dyDescent="0.25">
      <c r="A23" s="2" t="s">
        <v>2559</v>
      </c>
      <c r="B23" s="2" t="s">
        <v>2560</v>
      </c>
    </row>
    <row r="24" spans="1:8" ht="75" x14ac:dyDescent="0.25">
      <c r="A24" s="2" t="s">
        <v>2561</v>
      </c>
      <c r="B24" s="2" t="s">
        <v>2562</v>
      </c>
    </row>
    <row r="25" spans="1:8" ht="60" x14ac:dyDescent="0.25">
      <c r="A25" s="2" t="s">
        <v>2563</v>
      </c>
      <c r="B25" s="2" t="s">
        <v>2564</v>
      </c>
    </row>
    <row r="26" spans="1:8" ht="60" x14ac:dyDescent="0.25">
      <c r="A26" s="2" t="s">
        <v>2565</v>
      </c>
      <c r="B26" s="2" t="s">
        <v>2566</v>
      </c>
    </row>
    <row r="27" spans="1:8" ht="60" x14ac:dyDescent="0.25">
      <c r="A27" s="2" t="s">
        <v>2567</v>
      </c>
      <c r="B27" s="2" t="s">
        <v>2568</v>
      </c>
    </row>
    <row r="28" spans="1:8" ht="60" x14ac:dyDescent="0.25">
      <c r="A28" s="2" t="s">
        <v>2569</v>
      </c>
      <c r="B28" s="2" t="s">
        <v>2570</v>
      </c>
    </row>
    <row r="29" spans="1:8" ht="60" x14ac:dyDescent="0.25">
      <c r="A29" s="2" t="s">
        <v>2571</v>
      </c>
      <c r="B29" s="2" t="s">
        <v>2572</v>
      </c>
    </row>
    <row r="31" spans="1:8" ht="30" x14ac:dyDescent="0.25">
      <c r="A31" s="107" t="s">
        <v>2573</v>
      </c>
      <c r="B31" s="107" t="s">
        <v>2574</v>
      </c>
      <c r="C31" s="107" t="s">
        <v>2558</v>
      </c>
      <c r="D31" s="107" t="s">
        <v>2575</v>
      </c>
      <c r="E31" s="107" t="s">
        <v>2576</v>
      </c>
    </row>
    <row r="32" spans="1:8" ht="45" x14ac:dyDescent="0.25">
      <c r="A32" s="2" t="s">
        <v>2577</v>
      </c>
      <c r="B32" s="2" t="s">
        <v>2578</v>
      </c>
      <c r="C32" s="2" t="s">
        <v>2579</v>
      </c>
      <c r="D32" s="2" t="s">
        <v>2580</v>
      </c>
      <c r="E32" s="2" t="s">
        <v>2581</v>
      </c>
    </row>
    <row r="33" spans="1:5" ht="60" x14ac:dyDescent="0.25">
      <c r="A33" s="2" t="s">
        <v>807</v>
      </c>
      <c r="B33" s="2" t="s">
        <v>2582</v>
      </c>
      <c r="C33" s="2" t="s">
        <v>2583</v>
      </c>
      <c r="D33" s="2" t="s">
        <v>2584</v>
      </c>
      <c r="E33" s="2" t="s">
        <v>2585</v>
      </c>
    </row>
    <row r="34" spans="1:5" ht="60" x14ac:dyDescent="0.25">
      <c r="A34" s="2" t="s">
        <v>2586</v>
      </c>
      <c r="B34" s="2" t="s">
        <v>2587</v>
      </c>
      <c r="C34" s="2" t="s">
        <v>2588</v>
      </c>
      <c r="D34" s="2" t="s">
        <v>2589</v>
      </c>
      <c r="E34" s="2" t="s">
        <v>2590</v>
      </c>
    </row>
    <row r="35" spans="1:5" ht="60" x14ac:dyDescent="0.25">
      <c r="A35" s="2" t="s">
        <v>2591</v>
      </c>
      <c r="B35" s="2" t="s">
        <v>2592</v>
      </c>
      <c r="C35" s="2" t="s">
        <v>2593</v>
      </c>
      <c r="D35" s="2" t="s">
        <v>2584</v>
      </c>
      <c r="E35" s="2" t="s">
        <v>2594</v>
      </c>
    </row>
    <row r="36" spans="1:5" ht="45" x14ac:dyDescent="0.25">
      <c r="A36" s="2" t="s">
        <v>2595</v>
      </c>
      <c r="B36" s="2" t="s">
        <v>2596</v>
      </c>
      <c r="C36" s="2" t="s">
        <v>2597</v>
      </c>
      <c r="D36" s="2" t="s">
        <v>2598</v>
      </c>
      <c r="E36" s="2" t="s">
        <v>67</v>
      </c>
    </row>
    <row r="37" spans="1:5" ht="45" x14ac:dyDescent="0.25">
      <c r="A37" s="2" t="s">
        <v>2599</v>
      </c>
      <c r="B37" s="2" t="s">
        <v>2600</v>
      </c>
      <c r="C37" s="2" t="s">
        <v>2601</v>
      </c>
      <c r="D37" s="2" t="s">
        <v>2602</v>
      </c>
      <c r="E37" s="2" t="s">
        <v>67</v>
      </c>
    </row>
    <row r="38" spans="1:5" ht="45" x14ac:dyDescent="0.25">
      <c r="A38" s="2" t="s">
        <v>2603</v>
      </c>
      <c r="B38" s="2" t="s">
        <v>2604</v>
      </c>
      <c r="C38" s="2" t="s">
        <v>2605</v>
      </c>
      <c r="D38" s="2" t="s">
        <v>2580</v>
      </c>
      <c r="E38" s="2" t="s">
        <v>2606</v>
      </c>
    </row>
    <row r="40" spans="1:5" x14ac:dyDescent="0.25">
      <c r="A40" s="132" t="s">
        <v>2607</v>
      </c>
      <c r="B40" s="132"/>
      <c r="C40" s="132"/>
      <c r="D40" s="132"/>
      <c r="E40" s="132"/>
    </row>
    <row r="41" spans="1:5" x14ac:dyDescent="0.25">
      <c r="A41" s="114" t="s">
        <v>2608</v>
      </c>
      <c r="B41" s="114" t="s">
        <v>2609</v>
      </c>
      <c r="C41" s="114" t="s">
        <v>2283</v>
      </c>
      <c r="D41" s="114" t="s">
        <v>689</v>
      </c>
      <c r="E41" s="114" t="s">
        <v>676</v>
      </c>
    </row>
    <row r="42" spans="1:5" ht="30" x14ac:dyDescent="0.25">
      <c r="A42" s="2" t="s">
        <v>2610</v>
      </c>
      <c r="B42" s="2" t="s">
        <v>2611</v>
      </c>
      <c r="C42" s="2" t="s">
        <v>2612</v>
      </c>
      <c r="D42" s="2" t="s">
        <v>2613</v>
      </c>
      <c r="E42" s="2" t="s">
        <v>2614</v>
      </c>
    </row>
    <row r="43" spans="1:5" ht="30" x14ac:dyDescent="0.25">
      <c r="A43" s="2" t="s">
        <v>2615</v>
      </c>
      <c r="B43" s="2" t="s">
        <v>2616</v>
      </c>
      <c r="C43" s="2" t="s">
        <v>2617</v>
      </c>
      <c r="D43" s="2" t="s">
        <v>2618</v>
      </c>
      <c r="E43" s="2" t="s">
        <v>2619</v>
      </c>
    </row>
    <row r="44" spans="1:5" ht="30" x14ac:dyDescent="0.25">
      <c r="A44" s="2" t="s">
        <v>2620</v>
      </c>
      <c r="B44" s="2" t="s">
        <v>2621</v>
      </c>
      <c r="C44" s="2" t="s">
        <v>2622</v>
      </c>
      <c r="D44" s="2" t="s">
        <v>2623</v>
      </c>
      <c r="E44" s="2" t="s">
        <v>2624</v>
      </c>
    </row>
    <row r="45" spans="1:5" ht="30" x14ac:dyDescent="0.25">
      <c r="A45" s="2" t="s">
        <v>2625</v>
      </c>
      <c r="B45" s="2" t="s">
        <v>2626</v>
      </c>
      <c r="C45" s="2" t="s">
        <v>2627</v>
      </c>
      <c r="D45" s="2" t="s">
        <v>2628</v>
      </c>
      <c r="E45" s="2" t="s">
        <v>2629</v>
      </c>
    </row>
    <row r="46" spans="1:5" ht="30" x14ac:dyDescent="0.25">
      <c r="A46" s="2" t="s">
        <v>5</v>
      </c>
      <c r="B46" s="2" t="s">
        <v>2630</v>
      </c>
      <c r="C46" s="2" t="s">
        <v>2631</v>
      </c>
      <c r="D46" s="2" t="s">
        <v>2632</v>
      </c>
      <c r="E46" s="2" t="s">
        <v>2633</v>
      </c>
    </row>
  </sheetData>
  <mergeCells count="3">
    <mergeCell ref="A1:H1"/>
    <mergeCell ref="A21:H21"/>
    <mergeCell ref="A40:E40"/>
  </mergeCell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Z100"/>
  <sheetViews>
    <sheetView workbookViewId="0">
      <selection sqref="A1:H1"/>
    </sheetView>
  </sheetViews>
  <sheetFormatPr defaultRowHeight="15" x14ac:dyDescent="0.25"/>
  <cols>
    <col min="1" max="1" width="24" customWidth="1"/>
    <col min="2" max="2" width="36" customWidth="1"/>
    <col min="3" max="3" width="46" customWidth="1"/>
    <col min="4" max="4" width="36" customWidth="1"/>
    <col min="5" max="5" width="48" customWidth="1"/>
    <col min="6" max="6" width="26" customWidth="1"/>
    <col min="7" max="7" width="42" customWidth="1"/>
    <col min="8" max="8" width="34" customWidth="1"/>
  </cols>
  <sheetData>
    <row r="1" spans="1:26" ht="21" x14ac:dyDescent="0.25">
      <c r="A1" s="133" t="s">
        <v>2634</v>
      </c>
      <c r="B1" s="133"/>
      <c r="C1" s="133"/>
      <c r="D1" s="133"/>
      <c r="E1" s="133"/>
      <c r="F1" s="133"/>
      <c r="G1" s="133"/>
      <c r="H1" s="133"/>
      <c r="I1" s="21"/>
      <c r="J1" s="21"/>
      <c r="K1" s="21"/>
      <c r="L1" s="21"/>
      <c r="M1" s="21"/>
      <c r="N1" s="21"/>
      <c r="O1" s="21"/>
      <c r="P1" s="21"/>
      <c r="Q1" s="21"/>
      <c r="R1" s="21"/>
      <c r="S1" s="21"/>
      <c r="T1" s="21"/>
      <c r="U1" s="21"/>
      <c r="V1" s="21"/>
      <c r="W1" s="21"/>
      <c r="X1" s="21"/>
      <c r="Y1" s="21"/>
      <c r="Z1" s="21"/>
    </row>
    <row r="2" spans="1:26" x14ac:dyDescent="0.25">
      <c r="A2" s="108" t="s">
        <v>2635</v>
      </c>
      <c r="B2" s="108" t="s">
        <v>2636</v>
      </c>
      <c r="C2" s="108" t="s">
        <v>2637</v>
      </c>
      <c r="D2" s="108" t="s">
        <v>2638</v>
      </c>
      <c r="E2" s="108" t="s">
        <v>2639</v>
      </c>
      <c r="F2" s="108" t="s">
        <v>2640</v>
      </c>
      <c r="G2" s="108" t="s">
        <v>2641</v>
      </c>
      <c r="H2" s="108" t="s">
        <v>2642</v>
      </c>
      <c r="I2" s="21"/>
      <c r="J2" s="21"/>
      <c r="K2" s="21"/>
      <c r="L2" s="21"/>
      <c r="M2" s="21"/>
      <c r="N2" s="21"/>
      <c r="O2" s="21"/>
      <c r="P2" s="21"/>
      <c r="Q2" s="21"/>
      <c r="R2" s="21"/>
      <c r="S2" s="21"/>
      <c r="T2" s="21"/>
      <c r="U2" s="21"/>
      <c r="V2" s="21"/>
      <c r="W2" s="21"/>
      <c r="X2" s="21"/>
      <c r="Y2" s="21"/>
      <c r="Z2" s="21"/>
    </row>
    <row r="3" spans="1:26" ht="45" x14ac:dyDescent="0.25">
      <c r="A3" s="7" t="s">
        <v>2643</v>
      </c>
      <c r="B3" s="7" t="s">
        <v>2644</v>
      </c>
      <c r="C3" s="7" t="s">
        <v>2645</v>
      </c>
      <c r="D3" s="7" t="s">
        <v>2646</v>
      </c>
      <c r="E3" s="7" t="s">
        <v>2647</v>
      </c>
      <c r="F3" s="7" t="s">
        <v>2648</v>
      </c>
      <c r="G3" s="7" t="s">
        <v>2649</v>
      </c>
      <c r="H3" s="7" t="s">
        <v>2650</v>
      </c>
      <c r="I3" s="21"/>
      <c r="J3" s="21"/>
      <c r="K3" s="21"/>
      <c r="L3" s="21"/>
      <c r="M3" s="21"/>
      <c r="N3" s="21"/>
      <c r="O3" s="21"/>
      <c r="P3" s="21"/>
      <c r="Q3" s="21"/>
      <c r="R3" s="21"/>
      <c r="S3" s="21"/>
      <c r="T3" s="21"/>
      <c r="U3" s="21"/>
      <c r="V3" s="21"/>
      <c r="W3" s="21"/>
      <c r="X3" s="21"/>
      <c r="Y3" s="21"/>
      <c r="Z3" s="21"/>
    </row>
    <row r="4" spans="1:26" ht="60" x14ac:dyDescent="0.25">
      <c r="A4" s="7" t="s">
        <v>2651</v>
      </c>
      <c r="B4" s="7" t="s">
        <v>2652</v>
      </c>
      <c r="C4" s="7" t="s">
        <v>2653</v>
      </c>
      <c r="D4" s="7" t="s">
        <v>2654</v>
      </c>
      <c r="E4" s="7" t="s">
        <v>2655</v>
      </c>
      <c r="F4" s="7" t="s">
        <v>2656</v>
      </c>
      <c r="G4" s="7" t="s">
        <v>2657</v>
      </c>
      <c r="H4" s="7" t="s">
        <v>2658</v>
      </c>
      <c r="I4" s="21"/>
      <c r="J4" s="21"/>
      <c r="K4" s="21"/>
      <c r="L4" s="21"/>
      <c r="M4" s="21"/>
      <c r="N4" s="21"/>
      <c r="O4" s="21"/>
      <c r="P4" s="21"/>
      <c r="Q4" s="21"/>
      <c r="R4" s="21"/>
      <c r="S4" s="21"/>
      <c r="T4" s="21"/>
      <c r="U4" s="21"/>
      <c r="V4" s="21"/>
      <c r="W4" s="21"/>
      <c r="X4" s="21"/>
      <c r="Y4" s="21"/>
      <c r="Z4" s="21"/>
    </row>
    <row r="5" spans="1:26" ht="60" x14ac:dyDescent="0.25">
      <c r="A5" s="7" t="s">
        <v>2659</v>
      </c>
      <c r="B5" s="7" t="s">
        <v>2660</v>
      </c>
      <c r="C5" s="7" t="s">
        <v>2661</v>
      </c>
      <c r="D5" s="7" t="s">
        <v>2662</v>
      </c>
      <c r="E5" s="7" t="s">
        <v>2663</v>
      </c>
      <c r="F5" s="7" t="s">
        <v>2664</v>
      </c>
      <c r="G5" s="7" t="s">
        <v>2665</v>
      </c>
      <c r="H5" s="7" t="s">
        <v>2666</v>
      </c>
      <c r="I5" s="21"/>
      <c r="J5" s="21"/>
      <c r="K5" s="21"/>
      <c r="L5" s="21"/>
      <c r="M5" s="21"/>
      <c r="N5" s="21"/>
      <c r="O5" s="21"/>
      <c r="P5" s="21"/>
      <c r="Q5" s="21"/>
      <c r="R5" s="21"/>
      <c r="S5" s="21"/>
      <c r="T5" s="21"/>
      <c r="U5" s="21"/>
      <c r="V5" s="21"/>
      <c r="W5" s="21"/>
      <c r="X5" s="21"/>
      <c r="Y5" s="21"/>
      <c r="Z5" s="21"/>
    </row>
    <row r="6" spans="1:26" ht="30" x14ac:dyDescent="0.25">
      <c r="A6" s="7" t="s">
        <v>2667</v>
      </c>
      <c r="B6" s="7" t="s">
        <v>2668</v>
      </c>
      <c r="C6" s="7" t="s">
        <v>2669</v>
      </c>
      <c r="D6" s="7" t="s">
        <v>2670</v>
      </c>
      <c r="E6" s="7" t="s">
        <v>2671</v>
      </c>
      <c r="F6" s="7" t="s">
        <v>2672</v>
      </c>
      <c r="G6" s="7" t="s">
        <v>2673</v>
      </c>
      <c r="H6" s="7" t="s">
        <v>2674</v>
      </c>
      <c r="I6" s="21"/>
      <c r="J6" s="21"/>
      <c r="K6" s="21"/>
      <c r="L6" s="21"/>
      <c r="M6" s="21"/>
      <c r="N6" s="21"/>
      <c r="O6" s="21"/>
      <c r="P6" s="21"/>
      <c r="Q6" s="21"/>
      <c r="R6" s="21"/>
      <c r="S6" s="21"/>
      <c r="T6" s="21"/>
      <c r="U6" s="21"/>
      <c r="V6" s="21"/>
      <c r="W6" s="21"/>
      <c r="X6" s="21"/>
      <c r="Y6" s="21"/>
      <c r="Z6" s="21"/>
    </row>
    <row r="7" spans="1:26" ht="45" x14ac:dyDescent="0.25">
      <c r="A7" s="7" t="s">
        <v>2675</v>
      </c>
      <c r="B7" s="7" t="s">
        <v>2676</v>
      </c>
      <c r="C7" s="7" t="s">
        <v>2677</v>
      </c>
      <c r="D7" s="7" t="s">
        <v>2678</v>
      </c>
      <c r="E7" s="7" t="s">
        <v>2679</v>
      </c>
      <c r="F7" s="7" t="s">
        <v>2680</v>
      </c>
      <c r="G7" s="7" t="s">
        <v>2681</v>
      </c>
      <c r="H7" s="7" t="s">
        <v>2682</v>
      </c>
      <c r="I7" s="21"/>
      <c r="J7" s="21"/>
      <c r="K7" s="21"/>
      <c r="L7" s="21"/>
      <c r="M7" s="21"/>
      <c r="N7" s="21"/>
      <c r="O7" s="21"/>
      <c r="P7" s="21"/>
      <c r="Q7" s="21"/>
      <c r="R7" s="21"/>
      <c r="S7" s="21"/>
      <c r="T7" s="21"/>
      <c r="U7" s="21"/>
      <c r="V7" s="21"/>
      <c r="W7" s="21"/>
      <c r="X7" s="21"/>
      <c r="Y7" s="21"/>
      <c r="Z7" s="21"/>
    </row>
    <row r="8" spans="1:26" ht="60" x14ac:dyDescent="0.25">
      <c r="A8" s="7" t="s">
        <v>2683</v>
      </c>
      <c r="B8" s="7" t="s">
        <v>2684</v>
      </c>
      <c r="C8" s="7" t="s">
        <v>2685</v>
      </c>
      <c r="D8" s="7" t="s">
        <v>2686</v>
      </c>
      <c r="E8" s="7" t="s">
        <v>2687</v>
      </c>
      <c r="F8" s="7" t="s">
        <v>2688</v>
      </c>
      <c r="G8" s="7" t="s">
        <v>2689</v>
      </c>
      <c r="H8" s="7" t="s">
        <v>2690</v>
      </c>
      <c r="I8" s="21"/>
      <c r="J8" s="21"/>
      <c r="K8" s="21"/>
      <c r="L8" s="21"/>
      <c r="M8" s="21"/>
      <c r="N8" s="21"/>
      <c r="O8" s="21"/>
      <c r="P8" s="21"/>
      <c r="Q8" s="21"/>
      <c r="R8" s="21"/>
      <c r="S8" s="21"/>
      <c r="T8" s="21"/>
      <c r="U8" s="21"/>
      <c r="V8" s="21"/>
      <c r="W8" s="21"/>
      <c r="X8" s="21"/>
      <c r="Y8" s="21"/>
      <c r="Z8" s="21"/>
    </row>
    <row r="9" spans="1:26" ht="45" x14ac:dyDescent="0.25">
      <c r="A9" s="7" t="s">
        <v>2691</v>
      </c>
      <c r="B9" s="7" t="s">
        <v>2692</v>
      </c>
      <c r="C9" s="7" t="s">
        <v>2693</v>
      </c>
      <c r="D9" s="7" t="s">
        <v>2694</v>
      </c>
      <c r="E9" s="7" t="s">
        <v>2695</v>
      </c>
      <c r="F9" s="7" t="s">
        <v>2696</v>
      </c>
      <c r="G9" s="7" t="s">
        <v>2697</v>
      </c>
      <c r="H9" s="7" t="s">
        <v>2698</v>
      </c>
      <c r="I9" s="21"/>
      <c r="J9" s="21"/>
      <c r="K9" s="21"/>
      <c r="L9" s="21"/>
      <c r="M9" s="21"/>
      <c r="N9" s="21"/>
      <c r="O9" s="21"/>
      <c r="P9" s="21"/>
      <c r="Q9" s="21"/>
      <c r="R9" s="21"/>
      <c r="S9" s="21"/>
      <c r="T9" s="21"/>
      <c r="U9" s="21"/>
      <c r="V9" s="21"/>
      <c r="W9" s="21"/>
      <c r="X9" s="21"/>
      <c r="Y9" s="21"/>
      <c r="Z9" s="21"/>
    </row>
    <row r="10" spans="1:26" ht="45" x14ac:dyDescent="0.25">
      <c r="A10" s="7" t="s">
        <v>2699</v>
      </c>
      <c r="B10" s="7" t="s">
        <v>2700</v>
      </c>
      <c r="C10" s="7" t="s">
        <v>2701</v>
      </c>
      <c r="D10" s="7" t="s">
        <v>2702</v>
      </c>
      <c r="E10" s="7" t="s">
        <v>2703</v>
      </c>
      <c r="F10" s="7" t="s">
        <v>2704</v>
      </c>
      <c r="G10" s="7" t="s">
        <v>2705</v>
      </c>
      <c r="H10" s="7" t="s">
        <v>2706</v>
      </c>
      <c r="I10" s="21"/>
      <c r="J10" s="21"/>
      <c r="K10" s="21"/>
      <c r="L10" s="21"/>
      <c r="M10" s="21"/>
      <c r="N10" s="21"/>
      <c r="O10" s="21"/>
      <c r="P10" s="21"/>
      <c r="Q10" s="21"/>
      <c r="R10" s="21"/>
      <c r="S10" s="21"/>
      <c r="T10" s="21"/>
      <c r="U10" s="21"/>
      <c r="V10" s="21"/>
      <c r="W10" s="21"/>
      <c r="X10" s="21"/>
      <c r="Y10" s="21"/>
      <c r="Z10" s="21"/>
    </row>
    <row r="11" spans="1:26" ht="75" x14ac:dyDescent="0.25">
      <c r="A11" s="7" t="s">
        <v>2707</v>
      </c>
      <c r="B11" s="7" t="s">
        <v>2708</v>
      </c>
      <c r="C11" s="7" t="s">
        <v>2709</v>
      </c>
      <c r="D11" s="7" t="s">
        <v>2710</v>
      </c>
      <c r="E11" s="7" t="s">
        <v>2711</v>
      </c>
      <c r="F11" s="7" t="s">
        <v>2712</v>
      </c>
      <c r="G11" s="7" t="s">
        <v>2713</v>
      </c>
      <c r="H11" s="7" t="s">
        <v>2714</v>
      </c>
      <c r="I11" s="21"/>
      <c r="J11" s="21"/>
      <c r="K11" s="21"/>
      <c r="L11" s="21"/>
      <c r="M11" s="21"/>
      <c r="N11" s="21"/>
      <c r="O11" s="21"/>
      <c r="P11" s="21"/>
      <c r="Q11" s="21"/>
      <c r="R11" s="21"/>
      <c r="S11" s="21"/>
      <c r="T11" s="21"/>
      <c r="U11" s="21"/>
      <c r="V11" s="21"/>
      <c r="W11" s="21"/>
      <c r="X11" s="21"/>
      <c r="Y11" s="21"/>
      <c r="Z11" s="21"/>
    </row>
    <row r="12" spans="1:26" ht="45" x14ac:dyDescent="0.25">
      <c r="A12" s="7" t="s">
        <v>2715</v>
      </c>
      <c r="B12" s="7" t="s">
        <v>2716</v>
      </c>
      <c r="C12" s="7" t="s">
        <v>2717</v>
      </c>
      <c r="D12" s="7" t="s">
        <v>2718</v>
      </c>
      <c r="E12" s="7" t="s">
        <v>2719</v>
      </c>
      <c r="F12" s="7" t="s">
        <v>2720</v>
      </c>
      <c r="G12" s="7" t="s">
        <v>2721</v>
      </c>
      <c r="H12" s="7" t="s">
        <v>2722</v>
      </c>
      <c r="I12" s="21"/>
      <c r="J12" s="21"/>
      <c r="K12" s="21"/>
      <c r="L12" s="21"/>
      <c r="M12" s="21"/>
      <c r="N12" s="21"/>
      <c r="O12" s="21"/>
      <c r="P12" s="21"/>
      <c r="Q12" s="21"/>
      <c r="R12" s="21"/>
      <c r="S12" s="21"/>
      <c r="T12" s="21"/>
      <c r="U12" s="21"/>
      <c r="V12" s="21"/>
      <c r="W12" s="21"/>
      <c r="X12" s="21"/>
      <c r="Y12" s="21"/>
      <c r="Z12" s="21"/>
    </row>
    <row r="13" spans="1:26" ht="45" x14ac:dyDescent="0.25">
      <c r="A13" s="7" t="s">
        <v>2723</v>
      </c>
      <c r="B13" s="7" t="s">
        <v>2724</v>
      </c>
      <c r="C13" s="7" t="s">
        <v>2725</v>
      </c>
      <c r="D13" s="7" t="s">
        <v>2726</v>
      </c>
      <c r="E13" s="7" t="s">
        <v>2727</v>
      </c>
      <c r="F13" s="7" t="s">
        <v>2728</v>
      </c>
      <c r="G13" s="7" t="s">
        <v>2729</v>
      </c>
      <c r="H13" s="7" t="s">
        <v>2730</v>
      </c>
      <c r="I13" s="21"/>
      <c r="J13" s="21"/>
      <c r="K13" s="21"/>
      <c r="L13" s="21"/>
      <c r="M13" s="21"/>
      <c r="N13" s="21"/>
      <c r="O13" s="21"/>
      <c r="P13" s="21"/>
      <c r="Q13" s="21"/>
      <c r="R13" s="21"/>
      <c r="S13" s="21"/>
      <c r="T13" s="21"/>
      <c r="U13" s="21"/>
      <c r="V13" s="21"/>
      <c r="W13" s="21"/>
      <c r="X13" s="21"/>
      <c r="Y13" s="21"/>
      <c r="Z13" s="21"/>
    </row>
    <row r="14" spans="1:26" ht="45" x14ac:dyDescent="0.25">
      <c r="A14" s="7" t="s">
        <v>2731</v>
      </c>
      <c r="B14" s="7" t="s">
        <v>2732</v>
      </c>
      <c r="C14" s="7" t="s">
        <v>2733</v>
      </c>
      <c r="D14" s="7" t="s">
        <v>2734</v>
      </c>
      <c r="E14" s="7" t="s">
        <v>2735</v>
      </c>
      <c r="F14" s="7" t="s">
        <v>2736</v>
      </c>
      <c r="G14" s="7" t="s">
        <v>2737</v>
      </c>
      <c r="H14" s="7" t="s">
        <v>2738</v>
      </c>
      <c r="I14" s="21"/>
      <c r="J14" s="21"/>
      <c r="K14" s="21"/>
      <c r="L14" s="21"/>
      <c r="M14" s="21"/>
      <c r="N14" s="21"/>
      <c r="O14" s="21"/>
      <c r="P14" s="21"/>
      <c r="Q14" s="21"/>
      <c r="R14" s="21"/>
      <c r="S14" s="21"/>
      <c r="T14" s="21"/>
      <c r="U14" s="21"/>
      <c r="V14" s="21"/>
      <c r="W14" s="21"/>
      <c r="X14" s="21"/>
      <c r="Y14" s="21"/>
      <c r="Z14" s="21"/>
    </row>
    <row r="15" spans="1:26" ht="60" x14ac:dyDescent="0.25">
      <c r="A15" s="7" t="s">
        <v>2739</v>
      </c>
      <c r="B15" s="7" t="s">
        <v>2740</v>
      </c>
      <c r="C15" s="7" t="s">
        <v>2741</v>
      </c>
      <c r="D15" s="7" t="s">
        <v>2742</v>
      </c>
      <c r="E15" s="7" t="s">
        <v>2743</v>
      </c>
      <c r="F15" s="7" t="s">
        <v>2744</v>
      </c>
      <c r="G15" s="7" t="s">
        <v>2745</v>
      </c>
      <c r="H15" s="7" t="s">
        <v>2746</v>
      </c>
      <c r="I15" s="21"/>
      <c r="J15" s="21"/>
      <c r="K15" s="21"/>
      <c r="L15" s="21"/>
      <c r="M15" s="21"/>
      <c r="N15" s="21"/>
      <c r="O15" s="21"/>
      <c r="P15" s="21"/>
      <c r="Q15" s="21"/>
      <c r="R15" s="21"/>
      <c r="S15" s="21"/>
      <c r="T15" s="21"/>
      <c r="U15" s="21"/>
      <c r="V15" s="21"/>
      <c r="W15" s="21"/>
      <c r="X15" s="21"/>
      <c r="Y15" s="21"/>
      <c r="Z15" s="21"/>
    </row>
    <row r="16" spans="1:26" ht="45" x14ac:dyDescent="0.25">
      <c r="A16" s="7" t="s">
        <v>2747</v>
      </c>
      <c r="B16" s="7" t="s">
        <v>2748</v>
      </c>
      <c r="C16" s="7" t="s">
        <v>2749</v>
      </c>
      <c r="D16" s="7" t="s">
        <v>2750</v>
      </c>
      <c r="E16" s="7" t="s">
        <v>2751</v>
      </c>
      <c r="F16" s="7" t="s">
        <v>2752</v>
      </c>
      <c r="G16" s="7" t="s">
        <v>2753</v>
      </c>
      <c r="H16" s="7" t="s">
        <v>2754</v>
      </c>
      <c r="I16" s="21"/>
      <c r="J16" s="21"/>
      <c r="K16" s="21"/>
      <c r="L16" s="21"/>
      <c r="M16" s="21"/>
      <c r="N16" s="21"/>
      <c r="O16" s="21"/>
      <c r="P16" s="21"/>
      <c r="Q16" s="21"/>
      <c r="R16" s="21"/>
      <c r="S16" s="21"/>
      <c r="T16" s="21"/>
      <c r="U16" s="21"/>
      <c r="V16" s="21"/>
      <c r="W16" s="21"/>
      <c r="X16" s="21"/>
      <c r="Y16" s="21"/>
      <c r="Z16" s="21"/>
    </row>
    <row r="17" spans="1:26" ht="45" x14ac:dyDescent="0.25">
      <c r="A17" s="7" t="s">
        <v>2755</v>
      </c>
      <c r="B17" s="7" t="s">
        <v>2756</v>
      </c>
      <c r="C17" s="7" t="s">
        <v>2757</v>
      </c>
      <c r="D17" s="7" t="s">
        <v>2758</v>
      </c>
      <c r="E17" s="7" t="s">
        <v>2759</v>
      </c>
      <c r="F17" s="7" t="s">
        <v>2760</v>
      </c>
      <c r="G17" s="7" t="s">
        <v>2761</v>
      </c>
      <c r="H17" s="7" t="s">
        <v>2762</v>
      </c>
      <c r="I17" s="21"/>
      <c r="J17" s="21"/>
      <c r="K17" s="21"/>
      <c r="L17" s="21"/>
      <c r="M17" s="21"/>
      <c r="N17" s="21"/>
      <c r="O17" s="21"/>
      <c r="P17" s="21"/>
      <c r="Q17" s="21"/>
      <c r="R17" s="21"/>
      <c r="S17" s="21"/>
      <c r="T17" s="21"/>
      <c r="U17" s="21"/>
      <c r="V17" s="21"/>
      <c r="W17" s="21"/>
      <c r="X17" s="21"/>
      <c r="Y17" s="21"/>
      <c r="Z17" s="21"/>
    </row>
    <row r="18" spans="1:26" ht="45" x14ac:dyDescent="0.25">
      <c r="A18" s="7" t="s">
        <v>2763</v>
      </c>
      <c r="B18" s="7" t="s">
        <v>2764</v>
      </c>
      <c r="C18" s="7" t="s">
        <v>771</v>
      </c>
      <c r="D18" s="7" t="s">
        <v>2765</v>
      </c>
      <c r="E18" s="7" t="s">
        <v>2766</v>
      </c>
      <c r="F18" s="7" t="s">
        <v>2767</v>
      </c>
      <c r="G18" s="7" t="s">
        <v>2768</v>
      </c>
      <c r="H18" s="7" t="s">
        <v>2769</v>
      </c>
      <c r="I18" s="21"/>
      <c r="J18" s="21"/>
      <c r="K18" s="21"/>
      <c r="L18" s="21"/>
      <c r="M18" s="21"/>
      <c r="N18" s="21"/>
      <c r="O18" s="21"/>
      <c r="P18" s="21"/>
      <c r="Q18" s="21"/>
      <c r="R18" s="21"/>
      <c r="S18" s="21"/>
      <c r="T18" s="21"/>
      <c r="U18" s="21"/>
      <c r="V18" s="21"/>
      <c r="W18" s="21"/>
      <c r="X18" s="21"/>
      <c r="Y18" s="21"/>
      <c r="Z18" s="21"/>
    </row>
    <row r="19" spans="1:26" x14ac:dyDescent="0.25">
      <c r="A19" s="21"/>
      <c r="B19" s="21"/>
      <c r="C19" s="21"/>
      <c r="D19" s="21"/>
      <c r="E19" s="21"/>
      <c r="F19" s="21"/>
      <c r="G19" s="21"/>
      <c r="H19" s="21"/>
      <c r="I19" s="21"/>
      <c r="J19" s="21"/>
      <c r="K19" s="21"/>
      <c r="L19" s="21"/>
      <c r="M19" s="21"/>
      <c r="N19" s="21"/>
      <c r="O19" s="21"/>
      <c r="P19" s="21"/>
      <c r="Q19" s="21"/>
      <c r="R19" s="21"/>
      <c r="S19" s="21"/>
      <c r="T19" s="21"/>
      <c r="U19" s="21"/>
      <c r="V19" s="21"/>
      <c r="W19" s="21"/>
      <c r="X19" s="21"/>
      <c r="Y19" s="21"/>
      <c r="Z19" s="21"/>
    </row>
    <row r="20" spans="1:26" x14ac:dyDescent="0.25">
      <c r="A20" s="21"/>
      <c r="B20" s="21"/>
      <c r="C20" s="21"/>
      <c r="D20" s="21"/>
      <c r="E20" s="21"/>
      <c r="F20" s="21"/>
      <c r="G20" s="21"/>
      <c r="H20" s="21"/>
      <c r="I20" s="21"/>
      <c r="J20" s="21"/>
      <c r="K20" s="21"/>
      <c r="L20" s="21"/>
      <c r="M20" s="21"/>
      <c r="N20" s="21"/>
      <c r="O20" s="21"/>
      <c r="P20" s="21"/>
      <c r="Q20" s="21"/>
      <c r="R20" s="21"/>
      <c r="S20" s="21"/>
      <c r="T20" s="21"/>
      <c r="U20" s="21"/>
      <c r="V20" s="21"/>
      <c r="W20" s="21"/>
      <c r="X20" s="21"/>
      <c r="Y20" s="21"/>
      <c r="Z20" s="21"/>
    </row>
    <row r="21" spans="1:26" x14ac:dyDescent="0.25">
      <c r="A21" s="21"/>
      <c r="B21" s="21"/>
      <c r="C21" s="21"/>
      <c r="D21" s="21"/>
      <c r="E21" s="21"/>
      <c r="F21" s="21"/>
      <c r="G21" s="21"/>
      <c r="H21" s="21"/>
      <c r="I21" s="21"/>
      <c r="J21" s="21"/>
      <c r="K21" s="21"/>
      <c r="L21" s="21"/>
      <c r="M21" s="21"/>
      <c r="N21" s="21"/>
      <c r="O21" s="21"/>
      <c r="P21" s="21"/>
      <c r="Q21" s="21"/>
      <c r="R21" s="21"/>
      <c r="S21" s="21"/>
      <c r="T21" s="21"/>
      <c r="U21" s="21"/>
      <c r="V21" s="21"/>
      <c r="W21" s="21"/>
      <c r="X21" s="21"/>
      <c r="Y21" s="21"/>
      <c r="Z21" s="21"/>
    </row>
    <row r="22" spans="1:26" x14ac:dyDescent="0.25">
      <c r="A22" s="21"/>
      <c r="B22" s="21"/>
      <c r="C22" s="21"/>
      <c r="D22" s="21"/>
      <c r="E22" s="21"/>
      <c r="F22" s="21"/>
      <c r="G22" s="21"/>
      <c r="H22" s="21"/>
      <c r="I22" s="21"/>
      <c r="J22" s="21"/>
      <c r="K22" s="21"/>
      <c r="L22" s="21"/>
      <c r="M22" s="21"/>
      <c r="N22" s="21"/>
      <c r="O22" s="21"/>
      <c r="P22" s="21"/>
      <c r="Q22" s="21"/>
      <c r="R22" s="21"/>
      <c r="S22" s="21"/>
      <c r="T22" s="21"/>
      <c r="U22" s="21"/>
      <c r="V22" s="21"/>
      <c r="W22" s="21"/>
      <c r="X22" s="21"/>
      <c r="Y22" s="21"/>
      <c r="Z22" s="21"/>
    </row>
    <row r="23" spans="1:26" x14ac:dyDescent="0.25">
      <c r="A23" s="21"/>
      <c r="B23" s="21"/>
      <c r="C23" s="21"/>
      <c r="D23" s="21"/>
      <c r="E23" s="21"/>
      <c r="F23" s="21"/>
      <c r="G23" s="21"/>
      <c r="H23" s="21"/>
      <c r="I23" s="21"/>
      <c r="J23" s="21"/>
      <c r="K23" s="21"/>
      <c r="L23" s="21"/>
      <c r="M23" s="21"/>
      <c r="N23" s="21"/>
      <c r="O23" s="21"/>
      <c r="P23" s="21"/>
      <c r="Q23" s="21"/>
      <c r="R23" s="21"/>
      <c r="S23" s="21"/>
      <c r="T23" s="21"/>
      <c r="U23" s="21"/>
      <c r="V23" s="21"/>
      <c r="W23" s="21"/>
      <c r="X23" s="21"/>
      <c r="Y23" s="21"/>
      <c r="Z23" s="21"/>
    </row>
    <row r="24" spans="1:26" x14ac:dyDescent="0.25">
      <c r="A24" s="21"/>
      <c r="B24" s="21"/>
      <c r="C24" s="21"/>
      <c r="D24" s="21"/>
      <c r="E24" s="21"/>
      <c r="F24" s="21"/>
      <c r="G24" s="21"/>
      <c r="H24" s="21"/>
      <c r="I24" s="21"/>
      <c r="J24" s="21"/>
      <c r="K24" s="21"/>
      <c r="L24" s="21"/>
      <c r="M24" s="21"/>
      <c r="N24" s="21"/>
      <c r="O24" s="21"/>
      <c r="P24" s="21"/>
      <c r="Q24" s="21"/>
      <c r="R24" s="21"/>
      <c r="S24" s="21"/>
      <c r="T24" s="21"/>
      <c r="U24" s="21"/>
      <c r="V24" s="21"/>
      <c r="W24" s="21"/>
      <c r="X24" s="21"/>
      <c r="Y24" s="21"/>
      <c r="Z24" s="21"/>
    </row>
    <row r="25" spans="1:26" x14ac:dyDescent="0.25">
      <c r="A25" s="21"/>
      <c r="B25" s="21"/>
      <c r="C25" s="21"/>
      <c r="D25" s="21"/>
      <c r="E25" s="21"/>
      <c r="F25" s="21"/>
      <c r="G25" s="21"/>
      <c r="H25" s="21"/>
      <c r="I25" s="21"/>
      <c r="J25" s="21"/>
      <c r="K25" s="21"/>
      <c r="L25" s="21"/>
      <c r="M25" s="21"/>
      <c r="N25" s="21"/>
      <c r="O25" s="21"/>
      <c r="P25" s="21"/>
      <c r="Q25" s="21"/>
      <c r="R25" s="21"/>
      <c r="S25" s="21"/>
      <c r="T25" s="21"/>
      <c r="U25" s="21"/>
      <c r="V25" s="21"/>
      <c r="W25" s="21"/>
      <c r="X25" s="21"/>
      <c r="Y25" s="21"/>
      <c r="Z25" s="21"/>
    </row>
    <row r="26" spans="1:26" x14ac:dyDescent="0.25">
      <c r="A26" s="21"/>
      <c r="B26" s="21"/>
      <c r="C26" s="21"/>
      <c r="D26" s="21"/>
      <c r="E26" s="21"/>
      <c r="F26" s="21"/>
      <c r="G26" s="21"/>
      <c r="H26" s="21"/>
      <c r="I26" s="21"/>
      <c r="J26" s="21"/>
      <c r="K26" s="21"/>
      <c r="L26" s="21"/>
      <c r="M26" s="21"/>
      <c r="N26" s="21"/>
      <c r="O26" s="21"/>
      <c r="P26" s="21"/>
      <c r="Q26" s="21"/>
      <c r="R26" s="21"/>
      <c r="S26" s="21"/>
      <c r="T26" s="21"/>
      <c r="U26" s="21"/>
      <c r="V26" s="21"/>
      <c r="W26" s="21"/>
      <c r="X26" s="21"/>
      <c r="Y26" s="21"/>
      <c r="Z26" s="21"/>
    </row>
    <row r="27" spans="1:26" x14ac:dyDescent="0.25">
      <c r="A27" s="21"/>
      <c r="B27" s="21"/>
      <c r="C27" s="21"/>
      <c r="D27" s="21"/>
      <c r="E27" s="21"/>
      <c r="F27" s="21"/>
      <c r="G27" s="21"/>
      <c r="H27" s="21"/>
      <c r="I27" s="21"/>
      <c r="J27" s="21"/>
      <c r="K27" s="21"/>
      <c r="L27" s="21"/>
      <c r="M27" s="21"/>
      <c r="N27" s="21"/>
      <c r="O27" s="21"/>
      <c r="P27" s="21"/>
      <c r="Q27" s="21"/>
      <c r="R27" s="21"/>
      <c r="S27" s="21"/>
      <c r="T27" s="21"/>
      <c r="U27" s="21"/>
      <c r="V27" s="21"/>
      <c r="W27" s="21"/>
      <c r="X27" s="21"/>
      <c r="Y27" s="21"/>
      <c r="Z27" s="21"/>
    </row>
    <row r="28" spans="1:26" x14ac:dyDescent="0.25">
      <c r="A28" s="21"/>
      <c r="B28" s="21"/>
      <c r="C28" s="21"/>
      <c r="D28" s="21"/>
      <c r="E28" s="21"/>
      <c r="F28" s="21"/>
      <c r="G28" s="21"/>
      <c r="H28" s="21"/>
      <c r="I28" s="21"/>
      <c r="J28" s="21"/>
      <c r="K28" s="21"/>
      <c r="L28" s="21"/>
      <c r="M28" s="21"/>
      <c r="N28" s="21"/>
      <c r="O28" s="21"/>
      <c r="P28" s="21"/>
      <c r="Q28" s="21"/>
      <c r="R28" s="21"/>
      <c r="S28" s="21"/>
      <c r="T28" s="21"/>
      <c r="U28" s="21"/>
      <c r="V28" s="21"/>
      <c r="W28" s="21"/>
      <c r="X28" s="21"/>
      <c r="Y28" s="21"/>
      <c r="Z28" s="21"/>
    </row>
    <row r="29" spans="1:26" x14ac:dyDescent="0.25">
      <c r="A29" s="21"/>
      <c r="B29" s="21"/>
      <c r="C29" s="21"/>
      <c r="D29" s="21"/>
      <c r="E29" s="21"/>
      <c r="F29" s="21"/>
      <c r="G29" s="21"/>
      <c r="H29" s="21"/>
      <c r="I29" s="21"/>
      <c r="J29" s="21"/>
      <c r="K29" s="21"/>
      <c r="L29" s="21"/>
      <c r="M29" s="21"/>
      <c r="N29" s="21"/>
      <c r="O29" s="21"/>
      <c r="P29" s="21"/>
      <c r="Q29" s="21"/>
      <c r="R29" s="21"/>
      <c r="S29" s="21"/>
      <c r="T29" s="21"/>
      <c r="U29" s="21"/>
      <c r="V29" s="21"/>
      <c r="W29" s="21"/>
      <c r="X29" s="21"/>
      <c r="Y29" s="21"/>
      <c r="Z29" s="21"/>
    </row>
    <row r="30" spans="1:26" x14ac:dyDescent="0.25">
      <c r="A30" s="21"/>
      <c r="B30" s="21"/>
      <c r="C30" s="21"/>
      <c r="D30" s="21"/>
      <c r="E30" s="21"/>
      <c r="F30" s="21"/>
      <c r="G30" s="21"/>
      <c r="H30" s="21"/>
      <c r="I30" s="21"/>
      <c r="J30" s="21"/>
      <c r="K30" s="21"/>
      <c r="L30" s="21"/>
      <c r="M30" s="21"/>
      <c r="N30" s="21"/>
      <c r="O30" s="21"/>
      <c r="P30" s="21"/>
      <c r="Q30" s="21"/>
      <c r="R30" s="21"/>
      <c r="S30" s="21"/>
      <c r="T30" s="21"/>
      <c r="U30" s="21"/>
      <c r="V30" s="21"/>
      <c r="W30" s="21"/>
      <c r="X30" s="21"/>
      <c r="Y30" s="21"/>
      <c r="Z30" s="21"/>
    </row>
    <row r="31" spans="1:26" x14ac:dyDescent="0.25">
      <c r="A31" s="21"/>
      <c r="B31" s="21"/>
      <c r="C31" s="21"/>
      <c r="D31" s="21"/>
      <c r="E31" s="21"/>
      <c r="F31" s="21"/>
      <c r="G31" s="21"/>
      <c r="H31" s="21"/>
      <c r="I31" s="21"/>
      <c r="J31" s="21"/>
      <c r="K31" s="21"/>
      <c r="L31" s="21"/>
      <c r="M31" s="21"/>
      <c r="N31" s="21"/>
      <c r="O31" s="21"/>
      <c r="P31" s="21"/>
      <c r="Q31" s="21"/>
      <c r="R31" s="21"/>
      <c r="S31" s="21"/>
      <c r="T31" s="21"/>
      <c r="U31" s="21"/>
      <c r="V31" s="21"/>
      <c r="W31" s="21"/>
      <c r="X31" s="21"/>
      <c r="Y31" s="21"/>
      <c r="Z31" s="21"/>
    </row>
    <row r="32" spans="1:26" x14ac:dyDescent="0.25">
      <c r="A32" s="21"/>
      <c r="B32" s="21"/>
      <c r="C32" s="21"/>
      <c r="D32" s="21"/>
      <c r="E32" s="21"/>
      <c r="F32" s="21"/>
      <c r="G32" s="21"/>
      <c r="H32" s="21"/>
      <c r="I32" s="21"/>
      <c r="J32" s="21"/>
      <c r="K32" s="21"/>
      <c r="L32" s="21"/>
      <c r="M32" s="21"/>
      <c r="N32" s="21"/>
      <c r="O32" s="21"/>
      <c r="P32" s="21"/>
      <c r="Q32" s="21"/>
      <c r="R32" s="21"/>
      <c r="S32" s="21"/>
      <c r="T32" s="21"/>
      <c r="U32" s="21"/>
      <c r="V32" s="21"/>
      <c r="W32" s="21"/>
      <c r="X32" s="21"/>
      <c r="Y32" s="21"/>
      <c r="Z32" s="21"/>
    </row>
    <row r="33" spans="1:26" x14ac:dyDescent="0.25">
      <c r="A33" s="21"/>
      <c r="B33" s="21"/>
      <c r="C33" s="21"/>
      <c r="D33" s="21"/>
      <c r="E33" s="21"/>
      <c r="F33" s="21"/>
      <c r="G33" s="21"/>
      <c r="H33" s="21"/>
      <c r="I33" s="21"/>
      <c r="J33" s="21"/>
      <c r="K33" s="21"/>
      <c r="L33" s="21"/>
      <c r="M33" s="21"/>
      <c r="N33" s="21"/>
      <c r="O33" s="21"/>
      <c r="P33" s="21"/>
      <c r="Q33" s="21"/>
      <c r="R33" s="21"/>
      <c r="S33" s="21"/>
      <c r="T33" s="21"/>
      <c r="U33" s="21"/>
      <c r="V33" s="21"/>
      <c r="W33" s="21"/>
      <c r="X33" s="21"/>
      <c r="Y33" s="21"/>
      <c r="Z33" s="21"/>
    </row>
    <row r="34" spans="1:26" x14ac:dyDescent="0.25">
      <c r="A34" s="21"/>
      <c r="B34" s="21"/>
      <c r="C34" s="21"/>
      <c r="D34" s="21"/>
      <c r="E34" s="21"/>
      <c r="F34" s="21"/>
      <c r="G34" s="21"/>
      <c r="H34" s="21"/>
      <c r="I34" s="21"/>
      <c r="J34" s="21"/>
      <c r="K34" s="21"/>
      <c r="L34" s="21"/>
      <c r="M34" s="21"/>
      <c r="N34" s="21"/>
      <c r="O34" s="21"/>
      <c r="P34" s="21"/>
      <c r="Q34" s="21"/>
      <c r="R34" s="21"/>
      <c r="S34" s="21"/>
      <c r="T34" s="21"/>
      <c r="U34" s="21"/>
      <c r="V34" s="21"/>
      <c r="W34" s="21"/>
      <c r="X34" s="21"/>
      <c r="Y34" s="21"/>
      <c r="Z34" s="21"/>
    </row>
    <row r="35" spans="1:26" x14ac:dyDescent="0.25">
      <c r="A35" s="21"/>
      <c r="B35" s="21"/>
      <c r="C35" s="21"/>
      <c r="D35" s="21"/>
      <c r="E35" s="21"/>
      <c r="F35" s="21"/>
      <c r="G35" s="21"/>
      <c r="H35" s="21"/>
      <c r="I35" s="21"/>
      <c r="J35" s="21"/>
      <c r="K35" s="21"/>
      <c r="L35" s="21"/>
      <c r="M35" s="21"/>
      <c r="N35" s="21"/>
      <c r="O35" s="21"/>
      <c r="P35" s="21"/>
      <c r="Q35" s="21"/>
      <c r="R35" s="21"/>
      <c r="S35" s="21"/>
      <c r="T35" s="21"/>
      <c r="U35" s="21"/>
      <c r="V35" s="21"/>
      <c r="W35" s="21"/>
      <c r="X35" s="21"/>
      <c r="Y35" s="21"/>
      <c r="Z35" s="21"/>
    </row>
    <row r="36" spans="1:26" x14ac:dyDescent="0.25">
      <c r="A36" s="21"/>
      <c r="B36" s="21"/>
      <c r="C36" s="21"/>
      <c r="D36" s="21"/>
      <c r="E36" s="21"/>
      <c r="F36" s="21"/>
      <c r="G36" s="21"/>
      <c r="H36" s="21"/>
      <c r="I36" s="21"/>
      <c r="J36" s="21"/>
      <c r="K36" s="21"/>
      <c r="L36" s="21"/>
      <c r="M36" s="21"/>
      <c r="N36" s="21"/>
      <c r="O36" s="21"/>
      <c r="P36" s="21"/>
      <c r="Q36" s="21"/>
      <c r="R36" s="21"/>
      <c r="S36" s="21"/>
      <c r="T36" s="21"/>
      <c r="U36" s="21"/>
      <c r="V36" s="21"/>
      <c r="W36" s="21"/>
      <c r="X36" s="21"/>
      <c r="Y36" s="21"/>
      <c r="Z36" s="21"/>
    </row>
    <row r="37" spans="1:26" x14ac:dyDescent="0.25">
      <c r="A37" s="21"/>
      <c r="B37" s="21"/>
      <c r="C37" s="21"/>
      <c r="D37" s="21"/>
      <c r="E37" s="21"/>
      <c r="F37" s="21"/>
      <c r="G37" s="21"/>
      <c r="H37" s="21"/>
      <c r="I37" s="21"/>
      <c r="J37" s="21"/>
      <c r="K37" s="21"/>
      <c r="L37" s="21"/>
      <c r="M37" s="21"/>
      <c r="N37" s="21"/>
      <c r="O37" s="21"/>
      <c r="P37" s="21"/>
      <c r="Q37" s="21"/>
      <c r="R37" s="21"/>
      <c r="S37" s="21"/>
      <c r="T37" s="21"/>
      <c r="U37" s="21"/>
      <c r="V37" s="21"/>
      <c r="W37" s="21"/>
      <c r="X37" s="21"/>
      <c r="Y37" s="21"/>
      <c r="Z37" s="21"/>
    </row>
    <row r="38" spans="1:26" x14ac:dyDescent="0.25">
      <c r="A38" s="21"/>
      <c r="B38" s="21"/>
      <c r="C38" s="21"/>
      <c r="D38" s="21"/>
      <c r="E38" s="21"/>
      <c r="F38" s="21"/>
      <c r="G38" s="21"/>
      <c r="H38" s="21"/>
      <c r="I38" s="21"/>
      <c r="J38" s="21"/>
      <c r="K38" s="21"/>
      <c r="L38" s="21"/>
      <c r="M38" s="21"/>
      <c r="N38" s="21"/>
      <c r="O38" s="21"/>
      <c r="P38" s="21"/>
      <c r="Q38" s="21"/>
      <c r="R38" s="21"/>
      <c r="S38" s="21"/>
      <c r="T38" s="21"/>
      <c r="U38" s="21"/>
      <c r="V38" s="21"/>
      <c r="W38" s="21"/>
      <c r="X38" s="21"/>
      <c r="Y38" s="21"/>
      <c r="Z38" s="21"/>
    </row>
    <row r="39" spans="1:26" x14ac:dyDescent="0.25">
      <c r="A39" s="21"/>
      <c r="B39" s="21"/>
      <c r="C39" s="21"/>
      <c r="D39" s="21"/>
      <c r="E39" s="21"/>
      <c r="F39" s="21"/>
      <c r="G39" s="21"/>
      <c r="H39" s="21"/>
      <c r="I39" s="21"/>
      <c r="J39" s="21"/>
      <c r="K39" s="21"/>
      <c r="L39" s="21"/>
      <c r="M39" s="21"/>
      <c r="N39" s="21"/>
      <c r="O39" s="21"/>
      <c r="P39" s="21"/>
      <c r="Q39" s="21"/>
      <c r="R39" s="21"/>
      <c r="S39" s="21"/>
      <c r="T39" s="21"/>
      <c r="U39" s="21"/>
      <c r="V39" s="21"/>
      <c r="W39" s="21"/>
      <c r="X39" s="21"/>
      <c r="Y39" s="21"/>
      <c r="Z39" s="21"/>
    </row>
    <row r="40" spans="1:26" x14ac:dyDescent="0.25">
      <c r="A40" s="21"/>
      <c r="B40" s="21"/>
      <c r="C40" s="21"/>
      <c r="D40" s="21"/>
      <c r="E40" s="21"/>
      <c r="F40" s="21"/>
      <c r="G40" s="21"/>
      <c r="H40" s="21"/>
      <c r="I40" s="21"/>
      <c r="J40" s="21"/>
      <c r="K40" s="21"/>
      <c r="L40" s="21"/>
      <c r="M40" s="21"/>
      <c r="N40" s="21"/>
      <c r="O40" s="21"/>
      <c r="P40" s="21"/>
      <c r="Q40" s="21"/>
      <c r="R40" s="21"/>
      <c r="S40" s="21"/>
      <c r="T40" s="21"/>
      <c r="U40" s="21"/>
      <c r="V40" s="21"/>
      <c r="W40" s="21"/>
      <c r="X40" s="21"/>
      <c r="Y40" s="21"/>
      <c r="Z40" s="21"/>
    </row>
    <row r="41" spans="1:26" x14ac:dyDescent="0.25">
      <c r="A41" s="21"/>
      <c r="B41" s="21"/>
      <c r="C41" s="21"/>
      <c r="D41" s="21"/>
      <c r="E41" s="21"/>
      <c r="F41" s="21"/>
      <c r="G41" s="21"/>
      <c r="H41" s="21"/>
      <c r="I41" s="21"/>
      <c r="J41" s="21"/>
      <c r="K41" s="21"/>
      <c r="L41" s="21"/>
      <c r="M41" s="21"/>
      <c r="N41" s="21"/>
      <c r="O41" s="21"/>
      <c r="P41" s="21"/>
      <c r="Q41" s="21"/>
      <c r="R41" s="21"/>
      <c r="S41" s="21"/>
      <c r="T41" s="21"/>
      <c r="U41" s="21"/>
      <c r="V41" s="21"/>
      <c r="W41" s="21"/>
      <c r="X41" s="21"/>
      <c r="Y41" s="21"/>
      <c r="Z41" s="21"/>
    </row>
    <row r="42" spans="1:26" x14ac:dyDescent="0.25">
      <c r="A42" s="21"/>
      <c r="B42" s="21"/>
      <c r="C42" s="21"/>
      <c r="D42" s="21"/>
      <c r="E42" s="21"/>
      <c r="F42" s="21"/>
      <c r="G42" s="21"/>
      <c r="H42" s="21"/>
      <c r="I42" s="21"/>
      <c r="J42" s="21"/>
      <c r="K42" s="21"/>
      <c r="L42" s="21"/>
      <c r="M42" s="21"/>
      <c r="N42" s="21"/>
      <c r="O42" s="21"/>
      <c r="P42" s="21"/>
      <c r="Q42" s="21"/>
      <c r="R42" s="21"/>
      <c r="S42" s="21"/>
      <c r="T42" s="21"/>
      <c r="U42" s="21"/>
      <c r="V42" s="21"/>
      <c r="W42" s="21"/>
      <c r="X42" s="21"/>
      <c r="Y42" s="21"/>
      <c r="Z42" s="21"/>
    </row>
    <row r="43" spans="1:26" x14ac:dyDescent="0.25">
      <c r="A43" s="21"/>
      <c r="B43" s="21"/>
      <c r="C43" s="21"/>
      <c r="D43" s="21"/>
      <c r="E43" s="21"/>
      <c r="F43" s="21"/>
      <c r="G43" s="21"/>
      <c r="H43" s="21"/>
      <c r="I43" s="21"/>
      <c r="J43" s="21"/>
      <c r="K43" s="21"/>
      <c r="L43" s="21"/>
      <c r="M43" s="21"/>
      <c r="N43" s="21"/>
      <c r="O43" s="21"/>
      <c r="P43" s="21"/>
      <c r="Q43" s="21"/>
      <c r="R43" s="21"/>
      <c r="S43" s="21"/>
      <c r="T43" s="21"/>
      <c r="U43" s="21"/>
      <c r="V43" s="21"/>
      <c r="W43" s="21"/>
      <c r="X43" s="21"/>
      <c r="Y43" s="21"/>
      <c r="Z43" s="21"/>
    </row>
    <row r="44" spans="1:26" x14ac:dyDescent="0.25">
      <c r="A44" s="21"/>
      <c r="B44" s="21"/>
      <c r="C44" s="21"/>
      <c r="D44" s="21"/>
      <c r="E44" s="21"/>
      <c r="F44" s="21"/>
      <c r="G44" s="21"/>
      <c r="H44" s="21"/>
      <c r="I44" s="21"/>
      <c r="J44" s="21"/>
      <c r="K44" s="21"/>
      <c r="L44" s="21"/>
      <c r="M44" s="21"/>
      <c r="N44" s="21"/>
      <c r="O44" s="21"/>
      <c r="P44" s="21"/>
      <c r="Q44" s="21"/>
      <c r="R44" s="21"/>
      <c r="S44" s="21"/>
      <c r="T44" s="21"/>
      <c r="U44" s="21"/>
      <c r="V44" s="21"/>
      <c r="W44" s="21"/>
      <c r="X44" s="21"/>
      <c r="Y44" s="21"/>
      <c r="Z44" s="21"/>
    </row>
    <row r="45" spans="1:26" x14ac:dyDescent="0.25">
      <c r="A45" s="21"/>
      <c r="B45" s="21"/>
      <c r="C45" s="21"/>
      <c r="D45" s="21"/>
      <c r="E45" s="21"/>
      <c r="F45" s="21"/>
      <c r="G45" s="21"/>
      <c r="H45" s="21"/>
      <c r="I45" s="21"/>
      <c r="J45" s="21"/>
      <c r="K45" s="21"/>
      <c r="L45" s="21"/>
      <c r="M45" s="21"/>
      <c r="N45" s="21"/>
      <c r="O45" s="21"/>
      <c r="P45" s="21"/>
      <c r="Q45" s="21"/>
      <c r="R45" s="21"/>
      <c r="S45" s="21"/>
      <c r="T45" s="21"/>
      <c r="U45" s="21"/>
      <c r="V45" s="21"/>
      <c r="W45" s="21"/>
      <c r="X45" s="21"/>
      <c r="Y45" s="21"/>
      <c r="Z45" s="21"/>
    </row>
    <row r="46" spans="1:26" x14ac:dyDescent="0.25">
      <c r="A46" s="21"/>
      <c r="B46" s="21"/>
      <c r="C46" s="21"/>
      <c r="D46" s="21"/>
      <c r="E46" s="21"/>
      <c r="F46" s="21"/>
      <c r="G46" s="21"/>
      <c r="H46" s="21"/>
      <c r="I46" s="21"/>
      <c r="J46" s="21"/>
      <c r="K46" s="21"/>
      <c r="L46" s="21"/>
      <c r="M46" s="21"/>
      <c r="N46" s="21"/>
      <c r="O46" s="21"/>
      <c r="P46" s="21"/>
      <c r="Q46" s="21"/>
      <c r="R46" s="21"/>
      <c r="S46" s="21"/>
      <c r="T46" s="21"/>
      <c r="U46" s="21"/>
      <c r="V46" s="21"/>
      <c r="W46" s="21"/>
      <c r="X46" s="21"/>
      <c r="Y46" s="21"/>
      <c r="Z46" s="21"/>
    </row>
    <row r="47" spans="1:26" x14ac:dyDescent="0.25">
      <c r="A47" s="21"/>
      <c r="B47" s="21"/>
      <c r="C47" s="21"/>
      <c r="D47" s="21"/>
      <c r="E47" s="21"/>
      <c r="F47" s="21"/>
      <c r="G47" s="21"/>
      <c r="H47" s="21"/>
      <c r="I47" s="21"/>
      <c r="J47" s="21"/>
      <c r="K47" s="21"/>
      <c r="L47" s="21"/>
      <c r="M47" s="21"/>
      <c r="N47" s="21"/>
      <c r="O47" s="21"/>
      <c r="P47" s="21"/>
      <c r="Q47" s="21"/>
      <c r="R47" s="21"/>
      <c r="S47" s="21"/>
      <c r="T47" s="21"/>
      <c r="U47" s="21"/>
      <c r="V47" s="21"/>
      <c r="W47" s="21"/>
      <c r="X47" s="21"/>
      <c r="Y47" s="21"/>
      <c r="Z47" s="21"/>
    </row>
    <row r="48" spans="1:26" x14ac:dyDescent="0.25">
      <c r="A48" s="21"/>
      <c r="B48" s="21"/>
      <c r="C48" s="21"/>
      <c r="D48" s="21"/>
      <c r="E48" s="21"/>
      <c r="F48" s="21"/>
      <c r="G48" s="21"/>
      <c r="H48" s="21"/>
      <c r="I48" s="21"/>
      <c r="J48" s="21"/>
      <c r="K48" s="21"/>
      <c r="L48" s="21"/>
      <c r="M48" s="21"/>
      <c r="N48" s="21"/>
      <c r="O48" s="21"/>
      <c r="P48" s="21"/>
      <c r="Q48" s="21"/>
      <c r="R48" s="21"/>
      <c r="S48" s="21"/>
      <c r="T48" s="21"/>
      <c r="U48" s="21"/>
      <c r="V48" s="21"/>
      <c r="W48" s="21"/>
      <c r="X48" s="21"/>
      <c r="Y48" s="21"/>
      <c r="Z48" s="21"/>
    </row>
    <row r="49" spans="1:26" x14ac:dyDescent="0.25">
      <c r="A49" s="21"/>
      <c r="B49" s="21"/>
      <c r="C49" s="21"/>
      <c r="D49" s="21"/>
      <c r="E49" s="21"/>
      <c r="F49" s="21"/>
      <c r="G49" s="21"/>
      <c r="H49" s="21"/>
      <c r="I49" s="21"/>
      <c r="J49" s="21"/>
      <c r="K49" s="21"/>
      <c r="L49" s="21"/>
      <c r="M49" s="21"/>
      <c r="N49" s="21"/>
      <c r="O49" s="21"/>
      <c r="P49" s="21"/>
      <c r="Q49" s="21"/>
      <c r="R49" s="21"/>
      <c r="S49" s="21"/>
      <c r="T49" s="21"/>
      <c r="U49" s="21"/>
      <c r="V49" s="21"/>
      <c r="W49" s="21"/>
      <c r="X49" s="21"/>
      <c r="Y49" s="21"/>
      <c r="Z49" s="21"/>
    </row>
    <row r="50" spans="1:26" x14ac:dyDescent="0.25">
      <c r="A50" s="21"/>
      <c r="B50" s="21"/>
      <c r="C50" s="21"/>
      <c r="D50" s="21"/>
      <c r="E50" s="21"/>
      <c r="F50" s="21"/>
      <c r="G50" s="21"/>
      <c r="H50" s="21"/>
      <c r="I50" s="21"/>
      <c r="J50" s="21"/>
      <c r="K50" s="21"/>
      <c r="L50" s="21"/>
      <c r="M50" s="21"/>
      <c r="N50" s="21"/>
      <c r="O50" s="21"/>
      <c r="P50" s="21"/>
      <c r="Q50" s="21"/>
      <c r="R50" s="21"/>
      <c r="S50" s="21"/>
      <c r="T50" s="21"/>
      <c r="U50" s="21"/>
      <c r="V50" s="21"/>
      <c r="W50" s="21"/>
      <c r="X50" s="21"/>
      <c r="Y50" s="21"/>
      <c r="Z50" s="21"/>
    </row>
    <row r="51" spans="1:26" x14ac:dyDescent="0.25">
      <c r="A51" s="21"/>
      <c r="B51" s="21"/>
      <c r="C51" s="21"/>
      <c r="D51" s="21"/>
      <c r="E51" s="21"/>
      <c r="F51" s="21"/>
      <c r="G51" s="21"/>
      <c r="H51" s="21"/>
      <c r="I51" s="21"/>
      <c r="J51" s="21"/>
      <c r="K51" s="21"/>
      <c r="L51" s="21"/>
      <c r="M51" s="21"/>
      <c r="N51" s="21"/>
      <c r="O51" s="21"/>
      <c r="P51" s="21"/>
      <c r="Q51" s="21"/>
      <c r="R51" s="21"/>
      <c r="S51" s="21"/>
      <c r="T51" s="21"/>
      <c r="U51" s="21"/>
      <c r="V51" s="21"/>
      <c r="W51" s="21"/>
      <c r="X51" s="21"/>
      <c r="Y51" s="21"/>
      <c r="Z51" s="21"/>
    </row>
    <row r="52" spans="1:26" x14ac:dyDescent="0.25">
      <c r="A52" s="21"/>
      <c r="B52" s="21"/>
      <c r="C52" s="21"/>
      <c r="D52" s="21"/>
      <c r="E52" s="21"/>
      <c r="F52" s="21"/>
      <c r="G52" s="21"/>
      <c r="H52" s="21"/>
      <c r="I52" s="21"/>
      <c r="J52" s="21"/>
      <c r="K52" s="21"/>
      <c r="L52" s="21"/>
      <c r="M52" s="21"/>
      <c r="N52" s="21"/>
      <c r="O52" s="21"/>
      <c r="P52" s="21"/>
      <c r="Q52" s="21"/>
      <c r="R52" s="21"/>
      <c r="S52" s="21"/>
      <c r="T52" s="21"/>
      <c r="U52" s="21"/>
      <c r="V52" s="21"/>
      <c r="W52" s="21"/>
      <c r="X52" s="21"/>
      <c r="Y52" s="21"/>
      <c r="Z52" s="21"/>
    </row>
    <row r="53" spans="1:26" x14ac:dyDescent="0.25">
      <c r="A53" s="21"/>
      <c r="B53" s="21"/>
      <c r="C53" s="21"/>
      <c r="D53" s="21"/>
      <c r="E53" s="21"/>
      <c r="F53" s="21"/>
      <c r="G53" s="21"/>
      <c r="H53" s="21"/>
      <c r="I53" s="21"/>
      <c r="J53" s="21"/>
      <c r="K53" s="21"/>
      <c r="L53" s="21"/>
      <c r="M53" s="21"/>
      <c r="N53" s="21"/>
      <c r="O53" s="21"/>
      <c r="P53" s="21"/>
      <c r="Q53" s="21"/>
      <c r="R53" s="21"/>
      <c r="S53" s="21"/>
      <c r="T53" s="21"/>
      <c r="U53" s="21"/>
      <c r="V53" s="21"/>
      <c r="W53" s="21"/>
      <c r="X53" s="21"/>
      <c r="Y53" s="21"/>
      <c r="Z53" s="21"/>
    </row>
    <row r="54" spans="1:26" x14ac:dyDescent="0.25">
      <c r="A54" s="21"/>
      <c r="B54" s="21"/>
      <c r="C54" s="21"/>
      <c r="D54" s="21"/>
      <c r="E54" s="21"/>
      <c r="F54" s="21"/>
      <c r="G54" s="21"/>
      <c r="H54" s="21"/>
      <c r="I54" s="21"/>
      <c r="J54" s="21"/>
      <c r="K54" s="21"/>
      <c r="L54" s="21"/>
      <c r="M54" s="21"/>
      <c r="N54" s="21"/>
      <c r="O54" s="21"/>
      <c r="P54" s="21"/>
      <c r="Q54" s="21"/>
      <c r="R54" s="21"/>
      <c r="S54" s="21"/>
      <c r="T54" s="21"/>
      <c r="U54" s="21"/>
      <c r="V54" s="21"/>
      <c r="W54" s="21"/>
      <c r="X54" s="21"/>
      <c r="Y54" s="21"/>
      <c r="Z54" s="21"/>
    </row>
    <row r="55" spans="1:26" x14ac:dyDescent="0.25">
      <c r="A55" s="21"/>
      <c r="B55" s="21"/>
      <c r="C55" s="21"/>
      <c r="D55" s="21"/>
      <c r="E55" s="21"/>
      <c r="F55" s="21"/>
      <c r="G55" s="21"/>
      <c r="H55" s="21"/>
      <c r="I55" s="21"/>
      <c r="J55" s="21"/>
      <c r="K55" s="21"/>
      <c r="L55" s="21"/>
      <c r="M55" s="21"/>
      <c r="N55" s="21"/>
      <c r="O55" s="21"/>
      <c r="P55" s="21"/>
      <c r="Q55" s="21"/>
      <c r="R55" s="21"/>
      <c r="S55" s="21"/>
      <c r="T55" s="21"/>
      <c r="U55" s="21"/>
      <c r="V55" s="21"/>
      <c r="W55" s="21"/>
      <c r="X55" s="21"/>
      <c r="Y55" s="21"/>
      <c r="Z55" s="21"/>
    </row>
    <row r="56" spans="1:26" x14ac:dyDescent="0.25">
      <c r="A56" s="21"/>
      <c r="B56" s="21"/>
      <c r="C56" s="21"/>
      <c r="D56" s="21"/>
      <c r="E56" s="21"/>
      <c r="F56" s="21"/>
      <c r="G56" s="21"/>
      <c r="H56" s="21"/>
      <c r="I56" s="21"/>
      <c r="J56" s="21"/>
      <c r="K56" s="21"/>
      <c r="L56" s="21"/>
      <c r="M56" s="21"/>
      <c r="N56" s="21"/>
      <c r="O56" s="21"/>
      <c r="P56" s="21"/>
      <c r="Q56" s="21"/>
      <c r="R56" s="21"/>
      <c r="S56" s="21"/>
      <c r="T56" s="21"/>
      <c r="U56" s="21"/>
      <c r="V56" s="21"/>
      <c r="W56" s="21"/>
      <c r="X56" s="21"/>
      <c r="Y56" s="21"/>
      <c r="Z56" s="21"/>
    </row>
    <row r="57" spans="1:26" x14ac:dyDescent="0.25">
      <c r="A57" s="21"/>
      <c r="B57" s="21"/>
      <c r="C57" s="21"/>
      <c r="D57" s="21"/>
      <c r="E57" s="21"/>
      <c r="F57" s="21"/>
      <c r="G57" s="21"/>
      <c r="H57" s="21"/>
      <c r="I57" s="21"/>
      <c r="J57" s="21"/>
      <c r="K57" s="21"/>
      <c r="L57" s="21"/>
      <c r="M57" s="21"/>
      <c r="N57" s="21"/>
      <c r="O57" s="21"/>
      <c r="P57" s="21"/>
      <c r="Q57" s="21"/>
      <c r="R57" s="21"/>
      <c r="S57" s="21"/>
      <c r="T57" s="21"/>
      <c r="U57" s="21"/>
      <c r="V57" s="21"/>
      <c r="W57" s="21"/>
      <c r="X57" s="21"/>
      <c r="Y57" s="21"/>
      <c r="Z57" s="21"/>
    </row>
    <row r="58" spans="1:26" x14ac:dyDescent="0.25">
      <c r="A58" s="21"/>
      <c r="B58" s="21"/>
      <c r="C58" s="21"/>
      <c r="D58" s="21"/>
      <c r="E58" s="21"/>
      <c r="F58" s="21"/>
      <c r="G58" s="21"/>
      <c r="H58" s="21"/>
      <c r="I58" s="21"/>
      <c r="J58" s="21"/>
      <c r="K58" s="21"/>
      <c r="L58" s="21"/>
      <c r="M58" s="21"/>
      <c r="N58" s="21"/>
      <c r="O58" s="21"/>
      <c r="P58" s="21"/>
      <c r="Q58" s="21"/>
      <c r="R58" s="21"/>
      <c r="S58" s="21"/>
      <c r="T58" s="21"/>
      <c r="U58" s="21"/>
      <c r="V58" s="21"/>
      <c r="W58" s="21"/>
      <c r="X58" s="21"/>
      <c r="Y58" s="21"/>
      <c r="Z58" s="21"/>
    </row>
    <row r="59" spans="1:26" x14ac:dyDescent="0.25">
      <c r="A59" s="21"/>
      <c r="B59" s="21"/>
      <c r="C59" s="21"/>
      <c r="D59" s="21"/>
      <c r="E59" s="21"/>
      <c r="F59" s="21"/>
      <c r="G59" s="21"/>
      <c r="H59" s="21"/>
      <c r="I59" s="21"/>
      <c r="J59" s="21"/>
      <c r="K59" s="21"/>
      <c r="L59" s="21"/>
      <c r="M59" s="21"/>
      <c r="N59" s="21"/>
      <c r="O59" s="21"/>
      <c r="P59" s="21"/>
      <c r="Q59" s="21"/>
      <c r="R59" s="21"/>
      <c r="S59" s="21"/>
      <c r="T59" s="21"/>
      <c r="U59" s="21"/>
      <c r="V59" s="21"/>
      <c r="W59" s="21"/>
      <c r="X59" s="21"/>
      <c r="Y59" s="21"/>
      <c r="Z59" s="21"/>
    </row>
    <row r="60" spans="1:26" x14ac:dyDescent="0.25">
      <c r="A60" s="21"/>
      <c r="B60" s="21"/>
      <c r="C60" s="21"/>
      <c r="D60" s="21"/>
      <c r="E60" s="21"/>
      <c r="F60" s="21"/>
      <c r="G60" s="21"/>
      <c r="H60" s="21"/>
      <c r="I60" s="21"/>
      <c r="J60" s="21"/>
      <c r="K60" s="21"/>
      <c r="L60" s="21"/>
      <c r="M60" s="21"/>
      <c r="N60" s="21"/>
      <c r="O60" s="21"/>
      <c r="P60" s="21"/>
      <c r="Q60" s="21"/>
      <c r="R60" s="21"/>
      <c r="S60" s="21"/>
      <c r="T60" s="21"/>
      <c r="U60" s="21"/>
      <c r="V60" s="21"/>
      <c r="W60" s="21"/>
      <c r="X60" s="21"/>
      <c r="Y60" s="21"/>
      <c r="Z60" s="21"/>
    </row>
    <row r="61" spans="1:26" x14ac:dyDescent="0.25">
      <c r="A61" s="21"/>
      <c r="B61" s="21"/>
      <c r="C61" s="21"/>
      <c r="D61" s="21"/>
      <c r="E61" s="21"/>
      <c r="F61" s="21"/>
      <c r="G61" s="21"/>
      <c r="H61" s="21"/>
      <c r="I61" s="21"/>
      <c r="J61" s="21"/>
      <c r="K61" s="21"/>
      <c r="L61" s="21"/>
      <c r="M61" s="21"/>
      <c r="N61" s="21"/>
      <c r="O61" s="21"/>
      <c r="P61" s="21"/>
      <c r="Q61" s="21"/>
      <c r="R61" s="21"/>
      <c r="S61" s="21"/>
      <c r="T61" s="21"/>
      <c r="U61" s="21"/>
      <c r="V61" s="21"/>
      <c r="W61" s="21"/>
      <c r="X61" s="21"/>
      <c r="Y61" s="21"/>
      <c r="Z61" s="21"/>
    </row>
    <row r="62" spans="1:26" x14ac:dyDescent="0.25">
      <c r="A62" s="21"/>
      <c r="B62" s="21"/>
      <c r="C62" s="21"/>
      <c r="D62" s="21"/>
      <c r="E62" s="21"/>
      <c r="F62" s="21"/>
      <c r="G62" s="21"/>
      <c r="H62" s="21"/>
      <c r="I62" s="21"/>
      <c r="J62" s="21"/>
      <c r="K62" s="21"/>
      <c r="L62" s="21"/>
      <c r="M62" s="21"/>
      <c r="N62" s="21"/>
      <c r="O62" s="21"/>
      <c r="P62" s="21"/>
      <c r="Q62" s="21"/>
      <c r="R62" s="21"/>
      <c r="S62" s="21"/>
      <c r="T62" s="21"/>
      <c r="U62" s="21"/>
      <c r="V62" s="21"/>
      <c r="W62" s="21"/>
      <c r="X62" s="21"/>
      <c r="Y62" s="21"/>
      <c r="Z62" s="21"/>
    </row>
    <row r="63" spans="1:26" x14ac:dyDescent="0.25">
      <c r="A63" s="21"/>
      <c r="B63" s="21"/>
      <c r="C63" s="21"/>
      <c r="D63" s="21"/>
      <c r="E63" s="21"/>
      <c r="F63" s="21"/>
      <c r="G63" s="21"/>
      <c r="H63" s="21"/>
      <c r="I63" s="21"/>
      <c r="J63" s="21"/>
      <c r="K63" s="21"/>
      <c r="L63" s="21"/>
      <c r="M63" s="21"/>
      <c r="N63" s="21"/>
      <c r="O63" s="21"/>
      <c r="P63" s="21"/>
      <c r="Q63" s="21"/>
      <c r="R63" s="21"/>
      <c r="S63" s="21"/>
      <c r="T63" s="21"/>
      <c r="U63" s="21"/>
      <c r="V63" s="21"/>
      <c r="W63" s="21"/>
      <c r="X63" s="21"/>
      <c r="Y63" s="21"/>
      <c r="Z63" s="21"/>
    </row>
    <row r="64" spans="1:26" x14ac:dyDescent="0.25">
      <c r="A64" s="21"/>
      <c r="B64" s="21"/>
      <c r="C64" s="21"/>
      <c r="D64" s="21"/>
      <c r="E64" s="21"/>
      <c r="F64" s="21"/>
      <c r="G64" s="21"/>
      <c r="H64" s="21"/>
      <c r="I64" s="21"/>
      <c r="J64" s="21"/>
      <c r="K64" s="21"/>
      <c r="L64" s="21"/>
      <c r="M64" s="21"/>
      <c r="N64" s="21"/>
      <c r="O64" s="21"/>
      <c r="P64" s="21"/>
      <c r="Q64" s="21"/>
      <c r="R64" s="21"/>
      <c r="S64" s="21"/>
      <c r="T64" s="21"/>
      <c r="U64" s="21"/>
      <c r="V64" s="21"/>
      <c r="W64" s="21"/>
      <c r="X64" s="21"/>
      <c r="Y64" s="21"/>
      <c r="Z64" s="21"/>
    </row>
    <row r="65" spans="1:26" x14ac:dyDescent="0.25">
      <c r="A65" s="21"/>
      <c r="B65" s="21"/>
      <c r="C65" s="21"/>
      <c r="D65" s="21"/>
      <c r="E65" s="21"/>
      <c r="F65" s="21"/>
      <c r="G65" s="21"/>
      <c r="H65" s="21"/>
      <c r="I65" s="21"/>
      <c r="J65" s="21"/>
      <c r="K65" s="21"/>
      <c r="L65" s="21"/>
      <c r="M65" s="21"/>
      <c r="N65" s="21"/>
      <c r="O65" s="21"/>
      <c r="P65" s="21"/>
      <c r="Q65" s="21"/>
      <c r="R65" s="21"/>
      <c r="S65" s="21"/>
      <c r="T65" s="21"/>
      <c r="U65" s="21"/>
      <c r="V65" s="21"/>
      <c r="W65" s="21"/>
      <c r="X65" s="21"/>
      <c r="Y65" s="21"/>
      <c r="Z65" s="21"/>
    </row>
    <row r="66" spans="1:26" x14ac:dyDescent="0.25">
      <c r="A66" s="21"/>
      <c r="B66" s="21"/>
      <c r="C66" s="21"/>
      <c r="D66" s="21"/>
      <c r="E66" s="21"/>
      <c r="F66" s="21"/>
      <c r="G66" s="21"/>
      <c r="H66" s="21"/>
      <c r="I66" s="21"/>
      <c r="J66" s="21"/>
      <c r="K66" s="21"/>
      <c r="L66" s="21"/>
      <c r="M66" s="21"/>
      <c r="N66" s="21"/>
      <c r="O66" s="21"/>
      <c r="P66" s="21"/>
      <c r="Q66" s="21"/>
      <c r="R66" s="21"/>
      <c r="S66" s="21"/>
      <c r="T66" s="21"/>
      <c r="U66" s="21"/>
      <c r="V66" s="21"/>
      <c r="W66" s="21"/>
      <c r="X66" s="21"/>
      <c r="Y66" s="21"/>
      <c r="Z66" s="21"/>
    </row>
    <row r="67" spans="1:26" x14ac:dyDescent="0.25">
      <c r="A67" s="21"/>
      <c r="B67" s="21"/>
      <c r="C67" s="21"/>
      <c r="D67" s="21"/>
      <c r="E67" s="21"/>
      <c r="F67" s="21"/>
      <c r="G67" s="21"/>
      <c r="H67" s="21"/>
      <c r="I67" s="21"/>
      <c r="J67" s="21"/>
      <c r="K67" s="21"/>
      <c r="L67" s="21"/>
      <c r="M67" s="21"/>
      <c r="N67" s="21"/>
      <c r="O67" s="21"/>
      <c r="P67" s="21"/>
      <c r="Q67" s="21"/>
      <c r="R67" s="21"/>
      <c r="S67" s="21"/>
      <c r="T67" s="21"/>
      <c r="U67" s="21"/>
      <c r="V67" s="21"/>
      <c r="W67" s="21"/>
      <c r="X67" s="21"/>
      <c r="Y67" s="21"/>
      <c r="Z67" s="21"/>
    </row>
    <row r="68" spans="1:26" x14ac:dyDescent="0.25">
      <c r="A68" s="21"/>
      <c r="B68" s="21"/>
      <c r="C68" s="21"/>
      <c r="D68" s="21"/>
      <c r="E68" s="21"/>
      <c r="F68" s="21"/>
      <c r="G68" s="21"/>
      <c r="H68" s="21"/>
      <c r="I68" s="21"/>
      <c r="J68" s="21"/>
      <c r="K68" s="21"/>
      <c r="L68" s="21"/>
      <c r="M68" s="21"/>
      <c r="N68" s="21"/>
      <c r="O68" s="21"/>
      <c r="P68" s="21"/>
      <c r="Q68" s="21"/>
      <c r="R68" s="21"/>
      <c r="S68" s="21"/>
      <c r="T68" s="21"/>
      <c r="U68" s="21"/>
      <c r="V68" s="21"/>
      <c r="W68" s="21"/>
      <c r="X68" s="21"/>
      <c r="Y68" s="21"/>
      <c r="Z68" s="21"/>
    </row>
    <row r="69" spans="1:26" x14ac:dyDescent="0.25">
      <c r="A69" s="21"/>
      <c r="B69" s="21"/>
      <c r="C69" s="21"/>
      <c r="D69" s="21"/>
      <c r="E69" s="21"/>
      <c r="F69" s="21"/>
      <c r="G69" s="21"/>
      <c r="H69" s="21"/>
      <c r="I69" s="21"/>
      <c r="J69" s="21"/>
      <c r="K69" s="21"/>
      <c r="L69" s="21"/>
      <c r="M69" s="21"/>
      <c r="N69" s="21"/>
      <c r="O69" s="21"/>
      <c r="P69" s="21"/>
      <c r="Q69" s="21"/>
      <c r="R69" s="21"/>
      <c r="S69" s="21"/>
      <c r="T69" s="21"/>
      <c r="U69" s="21"/>
      <c r="V69" s="21"/>
      <c r="W69" s="21"/>
      <c r="X69" s="21"/>
      <c r="Y69" s="21"/>
      <c r="Z69" s="21"/>
    </row>
    <row r="70" spans="1:26" x14ac:dyDescent="0.25">
      <c r="A70" s="21"/>
      <c r="B70" s="21"/>
      <c r="C70" s="21"/>
      <c r="D70" s="21"/>
      <c r="E70" s="21"/>
      <c r="F70" s="21"/>
      <c r="G70" s="21"/>
      <c r="H70" s="21"/>
      <c r="I70" s="21"/>
      <c r="J70" s="21"/>
      <c r="K70" s="21"/>
      <c r="L70" s="21"/>
      <c r="M70" s="21"/>
      <c r="N70" s="21"/>
      <c r="O70" s="21"/>
      <c r="P70" s="21"/>
      <c r="Q70" s="21"/>
      <c r="R70" s="21"/>
      <c r="S70" s="21"/>
      <c r="T70" s="21"/>
      <c r="U70" s="21"/>
      <c r="V70" s="21"/>
      <c r="W70" s="21"/>
      <c r="X70" s="21"/>
      <c r="Y70" s="21"/>
      <c r="Z70" s="21"/>
    </row>
    <row r="71" spans="1:26" x14ac:dyDescent="0.25">
      <c r="A71" s="21"/>
      <c r="B71" s="21"/>
      <c r="C71" s="21"/>
      <c r="D71" s="21"/>
      <c r="E71" s="21"/>
      <c r="F71" s="21"/>
      <c r="G71" s="21"/>
      <c r="H71" s="21"/>
      <c r="I71" s="21"/>
      <c r="J71" s="21"/>
      <c r="K71" s="21"/>
      <c r="L71" s="21"/>
      <c r="M71" s="21"/>
      <c r="N71" s="21"/>
      <c r="O71" s="21"/>
      <c r="P71" s="21"/>
      <c r="Q71" s="21"/>
      <c r="R71" s="21"/>
      <c r="S71" s="21"/>
      <c r="T71" s="21"/>
      <c r="U71" s="21"/>
      <c r="V71" s="21"/>
      <c r="W71" s="21"/>
      <c r="X71" s="21"/>
      <c r="Y71" s="21"/>
      <c r="Z71" s="21"/>
    </row>
    <row r="72" spans="1:26" x14ac:dyDescent="0.25">
      <c r="A72" s="21"/>
      <c r="B72" s="21"/>
      <c r="C72" s="21"/>
      <c r="D72" s="21"/>
      <c r="E72" s="21"/>
      <c r="F72" s="21"/>
      <c r="G72" s="21"/>
      <c r="H72" s="21"/>
      <c r="I72" s="21"/>
      <c r="J72" s="21"/>
      <c r="K72" s="21"/>
      <c r="L72" s="21"/>
      <c r="M72" s="21"/>
      <c r="N72" s="21"/>
      <c r="O72" s="21"/>
      <c r="P72" s="21"/>
      <c r="Q72" s="21"/>
      <c r="R72" s="21"/>
      <c r="S72" s="21"/>
      <c r="T72" s="21"/>
      <c r="U72" s="21"/>
      <c r="V72" s="21"/>
      <c r="W72" s="21"/>
      <c r="X72" s="21"/>
      <c r="Y72" s="21"/>
      <c r="Z72" s="21"/>
    </row>
    <row r="73" spans="1:26" x14ac:dyDescent="0.25">
      <c r="A73" s="21"/>
      <c r="B73" s="21"/>
      <c r="C73" s="21"/>
      <c r="D73" s="21"/>
      <c r="E73" s="21"/>
      <c r="F73" s="21"/>
      <c r="G73" s="21"/>
      <c r="H73" s="21"/>
      <c r="I73" s="21"/>
      <c r="J73" s="21"/>
      <c r="K73" s="21"/>
      <c r="L73" s="21"/>
      <c r="M73" s="21"/>
      <c r="N73" s="21"/>
      <c r="O73" s="21"/>
      <c r="P73" s="21"/>
      <c r="Q73" s="21"/>
      <c r="R73" s="21"/>
      <c r="S73" s="21"/>
      <c r="T73" s="21"/>
      <c r="U73" s="21"/>
      <c r="V73" s="21"/>
      <c r="W73" s="21"/>
      <c r="X73" s="21"/>
      <c r="Y73" s="21"/>
      <c r="Z73" s="21"/>
    </row>
    <row r="74" spans="1:26" x14ac:dyDescent="0.25">
      <c r="A74" s="21"/>
      <c r="B74" s="21"/>
      <c r="C74" s="21"/>
      <c r="D74" s="21"/>
      <c r="E74" s="21"/>
      <c r="F74" s="21"/>
      <c r="G74" s="21"/>
      <c r="H74" s="21"/>
      <c r="I74" s="21"/>
      <c r="J74" s="21"/>
      <c r="K74" s="21"/>
      <c r="L74" s="21"/>
      <c r="M74" s="21"/>
      <c r="N74" s="21"/>
      <c r="O74" s="21"/>
      <c r="P74" s="21"/>
      <c r="Q74" s="21"/>
      <c r="R74" s="21"/>
      <c r="S74" s="21"/>
      <c r="T74" s="21"/>
      <c r="U74" s="21"/>
      <c r="V74" s="21"/>
      <c r="W74" s="21"/>
      <c r="X74" s="21"/>
      <c r="Y74" s="21"/>
      <c r="Z74" s="21"/>
    </row>
    <row r="75" spans="1:26" x14ac:dyDescent="0.25">
      <c r="A75" s="21"/>
      <c r="B75" s="21"/>
      <c r="C75" s="21"/>
      <c r="D75" s="21"/>
      <c r="E75" s="21"/>
      <c r="F75" s="21"/>
      <c r="G75" s="21"/>
      <c r="H75" s="21"/>
      <c r="I75" s="21"/>
      <c r="J75" s="21"/>
      <c r="K75" s="21"/>
      <c r="L75" s="21"/>
      <c r="M75" s="21"/>
      <c r="N75" s="21"/>
      <c r="O75" s="21"/>
      <c r="P75" s="21"/>
      <c r="Q75" s="21"/>
      <c r="R75" s="21"/>
      <c r="S75" s="21"/>
      <c r="T75" s="21"/>
      <c r="U75" s="21"/>
      <c r="V75" s="21"/>
      <c r="W75" s="21"/>
      <c r="X75" s="21"/>
      <c r="Y75" s="21"/>
      <c r="Z75" s="21"/>
    </row>
    <row r="76" spans="1:26" x14ac:dyDescent="0.25">
      <c r="A76" s="21"/>
      <c r="B76" s="21"/>
      <c r="C76" s="21"/>
      <c r="D76" s="21"/>
      <c r="E76" s="21"/>
      <c r="F76" s="21"/>
      <c r="G76" s="21"/>
      <c r="H76" s="21"/>
      <c r="I76" s="21"/>
      <c r="J76" s="21"/>
      <c r="K76" s="21"/>
      <c r="L76" s="21"/>
      <c r="M76" s="21"/>
      <c r="N76" s="21"/>
      <c r="O76" s="21"/>
      <c r="P76" s="21"/>
      <c r="Q76" s="21"/>
      <c r="R76" s="21"/>
      <c r="S76" s="21"/>
      <c r="T76" s="21"/>
      <c r="U76" s="21"/>
      <c r="V76" s="21"/>
      <c r="W76" s="21"/>
      <c r="X76" s="21"/>
      <c r="Y76" s="21"/>
      <c r="Z76" s="21"/>
    </row>
    <row r="77" spans="1:26" x14ac:dyDescent="0.25">
      <c r="A77" s="21"/>
      <c r="B77" s="21"/>
      <c r="C77" s="21"/>
      <c r="D77" s="21"/>
      <c r="E77" s="21"/>
      <c r="F77" s="21"/>
      <c r="G77" s="21"/>
      <c r="H77" s="21"/>
      <c r="I77" s="21"/>
      <c r="J77" s="21"/>
      <c r="K77" s="21"/>
      <c r="L77" s="21"/>
      <c r="M77" s="21"/>
      <c r="N77" s="21"/>
      <c r="O77" s="21"/>
      <c r="P77" s="21"/>
      <c r="Q77" s="21"/>
      <c r="R77" s="21"/>
      <c r="S77" s="21"/>
      <c r="T77" s="21"/>
      <c r="U77" s="21"/>
      <c r="V77" s="21"/>
      <c r="W77" s="21"/>
      <c r="X77" s="21"/>
      <c r="Y77" s="21"/>
      <c r="Z77" s="21"/>
    </row>
    <row r="78" spans="1:26" x14ac:dyDescent="0.25">
      <c r="A78" s="21"/>
      <c r="B78" s="21"/>
      <c r="C78" s="21"/>
      <c r="D78" s="21"/>
      <c r="E78" s="21"/>
      <c r="F78" s="21"/>
      <c r="G78" s="21"/>
      <c r="H78" s="21"/>
      <c r="I78" s="21"/>
      <c r="J78" s="21"/>
      <c r="K78" s="21"/>
      <c r="L78" s="21"/>
      <c r="M78" s="21"/>
      <c r="N78" s="21"/>
      <c r="O78" s="21"/>
      <c r="P78" s="21"/>
      <c r="Q78" s="21"/>
      <c r="R78" s="21"/>
      <c r="S78" s="21"/>
      <c r="T78" s="21"/>
      <c r="U78" s="21"/>
      <c r="V78" s="21"/>
      <c r="W78" s="21"/>
      <c r="X78" s="21"/>
      <c r="Y78" s="21"/>
      <c r="Z78" s="21"/>
    </row>
    <row r="79" spans="1:26" x14ac:dyDescent="0.25">
      <c r="A79" s="21"/>
      <c r="B79" s="21"/>
      <c r="C79" s="21"/>
      <c r="D79" s="21"/>
      <c r="E79" s="21"/>
      <c r="F79" s="21"/>
      <c r="G79" s="21"/>
      <c r="H79" s="21"/>
      <c r="I79" s="21"/>
      <c r="J79" s="21"/>
      <c r="K79" s="21"/>
      <c r="L79" s="21"/>
      <c r="M79" s="21"/>
      <c r="N79" s="21"/>
      <c r="O79" s="21"/>
      <c r="P79" s="21"/>
      <c r="Q79" s="21"/>
      <c r="R79" s="21"/>
      <c r="S79" s="21"/>
      <c r="T79" s="21"/>
      <c r="U79" s="21"/>
      <c r="V79" s="21"/>
      <c r="W79" s="21"/>
      <c r="X79" s="21"/>
      <c r="Y79" s="21"/>
      <c r="Z79" s="21"/>
    </row>
    <row r="80" spans="1:26" x14ac:dyDescent="0.25">
      <c r="A80" s="21"/>
      <c r="B80" s="21"/>
      <c r="C80" s="21"/>
      <c r="D80" s="21"/>
      <c r="E80" s="21"/>
      <c r="F80" s="21"/>
      <c r="G80" s="21"/>
      <c r="H80" s="21"/>
      <c r="I80" s="21"/>
      <c r="J80" s="21"/>
      <c r="K80" s="21"/>
      <c r="L80" s="21"/>
      <c r="M80" s="21"/>
      <c r="N80" s="21"/>
      <c r="O80" s="21"/>
      <c r="P80" s="21"/>
      <c r="Q80" s="21"/>
      <c r="R80" s="21"/>
      <c r="S80" s="21"/>
      <c r="T80" s="21"/>
      <c r="U80" s="21"/>
      <c r="V80" s="21"/>
      <c r="W80" s="21"/>
      <c r="X80" s="21"/>
      <c r="Y80" s="21"/>
      <c r="Z80" s="21"/>
    </row>
    <row r="81" spans="1:26" x14ac:dyDescent="0.25">
      <c r="A81" s="21"/>
      <c r="B81" s="21"/>
      <c r="C81" s="21"/>
      <c r="D81" s="21"/>
      <c r="E81" s="21"/>
      <c r="F81" s="21"/>
      <c r="G81" s="21"/>
      <c r="H81" s="21"/>
      <c r="I81" s="21"/>
      <c r="J81" s="21"/>
      <c r="K81" s="21"/>
      <c r="L81" s="21"/>
      <c r="M81" s="21"/>
      <c r="N81" s="21"/>
      <c r="O81" s="21"/>
      <c r="P81" s="21"/>
      <c r="Q81" s="21"/>
      <c r="R81" s="21"/>
      <c r="S81" s="21"/>
      <c r="T81" s="21"/>
      <c r="U81" s="21"/>
      <c r="V81" s="21"/>
      <c r="W81" s="21"/>
      <c r="X81" s="21"/>
      <c r="Y81" s="21"/>
      <c r="Z81" s="21"/>
    </row>
    <row r="82" spans="1:26" x14ac:dyDescent="0.25">
      <c r="A82" s="21"/>
      <c r="B82" s="21"/>
      <c r="C82" s="21"/>
      <c r="D82" s="21"/>
      <c r="E82" s="21"/>
      <c r="F82" s="21"/>
      <c r="G82" s="21"/>
      <c r="H82" s="21"/>
      <c r="I82" s="21"/>
      <c r="J82" s="21"/>
      <c r="K82" s="21"/>
      <c r="L82" s="21"/>
      <c r="M82" s="21"/>
      <c r="N82" s="21"/>
      <c r="O82" s="21"/>
      <c r="P82" s="21"/>
      <c r="Q82" s="21"/>
      <c r="R82" s="21"/>
      <c r="S82" s="21"/>
      <c r="T82" s="21"/>
      <c r="U82" s="21"/>
      <c r="V82" s="21"/>
      <c r="W82" s="21"/>
      <c r="X82" s="21"/>
      <c r="Y82" s="21"/>
      <c r="Z82" s="21"/>
    </row>
    <row r="83" spans="1:26" x14ac:dyDescent="0.25">
      <c r="A83" s="21"/>
      <c r="B83" s="21"/>
      <c r="C83" s="21"/>
      <c r="D83" s="21"/>
      <c r="E83" s="21"/>
      <c r="F83" s="21"/>
      <c r="G83" s="21"/>
      <c r="H83" s="21"/>
      <c r="I83" s="21"/>
      <c r="J83" s="21"/>
      <c r="K83" s="21"/>
      <c r="L83" s="21"/>
      <c r="M83" s="21"/>
      <c r="N83" s="21"/>
      <c r="O83" s="21"/>
      <c r="P83" s="21"/>
      <c r="Q83" s="21"/>
      <c r="R83" s="21"/>
      <c r="S83" s="21"/>
      <c r="T83" s="21"/>
      <c r="U83" s="21"/>
      <c r="V83" s="21"/>
      <c r="W83" s="21"/>
      <c r="X83" s="21"/>
      <c r="Y83" s="21"/>
      <c r="Z83" s="21"/>
    </row>
    <row r="84" spans="1:26" x14ac:dyDescent="0.25">
      <c r="A84" s="21"/>
      <c r="B84" s="21"/>
      <c r="C84" s="21"/>
      <c r="D84" s="21"/>
      <c r="E84" s="21"/>
      <c r="F84" s="21"/>
      <c r="G84" s="21"/>
      <c r="H84" s="21"/>
      <c r="I84" s="21"/>
      <c r="J84" s="21"/>
      <c r="K84" s="21"/>
      <c r="L84" s="21"/>
      <c r="M84" s="21"/>
      <c r="N84" s="21"/>
      <c r="O84" s="21"/>
      <c r="P84" s="21"/>
      <c r="Q84" s="21"/>
      <c r="R84" s="21"/>
      <c r="S84" s="21"/>
      <c r="T84" s="21"/>
      <c r="U84" s="21"/>
      <c r="V84" s="21"/>
      <c r="W84" s="21"/>
      <c r="X84" s="21"/>
      <c r="Y84" s="21"/>
      <c r="Z84" s="21"/>
    </row>
    <row r="85" spans="1:26" x14ac:dyDescent="0.25">
      <c r="A85" s="21"/>
      <c r="B85" s="21"/>
      <c r="C85" s="21"/>
      <c r="D85" s="21"/>
      <c r="E85" s="21"/>
      <c r="F85" s="21"/>
      <c r="G85" s="21"/>
      <c r="H85" s="21"/>
      <c r="I85" s="21"/>
      <c r="J85" s="21"/>
      <c r="K85" s="21"/>
      <c r="L85" s="21"/>
      <c r="M85" s="21"/>
      <c r="N85" s="21"/>
      <c r="O85" s="21"/>
      <c r="P85" s="21"/>
      <c r="Q85" s="21"/>
      <c r="R85" s="21"/>
      <c r="S85" s="21"/>
      <c r="T85" s="21"/>
      <c r="U85" s="21"/>
      <c r="V85" s="21"/>
      <c r="W85" s="21"/>
      <c r="X85" s="21"/>
      <c r="Y85" s="21"/>
      <c r="Z85" s="21"/>
    </row>
    <row r="86" spans="1:26" x14ac:dyDescent="0.25">
      <c r="A86" s="21"/>
      <c r="B86" s="21"/>
      <c r="C86" s="21"/>
      <c r="D86" s="21"/>
      <c r="E86" s="21"/>
      <c r="F86" s="21"/>
      <c r="G86" s="21"/>
      <c r="H86" s="21"/>
      <c r="I86" s="21"/>
      <c r="J86" s="21"/>
      <c r="K86" s="21"/>
      <c r="L86" s="21"/>
      <c r="M86" s="21"/>
      <c r="N86" s="21"/>
      <c r="O86" s="21"/>
      <c r="P86" s="21"/>
      <c r="Q86" s="21"/>
      <c r="R86" s="21"/>
      <c r="S86" s="21"/>
      <c r="T86" s="21"/>
      <c r="U86" s="21"/>
      <c r="V86" s="21"/>
      <c r="W86" s="21"/>
      <c r="X86" s="21"/>
      <c r="Y86" s="21"/>
      <c r="Z86" s="21"/>
    </row>
    <row r="87" spans="1:26" x14ac:dyDescent="0.25">
      <c r="A87" s="21"/>
      <c r="B87" s="21"/>
      <c r="C87" s="21"/>
      <c r="D87" s="21"/>
      <c r="E87" s="21"/>
      <c r="F87" s="21"/>
      <c r="G87" s="21"/>
      <c r="H87" s="21"/>
      <c r="I87" s="21"/>
      <c r="J87" s="21"/>
      <c r="K87" s="21"/>
      <c r="L87" s="21"/>
      <c r="M87" s="21"/>
      <c r="N87" s="21"/>
      <c r="O87" s="21"/>
      <c r="P87" s="21"/>
      <c r="Q87" s="21"/>
      <c r="R87" s="21"/>
      <c r="S87" s="21"/>
      <c r="T87" s="21"/>
      <c r="U87" s="21"/>
      <c r="V87" s="21"/>
      <c r="W87" s="21"/>
      <c r="X87" s="21"/>
      <c r="Y87" s="21"/>
      <c r="Z87" s="21"/>
    </row>
    <row r="88" spans="1:26" x14ac:dyDescent="0.25">
      <c r="A88" s="21"/>
      <c r="B88" s="21"/>
      <c r="C88" s="21"/>
      <c r="D88" s="21"/>
      <c r="E88" s="21"/>
      <c r="F88" s="21"/>
      <c r="G88" s="21"/>
      <c r="H88" s="21"/>
      <c r="I88" s="21"/>
      <c r="J88" s="21"/>
      <c r="K88" s="21"/>
      <c r="L88" s="21"/>
      <c r="M88" s="21"/>
      <c r="N88" s="21"/>
      <c r="O88" s="21"/>
      <c r="P88" s="21"/>
      <c r="Q88" s="21"/>
      <c r="R88" s="21"/>
      <c r="S88" s="21"/>
      <c r="T88" s="21"/>
      <c r="U88" s="21"/>
      <c r="V88" s="21"/>
      <c r="W88" s="21"/>
      <c r="X88" s="21"/>
      <c r="Y88" s="21"/>
      <c r="Z88" s="21"/>
    </row>
    <row r="89" spans="1:26" x14ac:dyDescent="0.25">
      <c r="A89" s="21"/>
      <c r="B89" s="21"/>
      <c r="C89" s="21"/>
      <c r="D89" s="21"/>
      <c r="E89" s="21"/>
      <c r="F89" s="21"/>
      <c r="G89" s="21"/>
      <c r="H89" s="21"/>
      <c r="I89" s="21"/>
      <c r="J89" s="21"/>
      <c r="K89" s="21"/>
      <c r="L89" s="21"/>
      <c r="M89" s="21"/>
      <c r="N89" s="21"/>
      <c r="O89" s="21"/>
      <c r="P89" s="21"/>
      <c r="Q89" s="21"/>
      <c r="R89" s="21"/>
      <c r="S89" s="21"/>
      <c r="T89" s="21"/>
      <c r="U89" s="21"/>
      <c r="V89" s="21"/>
      <c r="W89" s="21"/>
      <c r="X89" s="21"/>
      <c r="Y89" s="21"/>
      <c r="Z89" s="21"/>
    </row>
    <row r="90" spans="1:26" x14ac:dyDescent="0.25">
      <c r="A90" s="21"/>
      <c r="B90" s="21"/>
      <c r="C90" s="21"/>
      <c r="D90" s="21"/>
      <c r="E90" s="21"/>
      <c r="F90" s="21"/>
      <c r="G90" s="21"/>
      <c r="H90" s="21"/>
      <c r="I90" s="21"/>
      <c r="J90" s="21"/>
      <c r="K90" s="21"/>
      <c r="L90" s="21"/>
      <c r="M90" s="21"/>
      <c r="N90" s="21"/>
      <c r="O90" s="21"/>
      <c r="P90" s="21"/>
      <c r="Q90" s="21"/>
      <c r="R90" s="21"/>
      <c r="S90" s="21"/>
      <c r="T90" s="21"/>
      <c r="U90" s="21"/>
      <c r="V90" s="21"/>
      <c r="W90" s="21"/>
      <c r="X90" s="21"/>
      <c r="Y90" s="21"/>
      <c r="Z90" s="21"/>
    </row>
    <row r="91" spans="1:26" x14ac:dyDescent="0.25">
      <c r="A91" s="21"/>
      <c r="B91" s="21"/>
      <c r="C91" s="21"/>
      <c r="D91" s="21"/>
      <c r="E91" s="21"/>
      <c r="F91" s="21"/>
      <c r="G91" s="21"/>
      <c r="H91" s="21"/>
      <c r="I91" s="21"/>
      <c r="J91" s="21"/>
      <c r="K91" s="21"/>
      <c r="L91" s="21"/>
      <c r="M91" s="21"/>
      <c r="N91" s="21"/>
      <c r="O91" s="21"/>
      <c r="P91" s="21"/>
      <c r="Q91" s="21"/>
      <c r="R91" s="21"/>
      <c r="S91" s="21"/>
      <c r="T91" s="21"/>
      <c r="U91" s="21"/>
      <c r="V91" s="21"/>
      <c r="W91" s="21"/>
      <c r="X91" s="21"/>
      <c r="Y91" s="21"/>
      <c r="Z91" s="21"/>
    </row>
    <row r="92" spans="1:26" x14ac:dyDescent="0.25">
      <c r="A92" s="21"/>
      <c r="B92" s="21"/>
      <c r="C92" s="21"/>
      <c r="D92" s="21"/>
      <c r="E92" s="21"/>
      <c r="F92" s="21"/>
      <c r="G92" s="21"/>
      <c r="H92" s="21"/>
      <c r="I92" s="21"/>
      <c r="J92" s="21"/>
      <c r="K92" s="21"/>
      <c r="L92" s="21"/>
      <c r="M92" s="21"/>
      <c r="N92" s="21"/>
      <c r="O92" s="21"/>
      <c r="P92" s="21"/>
      <c r="Q92" s="21"/>
      <c r="R92" s="21"/>
      <c r="S92" s="21"/>
      <c r="T92" s="21"/>
      <c r="U92" s="21"/>
      <c r="V92" s="21"/>
      <c r="W92" s="21"/>
      <c r="X92" s="21"/>
      <c r="Y92" s="21"/>
      <c r="Z92" s="21"/>
    </row>
    <row r="93" spans="1:26" x14ac:dyDescent="0.25">
      <c r="A93" s="21"/>
      <c r="B93" s="21"/>
      <c r="C93" s="21"/>
      <c r="D93" s="21"/>
      <c r="E93" s="21"/>
      <c r="F93" s="21"/>
      <c r="G93" s="21"/>
      <c r="H93" s="21"/>
      <c r="I93" s="21"/>
      <c r="J93" s="21"/>
      <c r="K93" s="21"/>
      <c r="L93" s="21"/>
      <c r="M93" s="21"/>
      <c r="N93" s="21"/>
      <c r="O93" s="21"/>
      <c r="P93" s="21"/>
      <c r="Q93" s="21"/>
      <c r="R93" s="21"/>
      <c r="S93" s="21"/>
      <c r="T93" s="21"/>
      <c r="U93" s="21"/>
      <c r="V93" s="21"/>
      <c r="W93" s="21"/>
      <c r="X93" s="21"/>
      <c r="Y93" s="21"/>
      <c r="Z93" s="21"/>
    </row>
    <row r="94" spans="1:26" x14ac:dyDescent="0.25">
      <c r="A94" s="21"/>
      <c r="B94" s="21"/>
      <c r="C94" s="21"/>
      <c r="D94" s="21"/>
      <c r="E94" s="21"/>
      <c r="F94" s="21"/>
      <c r="G94" s="21"/>
      <c r="H94" s="21"/>
      <c r="I94" s="21"/>
      <c r="J94" s="21"/>
      <c r="K94" s="21"/>
      <c r="L94" s="21"/>
      <c r="M94" s="21"/>
      <c r="N94" s="21"/>
      <c r="O94" s="21"/>
      <c r="P94" s="21"/>
      <c r="Q94" s="21"/>
      <c r="R94" s="21"/>
      <c r="S94" s="21"/>
      <c r="T94" s="21"/>
      <c r="U94" s="21"/>
      <c r="V94" s="21"/>
      <c r="W94" s="21"/>
      <c r="X94" s="21"/>
      <c r="Y94" s="21"/>
      <c r="Z94" s="21"/>
    </row>
    <row r="95" spans="1:26" x14ac:dyDescent="0.25">
      <c r="A95" s="21"/>
      <c r="B95" s="21"/>
      <c r="C95" s="21"/>
      <c r="D95" s="21"/>
      <c r="E95" s="21"/>
      <c r="F95" s="21"/>
      <c r="G95" s="21"/>
      <c r="H95" s="21"/>
      <c r="I95" s="21"/>
      <c r="J95" s="21"/>
      <c r="K95" s="21"/>
      <c r="L95" s="21"/>
      <c r="M95" s="21"/>
      <c r="N95" s="21"/>
      <c r="O95" s="21"/>
      <c r="P95" s="21"/>
      <c r="Q95" s="21"/>
      <c r="R95" s="21"/>
      <c r="S95" s="21"/>
      <c r="T95" s="21"/>
      <c r="U95" s="21"/>
      <c r="V95" s="21"/>
      <c r="W95" s="21"/>
      <c r="X95" s="21"/>
      <c r="Y95" s="21"/>
      <c r="Z95" s="21"/>
    </row>
    <row r="96" spans="1:26" x14ac:dyDescent="0.25">
      <c r="A96" s="21"/>
      <c r="B96" s="21"/>
      <c r="C96" s="21"/>
      <c r="D96" s="21"/>
      <c r="E96" s="21"/>
      <c r="F96" s="21"/>
      <c r="G96" s="21"/>
      <c r="H96" s="21"/>
      <c r="I96" s="21"/>
      <c r="J96" s="21"/>
      <c r="K96" s="21"/>
      <c r="L96" s="21"/>
      <c r="M96" s="21"/>
      <c r="N96" s="21"/>
      <c r="O96" s="21"/>
      <c r="P96" s="21"/>
      <c r="Q96" s="21"/>
      <c r="R96" s="21"/>
      <c r="S96" s="21"/>
      <c r="T96" s="21"/>
      <c r="U96" s="21"/>
      <c r="V96" s="21"/>
      <c r="W96" s="21"/>
      <c r="X96" s="21"/>
      <c r="Y96" s="21"/>
      <c r="Z96" s="21"/>
    </row>
    <row r="97" spans="1:26" x14ac:dyDescent="0.25">
      <c r="A97" s="21"/>
      <c r="B97" s="21"/>
      <c r="C97" s="21"/>
      <c r="D97" s="21"/>
      <c r="E97" s="21"/>
      <c r="F97" s="21"/>
      <c r="G97" s="21"/>
      <c r="H97" s="21"/>
      <c r="I97" s="21"/>
      <c r="J97" s="21"/>
      <c r="K97" s="21"/>
      <c r="L97" s="21"/>
      <c r="M97" s="21"/>
      <c r="N97" s="21"/>
      <c r="O97" s="21"/>
      <c r="P97" s="21"/>
      <c r="Q97" s="21"/>
      <c r="R97" s="21"/>
      <c r="S97" s="21"/>
      <c r="T97" s="21"/>
      <c r="U97" s="21"/>
      <c r="V97" s="21"/>
      <c r="W97" s="21"/>
      <c r="X97" s="21"/>
      <c r="Y97" s="21"/>
      <c r="Z97" s="21"/>
    </row>
    <row r="98" spans="1:26" x14ac:dyDescent="0.25">
      <c r="A98" s="21"/>
      <c r="B98" s="21"/>
      <c r="C98" s="21"/>
      <c r="D98" s="21"/>
      <c r="E98" s="21"/>
      <c r="F98" s="21"/>
      <c r="G98" s="21"/>
      <c r="H98" s="21"/>
      <c r="I98" s="21"/>
      <c r="J98" s="21"/>
      <c r="K98" s="21"/>
      <c r="L98" s="21"/>
      <c r="M98" s="21"/>
      <c r="N98" s="21"/>
      <c r="O98" s="21"/>
      <c r="P98" s="21"/>
      <c r="Q98" s="21"/>
      <c r="R98" s="21"/>
      <c r="S98" s="21"/>
      <c r="T98" s="21"/>
      <c r="U98" s="21"/>
      <c r="V98" s="21"/>
      <c r="W98" s="21"/>
      <c r="X98" s="21"/>
      <c r="Y98" s="21"/>
      <c r="Z98" s="21"/>
    </row>
    <row r="99" spans="1:26" x14ac:dyDescent="0.25">
      <c r="A99" s="21"/>
      <c r="B99" s="21"/>
      <c r="C99" s="21"/>
      <c r="D99" s="21"/>
      <c r="E99" s="21"/>
      <c r="F99" s="21"/>
      <c r="G99" s="21"/>
      <c r="H99" s="21"/>
      <c r="I99" s="21"/>
      <c r="J99" s="21"/>
      <c r="K99" s="21"/>
      <c r="L99" s="21"/>
      <c r="M99" s="21"/>
      <c r="N99" s="21"/>
      <c r="O99" s="21"/>
      <c r="P99" s="21"/>
      <c r="Q99" s="21"/>
      <c r="R99" s="21"/>
      <c r="S99" s="21"/>
      <c r="T99" s="21"/>
      <c r="U99" s="21"/>
      <c r="V99" s="21"/>
      <c r="W99" s="21"/>
      <c r="X99" s="21"/>
      <c r="Y99" s="21"/>
      <c r="Z99" s="21"/>
    </row>
    <row r="100" spans="1:26" x14ac:dyDescent="0.25">
      <c r="A100" s="21"/>
      <c r="B100" s="21"/>
      <c r="C100" s="21"/>
      <c r="D100" s="21"/>
      <c r="E100" s="21"/>
      <c r="F100" s="21"/>
      <c r="G100" s="21"/>
      <c r="H100" s="21"/>
      <c r="I100" s="21"/>
      <c r="J100" s="21"/>
      <c r="K100" s="21"/>
      <c r="L100" s="21"/>
      <c r="M100" s="21"/>
      <c r="N100" s="21"/>
      <c r="O100" s="21"/>
      <c r="P100" s="21"/>
      <c r="Q100" s="21"/>
      <c r="R100" s="21"/>
      <c r="S100" s="21"/>
      <c r="T100" s="21"/>
      <c r="U100" s="21"/>
      <c r="V100" s="21"/>
      <c r="W100" s="21"/>
      <c r="X100" s="21"/>
      <c r="Y100" s="21"/>
      <c r="Z100" s="21"/>
    </row>
  </sheetData>
  <mergeCells count="1">
    <mergeCell ref="A1:H1"/>
  </mergeCells>
  <conditionalFormatting sqref="A3:H18">
    <cfRule type="expression" dxfId="18" priority="1">
      <formula>ISNUMBER(SEARCH("Critical",H3))</formula>
    </cfRule>
    <cfRule type="expression" dxfId="17" priority="2">
      <formula>ISNUMBER(SEARCH("correction",H3))</formula>
    </cfRule>
  </conditionalFormatting>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Z100"/>
  <sheetViews>
    <sheetView workbookViewId="0">
      <selection sqref="A1:G1"/>
    </sheetView>
  </sheetViews>
  <sheetFormatPr defaultRowHeight="15" x14ac:dyDescent="0.25"/>
  <cols>
    <col min="1" max="1" width="10" customWidth="1"/>
    <col min="2" max="2" width="34" customWidth="1"/>
    <col min="3" max="3" width="20" customWidth="1"/>
    <col min="4" max="4" width="62" customWidth="1"/>
    <col min="5" max="5" width="42" customWidth="1"/>
    <col min="6" max="6" width="34" customWidth="1"/>
    <col min="7" max="7" width="18" customWidth="1"/>
  </cols>
  <sheetData>
    <row r="1" spans="1:26" ht="19.5" x14ac:dyDescent="0.25">
      <c r="A1" s="134" t="s">
        <v>2770</v>
      </c>
      <c r="B1" s="134"/>
      <c r="C1" s="134"/>
      <c r="D1" s="134"/>
      <c r="E1" s="134"/>
      <c r="F1" s="134"/>
      <c r="G1" s="134"/>
      <c r="H1" s="21"/>
      <c r="I1" s="21"/>
      <c r="J1" s="21"/>
      <c r="K1" s="21"/>
      <c r="L1" s="21"/>
      <c r="M1" s="21"/>
      <c r="N1" s="21"/>
      <c r="O1" s="21"/>
      <c r="P1" s="21"/>
      <c r="Q1" s="21"/>
      <c r="R1" s="21"/>
      <c r="S1" s="21"/>
      <c r="T1" s="21"/>
      <c r="U1" s="21"/>
      <c r="V1" s="21"/>
      <c r="W1" s="21"/>
      <c r="X1" s="21"/>
      <c r="Y1" s="21"/>
      <c r="Z1" s="21"/>
    </row>
    <row r="2" spans="1:26" x14ac:dyDescent="0.25">
      <c r="A2" s="108" t="s">
        <v>2771</v>
      </c>
      <c r="B2" s="108" t="s">
        <v>2772</v>
      </c>
      <c r="C2" s="108" t="s">
        <v>2576</v>
      </c>
      <c r="D2" s="108" t="s">
        <v>2773</v>
      </c>
      <c r="E2" s="108" t="s">
        <v>2774</v>
      </c>
      <c r="F2" s="108" t="s">
        <v>2290</v>
      </c>
      <c r="G2" s="108" t="s">
        <v>2287</v>
      </c>
      <c r="H2" s="21"/>
      <c r="I2" s="21"/>
      <c r="J2" s="21"/>
      <c r="K2" s="21"/>
      <c r="L2" s="21"/>
      <c r="M2" s="21"/>
      <c r="N2" s="21"/>
      <c r="O2" s="21"/>
      <c r="P2" s="21"/>
      <c r="Q2" s="21"/>
      <c r="R2" s="21"/>
      <c r="S2" s="21"/>
      <c r="T2" s="21"/>
      <c r="U2" s="21"/>
      <c r="V2" s="21"/>
      <c r="W2" s="21"/>
      <c r="X2" s="21"/>
      <c r="Y2" s="21"/>
      <c r="Z2" s="21"/>
    </row>
    <row r="3" spans="1:26" ht="45" x14ac:dyDescent="0.25">
      <c r="A3" s="7" t="s">
        <v>2775</v>
      </c>
      <c r="B3" s="7" t="s">
        <v>2776</v>
      </c>
      <c r="C3" s="7" t="s">
        <v>2777</v>
      </c>
      <c r="D3" s="7" t="s">
        <v>2778</v>
      </c>
      <c r="E3" s="7" t="s">
        <v>2779</v>
      </c>
      <c r="F3" s="7" t="s">
        <v>2780</v>
      </c>
      <c r="G3" s="7" t="s">
        <v>67</v>
      </c>
      <c r="H3" s="21"/>
      <c r="I3" s="21"/>
      <c r="J3" s="21"/>
      <c r="K3" s="21"/>
      <c r="L3" s="21"/>
      <c r="M3" s="21"/>
      <c r="N3" s="21"/>
      <c r="O3" s="21"/>
      <c r="P3" s="21"/>
      <c r="Q3" s="21"/>
      <c r="R3" s="21"/>
      <c r="S3" s="21"/>
      <c r="T3" s="21"/>
      <c r="U3" s="21"/>
      <c r="V3" s="21"/>
      <c r="W3" s="21"/>
      <c r="X3" s="21"/>
      <c r="Y3" s="21"/>
      <c r="Z3" s="21"/>
    </row>
    <row r="4" spans="1:26" ht="30" x14ac:dyDescent="0.25">
      <c r="A4" s="7" t="s">
        <v>2781</v>
      </c>
      <c r="B4" s="7" t="s">
        <v>2782</v>
      </c>
      <c r="C4" s="7" t="s">
        <v>2783</v>
      </c>
      <c r="D4" s="7" t="s">
        <v>2757</v>
      </c>
      <c r="E4" s="7" t="s">
        <v>2784</v>
      </c>
      <c r="F4" s="7" t="s">
        <v>2785</v>
      </c>
      <c r="G4" s="7" t="s">
        <v>67</v>
      </c>
      <c r="H4" s="21"/>
      <c r="I4" s="21"/>
      <c r="J4" s="21"/>
      <c r="K4" s="21"/>
      <c r="L4" s="21"/>
      <c r="M4" s="21"/>
      <c r="N4" s="21"/>
      <c r="O4" s="21"/>
      <c r="P4" s="21"/>
      <c r="Q4" s="21"/>
      <c r="R4" s="21"/>
      <c r="S4" s="21"/>
      <c r="T4" s="21"/>
      <c r="U4" s="21"/>
      <c r="V4" s="21"/>
      <c r="W4" s="21"/>
      <c r="X4" s="21"/>
      <c r="Y4" s="21"/>
      <c r="Z4" s="21"/>
    </row>
    <row r="5" spans="1:26" ht="45" x14ac:dyDescent="0.25">
      <c r="A5" s="7" t="s">
        <v>2786</v>
      </c>
      <c r="B5" s="7" t="s">
        <v>2787</v>
      </c>
      <c r="C5" s="7" t="s">
        <v>2788</v>
      </c>
      <c r="D5" s="7" t="s">
        <v>2789</v>
      </c>
      <c r="E5" s="7" t="s">
        <v>2790</v>
      </c>
      <c r="F5" s="7" t="s">
        <v>2791</v>
      </c>
      <c r="G5" s="7" t="s">
        <v>67</v>
      </c>
      <c r="H5" s="21"/>
      <c r="I5" s="21"/>
      <c r="J5" s="21"/>
      <c r="K5" s="21"/>
      <c r="L5" s="21"/>
      <c r="M5" s="21"/>
      <c r="N5" s="21"/>
      <c r="O5" s="21"/>
      <c r="P5" s="21"/>
      <c r="Q5" s="21"/>
      <c r="R5" s="21"/>
      <c r="S5" s="21"/>
      <c r="T5" s="21"/>
      <c r="U5" s="21"/>
      <c r="V5" s="21"/>
      <c r="W5" s="21"/>
      <c r="X5" s="21"/>
      <c r="Y5" s="21"/>
      <c r="Z5" s="21"/>
    </row>
    <row r="6" spans="1:26" ht="30" x14ac:dyDescent="0.25">
      <c r="A6" s="7" t="s">
        <v>2792</v>
      </c>
      <c r="B6" s="7" t="s">
        <v>2793</v>
      </c>
      <c r="C6" s="7" t="s">
        <v>2777</v>
      </c>
      <c r="D6" s="7" t="s">
        <v>2794</v>
      </c>
      <c r="E6" s="7" t="s">
        <v>2795</v>
      </c>
      <c r="F6" s="7" t="s">
        <v>2796</v>
      </c>
      <c r="G6" s="7" t="s">
        <v>2797</v>
      </c>
      <c r="H6" s="21"/>
      <c r="I6" s="21"/>
      <c r="J6" s="21"/>
      <c r="K6" s="21"/>
      <c r="L6" s="21"/>
      <c r="M6" s="21"/>
      <c r="N6" s="21"/>
      <c r="O6" s="21"/>
      <c r="P6" s="21"/>
      <c r="Q6" s="21"/>
      <c r="R6" s="21"/>
      <c r="S6" s="21"/>
      <c r="T6" s="21"/>
      <c r="U6" s="21"/>
      <c r="V6" s="21"/>
      <c r="W6" s="21"/>
      <c r="X6" s="21"/>
      <c r="Y6" s="21"/>
      <c r="Z6" s="21"/>
    </row>
    <row r="7" spans="1:26" ht="30" x14ac:dyDescent="0.25">
      <c r="A7" s="7" t="s">
        <v>2798</v>
      </c>
      <c r="B7" s="7" t="s">
        <v>2799</v>
      </c>
      <c r="C7" s="7" t="s">
        <v>2783</v>
      </c>
      <c r="D7" s="7" t="s">
        <v>2800</v>
      </c>
      <c r="E7" s="7" t="s">
        <v>2801</v>
      </c>
      <c r="F7" s="7" t="s">
        <v>2802</v>
      </c>
      <c r="G7" s="7" t="s">
        <v>67</v>
      </c>
      <c r="H7" s="21"/>
      <c r="I7" s="21"/>
      <c r="J7" s="21"/>
      <c r="K7" s="21"/>
      <c r="L7" s="21"/>
      <c r="M7" s="21"/>
      <c r="N7" s="21"/>
      <c r="O7" s="21"/>
      <c r="P7" s="21"/>
      <c r="Q7" s="21"/>
      <c r="R7" s="21"/>
      <c r="S7" s="21"/>
      <c r="T7" s="21"/>
      <c r="U7" s="21"/>
      <c r="V7" s="21"/>
      <c r="W7" s="21"/>
      <c r="X7" s="21"/>
      <c r="Y7" s="21"/>
      <c r="Z7" s="21"/>
    </row>
    <row r="8" spans="1:26" ht="30" x14ac:dyDescent="0.25">
      <c r="A8" s="7" t="s">
        <v>2803</v>
      </c>
      <c r="B8" s="7" t="s">
        <v>2804</v>
      </c>
      <c r="C8" s="7" t="s">
        <v>2805</v>
      </c>
      <c r="D8" s="7" t="s">
        <v>2806</v>
      </c>
      <c r="E8" s="7" t="s">
        <v>2807</v>
      </c>
      <c r="F8" s="7" t="s">
        <v>2808</v>
      </c>
      <c r="G8" s="7" t="s">
        <v>68</v>
      </c>
      <c r="H8" s="21"/>
      <c r="I8" s="21"/>
      <c r="J8" s="21"/>
      <c r="K8" s="21"/>
      <c r="L8" s="21"/>
      <c r="M8" s="21"/>
      <c r="N8" s="21"/>
      <c r="O8" s="21"/>
      <c r="P8" s="21"/>
      <c r="Q8" s="21"/>
      <c r="R8" s="21"/>
      <c r="S8" s="21"/>
      <c r="T8" s="21"/>
      <c r="U8" s="21"/>
      <c r="V8" s="21"/>
      <c r="W8" s="21"/>
      <c r="X8" s="21"/>
      <c r="Y8" s="21"/>
      <c r="Z8" s="21"/>
    </row>
    <row r="9" spans="1:26" ht="30" x14ac:dyDescent="0.25">
      <c r="A9" s="7" t="s">
        <v>2809</v>
      </c>
      <c r="B9" s="7" t="s">
        <v>2810</v>
      </c>
      <c r="C9" s="7" t="s">
        <v>2811</v>
      </c>
      <c r="D9" s="7" t="s">
        <v>2812</v>
      </c>
      <c r="E9" s="7" t="s">
        <v>2813</v>
      </c>
      <c r="F9" s="7" t="s">
        <v>2814</v>
      </c>
      <c r="G9" s="7" t="s">
        <v>67</v>
      </c>
      <c r="H9" s="21"/>
      <c r="I9" s="21"/>
      <c r="J9" s="21"/>
      <c r="K9" s="21"/>
      <c r="L9" s="21"/>
      <c r="M9" s="21"/>
      <c r="N9" s="21"/>
      <c r="O9" s="21"/>
      <c r="P9" s="21"/>
      <c r="Q9" s="21"/>
      <c r="R9" s="21"/>
      <c r="S9" s="21"/>
      <c r="T9" s="21"/>
      <c r="U9" s="21"/>
      <c r="V9" s="21"/>
      <c r="W9" s="21"/>
      <c r="X9" s="21"/>
      <c r="Y9" s="21"/>
      <c r="Z9" s="21"/>
    </row>
    <row r="10" spans="1:26" ht="30" x14ac:dyDescent="0.25">
      <c r="A10" s="7" t="s">
        <v>2815</v>
      </c>
      <c r="B10" s="7" t="s">
        <v>2816</v>
      </c>
      <c r="C10" s="7" t="s">
        <v>2817</v>
      </c>
      <c r="D10" s="7" t="s">
        <v>2818</v>
      </c>
      <c r="E10" s="7" t="s">
        <v>2819</v>
      </c>
      <c r="F10" s="7" t="s">
        <v>2820</v>
      </c>
      <c r="G10" s="7" t="s">
        <v>68</v>
      </c>
      <c r="H10" s="21"/>
      <c r="I10" s="21"/>
      <c r="J10" s="21"/>
      <c r="K10" s="21"/>
      <c r="L10" s="21"/>
      <c r="M10" s="21"/>
      <c r="N10" s="21"/>
      <c r="O10" s="21"/>
      <c r="P10" s="21"/>
      <c r="Q10" s="21"/>
      <c r="R10" s="21"/>
      <c r="S10" s="21"/>
      <c r="T10" s="21"/>
      <c r="U10" s="21"/>
      <c r="V10" s="21"/>
      <c r="W10" s="21"/>
      <c r="X10" s="21"/>
      <c r="Y10" s="21"/>
      <c r="Z10" s="21"/>
    </row>
    <row r="11" spans="1:26" ht="30" x14ac:dyDescent="0.25">
      <c r="A11" s="7" t="s">
        <v>2821</v>
      </c>
      <c r="B11" s="7" t="s">
        <v>2822</v>
      </c>
      <c r="C11" s="7" t="s">
        <v>2783</v>
      </c>
      <c r="D11" s="7" t="s">
        <v>2823</v>
      </c>
      <c r="E11" s="7" t="s">
        <v>2824</v>
      </c>
      <c r="F11" s="7" t="s">
        <v>2825</v>
      </c>
      <c r="G11" s="7" t="s">
        <v>67</v>
      </c>
      <c r="H11" s="21"/>
      <c r="I11" s="21"/>
      <c r="J11" s="21"/>
      <c r="K11" s="21"/>
      <c r="L11" s="21"/>
      <c r="M11" s="21"/>
      <c r="N11" s="21"/>
      <c r="O11" s="21"/>
      <c r="P11" s="21"/>
      <c r="Q11" s="21"/>
      <c r="R11" s="21"/>
      <c r="S11" s="21"/>
      <c r="T11" s="21"/>
      <c r="U11" s="21"/>
      <c r="V11" s="21"/>
      <c r="W11" s="21"/>
      <c r="X11" s="21"/>
      <c r="Y11" s="21"/>
      <c r="Z11" s="21"/>
    </row>
    <row r="12" spans="1:26" ht="45" x14ac:dyDescent="0.25">
      <c r="A12" s="7" t="s">
        <v>2826</v>
      </c>
      <c r="B12" s="7" t="s">
        <v>2827</v>
      </c>
      <c r="C12" s="7" t="s">
        <v>2828</v>
      </c>
      <c r="D12" s="7" t="s">
        <v>2829</v>
      </c>
      <c r="E12" s="7" t="s">
        <v>2830</v>
      </c>
      <c r="F12" s="7" t="s">
        <v>2831</v>
      </c>
      <c r="G12" s="7" t="s">
        <v>67</v>
      </c>
      <c r="H12" s="21"/>
      <c r="I12" s="21"/>
      <c r="J12" s="21"/>
      <c r="K12" s="21"/>
      <c r="L12" s="21"/>
      <c r="M12" s="21"/>
      <c r="N12" s="21"/>
      <c r="O12" s="21"/>
      <c r="P12" s="21"/>
      <c r="Q12" s="21"/>
      <c r="R12" s="21"/>
      <c r="S12" s="21"/>
      <c r="T12" s="21"/>
      <c r="U12" s="21"/>
      <c r="V12" s="21"/>
      <c r="W12" s="21"/>
      <c r="X12" s="21"/>
      <c r="Y12" s="21"/>
      <c r="Z12" s="21"/>
    </row>
    <row r="13" spans="1:26" ht="30" x14ac:dyDescent="0.25">
      <c r="A13" s="7" t="s">
        <v>2832</v>
      </c>
      <c r="B13" s="7" t="s">
        <v>2833</v>
      </c>
      <c r="C13" s="7" t="s">
        <v>2834</v>
      </c>
      <c r="D13" s="7" t="s">
        <v>2835</v>
      </c>
      <c r="E13" s="7" t="s">
        <v>2836</v>
      </c>
      <c r="F13" s="7" t="s">
        <v>2837</v>
      </c>
      <c r="G13" s="7" t="s">
        <v>67</v>
      </c>
      <c r="H13" s="21"/>
      <c r="I13" s="21"/>
      <c r="J13" s="21"/>
      <c r="K13" s="21"/>
      <c r="L13" s="21"/>
      <c r="M13" s="21"/>
      <c r="N13" s="21"/>
      <c r="O13" s="21"/>
      <c r="P13" s="21"/>
      <c r="Q13" s="21"/>
      <c r="R13" s="21"/>
      <c r="S13" s="21"/>
      <c r="T13" s="21"/>
      <c r="U13" s="21"/>
      <c r="V13" s="21"/>
      <c r="W13" s="21"/>
      <c r="X13" s="21"/>
      <c r="Y13" s="21"/>
      <c r="Z13" s="21"/>
    </row>
    <row r="14" spans="1:26" ht="45" x14ac:dyDescent="0.25">
      <c r="A14" s="7" t="s">
        <v>2838</v>
      </c>
      <c r="B14" s="7" t="s">
        <v>2839</v>
      </c>
      <c r="C14" s="7" t="s">
        <v>2840</v>
      </c>
      <c r="D14" s="7" t="s">
        <v>2841</v>
      </c>
      <c r="E14" s="7" t="s">
        <v>2842</v>
      </c>
      <c r="F14" s="7" t="s">
        <v>2843</v>
      </c>
      <c r="G14" s="7" t="s">
        <v>67</v>
      </c>
      <c r="H14" s="21"/>
      <c r="I14" s="21"/>
      <c r="J14" s="21"/>
      <c r="K14" s="21"/>
      <c r="L14" s="21"/>
      <c r="M14" s="21"/>
      <c r="N14" s="21"/>
      <c r="O14" s="21"/>
      <c r="P14" s="21"/>
      <c r="Q14" s="21"/>
      <c r="R14" s="21"/>
      <c r="S14" s="21"/>
      <c r="T14" s="21"/>
      <c r="U14" s="21"/>
      <c r="V14" s="21"/>
      <c r="W14" s="21"/>
      <c r="X14" s="21"/>
      <c r="Y14" s="21"/>
      <c r="Z14" s="21"/>
    </row>
    <row r="15" spans="1:26" ht="45" x14ac:dyDescent="0.25">
      <c r="A15" s="7" t="s">
        <v>2844</v>
      </c>
      <c r="B15" s="7" t="s">
        <v>2845</v>
      </c>
      <c r="C15" s="7" t="s">
        <v>2846</v>
      </c>
      <c r="D15" s="7" t="s">
        <v>2847</v>
      </c>
      <c r="E15" s="7" t="s">
        <v>2848</v>
      </c>
      <c r="F15" s="7" t="s">
        <v>2849</v>
      </c>
      <c r="G15" s="7" t="s">
        <v>67</v>
      </c>
      <c r="H15" s="21"/>
      <c r="I15" s="21"/>
      <c r="J15" s="21"/>
      <c r="K15" s="21"/>
      <c r="L15" s="21"/>
      <c r="M15" s="21"/>
      <c r="N15" s="21"/>
      <c r="O15" s="21"/>
      <c r="P15" s="21"/>
      <c r="Q15" s="21"/>
      <c r="R15" s="21"/>
      <c r="S15" s="21"/>
      <c r="T15" s="21"/>
      <c r="U15" s="21"/>
      <c r="V15" s="21"/>
      <c r="W15" s="21"/>
      <c r="X15" s="21"/>
      <c r="Y15" s="21"/>
      <c r="Z15" s="21"/>
    </row>
    <row r="16" spans="1:26" ht="45" x14ac:dyDescent="0.25">
      <c r="A16" s="7" t="s">
        <v>2850</v>
      </c>
      <c r="B16" s="7" t="s">
        <v>2851</v>
      </c>
      <c r="C16" s="7" t="s">
        <v>2852</v>
      </c>
      <c r="D16" s="7" t="s">
        <v>2853</v>
      </c>
      <c r="E16" s="7" t="s">
        <v>2854</v>
      </c>
      <c r="F16" s="7" t="s">
        <v>2855</v>
      </c>
      <c r="G16" s="7" t="s">
        <v>67</v>
      </c>
      <c r="H16" s="21"/>
      <c r="I16" s="21"/>
      <c r="J16" s="21"/>
      <c r="K16" s="21"/>
      <c r="L16" s="21"/>
      <c r="M16" s="21"/>
      <c r="N16" s="21"/>
      <c r="O16" s="21"/>
      <c r="P16" s="21"/>
      <c r="Q16" s="21"/>
      <c r="R16" s="21"/>
      <c r="S16" s="21"/>
      <c r="T16" s="21"/>
      <c r="U16" s="21"/>
      <c r="V16" s="21"/>
      <c r="W16" s="21"/>
      <c r="X16" s="21"/>
      <c r="Y16" s="21"/>
      <c r="Z16" s="21"/>
    </row>
    <row r="17" spans="1:26" ht="45" x14ac:dyDescent="0.25">
      <c r="A17" s="7" t="s">
        <v>2856</v>
      </c>
      <c r="B17" s="7" t="s">
        <v>2857</v>
      </c>
      <c r="C17" s="7" t="s">
        <v>2858</v>
      </c>
      <c r="D17" s="7" t="s">
        <v>2859</v>
      </c>
      <c r="E17" s="7" t="s">
        <v>2860</v>
      </c>
      <c r="F17" s="7" t="s">
        <v>2861</v>
      </c>
      <c r="G17" s="7" t="s">
        <v>67</v>
      </c>
      <c r="H17" s="21"/>
      <c r="I17" s="21"/>
      <c r="J17" s="21"/>
      <c r="K17" s="21"/>
      <c r="L17" s="21"/>
      <c r="M17" s="21"/>
      <c r="N17" s="21"/>
      <c r="O17" s="21"/>
      <c r="P17" s="21"/>
      <c r="Q17" s="21"/>
      <c r="R17" s="21"/>
      <c r="S17" s="21"/>
      <c r="T17" s="21"/>
      <c r="U17" s="21"/>
      <c r="V17" s="21"/>
      <c r="W17" s="21"/>
      <c r="X17" s="21"/>
      <c r="Y17" s="21"/>
      <c r="Z17" s="21"/>
    </row>
    <row r="18" spans="1:26" ht="45" x14ac:dyDescent="0.25">
      <c r="A18" s="7" t="s">
        <v>2862</v>
      </c>
      <c r="B18" s="7" t="s">
        <v>2863</v>
      </c>
      <c r="C18" s="7" t="s">
        <v>2864</v>
      </c>
      <c r="D18" s="7" t="s">
        <v>2865</v>
      </c>
      <c r="E18" s="7" t="s">
        <v>2866</v>
      </c>
      <c r="F18" s="7" t="s">
        <v>2867</v>
      </c>
      <c r="G18" s="7" t="s">
        <v>67</v>
      </c>
      <c r="H18" s="21"/>
      <c r="I18" s="21"/>
      <c r="J18" s="21"/>
      <c r="K18" s="21"/>
      <c r="L18" s="21"/>
      <c r="M18" s="21"/>
      <c r="N18" s="21"/>
      <c r="O18" s="21"/>
      <c r="P18" s="21"/>
      <c r="Q18" s="21"/>
      <c r="R18" s="21"/>
      <c r="S18" s="21"/>
      <c r="T18" s="21"/>
      <c r="U18" s="21"/>
      <c r="V18" s="21"/>
      <c r="W18" s="21"/>
      <c r="X18" s="21"/>
      <c r="Y18" s="21"/>
      <c r="Z18" s="21"/>
    </row>
    <row r="19" spans="1:26" x14ac:dyDescent="0.25">
      <c r="A19" s="21"/>
      <c r="B19" s="21"/>
      <c r="C19" s="21"/>
      <c r="D19" s="21"/>
      <c r="E19" s="21"/>
      <c r="F19" s="21"/>
      <c r="G19" s="21"/>
      <c r="H19" s="21"/>
      <c r="I19" s="21"/>
      <c r="J19" s="21"/>
      <c r="K19" s="21"/>
      <c r="L19" s="21"/>
      <c r="M19" s="21"/>
      <c r="N19" s="21"/>
      <c r="O19" s="21"/>
      <c r="P19" s="21"/>
      <c r="Q19" s="21"/>
      <c r="R19" s="21"/>
      <c r="S19" s="21"/>
      <c r="T19" s="21"/>
      <c r="U19" s="21"/>
      <c r="V19" s="21"/>
      <c r="W19" s="21"/>
      <c r="X19" s="21"/>
      <c r="Y19" s="21"/>
      <c r="Z19" s="21"/>
    </row>
    <row r="20" spans="1:26" x14ac:dyDescent="0.25">
      <c r="A20" s="21"/>
      <c r="B20" s="21"/>
      <c r="C20" s="21"/>
      <c r="D20" s="21"/>
      <c r="E20" s="21"/>
      <c r="F20" s="21"/>
      <c r="G20" s="21"/>
      <c r="H20" s="21"/>
      <c r="I20" s="21"/>
      <c r="J20" s="21"/>
      <c r="K20" s="21"/>
      <c r="L20" s="21"/>
      <c r="M20" s="21"/>
      <c r="N20" s="21"/>
      <c r="O20" s="21"/>
      <c r="P20" s="21"/>
      <c r="Q20" s="21"/>
      <c r="R20" s="21"/>
      <c r="S20" s="21"/>
      <c r="T20" s="21"/>
      <c r="U20" s="21"/>
      <c r="V20" s="21"/>
      <c r="W20" s="21"/>
      <c r="X20" s="21"/>
      <c r="Y20" s="21"/>
      <c r="Z20" s="21"/>
    </row>
    <row r="21" spans="1:26" x14ac:dyDescent="0.25">
      <c r="A21" s="21"/>
      <c r="B21" s="21"/>
      <c r="C21" s="21"/>
      <c r="D21" s="21"/>
      <c r="E21" s="21"/>
      <c r="F21" s="21"/>
      <c r="G21" s="21"/>
      <c r="H21" s="21"/>
      <c r="I21" s="21"/>
      <c r="J21" s="21"/>
      <c r="K21" s="21"/>
      <c r="L21" s="21"/>
      <c r="M21" s="21"/>
      <c r="N21" s="21"/>
      <c r="O21" s="21"/>
      <c r="P21" s="21"/>
      <c r="Q21" s="21"/>
      <c r="R21" s="21"/>
      <c r="S21" s="21"/>
      <c r="T21" s="21"/>
      <c r="U21" s="21"/>
      <c r="V21" s="21"/>
      <c r="W21" s="21"/>
      <c r="X21" s="21"/>
      <c r="Y21" s="21"/>
      <c r="Z21" s="21"/>
    </row>
    <row r="22" spans="1:26" x14ac:dyDescent="0.25">
      <c r="A22" s="21"/>
      <c r="B22" s="21"/>
      <c r="C22" s="21"/>
      <c r="D22" s="21"/>
      <c r="E22" s="21"/>
      <c r="F22" s="21"/>
      <c r="G22" s="21"/>
      <c r="H22" s="21"/>
      <c r="I22" s="21"/>
      <c r="J22" s="21"/>
      <c r="K22" s="21"/>
      <c r="L22" s="21"/>
      <c r="M22" s="21"/>
      <c r="N22" s="21"/>
      <c r="O22" s="21"/>
      <c r="P22" s="21"/>
      <c r="Q22" s="21"/>
      <c r="R22" s="21"/>
      <c r="S22" s="21"/>
      <c r="T22" s="21"/>
      <c r="U22" s="21"/>
      <c r="V22" s="21"/>
      <c r="W22" s="21"/>
      <c r="X22" s="21"/>
      <c r="Y22" s="21"/>
      <c r="Z22" s="21"/>
    </row>
    <row r="23" spans="1:26" x14ac:dyDescent="0.25">
      <c r="A23" s="21"/>
      <c r="B23" s="21"/>
      <c r="C23" s="21"/>
      <c r="D23" s="21"/>
      <c r="E23" s="21"/>
      <c r="F23" s="21"/>
      <c r="G23" s="21"/>
      <c r="H23" s="21"/>
      <c r="I23" s="21"/>
      <c r="J23" s="21"/>
      <c r="K23" s="21"/>
      <c r="L23" s="21"/>
      <c r="M23" s="21"/>
      <c r="N23" s="21"/>
      <c r="O23" s="21"/>
      <c r="P23" s="21"/>
      <c r="Q23" s="21"/>
      <c r="R23" s="21"/>
      <c r="S23" s="21"/>
      <c r="T23" s="21"/>
      <c r="U23" s="21"/>
      <c r="V23" s="21"/>
      <c r="W23" s="21"/>
      <c r="X23" s="21"/>
      <c r="Y23" s="21"/>
      <c r="Z23" s="21"/>
    </row>
    <row r="24" spans="1:26" x14ac:dyDescent="0.25">
      <c r="A24" s="21"/>
      <c r="B24" s="21"/>
      <c r="C24" s="21"/>
      <c r="D24" s="21"/>
      <c r="E24" s="21"/>
      <c r="F24" s="21"/>
      <c r="G24" s="21"/>
      <c r="H24" s="21"/>
      <c r="I24" s="21"/>
      <c r="J24" s="21"/>
      <c r="K24" s="21"/>
      <c r="L24" s="21"/>
      <c r="M24" s="21"/>
      <c r="N24" s="21"/>
      <c r="O24" s="21"/>
      <c r="P24" s="21"/>
      <c r="Q24" s="21"/>
      <c r="R24" s="21"/>
      <c r="S24" s="21"/>
      <c r="T24" s="21"/>
      <c r="U24" s="21"/>
      <c r="V24" s="21"/>
      <c r="W24" s="21"/>
      <c r="X24" s="21"/>
      <c r="Y24" s="21"/>
      <c r="Z24" s="21"/>
    </row>
    <row r="25" spans="1:26" x14ac:dyDescent="0.25">
      <c r="A25" s="21"/>
      <c r="B25" s="21"/>
      <c r="C25" s="21"/>
      <c r="D25" s="21"/>
      <c r="E25" s="21"/>
      <c r="F25" s="21"/>
      <c r="G25" s="21"/>
      <c r="H25" s="21"/>
      <c r="I25" s="21"/>
      <c r="J25" s="21"/>
      <c r="K25" s="21"/>
      <c r="L25" s="21"/>
      <c r="M25" s="21"/>
      <c r="N25" s="21"/>
      <c r="O25" s="21"/>
      <c r="P25" s="21"/>
      <c r="Q25" s="21"/>
      <c r="R25" s="21"/>
      <c r="S25" s="21"/>
      <c r="T25" s="21"/>
      <c r="U25" s="21"/>
      <c r="V25" s="21"/>
      <c r="W25" s="21"/>
      <c r="X25" s="21"/>
      <c r="Y25" s="21"/>
      <c r="Z25" s="21"/>
    </row>
    <row r="26" spans="1:26" x14ac:dyDescent="0.25">
      <c r="A26" s="21"/>
      <c r="B26" s="21"/>
      <c r="C26" s="21"/>
      <c r="D26" s="21"/>
      <c r="E26" s="21"/>
      <c r="F26" s="21"/>
      <c r="G26" s="21"/>
      <c r="H26" s="21"/>
      <c r="I26" s="21"/>
      <c r="J26" s="21"/>
      <c r="K26" s="21"/>
      <c r="L26" s="21"/>
      <c r="M26" s="21"/>
      <c r="N26" s="21"/>
      <c r="O26" s="21"/>
      <c r="P26" s="21"/>
      <c r="Q26" s="21"/>
      <c r="R26" s="21"/>
      <c r="S26" s="21"/>
      <c r="T26" s="21"/>
      <c r="U26" s="21"/>
      <c r="V26" s="21"/>
      <c r="W26" s="21"/>
      <c r="X26" s="21"/>
      <c r="Y26" s="21"/>
      <c r="Z26" s="21"/>
    </row>
    <row r="27" spans="1:26" x14ac:dyDescent="0.25">
      <c r="A27" s="21"/>
      <c r="B27" s="21"/>
      <c r="C27" s="21"/>
      <c r="D27" s="21"/>
      <c r="E27" s="21"/>
      <c r="F27" s="21"/>
      <c r="G27" s="21"/>
      <c r="H27" s="21"/>
      <c r="I27" s="21"/>
      <c r="J27" s="21"/>
      <c r="K27" s="21"/>
      <c r="L27" s="21"/>
      <c r="M27" s="21"/>
      <c r="N27" s="21"/>
      <c r="O27" s="21"/>
      <c r="P27" s="21"/>
      <c r="Q27" s="21"/>
      <c r="R27" s="21"/>
      <c r="S27" s="21"/>
      <c r="T27" s="21"/>
      <c r="U27" s="21"/>
      <c r="V27" s="21"/>
      <c r="W27" s="21"/>
      <c r="X27" s="21"/>
      <c r="Y27" s="21"/>
      <c r="Z27" s="21"/>
    </row>
    <row r="28" spans="1:26" x14ac:dyDescent="0.25">
      <c r="A28" s="21"/>
      <c r="B28" s="21"/>
      <c r="C28" s="21"/>
      <c r="D28" s="21"/>
      <c r="E28" s="21"/>
      <c r="F28" s="21"/>
      <c r="G28" s="21"/>
      <c r="H28" s="21"/>
      <c r="I28" s="21"/>
      <c r="J28" s="21"/>
      <c r="K28" s="21"/>
      <c r="L28" s="21"/>
      <c r="M28" s="21"/>
      <c r="N28" s="21"/>
      <c r="O28" s="21"/>
      <c r="P28" s="21"/>
      <c r="Q28" s="21"/>
      <c r="R28" s="21"/>
      <c r="S28" s="21"/>
      <c r="T28" s="21"/>
      <c r="U28" s="21"/>
      <c r="V28" s="21"/>
      <c r="W28" s="21"/>
      <c r="X28" s="21"/>
      <c r="Y28" s="21"/>
      <c r="Z28" s="21"/>
    </row>
    <row r="29" spans="1:26" x14ac:dyDescent="0.25">
      <c r="A29" s="21"/>
      <c r="B29" s="21"/>
      <c r="C29" s="21"/>
      <c r="D29" s="21"/>
      <c r="E29" s="21"/>
      <c r="F29" s="21"/>
      <c r="G29" s="21"/>
      <c r="H29" s="21"/>
      <c r="I29" s="21"/>
      <c r="J29" s="21"/>
      <c r="K29" s="21"/>
      <c r="L29" s="21"/>
      <c r="M29" s="21"/>
      <c r="N29" s="21"/>
      <c r="O29" s="21"/>
      <c r="P29" s="21"/>
      <c r="Q29" s="21"/>
      <c r="R29" s="21"/>
      <c r="S29" s="21"/>
      <c r="T29" s="21"/>
      <c r="U29" s="21"/>
      <c r="V29" s="21"/>
      <c r="W29" s="21"/>
      <c r="X29" s="21"/>
      <c r="Y29" s="21"/>
      <c r="Z29" s="21"/>
    </row>
    <row r="30" spans="1:26" x14ac:dyDescent="0.25">
      <c r="A30" s="21"/>
      <c r="B30" s="21"/>
      <c r="C30" s="21"/>
      <c r="D30" s="21"/>
      <c r="E30" s="21"/>
      <c r="F30" s="21"/>
      <c r="G30" s="21"/>
      <c r="H30" s="21"/>
      <c r="I30" s="21"/>
      <c r="J30" s="21"/>
      <c r="K30" s="21"/>
      <c r="L30" s="21"/>
      <c r="M30" s="21"/>
      <c r="N30" s="21"/>
      <c r="O30" s="21"/>
      <c r="P30" s="21"/>
      <c r="Q30" s="21"/>
      <c r="R30" s="21"/>
      <c r="S30" s="21"/>
      <c r="T30" s="21"/>
      <c r="U30" s="21"/>
      <c r="V30" s="21"/>
      <c r="W30" s="21"/>
      <c r="X30" s="21"/>
      <c r="Y30" s="21"/>
      <c r="Z30" s="21"/>
    </row>
    <row r="31" spans="1:26" x14ac:dyDescent="0.25">
      <c r="A31" s="21"/>
      <c r="B31" s="21"/>
      <c r="C31" s="21"/>
      <c r="D31" s="21"/>
      <c r="E31" s="21"/>
      <c r="F31" s="21"/>
      <c r="G31" s="21"/>
      <c r="H31" s="21"/>
      <c r="I31" s="21"/>
      <c r="J31" s="21"/>
      <c r="K31" s="21"/>
      <c r="L31" s="21"/>
      <c r="M31" s="21"/>
      <c r="N31" s="21"/>
      <c r="O31" s="21"/>
      <c r="P31" s="21"/>
      <c r="Q31" s="21"/>
      <c r="R31" s="21"/>
      <c r="S31" s="21"/>
      <c r="T31" s="21"/>
      <c r="U31" s="21"/>
      <c r="V31" s="21"/>
      <c r="W31" s="21"/>
      <c r="X31" s="21"/>
      <c r="Y31" s="21"/>
      <c r="Z31" s="21"/>
    </row>
    <row r="32" spans="1:26" x14ac:dyDescent="0.25">
      <c r="A32" s="21"/>
      <c r="B32" s="21"/>
      <c r="C32" s="21"/>
      <c r="D32" s="21"/>
      <c r="E32" s="21"/>
      <c r="F32" s="21"/>
      <c r="G32" s="21"/>
      <c r="H32" s="21"/>
      <c r="I32" s="21"/>
      <c r="J32" s="21"/>
      <c r="K32" s="21"/>
      <c r="L32" s="21"/>
      <c r="M32" s="21"/>
      <c r="N32" s="21"/>
      <c r="O32" s="21"/>
      <c r="P32" s="21"/>
      <c r="Q32" s="21"/>
      <c r="R32" s="21"/>
      <c r="S32" s="21"/>
      <c r="T32" s="21"/>
      <c r="U32" s="21"/>
      <c r="V32" s="21"/>
      <c r="W32" s="21"/>
      <c r="X32" s="21"/>
      <c r="Y32" s="21"/>
      <c r="Z32" s="21"/>
    </row>
    <row r="33" spans="1:26" x14ac:dyDescent="0.25">
      <c r="A33" s="21"/>
      <c r="B33" s="21"/>
      <c r="C33" s="21"/>
      <c r="D33" s="21"/>
      <c r="E33" s="21"/>
      <c r="F33" s="21"/>
      <c r="G33" s="21"/>
      <c r="H33" s="21"/>
      <c r="I33" s="21"/>
      <c r="J33" s="21"/>
      <c r="K33" s="21"/>
      <c r="L33" s="21"/>
      <c r="M33" s="21"/>
      <c r="N33" s="21"/>
      <c r="O33" s="21"/>
      <c r="P33" s="21"/>
      <c r="Q33" s="21"/>
      <c r="R33" s="21"/>
      <c r="S33" s="21"/>
      <c r="T33" s="21"/>
      <c r="U33" s="21"/>
      <c r="V33" s="21"/>
      <c r="W33" s="21"/>
      <c r="X33" s="21"/>
      <c r="Y33" s="21"/>
      <c r="Z33" s="21"/>
    </row>
    <row r="34" spans="1:26" x14ac:dyDescent="0.25">
      <c r="A34" s="21"/>
      <c r="B34" s="21"/>
      <c r="C34" s="21"/>
      <c r="D34" s="21"/>
      <c r="E34" s="21"/>
      <c r="F34" s="21"/>
      <c r="G34" s="21"/>
      <c r="H34" s="21"/>
      <c r="I34" s="21"/>
      <c r="J34" s="21"/>
      <c r="K34" s="21"/>
      <c r="L34" s="21"/>
      <c r="M34" s="21"/>
      <c r="N34" s="21"/>
      <c r="O34" s="21"/>
      <c r="P34" s="21"/>
      <c r="Q34" s="21"/>
      <c r="R34" s="21"/>
      <c r="S34" s="21"/>
      <c r="T34" s="21"/>
      <c r="U34" s="21"/>
      <c r="V34" s="21"/>
      <c r="W34" s="21"/>
      <c r="X34" s="21"/>
      <c r="Y34" s="21"/>
      <c r="Z34" s="21"/>
    </row>
    <row r="35" spans="1:26" x14ac:dyDescent="0.25">
      <c r="A35" s="21"/>
      <c r="B35" s="21"/>
      <c r="C35" s="21"/>
      <c r="D35" s="21"/>
      <c r="E35" s="21"/>
      <c r="F35" s="21"/>
      <c r="G35" s="21"/>
      <c r="H35" s="21"/>
      <c r="I35" s="21"/>
      <c r="J35" s="21"/>
      <c r="K35" s="21"/>
      <c r="L35" s="21"/>
      <c r="M35" s="21"/>
      <c r="N35" s="21"/>
      <c r="O35" s="21"/>
      <c r="P35" s="21"/>
      <c r="Q35" s="21"/>
      <c r="R35" s="21"/>
      <c r="S35" s="21"/>
      <c r="T35" s="21"/>
      <c r="U35" s="21"/>
      <c r="V35" s="21"/>
      <c r="W35" s="21"/>
      <c r="X35" s="21"/>
      <c r="Y35" s="21"/>
      <c r="Z35" s="21"/>
    </row>
    <row r="36" spans="1:26" x14ac:dyDescent="0.25">
      <c r="A36" s="21"/>
      <c r="B36" s="21"/>
      <c r="C36" s="21"/>
      <c r="D36" s="21"/>
      <c r="E36" s="21"/>
      <c r="F36" s="21"/>
      <c r="G36" s="21"/>
      <c r="H36" s="21"/>
      <c r="I36" s="21"/>
      <c r="J36" s="21"/>
      <c r="K36" s="21"/>
      <c r="L36" s="21"/>
      <c r="M36" s="21"/>
      <c r="N36" s="21"/>
      <c r="O36" s="21"/>
      <c r="P36" s="21"/>
      <c r="Q36" s="21"/>
      <c r="R36" s="21"/>
      <c r="S36" s="21"/>
      <c r="T36" s="21"/>
      <c r="U36" s="21"/>
      <c r="V36" s="21"/>
      <c r="W36" s="21"/>
      <c r="X36" s="21"/>
      <c r="Y36" s="21"/>
      <c r="Z36" s="21"/>
    </row>
    <row r="37" spans="1:26" x14ac:dyDescent="0.25">
      <c r="A37" s="21"/>
      <c r="B37" s="21"/>
      <c r="C37" s="21"/>
      <c r="D37" s="21"/>
      <c r="E37" s="21"/>
      <c r="F37" s="21"/>
      <c r="G37" s="21"/>
      <c r="H37" s="21"/>
      <c r="I37" s="21"/>
      <c r="J37" s="21"/>
      <c r="K37" s="21"/>
      <c r="L37" s="21"/>
      <c r="M37" s="21"/>
      <c r="N37" s="21"/>
      <c r="O37" s="21"/>
      <c r="P37" s="21"/>
      <c r="Q37" s="21"/>
      <c r="R37" s="21"/>
      <c r="S37" s="21"/>
      <c r="T37" s="21"/>
      <c r="U37" s="21"/>
      <c r="V37" s="21"/>
      <c r="W37" s="21"/>
      <c r="X37" s="21"/>
      <c r="Y37" s="21"/>
      <c r="Z37" s="21"/>
    </row>
    <row r="38" spans="1:26" x14ac:dyDescent="0.25">
      <c r="A38" s="21"/>
      <c r="B38" s="21"/>
      <c r="C38" s="21"/>
      <c r="D38" s="21"/>
      <c r="E38" s="21"/>
      <c r="F38" s="21"/>
      <c r="G38" s="21"/>
      <c r="H38" s="21"/>
      <c r="I38" s="21"/>
      <c r="J38" s="21"/>
      <c r="K38" s="21"/>
      <c r="L38" s="21"/>
      <c r="M38" s="21"/>
      <c r="N38" s="21"/>
      <c r="O38" s="21"/>
      <c r="P38" s="21"/>
      <c r="Q38" s="21"/>
      <c r="R38" s="21"/>
      <c r="S38" s="21"/>
      <c r="T38" s="21"/>
      <c r="U38" s="21"/>
      <c r="V38" s="21"/>
      <c r="W38" s="21"/>
      <c r="X38" s="21"/>
      <c r="Y38" s="21"/>
      <c r="Z38" s="21"/>
    </row>
    <row r="39" spans="1:26" x14ac:dyDescent="0.25">
      <c r="A39" s="21"/>
      <c r="B39" s="21"/>
      <c r="C39" s="21"/>
      <c r="D39" s="21"/>
      <c r="E39" s="21"/>
      <c r="F39" s="21"/>
      <c r="G39" s="21"/>
      <c r="H39" s="21"/>
      <c r="I39" s="21"/>
      <c r="J39" s="21"/>
      <c r="K39" s="21"/>
      <c r="L39" s="21"/>
      <c r="M39" s="21"/>
      <c r="N39" s="21"/>
      <c r="O39" s="21"/>
      <c r="P39" s="21"/>
      <c r="Q39" s="21"/>
      <c r="R39" s="21"/>
      <c r="S39" s="21"/>
      <c r="T39" s="21"/>
      <c r="U39" s="21"/>
      <c r="V39" s="21"/>
      <c r="W39" s="21"/>
      <c r="X39" s="21"/>
      <c r="Y39" s="21"/>
      <c r="Z39" s="21"/>
    </row>
    <row r="40" spans="1:26" x14ac:dyDescent="0.25">
      <c r="A40" s="21"/>
      <c r="B40" s="21"/>
      <c r="C40" s="21"/>
      <c r="D40" s="21"/>
      <c r="E40" s="21"/>
      <c r="F40" s="21"/>
      <c r="G40" s="21"/>
      <c r="H40" s="21"/>
      <c r="I40" s="21"/>
      <c r="J40" s="21"/>
      <c r="K40" s="21"/>
      <c r="L40" s="21"/>
      <c r="M40" s="21"/>
      <c r="N40" s="21"/>
      <c r="O40" s="21"/>
      <c r="P40" s="21"/>
      <c r="Q40" s="21"/>
      <c r="R40" s="21"/>
      <c r="S40" s="21"/>
      <c r="T40" s="21"/>
      <c r="U40" s="21"/>
      <c r="V40" s="21"/>
      <c r="W40" s="21"/>
      <c r="X40" s="21"/>
      <c r="Y40" s="21"/>
      <c r="Z40" s="21"/>
    </row>
    <row r="41" spans="1:26" x14ac:dyDescent="0.25">
      <c r="A41" s="21"/>
      <c r="B41" s="21"/>
      <c r="C41" s="21"/>
      <c r="D41" s="21"/>
      <c r="E41" s="21"/>
      <c r="F41" s="21"/>
      <c r="G41" s="21"/>
      <c r="H41" s="21"/>
      <c r="I41" s="21"/>
      <c r="J41" s="21"/>
      <c r="K41" s="21"/>
      <c r="L41" s="21"/>
      <c r="M41" s="21"/>
      <c r="N41" s="21"/>
      <c r="O41" s="21"/>
      <c r="P41" s="21"/>
      <c r="Q41" s="21"/>
      <c r="R41" s="21"/>
      <c r="S41" s="21"/>
      <c r="T41" s="21"/>
      <c r="U41" s="21"/>
      <c r="V41" s="21"/>
      <c r="W41" s="21"/>
      <c r="X41" s="21"/>
      <c r="Y41" s="21"/>
      <c r="Z41" s="21"/>
    </row>
    <row r="42" spans="1:26" x14ac:dyDescent="0.25">
      <c r="A42" s="21"/>
      <c r="B42" s="21"/>
      <c r="C42" s="21"/>
      <c r="D42" s="21"/>
      <c r="E42" s="21"/>
      <c r="F42" s="21"/>
      <c r="G42" s="21"/>
      <c r="H42" s="21"/>
      <c r="I42" s="21"/>
      <c r="J42" s="21"/>
      <c r="K42" s="21"/>
      <c r="L42" s="21"/>
      <c r="M42" s="21"/>
      <c r="N42" s="21"/>
      <c r="O42" s="21"/>
      <c r="P42" s="21"/>
      <c r="Q42" s="21"/>
      <c r="R42" s="21"/>
      <c r="S42" s="21"/>
      <c r="T42" s="21"/>
      <c r="U42" s="21"/>
      <c r="V42" s="21"/>
      <c r="W42" s="21"/>
      <c r="X42" s="21"/>
      <c r="Y42" s="21"/>
      <c r="Z42" s="21"/>
    </row>
    <row r="43" spans="1:26" x14ac:dyDescent="0.25">
      <c r="A43" s="21"/>
      <c r="B43" s="21"/>
      <c r="C43" s="21"/>
      <c r="D43" s="21"/>
      <c r="E43" s="21"/>
      <c r="F43" s="21"/>
      <c r="G43" s="21"/>
      <c r="H43" s="21"/>
      <c r="I43" s="21"/>
      <c r="J43" s="21"/>
      <c r="K43" s="21"/>
      <c r="L43" s="21"/>
      <c r="M43" s="21"/>
      <c r="N43" s="21"/>
      <c r="O43" s="21"/>
      <c r="P43" s="21"/>
      <c r="Q43" s="21"/>
      <c r="R43" s="21"/>
      <c r="S43" s="21"/>
      <c r="T43" s="21"/>
      <c r="U43" s="21"/>
      <c r="V43" s="21"/>
      <c r="W43" s="21"/>
      <c r="X43" s="21"/>
      <c r="Y43" s="21"/>
      <c r="Z43" s="21"/>
    </row>
    <row r="44" spans="1:26" x14ac:dyDescent="0.25">
      <c r="A44" s="21"/>
      <c r="B44" s="21"/>
      <c r="C44" s="21"/>
      <c r="D44" s="21"/>
      <c r="E44" s="21"/>
      <c r="F44" s="21"/>
      <c r="G44" s="21"/>
      <c r="H44" s="21"/>
      <c r="I44" s="21"/>
      <c r="J44" s="21"/>
      <c r="K44" s="21"/>
      <c r="L44" s="21"/>
      <c r="M44" s="21"/>
      <c r="N44" s="21"/>
      <c r="O44" s="21"/>
      <c r="P44" s="21"/>
      <c r="Q44" s="21"/>
      <c r="R44" s="21"/>
      <c r="S44" s="21"/>
      <c r="T44" s="21"/>
      <c r="U44" s="21"/>
      <c r="V44" s="21"/>
      <c r="W44" s="21"/>
      <c r="X44" s="21"/>
      <c r="Y44" s="21"/>
      <c r="Z44" s="21"/>
    </row>
    <row r="45" spans="1:26" x14ac:dyDescent="0.25">
      <c r="A45" s="21"/>
      <c r="B45" s="21"/>
      <c r="C45" s="21"/>
      <c r="D45" s="21"/>
      <c r="E45" s="21"/>
      <c r="F45" s="21"/>
      <c r="G45" s="21"/>
      <c r="H45" s="21"/>
      <c r="I45" s="21"/>
      <c r="J45" s="21"/>
      <c r="K45" s="21"/>
      <c r="L45" s="21"/>
      <c r="M45" s="21"/>
      <c r="N45" s="21"/>
      <c r="O45" s="21"/>
      <c r="P45" s="21"/>
      <c r="Q45" s="21"/>
      <c r="R45" s="21"/>
      <c r="S45" s="21"/>
      <c r="T45" s="21"/>
      <c r="U45" s="21"/>
      <c r="V45" s="21"/>
      <c r="W45" s="21"/>
      <c r="X45" s="21"/>
      <c r="Y45" s="21"/>
      <c r="Z45" s="21"/>
    </row>
    <row r="46" spans="1:26" x14ac:dyDescent="0.25">
      <c r="A46" s="21"/>
      <c r="B46" s="21"/>
      <c r="C46" s="21"/>
      <c r="D46" s="21"/>
      <c r="E46" s="21"/>
      <c r="F46" s="21"/>
      <c r="G46" s="21"/>
      <c r="H46" s="21"/>
      <c r="I46" s="21"/>
      <c r="J46" s="21"/>
      <c r="K46" s="21"/>
      <c r="L46" s="21"/>
      <c r="M46" s="21"/>
      <c r="N46" s="21"/>
      <c r="O46" s="21"/>
      <c r="P46" s="21"/>
      <c r="Q46" s="21"/>
      <c r="R46" s="21"/>
      <c r="S46" s="21"/>
      <c r="T46" s="21"/>
      <c r="U46" s="21"/>
      <c r="V46" s="21"/>
      <c r="W46" s="21"/>
      <c r="X46" s="21"/>
      <c r="Y46" s="21"/>
      <c r="Z46" s="21"/>
    </row>
    <row r="47" spans="1:26" x14ac:dyDescent="0.25">
      <c r="A47" s="21"/>
      <c r="B47" s="21"/>
      <c r="C47" s="21"/>
      <c r="D47" s="21"/>
      <c r="E47" s="21"/>
      <c r="F47" s="21"/>
      <c r="G47" s="21"/>
      <c r="H47" s="21"/>
      <c r="I47" s="21"/>
      <c r="J47" s="21"/>
      <c r="K47" s="21"/>
      <c r="L47" s="21"/>
      <c r="M47" s="21"/>
      <c r="N47" s="21"/>
      <c r="O47" s="21"/>
      <c r="P47" s="21"/>
      <c r="Q47" s="21"/>
      <c r="R47" s="21"/>
      <c r="S47" s="21"/>
      <c r="T47" s="21"/>
      <c r="U47" s="21"/>
      <c r="V47" s="21"/>
      <c r="W47" s="21"/>
      <c r="X47" s="21"/>
      <c r="Y47" s="21"/>
      <c r="Z47" s="21"/>
    </row>
    <row r="48" spans="1:26" x14ac:dyDescent="0.25">
      <c r="A48" s="21"/>
      <c r="B48" s="21"/>
      <c r="C48" s="21"/>
      <c r="D48" s="21"/>
      <c r="E48" s="21"/>
      <c r="F48" s="21"/>
      <c r="G48" s="21"/>
      <c r="H48" s="21"/>
      <c r="I48" s="21"/>
      <c r="J48" s="21"/>
      <c r="K48" s="21"/>
      <c r="L48" s="21"/>
      <c r="M48" s="21"/>
      <c r="N48" s="21"/>
      <c r="O48" s="21"/>
      <c r="P48" s="21"/>
      <c r="Q48" s="21"/>
      <c r="R48" s="21"/>
      <c r="S48" s="21"/>
      <c r="T48" s="21"/>
      <c r="U48" s="21"/>
      <c r="V48" s="21"/>
      <c r="W48" s="21"/>
      <c r="X48" s="21"/>
      <c r="Y48" s="21"/>
      <c r="Z48" s="21"/>
    </row>
    <row r="49" spans="1:26" x14ac:dyDescent="0.25">
      <c r="A49" s="21"/>
      <c r="B49" s="21"/>
      <c r="C49" s="21"/>
      <c r="D49" s="21"/>
      <c r="E49" s="21"/>
      <c r="F49" s="21"/>
      <c r="G49" s="21"/>
      <c r="H49" s="21"/>
      <c r="I49" s="21"/>
      <c r="J49" s="21"/>
      <c r="K49" s="21"/>
      <c r="L49" s="21"/>
      <c r="M49" s="21"/>
      <c r="N49" s="21"/>
      <c r="O49" s="21"/>
      <c r="P49" s="21"/>
      <c r="Q49" s="21"/>
      <c r="R49" s="21"/>
      <c r="S49" s="21"/>
      <c r="T49" s="21"/>
      <c r="U49" s="21"/>
      <c r="V49" s="21"/>
      <c r="W49" s="21"/>
      <c r="X49" s="21"/>
      <c r="Y49" s="21"/>
      <c r="Z49" s="21"/>
    </row>
    <row r="50" spans="1:26" x14ac:dyDescent="0.25">
      <c r="A50" s="21"/>
      <c r="B50" s="21"/>
      <c r="C50" s="21"/>
      <c r="D50" s="21"/>
      <c r="E50" s="21"/>
      <c r="F50" s="21"/>
      <c r="G50" s="21"/>
      <c r="H50" s="21"/>
      <c r="I50" s="21"/>
      <c r="J50" s="21"/>
      <c r="K50" s="21"/>
      <c r="L50" s="21"/>
      <c r="M50" s="21"/>
      <c r="N50" s="21"/>
      <c r="O50" s="21"/>
      <c r="P50" s="21"/>
      <c r="Q50" s="21"/>
      <c r="R50" s="21"/>
      <c r="S50" s="21"/>
      <c r="T50" s="21"/>
      <c r="U50" s="21"/>
      <c r="V50" s="21"/>
      <c r="W50" s="21"/>
      <c r="X50" s="21"/>
      <c r="Y50" s="21"/>
      <c r="Z50" s="21"/>
    </row>
    <row r="51" spans="1:26" x14ac:dyDescent="0.25">
      <c r="A51" s="21"/>
      <c r="B51" s="21"/>
      <c r="C51" s="21"/>
      <c r="D51" s="21"/>
      <c r="E51" s="21"/>
      <c r="F51" s="21"/>
      <c r="G51" s="21"/>
      <c r="H51" s="21"/>
      <c r="I51" s="21"/>
      <c r="J51" s="21"/>
      <c r="K51" s="21"/>
      <c r="L51" s="21"/>
      <c r="M51" s="21"/>
      <c r="N51" s="21"/>
      <c r="O51" s="21"/>
      <c r="P51" s="21"/>
      <c r="Q51" s="21"/>
      <c r="R51" s="21"/>
      <c r="S51" s="21"/>
      <c r="T51" s="21"/>
      <c r="U51" s="21"/>
      <c r="V51" s="21"/>
      <c r="W51" s="21"/>
      <c r="X51" s="21"/>
      <c r="Y51" s="21"/>
      <c r="Z51" s="21"/>
    </row>
    <row r="52" spans="1:26" x14ac:dyDescent="0.25">
      <c r="A52" s="21"/>
      <c r="B52" s="21"/>
      <c r="C52" s="21"/>
      <c r="D52" s="21"/>
      <c r="E52" s="21"/>
      <c r="F52" s="21"/>
      <c r="G52" s="21"/>
      <c r="H52" s="21"/>
      <c r="I52" s="21"/>
      <c r="J52" s="21"/>
      <c r="K52" s="21"/>
      <c r="L52" s="21"/>
      <c r="M52" s="21"/>
      <c r="N52" s="21"/>
      <c r="O52" s="21"/>
      <c r="P52" s="21"/>
      <c r="Q52" s="21"/>
      <c r="R52" s="21"/>
      <c r="S52" s="21"/>
      <c r="T52" s="21"/>
      <c r="U52" s="21"/>
      <c r="V52" s="21"/>
      <c r="W52" s="21"/>
      <c r="X52" s="21"/>
      <c r="Y52" s="21"/>
      <c r="Z52" s="21"/>
    </row>
    <row r="53" spans="1:26" x14ac:dyDescent="0.25">
      <c r="A53" s="21"/>
      <c r="B53" s="21"/>
      <c r="C53" s="21"/>
      <c r="D53" s="21"/>
      <c r="E53" s="21"/>
      <c r="F53" s="21"/>
      <c r="G53" s="21"/>
      <c r="H53" s="21"/>
      <c r="I53" s="21"/>
      <c r="J53" s="21"/>
      <c r="K53" s="21"/>
      <c r="L53" s="21"/>
      <c r="M53" s="21"/>
      <c r="N53" s="21"/>
      <c r="O53" s="21"/>
      <c r="P53" s="21"/>
      <c r="Q53" s="21"/>
      <c r="R53" s="21"/>
      <c r="S53" s="21"/>
      <c r="T53" s="21"/>
      <c r="U53" s="21"/>
      <c r="V53" s="21"/>
      <c r="W53" s="21"/>
      <c r="X53" s="21"/>
      <c r="Y53" s="21"/>
      <c r="Z53" s="21"/>
    </row>
    <row r="54" spans="1:26" x14ac:dyDescent="0.25">
      <c r="A54" s="21"/>
      <c r="B54" s="21"/>
      <c r="C54" s="21"/>
      <c r="D54" s="21"/>
      <c r="E54" s="21"/>
      <c r="F54" s="21"/>
      <c r="G54" s="21"/>
      <c r="H54" s="21"/>
      <c r="I54" s="21"/>
      <c r="J54" s="21"/>
      <c r="K54" s="21"/>
      <c r="L54" s="21"/>
      <c r="M54" s="21"/>
      <c r="N54" s="21"/>
      <c r="O54" s="21"/>
      <c r="P54" s="21"/>
      <c r="Q54" s="21"/>
      <c r="R54" s="21"/>
      <c r="S54" s="21"/>
      <c r="T54" s="21"/>
      <c r="U54" s="21"/>
      <c r="V54" s="21"/>
      <c r="W54" s="21"/>
      <c r="X54" s="21"/>
      <c r="Y54" s="21"/>
      <c r="Z54" s="21"/>
    </row>
    <row r="55" spans="1:26" x14ac:dyDescent="0.25">
      <c r="A55" s="21"/>
      <c r="B55" s="21"/>
      <c r="C55" s="21"/>
      <c r="D55" s="21"/>
      <c r="E55" s="21"/>
      <c r="F55" s="21"/>
      <c r="G55" s="21"/>
      <c r="H55" s="21"/>
      <c r="I55" s="21"/>
      <c r="J55" s="21"/>
      <c r="K55" s="21"/>
      <c r="L55" s="21"/>
      <c r="M55" s="21"/>
      <c r="N55" s="21"/>
      <c r="O55" s="21"/>
      <c r="P55" s="21"/>
      <c r="Q55" s="21"/>
      <c r="R55" s="21"/>
      <c r="S55" s="21"/>
      <c r="T55" s="21"/>
      <c r="U55" s="21"/>
      <c r="V55" s="21"/>
      <c r="W55" s="21"/>
      <c r="X55" s="21"/>
      <c r="Y55" s="21"/>
      <c r="Z55" s="21"/>
    </row>
    <row r="56" spans="1:26" x14ac:dyDescent="0.25">
      <c r="A56" s="21"/>
      <c r="B56" s="21"/>
      <c r="C56" s="21"/>
      <c r="D56" s="21"/>
      <c r="E56" s="21"/>
      <c r="F56" s="21"/>
      <c r="G56" s="21"/>
      <c r="H56" s="21"/>
      <c r="I56" s="21"/>
      <c r="J56" s="21"/>
      <c r="K56" s="21"/>
      <c r="L56" s="21"/>
      <c r="M56" s="21"/>
      <c r="N56" s="21"/>
      <c r="O56" s="21"/>
      <c r="P56" s="21"/>
      <c r="Q56" s="21"/>
      <c r="R56" s="21"/>
      <c r="S56" s="21"/>
      <c r="T56" s="21"/>
      <c r="U56" s="21"/>
      <c r="V56" s="21"/>
      <c r="W56" s="21"/>
      <c r="X56" s="21"/>
      <c r="Y56" s="21"/>
      <c r="Z56" s="21"/>
    </row>
    <row r="57" spans="1:26" x14ac:dyDescent="0.25">
      <c r="A57" s="21"/>
      <c r="B57" s="21"/>
      <c r="C57" s="21"/>
      <c r="D57" s="21"/>
      <c r="E57" s="21"/>
      <c r="F57" s="21"/>
      <c r="G57" s="21"/>
      <c r="H57" s="21"/>
      <c r="I57" s="21"/>
      <c r="J57" s="21"/>
      <c r="K57" s="21"/>
      <c r="L57" s="21"/>
      <c r="M57" s="21"/>
      <c r="N57" s="21"/>
      <c r="O57" s="21"/>
      <c r="P57" s="21"/>
      <c r="Q57" s="21"/>
      <c r="R57" s="21"/>
      <c r="S57" s="21"/>
      <c r="T57" s="21"/>
      <c r="U57" s="21"/>
      <c r="V57" s="21"/>
      <c r="W57" s="21"/>
      <c r="X57" s="21"/>
      <c r="Y57" s="21"/>
      <c r="Z57" s="21"/>
    </row>
    <row r="58" spans="1:26" x14ac:dyDescent="0.25">
      <c r="A58" s="21"/>
      <c r="B58" s="21"/>
      <c r="C58" s="21"/>
      <c r="D58" s="21"/>
      <c r="E58" s="21"/>
      <c r="F58" s="21"/>
      <c r="G58" s="21"/>
      <c r="H58" s="21"/>
      <c r="I58" s="21"/>
      <c r="J58" s="21"/>
      <c r="K58" s="21"/>
      <c r="L58" s="21"/>
      <c r="M58" s="21"/>
      <c r="N58" s="21"/>
      <c r="O58" s="21"/>
      <c r="P58" s="21"/>
      <c r="Q58" s="21"/>
      <c r="R58" s="21"/>
      <c r="S58" s="21"/>
      <c r="T58" s="21"/>
      <c r="U58" s="21"/>
      <c r="V58" s="21"/>
      <c r="W58" s="21"/>
      <c r="X58" s="21"/>
      <c r="Y58" s="21"/>
      <c r="Z58" s="21"/>
    </row>
    <row r="59" spans="1:26" x14ac:dyDescent="0.25">
      <c r="A59" s="21"/>
      <c r="B59" s="21"/>
      <c r="C59" s="21"/>
      <c r="D59" s="21"/>
      <c r="E59" s="21"/>
      <c r="F59" s="21"/>
      <c r="G59" s="21"/>
      <c r="H59" s="21"/>
      <c r="I59" s="21"/>
      <c r="J59" s="21"/>
      <c r="K59" s="21"/>
      <c r="L59" s="21"/>
      <c r="M59" s="21"/>
      <c r="N59" s="21"/>
      <c r="O59" s="21"/>
      <c r="P59" s="21"/>
      <c r="Q59" s="21"/>
      <c r="R59" s="21"/>
      <c r="S59" s="21"/>
      <c r="T59" s="21"/>
      <c r="U59" s="21"/>
      <c r="V59" s="21"/>
      <c r="W59" s="21"/>
      <c r="X59" s="21"/>
      <c r="Y59" s="21"/>
      <c r="Z59" s="21"/>
    </row>
    <row r="60" spans="1:26" x14ac:dyDescent="0.25">
      <c r="A60" s="21"/>
      <c r="B60" s="21"/>
      <c r="C60" s="21"/>
      <c r="D60" s="21"/>
      <c r="E60" s="21"/>
      <c r="F60" s="21"/>
      <c r="G60" s="21"/>
      <c r="H60" s="21"/>
      <c r="I60" s="21"/>
      <c r="J60" s="21"/>
      <c r="K60" s="21"/>
      <c r="L60" s="21"/>
      <c r="M60" s="21"/>
      <c r="N60" s="21"/>
      <c r="O60" s="21"/>
      <c r="P60" s="21"/>
      <c r="Q60" s="21"/>
      <c r="R60" s="21"/>
      <c r="S60" s="21"/>
      <c r="T60" s="21"/>
      <c r="U60" s="21"/>
      <c r="V60" s="21"/>
      <c r="W60" s="21"/>
      <c r="X60" s="21"/>
      <c r="Y60" s="21"/>
      <c r="Z60" s="21"/>
    </row>
    <row r="61" spans="1:26" x14ac:dyDescent="0.25">
      <c r="A61" s="21"/>
      <c r="B61" s="21"/>
      <c r="C61" s="21"/>
      <c r="D61" s="21"/>
      <c r="E61" s="21"/>
      <c r="F61" s="21"/>
      <c r="G61" s="21"/>
      <c r="H61" s="21"/>
      <c r="I61" s="21"/>
      <c r="J61" s="21"/>
      <c r="K61" s="21"/>
      <c r="L61" s="21"/>
      <c r="M61" s="21"/>
      <c r="N61" s="21"/>
      <c r="O61" s="21"/>
      <c r="P61" s="21"/>
      <c r="Q61" s="21"/>
      <c r="R61" s="21"/>
      <c r="S61" s="21"/>
      <c r="T61" s="21"/>
      <c r="U61" s="21"/>
      <c r="V61" s="21"/>
      <c r="W61" s="21"/>
      <c r="X61" s="21"/>
      <c r="Y61" s="21"/>
      <c r="Z61" s="21"/>
    </row>
    <row r="62" spans="1:26" x14ac:dyDescent="0.25">
      <c r="A62" s="21"/>
      <c r="B62" s="21"/>
      <c r="C62" s="21"/>
      <c r="D62" s="21"/>
      <c r="E62" s="21"/>
      <c r="F62" s="21"/>
      <c r="G62" s="21"/>
      <c r="H62" s="21"/>
      <c r="I62" s="21"/>
      <c r="J62" s="21"/>
      <c r="K62" s="21"/>
      <c r="L62" s="21"/>
      <c r="M62" s="21"/>
      <c r="N62" s="21"/>
      <c r="O62" s="21"/>
      <c r="P62" s="21"/>
      <c r="Q62" s="21"/>
      <c r="R62" s="21"/>
      <c r="S62" s="21"/>
      <c r="T62" s="21"/>
      <c r="U62" s="21"/>
      <c r="V62" s="21"/>
      <c r="W62" s="21"/>
      <c r="X62" s="21"/>
      <c r="Y62" s="21"/>
      <c r="Z62" s="21"/>
    </row>
    <row r="63" spans="1:26" x14ac:dyDescent="0.25">
      <c r="A63" s="21"/>
      <c r="B63" s="21"/>
      <c r="C63" s="21"/>
      <c r="D63" s="21"/>
      <c r="E63" s="21"/>
      <c r="F63" s="21"/>
      <c r="G63" s="21"/>
      <c r="H63" s="21"/>
      <c r="I63" s="21"/>
      <c r="J63" s="21"/>
      <c r="K63" s="21"/>
      <c r="L63" s="21"/>
      <c r="M63" s="21"/>
      <c r="N63" s="21"/>
      <c r="O63" s="21"/>
      <c r="P63" s="21"/>
      <c r="Q63" s="21"/>
      <c r="R63" s="21"/>
      <c r="S63" s="21"/>
      <c r="T63" s="21"/>
      <c r="U63" s="21"/>
      <c r="V63" s="21"/>
      <c r="W63" s="21"/>
      <c r="X63" s="21"/>
      <c r="Y63" s="21"/>
      <c r="Z63" s="21"/>
    </row>
    <row r="64" spans="1:26" x14ac:dyDescent="0.25">
      <c r="A64" s="21"/>
      <c r="B64" s="21"/>
      <c r="C64" s="21"/>
      <c r="D64" s="21"/>
      <c r="E64" s="21"/>
      <c r="F64" s="21"/>
      <c r="G64" s="21"/>
      <c r="H64" s="21"/>
      <c r="I64" s="21"/>
      <c r="J64" s="21"/>
      <c r="K64" s="21"/>
      <c r="L64" s="21"/>
      <c r="M64" s="21"/>
      <c r="N64" s="21"/>
      <c r="O64" s="21"/>
      <c r="P64" s="21"/>
      <c r="Q64" s="21"/>
      <c r="R64" s="21"/>
      <c r="S64" s="21"/>
      <c r="T64" s="21"/>
      <c r="U64" s="21"/>
      <c r="V64" s="21"/>
      <c r="W64" s="21"/>
      <c r="X64" s="21"/>
      <c r="Y64" s="21"/>
      <c r="Z64" s="21"/>
    </row>
    <row r="65" spans="1:26" x14ac:dyDescent="0.25">
      <c r="A65" s="21"/>
      <c r="B65" s="21"/>
      <c r="C65" s="21"/>
      <c r="D65" s="21"/>
      <c r="E65" s="21"/>
      <c r="F65" s="21"/>
      <c r="G65" s="21"/>
      <c r="H65" s="21"/>
      <c r="I65" s="21"/>
      <c r="J65" s="21"/>
      <c r="K65" s="21"/>
      <c r="L65" s="21"/>
      <c r="M65" s="21"/>
      <c r="N65" s="21"/>
      <c r="O65" s="21"/>
      <c r="P65" s="21"/>
      <c r="Q65" s="21"/>
      <c r="R65" s="21"/>
      <c r="S65" s="21"/>
      <c r="T65" s="21"/>
      <c r="U65" s="21"/>
      <c r="V65" s="21"/>
      <c r="W65" s="21"/>
      <c r="X65" s="21"/>
      <c r="Y65" s="21"/>
      <c r="Z65" s="21"/>
    </row>
    <row r="66" spans="1:26" x14ac:dyDescent="0.25">
      <c r="A66" s="21"/>
      <c r="B66" s="21"/>
      <c r="C66" s="21"/>
      <c r="D66" s="21"/>
      <c r="E66" s="21"/>
      <c r="F66" s="21"/>
      <c r="G66" s="21"/>
      <c r="H66" s="21"/>
      <c r="I66" s="21"/>
      <c r="J66" s="21"/>
      <c r="K66" s="21"/>
      <c r="L66" s="21"/>
      <c r="M66" s="21"/>
      <c r="N66" s="21"/>
      <c r="O66" s="21"/>
      <c r="P66" s="21"/>
      <c r="Q66" s="21"/>
      <c r="R66" s="21"/>
      <c r="S66" s="21"/>
      <c r="T66" s="21"/>
      <c r="U66" s="21"/>
      <c r="V66" s="21"/>
      <c r="W66" s="21"/>
      <c r="X66" s="21"/>
      <c r="Y66" s="21"/>
      <c r="Z66" s="21"/>
    </row>
    <row r="67" spans="1:26" x14ac:dyDescent="0.25">
      <c r="A67" s="21"/>
      <c r="B67" s="21"/>
      <c r="C67" s="21"/>
      <c r="D67" s="21"/>
      <c r="E67" s="21"/>
      <c r="F67" s="21"/>
      <c r="G67" s="21"/>
      <c r="H67" s="21"/>
      <c r="I67" s="21"/>
      <c r="J67" s="21"/>
      <c r="K67" s="21"/>
      <c r="L67" s="21"/>
      <c r="M67" s="21"/>
      <c r="N67" s="21"/>
      <c r="O67" s="21"/>
      <c r="P67" s="21"/>
      <c r="Q67" s="21"/>
      <c r="R67" s="21"/>
      <c r="S67" s="21"/>
      <c r="T67" s="21"/>
      <c r="U67" s="21"/>
      <c r="V67" s="21"/>
      <c r="W67" s="21"/>
      <c r="X67" s="21"/>
      <c r="Y67" s="21"/>
      <c r="Z67" s="21"/>
    </row>
    <row r="68" spans="1:26" x14ac:dyDescent="0.25">
      <c r="A68" s="21"/>
      <c r="B68" s="21"/>
      <c r="C68" s="21"/>
      <c r="D68" s="21"/>
      <c r="E68" s="21"/>
      <c r="F68" s="21"/>
      <c r="G68" s="21"/>
      <c r="H68" s="21"/>
      <c r="I68" s="21"/>
      <c r="J68" s="21"/>
      <c r="K68" s="21"/>
      <c r="L68" s="21"/>
      <c r="M68" s="21"/>
      <c r="N68" s="21"/>
      <c r="O68" s="21"/>
      <c r="P68" s="21"/>
      <c r="Q68" s="21"/>
      <c r="R68" s="21"/>
      <c r="S68" s="21"/>
      <c r="T68" s="21"/>
      <c r="U68" s="21"/>
      <c r="V68" s="21"/>
      <c r="W68" s="21"/>
      <c r="X68" s="21"/>
      <c r="Y68" s="21"/>
      <c r="Z68" s="21"/>
    </row>
    <row r="69" spans="1:26" x14ac:dyDescent="0.25">
      <c r="A69" s="21"/>
      <c r="B69" s="21"/>
      <c r="C69" s="21"/>
      <c r="D69" s="21"/>
      <c r="E69" s="21"/>
      <c r="F69" s="21"/>
      <c r="G69" s="21"/>
      <c r="H69" s="21"/>
      <c r="I69" s="21"/>
      <c r="J69" s="21"/>
      <c r="K69" s="21"/>
      <c r="L69" s="21"/>
      <c r="M69" s="21"/>
      <c r="N69" s="21"/>
      <c r="O69" s="21"/>
      <c r="P69" s="21"/>
      <c r="Q69" s="21"/>
      <c r="R69" s="21"/>
      <c r="S69" s="21"/>
      <c r="T69" s="21"/>
      <c r="U69" s="21"/>
      <c r="V69" s="21"/>
      <c r="W69" s="21"/>
      <c r="X69" s="21"/>
      <c r="Y69" s="21"/>
      <c r="Z69" s="21"/>
    </row>
    <row r="70" spans="1:26" x14ac:dyDescent="0.25">
      <c r="A70" s="21"/>
      <c r="B70" s="21"/>
      <c r="C70" s="21"/>
      <c r="D70" s="21"/>
      <c r="E70" s="21"/>
      <c r="F70" s="21"/>
      <c r="G70" s="21"/>
      <c r="H70" s="21"/>
      <c r="I70" s="21"/>
      <c r="J70" s="21"/>
      <c r="K70" s="21"/>
      <c r="L70" s="21"/>
      <c r="M70" s="21"/>
      <c r="N70" s="21"/>
      <c r="O70" s="21"/>
      <c r="P70" s="21"/>
      <c r="Q70" s="21"/>
      <c r="R70" s="21"/>
      <c r="S70" s="21"/>
      <c r="T70" s="21"/>
      <c r="U70" s="21"/>
      <c r="V70" s="21"/>
      <c r="W70" s="21"/>
      <c r="X70" s="21"/>
      <c r="Y70" s="21"/>
      <c r="Z70" s="21"/>
    </row>
    <row r="71" spans="1:26" x14ac:dyDescent="0.25">
      <c r="A71" s="21"/>
      <c r="B71" s="21"/>
      <c r="C71" s="21"/>
      <c r="D71" s="21"/>
      <c r="E71" s="21"/>
      <c r="F71" s="21"/>
      <c r="G71" s="21"/>
      <c r="H71" s="21"/>
      <c r="I71" s="21"/>
      <c r="J71" s="21"/>
      <c r="K71" s="21"/>
      <c r="L71" s="21"/>
      <c r="M71" s="21"/>
      <c r="N71" s="21"/>
      <c r="O71" s="21"/>
      <c r="P71" s="21"/>
      <c r="Q71" s="21"/>
      <c r="R71" s="21"/>
      <c r="S71" s="21"/>
      <c r="T71" s="21"/>
      <c r="U71" s="21"/>
      <c r="V71" s="21"/>
      <c r="W71" s="21"/>
      <c r="X71" s="21"/>
      <c r="Y71" s="21"/>
      <c r="Z71" s="21"/>
    </row>
    <row r="72" spans="1:26" x14ac:dyDescent="0.25">
      <c r="A72" s="21"/>
      <c r="B72" s="21"/>
      <c r="C72" s="21"/>
      <c r="D72" s="21"/>
      <c r="E72" s="21"/>
      <c r="F72" s="21"/>
      <c r="G72" s="21"/>
      <c r="H72" s="21"/>
      <c r="I72" s="21"/>
      <c r="J72" s="21"/>
      <c r="K72" s="21"/>
      <c r="L72" s="21"/>
      <c r="M72" s="21"/>
      <c r="N72" s="21"/>
      <c r="O72" s="21"/>
      <c r="P72" s="21"/>
      <c r="Q72" s="21"/>
      <c r="R72" s="21"/>
      <c r="S72" s="21"/>
      <c r="T72" s="21"/>
      <c r="U72" s="21"/>
      <c r="V72" s="21"/>
      <c r="W72" s="21"/>
      <c r="X72" s="21"/>
      <c r="Y72" s="21"/>
      <c r="Z72" s="21"/>
    </row>
    <row r="73" spans="1:26" x14ac:dyDescent="0.25">
      <c r="A73" s="21"/>
      <c r="B73" s="21"/>
      <c r="C73" s="21"/>
      <c r="D73" s="21"/>
      <c r="E73" s="21"/>
      <c r="F73" s="21"/>
      <c r="G73" s="21"/>
      <c r="H73" s="21"/>
      <c r="I73" s="21"/>
      <c r="J73" s="21"/>
      <c r="K73" s="21"/>
      <c r="L73" s="21"/>
      <c r="M73" s="21"/>
      <c r="N73" s="21"/>
      <c r="O73" s="21"/>
      <c r="P73" s="21"/>
      <c r="Q73" s="21"/>
      <c r="R73" s="21"/>
      <c r="S73" s="21"/>
      <c r="T73" s="21"/>
      <c r="U73" s="21"/>
      <c r="V73" s="21"/>
      <c r="W73" s="21"/>
      <c r="X73" s="21"/>
      <c r="Y73" s="21"/>
      <c r="Z73" s="21"/>
    </row>
    <row r="74" spans="1:26" x14ac:dyDescent="0.25">
      <c r="A74" s="21"/>
      <c r="B74" s="21"/>
      <c r="C74" s="21"/>
      <c r="D74" s="21"/>
      <c r="E74" s="21"/>
      <c r="F74" s="21"/>
      <c r="G74" s="21"/>
      <c r="H74" s="21"/>
      <c r="I74" s="21"/>
      <c r="J74" s="21"/>
      <c r="K74" s="21"/>
      <c r="L74" s="21"/>
      <c r="M74" s="21"/>
      <c r="N74" s="21"/>
      <c r="O74" s="21"/>
      <c r="P74" s="21"/>
      <c r="Q74" s="21"/>
      <c r="R74" s="21"/>
      <c r="S74" s="21"/>
      <c r="T74" s="21"/>
      <c r="U74" s="21"/>
      <c r="V74" s="21"/>
      <c r="W74" s="21"/>
      <c r="X74" s="21"/>
      <c r="Y74" s="21"/>
      <c r="Z74" s="21"/>
    </row>
    <row r="75" spans="1:26" x14ac:dyDescent="0.25">
      <c r="A75" s="21"/>
      <c r="B75" s="21"/>
      <c r="C75" s="21"/>
      <c r="D75" s="21"/>
      <c r="E75" s="21"/>
      <c r="F75" s="21"/>
      <c r="G75" s="21"/>
      <c r="H75" s="21"/>
      <c r="I75" s="21"/>
      <c r="J75" s="21"/>
      <c r="K75" s="21"/>
      <c r="L75" s="21"/>
      <c r="M75" s="21"/>
      <c r="N75" s="21"/>
      <c r="O75" s="21"/>
      <c r="P75" s="21"/>
      <c r="Q75" s="21"/>
      <c r="R75" s="21"/>
      <c r="S75" s="21"/>
      <c r="T75" s="21"/>
      <c r="U75" s="21"/>
      <c r="V75" s="21"/>
      <c r="W75" s="21"/>
      <c r="X75" s="21"/>
      <c r="Y75" s="21"/>
      <c r="Z75" s="21"/>
    </row>
    <row r="76" spans="1:26" x14ac:dyDescent="0.25">
      <c r="A76" s="21"/>
      <c r="B76" s="21"/>
      <c r="C76" s="21"/>
      <c r="D76" s="21"/>
      <c r="E76" s="21"/>
      <c r="F76" s="21"/>
      <c r="G76" s="21"/>
      <c r="H76" s="21"/>
      <c r="I76" s="21"/>
      <c r="J76" s="21"/>
      <c r="K76" s="21"/>
      <c r="L76" s="21"/>
      <c r="M76" s="21"/>
      <c r="N76" s="21"/>
      <c r="O76" s="21"/>
      <c r="P76" s="21"/>
      <c r="Q76" s="21"/>
      <c r="R76" s="21"/>
      <c r="S76" s="21"/>
      <c r="T76" s="21"/>
      <c r="U76" s="21"/>
      <c r="V76" s="21"/>
      <c r="W76" s="21"/>
      <c r="X76" s="21"/>
      <c r="Y76" s="21"/>
      <c r="Z76" s="21"/>
    </row>
    <row r="77" spans="1:26" x14ac:dyDescent="0.25">
      <c r="A77" s="21"/>
      <c r="B77" s="21"/>
      <c r="C77" s="21"/>
      <c r="D77" s="21"/>
      <c r="E77" s="21"/>
      <c r="F77" s="21"/>
      <c r="G77" s="21"/>
      <c r="H77" s="21"/>
      <c r="I77" s="21"/>
      <c r="J77" s="21"/>
      <c r="K77" s="21"/>
      <c r="L77" s="21"/>
      <c r="M77" s="21"/>
      <c r="N77" s="21"/>
      <c r="O77" s="21"/>
      <c r="P77" s="21"/>
      <c r="Q77" s="21"/>
      <c r="R77" s="21"/>
      <c r="S77" s="21"/>
      <c r="T77" s="21"/>
      <c r="U77" s="21"/>
      <c r="V77" s="21"/>
      <c r="W77" s="21"/>
      <c r="X77" s="21"/>
      <c r="Y77" s="21"/>
      <c r="Z77" s="21"/>
    </row>
    <row r="78" spans="1:26" x14ac:dyDescent="0.25">
      <c r="A78" s="21"/>
      <c r="B78" s="21"/>
      <c r="C78" s="21"/>
      <c r="D78" s="21"/>
      <c r="E78" s="21"/>
      <c r="F78" s="21"/>
      <c r="G78" s="21"/>
      <c r="H78" s="21"/>
      <c r="I78" s="21"/>
      <c r="J78" s="21"/>
      <c r="K78" s="21"/>
      <c r="L78" s="21"/>
      <c r="M78" s="21"/>
      <c r="N78" s="21"/>
      <c r="O78" s="21"/>
      <c r="P78" s="21"/>
      <c r="Q78" s="21"/>
      <c r="R78" s="21"/>
      <c r="S78" s="21"/>
      <c r="T78" s="21"/>
      <c r="U78" s="21"/>
      <c r="V78" s="21"/>
      <c r="W78" s="21"/>
      <c r="X78" s="21"/>
      <c r="Y78" s="21"/>
      <c r="Z78" s="21"/>
    </row>
    <row r="79" spans="1:26" x14ac:dyDescent="0.25">
      <c r="A79" s="21"/>
      <c r="B79" s="21"/>
      <c r="C79" s="21"/>
      <c r="D79" s="21"/>
      <c r="E79" s="21"/>
      <c r="F79" s="21"/>
      <c r="G79" s="21"/>
      <c r="H79" s="21"/>
      <c r="I79" s="21"/>
      <c r="J79" s="21"/>
      <c r="K79" s="21"/>
      <c r="L79" s="21"/>
      <c r="M79" s="21"/>
      <c r="N79" s="21"/>
      <c r="O79" s="21"/>
      <c r="P79" s="21"/>
      <c r="Q79" s="21"/>
      <c r="R79" s="21"/>
      <c r="S79" s="21"/>
      <c r="T79" s="21"/>
      <c r="U79" s="21"/>
      <c r="V79" s="21"/>
      <c r="W79" s="21"/>
      <c r="X79" s="21"/>
      <c r="Y79" s="21"/>
      <c r="Z79" s="21"/>
    </row>
    <row r="80" spans="1:26" x14ac:dyDescent="0.25">
      <c r="A80" s="21"/>
      <c r="B80" s="21"/>
      <c r="C80" s="21"/>
      <c r="D80" s="21"/>
      <c r="E80" s="21"/>
      <c r="F80" s="21"/>
      <c r="G80" s="21"/>
      <c r="H80" s="21"/>
      <c r="I80" s="21"/>
      <c r="J80" s="21"/>
      <c r="K80" s="21"/>
      <c r="L80" s="21"/>
      <c r="M80" s="21"/>
      <c r="N80" s="21"/>
      <c r="O80" s="21"/>
      <c r="P80" s="21"/>
      <c r="Q80" s="21"/>
      <c r="R80" s="21"/>
      <c r="S80" s="21"/>
      <c r="T80" s="21"/>
      <c r="U80" s="21"/>
      <c r="V80" s="21"/>
      <c r="W80" s="21"/>
      <c r="X80" s="21"/>
      <c r="Y80" s="21"/>
      <c r="Z80" s="21"/>
    </row>
    <row r="81" spans="1:26" x14ac:dyDescent="0.25">
      <c r="A81" s="21"/>
      <c r="B81" s="21"/>
      <c r="C81" s="21"/>
      <c r="D81" s="21"/>
      <c r="E81" s="21"/>
      <c r="F81" s="21"/>
      <c r="G81" s="21"/>
      <c r="H81" s="21"/>
      <c r="I81" s="21"/>
      <c r="J81" s="21"/>
      <c r="K81" s="21"/>
      <c r="L81" s="21"/>
      <c r="M81" s="21"/>
      <c r="N81" s="21"/>
      <c r="O81" s="21"/>
      <c r="P81" s="21"/>
      <c r="Q81" s="21"/>
      <c r="R81" s="21"/>
      <c r="S81" s="21"/>
      <c r="T81" s="21"/>
      <c r="U81" s="21"/>
      <c r="V81" s="21"/>
      <c r="W81" s="21"/>
      <c r="X81" s="21"/>
      <c r="Y81" s="21"/>
      <c r="Z81" s="21"/>
    </row>
    <row r="82" spans="1:26" x14ac:dyDescent="0.25">
      <c r="A82" s="21"/>
      <c r="B82" s="21"/>
      <c r="C82" s="21"/>
      <c r="D82" s="21"/>
      <c r="E82" s="21"/>
      <c r="F82" s="21"/>
      <c r="G82" s="21"/>
      <c r="H82" s="21"/>
      <c r="I82" s="21"/>
      <c r="J82" s="21"/>
      <c r="K82" s="21"/>
      <c r="L82" s="21"/>
      <c r="M82" s="21"/>
      <c r="N82" s="21"/>
      <c r="O82" s="21"/>
      <c r="P82" s="21"/>
      <c r="Q82" s="21"/>
      <c r="R82" s="21"/>
      <c r="S82" s="21"/>
      <c r="T82" s="21"/>
      <c r="U82" s="21"/>
      <c r="V82" s="21"/>
      <c r="W82" s="21"/>
      <c r="X82" s="21"/>
      <c r="Y82" s="21"/>
      <c r="Z82" s="21"/>
    </row>
    <row r="83" spans="1:26" x14ac:dyDescent="0.25">
      <c r="A83" s="21"/>
      <c r="B83" s="21"/>
      <c r="C83" s="21"/>
      <c r="D83" s="21"/>
      <c r="E83" s="21"/>
      <c r="F83" s="21"/>
      <c r="G83" s="21"/>
      <c r="H83" s="21"/>
      <c r="I83" s="21"/>
      <c r="J83" s="21"/>
      <c r="K83" s="21"/>
      <c r="L83" s="21"/>
      <c r="M83" s="21"/>
      <c r="N83" s="21"/>
      <c r="O83" s="21"/>
      <c r="P83" s="21"/>
      <c r="Q83" s="21"/>
      <c r="R83" s="21"/>
      <c r="S83" s="21"/>
      <c r="T83" s="21"/>
      <c r="U83" s="21"/>
      <c r="V83" s="21"/>
      <c r="W83" s="21"/>
      <c r="X83" s="21"/>
      <c r="Y83" s="21"/>
      <c r="Z83" s="21"/>
    </row>
    <row r="84" spans="1:26" x14ac:dyDescent="0.25">
      <c r="A84" s="21"/>
      <c r="B84" s="21"/>
      <c r="C84" s="21"/>
      <c r="D84" s="21"/>
      <c r="E84" s="21"/>
      <c r="F84" s="21"/>
      <c r="G84" s="21"/>
      <c r="H84" s="21"/>
      <c r="I84" s="21"/>
      <c r="J84" s="21"/>
      <c r="K84" s="21"/>
      <c r="L84" s="21"/>
      <c r="M84" s="21"/>
      <c r="N84" s="21"/>
      <c r="O84" s="21"/>
      <c r="P84" s="21"/>
      <c r="Q84" s="21"/>
      <c r="R84" s="21"/>
      <c r="S84" s="21"/>
      <c r="T84" s="21"/>
      <c r="U84" s="21"/>
      <c r="V84" s="21"/>
      <c r="W84" s="21"/>
      <c r="X84" s="21"/>
      <c r="Y84" s="21"/>
      <c r="Z84" s="21"/>
    </row>
    <row r="85" spans="1:26" x14ac:dyDescent="0.25">
      <c r="A85" s="21"/>
      <c r="B85" s="21"/>
      <c r="C85" s="21"/>
      <c r="D85" s="21"/>
      <c r="E85" s="21"/>
      <c r="F85" s="21"/>
      <c r="G85" s="21"/>
      <c r="H85" s="21"/>
      <c r="I85" s="21"/>
      <c r="J85" s="21"/>
      <c r="K85" s="21"/>
      <c r="L85" s="21"/>
      <c r="M85" s="21"/>
      <c r="N85" s="21"/>
      <c r="O85" s="21"/>
      <c r="P85" s="21"/>
      <c r="Q85" s="21"/>
      <c r="R85" s="21"/>
      <c r="S85" s="21"/>
      <c r="T85" s="21"/>
      <c r="U85" s="21"/>
      <c r="V85" s="21"/>
      <c r="W85" s="21"/>
      <c r="X85" s="21"/>
      <c r="Y85" s="21"/>
      <c r="Z85" s="21"/>
    </row>
    <row r="86" spans="1:26" x14ac:dyDescent="0.25">
      <c r="A86" s="21"/>
      <c r="B86" s="21"/>
      <c r="C86" s="21"/>
      <c r="D86" s="21"/>
      <c r="E86" s="21"/>
      <c r="F86" s="21"/>
      <c r="G86" s="21"/>
      <c r="H86" s="21"/>
      <c r="I86" s="21"/>
      <c r="J86" s="21"/>
      <c r="K86" s="21"/>
      <c r="L86" s="21"/>
      <c r="M86" s="21"/>
      <c r="N86" s="21"/>
      <c r="O86" s="21"/>
      <c r="P86" s="21"/>
      <c r="Q86" s="21"/>
      <c r="R86" s="21"/>
      <c r="S86" s="21"/>
      <c r="T86" s="21"/>
      <c r="U86" s="21"/>
      <c r="V86" s="21"/>
      <c r="W86" s="21"/>
      <c r="X86" s="21"/>
      <c r="Y86" s="21"/>
      <c r="Z86" s="21"/>
    </row>
    <row r="87" spans="1:26" x14ac:dyDescent="0.25">
      <c r="A87" s="21"/>
      <c r="B87" s="21"/>
      <c r="C87" s="21"/>
      <c r="D87" s="21"/>
      <c r="E87" s="21"/>
      <c r="F87" s="21"/>
      <c r="G87" s="21"/>
      <c r="H87" s="21"/>
      <c r="I87" s="21"/>
      <c r="J87" s="21"/>
      <c r="K87" s="21"/>
      <c r="L87" s="21"/>
      <c r="M87" s="21"/>
      <c r="N87" s="21"/>
      <c r="O87" s="21"/>
      <c r="P87" s="21"/>
      <c r="Q87" s="21"/>
      <c r="R87" s="21"/>
      <c r="S87" s="21"/>
      <c r="T87" s="21"/>
      <c r="U87" s="21"/>
      <c r="V87" s="21"/>
      <c r="W87" s="21"/>
      <c r="X87" s="21"/>
      <c r="Y87" s="21"/>
      <c r="Z87" s="21"/>
    </row>
    <row r="88" spans="1:26" x14ac:dyDescent="0.25">
      <c r="A88" s="21"/>
      <c r="B88" s="21"/>
      <c r="C88" s="21"/>
      <c r="D88" s="21"/>
      <c r="E88" s="21"/>
      <c r="F88" s="21"/>
      <c r="G88" s="21"/>
      <c r="H88" s="21"/>
      <c r="I88" s="21"/>
      <c r="J88" s="21"/>
      <c r="K88" s="21"/>
      <c r="L88" s="21"/>
      <c r="M88" s="21"/>
      <c r="N88" s="21"/>
      <c r="O88" s="21"/>
      <c r="P88" s="21"/>
      <c r="Q88" s="21"/>
      <c r="R88" s="21"/>
      <c r="S88" s="21"/>
      <c r="T88" s="21"/>
      <c r="U88" s="21"/>
      <c r="V88" s="21"/>
      <c r="W88" s="21"/>
      <c r="X88" s="21"/>
      <c r="Y88" s="21"/>
      <c r="Z88" s="21"/>
    </row>
    <row r="89" spans="1:26" x14ac:dyDescent="0.25">
      <c r="A89" s="21"/>
      <c r="B89" s="21"/>
      <c r="C89" s="21"/>
      <c r="D89" s="21"/>
      <c r="E89" s="21"/>
      <c r="F89" s="21"/>
      <c r="G89" s="21"/>
      <c r="H89" s="21"/>
      <c r="I89" s="21"/>
      <c r="J89" s="21"/>
      <c r="K89" s="21"/>
      <c r="L89" s="21"/>
      <c r="M89" s="21"/>
      <c r="N89" s="21"/>
      <c r="O89" s="21"/>
      <c r="P89" s="21"/>
      <c r="Q89" s="21"/>
      <c r="R89" s="21"/>
      <c r="S89" s="21"/>
      <c r="T89" s="21"/>
      <c r="U89" s="21"/>
      <c r="V89" s="21"/>
      <c r="W89" s="21"/>
      <c r="X89" s="21"/>
      <c r="Y89" s="21"/>
      <c r="Z89" s="21"/>
    </row>
    <row r="90" spans="1:26" x14ac:dyDescent="0.25">
      <c r="A90" s="21"/>
      <c r="B90" s="21"/>
      <c r="C90" s="21"/>
      <c r="D90" s="21"/>
      <c r="E90" s="21"/>
      <c r="F90" s="21"/>
      <c r="G90" s="21"/>
      <c r="H90" s="21"/>
      <c r="I90" s="21"/>
      <c r="J90" s="21"/>
      <c r="K90" s="21"/>
      <c r="L90" s="21"/>
      <c r="M90" s="21"/>
      <c r="N90" s="21"/>
      <c r="O90" s="21"/>
      <c r="P90" s="21"/>
      <c r="Q90" s="21"/>
      <c r="R90" s="21"/>
      <c r="S90" s="21"/>
      <c r="T90" s="21"/>
      <c r="U90" s="21"/>
      <c r="V90" s="21"/>
      <c r="W90" s="21"/>
      <c r="X90" s="21"/>
      <c r="Y90" s="21"/>
      <c r="Z90" s="21"/>
    </row>
    <row r="91" spans="1:26" x14ac:dyDescent="0.25">
      <c r="A91" s="21"/>
      <c r="B91" s="21"/>
      <c r="C91" s="21"/>
      <c r="D91" s="21"/>
      <c r="E91" s="21"/>
      <c r="F91" s="21"/>
      <c r="G91" s="21"/>
      <c r="H91" s="21"/>
      <c r="I91" s="21"/>
      <c r="J91" s="21"/>
      <c r="K91" s="21"/>
      <c r="L91" s="21"/>
      <c r="M91" s="21"/>
      <c r="N91" s="21"/>
      <c r="O91" s="21"/>
      <c r="P91" s="21"/>
      <c r="Q91" s="21"/>
      <c r="R91" s="21"/>
      <c r="S91" s="21"/>
      <c r="T91" s="21"/>
      <c r="U91" s="21"/>
      <c r="V91" s="21"/>
      <c r="W91" s="21"/>
      <c r="X91" s="21"/>
      <c r="Y91" s="21"/>
      <c r="Z91" s="21"/>
    </row>
    <row r="92" spans="1:26" x14ac:dyDescent="0.25">
      <c r="A92" s="21"/>
      <c r="B92" s="21"/>
      <c r="C92" s="21"/>
      <c r="D92" s="21"/>
      <c r="E92" s="21"/>
      <c r="F92" s="21"/>
      <c r="G92" s="21"/>
      <c r="H92" s="21"/>
      <c r="I92" s="21"/>
      <c r="J92" s="21"/>
      <c r="K92" s="21"/>
      <c r="L92" s="21"/>
      <c r="M92" s="21"/>
      <c r="N92" s="21"/>
      <c r="O92" s="21"/>
      <c r="P92" s="21"/>
      <c r="Q92" s="21"/>
      <c r="R92" s="21"/>
      <c r="S92" s="21"/>
      <c r="T92" s="21"/>
      <c r="U92" s="21"/>
      <c r="V92" s="21"/>
      <c r="W92" s="21"/>
      <c r="X92" s="21"/>
      <c r="Y92" s="21"/>
      <c r="Z92" s="21"/>
    </row>
    <row r="93" spans="1:26" x14ac:dyDescent="0.25">
      <c r="A93" s="21"/>
      <c r="B93" s="21"/>
      <c r="C93" s="21"/>
      <c r="D93" s="21"/>
      <c r="E93" s="21"/>
      <c r="F93" s="21"/>
      <c r="G93" s="21"/>
      <c r="H93" s="21"/>
      <c r="I93" s="21"/>
      <c r="J93" s="21"/>
      <c r="K93" s="21"/>
      <c r="L93" s="21"/>
      <c r="M93" s="21"/>
      <c r="N93" s="21"/>
      <c r="O93" s="21"/>
      <c r="P93" s="21"/>
      <c r="Q93" s="21"/>
      <c r="R93" s="21"/>
      <c r="S93" s="21"/>
      <c r="T93" s="21"/>
      <c r="U93" s="21"/>
      <c r="V93" s="21"/>
      <c r="W93" s="21"/>
      <c r="X93" s="21"/>
      <c r="Y93" s="21"/>
      <c r="Z93" s="21"/>
    </row>
    <row r="94" spans="1:26" x14ac:dyDescent="0.25">
      <c r="A94" s="21"/>
      <c r="B94" s="21"/>
      <c r="C94" s="21"/>
      <c r="D94" s="21"/>
      <c r="E94" s="21"/>
      <c r="F94" s="21"/>
      <c r="G94" s="21"/>
      <c r="H94" s="21"/>
      <c r="I94" s="21"/>
      <c r="J94" s="21"/>
      <c r="K94" s="21"/>
      <c r="L94" s="21"/>
      <c r="M94" s="21"/>
      <c r="N94" s="21"/>
      <c r="O94" s="21"/>
      <c r="P94" s="21"/>
      <c r="Q94" s="21"/>
      <c r="R94" s="21"/>
      <c r="S94" s="21"/>
      <c r="T94" s="21"/>
      <c r="U94" s="21"/>
      <c r="V94" s="21"/>
      <c r="W94" s="21"/>
      <c r="X94" s="21"/>
      <c r="Y94" s="21"/>
      <c r="Z94" s="21"/>
    </row>
    <row r="95" spans="1:26" x14ac:dyDescent="0.25">
      <c r="A95" s="21"/>
      <c r="B95" s="21"/>
      <c r="C95" s="21"/>
      <c r="D95" s="21"/>
      <c r="E95" s="21"/>
      <c r="F95" s="21"/>
      <c r="G95" s="21"/>
      <c r="H95" s="21"/>
      <c r="I95" s="21"/>
      <c r="J95" s="21"/>
      <c r="K95" s="21"/>
      <c r="L95" s="21"/>
      <c r="M95" s="21"/>
      <c r="N95" s="21"/>
      <c r="O95" s="21"/>
      <c r="P95" s="21"/>
      <c r="Q95" s="21"/>
      <c r="R95" s="21"/>
      <c r="S95" s="21"/>
      <c r="T95" s="21"/>
      <c r="U95" s="21"/>
      <c r="V95" s="21"/>
      <c r="W95" s="21"/>
      <c r="X95" s="21"/>
      <c r="Y95" s="21"/>
      <c r="Z95" s="21"/>
    </row>
    <row r="96" spans="1:26" x14ac:dyDescent="0.25">
      <c r="A96" s="21"/>
      <c r="B96" s="21"/>
      <c r="C96" s="21"/>
      <c r="D96" s="21"/>
      <c r="E96" s="21"/>
      <c r="F96" s="21"/>
      <c r="G96" s="21"/>
      <c r="H96" s="21"/>
      <c r="I96" s="21"/>
      <c r="J96" s="21"/>
      <c r="K96" s="21"/>
      <c r="L96" s="21"/>
      <c r="M96" s="21"/>
      <c r="N96" s="21"/>
      <c r="O96" s="21"/>
      <c r="P96" s="21"/>
      <c r="Q96" s="21"/>
      <c r="R96" s="21"/>
      <c r="S96" s="21"/>
      <c r="T96" s="21"/>
      <c r="U96" s="21"/>
      <c r="V96" s="21"/>
      <c r="W96" s="21"/>
      <c r="X96" s="21"/>
      <c r="Y96" s="21"/>
      <c r="Z96" s="21"/>
    </row>
    <row r="97" spans="1:26" x14ac:dyDescent="0.25">
      <c r="A97" s="21"/>
      <c r="B97" s="21"/>
      <c r="C97" s="21"/>
      <c r="D97" s="21"/>
      <c r="E97" s="21"/>
      <c r="F97" s="21"/>
      <c r="G97" s="21"/>
      <c r="H97" s="21"/>
      <c r="I97" s="21"/>
      <c r="J97" s="21"/>
      <c r="K97" s="21"/>
      <c r="L97" s="21"/>
      <c r="M97" s="21"/>
      <c r="N97" s="21"/>
      <c r="O97" s="21"/>
      <c r="P97" s="21"/>
      <c r="Q97" s="21"/>
      <c r="R97" s="21"/>
      <c r="S97" s="21"/>
      <c r="T97" s="21"/>
      <c r="U97" s="21"/>
      <c r="V97" s="21"/>
      <c r="W97" s="21"/>
      <c r="X97" s="21"/>
      <c r="Y97" s="21"/>
      <c r="Z97" s="21"/>
    </row>
    <row r="98" spans="1:26" x14ac:dyDescent="0.25">
      <c r="A98" s="21"/>
      <c r="B98" s="21"/>
      <c r="C98" s="21"/>
      <c r="D98" s="21"/>
      <c r="E98" s="21"/>
      <c r="F98" s="21"/>
      <c r="G98" s="21"/>
      <c r="H98" s="21"/>
      <c r="I98" s="21"/>
      <c r="J98" s="21"/>
      <c r="K98" s="21"/>
      <c r="L98" s="21"/>
      <c r="M98" s="21"/>
      <c r="N98" s="21"/>
      <c r="O98" s="21"/>
      <c r="P98" s="21"/>
      <c r="Q98" s="21"/>
      <c r="R98" s="21"/>
      <c r="S98" s="21"/>
      <c r="T98" s="21"/>
      <c r="U98" s="21"/>
      <c r="V98" s="21"/>
      <c r="W98" s="21"/>
      <c r="X98" s="21"/>
      <c r="Y98" s="21"/>
      <c r="Z98" s="21"/>
    </row>
    <row r="99" spans="1:26" x14ac:dyDescent="0.25">
      <c r="A99" s="21"/>
      <c r="B99" s="21"/>
      <c r="C99" s="21"/>
      <c r="D99" s="21"/>
      <c r="E99" s="21"/>
      <c r="F99" s="21"/>
      <c r="G99" s="21"/>
      <c r="H99" s="21"/>
      <c r="I99" s="21"/>
      <c r="J99" s="21"/>
      <c r="K99" s="21"/>
      <c r="L99" s="21"/>
      <c r="M99" s="21"/>
      <c r="N99" s="21"/>
      <c r="O99" s="21"/>
      <c r="P99" s="21"/>
      <c r="Q99" s="21"/>
      <c r="R99" s="21"/>
      <c r="S99" s="21"/>
      <c r="T99" s="21"/>
      <c r="U99" s="21"/>
      <c r="V99" s="21"/>
      <c r="W99" s="21"/>
      <c r="X99" s="21"/>
      <c r="Y99" s="21"/>
      <c r="Z99" s="21"/>
    </row>
    <row r="100" spans="1:26" x14ac:dyDescent="0.25">
      <c r="A100" s="21"/>
      <c r="B100" s="21"/>
      <c r="C100" s="21"/>
      <c r="D100" s="21"/>
      <c r="E100" s="21"/>
      <c r="F100" s="21"/>
      <c r="G100" s="21"/>
      <c r="H100" s="21"/>
      <c r="I100" s="21"/>
      <c r="J100" s="21"/>
      <c r="K100" s="21"/>
      <c r="L100" s="21"/>
      <c r="M100" s="21"/>
      <c r="N100" s="21"/>
      <c r="O100" s="21"/>
      <c r="P100" s="21"/>
      <c r="Q100" s="21"/>
      <c r="R100" s="21"/>
      <c r="S100" s="21"/>
      <c r="T100" s="21"/>
      <c r="U100" s="21"/>
      <c r="V100" s="21"/>
      <c r="W100" s="21"/>
      <c r="X100" s="21"/>
      <c r="Y100" s="21"/>
      <c r="Z100" s="21"/>
    </row>
  </sheetData>
  <mergeCells count="1">
    <mergeCell ref="A1:G1"/>
  </mergeCells>
  <conditionalFormatting sqref="C3:C18">
    <cfRule type="expression" dxfId="16" priority="2">
      <formula>ISNUMBER(SEARCH("REJECT",C3))</formula>
    </cfRule>
    <cfRule type="expression" dxfId="15" priority="3">
      <formula>ISNUMBER(SEARCH("ACCEPT",C3))</formula>
    </cfRule>
  </conditionalFormatting>
  <conditionalFormatting sqref="G3:G18">
    <cfRule type="expression" dxfId="14" priority="1">
      <formula>G3="Critical"</formula>
    </cfRule>
  </conditionalFormatting>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Z100"/>
  <sheetViews>
    <sheetView workbookViewId="0"/>
  </sheetViews>
  <sheetFormatPr defaultRowHeight="15" x14ac:dyDescent="0.25"/>
  <cols>
    <col min="1" max="1" width="27" customWidth="1"/>
    <col min="2" max="2" width="23" customWidth="1"/>
    <col min="3" max="3" width="25" customWidth="1"/>
    <col min="4" max="4" width="28" customWidth="1"/>
    <col min="5" max="5" width="26" customWidth="1"/>
    <col min="6" max="7" width="33" customWidth="1"/>
    <col min="8" max="8" width="12" customWidth="1"/>
    <col min="9" max="9" width="20" customWidth="1"/>
    <col min="10" max="10" width="42" customWidth="1"/>
  </cols>
  <sheetData>
    <row r="1" spans="1:26" ht="19.5" x14ac:dyDescent="0.25">
      <c r="A1" s="135" t="s">
        <v>2868</v>
      </c>
      <c r="B1" s="135"/>
      <c r="C1" s="135"/>
      <c r="D1" s="135"/>
      <c r="E1" s="135"/>
      <c r="F1" s="135"/>
      <c r="G1" s="135"/>
      <c r="H1" s="135"/>
      <c r="I1" s="135"/>
      <c r="J1" s="135"/>
      <c r="K1" s="21"/>
      <c r="L1" s="21"/>
      <c r="M1" s="21"/>
      <c r="N1" s="21"/>
      <c r="O1" s="21"/>
      <c r="P1" s="21"/>
      <c r="Q1" s="21"/>
      <c r="R1" s="21"/>
      <c r="S1" s="21"/>
      <c r="T1" s="21"/>
      <c r="U1" s="21"/>
      <c r="V1" s="21"/>
      <c r="W1" s="21"/>
      <c r="X1" s="21"/>
      <c r="Y1" s="21"/>
      <c r="Z1" s="21"/>
    </row>
    <row r="2" spans="1:26" x14ac:dyDescent="0.25">
      <c r="A2" s="21"/>
      <c r="B2" s="21"/>
      <c r="C2" s="21"/>
      <c r="D2" s="21"/>
      <c r="E2" s="21"/>
      <c r="F2" s="21"/>
      <c r="G2" s="21"/>
      <c r="H2" s="21"/>
      <c r="I2" s="21"/>
      <c r="J2" s="21"/>
      <c r="K2" s="21"/>
      <c r="L2" s="21"/>
      <c r="M2" s="21"/>
      <c r="N2" s="21"/>
      <c r="O2" s="21"/>
      <c r="P2" s="21"/>
      <c r="Q2" s="21"/>
      <c r="R2" s="21"/>
      <c r="S2" s="21"/>
      <c r="T2" s="21"/>
      <c r="U2" s="21"/>
      <c r="V2" s="21"/>
      <c r="W2" s="21"/>
      <c r="X2" s="21"/>
      <c r="Y2" s="21"/>
      <c r="Z2" s="21"/>
    </row>
    <row r="3" spans="1:26" x14ac:dyDescent="0.25">
      <c r="A3" s="116" t="s">
        <v>2869</v>
      </c>
      <c r="B3" s="116" t="s">
        <v>2870</v>
      </c>
      <c r="C3" s="116" t="s">
        <v>2871</v>
      </c>
      <c r="D3" s="116" t="s">
        <v>2872</v>
      </c>
      <c r="E3" s="116" t="s">
        <v>2576</v>
      </c>
      <c r="F3" s="116" t="s">
        <v>2873</v>
      </c>
      <c r="G3" s="116" t="s">
        <v>2874</v>
      </c>
      <c r="H3" s="21"/>
      <c r="I3" s="21"/>
      <c r="J3" s="21"/>
      <c r="K3" s="21"/>
      <c r="L3" s="21"/>
      <c r="M3" s="21"/>
      <c r="N3" s="21"/>
      <c r="O3" s="21"/>
      <c r="P3" s="21"/>
      <c r="Q3" s="21"/>
      <c r="R3" s="21"/>
      <c r="S3" s="21"/>
      <c r="T3" s="21"/>
      <c r="U3" s="21"/>
      <c r="V3" s="21"/>
      <c r="W3" s="21"/>
      <c r="X3" s="21"/>
      <c r="Y3" s="21"/>
      <c r="Z3" s="21"/>
    </row>
    <row r="4" spans="1:26" ht="60" x14ac:dyDescent="0.25">
      <c r="A4" s="7" t="s">
        <v>2875</v>
      </c>
      <c r="B4" s="7">
        <v>163</v>
      </c>
      <c r="C4" s="7" t="s">
        <v>2876</v>
      </c>
      <c r="D4" s="7" t="s">
        <v>2877</v>
      </c>
      <c r="E4" s="7" t="s">
        <v>2878</v>
      </c>
      <c r="F4" s="7" t="s">
        <v>2879</v>
      </c>
      <c r="G4" s="7" t="s">
        <v>2880</v>
      </c>
      <c r="H4" s="21"/>
      <c r="I4" s="21"/>
      <c r="J4" s="21"/>
      <c r="K4" s="21"/>
      <c r="L4" s="21"/>
      <c r="M4" s="21"/>
      <c r="N4" s="21"/>
      <c r="O4" s="21"/>
      <c r="P4" s="21"/>
      <c r="Q4" s="21"/>
      <c r="R4" s="21"/>
      <c r="S4" s="21"/>
      <c r="T4" s="21"/>
      <c r="U4" s="21"/>
      <c r="V4" s="21"/>
      <c r="W4" s="21"/>
      <c r="X4" s="21"/>
      <c r="Y4" s="21"/>
      <c r="Z4" s="21"/>
    </row>
    <row r="5" spans="1:26" ht="60" x14ac:dyDescent="0.25">
      <c r="A5" s="7" t="s">
        <v>2881</v>
      </c>
      <c r="B5" s="7">
        <v>856</v>
      </c>
      <c r="C5" s="7" t="s">
        <v>2882</v>
      </c>
      <c r="D5" s="7" t="s">
        <v>2883</v>
      </c>
      <c r="E5" s="7" t="s">
        <v>2884</v>
      </c>
      <c r="F5" s="7" t="s">
        <v>2885</v>
      </c>
      <c r="G5" s="7" t="s">
        <v>2886</v>
      </c>
      <c r="H5" s="21"/>
      <c r="I5" s="21"/>
      <c r="J5" s="21"/>
      <c r="K5" s="21"/>
      <c r="L5" s="21"/>
      <c r="M5" s="21"/>
      <c r="N5" s="21"/>
      <c r="O5" s="21"/>
      <c r="P5" s="21"/>
      <c r="Q5" s="21"/>
      <c r="R5" s="21"/>
      <c r="S5" s="21"/>
      <c r="T5" s="21"/>
      <c r="U5" s="21"/>
      <c r="V5" s="21"/>
      <c r="W5" s="21"/>
      <c r="X5" s="21"/>
      <c r="Y5" s="21"/>
      <c r="Z5" s="21"/>
    </row>
    <row r="6" spans="1:26" ht="60" x14ac:dyDescent="0.25">
      <c r="A6" s="7" t="s">
        <v>2887</v>
      </c>
      <c r="B6" s="7">
        <v>1060</v>
      </c>
      <c r="C6" s="7" t="s">
        <v>2888</v>
      </c>
      <c r="D6" s="7" t="s">
        <v>2889</v>
      </c>
      <c r="E6" s="7" t="s">
        <v>2890</v>
      </c>
      <c r="F6" s="7" t="s">
        <v>2891</v>
      </c>
      <c r="G6" s="7" t="s">
        <v>2892</v>
      </c>
      <c r="H6" s="21"/>
      <c r="I6" s="21"/>
      <c r="J6" s="21"/>
      <c r="K6" s="21"/>
      <c r="L6" s="21"/>
      <c r="M6" s="21"/>
      <c r="N6" s="21"/>
      <c r="O6" s="21"/>
      <c r="P6" s="21"/>
      <c r="Q6" s="21"/>
      <c r="R6" s="21"/>
      <c r="S6" s="21"/>
      <c r="T6" s="21"/>
      <c r="U6" s="21"/>
      <c r="V6" s="21"/>
      <c r="W6" s="21"/>
      <c r="X6" s="21"/>
      <c r="Y6" s="21"/>
      <c r="Z6" s="21"/>
    </row>
    <row r="7" spans="1:26" x14ac:dyDescent="0.25">
      <c r="A7" s="21"/>
      <c r="B7" s="21"/>
      <c r="C7" s="21"/>
      <c r="D7" s="21"/>
      <c r="E7" s="21"/>
      <c r="F7" s="21"/>
      <c r="G7" s="21"/>
      <c r="H7" s="21"/>
      <c r="I7" s="21"/>
      <c r="J7" s="21"/>
      <c r="K7" s="21"/>
      <c r="L7" s="21"/>
      <c r="M7" s="21"/>
      <c r="N7" s="21"/>
      <c r="O7" s="21"/>
      <c r="P7" s="21"/>
      <c r="Q7" s="21"/>
      <c r="R7" s="21"/>
      <c r="S7" s="21"/>
      <c r="T7" s="21"/>
      <c r="U7" s="21"/>
      <c r="V7" s="21"/>
      <c r="W7" s="21"/>
      <c r="X7" s="21"/>
      <c r="Y7" s="21"/>
      <c r="Z7" s="21"/>
    </row>
    <row r="8" spans="1:26" x14ac:dyDescent="0.25">
      <c r="A8" s="116" t="s">
        <v>1</v>
      </c>
      <c r="B8" s="116" t="s">
        <v>2870</v>
      </c>
      <c r="C8" s="116" t="s">
        <v>2893</v>
      </c>
      <c r="D8" s="116" t="s">
        <v>2025</v>
      </c>
      <c r="E8" s="116" t="s">
        <v>2894</v>
      </c>
      <c r="F8" s="116" t="s">
        <v>2026</v>
      </c>
      <c r="G8" s="116" t="s">
        <v>2895</v>
      </c>
      <c r="H8" s="116" t="s">
        <v>2027</v>
      </c>
      <c r="I8" s="116" t="s">
        <v>2896</v>
      </c>
      <c r="J8" s="116" t="s">
        <v>2897</v>
      </c>
      <c r="K8" s="21"/>
      <c r="L8" s="21"/>
      <c r="M8" s="21"/>
      <c r="N8" s="21"/>
      <c r="O8" s="21"/>
      <c r="P8" s="21"/>
      <c r="Q8" s="21"/>
      <c r="R8" s="21"/>
      <c r="S8" s="21"/>
      <c r="T8" s="21"/>
      <c r="U8" s="21"/>
      <c r="V8" s="21"/>
      <c r="W8" s="21"/>
      <c r="X8" s="21"/>
      <c r="Y8" s="21"/>
      <c r="Z8" s="21"/>
    </row>
    <row r="9" spans="1:26" ht="30" x14ac:dyDescent="0.25">
      <c r="A9" s="7" t="s">
        <v>7</v>
      </c>
      <c r="B9" s="117">
        <v>163</v>
      </c>
      <c r="C9" s="117">
        <v>6.155555555555555</v>
      </c>
      <c r="D9" s="117">
        <v>9.2333333333333325</v>
      </c>
      <c r="E9" s="117">
        <v>10.816666666666666</v>
      </c>
      <c r="F9" s="117">
        <v>17.246666666666666</v>
      </c>
      <c r="G9" s="117">
        <v>1.9388888888888889</v>
      </c>
      <c r="H9" s="117">
        <v>2.8708333333333336</v>
      </c>
      <c r="I9" s="7" t="s">
        <v>2898</v>
      </c>
      <c r="J9" s="7" t="s">
        <v>2899</v>
      </c>
      <c r="K9" s="21"/>
      <c r="L9" s="21"/>
      <c r="M9" s="21"/>
      <c r="N9" s="21"/>
      <c r="O9" s="21"/>
      <c r="P9" s="21"/>
      <c r="Q9" s="21"/>
      <c r="R9" s="21"/>
      <c r="S9" s="21"/>
      <c r="T9" s="21"/>
      <c r="U9" s="21"/>
      <c r="V9" s="21"/>
      <c r="W9" s="21"/>
      <c r="X9" s="21"/>
      <c r="Y9" s="21"/>
      <c r="Z9" s="21"/>
    </row>
    <row r="10" spans="1:26" ht="30" x14ac:dyDescent="0.25">
      <c r="A10" s="7" t="s">
        <v>30</v>
      </c>
      <c r="B10" s="117">
        <v>490</v>
      </c>
      <c r="C10" s="117">
        <v>42.483333333333334</v>
      </c>
      <c r="D10" s="117">
        <v>65.499166666666667</v>
      </c>
      <c r="E10" s="117">
        <v>13.574603174603174</v>
      </c>
      <c r="F10" s="117">
        <v>21.470476190476191</v>
      </c>
      <c r="G10" s="117">
        <v>3</v>
      </c>
      <c r="H10" s="117">
        <v>4.5</v>
      </c>
      <c r="I10" s="7" t="s">
        <v>2900</v>
      </c>
      <c r="J10" s="7" t="s">
        <v>2901</v>
      </c>
      <c r="K10" s="21"/>
      <c r="L10" s="21"/>
      <c r="M10" s="21"/>
      <c r="N10" s="21"/>
      <c r="O10" s="21"/>
      <c r="P10" s="21"/>
      <c r="Q10" s="21"/>
      <c r="R10" s="21"/>
      <c r="S10" s="21"/>
      <c r="T10" s="21"/>
      <c r="U10" s="21"/>
      <c r="V10" s="21"/>
      <c r="W10" s="21"/>
      <c r="X10" s="21"/>
      <c r="Y10" s="21"/>
      <c r="Z10" s="21"/>
    </row>
    <row r="11" spans="1:26" ht="45" x14ac:dyDescent="0.25">
      <c r="A11" s="7" t="s">
        <v>41</v>
      </c>
      <c r="B11" s="117">
        <v>366</v>
      </c>
      <c r="C11" s="117">
        <v>2.4</v>
      </c>
      <c r="D11" s="117">
        <v>4.08</v>
      </c>
      <c r="E11" s="117">
        <v>1.5555555555555554</v>
      </c>
      <c r="F11" s="117">
        <v>2.333333333333333</v>
      </c>
      <c r="G11" s="117">
        <v>34.62777777777778</v>
      </c>
      <c r="H11" s="117">
        <v>52.204166666666666</v>
      </c>
      <c r="I11" s="7" t="s">
        <v>2902</v>
      </c>
      <c r="J11" s="7" t="s">
        <v>2903</v>
      </c>
      <c r="K11" s="21"/>
      <c r="L11" s="21"/>
      <c r="M11" s="21"/>
      <c r="N11" s="21"/>
      <c r="O11" s="21"/>
      <c r="P11" s="21"/>
      <c r="Q11" s="21"/>
      <c r="R11" s="21"/>
      <c r="S11" s="21"/>
      <c r="T11" s="21"/>
      <c r="U11" s="21"/>
      <c r="V11" s="21"/>
      <c r="W11" s="21"/>
      <c r="X11" s="21"/>
      <c r="Y11" s="21"/>
      <c r="Z11" s="21"/>
    </row>
    <row r="12" spans="1:26" ht="45" x14ac:dyDescent="0.25">
      <c r="A12" s="7" t="s">
        <v>59</v>
      </c>
      <c r="B12" s="117">
        <v>204</v>
      </c>
      <c r="C12" s="117">
        <v>40</v>
      </c>
      <c r="D12" s="117">
        <v>72</v>
      </c>
      <c r="E12" s="117">
        <v>12</v>
      </c>
      <c r="F12" s="117">
        <v>21.6</v>
      </c>
      <c r="G12" s="117">
        <v>9.6</v>
      </c>
      <c r="H12" s="117">
        <v>17.28</v>
      </c>
      <c r="I12" s="7" t="s">
        <v>2904</v>
      </c>
      <c r="J12" s="7" t="s">
        <v>2905</v>
      </c>
      <c r="K12" s="21"/>
      <c r="L12" s="21"/>
      <c r="M12" s="21"/>
      <c r="N12" s="21"/>
      <c r="O12" s="21"/>
      <c r="P12" s="21"/>
      <c r="Q12" s="21"/>
      <c r="R12" s="21"/>
      <c r="S12" s="21"/>
      <c r="T12" s="21"/>
      <c r="U12" s="21"/>
      <c r="V12" s="21"/>
      <c r="W12" s="21"/>
      <c r="X12" s="21"/>
      <c r="Y12" s="21"/>
      <c r="Z12" s="21"/>
    </row>
    <row r="13" spans="1:26" x14ac:dyDescent="0.25">
      <c r="A13" s="21"/>
      <c r="B13" s="21"/>
      <c r="C13" s="21"/>
      <c r="D13" s="21"/>
      <c r="E13" s="21"/>
      <c r="F13" s="21"/>
      <c r="G13" s="21"/>
      <c r="H13" s="21"/>
      <c r="I13" s="21"/>
      <c r="J13" s="21"/>
      <c r="K13" s="21"/>
      <c r="L13" s="21"/>
      <c r="M13" s="21"/>
      <c r="N13" s="21"/>
      <c r="O13" s="21"/>
      <c r="P13" s="21"/>
      <c r="Q13" s="21"/>
      <c r="R13" s="21"/>
      <c r="S13" s="21"/>
      <c r="T13" s="21"/>
      <c r="U13" s="21"/>
      <c r="V13" s="21"/>
      <c r="W13" s="21"/>
      <c r="X13" s="21"/>
      <c r="Y13" s="21"/>
      <c r="Z13" s="21"/>
    </row>
    <row r="14" spans="1:26" x14ac:dyDescent="0.25">
      <c r="A14" s="136" t="s">
        <v>2906</v>
      </c>
      <c r="B14" s="136"/>
      <c r="C14" s="136"/>
      <c r="D14" s="136"/>
      <c r="E14" s="136"/>
      <c r="F14" s="136"/>
      <c r="G14" s="136"/>
      <c r="H14" s="21"/>
      <c r="I14" s="21"/>
      <c r="J14" s="21"/>
      <c r="K14" s="21"/>
      <c r="L14" s="21"/>
      <c r="M14" s="21"/>
      <c r="N14" s="21"/>
      <c r="O14" s="21"/>
      <c r="P14" s="21"/>
      <c r="Q14" s="21"/>
      <c r="R14" s="21"/>
      <c r="S14" s="21"/>
      <c r="T14" s="21"/>
      <c r="U14" s="21"/>
      <c r="V14" s="21"/>
      <c r="W14" s="21"/>
      <c r="X14" s="21"/>
      <c r="Y14" s="21"/>
      <c r="Z14" s="21"/>
    </row>
    <row r="15" spans="1:26" x14ac:dyDescent="0.25">
      <c r="A15" s="118" t="s">
        <v>2907</v>
      </c>
      <c r="B15" s="118" t="s">
        <v>2908</v>
      </c>
      <c r="C15" s="118" t="s">
        <v>2535</v>
      </c>
      <c r="D15" s="118" t="s">
        <v>689</v>
      </c>
      <c r="E15" s="118"/>
      <c r="F15" s="118"/>
      <c r="G15" s="119"/>
      <c r="H15" s="21"/>
      <c r="I15" s="21"/>
      <c r="J15" s="21"/>
      <c r="K15" s="21"/>
      <c r="L15" s="21"/>
      <c r="M15" s="21"/>
      <c r="N15" s="21"/>
      <c r="O15" s="21"/>
      <c r="P15" s="21"/>
      <c r="Q15" s="21"/>
      <c r="R15" s="21"/>
      <c r="S15" s="21"/>
      <c r="T15" s="21"/>
      <c r="U15" s="21"/>
      <c r="V15" s="21"/>
      <c r="W15" s="21"/>
      <c r="X15" s="21"/>
      <c r="Y15" s="21"/>
      <c r="Z15" s="21"/>
    </row>
    <row r="16" spans="1:26" ht="60" x14ac:dyDescent="0.25">
      <c r="A16" s="7" t="s">
        <v>2909</v>
      </c>
      <c r="B16" s="7" t="s">
        <v>2910</v>
      </c>
      <c r="C16" s="7" t="s">
        <v>2911</v>
      </c>
      <c r="D16" s="7" t="s">
        <v>2912</v>
      </c>
      <c r="E16" s="7"/>
      <c r="F16" s="7"/>
      <c r="G16" s="7"/>
      <c r="H16" s="21"/>
      <c r="I16" s="21"/>
      <c r="J16" s="21"/>
      <c r="K16" s="21"/>
      <c r="L16" s="21"/>
      <c r="M16" s="21"/>
      <c r="N16" s="21"/>
      <c r="O16" s="21"/>
      <c r="P16" s="21"/>
      <c r="Q16" s="21"/>
      <c r="R16" s="21"/>
      <c r="S16" s="21"/>
      <c r="T16" s="21"/>
      <c r="U16" s="21"/>
      <c r="V16" s="21"/>
      <c r="W16" s="21"/>
      <c r="X16" s="21"/>
      <c r="Y16" s="21"/>
      <c r="Z16" s="21"/>
    </row>
    <row r="17" spans="1:26" ht="45" x14ac:dyDescent="0.25">
      <c r="A17" s="7" t="s">
        <v>2050</v>
      </c>
      <c r="B17" s="7" t="s">
        <v>2913</v>
      </c>
      <c r="C17" s="7" t="s">
        <v>2914</v>
      </c>
      <c r="D17" s="7" t="s">
        <v>2915</v>
      </c>
      <c r="E17" s="7"/>
      <c r="F17" s="7"/>
      <c r="G17" s="7"/>
      <c r="H17" s="21"/>
      <c r="I17" s="21"/>
      <c r="J17" s="21"/>
      <c r="K17" s="21"/>
      <c r="L17" s="21"/>
      <c r="M17" s="21"/>
      <c r="N17" s="21"/>
      <c r="O17" s="21"/>
      <c r="P17" s="21"/>
      <c r="Q17" s="21"/>
      <c r="R17" s="21"/>
      <c r="S17" s="21"/>
      <c r="T17" s="21"/>
      <c r="U17" s="21"/>
      <c r="V17" s="21"/>
      <c r="W17" s="21"/>
      <c r="X17" s="21"/>
      <c r="Y17" s="21"/>
      <c r="Z17" s="21"/>
    </row>
    <row r="18" spans="1:26" ht="45" x14ac:dyDescent="0.25">
      <c r="A18" s="7" t="s">
        <v>2052</v>
      </c>
      <c r="B18" s="7" t="s">
        <v>2916</v>
      </c>
      <c r="C18" s="7" t="s">
        <v>2917</v>
      </c>
      <c r="D18" s="7" t="s">
        <v>2918</v>
      </c>
      <c r="E18" s="7"/>
      <c r="F18" s="7"/>
      <c r="G18" s="7"/>
      <c r="H18" s="21"/>
      <c r="I18" s="21"/>
      <c r="J18" s="21"/>
      <c r="K18" s="21"/>
      <c r="L18" s="21"/>
      <c r="M18" s="21"/>
      <c r="N18" s="21"/>
      <c r="O18" s="21"/>
      <c r="P18" s="21"/>
      <c r="Q18" s="21"/>
      <c r="R18" s="21"/>
      <c r="S18" s="21"/>
      <c r="T18" s="21"/>
      <c r="U18" s="21"/>
      <c r="V18" s="21"/>
      <c r="W18" s="21"/>
      <c r="X18" s="21"/>
      <c r="Y18" s="21"/>
      <c r="Z18" s="21"/>
    </row>
    <row r="19" spans="1:26" ht="45" x14ac:dyDescent="0.25">
      <c r="A19" s="7" t="s">
        <v>2919</v>
      </c>
      <c r="B19" s="7" t="s">
        <v>2920</v>
      </c>
      <c r="C19" s="7" t="s">
        <v>2921</v>
      </c>
      <c r="D19" s="7" t="s">
        <v>2922</v>
      </c>
      <c r="E19" s="7"/>
      <c r="F19" s="7"/>
      <c r="G19" s="7"/>
      <c r="H19" s="21"/>
      <c r="I19" s="21"/>
      <c r="J19" s="21"/>
      <c r="K19" s="21"/>
      <c r="L19" s="21"/>
      <c r="M19" s="21"/>
      <c r="N19" s="21"/>
      <c r="O19" s="21"/>
      <c r="P19" s="21"/>
      <c r="Q19" s="21"/>
      <c r="R19" s="21"/>
      <c r="S19" s="21"/>
      <c r="T19" s="21"/>
      <c r="U19" s="21"/>
      <c r="V19" s="21"/>
      <c r="W19" s="21"/>
      <c r="X19" s="21"/>
      <c r="Y19" s="21"/>
      <c r="Z19" s="21"/>
    </row>
    <row r="20" spans="1:26" ht="45" x14ac:dyDescent="0.25">
      <c r="A20" s="7" t="s">
        <v>2923</v>
      </c>
      <c r="B20" s="7" t="s">
        <v>2924</v>
      </c>
      <c r="C20" s="7" t="s">
        <v>2925</v>
      </c>
      <c r="D20" s="7" t="s">
        <v>2926</v>
      </c>
      <c r="E20" s="7"/>
      <c r="F20" s="7"/>
      <c r="G20" s="7"/>
      <c r="H20" s="21"/>
      <c r="I20" s="21"/>
      <c r="J20" s="21"/>
      <c r="K20" s="21"/>
      <c r="L20" s="21"/>
      <c r="M20" s="21"/>
      <c r="N20" s="21"/>
      <c r="O20" s="21"/>
      <c r="P20" s="21"/>
      <c r="Q20" s="21"/>
      <c r="R20" s="21"/>
      <c r="S20" s="21"/>
      <c r="T20" s="21"/>
      <c r="U20" s="21"/>
      <c r="V20" s="21"/>
      <c r="W20" s="21"/>
      <c r="X20" s="21"/>
      <c r="Y20" s="21"/>
      <c r="Z20" s="21"/>
    </row>
    <row r="21" spans="1:26" x14ac:dyDescent="0.25">
      <c r="A21" s="21"/>
      <c r="B21" s="21"/>
      <c r="C21" s="21"/>
      <c r="D21" s="21"/>
      <c r="E21" s="21"/>
      <c r="F21" s="21"/>
      <c r="G21" s="21"/>
      <c r="H21" s="21"/>
      <c r="I21" s="21"/>
      <c r="J21" s="21"/>
      <c r="K21" s="21"/>
      <c r="L21" s="21"/>
      <c r="M21" s="21"/>
      <c r="N21" s="21"/>
      <c r="O21" s="21"/>
      <c r="P21" s="21"/>
      <c r="Q21" s="21"/>
      <c r="R21" s="21"/>
      <c r="S21" s="21"/>
      <c r="T21" s="21"/>
      <c r="U21" s="21"/>
      <c r="V21" s="21"/>
      <c r="W21" s="21"/>
      <c r="X21" s="21"/>
      <c r="Y21" s="21"/>
      <c r="Z21" s="21"/>
    </row>
    <row r="22" spans="1:26" x14ac:dyDescent="0.25">
      <c r="A22" s="136" t="s">
        <v>2927</v>
      </c>
      <c r="B22" s="136"/>
      <c r="C22" s="136"/>
      <c r="D22" s="136"/>
      <c r="E22" s="136"/>
      <c r="F22" s="136"/>
      <c r="G22" s="136"/>
      <c r="H22" s="21"/>
      <c r="I22" s="21"/>
      <c r="J22" s="21"/>
      <c r="K22" s="21"/>
      <c r="L22" s="21"/>
      <c r="M22" s="21"/>
      <c r="N22" s="21"/>
      <c r="O22" s="21"/>
      <c r="P22" s="21"/>
      <c r="Q22" s="21"/>
      <c r="R22" s="21"/>
      <c r="S22" s="21"/>
      <c r="T22" s="21"/>
      <c r="U22" s="21"/>
      <c r="V22" s="21"/>
      <c r="W22" s="21"/>
      <c r="X22" s="21"/>
      <c r="Y22" s="21"/>
      <c r="Z22" s="21"/>
    </row>
    <row r="23" spans="1:26" x14ac:dyDescent="0.25">
      <c r="A23" s="118" t="s">
        <v>2928</v>
      </c>
      <c r="B23" s="118" t="s">
        <v>1050</v>
      </c>
      <c r="C23" s="118" t="s">
        <v>1017</v>
      </c>
      <c r="D23" s="118" t="s">
        <v>1139</v>
      </c>
      <c r="E23" s="118" t="s">
        <v>2929</v>
      </c>
      <c r="F23" s="119" t="s">
        <v>2930</v>
      </c>
      <c r="G23" s="119" t="s">
        <v>2931</v>
      </c>
      <c r="H23" s="21"/>
      <c r="I23" s="21"/>
      <c r="J23" s="21"/>
      <c r="K23" s="21"/>
      <c r="L23" s="21"/>
      <c r="M23" s="21"/>
      <c r="N23" s="21"/>
      <c r="O23" s="21"/>
      <c r="P23" s="21"/>
      <c r="Q23" s="21"/>
      <c r="R23" s="21"/>
      <c r="S23" s="21"/>
      <c r="T23" s="21"/>
      <c r="U23" s="21"/>
      <c r="V23" s="21"/>
      <c r="W23" s="21"/>
      <c r="X23" s="21"/>
      <c r="Y23" s="21"/>
      <c r="Z23" s="21"/>
    </row>
    <row r="24" spans="1:26" ht="75" x14ac:dyDescent="0.25">
      <c r="A24" s="7" t="s">
        <v>2932</v>
      </c>
      <c r="B24" s="7" t="s">
        <v>2933</v>
      </c>
      <c r="C24" s="7" t="s">
        <v>2934</v>
      </c>
      <c r="D24" s="7" t="s">
        <v>2935</v>
      </c>
      <c r="E24" s="7" t="s">
        <v>2936</v>
      </c>
      <c r="F24" s="7" t="s">
        <v>2937</v>
      </c>
      <c r="G24" s="7" t="s">
        <v>2938</v>
      </c>
      <c r="H24" s="21"/>
      <c r="I24" s="21"/>
      <c r="J24" s="21"/>
      <c r="K24" s="21"/>
      <c r="L24" s="21"/>
      <c r="M24" s="21"/>
      <c r="N24" s="21"/>
      <c r="O24" s="21"/>
      <c r="P24" s="21"/>
      <c r="Q24" s="21"/>
      <c r="R24" s="21"/>
      <c r="S24" s="21"/>
      <c r="T24" s="21"/>
      <c r="U24" s="21"/>
      <c r="V24" s="21"/>
      <c r="W24" s="21"/>
      <c r="X24" s="21"/>
      <c r="Y24" s="21"/>
      <c r="Z24" s="21"/>
    </row>
    <row r="25" spans="1:26" ht="75" x14ac:dyDescent="0.25">
      <c r="A25" s="7" t="s">
        <v>2939</v>
      </c>
      <c r="B25" s="7" t="s">
        <v>2940</v>
      </c>
      <c r="C25" s="7" t="s">
        <v>2941</v>
      </c>
      <c r="D25" s="7" t="s">
        <v>2942</v>
      </c>
      <c r="E25" s="7" t="s">
        <v>2943</v>
      </c>
      <c r="F25" s="7" t="s">
        <v>2944</v>
      </c>
      <c r="G25" s="7" t="s">
        <v>2945</v>
      </c>
      <c r="H25" s="21"/>
      <c r="I25" s="21"/>
      <c r="J25" s="21"/>
      <c r="K25" s="21"/>
      <c r="L25" s="21"/>
      <c r="M25" s="21"/>
      <c r="N25" s="21"/>
      <c r="O25" s="21"/>
      <c r="P25" s="21"/>
      <c r="Q25" s="21"/>
      <c r="R25" s="21"/>
      <c r="S25" s="21"/>
      <c r="T25" s="21"/>
      <c r="U25" s="21"/>
      <c r="V25" s="21"/>
      <c r="W25" s="21"/>
      <c r="X25" s="21"/>
      <c r="Y25" s="21"/>
      <c r="Z25" s="21"/>
    </row>
    <row r="26" spans="1:26" ht="60" x14ac:dyDescent="0.25">
      <c r="A26" s="7" t="s">
        <v>2946</v>
      </c>
      <c r="B26" s="7" t="s">
        <v>2947</v>
      </c>
      <c r="C26" s="7" t="s">
        <v>2948</v>
      </c>
      <c r="D26" s="7" t="s">
        <v>2949</v>
      </c>
      <c r="E26" s="7" t="s">
        <v>2950</v>
      </c>
      <c r="F26" s="7" t="s">
        <v>2951</v>
      </c>
      <c r="G26" s="7" t="s">
        <v>2952</v>
      </c>
      <c r="H26" s="21"/>
      <c r="I26" s="21"/>
      <c r="J26" s="21"/>
      <c r="K26" s="21"/>
      <c r="L26" s="21"/>
      <c r="M26" s="21"/>
      <c r="N26" s="21"/>
      <c r="O26" s="21"/>
      <c r="P26" s="21"/>
      <c r="Q26" s="21"/>
      <c r="R26" s="21"/>
      <c r="S26" s="21"/>
      <c r="T26" s="21"/>
      <c r="U26" s="21"/>
      <c r="V26" s="21"/>
      <c r="W26" s="21"/>
      <c r="X26" s="21"/>
      <c r="Y26" s="21"/>
      <c r="Z26" s="21"/>
    </row>
    <row r="27" spans="1:26" x14ac:dyDescent="0.25">
      <c r="A27" s="21"/>
      <c r="B27" s="21"/>
      <c r="C27" s="21"/>
      <c r="D27" s="21"/>
      <c r="E27" s="21"/>
      <c r="F27" s="21"/>
      <c r="G27" s="21"/>
      <c r="H27" s="21"/>
      <c r="I27" s="21"/>
      <c r="J27" s="21"/>
      <c r="K27" s="21"/>
      <c r="L27" s="21"/>
      <c r="M27" s="21"/>
      <c r="N27" s="21"/>
      <c r="O27" s="21"/>
      <c r="P27" s="21"/>
      <c r="Q27" s="21"/>
      <c r="R27" s="21"/>
      <c r="S27" s="21"/>
      <c r="T27" s="21"/>
      <c r="U27" s="21"/>
      <c r="V27" s="21"/>
      <c r="W27" s="21"/>
      <c r="X27" s="21"/>
      <c r="Y27" s="21"/>
      <c r="Z27" s="21"/>
    </row>
    <row r="28" spans="1:26" x14ac:dyDescent="0.25">
      <c r="A28" s="21"/>
      <c r="B28" s="21"/>
      <c r="C28" s="21"/>
      <c r="D28" s="21"/>
      <c r="E28" s="21"/>
      <c r="F28" s="21"/>
      <c r="G28" s="21"/>
      <c r="H28" s="21"/>
      <c r="I28" s="21"/>
      <c r="J28" s="21"/>
      <c r="K28" s="21"/>
      <c r="L28" s="21"/>
      <c r="M28" s="21"/>
      <c r="N28" s="21"/>
      <c r="O28" s="21"/>
      <c r="P28" s="21"/>
      <c r="Q28" s="21"/>
      <c r="R28" s="21"/>
      <c r="S28" s="21"/>
      <c r="T28" s="21"/>
      <c r="U28" s="21"/>
      <c r="V28" s="21"/>
      <c r="W28" s="21"/>
      <c r="X28" s="21"/>
      <c r="Y28" s="21"/>
      <c r="Z28" s="21"/>
    </row>
    <row r="29" spans="1:26" x14ac:dyDescent="0.25">
      <c r="A29" s="21"/>
      <c r="B29" s="21"/>
      <c r="C29" s="21"/>
      <c r="D29" s="21"/>
      <c r="E29" s="21"/>
      <c r="F29" s="21"/>
      <c r="G29" s="21"/>
      <c r="H29" s="21"/>
      <c r="I29" s="21"/>
      <c r="J29" s="21"/>
      <c r="K29" s="21"/>
      <c r="L29" s="21"/>
      <c r="M29" s="21"/>
      <c r="N29" s="21"/>
      <c r="O29" s="21"/>
      <c r="P29" s="21"/>
      <c r="Q29" s="21"/>
      <c r="R29" s="21"/>
      <c r="S29" s="21"/>
      <c r="T29" s="21"/>
      <c r="U29" s="21"/>
      <c r="V29" s="21"/>
      <c r="W29" s="21"/>
      <c r="X29" s="21"/>
      <c r="Y29" s="21"/>
      <c r="Z29" s="21"/>
    </row>
    <row r="30" spans="1:26" x14ac:dyDescent="0.25">
      <c r="A30" s="21"/>
      <c r="B30" s="21"/>
      <c r="C30" s="21"/>
      <c r="D30" s="21"/>
      <c r="E30" s="21"/>
      <c r="F30" s="21"/>
      <c r="G30" s="21"/>
      <c r="H30" s="21"/>
      <c r="I30" s="21"/>
      <c r="J30" s="21"/>
      <c r="K30" s="21"/>
      <c r="L30" s="21"/>
      <c r="M30" s="21"/>
      <c r="N30" s="21"/>
      <c r="O30" s="21"/>
      <c r="P30" s="21"/>
      <c r="Q30" s="21"/>
      <c r="R30" s="21"/>
      <c r="S30" s="21"/>
      <c r="T30" s="21"/>
      <c r="U30" s="21"/>
      <c r="V30" s="21"/>
      <c r="W30" s="21"/>
      <c r="X30" s="21"/>
      <c r="Y30" s="21"/>
      <c r="Z30" s="21"/>
    </row>
    <row r="31" spans="1:26" x14ac:dyDescent="0.25">
      <c r="A31" s="21"/>
      <c r="B31" s="21"/>
      <c r="C31" s="21"/>
      <c r="D31" s="21"/>
      <c r="E31" s="21"/>
      <c r="F31" s="21"/>
      <c r="G31" s="21"/>
      <c r="H31" s="21"/>
      <c r="I31" s="21"/>
      <c r="J31" s="21"/>
      <c r="K31" s="21"/>
      <c r="L31" s="21"/>
      <c r="M31" s="21"/>
      <c r="N31" s="21"/>
      <c r="O31" s="21"/>
      <c r="P31" s="21"/>
      <c r="Q31" s="21"/>
      <c r="R31" s="21"/>
      <c r="S31" s="21"/>
      <c r="T31" s="21"/>
      <c r="U31" s="21"/>
      <c r="V31" s="21"/>
      <c r="W31" s="21"/>
      <c r="X31" s="21"/>
      <c r="Y31" s="21"/>
      <c r="Z31" s="21"/>
    </row>
    <row r="32" spans="1:26" x14ac:dyDescent="0.25">
      <c r="A32" s="21"/>
      <c r="B32" s="21"/>
      <c r="C32" s="21"/>
      <c r="D32" s="21"/>
      <c r="E32" s="21"/>
      <c r="F32" s="21"/>
      <c r="G32" s="21"/>
      <c r="H32" s="21"/>
      <c r="I32" s="21"/>
      <c r="J32" s="21"/>
      <c r="K32" s="21"/>
      <c r="L32" s="21"/>
      <c r="M32" s="21"/>
      <c r="N32" s="21"/>
      <c r="O32" s="21"/>
      <c r="P32" s="21"/>
      <c r="Q32" s="21"/>
      <c r="R32" s="21"/>
      <c r="S32" s="21"/>
      <c r="T32" s="21"/>
      <c r="U32" s="21"/>
      <c r="V32" s="21"/>
      <c r="W32" s="21"/>
      <c r="X32" s="21"/>
      <c r="Y32" s="21"/>
      <c r="Z32" s="21"/>
    </row>
    <row r="33" spans="1:26" x14ac:dyDescent="0.25">
      <c r="A33" s="21"/>
      <c r="B33" s="21"/>
      <c r="C33" s="21"/>
      <c r="D33" s="21"/>
      <c r="E33" s="21"/>
      <c r="F33" s="21"/>
      <c r="G33" s="21"/>
      <c r="H33" s="21"/>
      <c r="I33" s="21"/>
      <c r="J33" s="21"/>
      <c r="K33" s="21"/>
      <c r="L33" s="21"/>
      <c r="M33" s="21"/>
      <c r="N33" s="21"/>
      <c r="O33" s="21"/>
      <c r="P33" s="21"/>
      <c r="Q33" s="21"/>
      <c r="R33" s="21"/>
      <c r="S33" s="21"/>
      <c r="T33" s="21"/>
      <c r="U33" s="21"/>
      <c r="V33" s="21"/>
      <c r="W33" s="21"/>
      <c r="X33" s="21"/>
      <c r="Y33" s="21"/>
      <c r="Z33" s="21"/>
    </row>
    <row r="34" spans="1:26" x14ac:dyDescent="0.25">
      <c r="A34" s="21"/>
      <c r="B34" s="21"/>
      <c r="C34" s="21"/>
      <c r="D34" s="21"/>
      <c r="E34" s="21"/>
      <c r="F34" s="21"/>
      <c r="G34" s="21"/>
      <c r="H34" s="21"/>
      <c r="I34" s="21"/>
      <c r="J34" s="21"/>
      <c r="K34" s="21"/>
      <c r="L34" s="21"/>
      <c r="M34" s="21"/>
      <c r="N34" s="21"/>
      <c r="O34" s="21"/>
      <c r="P34" s="21"/>
      <c r="Q34" s="21"/>
      <c r="R34" s="21"/>
      <c r="S34" s="21"/>
      <c r="T34" s="21"/>
      <c r="U34" s="21"/>
      <c r="V34" s="21"/>
      <c r="W34" s="21"/>
      <c r="X34" s="21"/>
      <c r="Y34" s="21"/>
      <c r="Z34" s="21"/>
    </row>
    <row r="35" spans="1:26" x14ac:dyDescent="0.25">
      <c r="A35" s="21"/>
      <c r="B35" s="21"/>
      <c r="C35" s="21"/>
      <c r="D35" s="21"/>
      <c r="E35" s="21"/>
      <c r="F35" s="21"/>
      <c r="G35" s="21"/>
      <c r="H35" s="21"/>
      <c r="I35" s="21"/>
      <c r="J35" s="21"/>
      <c r="K35" s="21"/>
      <c r="L35" s="21"/>
      <c r="M35" s="21"/>
      <c r="N35" s="21"/>
      <c r="O35" s="21"/>
      <c r="P35" s="21"/>
      <c r="Q35" s="21"/>
      <c r="R35" s="21"/>
      <c r="S35" s="21"/>
      <c r="T35" s="21"/>
      <c r="U35" s="21"/>
      <c r="V35" s="21"/>
      <c r="W35" s="21"/>
      <c r="X35" s="21"/>
      <c r="Y35" s="21"/>
      <c r="Z35" s="21"/>
    </row>
    <row r="36" spans="1:26" x14ac:dyDescent="0.25">
      <c r="A36" s="21"/>
      <c r="B36" s="21"/>
      <c r="C36" s="21"/>
      <c r="D36" s="21"/>
      <c r="E36" s="21"/>
      <c r="F36" s="21"/>
      <c r="G36" s="21"/>
      <c r="H36" s="21"/>
      <c r="I36" s="21"/>
      <c r="J36" s="21"/>
      <c r="K36" s="21"/>
      <c r="L36" s="21"/>
      <c r="M36" s="21"/>
      <c r="N36" s="21"/>
      <c r="O36" s="21"/>
      <c r="P36" s="21"/>
      <c r="Q36" s="21"/>
      <c r="R36" s="21"/>
      <c r="S36" s="21"/>
      <c r="T36" s="21"/>
      <c r="U36" s="21"/>
      <c r="V36" s="21"/>
      <c r="W36" s="21"/>
      <c r="X36" s="21"/>
      <c r="Y36" s="21"/>
      <c r="Z36" s="21"/>
    </row>
    <row r="37" spans="1:26" x14ac:dyDescent="0.25">
      <c r="A37" s="21"/>
      <c r="B37" s="21"/>
      <c r="C37" s="21"/>
      <c r="D37" s="21"/>
      <c r="E37" s="21"/>
      <c r="F37" s="21"/>
      <c r="G37" s="21"/>
      <c r="H37" s="21"/>
      <c r="I37" s="21"/>
      <c r="J37" s="21"/>
      <c r="K37" s="21"/>
      <c r="L37" s="21"/>
      <c r="M37" s="21"/>
      <c r="N37" s="21"/>
      <c r="O37" s="21"/>
      <c r="P37" s="21"/>
      <c r="Q37" s="21"/>
      <c r="R37" s="21"/>
      <c r="S37" s="21"/>
      <c r="T37" s="21"/>
      <c r="U37" s="21"/>
      <c r="V37" s="21"/>
      <c r="W37" s="21"/>
      <c r="X37" s="21"/>
      <c r="Y37" s="21"/>
      <c r="Z37" s="21"/>
    </row>
    <row r="38" spans="1:26" x14ac:dyDescent="0.25">
      <c r="A38" s="21"/>
      <c r="B38" s="21"/>
      <c r="C38" s="21"/>
      <c r="D38" s="21"/>
      <c r="E38" s="21"/>
      <c r="F38" s="21"/>
      <c r="G38" s="21"/>
      <c r="H38" s="21"/>
      <c r="I38" s="21"/>
      <c r="J38" s="21"/>
      <c r="K38" s="21"/>
      <c r="L38" s="21"/>
      <c r="M38" s="21"/>
      <c r="N38" s="21"/>
      <c r="O38" s="21"/>
      <c r="P38" s="21"/>
      <c r="Q38" s="21"/>
      <c r="R38" s="21"/>
      <c r="S38" s="21"/>
      <c r="T38" s="21"/>
      <c r="U38" s="21"/>
      <c r="V38" s="21"/>
      <c r="W38" s="21"/>
      <c r="X38" s="21"/>
      <c r="Y38" s="21"/>
      <c r="Z38" s="21"/>
    </row>
    <row r="39" spans="1:26" x14ac:dyDescent="0.25">
      <c r="A39" s="21"/>
      <c r="B39" s="21"/>
      <c r="C39" s="21"/>
      <c r="D39" s="21"/>
      <c r="E39" s="21"/>
      <c r="F39" s="21"/>
      <c r="G39" s="21"/>
      <c r="H39" s="21"/>
      <c r="I39" s="21"/>
      <c r="J39" s="21"/>
      <c r="K39" s="21"/>
      <c r="L39" s="21"/>
      <c r="M39" s="21"/>
      <c r="N39" s="21"/>
      <c r="O39" s="21"/>
      <c r="P39" s="21"/>
      <c r="Q39" s="21"/>
      <c r="R39" s="21"/>
      <c r="S39" s="21"/>
      <c r="T39" s="21"/>
      <c r="U39" s="21"/>
      <c r="V39" s="21"/>
      <c r="W39" s="21"/>
      <c r="X39" s="21"/>
      <c r="Y39" s="21"/>
      <c r="Z39" s="21"/>
    </row>
    <row r="40" spans="1:26" x14ac:dyDescent="0.25">
      <c r="A40" s="21"/>
      <c r="B40" s="21"/>
      <c r="C40" s="21"/>
      <c r="D40" s="21"/>
      <c r="E40" s="21"/>
      <c r="F40" s="21"/>
      <c r="G40" s="21"/>
      <c r="H40" s="21"/>
      <c r="I40" s="21"/>
      <c r="J40" s="21"/>
      <c r="K40" s="21"/>
      <c r="L40" s="21"/>
      <c r="M40" s="21"/>
      <c r="N40" s="21"/>
      <c r="O40" s="21"/>
      <c r="P40" s="21"/>
      <c r="Q40" s="21"/>
      <c r="R40" s="21"/>
      <c r="S40" s="21"/>
      <c r="T40" s="21"/>
      <c r="U40" s="21"/>
      <c r="V40" s="21"/>
      <c r="W40" s="21"/>
      <c r="X40" s="21"/>
      <c r="Y40" s="21"/>
      <c r="Z40" s="21"/>
    </row>
    <row r="41" spans="1:26" x14ac:dyDescent="0.25">
      <c r="A41" s="21"/>
      <c r="B41" s="21"/>
      <c r="C41" s="21"/>
      <c r="D41" s="21"/>
      <c r="E41" s="21"/>
      <c r="F41" s="21"/>
      <c r="G41" s="21"/>
      <c r="H41" s="21"/>
      <c r="I41" s="21"/>
      <c r="J41" s="21"/>
      <c r="K41" s="21"/>
      <c r="L41" s="21"/>
      <c r="M41" s="21"/>
      <c r="N41" s="21"/>
      <c r="O41" s="21"/>
      <c r="P41" s="21"/>
      <c r="Q41" s="21"/>
      <c r="R41" s="21"/>
      <c r="S41" s="21"/>
      <c r="T41" s="21"/>
      <c r="U41" s="21"/>
      <c r="V41" s="21"/>
      <c r="W41" s="21"/>
      <c r="X41" s="21"/>
      <c r="Y41" s="21"/>
      <c r="Z41" s="21"/>
    </row>
    <row r="42" spans="1:26" x14ac:dyDescent="0.25">
      <c r="A42" s="21"/>
      <c r="B42" s="21"/>
      <c r="C42" s="21"/>
      <c r="D42" s="21"/>
      <c r="E42" s="21"/>
      <c r="F42" s="21"/>
      <c r="G42" s="21"/>
      <c r="H42" s="21"/>
      <c r="I42" s="21"/>
      <c r="J42" s="21"/>
      <c r="K42" s="21"/>
      <c r="L42" s="21"/>
      <c r="M42" s="21"/>
      <c r="N42" s="21"/>
      <c r="O42" s="21"/>
      <c r="P42" s="21"/>
      <c r="Q42" s="21"/>
      <c r="R42" s="21"/>
      <c r="S42" s="21"/>
      <c r="T42" s="21"/>
      <c r="U42" s="21"/>
      <c r="V42" s="21"/>
      <c r="W42" s="21"/>
      <c r="X42" s="21"/>
      <c r="Y42" s="21"/>
      <c r="Z42" s="21"/>
    </row>
    <row r="43" spans="1:26" x14ac:dyDescent="0.25">
      <c r="A43" s="21"/>
      <c r="B43" s="21"/>
      <c r="C43" s="21"/>
      <c r="D43" s="21"/>
      <c r="E43" s="21"/>
      <c r="F43" s="21"/>
      <c r="G43" s="21"/>
      <c r="H43" s="21"/>
      <c r="I43" s="21"/>
      <c r="J43" s="21"/>
      <c r="K43" s="21"/>
      <c r="L43" s="21"/>
      <c r="M43" s="21"/>
      <c r="N43" s="21"/>
      <c r="O43" s="21"/>
      <c r="P43" s="21"/>
      <c r="Q43" s="21"/>
      <c r="R43" s="21"/>
      <c r="S43" s="21"/>
      <c r="T43" s="21"/>
      <c r="U43" s="21"/>
      <c r="V43" s="21"/>
      <c r="W43" s="21"/>
      <c r="X43" s="21"/>
      <c r="Y43" s="21"/>
      <c r="Z43" s="21"/>
    </row>
    <row r="44" spans="1:26" x14ac:dyDescent="0.25">
      <c r="A44" s="21"/>
      <c r="B44" s="21"/>
      <c r="C44" s="21"/>
      <c r="D44" s="21"/>
      <c r="E44" s="21"/>
      <c r="F44" s="21"/>
      <c r="G44" s="21"/>
      <c r="H44" s="21"/>
      <c r="I44" s="21"/>
      <c r="J44" s="21"/>
      <c r="K44" s="21"/>
      <c r="L44" s="21"/>
      <c r="M44" s="21"/>
      <c r="N44" s="21"/>
      <c r="O44" s="21"/>
      <c r="P44" s="21"/>
      <c r="Q44" s="21"/>
      <c r="R44" s="21"/>
      <c r="S44" s="21"/>
      <c r="T44" s="21"/>
      <c r="U44" s="21"/>
      <c r="V44" s="21"/>
      <c r="W44" s="21"/>
      <c r="X44" s="21"/>
      <c r="Y44" s="21"/>
      <c r="Z44" s="21"/>
    </row>
    <row r="45" spans="1:26" x14ac:dyDescent="0.25">
      <c r="A45" s="21"/>
      <c r="B45" s="21"/>
      <c r="C45" s="21"/>
      <c r="D45" s="21"/>
      <c r="E45" s="21"/>
      <c r="F45" s="21"/>
      <c r="G45" s="21"/>
      <c r="H45" s="21"/>
      <c r="I45" s="21"/>
      <c r="J45" s="21"/>
      <c r="K45" s="21"/>
      <c r="L45" s="21"/>
      <c r="M45" s="21"/>
      <c r="N45" s="21"/>
      <c r="O45" s="21"/>
      <c r="P45" s="21"/>
      <c r="Q45" s="21"/>
      <c r="R45" s="21"/>
      <c r="S45" s="21"/>
      <c r="T45" s="21"/>
      <c r="U45" s="21"/>
      <c r="V45" s="21"/>
      <c r="W45" s="21"/>
      <c r="X45" s="21"/>
      <c r="Y45" s="21"/>
      <c r="Z45" s="21"/>
    </row>
    <row r="46" spans="1:26" x14ac:dyDescent="0.25">
      <c r="A46" s="21"/>
      <c r="B46" s="21"/>
      <c r="C46" s="21"/>
      <c r="D46" s="21"/>
      <c r="E46" s="21"/>
      <c r="F46" s="21"/>
      <c r="G46" s="21"/>
      <c r="H46" s="21"/>
      <c r="I46" s="21"/>
      <c r="J46" s="21"/>
      <c r="K46" s="21"/>
      <c r="L46" s="21"/>
      <c r="M46" s="21"/>
      <c r="N46" s="21"/>
      <c r="O46" s="21"/>
      <c r="P46" s="21"/>
      <c r="Q46" s="21"/>
      <c r="R46" s="21"/>
      <c r="S46" s="21"/>
      <c r="T46" s="21"/>
      <c r="U46" s="21"/>
      <c r="V46" s="21"/>
      <c r="W46" s="21"/>
      <c r="X46" s="21"/>
      <c r="Y46" s="21"/>
      <c r="Z46" s="21"/>
    </row>
    <row r="47" spans="1:26" x14ac:dyDescent="0.25">
      <c r="A47" s="21"/>
      <c r="B47" s="21"/>
      <c r="C47" s="21"/>
      <c r="D47" s="21"/>
      <c r="E47" s="21"/>
      <c r="F47" s="21"/>
      <c r="G47" s="21"/>
      <c r="H47" s="21"/>
      <c r="I47" s="21"/>
      <c r="J47" s="21"/>
      <c r="K47" s="21"/>
      <c r="L47" s="21"/>
      <c r="M47" s="21"/>
      <c r="N47" s="21"/>
      <c r="O47" s="21"/>
      <c r="P47" s="21"/>
      <c r="Q47" s="21"/>
      <c r="R47" s="21"/>
      <c r="S47" s="21"/>
      <c r="T47" s="21"/>
      <c r="U47" s="21"/>
      <c r="V47" s="21"/>
      <c r="W47" s="21"/>
      <c r="X47" s="21"/>
      <c r="Y47" s="21"/>
      <c r="Z47" s="21"/>
    </row>
    <row r="48" spans="1:26" x14ac:dyDescent="0.25">
      <c r="A48" s="21"/>
      <c r="B48" s="21"/>
      <c r="C48" s="21"/>
      <c r="D48" s="21"/>
      <c r="E48" s="21"/>
      <c r="F48" s="21"/>
      <c r="G48" s="21"/>
      <c r="H48" s="21"/>
      <c r="I48" s="21"/>
      <c r="J48" s="21"/>
      <c r="K48" s="21"/>
      <c r="L48" s="21"/>
      <c r="M48" s="21"/>
      <c r="N48" s="21"/>
      <c r="O48" s="21"/>
      <c r="P48" s="21"/>
      <c r="Q48" s="21"/>
      <c r="R48" s="21"/>
      <c r="S48" s="21"/>
      <c r="T48" s="21"/>
      <c r="U48" s="21"/>
      <c r="V48" s="21"/>
      <c r="W48" s="21"/>
      <c r="X48" s="21"/>
      <c r="Y48" s="21"/>
      <c r="Z48" s="21"/>
    </row>
    <row r="49" spans="1:26" x14ac:dyDescent="0.25">
      <c r="A49" s="21"/>
      <c r="B49" s="21"/>
      <c r="C49" s="21"/>
      <c r="D49" s="21"/>
      <c r="E49" s="21"/>
      <c r="F49" s="21"/>
      <c r="G49" s="21"/>
      <c r="H49" s="21"/>
      <c r="I49" s="21"/>
      <c r="J49" s="21"/>
      <c r="K49" s="21"/>
      <c r="L49" s="21"/>
      <c r="M49" s="21"/>
      <c r="N49" s="21"/>
      <c r="O49" s="21"/>
      <c r="P49" s="21"/>
      <c r="Q49" s="21"/>
      <c r="R49" s="21"/>
      <c r="S49" s="21"/>
      <c r="T49" s="21"/>
      <c r="U49" s="21"/>
      <c r="V49" s="21"/>
      <c r="W49" s="21"/>
      <c r="X49" s="21"/>
      <c r="Y49" s="21"/>
      <c r="Z49" s="21"/>
    </row>
    <row r="50" spans="1:26" x14ac:dyDescent="0.25">
      <c r="A50" s="21"/>
      <c r="B50" s="21"/>
      <c r="C50" s="21"/>
      <c r="D50" s="21"/>
      <c r="E50" s="21"/>
      <c r="F50" s="21"/>
      <c r="G50" s="21"/>
      <c r="H50" s="21"/>
      <c r="I50" s="21"/>
      <c r="J50" s="21"/>
      <c r="K50" s="21"/>
      <c r="L50" s="21"/>
      <c r="M50" s="21"/>
      <c r="N50" s="21"/>
      <c r="O50" s="21"/>
      <c r="P50" s="21"/>
      <c r="Q50" s="21"/>
      <c r="R50" s="21"/>
      <c r="S50" s="21"/>
      <c r="T50" s="21"/>
      <c r="U50" s="21"/>
      <c r="V50" s="21"/>
      <c r="W50" s="21"/>
      <c r="X50" s="21"/>
      <c r="Y50" s="21"/>
      <c r="Z50" s="21"/>
    </row>
    <row r="51" spans="1:26" x14ac:dyDescent="0.25">
      <c r="A51" s="21"/>
      <c r="B51" s="21"/>
      <c r="C51" s="21"/>
      <c r="D51" s="21"/>
      <c r="E51" s="21"/>
      <c r="F51" s="21"/>
      <c r="G51" s="21"/>
      <c r="H51" s="21"/>
      <c r="I51" s="21"/>
      <c r="J51" s="21"/>
      <c r="K51" s="21"/>
      <c r="L51" s="21"/>
      <c r="M51" s="21"/>
      <c r="N51" s="21"/>
      <c r="O51" s="21"/>
      <c r="P51" s="21"/>
      <c r="Q51" s="21"/>
      <c r="R51" s="21"/>
      <c r="S51" s="21"/>
      <c r="T51" s="21"/>
      <c r="U51" s="21"/>
      <c r="V51" s="21"/>
      <c r="W51" s="21"/>
      <c r="X51" s="21"/>
      <c r="Y51" s="21"/>
      <c r="Z51" s="21"/>
    </row>
    <row r="52" spans="1:26" x14ac:dyDescent="0.25">
      <c r="A52" s="21"/>
      <c r="B52" s="21"/>
      <c r="C52" s="21"/>
      <c r="D52" s="21"/>
      <c r="E52" s="21"/>
      <c r="F52" s="21"/>
      <c r="G52" s="21"/>
      <c r="H52" s="21"/>
      <c r="I52" s="21"/>
      <c r="J52" s="21"/>
      <c r="K52" s="21"/>
      <c r="L52" s="21"/>
      <c r="M52" s="21"/>
      <c r="N52" s="21"/>
      <c r="O52" s="21"/>
      <c r="P52" s="21"/>
      <c r="Q52" s="21"/>
      <c r="R52" s="21"/>
      <c r="S52" s="21"/>
      <c r="T52" s="21"/>
      <c r="U52" s="21"/>
      <c r="V52" s="21"/>
      <c r="W52" s="21"/>
      <c r="X52" s="21"/>
      <c r="Y52" s="21"/>
      <c r="Z52" s="21"/>
    </row>
    <row r="53" spans="1:26" x14ac:dyDescent="0.25">
      <c r="A53" s="21"/>
      <c r="B53" s="21"/>
      <c r="C53" s="21"/>
      <c r="D53" s="21"/>
      <c r="E53" s="21"/>
      <c r="F53" s="21"/>
      <c r="G53" s="21"/>
      <c r="H53" s="21"/>
      <c r="I53" s="21"/>
      <c r="J53" s="21"/>
      <c r="K53" s="21"/>
      <c r="L53" s="21"/>
      <c r="M53" s="21"/>
      <c r="N53" s="21"/>
      <c r="O53" s="21"/>
      <c r="P53" s="21"/>
      <c r="Q53" s="21"/>
      <c r="R53" s="21"/>
      <c r="S53" s="21"/>
      <c r="T53" s="21"/>
      <c r="U53" s="21"/>
      <c r="V53" s="21"/>
      <c r="W53" s="21"/>
      <c r="X53" s="21"/>
      <c r="Y53" s="21"/>
      <c r="Z53" s="21"/>
    </row>
    <row r="54" spans="1:26" x14ac:dyDescent="0.25">
      <c r="A54" s="21"/>
      <c r="B54" s="21"/>
      <c r="C54" s="21"/>
      <c r="D54" s="21"/>
      <c r="E54" s="21"/>
      <c r="F54" s="21"/>
      <c r="G54" s="21"/>
      <c r="H54" s="21"/>
      <c r="I54" s="21"/>
      <c r="J54" s="21"/>
      <c r="K54" s="21"/>
      <c r="L54" s="21"/>
      <c r="M54" s="21"/>
      <c r="N54" s="21"/>
      <c r="O54" s="21"/>
      <c r="P54" s="21"/>
      <c r="Q54" s="21"/>
      <c r="R54" s="21"/>
      <c r="S54" s="21"/>
      <c r="T54" s="21"/>
      <c r="U54" s="21"/>
      <c r="V54" s="21"/>
      <c r="W54" s="21"/>
      <c r="X54" s="21"/>
      <c r="Y54" s="21"/>
      <c r="Z54" s="21"/>
    </row>
    <row r="55" spans="1:26" x14ac:dyDescent="0.25">
      <c r="A55" s="21"/>
      <c r="B55" s="21"/>
      <c r="C55" s="21"/>
      <c r="D55" s="21"/>
      <c r="E55" s="21"/>
      <c r="F55" s="21"/>
      <c r="G55" s="21"/>
      <c r="H55" s="21"/>
      <c r="I55" s="21"/>
      <c r="J55" s="21"/>
      <c r="K55" s="21"/>
      <c r="L55" s="21"/>
      <c r="M55" s="21"/>
      <c r="N55" s="21"/>
      <c r="O55" s="21"/>
      <c r="P55" s="21"/>
      <c r="Q55" s="21"/>
      <c r="R55" s="21"/>
      <c r="S55" s="21"/>
      <c r="T55" s="21"/>
      <c r="U55" s="21"/>
      <c r="V55" s="21"/>
      <c r="W55" s="21"/>
      <c r="X55" s="21"/>
      <c r="Y55" s="21"/>
      <c r="Z55" s="21"/>
    </row>
    <row r="56" spans="1:26" x14ac:dyDescent="0.25">
      <c r="A56" s="21"/>
      <c r="B56" s="21"/>
      <c r="C56" s="21"/>
      <c r="D56" s="21"/>
      <c r="E56" s="21"/>
      <c r="F56" s="21"/>
      <c r="G56" s="21"/>
      <c r="H56" s="21"/>
      <c r="I56" s="21"/>
      <c r="J56" s="21"/>
      <c r="K56" s="21"/>
      <c r="L56" s="21"/>
      <c r="M56" s="21"/>
      <c r="N56" s="21"/>
      <c r="O56" s="21"/>
      <c r="P56" s="21"/>
      <c r="Q56" s="21"/>
      <c r="R56" s="21"/>
      <c r="S56" s="21"/>
      <c r="T56" s="21"/>
      <c r="U56" s="21"/>
      <c r="V56" s="21"/>
      <c r="W56" s="21"/>
      <c r="X56" s="21"/>
      <c r="Y56" s="21"/>
      <c r="Z56" s="21"/>
    </row>
    <row r="57" spans="1:26" x14ac:dyDescent="0.25">
      <c r="A57" s="21"/>
      <c r="B57" s="21"/>
      <c r="C57" s="21"/>
      <c r="D57" s="21"/>
      <c r="E57" s="21"/>
      <c r="F57" s="21"/>
      <c r="G57" s="21"/>
      <c r="H57" s="21"/>
      <c r="I57" s="21"/>
      <c r="J57" s="21"/>
      <c r="K57" s="21"/>
      <c r="L57" s="21"/>
      <c r="M57" s="21"/>
      <c r="N57" s="21"/>
      <c r="O57" s="21"/>
      <c r="P57" s="21"/>
      <c r="Q57" s="21"/>
      <c r="R57" s="21"/>
      <c r="S57" s="21"/>
      <c r="T57" s="21"/>
      <c r="U57" s="21"/>
      <c r="V57" s="21"/>
      <c r="W57" s="21"/>
      <c r="X57" s="21"/>
      <c r="Y57" s="21"/>
      <c r="Z57" s="21"/>
    </row>
    <row r="58" spans="1:26" x14ac:dyDescent="0.25">
      <c r="A58" s="21"/>
      <c r="B58" s="21"/>
      <c r="C58" s="21"/>
      <c r="D58" s="21"/>
      <c r="E58" s="21"/>
      <c r="F58" s="21"/>
      <c r="G58" s="21"/>
      <c r="H58" s="21"/>
      <c r="I58" s="21"/>
      <c r="J58" s="21"/>
      <c r="K58" s="21"/>
      <c r="L58" s="21"/>
      <c r="M58" s="21"/>
      <c r="N58" s="21"/>
      <c r="O58" s="21"/>
      <c r="P58" s="21"/>
      <c r="Q58" s="21"/>
      <c r="R58" s="21"/>
      <c r="S58" s="21"/>
      <c r="T58" s="21"/>
      <c r="U58" s="21"/>
      <c r="V58" s="21"/>
      <c r="W58" s="21"/>
      <c r="X58" s="21"/>
      <c r="Y58" s="21"/>
      <c r="Z58" s="21"/>
    </row>
    <row r="59" spans="1:26" x14ac:dyDescent="0.25">
      <c r="A59" s="21"/>
      <c r="B59" s="21"/>
      <c r="C59" s="21"/>
      <c r="D59" s="21"/>
      <c r="E59" s="21"/>
      <c r="F59" s="21"/>
      <c r="G59" s="21"/>
      <c r="H59" s="21"/>
      <c r="I59" s="21"/>
      <c r="J59" s="21"/>
      <c r="K59" s="21"/>
      <c r="L59" s="21"/>
      <c r="M59" s="21"/>
      <c r="N59" s="21"/>
      <c r="O59" s="21"/>
      <c r="P59" s="21"/>
      <c r="Q59" s="21"/>
      <c r="R59" s="21"/>
      <c r="S59" s="21"/>
      <c r="T59" s="21"/>
      <c r="U59" s="21"/>
      <c r="V59" s="21"/>
      <c r="W59" s="21"/>
      <c r="X59" s="21"/>
      <c r="Y59" s="21"/>
      <c r="Z59" s="21"/>
    </row>
    <row r="60" spans="1:26" x14ac:dyDescent="0.25">
      <c r="A60" s="21"/>
      <c r="B60" s="21"/>
      <c r="C60" s="21"/>
      <c r="D60" s="21"/>
      <c r="E60" s="21"/>
      <c r="F60" s="21"/>
      <c r="G60" s="21"/>
      <c r="H60" s="21"/>
      <c r="I60" s="21"/>
      <c r="J60" s="21"/>
      <c r="K60" s="21"/>
      <c r="L60" s="21"/>
      <c r="M60" s="21"/>
      <c r="N60" s="21"/>
      <c r="O60" s="21"/>
      <c r="P60" s="21"/>
      <c r="Q60" s="21"/>
      <c r="R60" s="21"/>
      <c r="S60" s="21"/>
      <c r="T60" s="21"/>
      <c r="U60" s="21"/>
      <c r="V60" s="21"/>
      <c r="W60" s="21"/>
      <c r="X60" s="21"/>
      <c r="Y60" s="21"/>
      <c r="Z60" s="21"/>
    </row>
    <row r="61" spans="1:26" x14ac:dyDescent="0.25">
      <c r="A61" s="21"/>
      <c r="B61" s="21"/>
      <c r="C61" s="21"/>
      <c r="D61" s="21"/>
      <c r="E61" s="21"/>
      <c r="F61" s="21"/>
      <c r="G61" s="21"/>
      <c r="H61" s="21"/>
      <c r="I61" s="21"/>
      <c r="J61" s="21"/>
      <c r="K61" s="21"/>
      <c r="L61" s="21"/>
      <c r="M61" s="21"/>
      <c r="N61" s="21"/>
      <c r="O61" s="21"/>
      <c r="P61" s="21"/>
      <c r="Q61" s="21"/>
      <c r="R61" s="21"/>
      <c r="S61" s="21"/>
      <c r="T61" s="21"/>
      <c r="U61" s="21"/>
      <c r="V61" s="21"/>
      <c r="W61" s="21"/>
      <c r="X61" s="21"/>
      <c r="Y61" s="21"/>
      <c r="Z61" s="21"/>
    </row>
    <row r="62" spans="1:26" x14ac:dyDescent="0.25">
      <c r="A62" s="21"/>
      <c r="B62" s="21"/>
      <c r="C62" s="21"/>
      <c r="D62" s="21"/>
      <c r="E62" s="21"/>
      <c r="F62" s="21"/>
      <c r="G62" s="21"/>
      <c r="H62" s="21"/>
      <c r="I62" s="21"/>
      <c r="J62" s="21"/>
      <c r="K62" s="21"/>
      <c r="L62" s="21"/>
      <c r="M62" s="21"/>
      <c r="N62" s="21"/>
      <c r="O62" s="21"/>
      <c r="P62" s="21"/>
      <c r="Q62" s="21"/>
      <c r="R62" s="21"/>
      <c r="S62" s="21"/>
      <c r="T62" s="21"/>
      <c r="U62" s="21"/>
      <c r="V62" s="21"/>
      <c r="W62" s="21"/>
      <c r="X62" s="21"/>
      <c r="Y62" s="21"/>
      <c r="Z62" s="21"/>
    </row>
    <row r="63" spans="1:26" x14ac:dyDescent="0.25">
      <c r="A63" s="21"/>
      <c r="B63" s="21"/>
      <c r="C63" s="21"/>
      <c r="D63" s="21"/>
      <c r="E63" s="21"/>
      <c r="F63" s="21"/>
      <c r="G63" s="21"/>
      <c r="H63" s="21"/>
      <c r="I63" s="21"/>
      <c r="J63" s="21"/>
      <c r="K63" s="21"/>
      <c r="L63" s="21"/>
      <c r="M63" s="21"/>
      <c r="N63" s="21"/>
      <c r="O63" s="21"/>
      <c r="P63" s="21"/>
      <c r="Q63" s="21"/>
      <c r="R63" s="21"/>
      <c r="S63" s="21"/>
      <c r="T63" s="21"/>
      <c r="U63" s="21"/>
      <c r="V63" s="21"/>
      <c r="W63" s="21"/>
      <c r="X63" s="21"/>
      <c r="Y63" s="21"/>
      <c r="Z63" s="21"/>
    </row>
    <row r="64" spans="1:26" x14ac:dyDescent="0.25">
      <c r="A64" s="21"/>
      <c r="B64" s="21"/>
      <c r="C64" s="21"/>
      <c r="D64" s="21"/>
      <c r="E64" s="21"/>
      <c r="F64" s="21"/>
      <c r="G64" s="21"/>
      <c r="H64" s="21"/>
      <c r="I64" s="21"/>
      <c r="J64" s="21"/>
      <c r="K64" s="21"/>
      <c r="L64" s="21"/>
      <c r="M64" s="21"/>
      <c r="N64" s="21"/>
      <c r="O64" s="21"/>
      <c r="P64" s="21"/>
      <c r="Q64" s="21"/>
      <c r="R64" s="21"/>
      <c r="S64" s="21"/>
      <c r="T64" s="21"/>
      <c r="U64" s="21"/>
      <c r="V64" s="21"/>
      <c r="W64" s="21"/>
      <c r="X64" s="21"/>
      <c r="Y64" s="21"/>
      <c r="Z64" s="21"/>
    </row>
    <row r="65" spans="1:26" x14ac:dyDescent="0.25">
      <c r="A65" s="21"/>
      <c r="B65" s="21"/>
      <c r="C65" s="21"/>
      <c r="D65" s="21"/>
      <c r="E65" s="21"/>
      <c r="F65" s="21"/>
      <c r="G65" s="21"/>
      <c r="H65" s="21"/>
      <c r="I65" s="21"/>
      <c r="J65" s="21"/>
      <c r="K65" s="21"/>
      <c r="L65" s="21"/>
      <c r="M65" s="21"/>
      <c r="N65" s="21"/>
      <c r="O65" s="21"/>
      <c r="P65" s="21"/>
      <c r="Q65" s="21"/>
      <c r="R65" s="21"/>
      <c r="S65" s="21"/>
      <c r="T65" s="21"/>
      <c r="U65" s="21"/>
      <c r="V65" s="21"/>
      <c r="W65" s="21"/>
      <c r="X65" s="21"/>
      <c r="Y65" s="21"/>
      <c r="Z65" s="21"/>
    </row>
    <row r="66" spans="1:26" x14ac:dyDescent="0.25">
      <c r="A66" s="21"/>
      <c r="B66" s="21"/>
      <c r="C66" s="21"/>
      <c r="D66" s="21"/>
      <c r="E66" s="21"/>
      <c r="F66" s="21"/>
      <c r="G66" s="21"/>
      <c r="H66" s="21"/>
      <c r="I66" s="21"/>
      <c r="J66" s="21"/>
      <c r="K66" s="21"/>
      <c r="L66" s="21"/>
      <c r="M66" s="21"/>
      <c r="N66" s="21"/>
      <c r="O66" s="21"/>
      <c r="P66" s="21"/>
      <c r="Q66" s="21"/>
      <c r="R66" s="21"/>
      <c r="S66" s="21"/>
      <c r="T66" s="21"/>
      <c r="U66" s="21"/>
      <c r="V66" s="21"/>
      <c r="W66" s="21"/>
      <c r="X66" s="21"/>
      <c r="Y66" s="21"/>
      <c r="Z66" s="21"/>
    </row>
    <row r="67" spans="1:26" x14ac:dyDescent="0.25">
      <c r="A67" s="21"/>
      <c r="B67" s="21"/>
      <c r="C67" s="21"/>
      <c r="D67" s="21"/>
      <c r="E67" s="21"/>
      <c r="F67" s="21"/>
      <c r="G67" s="21"/>
      <c r="H67" s="21"/>
      <c r="I67" s="21"/>
      <c r="J67" s="21"/>
      <c r="K67" s="21"/>
      <c r="L67" s="21"/>
      <c r="M67" s="21"/>
      <c r="N67" s="21"/>
      <c r="O67" s="21"/>
      <c r="P67" s="21"/>
      <c r="Q67" s="21"/>
      <c r="R67" s="21"/>
      <c r="S67" s="21"/>
      <c r="T67" s="21"/>
      <c r="U67" s="21"/>
      <c r="V67" s="21"/>
      <c r="W67" s="21"/>
      <c r="X67" s="21"/>
      <c r="Y67" s="21"/>
      <c r="Z67" s="21"/>
    </row>
    <row r="68" spans="1:26" x14ac:dyDescent="0.25">
      <c r="A68" s="21"/>
      <c r="B68" s="21"/>
      <c r="C68" s="21"/>
      <c r="D68" s="21"/>
      <c r="E68" s="21"/>
      <c r="F68" s="21"/>
      <c r="G68" s="21"/>
      <c r="H68" s="21"/>
      <c r="I68" s="21"/>
      <c r="J68" s="21"/>
      <c r="K68" s="21"/>
      <c r="L68" s="21"/>
      <c r="M68" s="21"/>
      <c r="N68" s="21"/>
      <c r="O68" s="21"/>
      <c r="P68" s="21"/>
      <c r="Q68" s="21"/>
      <c r="R68" s="21"/>
      <c r="S68" s="21"/>
      <c r="T68" s="21"/>
      <c r="U68" s="21"/>
      <c r="V68" s="21"/>
      <c r="W68" s="21"/>
      <c r="X68" s="21"/>
      <c r="Y68" s="21"/>
      <c r="Z68" s="21"/>
    </row>
    <row r="69" spans="1:26" x14ac:dyDescent="0.25">
      <c r="A69" s="21"/>
      <c r="B69" s="21"/>
      <c r="C69" s="21"/>
      <c r="D69" s="21"/>
      <c r="E69" s="21"/>
      <c r="F69" s="21"/>
      <c r="G69" s="21"/>
      <c r="H69" s="21"/>
      <c r="I69" s="21"/>
      <c r="J69" s="21"/>
      <c r="K69" s="21"/>
      <c r="L69" s="21"/>
      <c r="M69" s="21"/>
      <c r="N69" s="21"/>
      <c r="O69" s="21"/>
      <c r="P69" s="21"/>
      <c r="Q69" s="21"/>
      <c r="R69" s="21"/>
      <c r="S69" s="21"/>
      <c r="T69" s="21"/>
      <c r="U69" s="21"/>
      <c r="V69" s="21"/>
      <c r="W69" s="21"/>
      <c r="X69" s="21"/>
      <c r="Y69" s="21"/>
      <c r="Z69" s="21"/>
    </row>
    <row r="70" spans="1:26" x14ac:dyDescent="0.25">
      <c r="A70" s="21"/>
      <c r="B70" s="21"/>
      <c r="C70" s="21"/>
      <c r="D70" s="21"/>
      <c r="E70" s="21"/>
      <c r="F70" s="21"/>
      <c r="G70" s="21"/>
      <c r="H70" s="21"/>
      <c r="I70" s="21"/>
      <c r="J70" s="21"/>
      <c r="K70" s="21"/>
      <c r="L70" s="21"/>
      <c r="M70" s="21"/>
      <c r="N70" s="21"/>
      <c r="O70" s="21"/>
      <c r="P70" s="21"/>
      <c r="Q70" s="21"/>
      <c r="R70" s="21"/>
      <c r="S70" s="21"/>
      <c r="T70" s="21"/>
      <c r="U70" s="21"/>
      <c r="V70" s="21"/>
      <c r="W70" s="21"/>
      <c r="X70" s="21"/>
      <c r="Y70" s="21"/>
      <c r="Z70" s="21"/>
    </row>
    <row r="71" spans="1:26" x14ac:dyDescent="0.25">
      <c r="A71" s="21"/>
      <c r="B71" s="21"/>
      <c r="C71" s="21"/>
      <c r="D71" s="21"/>
      <c r="E71" s="21"/>
      <c r="F71" s="21"/>
      <c r="G71" s="21"/>
      <c r="H71" s="21"/>
      <c r="I71" s="21"/>
      <c r="J71" s="21"/>
      <c r="K71" s="21"/>
      <c r="L71" s="21"/>
      <c r="M71" s="21"/>
      <c r="N71" s="21"/>
      <c r="O71" s="21"/>
      <c r="P71" s="21"/>
      <c r="Q71" s="21"/>
      <c r="R71" s="21"/>
      <c r="S71" s="21"/>
      <c r="T71" s="21"/>
      <c r="U71" s="21"/>
      <c r="V71" s="21"/>
      <c r="W71" s="21"/>
      <c r="X71" s="21"/>
      <c r="Y71" s="21"/>
      <c r="Z71" s="21"/>
    </row>
    <row r="72" spans="1:26" x14ac:dyDescent="0.25">
      <c r="A72" s="21"/>
      <c r="B72" s="21"/>
      <c r="C72" s="21"/>
      <c r="D72" s="21"/>
      <c r="E72" s="21"/>
      <c r="F72" s="21"/>
      <c r="G72" s="21"/>
      <c r="H72" s="21"/>
      <c r="I72" s="21"/>
      <c r="J72" s="21"/>
      <c r="K72" s="21"/>
      <c r="L72" s="21"/>
      <c r="M72" s="21"/>
      <c r="N72" s="21"/>
      <c r="O72" s="21"/>
      <c r="P72" s="21"/>
      <c r="Q72" s="21"/>
      <c r="R72" s="21"/>
      <c r="S72" s="21"/>
      <c r="T72" s="21"/>
      <c r="U72" s="21"/>
      <c r="V72" s="21"/>
      <c r="W72" s="21"/>
      <c r="X72" s="21"/>
      <c r="Y72" s="21"/>
      <c r="Z72" s="21"/>
    </row>
    <row r="73" spans="1:26" x14ac:dyDescent="0.25">
      <c r="A73" s="21"/>
      <c r="B73" s="21"/>
      <c r="C73" s="21"/>
      <c r="D73" s="21"/>
      <c r="E73" s="21"/>
      <c r="F73" s="21"/>
      <c r="G73" s="21"/>
      <c r="H73" s="21"/>
      <c r="I73" s="21"/>
      <c r="J73" s="21"/>
      <c r="K73" s="21"/>
      <c r="L73" s="21"/>
      <c r="M73" s="21"/>
      <c r="N73" s="21"/>
      <c r="O73" s="21"/>
      <c r="P73" s="21"/>
      <c r="Q73" s="21"/>
      <c r="R73" s="21"/>
      <c r="S73" s="21"/>
      <c r="T73" s="21"/>
      <c r="U73" s="21"/>
      <c r="V73" s="21"/>
      <c r="W73" s="21"/>
      <c r="X73" s="21"/>
      <c r="Y73" s="21"/>
      <c r="Z73" s="21"/>
    </row>
    <row r="74" spans="1:26" x14ac:dyDescent="0.25">
      <c r="A74" s="21"/>
      <c r="B74" s="21"/>
      <c r="C74" s="21"/>
      <c r="D74" s="21"/>
      <c r="E74" s="21"/>
      <c r="F74" s="21"/>
      <c r="G74" s="21"/>
      <c r="H74" s="21"/>
      <c r="I74" s="21"/>
      <c r="J74" s="21"/>
      <c r="K74" s="21"/>
      <c r="L74" s="21"/>
      <c r="M74" s="21"/>
      <c r="N74" s="21"/>
      <c r="O74" s="21"/>
      <c r="P74" s="21"/>
      <c r="Q74" s="21"/>
      <c r="R74" s="21"/>
      <c r="S74" s="21"/>
      <c r="T74" s="21"/>
      <c r="U74" s="21"/>
      <c r="V74" s="21"/>
      <c r="W74" s="21"/>
      <c r="X74" s="21"/>
      <c r="Y74" s="21"/>
      <c r="Z74" s="21"/>
    </row>
    <row r="75" spans="1:26" x14ac:dyDescent="0.25">
      <c r="A75" s="21"/>
      <c r="B75" s="21"/>
      <c r="C75" s="21"/>
      <c r="D75" s="21"/>
      <c r="E75" s="21"/>
      <c r="F75" s="21"/>
      <c r="G75" s="21"/>
      <c r="H75" s="21"/>
      <c r="I75" s="21"/>
      <c r="J75" s="21"/>
      <c r="K75" s="21"/>
      <c r="L75" s="21"/>
      <c r="M75" s="21"/>
      <c r="N75" s="21"/>
      <c r="O75" s="21"/>
      <c r="P75" s="21"/>
      <c r="Q75" s="21"/>
      <c r="R75" s="21"/>
      <c r="S75" s="21"/>
      <c r="T75" s="21"/>
      <c r="U75" s="21"/>
      <c r="V75" s="21"/>
      <c r="W75" s="21"/>
      <c r="X75" s="21"/>
      <c r="Y75" s="21"/>
      <c r="Z75" s="21"/>
    </row>
    <row r="76" spans="1:26" x14ac:dyDescent="0.25">
      <c r="A76" s="21"/>
      <c r="B76" s="21"/>
      <c r="C76" s="21"/>
      <c r="D76" s="21"/>
      <c r="E76" s="21"/>
      <c r="F76" s="21"/>
      <c r="G76" s="21"/>
      <c r="H76" s="21"/>
      <c r="I76" s="21"/>
      <c r="J76" s="21"/>
      <c r="K76" s="21"/>
      <c r="L76" s="21"/>
      <c r="M76" s="21"/>
      <c r="N76" s="21"/>
      <c r="O76" s="21"/>
      <c r="P76" s="21"/>
      <c r="Q76" s="21"/>
      <c r="R76" s="21"/>
      <c r="S76" s="21"/>
      <c r="T76" s="21"/>
      <c r="U76" s="21"/>
      <c r="V76" s="21"/>
      <c r="W76" s="21"/>
      <c r="X76" s="21"/>
      <c r="Y76" s="21"/>
      <c r="Z76" s="21"/>
    </row>
    <row r="77" spans="1:26" x14ac:dyDescent="0.25">
      <c r="A77" s="21"/>
      <c r="B77" s="21"/>
      <c r="C77" s="21"/>
      <c r="D77" s="21"/>
      <c r="E77" s="21"/>
      <c r="F77" s="21"/>
      <c r="G77" s="21"/>
      <c r="H77" s="21"/>
      <c r="I77" s="21"/>
      <c r="J77" s="21"/>
      <c r="K77" s="21"/>
      <c r="L77" s="21"/>
      <c r="M77" s="21"/>
      <c r="N77" s="21"/>
      <c r="O77" s="21"/>
      <c r="P77" s="21"/>
      <c r="Q77" s="21"/>
      <c r="R77" s="21"/>
      <c r="S77" s="21"/>
      <c r="T77" s="21"/>
      <c r="U77" s="21"/>
      <c r="V77" s="21"/>
      <c r="W77" s="21"/>
      <c r="X77" s="21"/>
      <c r="Y77" s="21"/>
      <c r="Z77" s="21"/>
    </row>
    <row r="78" spans="1:26" x14ac:dyDescent="0.25">
      <c r="A78" s="21"/>
      <c r="B78" s="21"/>
      <c r="C78" s="21"/>
      <c r="D78" s="21"/>
      <c r="E78" s="21"/>
      <c r="F78" s="21"/>
      <c r="G78" s="21"/>
      <c r="H78" s="21"/>
      <c r="I78" s="21"/>
      <c r="J78" s="21"/>
      <c r="K78" s="21"/>
      <c r="L78" s="21"/>
      <c r="M78" s="21"/>
      <c r="N78" s="21"/>
      <c r="O78" s="21"/>
      <c r="P78" s="21"/>
      <c r="Q78" s="21"/>
      <c r="R78" s="21"/>
      <c r="S78" s="21"/>
      <c r="T78" s="21"/>
      <c r="U78" s="21"/>
      <c r="V78" s="21"/>
      <c r="W78" s="21"/>
      <c r="X78" s="21"/>
      <c r="Y78" s="21"/>
      <c r="Z78" s="21"/>
    </row>
    <row r="79" spans="1:26" x14ac:dyDescent="0.25">
      <c r="A79" s="21"/>
      <c r="B79" s="21"/>
      <c r="C79" s="21"/>
      <c r="D79" s="21"/>
      <c r="E79" s="21"/>
      <c r="F79" s="21"/>
      <c r="G79" s="21"/>
      <c r="H79" s="21"/>
      <c r="I79" s="21"/>
      <c r="J79" s="21"/>
      <c r="K79" s="21"/>
      <c r="L79" s="21"/>
      <c r="M79" s="21"/>
      <c r="N79" s="21"/>
      <c r="O79" s="21"/>
      <c r="P79" s="21"/>
      <c r="Q79" s="21"/>
      <c r="R79" s="21"/>
      <c r="S79" s="21"/>
      <c r="T79" s="21"/>
      <c r="U79" s="21"/>
      <c r="V79" s="21"/>
      <c r="W79" s="21"/>
      <c r="X79" s="21"/>
      <c r="Y79" s="21"/>
      <c r="Z79" s="21"/>
    </row>
    <row r="80" spans="1:26" x14ac:dyDescent="0.25">
      <c r="A80" s="21"/>
      <c r="B80" s="21"/>
      <c r="C80" s="21"/>
      <c r="D80" s="21"/>
      <c r="E80" s="21"/>
      <c r="F80" s="21"/>
      <c r="G80" s="21"/>
      <c r="H80" s="21"/>
      <c r="I80" s="21"/>
      <c r="J80" s="21"/>
      <c r="K80" s="21"/>
      <c r="L80" s="21"/>
      <c r="M80" s="21"/>
      <c r="N80" s="21"/>
      <c r="O80" s="21"/>
      <c r="P80" s="21"/>
      <c r="Q80" s="21"/>
      <c r="R80" s="21"/>
      <c r="S80" s="21"/>
      <c r="T80" s="21"/>
      <c r="U80" s="21"/>
      <c r="V80" s="21"/>
      <c r="W80" s="21"/>
      <c r="X80" s="21"/>
      <c r="Y80" s="21"/>
      <c r="Z80" s="21"/>
    </row>
    <row r="81" spans="1:26" x14ac:dyDescent="0.25">
      <c r="A81" s="21"/>
      <c r="B81" s="21"/>
      <c r="C81" s="21"/>
      <c r="D81" s="21"/>
      <c r="E81" s="21"/>
      <c r="F81" s="21"/>
      <c r="G81" s="21"/>
      <c r="H81" s="21"/>
      <c r="I81" s="21"/>
      <c r="J81" s="21"/>
      <c r="K81" s="21"/>
      <c r="L81" s="21"/>
      <c r="M81" s="21"/>
      <c r="N81" s="21"/>
      <c r="O81" s="21"/>
      <c r="P81" s="21"/>
      <c r="Q81" s="21"/>
      <c r="R81" s="21"/>
      <c r="S81" s="21"/>
      <c r="T81" s="21"/>
      <c r="U81" s="21"/>
      <c r="V81" s="21"/>
      <c r="W81" s="21"/>
      <c r="X81" s="21"/>
      <c r="Y81" s="21"/>
      <c r="Z81" s="21"/>
    </row>
    <row r="82" spans="1:26" x14ac:dyDescent="0.25">
      <c r="A82" s="21"/>
      <c r="B82" s="21"/>
      <c r="C82" s="21"/>
      <c r="D82" s="21"/>
      <c r="E82" s="21"/>
      <c r="F82" s="21"/>
      <c r="G82" s="21"/>
      <c r="H82" s="21"/>
      <c r="I82" s="21"/>
      <c r="J82" s="21"/>
      <c r="K82" s="21"/>
      <c r="L82" s="21"/>
      <c r="M82" s="21"/>
      <c r="N82" s="21"/>
      <c r="O82" s="21"/>
      <c r="P82" s="21"/>
      <c r="Q82" s="21"/>
      <c r="R82" s="21"/>
      <c r="S82" s="21"/>
      <c r="T82" s="21"/>
      <c r="U82" s="21"/>
      <c r="V82" s="21"/>
      <c r="W82" s="21"/>
      <c r="X82" s="21"/>
      <c r="Y82" s="21"/>
      <c r="Z82" s="21"/>
    </row>
    <row r="83" spans="1:26" x14ac:dyDescent="0.25">
      <c r="A83" s="21"/>
      <c r="B83" s="21"/>
      <c r="C83" s="21"/>
      <c r="D83" s="21"/>
      <c r="E83" s="21"/>
      <c r="F83" s="21"/>
      <c r="G83" s="21"/>
      <c r="H83" s="21"/>
      <c r="I83" s="21"/>
      <c r="J83" s="21"/>
      <c r="K83" s="21"/>
      <c r="L83" s="21"/>
      <c r="M83" s="21"/>
      <c r="N83" s="21"/>
      <c r="O83" s="21"/>
      <c r="P83" s="21"/>
      <c r="Q83" s="21"/>
      <c r="R83" s="21"/>
      <c r="S83" s="21"/>
      <c r="T83" s="21"/>
      <c r="U83" s="21"/>
      <c r="V83" s="21"/>
      <c r="W83" s="21"/>
      <c r="X83" s="21"/>
      <c r="Y83" s="21"/>
      <c r="Z83" s="21"/>
    </row>
    <row r="84" spans="1:26" x14ac:dyDescent="0.25">
      <c r="A84" s="21"/>
      <c r="B84" s="21"/>
      <c r="C84" s="21"/>
      <c r="D84" s="21"/>
      <c r="E84" s="21"/>
      <c r="F84" s="21"/>
      <c r="G84" s="21"/>
      <c r="H84" s="21"/>
      <c r="I84" s="21"/>
      <c r="J84" s="21"/>
      <c r="K84" s="21"/>
      <c r="L84" s="21"/>
      <c r="M84" s="21"/>
      <c r="N84" s="21"/>
      <c r="O84" s="21"/>
      <c r="P84" s="21"/>
      <c r="Q84" s="21"/>
      <c r="R84" s="21"/>
      <c r="S84" s="21"/>
      <c r="T84" s="21"/>
      <c r="U84" s="21"/>
      <c r="V84" s="21"/>
      <c r="W84" s="21"/>
      <c r="X84" s="21"/>
      <c r="Y84" s="21"/>
      <c r="Z84" s="21"/>
    </row>
    <row r="85" spans="1:26" x14ac:dyDescent="0.25">
      <c r="A85" s="21"/>
      <c r="B85" s="21"/>
      <c r="C85" s="21"/>
      <c r="D85" s="21"/>
      <c r="E85" s="21"/>
      <c r="F85" s="21"/>
      <c r="G85" s="21"/>
      <c r="H85" s="21"/>
      <c r="I85" s="21"/>
      <c r="J85" s="21"/>
      <c r="K85" s="21"/>
      <c r="L85" s="21"/>
      <c r="M85" s="21"/>
      <c r="N85" s="21"/>
      <c r="O85" s="21"/>
      <c r="P85" s="21"/>
      <c r="Q85" s="21"/>
      <c r="R85" s="21"/>
      <c r="S85" s="21"/>
      <c r="T85" s="21"/>
      <c r="U85" s="21"/>
      <c r="V85" s="21"/>
      <c r="W85" s="21"/>
      <c r="X85" s="21"/>
      <c r="Y85" s="21"/>
      <c r="Z85" s="21"/>
    </row>
    <row r="86" spans="1:26" x14ac:dyDescent="0.25">
      <c r="A86" s="21"/>
      <c r="B86" s="21"/>
      <c r="C86" s="21"/>
      <c r="D86" s="21"/>
      <c r="E86" s="21"/>
      <c r="F86" s="21"/>
      <c r="G86" s="21"/>
      <c r="H86" s="21"/>
      <c r="I86" s="21"/>
      <c r="J86" s="21"/>
      <c r="K86" s="21"/>
      <c r="L86" s="21"/>
      <c r="M86" s="21"/>
      <c r="N86" s="21"/>
      <c r="O86" s="21"/>
      <c r="P86" s="21"/>
      <c r="Q86" s="21"/>
      <c r="R86" s="21"/>
      <c r="S86" s="21"/>
      <c r="T86" s="21"/>
      <c r="U86" s="21"/>
      <c r="V86" s="21"/>
      <c r="W86" s="21"/>
      <c r="X86" s="21"/>
      <c r="Y86" s="21"/>
      <c r="Z86" s="21"/>
    </row>
    <row r="87" spans="1:26" x14ac:dyDescent="0.25">
      <c r="A87" s="21"/>
      <c r="B87" s="21"/>
      <c r="C87" s="21"/>
      <c r="D87" s="21"/>
      <c r="E87" s="21"/>
      <c r="F87" s="21"/>
      <c r="G87" s="21"/>
      <c r="H87" s="21"/>
      <c r="I87" s="21"/>
      <c r="J87" s="21"/>
      <c r="K87" s="21"/>
      <c r="L87" s="21"/>
      <c r="M87" s="21"/>
      <c r="N87" s="21"/>
      <c r="O87" s="21"/>
      <c r="P87" s="21"/>
      <c r="Q87" s="21"/>
      <c r="R87" s="21"/>
      <c r="S87" s="21"/>
      <c r="T87" s="21"/>
      <c r="U87" s="21"/>
      <c r="V87" s="21"/>
      <c r="W87" s="21"/>
      <c r="X87" s="21"/>
      <c r="Y87" s="21"/>
      <c r="Z87" s="21"/>
    </row>
    <row r="88" spans="1:26" x14ac:dyDescent="0.25">
      <c r="A88" s="21"/>
      <c r="B88" s="21"/>
      <c r="C88" s="21"/>
      <c r="D88" s="21"/>
      <c r="E88" s="21"/>
      <c r="F88" s="21"/>
      <c r="G88" s="21"/>
      <c r="H88" s="21"/>
      <c r="I88" s="21"/>
      <c r="J88" s="21"/>
      <c r="K88" s="21"/>
      <c r="L88" s="21"/>
      <c r="M88" s="21"/>
      <c r="N88" s="21"/>
      <c r="O88" s="21"/>
      <c r="P88" s="21"/>
      <c r="Q88" s="21"/>
      <c r="R88" s="21"/>
      <c r="S88" s="21"/>
      <c r="T88" s="21"/>
      <c r="U88" s="21"/>
      <c r="V88" s="21"/>
      <c r="W88" s="21"/>
      <c r="X88" s="21"/>
      <c r="Y88" s="21"/>
      <c r="Z88" s="21"/>
    </row>
    <row r="89" spans="1:26" x14ac:dyDescent="0.25">
      <c r="A89" s="21"/>
      <c r="B89" s="21"/>
      <c r="C89" s="21"/>
      <c r="D89" s="21"/>
      <c r="E89" s="21"/>
      <c r="F89" s="21"/>
      <c r="G89" s="21"/>
      <c r="H89" s="21"/>
      <c r="I89" s="21"/>
      <c r="J89" s="21"/>
      <c r="K89" s="21"/>
      <c r="L89" s="21"/>
      <c r="M89" s="21"/>
      <c r="N89" s="21"/>
      <c r="O89" s="21"/>
      <c r="P89" s="21"/>
      <c r="Q89" s="21"/>
      <c r="R89" s="21"/>
      <c r="S89" s="21"/>
      <c r="T89" s="21"/>
      <c r="U89" s="21"/>
      <c r="V89" s="21"/>
      <c r="W89" s="21"/>
      <c r="X89" s="21"/>
      <c r="Y89" s="21"/>
      <c r="Z89" s="21"/>
    </row>
    <row r="90" spans="1:26" x14ac:dyDescent="0.25">
      <c r="A90" s="21"/>
      <c r="B90" s="21"/>
      <c r="C90" s="21"/>
      <c r="D90" s="21"/>
      <c r="E90" s="21"/>
      <c r="F90" s="21"/>
      <c r="G90" s="21"/>
      <c r="H90" s="21"/>
      <c r="I90" s="21"/>
      <c r="J90" s="21"/>
      <c r="K90" s="21"/>
      <c r="L90" s="21"/>
      <c r="M90" s="21"/>
      <c r="N90" s="21"/>
      <c r="O90" s="21"/>
      <c r="P90" s="21"/>
      <c r="Q90" s="21"/>
      <c r="R90" s="21"/>
      <c r="S90" s="21"/>
      <c r="T90" s="21"/>
      <c r="U90" s="21"/>
      <c r="V90" s="21"/>
      <c r="W90" s="21"/>
      <c r="X90" s="21"/>
      <c r="Y90" s="21"/>
      <c r="Z90" s="21"/>
    </row>
    <row r="91" spans="1:26" x14ac:dyDescent="0.25">
      <c r="A91" s="21"/>
      <c r="B91" s="21"/>
      <c r="C91" s="21"/>
      <c r="D91" s="21"/>
      <c r="E91" s="21"/>
      <c r="F91" s="21"/>
      <c r="G91" s="21"/>
      <c r="H91" s="21"/>
      <c r="I91" s="21"/>
      <c r="J91" s="21"/>
      <c r="K91" s="21"/>
      <c r="L91" s="21"/>
      <c r="M91" s="21"/>
      <c r="N91" s="21"/>
      <c r="O91" s="21"/>
      <c r="P91" s="21"/>
      <c r="Q91" s="21"/>
      <c r="R91" s="21"/>
      <c r="S91" s="21"/>
      <c r="T91" s="21"/>
      <c r="U91" s="21"/>
      <c r="V91" s="21"/>
      <c r="W91" s="21"/>
      <c r="X91" s="21"/>
      <c r="Y91" s="21"/>
      <c r="Z91" s="21"/>
    </row>
    <row r="92" spans="1:26" x14ac:dyDescent="0.25">
      <c r="A92" s="21"/>
      <c r="B92" s="21"/>
      <c r="C92" s="21"/>
      <c r="D92" s="21"/>
      <c r="E92" s="21"/>
      <c r="F92" s="21"/>
      <c r="G92" s="21"/>
      <c r="H92" s="21"/>
      <c r="I92" s="21"/>
      <c r="J92" s="21"/>
      <c r="K92" s="21"/>
      <c r="L92" s="21"/>
      <c r="M92" s="21"/>
      <c r="N92" s="21"/>
      <c r="O92" s="21"/>
      <c r="P92" s="21"/>
      <c r="Q92" s="21"/>
      <c r="R92" s="21"/>
      <c r="S92" s="21"/>
      <c r="T92" s="21"/>
      <c r="U92" s="21"/>
      <c r="V92" s="21"/>
      <c r="W92" s="21"/>
      <c r="X92" s="21"/>
      <c r="Y92" s="21"/>
      <c r="Z92" s="21"/>
    </row>
    <row r="93" spans="1:26" x14ac:dyDescent="0.25">
      <c r="A93" s="21"/>
      <c r="B93" s="21"/>
      <c r="C93" s="21"/>
      <c r="D93" s="21"/>
      <c r="E93" s="21"/>
      <c r="F93" s="21"/>
      <c r="G93" s="21"/>
      <c r="H93" s="21"/>
      <c r="I93" s="21"/>
      <c r="J93" s="21"/>
      <c r="K93" s="21"/>
      <c r="L93" s="21"/>
      <c r="M93" s="21"/>
      <c r="N93" s="21"/>
      <c r="O93" s="21"/>
      <c r="P93" s="21"/>
      <c r="Q93" s="21"/>
      <c r="R93" s="21"/>
      <c r="S93" s="21"/>
      <c r="T93" s="21"/>
      <c r="U93" s="21"/>
      <c r="V93" s="21"/>
      <c r="W93" s="21"/>
      <c r="X93" s="21"/>
      <c r="Y93" s="21"/>
      <c r="Z93" s="21"/>
    </row>
    <row r="94" spans="1:26" x14ac:dyDescent="0.25">
      <c r="A94" s="21"/>
      <c r="B94" s="21"/>
      <c r="C94" s="21"/>
      <c r="D94" s="21"/>
      <c r="E94" s="21"/>
      <c r="F94" s="21"/>
      <c r="G94" s="21"/>
      <c r="H94" s="21"/>
      <c r="I94" s="21"/>
      <c r="J94" s="21"/>
      <c r="K94" s="21"/>
      <c r="L94" s="21"/>
      <c r="M94" s="21"/>
      <c r="N94" s="21"/>
      <c r="O94" s="21"/>
      <c r="P94" s="21"/>
      <c r="Q94" s="21"/>
      <c r="R94" s="21"/>
      <c r="S94" s="21"/>
      <c r="T94" s="21"/>
      <c r="U94" s="21"/>
      <c r="V94" s="21"/>
      <c r="W94" s="21"/>
      <c r="X94" s="21"/>
      <c r="Y94" s="21"/>
      <c r="Z94" s="21"/>
    </row>
    <row r="95" spans="1:26" x14ac:dyDescent="0.25">
      <c r="A95" s="21"/>
      <c r="B95" s="21"/>
      <c r="C95" s="21"/>
      <c r="D95" s="21"/>
      <c r="E95" s="21"/>
      <c r="F95" s="21"/>
      <c r="G95" s="21"/>
      <c r="H95" s="21"/>
      <c r="I95" s="21"/>
      <c r="J95" s="21"/>
      <c r="K95" s="21"/>
      <c r="L95" s="21"/>
      <c r="M95" s="21"/>
      <c r="N95" s="21"/>
      <c r="O95" s="21"/>
      <c r="P95" s="21"/>
      <c r="Q95" s="21"/>
      <c r="R95" s="21"/>
      <c r="S95" s="21"/>
      <c r="T95" s="21"/>
      <c r="U95" s="21"/>
      <c r="V95" s="21"/>
      <c r="W95" s="21"/>
      <c r="X95" s="21"/>
      <c r="Y95" s="21"/>
      <c r="Z95" s="21"/>
    </row>
    <row r="96" spans="1:26" x14ac:dyDescent="0.25">
      <c r="A96" s="21"/>
      <c r="B96" s="21"/>
      <c r="C96" s="21"/>
      <c r="D96" s="21"/>
      <c r="E96" s="21"/>
      <c r="F96" s="21"/>
      <c r="G96" s="21"/>
      <c r="H96" s="21"/>
      <c r="I96" s="21"/>
      <c r="J96" s="21"/>
      <c r="K96" s="21"/>
      <c r="L96" s="21"/>
      <c r="M96" s="21"/>
      <c r="N96" s="21"/>
      <c r="O96" s="21"/>
      <c r="P96" s="21"/>
      <c r="Q96" s="21"/>
      <c r="R96" s="21"/>
      <c r="S96" s="21"/>
      <c r="T96" s="21"/>
      <c r="U96" s="21"/>
      <c r="V96" s="21"/>
      <c r="W96" s="21"/>
      <c r="X96" s="21"/>
      <c r="Y96" s="21"/>
      <c r="Z96" s="21"/>
    </row>
    <row r="97" spans="1:26" x14ac:dyDescent="0.25">
      <c r="A97" s="21"/>
      <c r="B97" s="21"/>
      <c r="C97" s="21"/>
      <c r="D97" s="21"/>
      <c r="E97" s="21"/>
      <c r="F97" s="21"/>
      <c r="G97" s="21"/>
      <c r="H97" s="21"/>
      <c r="I97" s="21"/>
      <c r="J97" s="21"/>
      <c r="K97" s="21"/>
      <c r="L97" s="21"/>
      <c r="M97" s="21"/>
      <c r="N97" s="21"/>
      <c r="O97" s="21"/>
      <c r="P97" s="21"/>
      <c r="Q97" s="21"/>
      <c r="R97" s="21"/>
      <c r="S97" s="21"/>
      <c r="T97" s="21"/>
      <c r="U97" s="21"/>
      <c r="V97" s="21"/>
      <c r="W97" s="21"/>
      <c r="X97" s="21"/>
      <c r="Y97" s="21"/>
      <c r="Z97" s="21"/>
    </row>
    <row r="98" spans="1:26" x14ac:dyDescent="0.25">
      <c r="A98" s="21"/>
      <c r="B98" s="21"/>
      <c r="C98" s="21"/>
      <c r="D98" s="21"/>
      <c r="E98" s="21"/>
      <c r="F98" s="21"/>
      <c r="G98" s="21"/>
      <c r="H98" s="21"/>
      <c r="I98" s="21"/>
      <c r="J98" s="21"/>
      <c r="K98" s="21"/>
      <c r="L98" s="21"/>
      <c r="M98" s="21"/>
      <c r="N98" s="21"/>
      <c r="O98" s="21"/>
      <c r="P98" s="21"/>
      <c r="Q98" s="21"/>
      <c r="R98" s="21"/>
      <c r="S98" s="21"/>
      <c r="T98" s="21"/>
      <c r="U98" s="21"/>
      <c r="V98" s="21"/>
      <c r="W98" s="21"/>
      <c r="X98" s="21"/>
      <c r="Y98" s="21"/>
      <c r="Z98" s="21"/>
    </row>
    <row r="99" spans="1:26" x14ac:dyDescent="0.25">
      <c r="A99" s="21"/>
      <c r="B99" s="21"/>
      <c r="C99" s="21"/>
      <c r="D99" s="21"/>
      <c r="E99" s="21"/>
      <c r="F99" s="21"/>
      <c r="G99" s="21"/>
      <c r="H99" s="21"/>
      <c r="I99" s="21"/>
      <c r="J99" s="21"/>
      <c r="K99" s="21"/>
      <c r="L99" s="21"/>
      <c r="M99" s="21"/>
      <c r="N99" s="21"/>
      <c r="O99" s="21"/>
      <c r="P99" s="21"/>
      <c r="Q99" s="21"/>
      <c r="R99" s="21"/>
      <c r="S99" s="21"/>
      <c r="T99" s="21"/>
      <c r="U99" s="21"/>
      <c r="V99" s="21"/>
      <c r="W99" s="21"/>
      <c r="X99" s="21"/>
      <c r="Y99" s="21"/>
      <c r="Z99" s="21"/>
    </row>
    <row r="100" spans="1:26" x14ac:dyDescent="0.25">
      <c r="A100" s="21"/>
      <c r="B100" s="21"/>
      <c r="C100" s="21"/>
      <c r="D100" s="21"/>
      <c r="E100" s="21"/>
      <c r="F100" s="21"/>
      <c r="G100" s="21"/>
      <c r="H100" s="21"/>
      <c r="I100" s="21"/>
      <c r="J100" s="21"/>
      <c r="K100" s="21"/>
      <c r="L100" s="21"/>
      <c r="M100" s="21"/>
      <c r="N100" s="21"/>
      <c r="O100" s="21"/>
      <c r="P100" s="21"/>
      <c r="Q100" s="21"/>
      <c r="R100" s="21"/>
      <c r="S100" s="21"/>
      <c r="T100" s="21"/>
      <c r="U100" s="21"/>
      <c r="V100" s="21"/>
      <c r="W100" s="21"/>
      <c r="X100" s="21"/>
      <c r="Y100" s="21"/>
      <c r="Z100" s="21"/>
    </row>
  </sheetData>
  <mergeCells count="3">
    <mergeCell ref="A1:J1"/>
    <mergeCell ref="A14:G14"/>
    <mergeCell ref="A22:G22"/>
  </mergeCells>
  <conditionalFormatting sqref="D16:D20">
    <cfRule type="cellIs" dxfId="13" priority="1" operator="lessThan">
      <formula>0</formula>
    </cfRule>
    <cfRule type="cellIs" dxfId="12" priority="2" operator="greaterThanOrEqual">
      <formula>0</formula>
    </cfRule>
  </conditionalFormatting>
  <conditionalFormatting sqref="F16:F20">
    <cfRule type="cellIs" dxfId="11" priority="3" operator="lessThan">
      <formula>0</formula>
    </cfRule>
  </conditionalFormatting>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H25"/>
  <sheetViews>
    <sheetView workbookViewId="0"/>
  </sheetViews>
  <sheetFormatPr defaultRowHeight="15" x14ac:dyDescent="0.25"/>
  <cols>
    <col min="1" max="1" width="14" customWidth="1"/>
    <col min="2" max="2" width="32" customWidth="1"/>
    <col min="3" max="3" width="36" customWidth="1"/>
    <col min="4" max="5" width="38" customWidth="1"/>
    <col min="6" max="7" width="44" customWidth="1"/>
    <col min="8" max="8" width="31" customWidth="1"/>
  </cols>
  <sheetData>
    <row r="1" spans="1:8" ht="21" x14ac:dyDescent="0.25">
      <c r="A1" s="137" t="s">
        <v>2953</v>
      </c>
      <c r="B1" s="137"/>
      <c r="C1" s="137"/>
      <c r="D1" s="137"/>
      <c r="E1" s="137"/>
      <c r="F1" s="137"/>
      <c r="G1" s="137"/>
      <c r="H1" s="137"/>
    </row>
    <row r="3" spans="1:8" x14ac:dyDescent="0.25">
      <c r="A3" s="113" t="s">
        <v>2954</v>
      </c>
      <c r="B3" s="113" t="s">
        <v>2955</v>
      </c>
      <c r="C3" s="113" t="s">
        <v>2956</v>
      </c>
      <c r="D3" s="113" t="s">
        <v>2957</v>
      </c>
      <c r="E3" s="113" t="s">
        <v>2958</v>
      </c>
      <c r="F3" s="113" t="s">
        <v>2959</v>
      </c>
      <c r="G3" s="113" t="s">
        <v>2960</v>
      </c>
      <c r="H3" s="113" t="s">
        <v>2961</v>
      </c>
    </row>
    <row r="4" spans="1:8" ht="60" x14ac:dyDescent="0.25">
      <c r="A4" s="2" t="s">
        <v>1050</v>
      </c>
      <c r="B4" s="2" t="s">
        <v>2962</v>
      </c>
      <c r="C4" s="2" t="s">
        <v>2963</v>
      </c>
      <c r="D4" s="2" t="s">
        <v>2964</v>
      </c>
      <c r="E4" s="2" t="s">
        <v>2965</v>
      </c>
      <c r="F4" s="2" t="s">
        <v>2966</v>
      </c>
      <c r="G4" s="2" t="s">
        <v>2967</v>
      </c>
      <c r="H4" s="2" t="s">
        <v>2968</v>
      </c>
    </row>
    <row r="5" spans="1:8" ht="60" x14ac:dyDescent="0.25">
      <c r="A5" s="2" t="s">
        <v>1017</v>
      </c>
      <c r="B5" s="2" t="s">
        <v>2969</v>
      </c>
      <c r="C5" s="2" t="s">
        <v>2970</v>
      </c>
      <c r="D5" s="2" t="s">
        <v>2971</v>
      </c>
      <c r="E5" s="2" t="s">
        <v>2972</v>
      </c>
      <c r="F5" s="2" t="s">
        <v>2973</v>
      </c>
      <c r="G5" s="2" t="s">
        <v>2974</v>
      </c>
      <c r="H5" s="2" t="s">
        <v>2975</v>
      </c>
    </row>
    <row r="6" spans="1:8" ht="60" x14ac:dyDescent="0.25">
      <c r="A6" s="2" t="s">
        <v>1139</v>
      </c>
      <c r="B6" s="2" t="s">
        <v>2976</v>
      </c>
      <c r="C6" s="2" t="s">
        <v>2977</v>
      </c>
      <c r="D6" s="2" t="s">
        <v>2978</v>
      </c>
      <c r="E6" s="2" t="s">
        <v>2979</v>
      </c>
      <c r="F6" s="2" t="s">
        <v>2980</v>
      </c>
      <c r="G6" s="2" t="s">
        <v>2981</v>
      </c>
      <c r="H6" s="2" t="s">
        <v>2982</v>
      </c>
    </row>
    <row r="8" spans="1:8" x14ac:dyDescent="0.25">
      <c r="A8" s="132" t="s">
        <v>2983</v>
      </c>
      <c r="B8" s="132"/>
      <c r="C8" s="132"/>
      <c r="D8" s="132"/>
      <c r="E8" s="132"/>
      <c r="F8" s="132"/>
      <c r="G8" s="132"/>
      <c r="H8" s="132"/>
    </row>
    <row r="9" spans="1:8" ht="30" x14ac:dyDescent="0.25">
      <c r="A9" s="2" t="s">
        <v>2984</v>
      </c>
      <c r="B9" s="2" t="s">
        <v>2985</v>
      </c>
      <c r="C9" s="2" t="s">
        <v>2986</v>
      </c>
    </row>
    <row r="10" spans="1:8" ht="45" x14ac:dyDescent="0.25">
      <c r="A10" s="2" t="s">
        <v>2987</v>
      </c>
      <c r="B10" s="2" t="s">
        <v>2988</v>
      </c>
      <c r="C10" s="2" t="s">
        <v>2989</v>
      </c>
    </row>
    <row r="11" spans="1:8" ht="45" x14ac:dyDescent="0.25">
      <c r="A11" s="2" t="s">
        <v>2990</v>
      </c>
      <c r="B11" s="2" t="s">
        <v>2991</v>
      </c>
      <c r="C11" s="2" t="s">
        <v>2992</v>
      </c>
    </row>
    <row r="12" spans="1:8" ht="30" x14ac:dyDescent="0.25">
      <c r="A12" s="2" t="s">
        <v>2993</v>
      </c>
      <c r="B12" s="2" t="s">
        <v>2994</v>
      </c>
      <c r="C12" s="2" t="s">
        <v>2995</v>
      </c>
    </row>
    <row r="13" spans="1:8" ht="45" x14ac:dyDescent="0.25">
      <c r="A13" s="2" t="s">
        <v>2996</v>
      </c>
      <c r="B13" s="2" t="s">
        <v>2997</v>
      </c>
      <c r="C13" s="2" t="s">
        <v>2998</v>
      </c>
    </row>
    <row r="14" spans="1:8" ht="45" x14ac:dyDescent="0.25">
      <c r="A14" s="2" t="s">
        <v>2999</v>
      </c>
      <c r="B14" s="2" t="s">
        <v>3000</v>
      </c>
      <c r="C14" s="2" t="s">
        <v>3001</v>
      </c>
    </row>
    <row r="15" spans="1:8" ht="60" x14ac:dyDescent="0.25">
      <c r="A15" s="2" t="s">
        <v>3002</v>
      </c>
      <c r="B15" s="2" t="s">
        <v>3003</v>
      </c>
      <c r="C15" s="2" t="s">
        <v>3004</v>
      </c>
    </row>
    <row r="17" spans="1:8" x14ac:dyDescent="0.25">
      <c r="A17" s="132" t="s">
        <v>3005</v>
      </c>
      <c r="B17" s="132"/>
      <c r="C17" s="132"/>
      <c r="D17" s="132"/>
      <c r="E17" s="132"/>
      <c r="F17" s="132"/>
      <c r="G17" s="132"/>
      <c r="H17" s="132"/>
    </row>
    <row r="18" spans="1:8" ht="30" x14ac:dyDescent="0.25">
      <c r="A18" s="114" t="s">
        <v>3006</v>
      </c>
      <c r="B18" s="114" t="s">
        <v>3007</v>
      </c>
      <c r="C18" s="114" t="s">
        <v>3008</v>
      </c>
      <c r="D18" s="114" t="s">
        <v>3009</v>
      </c>
      <c r="E18" s="114"/>
      <c r="F18" s="114"/>
      <c r="G18" s="114"/>
      <c r="H18" s="114"/>
    </row>
    <row r="19" spans="1:8" ht="60" x14ac:dyDescent="0.25">
      <c r="A19" s="2" t="s">
        <v>1215</v>
      </c>
      <c r="B19" s="2" t="s">
        <v>3010</v>
      </c>
      <c r="C19" s="2" t="s">
        <v>3011</v>
      </c>
      <c r="D19" s="2" t="s">
        <v>3012</v>
      </c>
      <c r="E19" s="2"/>
      <c r="F19" s="2"/>
      <c r="G19" s="2"/>
      <c r="H19" s="2"/>
    </row>
    <row r="20" spans="1:8" ht="30" x14ac:dyDescent="0.25">
      <c r="A20" s="2" t="s">
        <v>1079</v>
      </c>
      <c r="B20" s="2" t="s">
        <v>3013</v>
      </c>
      <c r="C20" s="2" t="s">
        <v>3014</v>
      </c>
      <c r="D20" s="2" t="s">
        <v>3015</v>
      </c>
      <c r="E20" s="2"/>
      <c r="F20" s="2"/>
      <c r="G20" s="2"/>
      <c r="H20" s="2"/>
    </row>
    <row r="21" spans="1:8" ht="30" x14ac:dyDescent="0.25">
      <c r="A21" s="2" t="s">
        <v>1029</v>
      </c>
      <c r="B21" s="2" t="s">
        <v>3016</v>
      </c>
      <c r="C21" s="2" t="s">
        <v>3017</v>
      </c>
      <c r="D21" s="2" t="s">
        <v>3018</v>
      </c>
      <c r="E21" s="2"/>
      <c r="F21" s="2"/>
      <c r="G21" s="2"/>
      <c r="H21" s="2"/>
    </row>
    <row r="22" spans="1:8" ht="30" x14ac:dyDescent="0.25">
      <c r="A22" s="2" t="s">
        <v>1294</v>
      </c>
      <c r="B22" s="2" t="s">
        <v>3019</v>
      </c>
      <c r="C22" s="2" t="s">
        <v>3020</v>
      </c>
      <c r="D22" s="2" t="s">
        <v>3021</v>
      </c>
      <c r="E22" s="2"/>
      <c r="F22" s="2"/>
      <c r="G22" s="2"/>
      <c r="H22" s="2"/>
    </row>
    <row r="23" spans="1:8" ht="30" x14ac:dyDescent="0.25">
      <c r="A23" s="2" t="s">
        <v>1265</v>
      </c>
      <c r="B23" s="2" t="s">
        <v>3022</v>
      </c>
      <c r="C23" s="2" t="s">
        <v>3023</v>
      </c>
      <c r="D23" s="2" t="s">
        <v>3024</v>
      </c>
      <c r="E23" s="2"/>
      <c r="F23" s="2"/>
      <c r="G23" s="2"/>
      <c r="H23" s="2"/>
    </row>
    <row r="24" spans="1:8" ht="30" x14ac:dyDescent="0.25">
      <c r="A24" s="2" t="s">
        <v>1227</v>
      </c>
      <c r="B24" s="2" t="s">
        <v>3025</v>
      </c>
      <c r="C24" s="2" t="s">
        <v>3026</v>
      </c>
      <c r="D24" s="2" t="s">
        <v>3027</v>
      </c>
      <c r="E24" s="2"/>
      <c r="F24" s="2"/>
      <c r="G24" s="2"/>
      <c r="H24" s="2"/>
    </row>
    <row r="25" spans="1:8" ht="30" x14ac:dyDescent="0.25">
      <c r="A25" s="2" t="s">
        <v>1745</v>
      </c>
      <c r="B25" s="2" t="s">
        <v>3028</v>
      </c>
      <c r="C25" s="2" t="s">
        <v>3029</v>
      </c>
      <c r="D25" s="2" t="s">
        <v>3030</v>
      </c>
      <c r="E25" s="2"/>
      <c r="F25" s="2"/>
      <c r="G25" s="2"/>
      <c r="H25" s="2"/>
    </row>
  </sheetData>
  <mergeCells count="3">
    <mergeCell ref="A1:H1"/>
    <mergeCell ref="A8:H8"/>
    <mergeCell ref="A17:H17"/>
  </mergeCells>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Q201"/>
  <sheetViews>
    <sheetView workbookViewId="0"/>
  </sheetViews>
  <sheetFormatPr defaultRowHeight="15" x14ac:dyDescent="0.25"/>
  <cols>
    <col min="1" max="2" width="10" customWidth="1"/>
    <col min="3" max="3" width="12" customWidth="1"/>
    <col min="4" max="4" width="13" customWidth="1"/>
    <col min="5" max="5" width="42" customWidth="1"/>
    <col min="6" max="7" width="12" customWidth="1"/>
    <col min="8" max="8" width="11" customWidth="1"/>
    <col min="9" max="9" width="34" customWidth="1"/>
    <col min="10" max="10" width="26" customWidth="1"/>
    <col min="11" max="11" width="10" customWidth="1"/>
    <col min="12" max="13" width="12" customWidth="1"/>
    <col min="14" max="14" width="28" customWidth="1"/>
    <col min="15" max="17" width="46" customWidth="1"/>
  </cols>
  <sheetData>
    <row r="1" spans="1:17" ht="30" x14ac:dyDescent="0.25">
      <c r="A1" s="109" t="s">
        <v>3031</v>
      </c>
      <c r="B1" s="109" t="s">
        <v>1</v>
      </c>
      <c r="C1" s="109" t="s">
        <v>131</v>
      </c>
      <c r="D1" s="109" t="s">
        <v>366</v>
      </c>
      <c r="E1" s="109" t="s">
        <v>361</v>
      </c>
      <c r="F1" s="109" t="s">
        <v>3032</v>
      </c>
      <c r="G1" s="109" t="s">
        <v>2954</v>
      </c>
      <c r="H1" s="109" t="s">
        <v>3033</v>
      </c>
      <c r="I1" s="109" t="s">
        <v>3034</v>
      </c>
      <c r="J1" s="109" t="s">
        <v>3006</v>
      </c>
      <c r="K1" s="109" t="s">
        <v>3035</v>
      </c>
      <c r="L1" s="109" t="s">
        <v>3036</v>
      </c>
      <c r="M1" s="109" t="s">
        <v>3037</v>
      </c>
      <c r="N1" s="109" t="s">
        <v>360</v>
      </c>
      <c r="O1" s="109" t="s">
        <v>2055</v>
      </c>
      <c r="P1" s="109" t="s">
        <v>760</v>
      </c>
      <c r="Q1" s="109" t="s">
        <v>3038</v>
      </c>
    </row>
    <row r="2" spans="1:17" ht="30" x14ac:dyDescent="0.25">
      <c r="A2" s="2" t="s">
        <v>762</v>
      </c>
      <c r="B2" s="2" t="s">
        <v>7</v>
      </c>
      <c r="C2" s="2" t="s">
        <v>6</v>
      </c>
      <c r="D2" s="2" t="s">
        <v>768</v>
      </c>
      <c r="E2" s="2" t="s">
        <v>763</v>
      </c>
      <c r="F2" s="115">
        <v>8</v>
      </c>
      <c r="G2" s="2" t="s">
        <v>171</v>
      </c>
      <c r="H2" s="2">
        <v>0</v>
      </c>
      <c r="I2" s="2" t="s">
        <v>782</v>
      </c>
      <c r="J2" s="2" t="s">
        <v>781</v>
      </c>
      <c r="K2" s="111">
        <v>0</v>
      </c>
      <c r="L2" s="111">
        <v>0</v>
      </c>
      <c r="M2" s="111">
        <v>0</v>
      </c>
      <c r="N2" s="2" t="s">
        <v>171</v>
      </c>
      <c r="O2" s="2" t="s">
        <v>783</v>
      </c>
      <c r="P2" s="2" t="s">
        <v>784</v>
      </c>
      <c r="Q2" s="2" t="s">
        <v>785</v>
      </c>
    </row>
    <row r="3" spans="1:17" ht="30" x14ac:dyDescent="0.25">
      <c r="A3" s="2" t="s">
        <v>786</v>
      </c>
      <c r="B3" s="2" t="s">
        <v>7</v>
      </c>
      <c r="C3" s="2" t="s">
        <v>6</v>
      </c>
      <c r="D3" s="2" t="s">
        <v>768</v>
      </c>
      <c r="E3" s="2" t="s">
        <v>787</v>
      </c>
      <c r="F3" s="115">
        <v>8</v>
      </c>
      <c r="G3" s="2" t="s">
        <v>171</v>
      </c>
      <c r="H3" s="2">
        <v>0</v>
      </c>
      <c r="I3" s="2" t="s">
        <v>782</v>
      </c>
      <c r="J3" s="2" t="s">
        <v>781</v>
      </c>
      <c r="K3" s="111">
        <v>0</v>
      </c>
      <c r="L3" s="111">
        <v>0</v>
      </c>
      <c r="M3" s="111">
        <v>0</v>
      </c>
      <c r="N3" s="2" t="s">
        <v>171</v>
      </c>
      <c r="O3" s="2" t="s">
        <v>783</v>
      </c>
      <c r="P3" s="2" t="s">
        <v>784</v>
      </c>
      <c r="Q3" s="2" t="s">
        <v>785</v>
      </c>
    </row>
    <row r="4" spans="1:17" ht="30" x14ac:dyDescent="0.25">
      <c r="A4" s="2" t="s">
        <v>791</v>
      </c>
      <c r="B4" s="2" t="s">
        <v>7</v>
      </c>
      <c r="C4" s="2" t="s">
        <v>6</v>
      </c>
      <c r="D4" s="2" t="s">
        <v>768</v>
      </c>
      <c r="E4" s="2" t="s">
        <v>792</v>
      </c>
      <c r="F4" s="115">
        <v>4</v>
      </c>
      <c r="G4" s="2" t="s">
        <v>171</v>
      </c>
      <c r="H4" s="2">
        <v>0</v>
      </c>
      <c r="I4" s="2" t="s">
        <v>782</v>
      </c>
      <c r="J4" s="2" t="s">
        <v>781</v>
      </c>
      <c r="K4" s="111">
        <v>0</v>
      </c>
      <c r="L4" s="111">
        <v>0</v>
      </c>
      <c r="M4" s="111">
        <v>0</v>
      </c>
      <c r="N4" s="2" t="s">
        <v>171</v>
      </c>
      <c r="O4" s="2" t="s">
        <v>783</v>
      </c>
      <c r="P4" s="2" t="s">
        <v>784</v>
      </c>
      <c r="Q4" s="2" t="s">
        <v>785</v>
      </c>
    </row>
    <row r="5" spans="1:17" ht="30" x14ac:dyDescent="0.25">
      <c r="A5" s="2" t="s">
        <v>798</v>
      </c>
      <c r="B5" s="2" t="s">
        <v>7</v>
      </c>
      <c r="C5" s="2" t="s">
        <v>6</v>
      </c>
      <c r="D5" s="2" t="s">
        <v>768</v>
      </c>
      <c r="E5" s="2" t="s">
        <v>799</v>
      </c>
      <c r="F5" s="115">
        <v>4</v>
      </c>
      <c r="G5" s="2" t="s">
        <v>171</v>
      </c>
      <c r="H5" s="2">
        <v>0</v>
      </c>
      <c r="I5" s="2" t="s">
        <v>782</v>
      </c>
      <c r="J5" s="2" t="s">
        <v>781</v>
      </c>
      <c r="K5" s="111">
        <v>0</v>
      </c>
      <c r="L5" s="111">
        <v>0</v>
      </c>
      <c r="M5" s="111">
        <v>0</v>
      </c>
      <c r="N5" s="2" t="s">
        <v>171</v>
      </c>
      <c r="O5" s="2" t="s">
        <v>783</v>
      </c>
      <c r="P5" s="2" t="s">
        <v>784</v>
      </c>
      <c r="Q5" s="2" t="s">
        <v>785</v>
      </c>
    </row>
    <row r="6" spans="1:17" ht="30" x14ac:dyDescent="0.25">
      <c r="A6" s="2" t="s">
        <v>804</v>
      </c>
      <c r="B6" s="2" t="s">
        <v>7</v>
      </c>
      <c r="C6" s="2" t="s">
        <v>6</v>
      </c>
      <c r="D6" s="2" t="s">
        <v>768</v>
      </c>
      <c r="E6" s="2" t="s">
        <v>805</v>
      </c>
      <c r="F6" s="115">
        <v>6</v>
      </c>
      <c r="G6" s="2" t="s">
        <v>171</v>
      </c>
      <c r="H6" s="2">
        <v>0</v>
      </c>
      <c r="I6" s="2" t="s">
        <v>782</v>
      </c>
      <c r="J6" s="2" t="s">
        <v>781</v>
      </c>
      <c r="K6" s="111">
        <v>0</v>
      </c>
      <c r="L6" s="111">
        <v>0</v>
      </c>
      <c r="M6" s="111">
        <v>0</v>
      </c>
      <c r="N6" s="2" t="s">
        <v>171</v>
      </c>
      <c r="O6" s="2" t="s">
        <v>783</v>
      </c>
      <c r="P6" s="2" t="s">
        <v>784</v>
      </c>
      <c r="Q6" s="2" t="s">
        <v>785</v>
      </c>
    </row>
    <row r="7" spans="1:17" ht="30" x14ac:dyDescent="0.25">
      <c r="A7" s="2" t="s">
        <v>810</v>
      </c>
      <c r="B7" s="2" t="s">
        <v>7</v>
      </c>
      <c r="C7" s="2" t="s">
        <v>6</v>
      </c>
      <c r="D7" s="2" t="s">
        <v>768</v>
      </c>
      <c r="E7" s="2" t="s">
        <v>811</v>
      </c>
      <c r="F7" s="115">
        <v>8</v>
      </c>
      <c r="G7" s="2" t="s">
        <v>171</v>
      </c>
      <c r="H7" s="2">
        <v>0</v>
      </c>
      <c r="I7" s="2" t="s">
        <v>782</v>
      </c>
      <c r="J7" s="2" t="s">
        <v>781</v>
      </c>
      <c r="K7" s="111">
        <v>0</v>
      </c>
      <c r="L7" s="111">
        <v>0</v>
      </c>
      <c r="M7" s="111">
        <v>0</v>
      </c>
      <c r="N7" s="2" t="s">
        <v>171</v>
      </c>
      <c r="O7" s="2" t="s">
        <v>783</v>
      </c>
      <c r="P7" s="2" t="s">
        <v>784</v>
      </c>
      <c r="Q7" s="2" t="s">
        <v>785</v>
      </c>
    </row>
    <row r="8" spans="1:17" ht="45" x14ac:dyDescent="0.25">
      <c r="A8" s="2" t="s">
        <v>814</v>
      </c>
      <c r="B8" s="2" t="s">
        <v>7</v>
      </c>
      <c r="C8" s="2" t="s">
        <v>6</v>
      </c>
      <c r="D8" s="2" t="s">
        <v>768</v>
      </c>
      <c r="E8" s="2" t="s">
        <v>3039</v>
      </c>
      <c r="F8" s="115">
        <v>10</v>
      </c>
      <c r="G8" s="2" t="s">
        <v>171</v>
      </c>
      <c r="H8" s="2">
        <v>0</v>
      </c>
      <c r="I8" s="2" t="s">
        <v>782</v>
      </c>
      <c r="J8" s="2" t="s">
        <v>781</v>
      </c>
      <c r="K8" s="111">
        <v>0</v>
      </c>
      <c r="L8" s="111">
        <v>0</v>
      </c>
      <c r="M8" s="111">
        <v>0</v>
      </c>
      <c r="N8" s="2" t="s">
        <v>171</v>
      </c>
      <c r="O8" s="2" t="s">
        <v>783</v>
      </c>
      <c r="P8" s="2" t="s">
        <v>784</v>
      </c>
      <c r="Q8" s="2" t="s">
        <v>785</v>
      </c>
    </row>
    <row r="9" spans="1:17" ht="30" x14ac:dyDescent="0.25">
      <c r="A9" s="2" t="s">
        <v>818</v>
      </c>
      <c r="B9" s="2" t="s">
        <v>7</v>
      </c>
      <c r="C9" s="2" t="s">
        <v>6</v>
      </c>
      <c r="D9" s="2" t="s">
        <v>768</v>
      </c>
      <c r="E9" s="2" t="s">
        <v>819</v>
      </c>
      <c r="F9" s="115">
        <v>10</v>
      </c>
      <c r="G9" s="2" t="s">
        <v>171</v>
      </c>
      <c r="H9" s="2">
        <v>0</v>
      </c>
      <c r="I9" s="2" t="s">
        <v>782</v>
      </c>
      <c r="J9" s="2" t="s">
        <v>781</v>
      </c>
      <c r="K9" s="111">
        <v>0</v>
      </c>
      <c r="L9" s="111">
        <v>0</v>
      </c>
      <c r="M9" s="111">
        <v>0</v>
      </c>
      <c r="N9" s="2" t="s">
        <v>171</v>
      </c>
      <c r="O9" s="2" t="s">
        <v>783</v>
      </c>
      <c r="P9" s="2" t="s">
        <v>784</v>
      </c>
      <c r="Q9" s="2" t="s">
        <v>785</v>
      </c>
    </row>
    <row r="10" spans="1:17" ht="30" x14ac:dyDescent="0.25">
      <c r="A10" s="2" t="s">
        <v>824</v>
      </c>
      <c r="B10" s="2" t="s">
        <v>7</v>
      </c>
      <c r="C10" s="2" t="s">
        <v>6</v>
      </c>
      <c r="D10" s="2" t="s">
        <v>768</v>
      </c>
      <c r="E10" s="2" t="s">
        <v>825</v>
      </c>
      <c r="F10" s="115">
        <v>6</v>
      </c>
      <c r="G10" s="2" t="s">
        <v>171</v>
      </c>
      <c r="H10" s="2">
        <v>0</v>
      </c>
      <c r="I10" s="2" t="s">
        <v>782</v>
      </c>
      <c r="J10" s="2" t="s">
        <v>781</v>
      </c>
      <c r="K10" s="111">
        <v>0</v>
      </c>
      <c r="L10" s="111">
        <v>0</v>
      </c>
      <c r="M10" s="111">
        <v>0</v>
      </c>
      <c r="N10" s="2" t="s">
        <v>171</v>
      </c>
      <c r="O10" s="2" t="s">
        <v>783</v>
      </c>
      <c r="P10" s="2" t="s">
        <v>784</v>
      </c>
      <c r="Q10" s="2" t="s">
        <v>785</v>
      </c>
    </row>
    <row r="11" spans="1:17" ht="30" x14ac:dyDescent="0.25">
      <c r="A11" s="2" t="s">
        <v>830</v>
      </c>
      <c r="B11" s="2" t="s">
        <v>7</v>
      </c>
      <c r="C11" s="2" t="s">
        <v>6</v>
      </c>
      <c r="D11" s="2" t="s">
        <v>768</v>
      </c>
      <c r="E11" s="2" t="s">
        <v>3040</v>
      </c>
      <c r="F11" s="115">
        <v>8</v>
      </c>
      <c r="G11" s="2" t="s">
        <v>171</v>
      </c>
      <c r="H11" s="2">
        <v>0</v>
      </c>
      <c r="I11" s="2" t="s">
        <v>782</v>
      </c>
      <c r="J11" s="2" t="s">
        <v>781</v>
      </c>
      <c r="K11" s="111">
        <v>0</v>
      </c>
      <c r="L11" s="111">
        <v>0</v>
      </c>
      <c r="M11" s="111">
        <v>0</v>
      </c>
      <c r="N11" s="2" t="s">
        <v>171</v>
      </c>
      <c r="O11" s="2" t="s">
        <v>783</v>
      </c>
      <c r="P11" s="2" t="s">
        <v>784</v>
      </c>
      <c r="Q11" s="2" t="s">
        <v>785</v>
      </c>
    </row>
    <row r="12" spans="1:17" ht="30" x14ac:dyDescent="0.25">
      <c r="A12" s="2" t="s">
        <v>835</v>
      </c>
      <c r="B12" s="2" t="s">
        <v>7</v>
      </c>
      <c r="C12" s="2" t="s">
        <v>6</v>
      </c>
      <c r="D12" s="2" t="s">
        <v>768</v>
      </c>
      <c r="E12" s="2" t="s">
        <v>836</v>
      </c>
      <c r="F12" s="115">
        <v>6</v>
      </c>
      <c r="G12" s="2" t="s">
        <v>171</v>
      </c>
      <c r="H12" s="2">
        <v>0</v>
      </c>
      <c r="I12" s="2" t="s">
        <v>782</v>
      </c>
      <c r="J12" s="2" t="s">
        <v>781</v>
      </c>
      <c r="K12" s="111">
        <v>0</v>
      </c>
      <c r="L12" s="111">
        <v>0</v>
      </c>
      <c r="M12" s="111">
        <v>0</v>
      </c>
      <c r="N12" s="2" t="s">
        <v>171</v>
      </c>
      <c r="O12" s="2" t="s">
        <v>783</v>
      </c>
      <c r="P12" s="2" t="s">
        <v>784</v>
      </c>
      <c r="Q12" s="2" t="s">
        <v>785</v>
      </c>
    </row>
    <row r="13" spans="1:17" ht="30" x14ac:dyDescent="0.25">
      <c r="A13" s="2" t="s">
        <v>840</v>
      </c>
      <c r="B13" s="2" t="s">
        <v>7</v>
      </c>
      <c r="C13" s="2" t="s">
        <v>6</v>
      </c>
      <c r="D13" s="2" t="s">
        <v>768</v>
      </c>
      <c r="E13" s="2" t="s">
        <v>841</v>
      </c>
      <c r="F13" s="115">
        <v>6</v>
      </c>
      <c r="G13" s="2" t="s">
        <v>171</v>
      </c>
      <c r="H13" s="2">
        <v>0</v>
      </c>
      <c r="I13" s="2" t="s">
        <v>782</v>
      </c>
      <c r="J13" s="2" t="s">
        <v>781</v>
      </c>
      <c r="K13" s="111">
        <v>0</v>
      </c>
      <c r="L13" s="111">
        <v>0</v>
      </c>
      <c r="M13" s="111">
        <v>0</v>
      </c>
      <c r="N13" s="2" t="s">
        <v>171</v>
      </c>
      <c r="O13" s="2" t="s">
        <v>783</v>
      </c>
      <c r="P13" s="2" t="s">
        <v>784</v>
      </c>
      <c r="Q13" s="2" t="s">
        <v>785</v>
      </c>
    </row>
    <row r="14" spans="1:17" ht="30" x14ac:dyDescent="0.25">
      <c r="A14" s="2" t="s">
        <v>845</v>
      </c>
      <c r="B14" s="2" t="s">
        <v>7</v>
      </c>
      <c r="C14" s="2" t="s">
        <v>10</v>
      </c>
      <c r="D14" s="2" t="s">
        <v>768</v>
      </c>
      <c r="E14" s="2" t="s">
        <v>846</v>
      </c>
      <c r="F14" s="115">
        <v>8</v>
      </c>
      <c r="G14" s="2" t="s">
        <v>171</v>
      </c>
      <c r="H14" s="2">
        <v>0</v>
      </c>
      <c r="I14" s="2" t="s">
        <v>782</v>
      </c>
      <c r="J14" s="2" t="s">
        <v>781</v>
      </c>
      <c r="K14" s="111">
        <v>0</v>
      </c>
      <c r="L14" s="111">
        <v>0</v>
      </c>
      <c r="M14" s="111">
        <v>0</v>
      </c>
      <c r="N14" s="2" t="s">
        <v>171</v>
      </c>
      <c r="O14" s="2" t="s">
        <v>783</v>
      </c>
      <c r="P14" s="2" t="s">
        <v>784</v>
      </c>
      <c r="Q14" s="2" t="s">
        <v>785</v>
      </c>
    </row>
    <row r="15" spans="1:17" ht="30" x14ac:dyDescent="0.25">
      <c r="A15" s="2" t="s">
        <v>850</v>
      </c>
      <c r="B15" s="2" t="s">
        <v>7</v>
      </c>
      <c r="C15" s="2" t="s">
        <v>10</v>
      </c>
      <c r="D15" s="2" t="s">
        <v>768</v>
      </c>
      <c r="E15" s="2" t="s">
        <v>851</v>
      </c>
      <c r="F15" s="115">
        <v>8</v>
      </c>
      <c r="G15" s="2" t="s">
        <v>171</v>
      </c>
      <c r="H15" s="2">
        <v>0</v>
      </c>
      <c r="I15" s="2" t="s">
        <v>782</v>
      </c>
      <c r="J15" s="2" t="s">
        <v>781</v>
      </c>
      <c r="K15" s="111">
        <v>0</v>
      </c>
      <c r="L15" s="111">
        <v>0</v>
      </c>
      <c r="M15" s="111">
        <v>0</v>
      </c>
      <c r="N15" s="2" t="s">
        <v>171</v>
      </c>
      <c r="O15" s="2" t="s">
        <v>783</v>
      </c>
      <c r="P15" s="2" t="s">
        <v>784</v>
      </c>
      <c r="Q15" s="2" t="s">
        <v>785</v>
      </c>
    </row>
    <row r="16" spans="1:17" ht="30" x14ac:dyDescent="0.25">
      <c r="A16" s="2" t="s">
        <v>854</v>
      </c>
      <c r="B16" s="2" t="s">
        <v>7</v>
      </c>
      <c r="C16" s="2" t="s">
        <v>10</v>
      </c>
      <c r="D16" s="2" t="s">
        <v>768</v>
      </c>
      <c r="E16" s="2" t="s">
        <v>855</v>
      </c>
      <c r="F16" s="115">
        <v>8</v>
      </c>
      <c r="G16" s="2" t="s">
        <v>171</v>
      </c>
      <c r="H16" s="2">
        <v>0</v>
      </c>
      <c r="I16" s="2" t="s">
        <v>782</v>
      </c>
      <c r="J16" s="2" t="s">
        <v>781</v>
      </c>
      <c r="K16" s="111">
        <v>0</v>
      </c>
      <c r="L16" s="111">
        <v>0</v>
      </c>
      <c r="M16" s="111">
        <v>0</v>
      </c>
      <c r="N16" s="2" t="s">
        <v>171</v>
      </c>
      <c r="O16" s="2" t="s">
        <v>783</v>
      </c>
      <c r="P16" s="2" t="s">
        <v>784</v>
      </c>
      <c r="Q16" s="2" t="s">
        <v>785</v>
      </c>
    </row>
    <row r="17" spans="1:17" ht="30" x14ac:dyDescent="0.25">
      <c r="A17" s="2" t="s">
        <v>858</v>
      </c>
      <c r="B17" s="2" t="s">
        <v>7</v>
      </c>
      <c r="C17" s="2" t="s">
        <v>10</v>
      </c>
      <c r="D17" s="2" t="s">
        <v>768</v>
      </c>
      <c r="E17" s="2" t="s">
        <v>859</v>
      </c>
      <c r="F17" s="115">
        <v>10</v>
      </c>
      <c r="G17" s="2" t="s">
        <v>171</v>
      </c>
      <c r="H17" s="2">
        <v>0</v>
      </c>
      <c r="I17" s="2" t="s">
        <v>782</v>
      </c>
      <c r="J17" s="2" t="s">
        <v>781</v>
      </c>
      <c r="K17" s="111">
        <v>0</v>
      </c>
      <c r="L17" s="111">
        <v>0</v>
      </c>
      <c r="M17" s="111">
        <v>0</v>
      </c>
      <c r="N17" s="2" t="s">
        <v>171</v>
      </c>
      <c r="O17" s="2" t="s">
        <v>783</v>
      </c>
      <c r="P17" s="2" t="s">
        <v>784</v>
      </c>
      <c r="Q17" s="2" t="s">
        <v>785</v>
      </c>
    </row>
    <row r="18" spans="1:17" ht="30" x14ac:dyDescent="0.25">
      <c r="A18" s="2" t="s">
        <v>862</v>
      </c>
      <c r="B18" s="2" t="s">
        <v>7</v>
      </c>
      <c r="C18" s="2" t="s">
        <v>10</v>
      </c>
      <c r="D18" s="2" t="s">
        <v>768</v>
      </c>
      <c r="E18" s="2" t="s">
        <v>863</v>
      </c>
      <c r="F18" s="115">
        <v>8</v>
      </c>
      <c r="G18" s="2" t="s">
        <v>171</v>
      </c>
      <c r="H18" s="2">
        <v>0</v>
      </c>
      <c r="I18" s="2" t="s">
        <v>782</v>
      </c>
      <c r="J18" s="2" t="s">
        <v>781</v>
      </c>
      <c r="K18" s="111">
        <v>0</v>
      </c>
      <c r="L18" s="111">
        <v>0</v>
      </c>
      <c r="M18" s="111">
        <v>0</v>
      </c>
      <c r="N18" s="2" t="s">
        <v>171</v>
      </c>
      <c r="O18" s="2" t="s">
        <v>783</v>
      </c>
      <c r="P18" s="2" t="s">
        <v>784</v>
      </c>
      <c r="Q18" s="2" t="s">
        <v>785</v>
      </c>
    </row>
    <row r="19" spans="1:17" ht="30" x14ac:dyDescent="0.25">
      <c r="A19" s="2" t="s">
        <v>866</v>
      </c>
      <c r="B19" s="2" t="s">
        <v>7</v>
      </c>
      <c r="C19" s="2" t="s">
        <v>10</v>
      </c>
      <c r="D19" s="2" t="s">
        <v>768</v>
      </c>
      <c r="E19" s="2" t="s">
        <v>867</v>
      </c>
      <c r="F19" s="115">
        <v>6</v>
      </c>
      <c r="G19" s="2" t="s">
        <v>171</v>
      </c>
      <c r="H19" s="2">
        <v>0</v>
      </c>
      <c r="I19" s="2" t="s">
        <v>782</v>
      </c>
      <c r="J19" s="2" t="s">
        <v>781</v>
      </c>
      <c r="K19" s="111">
        <v>0</v>
      </c>
      <c r="L19" s="111">
        <v>0</v>
      </c>
      <c r="M19" s="111">
        <v>0</v>
      </c>
      <c r="N19" s="2" t="s">
        <v>171</v>
      </c>
      <c r="O19" s="2" t="s">
        <v>783</v>
      </c>
      <c r="P19" s="2" t="s">
        <v>784</v>
      </c>
      <c r="Q19" s="2" t="s">
        <v>785</v>
      </c>
    </row>
    <row r="20" spans="1:17" ht="30" x14ac:dyDescent="0.25">
      <c r="A20" s="2" t="s">
        <v>870</v>
      </c>
      <c r="B20" s="2" t="s">
        <v>7</v>
      </c>
      <c r="C20" s="2" t="s">
        <v>10</v>
      </c>
      <c r="D20" s="2" t="s">
        <v>768</v>
      </c>
      <c r="E20" s="2" t="s">
        <v>871</v>
      </c>
      <c r="F20" s="115">
        <v>6</v>
      </c>
      <c r="G20" s="2" t="s">
        <v>171</v>
      </c>
      <c r="H20" s="2">
        <v>0</v>
      </c>
      <c r="I20" s="2" t="s">
        <v>782</v>
      </c>
      <c r="J20" s="2" t="s">
        <v>781</v>
      </c>
      <c r="K20" s="111">
        <v>0</v>
      </c>
      <c r="L20" s="111">
        <v>0</v>
      </c>
      <c r="M20" s="111">
        <v>0</v>
      </c>
      <c r="N20" s="2" t="s">
        <v>171</v>
      </c>
      <c r="O20" s="2" t="s">
        <v>783</v>
      </c>
      <c r="P20" s="2" t="s">
        <v>784</v>
      </c>
      <c r="Q20" s="2" t="s">
        <v>785</v>
      </c>
    </row>
    <row r="21" spans="1:17" ht="30" x14ac:dyDescent="0.25">
      <c r="A21" s="2" t="s">
        <v>874</v>
      </c>
      <c r="B21" s="2" t="s">
        <v>7</v>
      </c>
      <c r="C21" s="2" t="s">
        <v>10</v>
      </c>
      <c r="D21" s="2" t="s">
        <v>768</v>
      </c>
      <c r="E21" s="2" t="s">
        <v>875</v>
      </c>
      <c r="F21" s="115">
        <v>6</v>
      </c>
      <c r="G21" s="2" t="s">
        <v>171</v>
      </c>
      <c r="H21" s="2">
        <v>0</v>
      </c>
      <c r="I21" s="2" t="s">
        <v>782</v>
      </c>
      <c r="J21" s="2" t="s">
        <v>781</v>
      </c>
      <c r="K21" s="111">
        <v>0</v>
      </c>
      <c r="L21" s="111">
        <v>0</v>
      </c>
      <c r="M21" s="111">
        <v>0</v>
      </c>
      <c r="N21" s="2" t="s">
        <v>171</v>
      </c>
      <c r="O21" s="2" t="s">
        <v>783</v>
      </c>
      <c r="P21" s="2" t="s">
        <v>784</v>
      </c>
      <c r="Q21" s="2" t="s">
        <v>785</v>
      </c>
    </row>
    <row r="22" spans="1:17" ht="30" x14ac:dyDescent="0.25">
      <c r="A22" s="2" t="s">
        <v>878</v>
      </c>
      <c r="B22" s="2" t="s">
        <v>7</v>
      </c>
      <c r="C22" s="2" t="s">
        <v>10</v>
      </c>
      <c r="D22" s="2" t="s">
        <v>768</v>
      </c>
      <c r="E22" s="2" t="s">
        <v>879</v>
      </c>
      <c r="F22" s="115">
        <v>6</v>
      </c>
      <c r="G22" s="2" t="s">
        <v>171</v>
      </c>
      <c r="H22" s="2">
        <v>0</v>
      </c>
      <c r="I22" s="2" t="s">
        <v>782</v>
      </c>
      <c r="J22" s="2" t="s">
        <v>781</v>
      </c>
      <c r="K22" s="111">
        <v>0</v>
      </c>
      <c r="L22" s="111">
        <v>0</v>
      </c>
      <c r="M22" s="111">
        <v>0</v>
      </c>
      <c r="N22" s="2" t="s">
        <v>171</v>
      </c>
      <c r="O22" s="2" t="s">
        <v>783</v>
      </c>
      <c r="P22" s="2" t="s">
        <v>784</v>
      </c>
      <c r="Q22" s="2" t="s">
        <v>785</v>
      </c>
    </row>
    <row r="23" spans="1:17" ht="30" x14ac:dyDescent="0.25">
      <c r="A23" s="2" t="s">
        <v>882</v>
      </c>
      <c r="B23" s="2" t="s">
        <v>7</v>
      </c>
      <c r="C23" s="2" t="s">
        <v>10</v>
      </c>
      <c r="D23" s="2" t="s">
        <v>768</v>
      </c>
      <c r="E23" s="2" t="s">
        <v>883</v>
      </c>
      <c r="F23" s="115">
        <v>8</v>
      </c>
      <c r="G23" s="2" t="s">
        <v>171</v>
      </c>
      <c r="H23" s="2">
        <v>0</v>
      </c>
      <c r="I23" s="2" t="s">
        <v>782</v>
      </c>
      <c r="J23" s="2" t="s">
        <v>781</v>
      </c>
      <c r="K23" s="111">
        <v>0</v>
      </c>
      <c r="L23" s="111">
        <v>0</v>
      </c>
      <c r="M23" s="111">
        <v>0</v>
      </c>
      <c r="N23" s="2" t="s">
        <v>171</v>
      </c>
      <c r="O23" s="2" t="s">
        <v>783</v>
      </c>
      <c r="P23" s="2" t="s">
        <v>784</v>
      </c>
      <c r="Q23" s="2" t="s">
        <v>785</v>
      </c>
    </row>
    <row r="24" spans="1:17" ht="30" x14ac:dyDescent="0.25">
      <c r="A24" s="2" t="s">
        <v>886</v>
      </c>
      <c r="B24" s="2" t="s">
        <v>7</v>
      </c>
      <c r="C24" s="2" t="s">
        <v>10</v>
      </c>
      <c r="D24" s="2" t="s">
        <v>768</v>
      </c>
      <c r="E24" s="2" t="s">
        <v>887</v>
      </c>
      <c r="F24" s="115">
        <v>6</v>
      </c>
      <c r="G24" s="2" t="s">
        <v>171</v>
      </c>
      <c r="H24" s="2">
        <v>0</v>
      </c>
      <c r="I24" s="2" t="s">
        <v>782</v>
      </c>
      <c r="J24" s="2" t="s">
        <v>781</v>
      </c>
      <c r="K24" s="111">
        <v>0</v>
      </c>
      <c r="L24" s="111">
        <v>0</v>
      </c>
      <c r="M24" s="111">
        <v>0</v>
      </c>
      <c r="N24" s="2" t="s">
        <v>171</v>
      </c>
      <c r="O24" s="2" t="s">
        <v>783</v>
      </c>
      <c r="P24" s="2" t="s">
        <v>784</v>
      </c>
      <c r="Q24" s="2" t="s">
        <v>785</v>
      </c>
    </row>
    <row r="25" spans="1:17" ht="30" x14ac:dyDescent="0.25">
      <c r="A25" s="2" t="s">
        <v>890</v>
      </c>
      <c r="B25" s="2" t="s">
        <v>7</v>
      </c>
      <c r="C25" s="2" t="s">
        <v>10</v>
      </c>
      <c r="D25" s="2" t="s">
        <v>768</v>
      </c>
      <c r="E25" s="2" t="s">
        <v>891</v>
      </c>
      <c r="F25" s="115">
        <v>8</v>
      </c>
      <c r="G25" s="2" t="s">
        <v>171</v>
      </c>
      <c r="H25" s="2">
        <v>0</v>
      </c>
      <c r="I25" s="2" t="s">
        <v>782</v>
      </c>
      <c r="J25" s="2" t="s">
        <v>781</v>
      </c>
      <c r="K25" s="111">
        <v>0</v>
      </c>
      <c r="L25" s="111">
        <v>0</v>
      </c>
      <c r="M25" s="111">
        <v>0</v>
      </c>
      <c r="N25" s="2" t="s">
        <v>171</v>
      </c>
      <c r="O25" s="2" t="s">
        <v>783</v>
      </c>
      <c r="P25" s="2" t="s">
        <v>784</v>
      </c>
      <c r="Q25" s="2" t="s">
        <v>785</v>
      </c>
    </row>
    <row r="26" spans="1:17" ht="30" x14ac:dyDescent="0.25">
      <c r="A26" s="2" t="s">
        <v>895</v>
      </c>
      <c r="B26" s="2" t="s">
        <v>7</v>
      </c>
      <c r="C26" s="2" t="s">
        <v>10</v>
      </c>
      <c r="D26" s="2" t="s">
        <v>768</v>
      </c>
      <c r="E26" s="2" t="s">
        <v>896</v>
      </c>
      <c r="F26" s="115">
        <v>8</v>
      </c>
      <c r="G26" s="2" t="s">
        <v>171</v>
      </c>
      <c r="H26" s="2">
        <v>0</v>
      </c>
      <c r="I26" s="2" t="s">
        <v>782</v>
      </c>
      <c r="J26" s="2" t="s">
        <v>781</v>
      </c>
      <c r="K26" s="111">
        <v>0</v>
      </c>
      <c r="L26" s="111">
        <v>0</v>
      </c>
      <c r="M26" s="111">
        <v>0</v>
      </c>
      <c r="N26" s="2" t="s">
        <v>171</v>
      </c>
      <c r="O26" s="2" t="s">
        <v>783</v>
      </c>
      <c r="P26" s="2" t="s">
        <v>784</v>
      </c>
      <c r="Q26" s="2" t="s">
        <v>785</v>
      </c>
    </row>
    <row r="27" spans="1:17" ht="30" x14ac:dyDescent="0.25">
      <c r="A27" s="2" t="s">
        <v>901</v>
      </c>
      <c r="B27" s="2" t="s">
        <v>7</v>
      </c>
      <c r="C27" s="2" t="s">
        <v>10</v>
      </c>
      <c r="D27" s="2" t="s">
        <v>768</v>
      </c>
      <c r="E27" s="2" t="s">
        <v>902</v>
      </c>
      <c r="F27" s="115">
        <v>6</v>
      </c>
      <c r="G27" s="2" t="s">
        <v>171</v>
      </c>
      <c r="H27" s="2">
        <v>0</v>
      </c>
      <c r="I27" s="2" t="s">
        <v>782</v>
      </c>
      <c r="J27" s="2" t="s">
        <v>781</v>
      </c>
      <c r="K27" s="111">
        <v>0</v>
      </c>
      <c r="L27" s="111">
        <v>0</v>
      </c>
      <c r="M27" s="111">
        <v>0</v>
      </c>
      <c r="N27" s="2" t="s">
        <v>171</v>
      </c>
      <c r="O27" s="2" t="s">
        <v>783</v>
      </c>
      <c r="P27" s="2" t="s">
        <v>784</v>
      </c>
      <c r="Q27" s="2" t="s">
        <v>785</v>
      </c>
    </row>
    <row r="28" spans="1:17" ht="30" x14ac:dyDescent="0.25">
      <c r="A28" s="2" t="s">
        <v>905</v>
      </c>
      <c r="B28" s="2" t="s">
        <v>7</v>
      </c>
      <c r="C28" s="2" t="s">
        <v>10</v>
      </c>
      <c r="D28" s="2" t="s">
        <v>768</v>
      </c>
      <c r="E28" s="2" t="s">
        <v>906</v>
      </c>
      <c r="F28" s="115">
        <v>6</v>
      </c>
      <c r="G28" s="2" t="s">
        <v>171</v>
      </c>
      <c r="H28" s="2">
        <v>0</v>
      </c>
      <c r="I28" s="2" t="s">
        <v>782</v>
      </c>
      <c r="J28" s="2" t="s">
        <v>781</v>
      </c>
      <c r="K28" s="111">
        <v>0</v>
      </c>
      <c r="L28" s="111">
        <v>0</v>
      </c>
      <c r="M28" s="111">
        <v>0</v>
      </c>
      <c r="N28" s="2" t="s">
        <v>171</v>
      </c>
      <c r="O28" s="2" t="s">
        <v>783</v>
      </c>
      <c r="P28" s="2" t="s">
        <v>784</v>
      </c>
      <c r="Q28" s="2" t="s">
        <v>785</v>
      </c>
    </row>
    <row r="29" spans="1:17" ht="30" x14ac:dyDescent="0.25">
      <c r="A29" s="2" t="s">
        <v>909</v>
      </c>
      <c r="B29" s="2" t="s">
        <v>7</v>
      </c>
      <c r="C29" s="2" t="s">
        <v>10</v>
      </c>
      <c r="D29" s="2" t="s">
        <v>768</v>
      </c>
      <c r="E29" s="2" t="s">
        <v>910</v>
      </c>
      <c r="F29" s="115">
        <v>2</v>
      </c>
      <c r="G29" s="2" t="s">
        <v>171</v>
      </c>
      <c r="H29" s="2">
        <v>0</v>
      </c>
      <c r="I29" s="2" t="s">
        <v>782</v>
      </c>
      <c r="J29" s="2" t="s">
        <v>781</v>
      </c>
      <c r="K29" s="111">
        <v>0</v>
      </c>
      <c r="L29" s="111">
        <v>0</v>
      </c>
      <c r="M29" s="111">
        <v>0</v>
      </c>
      <c r="N29" s="2" t="s">
        <v>171</v>
      </c>
      <c r="O29" s="2" t="s">
        <v>783</v>
      </c>
      <c r="P29" s="2" t="s">
        <v>784</v>
      </c>
      <c r="Q29" s="2" t="s">
        <v>785</v>
      </c>
    </row>
    <row r="30" spans="1:17" ht="30" x14ac:dyDescent="0.25">
      <c r="A30" s="2" t="s">
        <v>913</v>
      </c>
      <c r="B30" s="2" t="s">
        <v>7</v>
      </c>
      <c r="C30" s="2" t="s">
        <v>10</v>
      </c>
      <c r="D30" s="2" t="s">
        <v>768</v>
      </c>
      <c r="E30" s="2" t="s">
        <v>914</v>
      </c>
      <c r="F30" s="115">
        <v>4</v>
      </c>
      <c r="G30" s="2" t="s">
        <v>171</v>
      </c>
      <c r="H30" s="2">
        <v>0</v>
      </c>
      <c r="I30" s="2" t="s">
        <v>782</v>
      </c>
      <c r="J30" s="2" t="s">
        <v>781</v>
      </c>
      <c r="K30" s="111">
        <v>0</v>
      </c>
      <c r="L30" s="111">
        <v>0</v>
      </c>
      <c r="M30" s="111">
        <v>0</v>
      </c>
      <c r="N30" s="2" t="s">
        <v>171</v>
      </c>
      <c r="O30" s="2" t="s">
        <v>783</v>
      </c>
      <c r="P30" s="2" t="s">
        <v>784</v>
      </c>
      <c r="Q30" s="2" t="s">
        <v>785</v>
      </c>
    </row>
    <row r="31" spans="1:17" ht="30" x14ac:dyDescent="0.25">
      <c r="A31" s="2" t="s">
        <v>917</v>
      </c>
      <c r="B31" s="2" t="s">
        <v>7</v>
      </c>
      <c r="C31" s="2" t="s">
        <v>13</v>
      </c>
      <c r="D31" s="2" t="s">
        <v>768</v>
      </c>
      <c r="E31" s="2" t="s">
        <v>918</v>
      </c>
      <c r="F31" s="115">
        <v>8</v>
      </c>
      <c r="G31" s="2" t="s">
        <v>171</v>
      </c>
      <c r="H31" s="2">
        <v>0</v>
      </c>
      <c r="I31" s="2" t="s">
        <v>782</v>
      </c>
      <c r="J31" s="2" t="s">
        <v>781</v>
      </c>
      <c r="K31" s="111">
        <v>0</v>
      </c>
      <c r="L31" s="111">
        <v>0</v>
      </c>
      <c r="M31" s="111">
        <v>0</v>
      </c>
      <c r="N31" s="2" t="s">
        <v>171</v>
      </c>
      <c r="O31" s="2" t="s">
        <v>783</v>
      </c>
      <c r="P31" s="2" t="s">
        <v>784</v>
      </c>
      <c r="Q31" s="2" t="s">
        <v>785</v>
      </c>
    </row>
    <row r="32" spans="1:17" ht="30" x14ac:dyDescent="0.25">
      <c r="A32" s="2" t="s">
        <v>219</v>
      </c>
      <c r="B32" s="2" t="s">
        <v>7</v>
      </c>
      <c r="C32" s="2" t="s">
        <v>13</v>
      </c>
      <c r="D32" s="2" t="s">
        <v>768</v>
      </c>
      <c r="E32" s="2" t="s">
        <v>922</v>
      </c>
      <c r="F32" s="115">
        <v>10</v>
      </c>
      <c r="G32" s="2" t="s">
        <v>171</v>
      </c>
      <c r="H32" s="2">
        <v>0</v>
      </c>
      <c r="I32" s="2" t="s">
        <v>782</v>
      </c>
      <c r="J32" s="2" t="s">
        <v>781</v>
      </c>
      <c r="K32" s="111">
        <v>0</v>
      </c>
      <c r="L32" s="111">
        <v>0</v>
      </c>
      <c r="M32" s="111">
        <v>0</v>
      </c>
      <c r="N32" s="2" t="s">
        <v>171</v>
      </c>
      <c r="O32" s="2" t="s">
        <v>783</v>
      </c>
      <c r="P32" s="2" t="s">
        <v>784</v>
      </c>
      <c r="Q32" s="2" t="s">
        <v>785</v>
      </c>
    </row>
    <row r="33" spans="1:17" ht="30" x14ac:dyDescent="0.25">
      <c r="A33" s="2" t="s">
        <v>925</v>
      </c>
      <c r="B33" s="2" t="s">
        <v>7</v>
      </c>
      <c r="C33" s="2" t="s">
        <v>13</v>
      </c>
      <c r="D33" s="2" t="s">
        <v>768</v>
      </c>
      <c r="E33" s="2" t="s">
        <v>926</v>
      </c>
      <c r="F33" s="115">
        <v>12</v>
      </c>
      <c r="G33" s="2" t="s">
        <v>171</v>
      </c>
      <c r="H33" s="2">
        <v>0</v>
      </c>
      <c r="I33" s="2" t="s">
        <v>782</v>
      </c>
      <c r="J33" s="2" t="s">
        <v>781</v>
      </c>
      <c r="K33" s="111">
        <v>0</v>
      </c>
      <c r="L33" s="111">
        <v>0</v>
      </c>
      <c r="M33" s="111">
        <v>0</v>
      </c>
      <c r="N33" s="2" t="s">
        <v>171</v>
      </c>
      <c r="O33" s="2" t="s">
        <v>783</v>
      </c>
      <c r="P33" s="2" t="s">
        <v>784</v>
      </c>
      <c r="Q33" s="2" t="s">
        <v>785</v>
      </c>
    </row>
    <row r="34" spans="1:17" ht="30" x14ac:dyDescent="0.25">
      <c r="A34" s="2" t="s">
        <v>930</v>
      </c>
      <c r="B34" s="2" t="s">
        <v>7</v>
      </c>
      <c r="C34" s="2" t="s">
        <v>13</v>
      </c>
      <c r="D34" s="2" t="s">
        <v>768</v>
      </c>
      <c r="E34" s="2" t="s">
        <v>931</v>
      </c>
      <c r="F34" s="115">
        <v>12</v>
      </c>
      <c r="G34" s="2" t="s">
        <v>171</v>
      </c>
      <c r="H34" s="2">
        <v>0</v>
      </c>
      <c r="I34" s="2" t="s">
        <v>782</v>
      </c>
      <c r="J34" s="2" t="s">
        <v>781</v>
      </c>
      <c r="K34" s="111">
        <v>0</v>
      </c>
      <c r="L34" s="111">
        <v>0</v>
      </c>
      <c r="M34" s="111">
        <v>0</v>
      </c>
      <c r="N34" s="2" t="s">
        <v>171</v>
      </c>
      <c r="O34" s="2" t="s">
        <v>783</v>
      </c>
      <c r="P34" s="2" t="s">
        <v>784</v>
      </c>
      <c r="Q34" s="2" t="s">
        <v>785</v>
      </c>
    </row>
    <row r="35" spans="1:17" ht="30" x14ac:dyDescent="0.25">
      <c r="A35" s="2" t="s">
        <v>934</v>
      </c>
      <c r="B35" s="2" t="s">
        <v>7</v>
      </c>
      <c r="C35" s="2" t="s">
        <v>13</v>
      </c>
      <c r="D35" s="2" t="s">
        <v>768</v>
      </c>
      <c r="E35" s="2" t="s">
        <v>935</v>
      </c>
      <c r="F35" s="115">
        <v>10</v>
      </c>
      <c r="G35" s="2" t="s">
        <v>171</v>
      </c>
      <c r="H35" s="2">
        <v>0</v>
      </c>
      <c r="I35" s="2" t="s">
        <v>782</v>
      </c>
      <c r="J35" s="2" t="s">
        <v>781</v>
      </c>
      <c r="K35" s="111">
        <v>0</v>
      </c>
      <c r="L35" s="111">
        <v>0</v>
      </c>
      <c r="M35" s="111">
        <v>0</v>
      </c>
      <c r="N35" s="2" t="s">
        <v>171</v>
      </c>
      <c r="O35" s="2" t="s">
        <v>783</v>
      </c>
      <c r="P35" s="2" t="s">
        <v>784</v>
      </c>
      <c r="Q35" s="2" t="s">
        <v>785</v>
      </c>
    </row>
    <row r="36" spans="1:17" ht="30" x14ac:dyDescent="0.25">
      <c r="A36" s="2" t="s">
        <v>938</v>
      </c>
      <c r="B36" s="2" t="s">
        <v>7</v>
      </c>
      <c r="C36" s="2" t="s">
        <v>13</v>
      </c>
      <c r="D36" s="2" t="s">
        <v>768</v>
      </c>
      <c r="E36" s="2" t="s">
        <v>939</v>
      </c>
      <c r="F36" s="115">
        <v>8</v>
      </c>
      <c r="G36" s="2" t="s">
        <v>171</v>
      </c>
      <c r="H36" s="2">
        <v>0</v>
      </c>
      <c r="I36" s="2" t="s">
        <v>782</v>
      </c>
      <c r="J36" s="2" t="s">
        <v>781</v>
      </c>
      <c r="K36" s="111">
        <v>0</v>
      </c>
      <c r="L36" s="111">
        <v>0</v>
      </c>
      <c r="M36" s="111">
        <v>0</v>
      </c>
      <c r="N36" s="2" t="s">
        <v>171</v>
      </c>
      <c r="O36" s="2" t="s">
        <v>783</v>
      </c>
      <c r="P36" s="2" t="s">
        <v>784</v>
      </c>
      <c r="Q36" s="2" t="s">
        <v>785</v>
      </c>
    </row>
    <row r="37" spans="1:17" ht="30" x14ac:dyDescent="0.25">
      <c r="A37" s="2" t="s">
        <v>943</v>
      </c>
      <c r="B37" s="2" t="s">
        <v>7</v>
      </c>
      <c r="C37" s="2" t="s">
        <v>13</v>
      </c>
      <c r="D37" s="2" t="s">
        <v>768</v>
      </c>
      <c r="E37" s="2" t="s">
        <v>3041</v>
      </c>
      <c r="F37" s="115">
        <v>12</v>
      </c>
      <c r="G37" s="2" t="s">
        <v>171</v>
      </c>
      <c r="H37" s="2">
        <v>0</v>
      </c>
      <c r="I37" s="2" t="s">
        <v>782</v>
      </c>
      <c r="J37" s="2" t="s">
        <v>781</v>
      </c>
      <c r="K37" s="111">
        <v>0</v>
      </c>
      <c r="L37" s="111">
        <v>0</v>
      </c>
      <c r="M37" s="111">
        <v>0</v>
      </c>
      <c r="N37" s="2" t="s">
        <v>171</v>
      </c>
      <c r="O37" s="2" t="s">
        <v>783</v>
      </c>
      <c r="P37" s="2" t="s">
        <v>784</v>
      </c>
      <c r="Q37" s="2" t="s">
        <v>785</v>
      </c>
    </row>
    <row r="38" spans="1:17" ht="30" x14ac:dyDescent="0.25">
      <c r="A38" s="2" t="s">
        <v>947</v>
      </c>
      <c r="B38" s="2" t="s">
        <v>7</v>
      </c>
      <c r="C38" s="2" t="s">
        <v>13</v>
      </c>
      <c r="D38" s="2" t="s">
        <v>768</v>
      </c>
      <c r="E38" s="2" t="s">
        <v>948</v>
      </c>
      <c r="F38" s="115">
        <v>3</v>
      </c>
      <c r="G38" s="2" t="s">
        <v>171</v>
      </c>
      <c r="H38" s="2">
        <v>0</v>
      </c>
      <c r="I38" s="2" t="s">
        <v>782</v>
      </c>
      <c r="J38" s="2" t="s">
        <v>781</v>
      </c>
      <c r="K38" s="111">
        <v>0</v>
      </c>
      <c r="L38" s="111">
        <v>0</v>
      </c>
      <c r="M38" s="111">
        <v>0</v>
      </c>
      <c r="N38" s="2" t="s">
        <v>171</v>
      </c>
      <c r="O38" s="2" t="s">
        <v>783</v>
      </c>
      <c r="P38" s="2" t="s">
        <v>784</v>
      </c>
      <c r="Q38" s="2" t="s">
        <v>785</v>
      </c>
    </row>
    <row r="39" spans="1:17" ht="30" x14ac:dyDescent="0.25">
      <c r="A39" s="2" t="s">
        <v>951</v>
      </c>
      <c r="B39" s="2" t="s">
        <v>7</v>
      </c>
      <c r="C39" s="2" t="s">
        <v>13</v>
      </c>
      <c r="D39" s="2" t="s">
        <v>768</v>
      </c>
      <c r="E39" s="2" t="s">
        <v>952</v>
      </c>
      <c r="F39" s="115">
        <v>12</v>
      </c>
      <c r="G39" s="2" t="s">
        <v>171</v>
      </c>
      <c r="H39" s="2">
        <v>0</v>
      </c>
      <c r="I39" s="2" t="s">
        <v>782</v>
      </c>
      <c r="J39" s="2" t="s">
        <v>781</v>
      </c>
      <c r="K39" s="111">
        <v>0</v>
      </c>
      <c r="L39" s="111">
        <v>0</v>
      </c>
      <c r="M39" s="111">
        <v>0</v>
      </c>
      <c r="N39" s="2" t="s">
        <v>171</v>
      </c>
      <c r="O39" s="2" t="s">
        <v>783</v>
      </c>
      <c r="P39" s="2" t="s">
        <v>784</v>
      </c>
      <c r="Q39" s="2" t="s">
        <v>785</v>
      </c>
    </row>
    <row r="40" spans="1:17" ht="30" x14ac:dyDescent="0.25">
      <c r="A40" s="2" t="s">
        <v>955</v>
      </c>
      <c r="B40" s="2" t="s">
        <v>7</v>
      </c>
      <c r="C40" s="2" t="s">
        <v>13</v>
      </c>
      <c r="D40" s="2" t="s">
        <v>768</v>
      </c>
      <c r="E40" s="2" t="s">
        <v>956</v>
      </c>
      <c r="F40" s="115">
        <v>12</v>
      </c>
      <c r="G40" s="2" t="s">
        <v>171</v>
      </c>
      <c r="H40" s="2">
        <v>0</v>
      </c>
      <c r="I40" s="2" t="s">
        <v>782</v>
      </c>
      <c r="J40" s="2" t="s">
        <v>781</v>
      </c>
      <c r="K40" s="111">
        <v>0</v>
      </c>
      <c r="L40" s="111">
        <v>0</v>
      </c>
      <c r="M40" s="111">
        <v>0</v>
      </c>
      <c r="N40" s="2" t="s">
        <v>171</v>
      </c>
      <c r="O40" s="2" t="s">
        <v>783</v>
      </c>
      <c r="P40" s="2" t="s">
        <v>784</v>
      </c>
      <c r="Q40" s="2" t="s">
        <v>785</v>
      </c>
    </row>
    <row r="41" spans="1:17" ht="30" x14ac:dyDescent="0.25">
      <c r="A41" s="2" t="s">
        <v>960</v>
      </c>
      <c r="B41" s="2" t="s">
        <v>7</v>
      </c>
      <c r="C41" s="2" t="s">
        <v>13</v>
      </c>
      <c r="D41" s="2" t="s">
        <v>768</v>
      </c>
      <c r="E41" s="2" t="s">
        <v>961</v>
      </c>
      <c r="F41" s="115">
        <v>8</v>
      </c>
      <c r="G41" s="2" t="s">
        <v>171</v>
      </c>
      <c r="H41" s="2">
        <v>0</v>
      </c>
      <c r="I41" s="2" t="s">
        <v>782</v>
      </c>
      <c r="J41" s="2" t="s">
        <v>781</v>
      </c>
      <c r="K41" s="111">
        <v>0</v>
      </c>
      <c r="L41" s="111">
        <v>0</v>
      </c>
      <c r="M41" s="111">
        <v>0</v>
      </c>
      <c r="N41" s="2" t="s">
        <v>171</v>
      </c>
      <c r="O41" s="2" t="s">
        <v>783</v>
      </c>
      <c r="P41" s="2" t="s">
        <v>784</v>
      </c>
      <c r="Q41" s="2" t="s">
        <v>785</v>
      </c>
    </row>
    <row r="42" spans="1:17" ht="30" x14ac:dyDescent="0.25">
      <c r="A42" s="2" t="s">
        <v>964</v>
      </c>
      <c r="B42" s="2" t="s">
        <v>7</v>
      </c>
      <c r="C42" s="2" t="s">
        <v>17</v>
      </c>
      <c r="D42" s="2" t="s">
        <v>768</v>
      </c>
      <c r="E42" s="2" t="s">
        <v>965</v>
      </c>
      <c r="F42" s="115">
        <v>6</v>
      </c>
      <c r="G42" s="2" t="s">
        <v>171</v>
      </c>
      <c r="H42" s="2">
        <v>0</v>
      </c>
      <c r="I42" s="2" t="s">
        <v>782</v>
      </c>
      <c r="J42" s="2" t="s">
        <v>781</v>
      </c>
      <c r="K42" s="111">
        <v>0</v>
      </c>
      <c r="L42" s="111">
        <v>0</v>
      </c>
      <c r="M42" s="111">
        <v>0</v>
      </c>
      <c r="N42" s="2" t="s">
        <v>171</v>
      </c>
      <c r="O42" s="2" t="s">
        <v>783</v>
      </c>
      <c r="P42" s="2" t="s">
        <v>784</v>
      </c>
      <c r="Q42" s="2" t="s">
        <v>785</v>
      </c>
    </row>
    <row r="43" spans="1:17" ht="30" x14ac:dyDescent="0.25">
      <c r="A43" s="2" t="s">
        <v>968</v>
      </c>
      <c r="B43" s="2" t="s">
        <v>7</v>
      </c>
      <c r="C43" s="2" t="s">
        <v>17</v>
      </c>
      <c r="D43" s="2" t="s">
        <v>768</v>
      </c>
      <c r="E43" s="2" t="s">
        <v>969</v>
      </c>
      <c r="F43" s="115">
        <v>6</v>
      </c>
      <c r="G43" s="2" t="s">
        <v>171</v>
      </c>
      <c r="H43" s="2">
        <v>0</v>
      </c>
      <c r="I43" s="2" t="s">
        <v>782</v>
      </c>
      <c r="J43" s="2" t="s">
        <v>781</v>
      </c>
      <c r="K43" s="111">
        <v>0</v>
      </c>
      <c r="L43" s="111">
        <v>0</v>
      </c>
      <c r="M43" s="111">
        <v>0</v>
      </c>
      <c r="N43" s="2" t="s">
        <v>171</v>
      </c>
      <c r="O43" s="2" t="s">
        <v>783</v>
      </c>
      <c r="P43" s="2" t="s">
        <v>784</v>
      </c>
      <c r="Q43" s="2" t="s">
        <v>785</v>
      </c>
    </row>
    <row r="44" spans="1:17" ht="30" x14ac:dyDescent="0.25">
      <c r="A44" s="2" t="s">
        <v>972</v>
      </c>
      <c r="B44" s="2" t="s">
        <v>7</v>
      </c>
      <c r="C44" s="2" t="s">
        <v>17</v>
      </c>
      <c r="D44" s="2" t="s">
        <v>768</v>
      </c>
      <c r="E44" s="2" t="s">
        <v>973</v>
      </c>
      <c r="F44" s="115">
        <v>12</v>
      </c>
      <c r="G44" s="2" t="s">
        <v>171</v>
      </c>
      <c r="H44" s="2">
        <v>0</v>
      </c>
      <c r="I44" s="2" t="s">
        <v>782</v>
      </c>
      <c r="J44" s="2" t="s">
        <v>781</v>
      </c>
      <c r="K44" s="111">
        <v>0</v>
      </c>
      <c r="L44" s="111">
        <v>0</v>
      </c>
      <c r="M44" s="111">
        <v>0</v>
      </c>
      <c r="N44" s="2" t="s">
        <v>171</v>
      </c>
      <c r="O44" s="2" t="s">
        <v>783</v>
      </c>
      <c r="P44" s="2" t="s">
        <v>784</v>
      </c>
      <c r="Q44" s="2" t="s">
        <v>785</v>
      </c>
    </row>
    <row r="45" spans="1:17" ht="30" x14ac:dyDescent="0.25">
      <c r="A45" s="2" t="s">
        <v>154</v>
      </c>
      <c r="B45" s="2" t="s">
        <v>7</v>
      </c>
      <c r="C45" s="2" t="s">
        <v>17</v>
      </c>
      <c r="D45" s="2" t="s">
        <v>768</v>
      </c>
      <c r="E45" s="2" t="s">
        <v>976</v>
      </c>
      <c r="F45" s="115">
        <v>8</v>
      </c>
      <c r="G45" s="2" t="s">
        <v>171</v>
      </c>
      <c r="H45" s="2">
        <v>0</v>
      </c>
      <c r="I45" s="2" t="s">
        <v>782</v>
      </c>
      <c r="J45" s="2" t="s">
        <v>781</v>
      </c>
      <c r="K45" s="111">
        <v>0</v>
      </c>
      <c r="L45" s="111">
        <v>0</v>
      </c>
      <c r="M45" s="111">
        <v>0</v>
      </c>
      <c r="N45" s="2" t="s">
        <v>171</v>
      </c>
      <c r="O45" s="2" t="s">
        <v>783</v>
      </c>
      <c r="P45" s="2" t="s">
        <v>784</v>
      </c>
      <c r="Q45" s="2" t="s">
        <v>785</v>
      </c>
    </row>
    <row r="46" spans="1:17" ht="30" x14ac:dyDescent="0.25">
      <c r="A46" s="2" t="s">
        <v>158</v>
      </c>
      <c r="B46" s="2" t="s">
        <v>7</v>
      </c>
      <c r="C46" s="2" t="s">
        <v>17</v>
      </c>
      <c r="D46" s="2" t="s">
        <v>768</v>
      </c>
      <c r="E46" s="2" t="s">
        <v>982</v>
      </c>
      <c r="F46" s="115">
        <v>6</v>
      </c>
      <c r="G46" s="2" t="s">
        <v>171</v>
      </c>
      <c r="H46" s="2">
        <v>0</v>
      </c>
      <c r="I46" s="2" t="s">
        <v>782</v>
      </c>
      <c r="J46" s="2" t="s">
        <v>781</v>
      </c>
      <c r="K46" s="111">
        <v>0</v>
      </c>
      <c r="L46" s="111">
        <v>0</v>
      </c>
      <c r="M46" s="111">
        <v>0</v>
      </c>
      <c r="N46" s="2" t="s">
        <v>171</v>
      </c>
      <c r="O46" s="2" t="s">
        <v>783</v>
      </c>
      <c r="P46" s="2" t="s">
        <v>784</v>
      </c>
      <c r="Q46" s="2" t="s">
        <v>785</v>
      </c>
    </row>
    <row r="47" spans="1:17" ht="30" x14ac:dyDescent="0.25">
      <c r="A47" s="2" t="s">
        <v>162</v>
      </c>
      <c r="B47" s="2" t="s">
        <v>7</v>
      </c>
      <c r="C47" s="2" t="s">
        <v>17</v>
      </c>
      <c r="D47" s="2" t="s">
        <v>768</v>
      </c>
      <c r="E47" s="2" t="s">
        <v>989</v>
      </c>
      <c r="F47" s="115">
        <v>8</v>
      </c>
      <c r="G47" s="2" t="s">
        <v>171</v>
      </c>
      <c r="H47" s="2">
        <v>0</v>
      </c>
      <c r="I47" s="2" t="s">
        <v>782</v>
      </c>
      <c r="J47" s="2" t="s">
        <v>781</v>
      </c>
      <c r="K47" s="111">
        <v>0</v>
      </c>
      <c r="L47" s="111">
        <v>0</v>
      </c>
      <c r="M47" s="111">
        <v>0</v>
      </c>
      <c r="N47" s="2" t="s">
        <v>171</v>
      </c>
      <c r="O47" s="2" t="s">
        <v>783</v>
      </c>
      <c r="P47" s="2" t="s">
        <v>784</v>
      </c>
      <c r="Q47" s="2" t="s">
        <v>785</v>
      </c>
    </row>
    <row r="48" spans="1:17" ht="30" x14ac:dyDescent="0.25">
      <c r="A48" s="2" t="s">
        <v>166</v>
      </c>
      <c r="B48" s="2" t="s">
        <v>7</v>
      </c>
      <c r="C48" s="2" t="s">
        <v>17</v>
      </c>
      <c r="D48" s="2" t="s">
        <v>768</v>
      </c>
      <c r="E48" s="2" t="s">
        <v>994</v>
      </c>
      <c r="F48" s="115">
        <v>10</v>
      </c>
      <c r="G48" s="2" t="s">
        <v>171</v>
      </c>
      <c r="H48" s="2">
        <v>0</v>
      </c>
      <c r="I48" s="2" t="s">
        <v>782</v>
      </c>
      <c r="J48" s="2" t="s">
        <v>781</v>
      </c>
      <c r="K48" s="111">
        <v>0</v>
      </c>
      <c r="L48" s="111">
        <v>0</v>
      </c>
      <c r="M48" s="111">
        <v>0</v>
      </c>
      <c r="N48" s="2" t="s">
        <v>171</v>
      </c>
      <c r="O48" s="2" t="s">
        <v>783</v>
      </c>
      <c r="P48" s="2" t="s">
        <v>784</v>
      </c>
      <c r="Q48" s="2" t="s">
        <v>785</v>
      </c>
    </row>
    <row r="49" spans="1:17" ht="30" x14ac:dyDescent="0.25">
      <c r="A49" s="2" t="s">
        <v>998</v>
      </c>
      <c r="B49" s="2" t="s">
        <v>7</v>
      </c>
      <c r="C49" s="2" t="s">
        <v>17</v>
      </c>
      <c r="D49" s="2" t="s">
        <v>768</v>
      </c>
      <c r="E49" s="2" t="s">
        <v>999</v>
      </c>
      <c r="F49" s="115">
        <v>4</v>
      </c>
      <c r="G49" s="2" t="s">
        <v>171</v>
      </c>
      <c r="H49" s="2">
        <v>0</v>
      </c>
      <c r="I49" s="2" t="s">
        <v>782</v>
      </c>
      <c r="J49" s="2" t="s">
        <v>781</v>
      </c>
      <c r="K49" s="111">
        <v>0</v>
      </c>
      <c r="L49" s="111">
        <v>0</v>
      </c>
      <c r="M49" s="111">
        <v>0</v>
      </c>
      <c r="N49" s="2" t="s">
        <v>171</v>
      </c>
      <c r="O49" s="2" t="s">
        <v>783</v>
      </c>
      <c r="P49" s="2" t="s">
        <v>784</v>
      </c>
      <c r="Q49" s="2" t="s">
        <v>785</v>
      </c>
    </row>
    <row r="50" spans="1:17" ht="45" x14ac:dyDescent="0.25">
      <c r="A50" s="2" t="s">
        <v>1003</v>
      </c>
      <c r="B50" s="2" t="s">
        <v>7</v>
      </c>
      <c r="C50" s="2" t="s">
        <v>17</v>
      </c>
      <c r="D50" s="2" t="s">
        <v>1007</v>
      </c>
      <c r="E50" s="2" t="s">
        <v>1004</v>
      </c>
      <c r="F50" s="115">
        <v>4</v>
      </c>
      <c r="G50" s="2" t="s">
        <v>1017</v>
      </c>
      <c r="H50" s="2">
        <v>1</v>
      </c>
      <c r="I50" s="2" t="s">
        <v>1018</v>
      </c>
      <c r="J50" s="2" t="s">
        <v>1019</v>
      </c>
      <c r="K50" s="111">
        <v>5.3333333332999997</v>
      </c>
      <c r="L50" s="111">
        <v>0.75</v>
      </c>
      <c r="M50" s="111">
        <v>1.5</v>
      </c>
      <c r="N50" s="2" t="s">
        <v>1020</v>
      </c>
      <c r="O50" s="2" t="s">
        <v>1021</v>
      </c>
      <c r="P50" s="2" t="s">
        <v>1022</v>
      </c>
      <c r="Q50" s="2" t="s">
        <v>1023</v>
      </c>
    </row>
    <row r="51" spans="1:17" ht="45" x14ac:dyDescent="0.25">
      <c r="A51" s="2" t="s">
        <v>1024</v>
      </c>
      <c r="B51" s="2" t="s">
        <v>7</v>
      </c>
      <c r="C51" s="2" t="s">
        <v>17</v>
      </c>
      <c r="D51" s="2" t="s">
        <v>1028</v>
      </c>
      <c r="E51" s="2" t="s">
        <v>1025</v>
      </c>
      <c r="F51" s="115">
        <v>6</v>
      </c>
      <c r="G51" s="2" t="s">
        <v>1017</v>
      </c>
      <c r="H51" s="2">
        <v>2</v>
      </c>
      <c r="I51" s="2" t="s">
        <v>1018</v>
      </c>
      <c r="J51" s="2" t="s">
        <v>1029</v>
      </c>
      <c r="K51" s="111">
        <v>9</v>
      </c>
      <c r="L51" s="111">
        <v>0.66666666666666663</v>
      </c>
      <c r="M51" s="111">
        <v>1</v>
      </c>
      <c r="N51" s="2" t="s">
        <v>1020</v>
      </c>
      <c r="O51" s="2" t="s">
        <v>987</v>
      </c>
      <c r="P51" s="2" t="s">
        <v>1022</v>
      </c>
      <c r="Q51" s="2" t="s">
        <v>1023</v>
      </c>
    </row>
    <row r="52" spans="1:17" ht="45" x14ac:dyDescent="0.25">
      <c r="A52" s="2" t="s">
        <v>1030</v>
      </c>
      <c r="B52" s="2" t="s">
        <v>7</v>
      </c>
      <c r="C52" s="2" t="s">
        <v>17</v>
      </c>
      <c r="D52" s="2" t="s">
        <v>1028</v>
      </c>
      <c r="E52" s="2" t="s">
        <v>1031</v>
      </c>
      <c r="F52" s="115">
        <v>6</v>
      </c>
      <c r="G52" s="2" t="s">
        <v>1017</v>
      </c>
      <c r="H52" s="2">
        <v>3</v>
      </c>
      <c r="I52" s="2" t="s">
        <v>1018</v>
      </c>
      <c r="J52" s="2" t="s">
        <v>1029</v>
      </c>
      <c r="K52" s="111">
        <v>9</v>
      </c>
      <c r="L52" s="111">
        <v>0.66666666666666663</v>
      </c>
      <c r="M52" s="111">
        <v>1</v>
      </c>
      <c r="N52" s="2" t="s">
        <v>1020</v>
      </c>
      <c r="O52" s="2" t="s">
        <v>987</v>
      </c>
      <c r="P52" s="2" t="s">
        <v>1022</v>
      </c>
      <c r="Q52" s="2" t="s">
        <v>1023</v>
      </c>
    </row>
    <row r="53" spans="1:17" ht="45" x14ac:dyDescent="0.25">
      <c r="A53" s="2" t="s">
        <v>1034</v>
      </c>
      <c r="B53" s="2" t="s">
        <v>7</v>
      </c>
      <c r="C53" s="2" t="s">
        <v>17</v>
      </c>
      <c r="D53" s="2" t="s">
        <v>1028</v>
      </c>
      <c r="E53" s="2" t="s">
        <v>1035</v>
      </c>
      <c r="F53" s="115">
        <v>4</v>
      </c>
      <c r="G53" s="2" t="s">
        <v>1017</v>
      </c>
      <c r="H53" s="2">
        <v>4</v>
      </c>
      <c r="I53" s="2" t="s">
        <v>1018</v>
      </c>
      <c r="J53" s="2" t="s">
        <v>1029</v>
      </c>
      <c r="K53" s="111">
        <v>9</v>
      </c>
      <c r="L53" s="111">
        <v>0.44444444444444442</v>
      </c>
      <c r="M53" s="111">
        <v>0.66666666666666663</v>
      </c>
      <c r="N53" s="2" t="s">
        <v>1020</v>
      </c>
      <c r="O53" s="2" t="s">
        <v>987</v>
      </c>
      <c r="P53" s="2" t="s">
        <v>1022</v>
      </c>
      <c r="Q53" s="2" t="s">
        <v>1023</v>
      </c>
    </row>
    <row r="54" spans="1:17" ht="45" x14ac:dyDescent="0.25">
      <c r="A54" s="2" t="s">
        <v>1038</v>
      </c>
      <c r="B54" s="2" t="s">
        <v>7</v>
      </c>
      <c r="C54" s="2" t="s">
        <v>21</v>
      </c>
      <c r="D54" s="2" t="s">
        <v>1028</v>
      </c>
      <c r="E54" s="2" t="s">
        <v>1039</v>
      </c>
      <c r="F54" s="115">
        <v>4</v>
      </c>
      <c r="G54" s="2" t="s">
        <v>1017</v>
      </c>
      <c r="H54" s="2">
        <v>5</v>
      </c>
      <c r="I54" s="2" t="s">
        <v>1018</v>
      </c>
      <c r="J54" s="2" t="s">
        <v>1029</v>
      </c>
      <c r="K54" s="111">
        <v>9</v>
      </c>
      <c r="L54" s="111">
        <v>0.44444444444444442</v>
      </c>
      <c r="M54" s="111">
        <v>0.66666666666666663</v>
      </c>
      <c r="N54" s="2" t="s">
        <v>1043</v>
      </c>
      <c r="O54" s="2" t="s">
        <v>987</v>
      </c>
      <c r="P54" s="2" t="s">
        <v>1022</v>
      </c>
      <c r="Q54" s="2" t="s">
        <v>1023</v>
      </c>
    </row>
    <row r="55" spans="1:17" ht="60" x14ac:dyDescent="0.25">
      <c r="A55" s="2" t="s">
        <v>1044</v>
      </c>
      <c r="B55" s="2" t="s">
        <v>7</v>
      </c>
      <c r="C55" s="2" t="s">
        <v>21</v>
      </c>
      <c r="D55" s="2" t="s">
        <v>1028</v>
      </c>
      <c r="E55" s="2" t="s">
        <v>1045</v>
      </c>
      <c r="F55" s="115">
        <v>4</v>
      </c>
      <c r="G55" s="2" t="s">
        <v>1050</v>
      </c>
      <c r="H55" s="2">
        <v>6</v>
      </c>
      <c r="I55" s="2" t="s">
        <v>1051</v>
      </c>
      <c r="J55" s="2" t="s">
        <v>1029</v>
      </c>
      <c r="K55" s="111">
        <v>9</v>
      </c>
      <c r="L55" s="111">
        <v>0.44444444444444442</v>
      </c>
      <c r="M55" s="111">
        <v>0.66666666666666663</v>
      </c>
      <c r="N55" s="2" t="s">
        <v>1043</v>
      </c>
      <c r="O55" s="2" t="s">
        <v>987</v>
      </c>
      <c r="P55" s="2" t="s">
        <v>1052</v>
      </c>
      <c r="Q55" s="2" t="s">
        <v>1023</v>
      </c>
    </row>
    <row r="56" spans="1:17" ht="60" x14ac:dyDescent="0.25">
      <c r="A56" s="2" t="s">
        <v>1053</v>
      </c>
      <c r="B56" s="2" t="s">
        <v>7</v>
      </c>
      <c r="C56" s="2" t="s">
        <v>21</v>
      </c>
      <c r="D56" s="2" t="s">
        <v>1028</v>
      </c>
      <c r="E56" s="2" t="s">
        <v>1054</v>
      </c>
      <c r="F56" s="115">
        <v>6</v>
      </c>
      <c r="G56" s="2" t="s">
        <v>1050</v>
      </c>
      <c r="H56" s="2">
        <v>7</v>
      </c>
      <c r="I56" s="2" t="s">
        <v>1051</v>
      </c>
      <c r="J56" s="2" t="s">
        <v>1029</v>
      </c>
      <c r="K56" s="111">
        <v>9</v>
      </c>
      <c r="L56" s="111">
        <v>0.66666666666666663</v>
      </c>
      <c r="M56" s="111">
        <v>1</v>
      </c>
      <c r="N56" s="2" t="s">
        <v>1043</v>
      </c>
      <c r="O56" s="2" t="s">
        <v>987</v>
      </c>
      <c r="P56" s="2" t="s">
        <v>1052</v>
      </c>
      <c r="Q56" s="2" t="s">
        <v>1023</v>
      </c>
    </row>
    <row r="57" spans="1:17" ht="60" x14ac:dyDescent="0.25">
      <c r="A57" s="2" t="s">
        <v>1058</v>
      </c>
      <c r="B57" s="2" t="s">
        <v>7</v>
      </c>
      <c r="C57" s="2" t="s">
        <v>21</v>
      </c>
      <c r="D57" s="2" t="s">
        <v>1028</v>
      </c>
      <c r="E57" s="2" t="s">
        <v>1059</v>
      </c>
      <c r="F57" s="115">
        <v>4</v>
      </c>
      <c r="G57" s="2" t="s">
        <v>1050</v>
      </c>
      <c r="H57" s="2">
        <v>8</v>
      </c>
      <c r="I57" s="2" t="s">
        <v>1051</v>
      </c>
      <c r="J57" s="2" t="s">
        <v>1029</v>
      </c>
      <c r="K57" s="111">
        <v>9</v>
      </c>
      <c r="L57" s="111">
        <v>0.44444444444444442</v>
      </c>
      <c r="M57" s="111">
        <v>0.66666666666666663</v>
      </c>
      <c r="N57" s="2" t="s">
        <v>1043</v>
      </c>
      <c r="O57" s="2" t="s">
        <v>987</v>
      </c>
      <c r="P57" s="2" t="s">
        <v>1052</v>
      </c>
      <c r="Q57" s="2" t="s">
        <v>1023</v>
      </c>
    </row>
    <row r="58" spans="1:17" ht="60" x14ac:dyDescent="0.25">
      <c r="A58" s="2" t="s">
        <v>1066</v>
      </c>
      <c r="B58" s="2" t="s">
        <v>7</v>
      </c>
      <c r="C58" s="2" t="s">
        <v>21</v>
      </c>
      <c r="D58" s="2" t="s">
        <v>1028</v>
      </c>
      <c r="E58" s="2" t="s">
        <v>1067</v>
      </c>
      <c r="F58" s="115">
        <v>10</v>
      </c>
      <c r="G58" s="2" t="s">
        <v>1050</v>
      </c>
      <c r="H58" s="2">
        <v>1</v>
      </c>
      <c r="I58" s="2" t="s">
        <v>1051</v>
      </c>
      <c r="J58" s="2" t="s">
        <v>1079</v>
      </c>
      <c r="K58" s="111">
        <v>10</v>
      </c>
      <c r="L58" s="111">
        <v>1</v>
      </c>
      <c r="M58" s="111">
        <v>1.5</v>
      </c>
      <c r="N58" s="2" t="s">
        <v>1020</v>
      </c>
      <c r="O58" s="2" t="s">
        <v>1080</v>
      </c>
      <c r="P58" s="2" t="s">
        <v>1052</v>
      </c>
      <c r="Q58" s="2" t="s">
        <v>1081</v>
      </c>
    </row>
    <row r="59" spans="1:17" ht="60" x14ac:dyDescent="0.25">
      <c r="A59" s="2" t="s">
        <v>1082</v>
      </c>
      <c r="B59" s="2" t="s">
        <v>7</v>
      </c>
      <c r="C59" s="2" t="s">
        <v>21</v>
      </c>
      <c r="D59" s="2" t="s">
        <v>1028</v>
      </c>
      <c r="E59" s="2" t="s">
        <v>1083</v>
      </c>
      <c r="F59" s="115">
        <v>10</v>
      </c>
      <c r="G59" s="2" t="s">
        <v>1050</v>
      </c>
      <c r="H59" s="2">
        <v>2</v>
      </c>
      <c r="I59" s="2" t="s">
        <v>1051</v>
      </c>
      <c r="J59" s="2" t="s">
        <v>1079</v>
      </c>
      <c r="K59" s="111">
        <v>10</v>
      </c>
      <c r="L59" s="111">
        <v>1</v>
      </c>
      <c r="M59" s="111">
        <v>1.5</v>
      </c>
      <c r="N59" s="2" t="s">
        <v>1020</v>
      </c>
      <c r="O59" s="2" t="s">
        <v>1088</v>
      </c>
      <c r="P59" s="2" t="s">
        <v>1052</v>
      </c>
      <c r="Q59" s="2" t="s">
        <v>1081</v>
      </c>
    </row>
    <row r="60" spans="1:17" ht="45" x14ac:dyDescent="0.25">
      <c r="A60" s="2" t="s">
        <v>1089</v>
      </c>
      <c r="B60" s="2" t="s">
        <v>7</v>
      </c>
      <c r="C60" s="2" t="s">
        <v>21</v>
      </c>
      <c r="D60" s="2" t="s">
        <v>1028</v>
      </c>
      <c r="E60" s="2" t="s">
        <v>1090</v>
      </c>
      <c r="F60" s="115">
        <v>4</v>
      </c>
      <c r="G60" s="2" t="s">
        <v>1017</v>
      </c>
      <c r="H60" s="2">
        <v>6</v>
      </c>
      <c r="I60" s="2" t="s">
        <v>1018</v>
      </c>
      <c r="J60" s="2" t="s">
        <v>1029</v>
      </c>
      <c r="K60" s="111">
        <v>9</v>
      </c>
      <c r="L60" s="111">
        <v>0.44444444444444442</v>
      </c>
      <c r="M60" s="111">
        <v>0.66666666666666663</v>
      </c>
      <c r="N60" s="2" t="s">
        <v>1043</v>
      </c>
      <c r="O60" s="2" t="s">
        <v>1095</v>
      </c>
      <c r="P60" s="2" t="s">
        <v>1022</v>
      </c>
      <c r="Q60" s="2" t="s">
        <v>1023</v>
      </c>
    </row>
    <row r="61" spans="1:17" ht="60" x14ac:dyDescent="0.25">
      <c r="A61" s="2" t="s">
        <v>1096</v>
      </c>
      <c r="B61" s="2" t="s">
        <v>7</v>
      </c>
      <c r="C61" s="2" t="s">
        <v>21</v>
      </c>
      <c r="D61" s="2" t="s">
        <v>1028</v>
      </c>
      <c r="E61" s="2" t="s">
        <v>1097</v>
      </c>
      <c r="F61" s="115">
        <v>4</v>
      </c>
      <c r="G61" s="2" t="s">
        <v>1050</v>
      </c>
      <c r="H61" s="2">
        <v>3</v>
      </c>
      <c r="I61" s="2" t="s">
        <v>1051</v>
      </c>
      <c r="J61" s="2" t="s">
        <v>1029</v>
      </c>
      <c r="K61" s="111">
        <v>9</v>
      </c>
      <c r="L61" s="111">
        <v>0.44444444444444442</v>
      </c>
      <c r="M61" s="111">
        <v>0.66666666666666663</v>
      </c>
      <c r="N61" s="2" t="s">
        <v>1043</v>
      </c>
      <c r="O61" s="2" t="s">
        <v>1104</v>
      </c>
      <c r="P61" s="2" t="s">
        <v>1052</v>
      </c>
      <c r="Q61" s="2" t="s">
        <v>1023</v>
      </c>
    </row>
    <row r="62" spans="1:17" ht="60" x14ac:dyDescent="0.25">
      <c r="A62" s="2" t="s">
        <v>1105</v>
      </c>
      <c r="B62" s="2" t="s">
        <v>7</v>
      </c>
      <c r="C62" s="2" t="s">
        <v>21</v>
      </c>
      <c r="D62" s="2" t="s">
        <v>1028</v>
      </c>
      <c r="E62" s="2" t="s">
        <v>1106</v>
      </c>
      <c r="F62" s="115">
        <v>6</v>
      </c>
      <c r="G62" s="2" t="s">
        <v>1050</v>
      </c>
      <c r="H62" s="2">
        <v>4</v>
      </c>
      <c r="I62" s="2" t="s">
        <v>1051</v>
      </c>
      <c r="J62" s="2" t="s">
        <v>1079</v>
      </c>
      <c r="K62" s="111">
        <v>10</v>
      </c>
      <c r="L62" s="111">
        <v>0.6</v>
      </c>
      <c r="M62" s="111">
        <v>0.89999999999999991</v>
      </c>
      <c r="N62" s="2" t="s">
        <v>1043</v>
      </c>
      <c r="O62" s="2" t="s">
        <v>1114</v>
      </c>
      <c r="P62" s="2" t="s">
        <v>1052</v>
      </c>
      <c r="Q62" s="2" t="s">
        <v>1115</v>
      </c>
    </row>
    <row r="63" spans="1:17" ht="60" x14ac:dyDescent="0.25">
      <c r="A63" s="2" t="s">
        <v>1116</v>
      </c>
      <c r="B63" s="2" t="s">
        <v>7</v>
      </c>
      <c r="C63" s="2" t="s">
        <v>21</v>
      </c>
      <c r="D63" s="2" t="s">
        <v>1028</v>
      </c>
      <c r="E63" s="2" t="s">
        <v>1117</v>
      </c>
      <c r="F63" s="115">
        <v>4</v>
      </c>
      <c r="G63" s="2" t="s">
        <v>1050</v>
      </c>
      <c r="H63" s="2">
        <v>5</v>
      </c>
      <c r="I63" s="2" t="s">
        <v>1051</v>
      </c>
      <c r="J63" s="2" t="s">
        <v>1029</v>
      </c>
      <c r="K63" s="111">
        <v>9</v>
      </c>
      <c r="L63" s="111">
        <v>0.44444444444444442</v>
      </c>
      <c r="M63" s="111">
        <v>0.66666666666666663</v>
      </c>
      <c r="N63" s="2" t="s">
        <v>1043</v>
      </c>
      <c r="O63" s="2" t="s">
        <v>1120</v>
      </c>
      <c r="P63" s="2" t="s">
        <v>1052</v>
      </c>
      <c r="Q63" s="2" t="s">
        <v>1023</v>
      </c>
    </row>
    <row r="64" spans="1:17" ht="60" x14ac:dyDescent="0.25">
      <c r="A64" s="2" t="s">
        <v>1122</v>
      </c>
      <c r="B64" s="2" t="s">
        <v>7</v>
      </c>
      <c r="C64" s="2" t="s">
        <v>21</v>
      </c>
      <c r="D64" s="2" t="s">
        <v>1028</v>
      </c>
      <c r="E64" s="2" t="s">
        <v>1123</v>
      </c>
      <c r="F64" s="115">
        <v>10</v>
      </c>
      <c r="G64" s="2" t="s">
        <v>1050</v>
      </c>
      <c r="H64" s="2">
        <v>9</v>
      </c>
      <c r="I64" s="2" t="s">
        <v>1051</v>
      </c>
      <c r="J64" s="2" t="s">
        <v>1029</v>
      </c>
      <c r="K64" s="111">
        <v>9</v>
      </c>
      <c r="L64" s="111">
        <v>1.1111111111111112</v>
      </c>
      <c r="M64" s="111">
        <v>1.6666666666666667</v>
      </c>
      <c r="N64" s="2" t="s">
        <v>1043</v>
      </c>
      <c r="O64" s="2" t="s">
        <v>987</v>
      </c>
      <c r="P64" s="2" t="s">
        <v>1052</v>
      </c>
      <c r="Q64" s="2" t="s">
        <v>1023</v>
      </c>
    </row>
    <row r="65" spans="1:17" ht="45" x14ac:dyDescent="0.25">
      <c r="A65" s="2" t="s">
        <v>1130</v>
      </c>
      <c r="B65" s="2" t="s">
        <v>7</v>
      </c>
      <c r="C65" s="2" t="s">
        <v>21</v>
      </c>
      <c r="D65" s="2" t="s">
        <v>1028</v>
      </c>
      <c r="E65" s="2" t="s">
        <v>1131</v>
      </c>
      <c r="F65" s="115">
        <v>8</v>
      </c>
      <c r="G65" s="2" t="s">
        <v>1139</v>
      </c>
      <c r="H65" s="2">
        <v>1</v>
      </c>
      <c r="I65" s="2" t="s">
        <v>1140</v>
      </c>
      <c r="J65" s="2" t="s">
        <v>1079</v>
      </c>
      <c r="K65" s="111">
        <v>10</v>
      </c>
      <c r="L65" s="111">
        <v>0.8</v>
      </c>
      <c r="M65" s="111">
        <v>1.2000000000000002</v>
      </c>
      <c r="N65" s="2" t="s">
        <v>1020</v>
      </c>
      <c r="O65" s="2" t="s">
        <v>1141</v>
      </c>
      <c r="P65" s="2" t="s">
        <v>1142</v>
      </c>
      <c r="Q65" s="2" t="s">
        <v>1143</v>
      </c>
    </row>
    <row r="66" spans="1:17" ht="45" x14ac:dyDescent="0.25">
      <c r="A66" s="2" t="s">
        <v>1144</v>
      </c>
      <c r="B66" s="2" t="s">
        <v>7</v>
      </c>
      <c r="C66" s="2" t="s">
        <v>21</v>
      </c>
      <c r="D66" s="2" t="s">
        <v>1028</v>
      </c>
      <c r="E66" s="2" t="s">
        <v>1145</v>
      </c>
      <c r="F66" s="115">
        <v>12</v>
      </c>
      <c r="G66" s="2" t="s">
        <v>1017</v>
      </c>
      <c r="H66" s="2">
        <v>8</v>
      </c>
      <c r="I66" s="2" t="s">
        <v>1018</v>
      </c>
      <c r="J66" s="2" t="s">
        <v>1029</v>
      </c>
      <c r="K66" s="111">
        <v>9</v>
      </c>
      <c r="L66" s="111">
        <v>1.3333333333333333</v>
      </c>
      <c r="M66" s="111">
        <v>2</v>
      </c>
      <c r="N66" s="2" t="s">
        <v>1153</v>
      </c>
      <c r="O66" s="2" t="s">
        <v>1154</v>
      </c>
      <c r="P66" s="2" t="s">
        <v>1022</v>
      </c>
      <c r="Q66" s="2" t="s">
        <v>1023</v>
      </c>
    </row>
    <row r="67" spans="1:17" ht="45" x14ac:dyDescent="0.25">
      <c r="A67" s="2" t="s">
        <v>1155</v>
      </c>
      <c r="B67" s="2" t="s">
        <v>7</v>
      </c>
      <c r="C67" s="2" t="s">
        <v>21</v>
      </c>
      <c r="D67" s="2" t="s">
        <v>1028</v>
      </c>
      <c r="E67" s="2" t="s">
        <v>1156</v>
      </c>
      <c r="F67" s="115">
        <v>6</v>
      </c>
      <c r="G67" s="2" t="s">
        <v>1017</v>
      </c>
      <c r="H67" s="2">
        <v>9</v>
      </c>
      <c r="I67" s="2" t="s">
        <v>1018</v>
      </c>
      <c r="J67" s="2" t="s">
        <v>1029</v>
      </c>
      <c r="K67" s="111">
        <v>9</v>
      </c>
      <c r="L67" s="111">
        <v>0.66666666666666663</v>
      </c>
      <c r="M67" s="111">
        <v>1</v>
      </c>
      <c r="N67" s="2" t="s">
        <v>1153</v>
      </c>
      <c r="O67" s="2" t="s">
        <v>1163</v>
      </c>
      <c r="P67" s="2" t="s">
        <v>1022</v>
      </c>
      <c r="Q67" s="2" t="s">
        <v>1164</v>
      </c>
    </row>
    <row r="68" spans="1:17" ht="45" x14ac:dyDescent="0.25">
      <c r="A68" s="2" t="s">
        <v>1165</v>
      </c>
      <c r="B68" s="2" t="s">
        <v>7</v>
      </c>
      <c r="C68" s="2" t="s">
        <v>21</v>
      </c>
      <c r="D68" s="2" t="s">
        <v>1028</v>
      </c>
      <c r="E68" s="2" t="s">
        <v>1166</v>
      </c>
      <c r="F68" s="115">
        <v>8</v>
      </c>
      <c r="G68" s="2" t="s">
        <v>1139</v>
      </c>
      <c r="H68" s="2">
        <v>2</v>
      </c>
      <c r="I68" s="2" t="s">
        <v>1140</v>
      </c>
      <c r="J68" s="2" t="s">
        <v>1029</v>
      </c>
      <c r="K68" s="111">
        <v>9</v>
      </c>
      <c r="L68" s="111">
        <v>0.88888888888888884</v>
      </c>
      <c r="M68" s="111">
        <v>1.3333333333333333</v>
      </c>
      <c r="N68" s="2" t="s">
        <v>1153</v>
      </c>
      <c r="O68" s="2" t="s">
        <v>1171</v>
      </c>
      <c r="P68" s="2" t="s">
        <v>1142</v>
      </c>
      <c r="Q68" s="2" t="s">
        <v>1172</v>
      </c>
    </row>
    <row r="69" spans="1:17" ht="45" x14ac:dyDescent="0.25">
      <c r="A69" s="2" t="s">
        <v>1173</v>
      </c>
      <c r="B69" s="2" t="s">
        <v>7</v>
      </c>
      <c r="C69" s="2" t="s">
        <v>21</v>
      </c>
      <c r="D69" s="2" t="s">
        <v>1028</v>
      </c>
      <c r="E69" s="2" t="s">
        <v>1174</v>
      </c>
      <c r="F69" s="115">
        <v>6</v>
      </c>
      <c r="G69" s="2" t="s">
        <v>1017</v>
      </c>
      <c r="H69" s="2">
        <v>7</v>
      </c>
      <c r="I69" s="2" t="s">
        <v>1018</v>
      </c>
      <c r="J69" s="2" t="s">
        <v>1029</v>
      </c>
      <c r="K69" s="111">
        <v>9</v>
      </c>
      <c r="L69" s="111">
        <v>0.66666666666666663</v>
      </c>
      <c r="M69" s="111">
        <v>1</v>
      </c>
      <c r="N69" s="2" t="s">
        <v>1153</v>
      </c>
      <c r="O69" s="2" t="s">
        <v>1181</v>
      </c>
      <c r="P69" s="2" t="s">
        <v>1022</v>
      </c>
      <c r="Q69" s="2" t="s">
        <v>1023</v>
      </c>
    </row>
    <row r="70" spans="1:17" ht="30" x14ac:dyDescent="0.25">
      <c r="A70" s="2" t="s">
        <v>1182</v>
      </c>
      <c r="B70" s="2" t="s">
        <v>7</v>
      </c>
      <c r="C70" s="2" t="s">
        <v>25</v>
      </c>
      <c r="D70" s="2" t="s">
        <v>768</v>
      </c>
      <c r="E70" s="2" t="s">
        <v>1183</v>
      </c>
      <c r="F70" s="115">
        <v>8</v>
      </c>
      <c r="G70" s="2" t="s">
        <v>171</v>
      </c>
      <c r="H70" s="2">
        <v>0</v>
      </c>
      <c r="I70" s="2" t="s">
        <v>782</v>
      </c>
      <c r="J70" s="2" t="s">
        <v>781</v>
      </c>
      <c r="K70" s="111">
        <v>0</v>
      </c>
      <c r="L70" s="111">
        <v>0</v>
      </c>
      <c r="M70" s="111">
        <v>0</v>
      </c>
      <c r="N70" s="2" t="s">
        <v>171</v>
      </c>
      <c r="O70" s="2" t="s">
        <v>783</v>
      </c>
      <c r="P70" s="2" t="s">
        <v>784</v>
      </c>
      <c r="Q70" s="2" t="s">
        <v>785</v>
      </c>
    </row>
    <row r="71" spans="1:17" ht="30" x14ac:dyDescent="0.25">
      <c r="A71" s="2" t="s">
        <v>1188</v>
      </c>
      <c r="B71" s="2" t="s">
        <v>7</v>
      </c>
      <c r="C71" s="2" t="s">
        <v>25</v>
      </c>
      <c r="D71" s="2" t="s">
        <v>768</v>
      </c>
      <c r="E71" s="2" t="s">
        <v>1189</v>
      </c>
      <c r="F71" s="115">
        <v>6</v>
      </c>
      <c r="G71" s="2" t="s">
        <v>171</v>
      </c>
      <c r="H71" s="2">
        <v>0</v>
      </c>
      <c r="I71" s="2" t="s">
        <v>782</v>
      </c>
      <c r="J71" s="2" t="s">
        <v>781</v>
      </c>
      <c r="K71" s="111">
        <v>0</v>
      </c>
      <c r="L71" s="111">
        <v>0</v>
      </c>
      <c r="M71" s="111">
        <v>0</v>
      </c>
      <c r="N71" s="2" t="s">
        <v>171</v>
      </c>
      <c r="O71" s="2" t="s">
        <v>783</v>
      </c>
      <c r="P71" s="2" t="s">
        <v>784</v>
      </c>
      <c r="Q71" s="2" t="s">
        <v>785</v>
      </c>
    </row>
    <row r="72" spans="1:17" ht="30" x14ac:dyDescent="0.25">
      <c r="A72" s="2" t="s">
        <v>170</v>
      </c>
      <c r="B72" s="2" t="s">
        <v>7</v>
      </c>
      <c r="C72" s="2" t="s">
        <v>25</v>
      </c>
      <c r="D72" s="2" t="s">
        <v>768</v>
      </c>
      <c r="E72" s="2" t="s">
        <v>1192</v>
      </c>
      <c r="F72" s="115">
        <v>8</v>
      </c>
      <c r="G72" s="2" t="s">
        <v>171</v>
      </c>
      <c r="H72" s="2">
        <v>0</v>
      </c>
      <c r="I72" s="2" t="s">
        <v>782</v>
      </c>
      <c r="J72" s="2" t="s">
        <v>781</v>
      </c>
      <c r="K72" s="111">
        <v>0</v>
      </c>
      <c r="L72" s="111">
        <v>0</v>
      </c>
      <c r="M72" s="111">
        <v>0</v>
      </c>
      <c r="N72" s="2" t="s">
        <v>171</v>
      </c>
      <c r="O72" s="2" t="s">
        <v>783</v>
      </c>
      <c r="P72" s="2" t="s">
        <v>784</v>
      </c>
      <c r="Q72" s="2" t="s">
        <v>785</v>
      </c>
    </row>
    <row r="73" spans="1:17" ht="30" x14ac:dyDescent="0.25">
      <c r="A73" s="2" t="s">
        <v>175</v>
      </c>
      <c r="B73" s="2" t="s">
        <v>7</v>
      </c>
      <c r="C73" s="2" t="s">
        <v>25</v>
      </c>
      <c r="D73" s="2" t="s">
        <v>768</v>
      </c>
      <c r="E73" s="2" t="s">
        <v>1197</v>
      </c>
      <c r="F73" s="115">
        <v>8</v>
      </c>
      <c r="G73" s="2" t="s">
        <v>171</v>
      </c>
      <c r="H73" s="2">
        <v>0</v>
      </c>
      <c r="I73" s="2" t="s">
        <v>782</v>
      </c>
      <c r="J73" s="2" t="s">
        <v>781</v>
      </c>
      <c r="K73" s="111">
        <v>0</v>
      </c>
      <c r="L73" s="111">
        <v>0</v>
      </c>
      <c r="M73" s="111">
        <v>0</v>
      </c>
      <c r="N73" s="2" t="s">
        <v>171</v>
      </c>
      <c r="O73" s="2" t="s">
        <v>783</v>
      </c>
      <c r="P73" s="2" t="s">
        <v>784</v>
      </c>
      <c r="Q73" s="2" t="s">
        <v>785</v>
      </c>
    </row>
    <row r="74" spans="1:17" ht="30" x14ac:dyDescent="0.25">
      <c r="A74" s="2" t="s">
        <v>179</v>
      </c>
      <c r="B74" s="2" t="s">
        <v>7</v>
      </c>
      <c r="C74" s="2" t="s">
        <v>25</v>
      </c>
      <c r="D74" s="2" t="s">
        <v>768</v>
      </c>
      <c r="E74" s="2" t="s">
        <v>1200</v>
      </c>
      <c r="F74" s="115">
        <v>8</v>
      </c>
      <c r="G74" s="2" t="s">
        <v>171</v>
      </c>
      <c r="H74" s="2">
        <v>0</v>
      </c>
      <c r="I74" s="2" t="s">
        <v>782</v>
      </c>
      <c r="J74" s="2" t="s">
        <v>781</v>
      </c>
      <c r="K74" s="111">
        <v>0</v>
      </c>
      <c r="L74" s="111">
        <v>0</v>
      </c>
      <c r="M74" s="111">
        <v>0</v>
      </c>
      <c r="N74" s="2" t="s">
        <v>171</v>
      </c>
      <c r="O74" s="2" t="s">
        <v>783</v>
      </c>
      <c r="P74" s="2" t="s">
        <v>784</v>
      </c>
      <c r="Q74" s="2" t="s">
        <v>785</v>
      </c>
    </row>
    <row r="75" spans="1:17" ht="30" x14ac:dyDescent="0.25">
      <c r="A75" s="2" t="s">
        <v>183</v>
      </c>
      <c r="B75" s="2" t="s">
        <v>7</v>
      </c>
      <c r="C75" s="2" t="s">
        <v>25</v>
      </c>
      <c r="D75" s="2" t="s">
        <v>768</v>
      </c>
      <c r="E75" s="2" t="s">
        <v>1204</v>
      </c>
      <c r="F75" s="115">
        <v>4</v>
      </c>
      <c r="G75" s="2" t="s">
        <v>171</v>
      </c>
      <c r="H75" s="2">
        <v>0</v>
      </c>
      <c r="I75" s="2" t="s">
        <v>782</v>
      </c>
      <c r="J75" s="2" t="s">
        <v>781</v>
      </c>
      <c r="K75" s="111">
        <v>0</v>
      </c>
      <c r="L75" s="111">
        <v>0</v>
      </c>
      <c r="M75" s="111">
        <v>0</v>
      </c>
      <c r="N75" s="2" t="s">
        <v>171</v>
      </c>
      <c r="O75" s="2" t="s">
        <v>783</v>
      </c>
      <c r="P75" s="2" t="s">
        <v>784</v>
      </c>
      <c r="Q75" s="2" t="s">
        <v>785</v>
      </c>
    </row>
    <row r="76" spans="1:17" ht="30" x14ac:dyDescent="0.25">
      <c r="A76" s="2" t="s">
        <v>186</v>
      </c>
      <c r="B76" s="2" t="s">
        <v>7</v>
      </c>
      <c r="C76" s="2" t="s">
        <v>25</v>
      </c>
      <c r="D76" s="2" t="s">
        <v>768</v>
      </c>
      <c r="E76" s="2" t="s">
        <v>1207</v>
      </c>
      <c r="F76" s="115">
        <v>4</v>
      </c>
      <c r="G76" s="2" t="s">
        <v>171</v>
      </c>
      <c r="H76" s="2">
        <v>0</v>
      </c>
      <c r="I76" s="2" t="s">
        <v>782</v>
      </c>
      <c r="J76" s="2" t="s">
        <v>781</v>
      </c>
      <c r="K76" s="111">
        <v>0</v>
      </c>
      <c r="L76" s="111">
        <v>0</v>
      </c>
      <c r="M76" s="111">
        <v>0</v>
      </c>
      <c r="N76" s="2" t="s">
        <v>171</v>
      </c>
      <c r="O76" s="2" t="s">
        <v>783</v>
      </c>
      <c r="P76" s="2" t="s">
        <v>784</v>
      </c>
      <c r="Q76" s="2" t="s">
        <v>785</v>
      </c>
    </row>
    <row r="77" spans="1:17" ht="45" x14ac:dyDescent="0.25">
      <c r="A77" s="2" t="s">
        <v>190</v>
      </c>
      <c r="B77" s="2" t="s">
        <v>7</v>
      </c>
      <c r="C77" s="2" t="s">
        <v>25</v>
      </c>
      <c r="D77" s="2" t="s">
        <v>1028</v>
      </c>
      <c r="E77" s="2" t="s">
        <v>1210</v>
      </c>
      <c r="F77" s="115">
        <v>4</v>
      </c>
      <c r="G77" s="2" t="s">
        <v>1139</v>
      </c>
      <c r="H77" s="2">
        <v>3</v>
      </c>
      <c r="I77" s="2" t="s">
        <v>1140</v>
      </c>
      <c r="J77" s="2" t="s">
        <v>1215</v>
      </c>
      <c r="K77" s="111">
        <v>18</v>
      </c>
      <c r="L77" s="111">
        <v>0.25</v>
      </c>
      <c r="M77" s="111">
        <v>0.33750000000000002</v>
      </c>
      <c r="N77" s="2" t="s">
        <v>1216</v>
      </c>
      <c r="O77" s="2" t="s">
        <v>1217</v>
      </c>
      <c r="P77" s="2" t="s">
        <v>1142</v>
      </c>
      <c r="Q77" s="2" t="s">
        <v>1218</v>
      </c>
    </row>
    <row r="78" spans="1:17" ht="45" x14ac:dyDescent="0.25">
      <c r="A78" s="2" t="s">
        <v>1219</v>
      </c>
      <c r="B78" s="2" t="s">
        <v>7</v>
      </c>
      <c r="C78" s="2" t="s">
        <v>25</v>
      </c>
      <c r="D78" s="2" t="s">
        <v>1028</v>
      </c>
      <c r="E78" s="2" t="s">
        <v>1220</v>
      </c>
      <c r="F78" s="115">
        <v>6</v>
      </c>
      <c r="G78" s="2" t="s">
        <v>1017</v>
      </c>
      <c r="H78" s="2">
        <v>10</v>
      </c>
      <c r="I78" s="2" t="s">
        <v>1018</v>
      </c>
      <c r="J78" s="2" t="s">
        <v>1227</v>
      </c>
      <c r="K78" s="111">
        <v>5</v>
      </c>
      <c r="L78" s="111">
        <v>1.2</v>
      </c>
      <c r="M78" s="111">
        <v>2.04</v>
      </c>
      <c r="N78" s="2" t="s">
        <v>1216</v>
      </c>
      <c r="O78" s="2" t="s">
        <v>1228</v>
      </c>
      <c r="P78" s="2" t="s">
        <v>1022</v>
      </c>
      <c r="Q78" s="2" t="s">
        <v>1023</v>
      </c>
    </row>
    <row r="79" spans="1:17" ht="45" x14ac:dyDescent="0.25">
      <c r="A79" s="2" t="s">
        <v>1229</v>
      </c>
      <c r="B79" s="2" t="s">
        <v>7</v>
      </c>
      <c r="C79" s="2" t="s">
        <v>25</v>
      </c>
      <c r="D79" s="2" t="s">
        <v>1028</v>
      </c>
      <c r="E79" s="2" t="s">
        <v>1230</v>
      </c>
      <c r="F79" s="115">
        <v>4</v>
      </c>
      <c r="G79" s="2" t="s">
        <v>1017</v>
      </c>
      <c r="H79" s="2">
        <v>11</v>
      </c>
      <c r="I79" s="2" t="s">
        <v>1018</v>
      </c>
      <c r="J79" s="2" t="s">
        <v>1227</v>
      </c>
      <c r="K79" s="111">
        <v>5</v>
      </c>
      <c r="L79" s="111">
        <v>0.8</v>
      </c>
      <c r="M79" s="111">
        <v>1.36</v>
      </c>
      <c r="N79" s="2" t="s">
        <v>1216</v>
      </c>
      <c r="O79" s="2" t="s">
        <v>1234</v>
      </c>
      <c r="P79" s="2" t="s">
        <v>1022</v>
      </c>
      <c r="Q79" s="2" t="s">
        <v>1023</v>
      </c>
    </row>
    <row r="80" spans="1:17" ht="45" x14ac:dyDescent="0.25">
      <c r="A80" s="2" t="s">
        <v>1236</v>
      </c>
      <c r="B80" s="2" t="s">
        <v>7</v>
      </c>
      <c r="C80" s="2" t="s">
        <v>25</v>
      </c>
      <c r="D80" s="2" t="s">
        <v>1028</v>
      </c>
      <c r="E80" s="2" t="s">
        <v>1237</v>
      </c>
      <c r="F80" s="115">
        <v>3</v>
      </c>
      <c r="G80" s="2" t="s">
        <v>1017</v>
      </c>
      <c r="H80" s="2">
        <v>12</v>
      </c>
      <c r="I80" s="2" t="s">
        <v>1018</v>
      </c>
      <c r="J80" s="2" t="s">
        <v>1227</v>
      </c>
      <c r="K80" s="111">
        <v>5</v>
      </c>
      <c r="L80" s="111">
        <v>0.6</v>
      </c>
      <c r="M80" s="111">
        <v>1.02</v>
      </c>
      <c r="N80" s="2" t="s">
        <v>1216</v>
      </c>
      <c r="O80" s="2" t="s">
        <v>1242</v>
      </c>
      <c r="P80" s="2" t="s">
        <v>1022</v>
      </c>
      <c r="Q80" s="2" t="s">
        <v>1023</v>
      </c>
    </row>
    <row r="81" spans="1:17" ht="45" x14ac:dyDescent="0.25">
      <c r="A81" s="2" t="s">
        <v>1243</v>
      </c>
      <c r="B81" s="2" t="s">
        <v>7</v>
      </c>
      <c r="C81" s="2" t="s">
        <v>25</v>
      </c>
      <c r="D81" s="2" t="s">
        <v>1028</v>
      </c>
      <c r="E81" s="2" t="s">
        <v>1244</v>
      </c>
      <c r="F81" s="115">
        <v>4</v>
      </c>
      <c r="G81" s="2" t="s">
        <v>1017</v>
      </c>
      <c r="H81" s="2">
        <v>13</v>
      </c>
      <c r="I81" s="2" t="s">
        <v>1018</v>
      </c>
      <c r="J81" s="2" t="s">
        <v>1227</v>
      </c>
      <c r="K81" s="111">
        <v>5</v>
      </c>
      <c r="L81" s="111">
        <v>0.8</v>
      </c>
      <c r="M81" s="111">
        <v>1.36</v>
      </c>
      <c r="N81" s="2" t="s">
        <v>1216</v>
      </c>
      <c r="O81" s="2" t="s">
        <v>1251</v>
      </c>
      <c r="P81" s="2" t="s">
        <v>1022</v>
      </c>
      <c r="Q81" s="2" t="s">
        <v>1023</v>
      </c>
    </row>
    <row r="82" spans="1:17" ht="45" x14ac:dyDescent="0.25">
      <c r="A82" s="2" t="s">
        <v>1252</v>
      </c>
      <c r="B82" s="2" t="s">
        <v>7</v>
      </c>
      <c r="C82" s="2" t="s">
        <v>25</v>
      </c>
      <c r="D82" s="2" t="s">
        <v>1028</v>
      </c>
      <c r="E82" s="2" t="s">
        <v>1253</v>
      </c>
      <c r="F82" s="115">
        <v>6</v>
      </c>
      <c r="G82" s="2" t="s">
        <v>1017</v>
      </c>
      <c r="H82" s="2">
        <v>14</v>
      </c>
      <c r="I82" s="2" t="s">
        <v>1018</v>
      </c>
      <c r="J82" s="2" t="s">
        <v>1215</v>
      </c>
      <c r="K82" s="111">
        <v>18</v>
      </c>
      <c r="L82" s="111">
        <v>0.33333333333333331</v>
      </c>
      <c r="M82" s="111">
        <v>0.45</v>
      </c>
      <c r="N82" s="2" t="s">
        <v>1216</v>
      </c>
      <c r="O82" s="2" t="s">
        <v>1257</v>
      </c>
      <c r="P82" s="2" t="s">
        <v>1022</v>
      </c>
      <c r="Q82" s="2" t="s">
        <v>1023</v>
      </c>
    </row>
    <row r="83" spans="1:17" ht="45" x14ac:dyDescent="0.25">
      <c r="A83" s="2" t="s">
        <v>1259</v>
      </c>
      <c r="B83" s="2" t="s">
        <v>7</v>
      </c>
      <c r="C83" s="2" t="s">
        <v>25</v>
      </c>
      <c r="D83" s="2" t="s">
        <v>1028</v>
      </c>
      <c r="E83" s="2" t="s">
        <v>1260</v>
      </c>
      <c r="F83" s="115">
        <v>4</v>
      </c>
      <c r="G83" s="2" t="s">
        <v>1017</v>
      </c>
      <c r="H83" s="2">
        <v>15</v>
      </c>
      <c r="I83" s="2" t="s">
        <v>1018</v>
      </c>
      <c r="J83" s="2" t="s">
        <v>1265</v>
      </c>
      <c r="K83" s="111">
        <v>6</v>
      </c>
      <c r="L83" s="111">
        <v>0.66666666666666663</v>
      </c>
      <c r="M83" s="111">
        <v>1.0666666666666667</v>
      </c>
      <c r="N83" s="2" t="s">
        <v>1216</v>
      </c>
      <c r="O83" s="2" t="s">
        <v>1266</v>
      </c>
      <c r="P83" s="2" t="s">
        <v>1022</v>
      </c>
      <c r="Q83" s="2" t="s">
        <v>1023</v>
      </c>
    </row>
    <row r="84" spans="1:17" ht="45" x14ac:dyDescent="0.25">
      <c r="A84" s="2" t="s">
        <v>1267</v>
      </c>
      <c r="B84" s="2" t="s">
        <v>7</v>
      </c>
      <c r="C84" s="2" t="s">
        <v>25</v>
      </c>
      <c r="D84" s="2" t="s">
        <v>1028</v>
      </c>
      <c r="E84" s="2" t="s">
        <v>1268</v>
      </c>
      <c r="F84" s="115">
        <v>6</v>
      </c>
      <c r="G84" s="2" t="s">
        <v>1017</v>
      </c>
      <c r="H84" s="2">
        <v>16</v>
      </c>
      <c r="I84" s="2" t="s">
        <v>1018</v>
      </c>
      <c r="J84" s="2" t="s">
        <v>1215</v>
      </c>
      <c r="K84" s="111">
        <v>18</v>
      </c>
      <c r="L84" s="111">
        <v>0.33333333333333331</v>
      </c>
      <c r="M84" s="111">
        <v>0.45</v>
      </c>
      <c r="N84" s="2" t="s">
        <v>1216</v>
      </c>
      <c r="O84" s="2" t="s">
        <v>1273</v>
      </c>
      <c r="P84" s="2" t="s">
        <v>1022</v>
      </c>
      <c r="Q84" s="2" t="s">
        <v>1023</v>
      </c>
    </row>
    <row r="85" spans="1:17" ht="45" x14ac:dyDescent="0.25">
      <c r="A85" s="2" t="s">
        <v>1274</v>
      </c>
      <c r="B85" s="2" t="s">
        <v>30</v>
      </c>
      <c r="C85" s="2" t="s">
        <v>29</v>
      </c>
      <c r="D85" s="2" t="s">
        <v>1028</v>
      </c>
      <c r="E85" s="2" t="s">
        <v>1275</v>
      </c>
      <c r="F85" s="115">
        <v>10</v>
      </c>
      <c r="G85" s="2" t="s">
        <v>1050</v>
      </c>
      <c r="H85" s="2">
        <v>10</v>
      </c>
      <c r="I85" s="2" t="s">
        <v>1286</v>
      </c>
      <c r="J85" s="2" t="s">
        <v>1265</v>
      </c>
      <c r="K85" s="111">
        <v>6</v>
      </c>
      <c r="L85" s="111">
        <v>1.6666666666666667</v>
      </c>
      <c r="M85" s="111">
        <v>2.666666666666667</v>
      </c>
      <c r="N85" s="2" t="s">
        <v>1287</v>
      </c>
      <c r="O85" s="2" t="s">
        <v>1288</v>
      </c>
      <c r="P85" s="2" t="s">
        <v>1289</v>
      </c>
      <c r="Q85" s="2" t="s">
        <v>1023</v>
      </c>
    </row>
    <row r="86" spans="1:17" ht="45" x14ac:dyDescent="0.25">
      <c r="A86" s="2" t="s">
        <v>1290</v>
      </c>
      <c r="B86" s="2" t="s">
        <v>30</v>
      </c>
      <c r="C86" s="2" t="s">
        <v>29</v>
      </c>
      <c r="D86" s="2" t="s">
        <v>1028</v>
      </c>
      <c r="E86" s="2" t="s">
        <v>1291</v>
      </c>
      <c r="F86" s="115">
        <v>10</v>
      </c>
      <c r="G86" s="2" t="s">
        <v>1050</v>
      </c>
      <c r="H86" s="2">
        <v>11</v>
      </c>
      <c r="I86" s="2" t="s">
        <v>1286</v>
      </c>
      <c r="J86" s="2" t="s">
        <v>1294</v>
      </c>
      <c r="K86" s="111">
        <v>8</v>
      </c>
      <c r="L86" s="111">
        <v>1.25</v>
      </c>
      <c r="M86" s="111">
        <v>1.9375</v>
      </c>
      <c r="N86" s="2" t="s">
        <v>1287</v>
      </c>
      <c r="O86" s="2" t="s">
        <v>1288</v>
      </c>
      <c r="P86" s="2" t="s">
        <v>1289</v>
      </c>
      <c r="Q86" s="2" t="s">
        <v>1023</v>
      </c>
    </row>
    <row r="87" spans="1:17" ht="45" x14ac:dyDescent="0.25">
      <c r="A87" s="2" t="s">
        <v>1295</v>
      </c>
      <c r="B87" s="2" t="s">
        <v>30</v>
      </c>
      <c r="C87" s="2" t="s">
        <v>29</v>
      </c>
      <c r="D87" s="2" t="s">
        <v>1028</v>
      </c>
      <c r="E87" s="2" t="s">
        <v>1296</v>
      </c>
      <c r="F87" s="115">
        <v>8</v>
      </c>
      <c r="G87" s="2" t="s">
        <v>1050</v>
      </c>
      <c r="H87" s="2">
        <v>12</v>
      </c>
      <c r="I87" s="2" t="s">
        <v>1286</v>
      </c>
      <c r="J87" s="2" t="s">
        <v>1227</v>
      </c>
      <c r="K87" s="111">
        <v>5</v>
      </c>
      <c r="L87" s="111">
        <v>1.6</v>
      </c>
      <c r="M87" s="111">
        <v>2.72</v>
      </c>
      <c r="N87" s="2" t="s">
        <v>1287</v>
      </c>
      <c r="O87" s="2" t="s">
        <v>1288</v>
      </c>
      <c r="P87" s="2" t="s">
        <v>1289</v>
      </c>
      <c r="Q87" s="2" t="s">
        <v>1023</v>
      </c>
    </row>
    <row r="88" spans="1:17" ht="60" x14ac:dyDescent="0.25">
      <c r="A88" s="2" t="s">
        <v>1299</v>
      </c>
      <c r="B88" s="2" t="s">
        <v>30</v>
      </c>
      <c r="C88" s="2" t="s">
        <v>29</v>
      </c>
      <c r="D88" s="2" t="s">
        <v>1028</v>
      </c>
      <c r="E88" s="2" t="s">
        <v>1300</v>
      </c>
      <c r="F88" s="115">
        <v>12</v>
      </c>
      <c r="G88" s="2" t="s">
        <v>1050</v>
      </c>
      <c r="H88" s="2">
        <v>14</v>
      </c>
      <c r="I88" s="2" t="s">
        <v>1286</v>
      </c>
      <c r="J88" s="2" t="s">
        <v>1294</v>
      </c>
      <c r="K88" s="111">
        <v>8</v>
      </c>
      <c r="L88" s="111">
        <v>1.5</v>
      </c>
      <c r="M88" s="111">
        <v>2.3250000000000002</v>
      </c>
      <c r="N88" s="2" t="s">
        <v>1309</v>
      </c>
      <c r="O88" s="2" t="s">
        <v>1310</v>
      </c>
      <c r="P88" s="2" t="s">
        <v>1289</v>
      </c>
      <c r="Q88" s="2" t="s">
        <v>1023</v>
      </c>
    </row>
    <row r="89" spans="1:17" ht="60" x14ac:dyDescent="0.25">
      <c r="A89" s="2" t="s">
        <v>1311</v>
      </c>
      <c r="B89" s="2" t="s">
        <v>30</v>
      </c>
      <c r="C89" s="2" t="s">
        <v>29</v>
      </c>
      <c r="D89" s="2" t="s">
        <v>1028</v>
      </c>
      <c r="E89" s="2" t="s">
        <v>1312</v>
      </c>
      <c r="F89" s="115">
        <v>12</v>
      </c>
      <c r="G89" s="2" t="s">
        <v>1050</v>
      </c>
      <c r="H89" s="2">
        <v>13</v>
      </c>
      <c r="I89" s="2" t="s">
        <v>1286</v>
      </c>
      <c r="J89" s="2" t="s">
        <v>1294</v>
      </c>
      <c r="K89" s="111">
        <v>8</v>
      </c>
      <c r="L89" s="111">
        <v>1.5</v>
      </c>
      <c r="M89" s="111">
        <v>2.3250000000000002</v>
      </c>
      <c r="N89" s="2" t="s">
        <v>1309</v>
      </c>
      <c r="O89" s="2" t="s">
        <v>1319</v>
      </c>
      <c r="P89" s="2" t="s">
        <v>1289</v>
      </c>
      <c r="Q89" s="2" t="s">
        <v>1023</v>
      </c>
    </row>
    <row r="90" spans="1:17" ht="45" x14ac:dyDescent="0.25">
      <c r="A90" s="2" t="s">
        <v>1320</v>
      </c>
      <c r="B90" s="2" t="s">
        <v>30</v>
      </c>
      <c r="C90" s="2" t="s">
        <v>29</v>
      </c>
      <c r="D90" s="2" t="s">
        <v>1028</v>
      </c>
      <c r="E90" s="2" t="s">
        <v>1321</v>
      </c>
      <c r="F90" s="115">
        <v>12</v>
      </c>
      <c r="G90" s="2" t="s">
        <v>1050</v>
      </c>
      <c r="H90" s="2">
        <v>15</v>
      </c>
      <c r="I90" s="2" t="s">
        <v>1286</v>
      </c>
      <c r="J90" s="2" t="s">
        <v>1294</v>
      </c>
      <c r="K90" s="111">
        <v>8</v>
      </c>
      <c r="L90" s="111">
        <v>1.5</v>
      </c>
      <c r="M90" s="111">
        <v>2.3250000000000002</v>
      </c>
      <c r="N90" s="2" t="s">
        <v>1309</v>
      </c>
      <c r="O90" s="2" t="s">
        <v>1329</v>
      </c>
      <c r="P90" s="2" t="s">
        <v>1289</v>
      </c>
      <c r="Q90" s="2" t="s">
        <v>1023</v>
      </c>
    </row>
    <row r="91" spans="1:17" ht="60" x14ac:dyDescent="0.25">
      <c r="A91" s="2" t="s">
        <v>1330</v>
      </c>
      <c r="B91" s="2" t="s">
        <v>30</v>
      </c>
      <c r="C91" s="2" t="s">
        <v>29</v>
      </c>
      <c r="D91" s="2" t="s">
        <v>1028</v>
      </c>
      <c r="E91" s="2" t="s">
        <v>1331</v>
      </c>
      <c r="F91" s="115">
        <v>12</v>
      </c>
      <c r="G91" s="2" t="s">
        <v>1050</v>
      </c>
      <c r="H91" s="2">
        <v>16</v>
      </c>
      <c r="I91" s="2" t="s">
        <v>1286</v>
      </c>
      <c r="J91" s="2" t="s">
        <v>1079</v>
      </c>
      <c r="K91" s="111">
        <v>10</v>
      </c>
      <c r="L91" s="111">
        <v>1.2</v>
      </c>
      <c r="M91" s="111">
        <v>1.7999999999999998</v>
      </c>
      <c r="N91" s="2" t="s">
        <v>1309</v>
      </c>
      <c r="O91" s="2" t="s">
        <v>1338</v>
      </c>
      <c r="P91" s="2" t="s">
        <v>1289</v>
      </c>
      <c r="Q91" s="2" t="s">
        <v>1023</v>
      </c>
    </row>
    <row r="92" spans="1:17" ht="45" x14ac:dyDescent="0.25">
      <c r="A92" s="2" t="s">
        <v>1339</v>
      </c>
      <c r="B92" s="2" t="s">
        <v>30</v>
      </c>
      <c r="C92" s="2" t="s">
        <v>29</v>
      </c>
      <c r="D92" s="2" t="s">
        <v>1028</v>
      </c>
      <c r="E92" s="2" t="s">
        <v>1340</v>
      </c>
      <c r="F92" s="115">
        <v>12</v>
      </c>
      <c r="G92" s="2" t="s">
        <v>1050</v>
      </c>
      <c r="H92" s="2">
        <v>38</v>
      </c>
      <c r="I92" s="2" t="s">
        <v>1286</v>
      </c>
      <c r="J92" s="2" t="s">
        <v>1079</v>
      </c>
      <c r="K92" s="111">
        <v>10</v>
      </c>
      <c r="L92" s="111">
        <v>1.2</v>
      </c>
      <c r="M92" s="111">
        <v>1.7999999999999998</v>
      </c>
      <c r="N92" s="2" t="s">
        <v>1309</v>
      </c>
      <c r="O92" s="2" t="s">
        <v>1345</v>
      </c>
      <c r="P92" s="2" t="s">
        <v>1289</v>
      </c>
      <c r="Q92" s="2" t="s">
        <v>1023</v>
      </c>
    </row>
    <row r="93" spans="1:17" ht="45" x14ac:dyDescent="0.25">
      <c r="A93" s="2" t="s">
        <v>1346</v>
      </c>
      <c r="B93" s="2" t="s">
        <v>30</v>
      </c>
      <c r="C93" s="2" t="s">
        <v>29</v>
      </c>
      <c r="D93" s="2" t="s">
        <v>1028</v>
      </c>
      <c r="E93" s="2" t="s">
        <v>1347</v>
      </c>
      <c r="F93" s="115">
        <v>12</v>
      </c>
      <c r="G93" s="2" t="s">
        <v>1050</v>
      </c>
      <c r="H93" s="2">
        <v>17</v>
      </c>
      <c r="I93" s="2" t="s">
        <v>1286</v>
      </c>
      <c r="J93" s="2" t="s">
        <v>1079</v>
      </c>
      <c r="K93" s="111">
        <v>10</v>
      </c>
      <c r="L93" s="111">
        <v>1.2</v>
      </c>
      <c r="M93" s="111">
        <v>1.7999999999999998</v>
      </c>
      <c r="N93" s="2" t="s">
        <v>1309</v>
      </c>
      <c r="O93" s="2" t="s">
        <v>1354</v>
      </c>
      <c r="P93" s="2" t="s">
        <v>1289</v>
      </c>
      <c r="Q93" s="2" t="s">
        <v>1023</v>
      </c>
    </row>
    <row r="94" spans="1:17" ht="60" x14ac:dyDescent="0.25">
      <c r="A94" s="2" t="s">
        <v>1355</v>
      </c>
      <c r="B94" s="2" t="s">
        <v>30</v>
      </c>
      <c r="C94" s="2" t="s">
        <v>29</v>
      </c>
      <c r="D94" s="2" t="s">
        <v>1028</v>
      </c>
      <c r="E94" s="2" t="s">
        <v>1356</v>
      </c>
      <c r="F94" s="115">
        <v>6</v>
      </c>
      <c r="G94" s="2" t="s">
        <v>1050</v>
      </c>
      <c r="H94" s="2">
        <v>18</v>
      </c>
      <c r="I94" s="2" t="s">
        <v>1286</v>
      </c>
      <c r="J94" s="2" t="s">
        <v>1079</v>
      </c>
      <c r="K94" s="111">
        <v>10</v>
      </c>
      <c r="L94" s="111">
        <v>0.6</v>
      </c>
      <c r="M94" s="111">
        <v>0.89999999999999991</v>
      </c>
      <c r="N94" s="2" t="s">
        <v>1309</v>
      </c>
      <c r="O94" s="2" t="s">
        <v>1361</v>
      </c>
      <c r="P94" s="2" t="s">
        <v>1289</v>
      </c>
      <c r="Q94" s="2" t="s">
        <v>1023</v>
      </c>
    </row>
    <row r="95" spans="1:17" ht="45" x14ac:dyDescent="0.25">
      <c r="A95" s="2" t="s">
        <v>1362</v>
      </c>
      <c r="B95" s="2" t="s">
        <v>30</v>
      </c>
      <c r="C95" s="2" t="s">
        <v>29</v>
      </c>
      <c r="D95" s="2" t="s">
        <v>1028</v>
      </c>
      <c r="E95" s="2" t="s">
        <v>3042</v>
      </c>
      <c r="F95" s="115">
        <v>8</v>
      </c>
      <c r="G95" s="2" t="s">
        <v>1050</v>
      </c>
      <c r="H95" s="2">
        <v>19</v>
      </c>
      <c r="I95" s="2" t="s">
        <v>1286</v>
      </c>
      <c r="J95" s="2" t="s">
        <v>1079</v>
      </c>
      <c r="K95" s="111">
        <v>10</v>
      </c>
      <c r="L95" s="111">
        <v>0.8</v>
      </c>
      <c r="M95" s="111">
        <v>1.2000000000000002</v>
      </c>
      <c r="N95" s="2" t="s">
        <v>1309</v>
      </c>
      <c r="O95" s="2" t="s">
        <v>1370</v>
      </c>
      <c r="P95" s="2" t="s">
        <v>1289</v>
      </c>
      <c r="Q95" s="2" t="s">
        <v>1023</v>
      </c>
    </row>
    <row r="96" spans="1:17" ht="45" x14ac:dyDescent="0.25">
      <c r="A96" s="2" t="s">
        <v>1371</v>
      </c>
      <c r="B96" s="2" t="s">
        <v>30</v>
      </c>
      <c r="C96" s="2" t="s">
        <v>33</v>
      </c>
      <c r="D96" s="2" t="s">
        <v>1028</v>
      </c>
      <c r="E96" s="2" t="s">
        <v>1372</v>
      </c>
      <c r="F96" s="115">
        <v>12</v>
      </c>
      <c r="G96" s="2" t="s">
        <v>1050</v>
      </c>
      <c r="H96" s="2">
        <v>20</v>
      </c>
      <c r="I96" s="2" t="s">
        <v>1286</v>
      </c>
      <c r="J96" s="2" t="s">
        <v>1079</v>
      </c>
      <c r="K96" s="111">
        <v>10</v>
      </c>
      <c r="L96" s="111">
        <v>1.2</v>
      </c>
      <c r="M96" s="111">
        <v>1.7999999999999998</v>
      </c>
      <c r="N96" s="2" t="s">
        <v>1379</v>
      </c>
      <c r="O96" s="2" t="s">
        <v>1380</v>
      </c>
      <c r="P96" s="2" t="s">
        <v>1289</v>
      </c>
      <c r="Q96" s="2" t="s">
        <v>1023</v>
      </c>
    </row>
    <row r="97" spans="1:17" ht="45" x14ac:dyDescent="0.25">
      <c r="A97" s="2" t="s">
        <v>1381</v>
      </c>
      <c r="B97" s="2" t="s">
        <v>30</v>
      </c>
      <c r="C97" s="2" t="s">
        <v>33</v>
      </c>
      <c r="D97" s="2" t="s">
        <v>1028</v>
      </c>
      <c r="E97" s="2" t="s">
        <v>1382</v>
      </c>
      <c r="F97" s="115">
        <v>8</v>
      </c>
      <c r="G97" s="2" t="s">
        <v>1050</v>
      </c>
      <c r="H97" s="2">
        <v>21</v>
      </c>
      <c r="I97" s="2" t="s">
        <v>1286</v>
      </c>
      <c r="J97" s="2" t="s">
        <v>1079</v>
      </c>
      <c r="K97" s="111">
        <v>10</v>
      </c>
      <c r="L97" s="111">
        <v>0.8</v>
      </c>
      <c r="M97" s="111">
        <v>1.2000000000000002</v>
      </c>
      <c r="N97" s="2" t="s">
        <v>1379</v>
      </c>
      <c r="O97" s="2" t="s">
        <v>1389</v>
      </c>
      <c r="P97" s="2" t="s">
        <v>1289</v>
      </c>
      <c r="Q97" s="2" t="s">
        <v>1023</v>
      </c>
    </row>
    <row r="98" spans="1:17" ht="45" x14ac:dyDescent="0.25">
      <c r="A98" s="2" t="s">
        <v>1390</v>
      </c>
      <c r="B98" s="2" t="s">
        <v>30</v>
      </c>
      <c r="C98" s="2" t="s">
        <v>33</v>
      </c>
      <c r="D98" s="2" t="s">
        <v>1028</v>
      </c>
      <c r="E98" s="2" t="s">
        <v>1391</v>
      </c>
      <c r="F98" s="115">
        <v>6</v>
      </c>
      <c r="G98" s="2" t="s">
        <v>1050</v>
      </c>
      <c r="H98" s="2">
        <v>22</v>
      </c>
      <c r="I98" s="2" t="s">
        <v>1286</v>
      </c>
      <c r="J98" s="2" t="s">
        <v>1079</v>
      </c>
      <c r="K98" s="111">
        <v>10</v>
      </c>
      <c r="L98" s="111">
        <v>0.6</v>
      </c>
      <c r="M98" s="111">
        <v>0.89999999999999991</v>
      </c>
      <c r="N98" s="2" t="s">
        <v>1379</v>
      </c>
      <c r="O98" s="2" t="s">
        <v>1396</v>
      </c>
      <c r="P98" s="2" t="s">
        <v>1289</v>
      </c>
      <c r="Q98" s="2" t="s">
        <v>1023</v>
      </c>
    </row>
    <row r="99" spans="1:17" ht="45" x14ac:dyDescent="0.25">
      <c r="A99" s="2" t="s">
        <v>1397</v>
      </c>
      <c r="B99" s="2" t="s">
        <v>30</v>
      </c>
      <c r="C99" s="2" t="s">
        <v>33</v>
      </c>
      <c r="D99" s="2" t="s">
        <v>1028</v>
      </c>
      <c r="E99" s="2" t="s">
        <v>1398</v>
      </c>
      <c r="F99" s="115">
        <v>12</v>
      </c>
      <c r="G99" s="2" t="s">
        <v>1017</v>
      </c>
      <c r="H99" s="2">
        <v>18</v>
      </c>
      <c r="I99" s="2" t="s">
        <v>1403</v>
      </c>
      <c r="J99" s="2" t="s">
        <v>1029</v>
      </c>
      <c r="K99" s="111">
        <v>9</v>
      </c>
      <c r="L99" s="111">
        <v>1.3333333333333333</v>
      </c>
      <c r="M99" s="111">
        <v>2</v>
      </c>
      <c r="N99" s="2" t="s">
        <v>1379</v>
      </c>
      <c r="O99" s="2" t="s">
        <v>1404</v>
      </c>
      <c r="P99" s="2" t="s">
        <v>1405</v>
      </c>
      <c r="Q99" s="2" t="s">
        <v>1023</v>
      </c>
    </row>
    <row r="100" spans="1:17" ht="60" x14ac:dyDescent="0.25">
      <c r="A100" s="2" t="s">
        <v>1406</v>
      </c>
      <c r="B100" s="2" t="s">
        <v>30</v>
      </c>
      <c r="C100" s="2" t="s">
        <v>33</v>
      </c>
      <c r="D100" s="2" t="s">
        <v>1028</v>
      </c>
      <c r="E100" s="2" t="s">
        <v>1407</v>
      </c>
      <c r="F100" s="115">
        <v>8</v>
      </c>
      <c r="G100" s="2" t="s">
        <v>1050</v>
      </c>
      <c r="H100" s="2">
        <v>23</v>
      </c>
      <c r="I100" s="2" t="s">
        <v>1286</v>
      </c>
      <c r="J100" s="2" t="s">
        <v>1079</v>
      </c>
      <c r="K100" s="111">
        <v>10</v>
      </c>
      <c r="L100" s="111">
        <v>0.8</v>
      </c>
      <c r="M100" s="111">
        <v>1.2000000000000002</v>
      </c>
      <c r="N100" s="2" t="s">
        <v>1379</v>
      </c>
      <c r="O100" s="2" t="s">
        <v>1413</v>
      </c>
      <c r="P100" s="2" t="s">
        <v>1289</v>
      </c>
      <c r="Q100" s="2" t="s">
        <v>1023</v>
      </c>
    </row>
    <row r="101" spans="1:17" ht="45" x14ac:dyDescent="0.25">
      <c r="A101" s="2" t="s">
        <v>1414</v>
      </c>
      <c r="B101" s="2" t="s">
        <v>30</v>
      </c>
      <c r="C101" s="2" t="s">
        <v>33</v>
      </c>
      <c r="D101" s="2" t="s">
        <v>1028</v>
      </c>
      <c r="E101" s="2" t="s">
        <v>1415</v>
      </c>
      <c r="F101" s="115">
        <v>6</v>
      </c>
      <c r="G101" s="2" t="s">
        <v>1050</v>
      </c>
      <c r="H101" s="2">
        <v>24</v>
      </c>
      <c r="I101" s="2" t="s">
        <v>1286</v>
      </c>
      <c r="J101" s="2" t="s">
        <v>1079</v>
      </c>
      <c r="K101" s="111">
        <v>10</v>
      </c>
      <c r="L101" s="111">
        <v>0.6</v>
      </c>
      <c r="M101" s="111">
        <v>0.89999999999999991</v>
      </c>
      <c r="N101" s="2" t="s">
        <v>1379</v>
      </c>
      <c r="O101" s="2" t="s">
        <v>1420</v>
      </c>
      <c r="P101" s="2" t="s">
        <v>1289</v>
      </c>
      <c r="Q101" s="2" t="s">
        <v>1023</v>
      </c>
    </row>
    <row r="102" spans="1:17" ht="60" x14ac:dyDescent="0.25">
      <c r="A102" s="2" t="s">
        <v>1421</v>
      </c>
      <c r="B102" s="2" t="s">
        <v>30</v>
      </c>
      <c r="C102" s="2" t="s">
        <v>33</v>
      </c>
      <c r="D102" s="2" t="s">
        <v>1028</v>
      </c>
      <c r="E102" s="2" t="s">
        <v>1422</v>
      </c>
      <c r="F102" s="115">
        <v>12</v>
      </c>
      <c r="G102" s="2" t="s">
        <v>1017</v>
      </c>
      <c r="H102" s="2">
        <v>19</v>
      </c>
      <c r="I102" s="2" t="s">
        <v>1403</v>
      </c>
      <c r="J102" s="2" t="s">
        <v>1029</v>
      </c>
      <c r="K102" s="111">
        <v>9</v>
      </c>
      <c r="L102" s="111">
        <v>1.3333333333333333</v>
      </c>
      <c r="M102" s="111">
        <v>2</v>
      </c>
      <c r="N102" s="2" t="s">
        <v>1379</v>
      </c>
      <c r="O102" s="2" t="s">
        <v>1427</v>
      </c>
      <c r="P102" s="2" t="s">
        <v>1405</v>
      </c>
      <c r="Q102" s="2" t="s">
        <v>1023</v>
      </c>
    </row>
    <row r="103" spans="1:17" ht="60" x14ac:dyDescent="0.25">
      <c r="A103" s="2" t="s">
        <v>1428</v>
      </c>
      <c r="B103" s="2" t="s">
        <v>30</v>
      </c>
      <c r="C103" s="2" t="s">
        <v>33</v>
      </c>
      <c r="D103" s="2" t="s">
        <v>1028</v>
      </c>
      <c r="E103" s="2" t="s">
        <v>1429</v>
      </c>
      <c r="F103" s="115">
        <v>8</v>
      </c>
      <c r="G103" s="2" t="s">
        <v>1050</v>
      </c>
      <c r="H103" s="2">
        <v>25</v>
      </c>
      <c r="I103" s="2" t="s">
        <v>1286</v>
      </c>
      <c r="J103" s="2" t="s">
        <v>1079</v>
      </c>
      <c r="K103" s="111">
        <v>10</v>
      </c>
      <c r="L103" s="111">
        <v>0.8</v>
      </c>
      <c r="M103" s="111">
        <v>1.2000000000000002</v>
      </c>
      <c r="N103" s="2" t="s">
        <v>1379</v>
      </c>
      <c r="O103" s="2" t="s">
        <v>1434</v>
      </c>
      <c r="P103" s="2" t="s">
        <v>1289</v>
      </c>
      <c r="Q103" s="2" t="s">
        <v>1023</v>
      </c>
    </row>
    <row r="104" spans="1:17" ht="45" x14ac:dyDescent="0.25">
      <c r="A104" s="2" t="s">
        <v>1435</v>
      </c>
      <c r="B104" s="2" t="s">
        <v>30</v>
      </c>
      <c r="C104" s="2" t="s">
        <v>33</v>
      </c>
      <c r="D104" s="2" t="s">
        <v>1028</v>
      </c>
      <c r="E104" s="2" t="s">
        <v>1436</v>
      </c>
      <c r="F104" s="115">
        <v>6</v>
      </c>
      <c r="G104" s="2" t="s">
        <v>1050</v>
      </c>
      <c r="H104" s="2">
        <v>26</v>
      </c>
      <c r="I104" s="2" t="s">
        <v>1286</v>
      </c>
      <c r="J104" s="2" t="s">
        <v>1079</v>
      </c>
      <c r="K104" s="111">
        <v>10</v>
      </c>
      <c r="L104" s="111">
        <v>0.6</v>
      </c>
      <c r="M104" s="111">
        <v>0.89999999999999991</v>
      </c>
      <c r="N104" s="2" t="s">
        <v>1379</v>
      </c>
      <c r="O104" s="2" t="s">
        <v>1441</v>
      </c>
      <c r="P104" s="2" t="s">
        <v>1289</v>
      </c>
      <c r="Q104" s="2" t="s">
        <v>1023</v>
      </c>
    </row>
    <row r="105" spans="1:17" ht="60" x14ac:dyDescent="0.25">
      <c r="A105" s="2" t="s">
        <v>1442</v>
      </c>
      <c r="B105" s="2" t="s">
        <v>30</v>
      </c>
      <c r="C105" s="2" t="s">
        <v>33</v>
      </c>
      <c r="D105" s="2" t="s">
        <v>1028</v>
      </c>
      <c r="E105" s="2" t="s">
        <v>1443</v>
      </c>
      <c r="F105" s="115">
        <v>8</v>
      </c>
      <c r="G105" s="2" t="s">
        <v>1050</v>
      </c>
      <c r="H105" s="2">
        <v>27</v>
      </c>
      <c r="I105" s="2" t="s">
        <v>1286</v>
      </c>
      <c r="J105" s="2" t="s">
        <v>1079</v>
      </c>
      <c r="K105" s="111">
        <v>10</v>
      </c>
      <c r="L105" s="111">
        <v>0.8</v>
      </c>
      <c r="M105" s="111">
        <v>1.2000000000000002</v>
      </c>
      <c r="N105" s="2" t="s">
        <v>1379</v>
      </c>
      <c r="O105" s="2" t="s">
        <v>1449</v>
      </c>
      <c r="P105" s="2" t="s">
        <v>1289</v>
      </c>
      <c r="Q105" s="2" t="s">
        <v>1023</v>
      </c>
    </row>
    <row r="106" spans="1:17" ht="45" x14ac:dyDescent="0.25">
      <c r="A106" s="2" t="s">
        <v>1450</v>
      </c>
      <c r="B106" s="2" t="s">
        <v>30</v>
      </c>
      <c r="C106" s="2" t="s">
        <v>33</v>
      </c>
      <c r="D106" s="2" t="s">
        <v>1028</v>
      </c>
      <c r="E106" s="2" t="s">
        <v>1451</v>
      </c>
      <c r="F106" s="115">
        <v>6</v>
      </c>
      <c r="G106" s="2" t="s">
        <v>1050</v>
      </c>
      <c r="H106" s="2">
        <v>28</v>
      </c>
      <c r="I106" s="2" t="s">
        <v>1286</v>
      </c>
      <c r="J106" s="2" t="s">
        <v>1079</v>
      </c>
      <c r="K106" s="111">
        <v>10</v>
      </c>
      <c r="L106" s="111">
        <v>0.6</v>
      </c>
      <c r="M106" s="111">
        <v>0.89999999999999991</v>
      </c>
      <c r="N106" s="2" t="s">
        <v>1379</v>
      </c>
      <c r="O106" s="2" t="s">
        <v>1456</v>
      </c>
      <c r="P106" s="2" t="s">
        <v>1289</v>
      </c>
      <c r="Q106" s="2" t="s">
        <v>1457</v>
      </c>
    </row>
    <row r="107" spans="1:17" ht="45" x14ac:dyDescent="0.25">
      <c r="A107" s="2" t="s">
        <v>1458</v>
      </c>
      <c r="B107" s="2" t="s">
        <v>30</v>
      </c>
      <c r="C107" s="2" t="s">
        <v>35</v>
      </c>
      <c r="D107" s="2" t="s">
        <v>1028</v>
      </c>
      <c r="E107" s="2" t="s">
        <v>1459</v>
      </c>
      <c r="F107" s="115">
        <v>12</v>
      </c>
      <c r="G107" s="2" t="s">
        <v>1139</v>
      </c>
      <c r="H107" s="2">
        <v>4</v>
      </c>
      <c r="I107" s="2" t="s">
        <v>1464</v>
      </c>
      <c r="J107" s="2" t="s">
        <v>1079</v>
      </c>
      <c r="K107" s="111">
        <v>10</v>
      </c>
      <c r="L107" s="111">
        <v>1.2</v>
      </c>
      <c r="M107" s="111">
        <v>1.7999999999999998</v>
      </c>
      <c r="N107" s="2" t="s">
        <v>1465</v>
      </c>
      <c r="O107" s="2" t="s">
        <v>1466</v>
      </c>
      <c r="P107" s="2" t="s">
        <v>1467</v>
      </c>
      <c r="Q107" s="2" t="s">
        <v>1023</v>
      </c>
    </row>
    <row r="108" spans="1:17" ht="60" x14ac:dyDescent="0.25">
      <c r="A108" s="2" t="s">
        <v>1468</v>
      </c>
      <c r="B108" s="2" t="s">
        <v>30</v>
      </c>
      <c r="C108" s="2" t="s">
        <v>35</v>
      </c>
      <c r="D108" s="2" t="s">
        <v>1028</v>
      </c>
      <c r="E108" s="2" t="s">
        <v>1469</v>
      </c>
      <c r="F108" s="115">
        <v>12</v>
      </c>
      <c r="G108" s="2" t="s">
        <v>1139</v>
      </c>
      <c r="H108" s="2">
        <v>5</v>
      </c>
      <c r="I108" s="2" t="s">
        <v>1464</v>
      </c>
      <c r="J108" s="2" t="s">
        <v>1079</v>
      </c>
      <c r="K108" s="111">
        <v>10</v>
      </c>
      <c r="L108" s="111">
        <v>1.2</v>
      </c>
      <c r="M108" s="111">
        <v>1.7999999999999998</v>
      </c>
      <c r="N108" s="2" t="s">
        <v>1465</v>
      </c>
      <c r="O108" s="2" t="s">
        <v>1479</v>
      </c>
      <c r="P108" s="2" t="s">
        <v>1467</v>
      </c>
      <c r="Q108" s="2" t="s">
        <v>1023</v>
      </c>
    </row>
    <row r="109" spans="1:17" ht="45" x14ac:dyDescent="0.25">
      <c r="A109" s="2" t="s">
        <v>1480</v>
      </c>
      <c r="B109" s="2" t="s">
        <v>30</v>
      </c>
      <c r="C109" s="2" t="s">
        <v>35</v>
      </c>
      <c r="D109" s="2" t="s">
        <v>1028</v>
      </c>
      <c r="E109" s="2" t="s">
        <v>1481</v>
      </c>
      <c r="F109" s="115">
        <v>8</v>
      </c>
      <c r="G109" s="2" t="s">
        <v>1050</v>
      </c>
      <c r="H109" s="2">
        <v>31</v>
      </c>
      <c r="I109" s="2" t="s">
        <v>1286</v>
      </c>
      <c r="J109" s="2" t="s">
        <v>1079</v>
      </c>
      <c r="K109" s="111">
        <v>10</v>
      </c>
      <c r="L109" s="111">
        <v>0.8</v>
      </c>
      <c r="M109" s="111">
        <v>1.2000000000000002</v>
      </c>
      <c r="N109" s="2" t="s">
        <v>1465</v>
      </c>
      <c r="O109" s="2" t="s">
        <v>1288</v>
      </c>
      <c r="P109" s="2" t="s">
        <v>1289</v>
      </c>
      <c r="Q109" s="2" t="s">
        <v>1023</v>
      </c>
    </row>
    <row r="110" spans="1:17" ht="45" x14ac:dyDescent="0.25">
      <c r="A110" s="2" t="s">
        <v>1485</v>
      </c>
      <c r="B110" s="2" t="s">
        <v>30</v>
      </c>
      <c r="C110" s="2" t="s">
        <v>35</v>
      </c>
      <c r="D110" s="2" t="s">
        <v>1028</v>
      </c>
      <c r="E110" s="2" t="s">
        <v>1486</v>
      </c>
      <c r="F110" s="115">
        <v>6</v>
      </c>
      <c r="G110" s="2" t="s">
        <v>1139</v>
      </c>
      <c r="H110" s="2">
        <v>6</v>
      </c>
      <c r="I110" s="2" t="s">
        <v>1464</v>
      </c>
      <c r="J110" s="2" t="s">
        <v>1079</v>
      </c>
      <c r="K110" s="111">
        <v>10</v>
      </c>
      <c r="L110" s="111">
        <v>0.6</v>
      </c>
      <c r="M110" s="111">
        <v>0.89999999999999991</v>
      </c>
      <c r="N110" s="2" t="s">
        <v>1465</v>
      </c>
      <c r="O110" s="2" t="s">
        <v>1493</v>
      </c>
      <c r="P110" s="2" t="s">
        <v>1467</v>
      </c>
      <c r="Q110" s="2" t="s">
        <v>1023</v>
      </c>
    </row>
    <row r="111" spans="1:17" ht="45" x14ac:dyDescent="0.25">
      <c r="A111" s="2" t="s">
        <v>1494</v>
      </c>
      <c r="B111" s="2" t="s">
        <v>30</v>
      </c>
      <c r="C111" s="2" t="s">
        <v>35</v>
      </c>
      <c r="D111" s="2" t="s">
        <v>1028</v>
      </c>
      <c r="E111" s="2" t="s">
        <v>1495</v>
      </c>
      <c r="F111" s="115">
        <v>12</v>
      </c>
      <c r="G111" s="2" t="s">
        <v>1050</v>
      </c>
      <c r="H111" s="2">
        <v>32</v>
      </c>
      <c r="I111" s="2" t="s">
        <v>1286</v>
      </c>
      <c r="J111" s="2" t="s">
        <v>1079</v>
      </c>
      <c r="K111" s="111">
        <v>10</v>
      </c>
      <c r="L111" s="111">
        <v>1.2</v>
      </c>
      <c r="M111" s="111">
        <v>1.7999999999999998</v>
      </c>
      <c r="N111" s="2" t="s">
        <v>1465</v>
      </c>
      <c r="O111" s="2" t="s">
        <v>1288</v>
      </c>
      <c r="P111" s="2" t="s">
        <v>1289</v>
      </c>
      <c r="Q111" s="2" t="s">
        <v>1023</v>
      </c>
    </row>
    <row r="112" spans="1:17" ht="45" x14ac:dyDescent="0.25">
      <c r="A112" s="2" t="s">
        <v>1498</v>
      </c>
      <c r="B112" s="2" t="s">
        <v>30</v>
      </c>
      <c r="C112" s="2" t="s">
        <v>35</v>
      </c>
      <c r="D112" s="2" t="s">
        <v>1028</v>
      </c>
      <c r="E112" s="2" t="s">
        <v>1499</v>
      </c>
      <c r="F112" s="115">
        <v>12</v>
      </c>
      <c r="G112" s="2" t="s">
        <v>1050</v>
      </c>
      <c r="H112" s="2">
        <v>33</v>
      </c>
      <c r="I112" s="2" t="s">
        <v>1286</v>
      </c>
      <c r="J112" s="2" t="s">
        <v>1265</v>
      </c>
      <c r="K112" s="111">
        <v>6</v>
      </c>
      <c r="L112" s="111">
        <v>2</v>
      </c>
      <c r="M112" s="111">
        <v>3.2</v>
      </c>
      <c r="N112" s="2" t="s">
        <v>1465</v>
      </c>
      <c r="O112" s="2" t="s">
        <v>1288</v>
      </c>
      <c r="P112" s="2" t="s">
        <v>1289</v>
      </c>
      <c r="Q112" s="2" t="s">
        <v>1023</v>
      </c>
    </row>
    <row r="113" spans="1:17" ht="60" x14ac:dyDescent="0.25">
      <c r="A113" s="2" t="s">
        <v>1503</v>
      </c>
      <c r="B113" s="2" t="s">
        <v>30</v>
      </c>
      <c r="C113" s="2" t="s">
        <v>35</v>
      </c>
      <c r="D113" s="2" t="s">
        <v>1028</v>
      </c>
      <c r="E113" s="2" t="s">
        <v>1504</v>
      </c>
      <c r="F113" s="115">
        <v>12</v>
      </c>
      <c r="G113" s="2" t="s">
        <v>1050</v>
      </c>
      <c r="H113" s="2">
        <v>29</v>
      </c>
      <c r="I113" s="2" t="s">
        <v>1286</v>
      </c>
      <c r="J113" s="2" t="s">
        <v>1294</v>
      </c>
      <c r="K113" s="111">
        <v>8</v>
      </c>
      <c r="L113" s="111">
        <v>1.5</v>
      </c>
      <c r="M113" s="111">
        <v>2.3250000000000002</v>
      </c>
      <c r="N113" s="2" t="s">
        <v>1465</v>
      </c>
      <c r="O113" s="2" t="s">
        <v>1513</v>
      </c>
      <c r="P113" s="2" t="s">
        <v>1289</v>
      </c>
      <c r="Q113" s="2" t="s">
        <v>1457</v>
      </c>
    </row>
    <row r="114" spans="1:17" ht="45" x14ac:dyDescent="0.25">
      <c r="A114" s="2" t="s">
        <v>210</v>
      </c>
      <c r="B114" s="2" t="s">
        <v>30</v>
      </c>
      <c r="C114" s="2" t="s">
        <v>35</v>
      </c>
      <c r="D114" s="2" t="s">
        <v>1028</v>
      </c>
      <c r="E114" s="2" t="s">
        <v>1514</v>
      </c>
      <c r="F114" s="115">
        <v>8</v>
      </c>
      <c r="G114" s="2" t="s">
        <v>1050</v>
      </c>
      <c r="H114" s="2">
        <v>34</v>
      </c>
      <c r="I114" s="2" t="s">
        <v>1286</v>
      </c>
      <c r="J114" s="2" t="s">
        <v>1079</v>
      </c>
      <c r="K114" s="111">
        <v>10</v>
      </c>
      <c r="L114" s="111">
        <v>0.8</v>
      </c>
      <c r="M114" s="111">
        <v>1.2000000000000002</v>
      </c>
      <c r="N114" s="2" t="s">
        <v>1465</v>
      </c>
      <c r="O114" s="2" t="s">
        <v>1288</v>
      </c>
      <c r="P114" s="2" t="s">
        <v>1289</v>
      </c>
      <c r="Q114" s="2" t="s">
        <v>1023</v>
      </c>
    </row>
    <row r="115" spans="1:17" ht="60" x14ac:dyDescent="0.25">
      <c r="A115" s="2" t="s">
        <v>1519</v>
      </c>
      <c r="B115" s="2" t="s">
        <v>30</v>
      </c>
      <c r="C115" s="2" t="s">
        <v>35</v>
      </c>
      <c r="D115" s="2" t="s">
        <v>1028</v>
      </c>
      <c r="E115" s="2" t="s">
        <v>1520</v>
      </c>
      <c r="F115" s="115">
        <v>6</v>
      </c>
      <c r="G115" s="2" t="s">
        <v>1050</v>
      </c>
      <c r="H115" s="2">
        <v>30</v>
      </c>
      <c r="I115" s="2" t="s">
        <v>1286</v>
      </c>
      <c r="J115" s="2" t="s">
        <v>1079</v>
      </c>
      <c r="K115" s="111">
        <v>10</v>
      </c>
      <c r="L115" s="111">
        <v>0.6</v>
      </c>
      <c r="M115" s="111">
        <v>0.89999999999999991</v>
      </c>
      <c r="N115" s="2" t="s">
        <v>1465</v>
      </c>
      <c r="O115" s="2" t="s">
        <v>1524</v>
      </c>
      <c r="P115" s="2" t="s">
        <v>1289</v>
      </c>
      <c r="Q115" s="2" t="s">
        <v>1457</v>
      </c>
    </row>
    <row r="116" spans="1:17" ht="45" x14ac:dyDescent="0.25">
      <c r="A116" s="2" t="s">
        <v>1525</v>
      </c>
      <c r="B116" s="2" t="s">
        <v>30</v>
      </c>
      <c r="C116" s="2" t="s">
        <v>35</v>
      </c>
      <c r="D116" s="2" t="s">
        <v>1028</v>
      </c>
      <c r="E116" s="2" t="s">
        <v>1526</v>
      </c>
      <c r="F116" s="115">
        <v>4</v>
      </c>
      <c r="G116" s="2" t="s">
        <v>1050</v>
      </c>
      <c r="H116" s="2">
        <v>35</v>
      </c>
      <c r="I116" s="2" t="s">
        <v>1286</v>
      </c>
      <c r="J116" s="2" t="s">
        <v>1294</v>
      </c>
      <c r="K116" s="111">
        <v>8</v>
      </c>
      <c r="L116" s="111">
        <v>0.5</v>
      </c>
      <c r="M116" s="111">
        <v>0.77500000000000002</v>
      </c>
      <c r="N116" s="2" t="s">
        <v>1465</v>
      </c>
      <c r="O116" s="2" t="s">
        <v>1288</v>
      </c>
      <c r="P116" s="2" t="s">
        <v>1289</v>
      </c>
      <c r="Q116" s="2" t="s">
        <v>1023</v>
      </c>
    </row>
    <row r="117" spans="1:17" ht="45" x14ac:dyDescent="0.25">
      <c r="A117" s="2" t="s">
        <v>1529</v>
      </c>
      <c r="B117" s="2" t="s">
        <v>30</v>
      </c>
      <c r="C117" s="2" t="s">
        <v>35</v>
      </c>
      <c r="D117" s="2" t="s">
        <v>1028</v>
      </c>
      <c r="E117" s="2" t="s">
        <v>3043</v>
      </c>
      <c r="F117" s="115">
        <v>8</v>
      </c>
      <c r="G117" s="2" t="s">
        <v>1050</v>
      </c>
      <c r="H117" s="2">
        <v>36</v>
      </c>
      <c r="I117" s="2" t="s">
        <v>1286</v>
      </c>
      <c r="J117" s="2" t="s">
        <v>1079</v>
      </c>
      <c r="K117" s="111">
        <v>10</v>
      </c>
      <c r="L117" s="111">
        <v>0.8</v>
      </c>
      <c r="M117" s="111">
        <v>1.2000000000000002</v>
      </c>
      <c r="N117" s="2" t="s">
        <v>1465</v>
      </c>
      <c r="O117" s="2" t="s">
        <v>1288</v>
      </c>
      <c r="P117" s="2" t="s">
        <v>1289</v>
      </c>
      <c r="Q117" s="2" t="s">
        <v>1023</v>
      </c>
    </row>
    <row r="118" spans="1:17" ht="45" x14ac:dyDescent="0.25">
      <c r="A118" s="2" t="s">
        <v>1536</v>
      </c>
      <c r="B118" s="2" t="s">
        <v>30</v>
      </c>
      <c r="C118" s="2" t="s">
        <v>35</v>
      </c>
      <c r="D118" s="2" t="s">
        <v>1028</v>
      </c>
      <c r="E118" s="2" t="s">
        <v>1537</v>
      </c>
      <c r="F118" s="115">
        <v>6</v>
      </c>
      <c r="G118" s="2" t="s">
        <v>1050</v>
      </c>
      <c r="H118" s="2">
        <v>37</v>
      </c>
      <c r="I118" s="2" t="s">
        <v>1286</v>
      </c>
      <c r="J118" s="2" t="s">
        <v>1079</v>
      </c>
      <c r="K118" s="111">
        <v>10</v>
      </c>
      <c r="L118" s="111">
        <v>0.6</v>
      </c>
      <c r="M118" s="111">
        <v>0.89999999999999991</v>
      </c>
      <c r="N118" s="2" t="s">
        <v>1465</v>
      </c>
      <c r="O118" s="2" t="s">
        <v>1288</v>
      </c>
      <c r="P118" s="2" t="s">
        <v>1289</v>
      </c>
      <c r="Q118" s="2" t="s">
        <v>1023</v>
      </c>
    </row>
    <row r="119" spans="1:17" ht="45" x14ac:dyDescent="0.25">
      <c r="A119" s="2" t="s">
        <v>1540</v>
      </c>
      <c r="B119" s="2" t="s">
        <v>30</v>
      </c>
      <c r="C119" s="2" t="s">
        <v>38</v>
      </c>
      <c r="D119" s="2" t="s">
        <v>1028</v>
      </c>
      <c r="E119" s="2" t="s">
        <v>1541</v>
      </c>
      <c r="F119" s="115">
        <v>12</v>
      </c>
      <c r="G119" s="2" t="s">
        <v>1050</v>
      </c>
      <c r="H119" s="2">
        <v>39</v>
      </c>
      <c r="I119" s="2" t="s">
        <v>1286</v>
      </c>
      <c r="J119" s="2" t="s">
        <v>1079</v>
      </c>
      <c r="K119" s="111">
        <v>10</v>
      </c>
      <c r="L119" s="111">
        <v>1.2</v>
      </c>
      <c r="M119" s="111">
        <v>1.7999999999999998</v>
      </c>
      <c r="N119" s="2" t="s">
        <v>1545</v>
      </c>
      <c r="O119" s="2" t="s">
        <v>1288</v>
      </c>
      <c r="P119" s="2" t="s">
        <v>1289</v>
      </c>
      <c r="Q119" s="2" t="s">
        <v>1023</v>
      </c>
    </row>
    <row r="120" spans="1:17" ht="45" x14ac:dyDescent="0.25">
      <c r="A120" s="2" t="s">
        <v>1546</v>
      </c>
      <c r="B120" s="2" t="s">
        <v>30</v>
      </c>
      <c r="C120" s="2" t="s">
        <v>38</v>
      </c>
      <c r="D120" s="2" t="s">
        <v>1028</v>
      </c>
      <c r="E120" s="2" t="s">
        <v>1547</v>
      </c>
      <c r="F120" s="115">
        <v>12</v>
      </c>
      <c r="G120" s="2" t="s">
        <v>1050</v>
      </c>
      <c r="H120" s="2">
        <v>40</v>
      </c>
      <c r="I120" s="2" t="s">
        <v>1286</v>
      </c>
      <c r="J120" s="2" t="s">
        <v>1079</v>
      </c>
      <c r="K120" s="111">
        <v>10</v>
      </c>
      <c r="L120" s="111">
        <v>1.2</v>
      </c>
      <c r="M120" s="111">
        <v>1.7999999999999998</v>
      </c>
      <c r="N120" s="2" t="s">
        <v>1545</v>
      </c>
      <c r="O120" s="2" t="s">
        <v>1288</v>
      </c>
      <c r="P120" s="2" t="s">
        <v>1289</v>
      </c>
      <c r="Q120" s="2" t="s">
        <v>1023</v>
      </c>
    </row>
    <row r="121" spans="1:17" ht="45" x14ac:dyDescent="0.25">
      <c r="A121" s="2" t="s">
        <v>1551</v>
      </c>
      <c r="B121" s="2" t="s">
        <v>30</v>
      </c>
      <c r="C121" s="2" t="s">
        <v>38</v>
      </c>
      <c r="D121" s="2" t="s">
        <v>1028</v>
      </c>
      <c r="E121" s="2" t="s">
        <v>1552</v>
      </c>
      <c r="F121" s="115">
        <v>12</v>
      </c>
      <c r="G121" s="2" t="s">
        <v>1017</v>
      </c>
      <c r="H121" s="2">
        <v>20</v>
      </c>
      <c r="I121" s="2" t="s">
        <v>1403</v>
      </c>
      <c r="J121" s="2" t="s">
        <v>1029</v>
      </c>
      <c r="K121" s="111">
        <v>9</v>
      </c>
      <c r="L121" s="111">
        <v>1.3333333333333333</v>
      </c>
      <c r="M121" s="111">
        <v>2</v>
      </c>
      <c r="N121" s="2" t="s">
        <v>1545</v>
      </c>
      <c r="O121" s="2" t="s">
        <v>1288</v>
      </c>
      <c r="P121" s="2" t="s">
        <v>1405</v>
      </c>
      <c r="Q121" s="2" t="s">
        <v>1023</v>
      </c>
    </row>
    <row r="122" spans="1:17" ht="45" x14ac:dyDescent="0.25">
      <c r="A122" s="2" t="s">
        <v>1555</v>
      </c>
      <c r="B122" s="2" t="s">
        <v>30</v>
      </c>
      <c r="C122" s="2" t="s">
        <v>38</v>
      </c>
      <c r="D122" s="2" t="s">
        <v>1028</v>
      </c>
      <c r="E122" s="2" t="s">
        <v>1556</v>
      </c>
      <c r="F122" s="115">
        <v>12</v>
      </c>
      <c r="G122" s="2" t="s">
        <v>1050</v>
      </c>
      <c r="H122" s="2">
        <v>41</v>
      </c>
      <c r="I122" s="2" t="s">
        <v>1286</v>
      </c>
      <c r="J122" s="2" t="s">
        <v>1079</v>
      </c>
      <c r="K122" s="111">
        <v>10</v>
      </c>
      <c r="L122" s="111">
        <v>1.2</v>
      </c>
      <c r="M122" s="111">
        <v>1.7999999999999998</v>
      </c>
      <c r="N122" s="2" t="s">
        <v>1545</v>
      </c>
      <c r="O122" s="2" t="s">
        <v>1564</v>
      </c>
      <c r="P122" s="2" t="s">
        <v>1289</v>
      </c>
      <c r="Q122" s="2" t="s">
        <v>1023</v>
      </c>
    </row>
    <row r="123" spans="1:17" ht="60" x14ac:dyDescent="0.25">
      <c r="A123" s="2" t="s">
        <v>1565</v>
      </c>
      <c r="B123" s="2" t="s">
        <v>30</v>
      </c>
      <c r="C123" s="2" t="s">
        <v>38</v>
      </c>
      <c r="D123" s="2" t="s">
        <v>1028</v>
      </c>
      <c r="E123" s="2" t="s">
        <v>3044</v>
      </c>
      <c r="F123" s="115">
        <v>12</v>
      </c>
      <c r="G123" s="2" t="s">
        <v>1050</v>
      </c>
      <c r="H123" s="2">
        <v>42</v>
      </c>
      <c r="I123" s="2" t="s">
        <v>1286</v>
      </c>
      <c r="J123" s="2" t="s">
        <v>1265</v>
      </c>
      <c r="K123" s="111">
        <v>6</v>
      </c>
      <c r="L123" s="111">
        <v>2</v>
      </c>
      <c r="M123" s="111">
        <v>3.2</v>
      </c>
      <c r="N123" s="2" t="s">
        <v>1545</v>
      </c>
      <c r="O123" s="2" t="s">
        <v>1575</v>
      </c>
      <c r="P123" s="2" t="s">
        <v>1289</v>
      </c>
      <c r="Q123" s="2" t="s">
        <v>1023</v>
      </c>
    </row>
    <row r="124" spans="1:17" ht="45" x14ac:dyDescent="0.25">
      <c r="A124" s="2" t="s">
        <v>1576</v>
      </c>
      <c r="B124" s="2" t="s">
        <v>30</v>
      </c>
      <c r="C124" s="2" t="s">
        <v>38</v>
      </c>
      <c r="D124" s="2" t="s">
        <v>1028</v>
      </c>
      <c r="E124" s="2" t="s">
        <v>1577</v>
      </c>
      <c r="F124" s="115">
        <v>12</v>
      </c>
      <c r="G124" s="2" t="s">
        <v>1050</v>
      </c>
      <c r="H124" s="2">
        <v>43</v>
      </c>
      <c r="I124" s="2" t="s">
        <v>1286</v>
      </c>
      <c r="J124" s="2" t="s">
        <v>1265</v>
      </c>
      <c r="K124" s="111">
        <v>6</v>
      </c>
      <c r="L124" s="111">
        <v>2</v>
      </c>
      <c r="M124" s="111">
        <v>3.2</v>
      </c>
      <c r="N124" s="2" t="s">
        <v>1545</v>
      </c>
      <c r="O124" s="2" t="s">
        <v>1288</v>
      </c>
      <c r="P124" s="2" t="s">
        <v>1289</v>
      </c>
      <c r="Q124" s="2" t="s">
        <v>1023</v>
      </c>
    </row>
    <row r="125" spans="1:17" ht="45" x14ac:dyDescent="0.25">
      <c r="A125" s="2" t="s">
        <v>1580</v>
      </c>
      <c r="B125" s="2" t="s">
        <v>30</v>
      </c>
      <c r="C125" s="2" t="s">
        <v>38</v>
      </c>
      <c r="D125" s="2" t="s">
        <v>1028</v>
      </c>
      <c r="E125" s="2" t="s">
        <v>1581</v>
      </c>
      <c r="F125" s="115">
        <v>12</v>
      </c>
      <c r="G125" s="2" t="s">
        <v>1050</v>
      </c>
      <c r="H125" s="2">
        <v>44</v>
      </c>
      <c r="I125" s="2" t="s">
        <v>1286</v>
      </c>
      <c r="J125" s="2" t="s">
        <v>1265</v>
      </c>
      <c r="K125" s="111">
        <v>6</v>
      </c>
      <c r="L125" s="111">
        <v>2</v>
      </c>
      <c r="M125" s="111">
        <v>3.2</v>
      </c>
      <c r="N125" s="2" t="s">
        <v>1545</v>
      </c>
      <c r="O125" s="2" t="s">
        <v>1288</v>
      </c>
      <c r="P125" s="2" t="s">
        <v>1289</v>
      </c>
      <c r="Q125" s="2" t="s">
        <v>1023</v>
      </c>
    </row>
    <row r="126" spans="1:17" ht="45" x14ac:dyDescent="0.25">
      <c r="A126" s="2" t="s">
        <v>1587</v>
      </c>
      <c r="B126" s="2" t="s">
        <v>30</v>
      </c>
      <c r="C126" s="2" t="s">
        <v>38</v>
      </c>
      <c r="D126" s="2" t="s">
        <v>1028</v>
      </c>
      <c r="E126" s="2" t="s">
        <v>1588</v>
      </c>
      <c r="F126" s="115">
        <v>12</v>
      </c>
      <c r="G126" s="2" t="s">
        <v>1050</v>
      </c>
      <c r="H126" s="2">
        <v>45</v>
      </c>
      <c r="I126" s="2" t="s">
        <v>1286</v>
      </c>
      <c r="J126" s="2" t="s">
        <v>1265</v>
      </c>
      <c r="K126" s="111">
        <v>6</v>
      </c>
      <c r="L126" s="111">
        <v>2</v>
      </c>
      <c r="M126" s="111">
        <v>3.2</v>
      </c>
      <c r="N126" s="2" t="s">
        <v>1545</v>
      </c>
      <c r="O126" s="2" t="s">
        <v>1288</v>
      </c>
      <c r="P126" s="2" t="s">
        <v>1289</v>
      </c>
      <c r="Q126" s="2" t="s">
        <v>1023</v>
      </c>
    </row>
    <row r="127" spans="1:17" ht="45" x14ac:dyDescent="0.25">
      <c r="A127" s="2" t="s">
        <v>1593</v>
      </c>
      <c r="B127" s="2" t="s">
        <v>30</v>
      </c>
      <c r="C127" s="2" t="s">
        <v>38</v>
      </c>
      <c r="D127" s="2" t="s">
        <v>1028</v>
      </c>
      <c r="E127" s="2" t="s">
        <v>1594</v>
      </c>
      <c r="F127" s="115">
        <v>12</v>
      </c>
      <c r="G127" s="2" t="s">
        <v>1050</v>
      </c>
      <c r="H127" s="2">
        <v>46</v>
      </c>
      <c r="I127" s="2" t="s">
        <v>1286</v>
      </c>
      <c r="J127" s="2" t="s">
        <v>1215</v>
      </c>
      <c r="K127" s="111">
        <v>18</v>
      </c>
      <c r="L127" s="111">
        <v>0.66666666666666663</v>
      </c>
      <c r="M127" s="111">
        <v>0.9</v>
      </c>
      <c r="N127" s="2" t="s">
        <v>1545</v>
      </c>
      <c r="O127" s="2" t="s">
        <v>1288</v>
      </c>
      <c r="P127" s="2" t="s">
        <v>1289</v>
      </c>
      <c r="Q127" s="2" t="s">
        <v>1023</v>
      </c>
    </row>
    <row r="128" spans="1:17" ht="60" x14ac:dyDescent="0.25">
      <c r="A128" s="2" t="s">
        <v>1598</v>
      </c>
      <c r="B128" s="2" t="s">
        <v>30</v>
      </c>
      <c r="C128" s="2" t="s">
        <v>38</v>
      </c>
      <c r="D128" s="2" t="s">
        <v>1028</v>
      </c>
      <c r="E128" s="2" t="s">
        <v>1599</v>
      </c>
      <c r="F128" s="115">
        <v>12</v>
      </c>
      <c r="G128" s="2" t="s">
        <v>1017</v>
      </c>
      <c r="H128" s="2">
        <v>25</v>
      </c>
      <c r="I128" s="2" t="s">
        <v>1403</v>
      </c>
      <c r="J128" s="2" t="s">
        <v>1227</v>
      </c>
      <c r="K128" s="111">
        <v>5</v>
      </c>
      <c r="L128" s="111">
        <v>2.4</v>
      </c>
      <c r="M128" s="111">
        <v>4.08</v>
      </c>
      <c r="N128" s="2" t="s">
        <v>1545</v>
      </c>
      <c r="O128" s="2" t="s">
        <v>1606</v>
      </c>
      <c r="P128" s="2" t="s">
        <v>1405</v>
      </c>
      <c r="Q128" s="2" t="s">
        <v>1607</v>
      </c>
    </row>
    <row r="129" spans="1:17" ht="45" x14ac:dyDescent="0.25">
      <c r="A129" s="2" t="s">
        <v>423</v>
      </c>
      <c r="B129" s="2" t="s">
        <v>41</v>
      </c>
      <c r="C129" s="2" t="s">
        <v>47</v>
      </c>
      <c r="D129" s="2" t="s">
        <v>1028</v>
      </c>
      <c r="E129" s="2" t="s">
        <v>424</v>
      </c>
      <c r="F129" s="115">
        <v>10</v>
      </c>
      <c r="G129" s="2" t="s">
        <v>1139</v>
      </c>
      <c r="H129" s="2">
        <v>9</v>
      </c>
      <c r="I129" s="2" t="s">
        <v>1615</v>
      </c>
      <c r="J129" s="2" t="s">
        <v>1616</v>
      </c>
      <c r="K129" s="111">
        <v>10</v>
      </c>
      <c r="L129" s="111">
        <v>1</v>
      </c>
      <c r="M129" s="111">
        <v>1.5</v>
      </c>
      <c r="N129" s="2" t="s">
        <v>1617</v>
      </c>
      <c r="O129" s="2" t="s">
        <v>1618</v>
      </c>
      <c r="P129" s="2" t="s">
        <v>1619</v>
      </c>
      <c r="Q129" s="2" t="s">
        <v>1023</v>
      </c>
    </row>
    <row r="130" spans="1:17" ht="45" x14ac:dyDescent="0.25">
      <c r="A130" s="2" t="s">
        <v>432</v>
      </c>
      <c r="B130" s="2" t="s">
        <v>41</v>
      </c>
      <c r="C130" s="2" t="s">
        <v>47</v>
      </c>
      <c r="D130" s="2" t="s">
        <v>1028</v>
      </c>
      <c r="E130" s="2" t="s">
        <v>433</v>
      </c>
      <c r="F130" s="115">
        <v>12</v>
      </c>
      <c r="G130" s="2" t="s">
        <v>1139</v>
      </c>
      <c r="H130" s="2">
        <v>10</v>
      </c>
      <c r="I130" s="2" t="s">
        <v>1615</v>
      </c>
      <c r="J130" s="2" t="s">
        <v>1616</v>
      </c>
      <c r="K130" s="111">
        <v>10</v>
      </c>
      <c r="L130" s="111">
        <v>1.2</v>
      </c>
      <c r="M130" s="111">
        <v>1.7999999999999998</v>
      </c>
      <c r="N130" s="2" t="s">
        <v>1617</v>
      </c>
      <c r="O130" s="2" t="s">
        <v>1622</v>
      </c>
      <c r="P130" s="2" t="s">
        <v>1619</v>
      </c>
      <c r="Q130" s="2" t="s">
        <v>1023</v>
      </c>
    </row>
    <row r="131" spans="1:17" ht="45" x14ac:dyDescent="0.25">
      <c r="A131" s="2" t="s">
        <v>435</v>
      </c>
      <c r="B131" s="2" t="s">
        <v>41</v>
      </c>
      <c r="C131" s="2" t="s">
        <v>47</v>
      </c>
      <c r="D131" s="2" t="s">
        <v>1028</v>
      </c>
      <c r="E131" s="2" t="s">
        <v>436</v>
      </c>
      <c r="F131" s="115">
        <v>12</v>
      </c>
      <c r="G131" s="2" t="s">
        <v>1139</v>
      </c>
      <c r="H131" s="2">
        <v>11</v>
      </c>
      <c r="I131" s="2" t="s">
        <v>1615</v>
      </c>
      <c r="J131" s="2" t="s">
        <v>1616</v>
      </c>
      <c r="K131" s="111">
        <v>10</v>
      </c>
      <c r="L131" s="111">
        <v>1.2</v>
      </c>
      <c r="M131" s="111">
        <v>1.7999999999999998</v>
      </c>
      <c r="N131" s="2" t="s">
        <v>1617</v>
      </c>
      <c r="O131" s="2" t="s">
        <v>1622</v>
      </c>
      <c r="P131" s="2" t="s">
        <v>1619</v>
      </c>
      <c r="Q131" s="2" t="s">
        <v>1023</v>
      </c>
    </row>
    <row r="132" spans="1:17" ht="45" x14ac:dyDescent="0.25">
      <c r="A132" s="2" t="s">
        <v>437</v>
      </c>
      <c r="B132" s="2" t="s">
        <v>41</v>
      </c>
      <c r="C132" s="2" t="s">
        <v>47</v>
      </c>
      <c r="D132" s="2" t="s">
        <v>1028</v>
      </c>
      <c r="E132" s="2" t="s">
        <v>438</v>
      </c>
      <c r="F132" s="115">
        <v>12</v>
      </c>
      <c r="G132" s="2" t="s">
        <v>1139</v>
      </c>
      <c r="H132" s="2">
        <v>12</v>
      </c>
      <c r="I132" s="2" t="s">
        <v>1615</v>
      </c>
      <c r="J132" s="2" t="s">
        <v>1616</v>
      </c>
      <c r="K132" s="111">
        <v>10</v>
      </c>
      <c r="L132" s="111">
        <v>1.2</v>
      </c>
      <c r="M132" s="111">
        <v>1.7999999999999998</v>
      </c>
      <c r="N132" s="2" t="s">
        <v>1617</v>
      </c>
      <c r="O132" s="2" t="s">
        <v>439</v>
      </c>
      <c r="P132" s="2" t="s">
        <v>1619</v>
      </c>
      <c r="Q132" s="2" t="s">
        <v>1023</v>
      </c>
    </row>
    <row r="133" spans="1:17" ht="45" x14ac:dyDescent="0.25">
      <c r="A133" s="2" t="s">
        <v>440</v>
      </c>
      <c r="B133" s="2" t="s">
        <v>41</v>
      </c>
      <c r="C133" s="2" t="s">
        <v>47</v>
      </c>
      <c r="D133" s="2" t="s">
        <v>1028</v>
      </c>
      <c r="E133" s="2" t="s">
        <v>441</v>
      </c>
      <c r="F133" s="115">
        <v>12</v>
      </c>
      <c r="G133" s="2" t="s">
        <v>1139</v>
      </c>
      <c r="H133" s="2">
        <v>13</v>
      </c>
      <c r="I133" s="2" t="s">
        <v>1615</v>
      </c>
      <c r="J133" s="2" t="s">
        <v>1616</v>
      </c>
      <c r="K133" s="111">
        <v>10</v>
      </c>
      <c r="L133" s="111">
        <v>1.2</v>
      </c>
      <c r="M133" s="111">
        <v>1.7999999999999998</v>
      </c>
      <c r="N133" s="2" t="s">
        <v>1617</v>
      </c>
      <c r="O133" s="2" t="s">
        <v>437</v>
      </c>
      <c r="P133" s="2" t="s">
        <v>1619</v>
      </c>
      <c r="Q133" s="2" t="s">
        <v>1023</v>
      </c>
    </row>
    <row r="134" spans="1:17" ht="45" x14ac:dyDescent="0.25">
      <c r="A134" s="2" t="s">
        <v>451</v>
      </c>
      <c r="B134" s="2" t="s">
        <v>41</v>
      </c>
      <c r="C134" s="2" t="s">
        <v>49</v>
      </c>
      <c r="D134" s="2" t="s">
        <v>1028</v>
      </c>
      <c r="E134" s="2" t="s">
        <v>452</v>
      </c>
      <c r="F134" s="115">
        <v>12</v>
      </c>
      <c r="G134" s="2" t="s">
        <v>1139</v>
      </c>
      <c r="H134" s="2">
        <v>14</v>
      </c>
      <c r="I134" s="2" t="s">
        <v>1615</v>
      </c>
      <c r="J134" s="2" t="s">
        <v>1616</v>
      </c>
      <c r="K134" s="111">
        <v>10</v>
      </c>
      <c r="L134" s="111">
        <v>1.2</v>
      </c>
      <c r="M134" s="111">
        <v>1.7999999999999998</v>
      </c>
      <c r="N134" s="2" t="s">
        <v>1617</v>
      </c>
      <c r="O134" s="2" t="s">
        <v>453</v>
      </c>
      <c r="P134" s="2" t="s">
        <v>1619</v>
      </c>
      <c r="Q134" s="2" t="s">
        <v>1023</v>
      </c>
    </row>
    <row r="135" spans="1:17" ht="45" x14ac:dyDescent="0.25">
      <c r="A135" s="2" t="s">
        <v>454</v>
      </c>
      <c r="B135" s="2" t="s">
        <v>41</v>
      </c>
      <c r="C135" s="2" t="s">
        <v>49</v>
      </c>
      <c r="D135" s="2" t="s">
        <v>1028</v>
      </c>
      <c r="E135" s="2" t="s">
        <v>455</v>
      </c>
      <c r="F135" s="115">
        <v>12</v>
      </c>
      <c r="G135" s="2" t="s">
        <v>1139</v>
      </c>
      <c r="H135" s="2">
        <v>15</v>
      </c>
      <c r="I135" s="2" t="s">
        <v>1615</v>
      </c>
      <c r="J135" s="2" t="s">
        <v>1616</v>
      </c>
      <c r="K135" s="111">
        <v>10</v>
      </c>
      <c r="L135" s="111">
        <v>1.2</v>
      </c>
      <c r="M135" s="111">
        <v>1.7999999999999998</v>
      </c>
      <c r="N135" s="2" t="s">
        <v>1617</v>
      </c>
      <c r="O135" s="2" t="s">
        <v>1643</v>
      </c>
      <c r="P135" s="2" t="s">
        <v>1619</v>
      </c>
      <c r="Q135" s="2" t="s">
        <v>1023</v>
      </c>
    </row>
    <row r="136" spans="1:17" ht="45" x14ac:dyDescent="0.25">
      <c r="A136" s="2" t="s">
        <v>426</v>
      </c>
      <c r="B136" s="2" t="s">
        <v>41</v>
      </c>
      <c r="C136" s="2" t="s">
        <v>47</v>
      </c>
      <c r="D136" s="2" t="s">
        <v>1028</v>
      </c>
      <c r="E136" s="2" t="s">
        <v>427</v>
      </c>
      <c r="F136" s="115">
        <v>10</v>
      </c>
      <c r="G136" s="2" t="s">
        <v>1139</v>
      </c>
      <c r="H136" s="2">
        <v>16</v>
      </c>
      <c r="I136" s="2" t="s">
        <v>1615</v>
      </c>
      <c r="J136" s="2" t="s">
        <v>1294</v>
      </c>
      <c r="K136" s="111">
        <v>8</v>
      </c>
      <c r="L136" s="111">
        <v>1.25</v>
      </c>
      <c r="M136" s="111">
        <v>1.9375</v>
      </c>
      <c r="N136" s="2" t="s">
        <v>1617</v>
      </c>
      <c r="O136" s="2" t="s">
        <v>1650</v>
      </c>
      <c r="P136" s="2" t="s">
        <v>1619</v>
      </c>
      <c r="Q136" s="2" t="s">
        <v>1023</v>
      </c>
    </row>
    <row r="137" spans="1:17" ht="45" x14ac:dyDescent="0.25">
      <c r="A137" s="2" t="s">
        <v>457</v>
      </c>
      <c r="B137" s="2" t="s">
        <v>41</v>
      </c>
      <c r="C137" s="2" t="s">
        <v>49</v>
      </c>
      <c r="D137" s="2" t="s">
        <v>1028</v>
      </c>
      <c r="E137" s="2" t="s">
        <v>458</v>
      </c>
      <c r="F137" s="115">
        <v>10</v>
      </c>
      <c r="G137" s="2" t="s">
        <v>1139</v>
      </c>
      <c r="H137" s="2">
        <v>19</v>
      </c>
      <c r="I137" s="2" t="s">
        <v>1615</v>
      </c>
      <c r="J137" s="2" t="s">
        <v>1616</v>
      </c>
      <c r="K137" s="111">
        <v>10</v>
      </c>
      <c r="L137" s="111">
        <v>1</v>
      </c>
      <c r="M137" s="111">
        <v>1.5</v>
      </c>
      <c r="N137" s="2" t="s">
        <v>1653</v>
      </c>
      <c r="O137" s="2" t="s">
        <v>459</v>
      </c>
      <c r="P137" s="2" t="s">
        <v>1619</v>
      </c>
      <c r="Q137" s="2" t="s">
        <v>1023</v>
      </c>
    </row>
    <row r="138" spans="1:17" ht="30" x14ac:dyDescent="0.25">
      <c r="A138" s="2" t="s">
        <v>413</v>
      </c>
      <c r="B138" s="2" t="s">
        <v>41</v>
      </c>
      <c r="C138" s="2" t="s">
        <v>44</v>
      </c>
      <c r="D138" s="2" t="s">
        <v>768</v>
      </c>
      <c r="E138" s="2" t="s">
        <v>3045</v>
      </c>
      <c r="F138" s="115">
        <v>10</v>
      </c>
      <c r="G138" s="2" t="s">
        <v>171</v>
      </c>
      <c r="H138" s="2">
        <v>0</v>
      </c>
      <c r="I138" s="2" t="s">
        <v>782</v>
      </c>
      <c r="J138" s="2" t="s">
        <v>781</v>
      </c>
      <c r="K138" s="111">
        <v>0</v>
      </c>
      <c r="L138" s="111">
        <v>0</v>
      </c>
      <c r="M138" s="111">
        <v>0</v>
      </c>
      <c r="N138" s="2" t="s">
        <v>171</v>
      </c>
      <c r="O138" s="2" t="s">
        <v>783</v>
      </c>
      <c r="P138" s="2" t="s">
        <v>784</v>
      </c>
      <c r="Q138" s="2" t="s">
        <v>785</v>
      </c>
    </row>
    <row r="139" spans="1:17" ht="45" x14ac:dyDescent="0.25">
      <c r="A139" s="2" t="s">
        <v>507</v>
      </c>
      <c r="B139" s="2" t="s">
        <v>41</v>
      </c>
      <c r="C139" s="2" t="s">
        <v>55</v>
      </c>
      <c r="D139" s="2" t="s">
        <v>1028</v>
      </c>
      <c r="E139" s="2" t="s">
        <v>3046</v>
      </c>
      <c r="F139" s="115">
        <v>12</v>
      </c>
      <c r="G139" s="2" t="s">
        <v>1139</v>
      </c>
      <c r="H139" s="2">
        <v>35</v>
      </c>
      <c r="I139" s="2" t="s">
        <v>1615</v>
      </c>
      <c r="J139" s="2" t="s">
        <v>1616</v>
      </c>
      <c r="K139" s="111">
        <v>10</v>
      </c>
      <c r="L139" s="111">
        <v>1.2</v>
      </c>
      <c r="M139" s="111">
        <v>1.7999999999999998</v>
      </c>
      <c r="N139" s="2" t="s">
        <v>1665</v>
      </c>
      <c r="O139" s="2" t="s">
        <v>509</v>
      </c>
      <c r="P139" s="2" t="s">
        <v>1619</v>
      </c>
      <c r="Q139" s="2" t="s">
        <v>1023</v>
      </c>
    </row>
    <row r="140" spans="1:17" ht="45" x14ac:dyDescent="0.25">
      <c r="A140" s="2" t="s">
        <v>469</v>
      </c>
      <c r="B140" s="2" t="s">
        <v>41</v>
      </c>
      <c r="C140" s="2" t="s">
        <v>52</v>
      </c>
      <c r="D140" s="2" t="s">
        <v>1028</v>
      </c>
      <c r="E140" s="2" t="s">
        <v>470</v>
      </c>
      <c r="F140" s="115">
        <v>12</v>
      </c>
      <c r="G140" s="2" t="s">
        <v>1139</v>
      </c>
      <c r="H140" s="2">
        <v>23</v>
      </c>
      <c r="I140" s="2" t="s">
        <v>1615</v>
      </c>
      <c r="J140" s="2" t="s">
        <v>1616</v>
      </c>
      <c r="K140" s="111">
        <v>10</v>
      </c>
      <c r="L140" s="111">
        <v>1.2</v>
      </c>
      <c r="M140" s="111">
        <v>1.7999999999999998</v>
      </c>
      <c r="N140" s="2" t="s">
        <v>1669</v>
      </c>
      <c r="O140" s="2" t="s">
        <v>472</v>
      </c>
      <c r="P140" s="2" t="s">
        <v>1619</v>
      </c>
      <c r="Q140" s="2" t="s">
        <v>1023</v>
      </c>
    </row>
    <row r="141" spans="1:17" ht="45" x14ac:dyDescent="0.25">
      <c r="A141" s="2" t="s">
        <v>474</v>
      </c>
      <c r="B141" s="2" t="s">
        <v>41</v>
      </c>
      <c r="C141" s="2" t="s">
        <v>52</v>
      </c>
      <c r="D141" s="2" t="s">
        <v>1028</v>
      </c>
      <c r="E141" s="2" t="s">
        <v>475</v>
      </c>
      <c r="F141" s="115">
        <v>12</v>
      </c>
      <c r="G141" s="2" t="s">
        <v>1139</v>
      </c>
      <c r="H141" s="2">
        <v>24</v>
      </c>
      <c r="I141" s="2" t="s">
        <v>1615</v>
      </c>
      <c r="J141" s="2" t="s">
        <v>1616</v>
      </c>
      <c r="K141" s="111">
        <v>10</v>
      </c>
      <c r="L141" s="111">
        <v>1.2</v>
      </c>
      <c r="M141" s="111">
        <v>1.7999999999999998</v>
      </c>
      <c r="N141" s="2" t="s">
        <v>1669</v>
      </c>
      <c r="O141" s="2" t="s">
        <v>476</v>
      </c>
      <c r="P141" s="2" t="s">
        <v>1619</v>
      </c>
      <c r="Q141" s="2" t="s">
        <v>1023</v>
      </c>
    </row>
    <row r="142" spans="1:17" ht="45" x14ac:dyDescent="0.25">
      <c r="A142" s="2" t="s">
        <v>477</v>
      </c>
      <c r="B142" s="2" t="s">
        <v>41</v>
      </c>
      <c r="C142" s="2" t="s">
        <v>52</v>
      </c>
      <c r="D142" s="2" t="s">
        <v>1028</v>
      </c>
      <c r="E142" s="2" t="s">
        <v>478</v>
      </c>
      <c r="F142" s="115">
        <v>12</v>
      </c>
      <c r="G142" s="2" t="s">
        <v>1139</v>
      </c>
      <c r="H142" s="2">
        <v>25</v>
      </c>
      <c r="I142" s="2" t="s">
        <v>1615</v>
      </c>
      <c r="J142" s="2" t="s">
        <v>1616</v>
      </c>
      <c r="K142" s="111">
        <v>10</v>
      </c>
      <c r="L142" s="111">
        <v>1.2</v>
      </c>
      <c r="M142" s="111">
        <v>1.7999999999999998</v>
      </c>
      <c r="N142" s="2" t="s">
        <v>1669</v>
      </c>
      <c r="O142" s="2" t="s">
        <v>480</v>
      </c>
      <c r="P142" s="2" t="s">
        <v>1619</v>
      </c>
      <c r="Q142" s="2" t="s">
        <v>1023</v>
      </c>
    </row>
    <row r="143" spans="1:17" ht="45" x14ac:dyDescent="0.25">
      <c r="A143" s="2" t="s">
        <v>482</v>
      </c>
      <c r="B143" s="2" t="s">
        <v>41</v>
      </c>
      <c r="C143" s="2" t="s">
        <v>52</v>
      </c>
      <c r="D143" s="2" t="s">
        <v>1028</v>
      </c>
      <c r="E143" s="2" t="s">
        <v>483</v>
      </c>
      <c r="F143" s="115">
        <v>8</v>
      </c>
      <c r="G143" s="2" t="s">
        <v>1139</v>
      </c>
      <c r="H143" s="2">
        <v>26</v>
      </c>
      <c r="I143" s="2" t="s">
        <v>1615</v>
      </c>
      <c r="J143" s="2" t="s">
        <v>1616</v>
      </c>
      <c r="K143" s="111">
        <v>10</v>
      </c>
      <c r="L143" s="111">
        <v>0.8</v>
      </c>
      <c r="M143" s="111">
        <v>1.2000000000000002</v>
      </c>
      <c r="N143" s="2" t="s">
        <v>1669</v>
      </c>
      <c r="O143" s="2" t="s">
        <v>484</v>
      </c>
      <c r="P143" s="2" t="s">
        <v>1619</v>
      </c>
      <c r="Q143" s="2" t="s">
        <v>1023</v>
      </c>
    </row>
    <row r="144" spans="1:17" ht="45" x14ac:dyDescent="0.25">
      <c r="A144" s="2" t="s">
        <v>485</v>
      </c>
      <c r="B144" s="2" t="s">
        <v>41</v>
      </c>
      <c r="C144" s="2" t="s">
        <v>52</v>
      </c>
      <c r="D144" s="2" t="s">
        <v>1028</v>
      </c>
      <c r="E144" s="2" t="s">
        <v>486</v>
      </c>
      <c r="F144" s="115">
        <v>8</v>
      </c>
      <c r="G144" s="2" t="s">
        <v>1139</v>
      </c>
      <c r="H144" s="2">
        <v>27</v>
      </c>
      <c r="I144" s="2" t="s">
        <v>1615</v>
      </c>
      <c r="J144" s="2" t="s">
        <v>1616</v>
      </c>
      <c r="K144" s="111">
        <v>10</v>
      </c>
      <c r="L144" s="111">
        <v>0.8</v>
      </c>
      <c r="M144" s="111">
        <v>1.2000000000000002</v>
      </c>
      <c r="N144" s="2" t="s">
        <v>1669</v>
      </c>
      <c r="O144" s="2" t="s">
        <v>487</v>
      </c>
      <c r="P144" s="2" t="s">
        <v>1619</v>
      </c>
      <c r="Q144" s="2" t="s">
        <v>1023</v>
      </c>
    </row>
    <row r="145" spans="1:17" ht="45" x14ac:dyDescent="0.25">
      <c r="A145" s="2" t="s">
        <v>488</v>
      </c>
      <c r="B145" s="2" t="s">
        <v>41</v>
      </c>
      <c r="C145" s="2" t="s">
        <v>52</v>
      </c>
      <c r="D145" s="2" t="s">
        <v>1028</v>
      </c>
      <c r="E145" s="2" t="s">
        <v>489</v>
      </c>
      <c r="F145" s="115">
        <v>8</v>
      </c>
      <c r="G145" s="2" t="s">
        <v>1139</v>
      </c>
      <c r="H145" s="2">
        <v>28</v>
      </c>
      <c r="I145" s="2" t="s">
        <v>1615</v>
      </c>
      <c r="J145" s="2" t="s">
        <v>1616</v>
      </c>
      <c r="K145" s="111">
        <v>10</v>
      </c>
      <c r="L145" s="111">
        <v>0.8</v>
      </c>
      <c r="M145" s="111">
        <v>1.2000000000000002</v>
      </c>
      <c r="N145" s="2" t="s">
        <v>1669</v>
      </c>
      <c r="O145" s="2" t="s">
        <v>485</v>
      </c>
      <c r="P145" s="2" t="s">
        <v>1619</v>
      </c>
      <c r="Q145" s="2" t="s">
        <v>1023</v>
      </c>
    </row>
    <row r="146" spans="1:17" ht="45" x14ac:dyDescent="0.25">
      <c r="A146" s="2" t="s">
        <v>490</v>
      </c>
      <c r="B146" s="2" t="s">
        <v>41</v>
      </c>
      <c r="C146" s="2" t="s">
        <v>52</v>
      </c>
      <c r="D146" s="2" t="s">
        <v>1028</v>
      </c>
      <c r="E146" s="2" t="s">
        <v>491</v>
      </c>
      <c r="F146" s="115">
        <v>8</v>
      </c>
      <c r="G146" s="2" t="s">
        <v>1139</v>
      </c>
      <c r="H146" s="2">
        <v>29</v>
      </c>
      <c r="I146" s="2" t="s">
        <v>1615</v>
      </c>
      <c r="J146" s="2" t="s">
        <v>1616</v>
      </c>
      <c r="K146" s="111">
        <v>10</v>
      </c>
      <c r="L146" s="111">
        <v>0.8</v>
      </c>
      <c r="M146" s="111">
        <v>1.2000000000000002</v>
      </c>
      <c r="N146" s="2" t="s">
        <v>1669</v>
      </c>
      <c r="O146" s="2" t="s">
        <v>488</v>
      </c>
      <c r="P146" s="2" t="s">
        <v>1619</v>
      </c>
      <c r="Q146" s="2" t="s">
        <v>1023</v>
      </c>
    </row>
    <row r="147" spans="1:17" ht="45" x14ac:dyDescent="0.25">
      <c r="A147" s="2" t="s">
        <v>505</v>
      </c>
      <c r="B147" s="2" t="s">
        <v>41</v>
      </c>
      <c r="C147" s="2" t="s">
        <v>55</v>
      </c>
      <c r="D147" s="2" t="s">
        <v>1028</v>
      </c>
      <c r="E147" s="2" t="s">
        <v>506</v>
      </c>
      <c r="F147" s="115">
        <v>10</v>
      </c>
      <c r="G147" s="2" t="s">
        <v>1139</v>
      </c>
      <c r="H147" s="2">
        <v>34</v>
      </c>
      <c r="I147" s="2" t="s">
        <v>1615</v>
      </c>
      <c r="J147" s="2" t="s">
        <v>1616</v>
      </c>
      <c r="K147" s="111">
        <v>10</v>
      </c>
      <c r="L147" s="111">
        <v>1</v>
      </c>
      <c r="M147" s="111">
        <v>1.5</v>
      </c>
      <c r="N147" s="2" t="s">
        <v>1665</v>
      </c>
      <c r="O147" s="2" t="s">
        <v>1688</v>
      </c>
      <c r="P147" s="2" t="s">
        <v>1619</v>
      </c>
      <c r="Q147" s="2" t="s">
        <v>1023</v>
      </c>
    </row>
    <row r="148" spans="1:17" ht="45" x14ac:dyDescent="0.25">
      <c r="A148" s="2" t="s">
        <v>145</v>
      </c>
      <c r="B148" s="2" t="s">
        <v>41</v>
      </c>
      <c r="C148" s="2" t="s">
        <v>55</v>
      </c>
      <c r="D148" s="2" t="s">
        <v>1028</v>
      </c>
      <c r="E148" s="2" t="s">
        <v>501</v>
      </c>
      <c r="F148" s="115">
        <v>12</v>
      </c>
      <c r="G148" s="2" t="s">
        <v>1139</v>
      </c>
      <c r="H148" s="2">
        <v>33</v>
      </c>
      <c r="I148" s="2" t="s">
        <v>1615</v>
      </c>
      <c r="J148" s="2" t="s">
        <v>1616</v>
      </c>
      <c r="K148" s="111">
        <v>10</v>
      </c>
      <c r="L148" s="111">
        <v>1.2</v>
      </c>
      <c r="M148" s="111">
        <v>1.7999999999999998</v>
      </c>
      <c r="N148" s="2" t="s">
        <v>1665</v>
      </c>
      <c r="O148" s="2" t="s">
        <v>1699</v>
      </c>
      <c r="P148" s="2" t="s">
        <v>1619</v>
      </c>
      <c r="Q148" s="2" t="s">
        <v>1023</v>
      </c>
    </row>
    <row r="149" spans="1:17" ht="45" x14ac:dyDescent="0.25">
      <c r="A149" s="2" t="s">
        <v>1700</v>
      </c>
      <c r="B149" s="2" t="s">
        <v>41</v>
      </c>
      <c r="C149" s="2" t="s">
        <v>55</v>
      </c>
      <c r="D149" s="2" t="s">
        <v>1028</v>
      </c>
      <c r="E149" s="2" t="s">
        <v>1701</v>
      </c>
      <c r="F149" s="115">
        <v>8</v>
      </c>
      <c r="G149" s="2" t="s">
        <v>1017</v>
      </c>
      <c r="H149" s="2">
        <v>26</v>
      </c>
      <c r="I149" s="2" t="s">
        <v>1710</v>
      </c>
      <c r="J149" s="2" t="s">
        <v>1029</v>
      </c>
      <c r="K149" s="111">
        <v>9</v>
      </c>
      <c r="L149" s="111">
        <v>0.88888888888888884</v>
      </c>
      <c r="M149" s="111">
        <v>1.3333333333333333</v>
      </c>
      <c r="N149" s="2" t="s">
        <v>1665</v>
      </c>
      <c r="O149" s="2" t="s">
        <v>1711</v>
      </c>
      <c r="P149" s="2" t="s">
        <v>1712</v>
      </c>
      <c r="Q149" s="2" t="s">
        <v>1023</v>
      </c>
    </row>
    <row r="150" spans="1:17" ht="45" x14ac:dyDescent="0.25">
      <c r="A150" s="2" t="s">
        <v>1713</v>
      </c>
      <c r="B150" s="2" t="s">
        <v>41</v>
      </c>
      <c r="C150" s="2" t="s">
        <v>55</v>
      </c>
      <c r="D150" s="2" t="s">
        <v>1028</v>
      </c>
      <c r="E150" s="2" t="s">
        <v>1714</v>
      </c>
      <c r="F150" s="115">
        <v>6</v>
      </c>
      <c r="G150" s="2" t="s">
        <v>1017</v>
      </c>
      <c r="H150" s="2">
        <v>27</v>
      </c>
      <c r="I150" s="2" t="s">
        <v>1710</v>
      </c>
      <c r="J150" s="2" t="s">
        <v>1029</v>
      </c>
      <c r="K150" s="111">
        <v>9</v>
      </c>
      <c r="L150" s="111">
        <v>0.66666666666666663</v>
      </c>
      <c r="M150" s="111">
        <v>1</v>
      </c>
      <c r="N150" s="2" t="s">
        <v>1665</v>
      </c>
      <c r="O150" s="2" t="s">
        <v>1717</v>
      </c>
      <c r="P150" s="2" t="s">
        <v>1712</v>
      </c>
      <c r="Q150" s="2" t="s">
        <v>1023</v>
      </c>
    </row>
    <row r="151" spans="1:17" ht="45" x14ac:dyDescent="0.25">
      <c r="A151" s="2" t="s">
        <v>206</v>
      </c>
      <c r="B151" s="2" t="s">
        <v>41</v>
      </c>
      <c r="C151" s="2" t="s">
        <v>55</v>
      </c>
      <c r="D151" s="2" t="s">
        <v>1028</v>
      </c>
      <c r="E151" s="2" t="s">
        <v>1718</v>
      </c>
      <c r="F151" s="115">
        <v>12</v>
      </c>
      <c r="G151" s="2" t="s">
        <v>1050</v>
      </c>
      <c r="H151" s="2">
        <v>48</v>
      </c>
      <c r="I151" s="2" t="s">
        <v>1728</v>
      </c>
      <c r="J151" s="2" t="s">
        <v>1227</v>
      </c>
      <c r="K151" s="111">
        <v>5</v>
      </c>
      <c r="L151" s="111">
        <v>2.4</v>
      </c>
      <c r="M151" s="111">
        <v>4.08</v>
      </c>
      <c r="N151" s="2" t="s">
        <v>1665</v>
      </c>
      <c r="O151" s="2" t="s">
        <v>1729</v>
      </c>
      <c r="P151" s="2" t="s">
        <v>1730</v>
      </c>
      <c r="Q151" s="2" t="s">
        <v>1731</v>
      </c>
    </row>
    <row r="152" spans="1:17" ht="45" x14ac:dyDescent="0.25">
      <c r="A152" s="2" t="s">
        <v>1732</v>
      </c>
      <c r="B152" s="2" t="s">
        <v>59</v>
      </c>
      <c r="C152" s="2" t="s">
        <v>58</v>
      </c>
      <c r="D152" s="2" t="s">
        <v>1028</v>
      </c>
      <c r="E152" s="2" t="s">
        <v>1733</v>
      </c>
      <c r="F152" s="115">
        <v>12</v>
      </c>
      <c r="G152" s="2" t="s">
        <v>1050</v>
      </c>
      <c r="H152" s="2">
        <v>49</v>
      </c>
      <c r="I152" s="2" t="s">
        <v>1744</v>
      </c>
      <c r="J152" s="2" t="s">
        <v>1745</v>
      </c>
      <c r="K152" s="111">
        <v>3</v>
      </c>
      <c r="L152" s="111">
        <v>4</v>
      </c>
      <c r="M152" s="111">
        <v>7.2</v>
      </c>
      <c r="N152" s="2" t="s">
        <v>1746</v>
      </c>
      <c r="O152" s="2" t="s">
        <v>1747</v>
      </c>
      <c r="P152" s="2" t="s">
        <v>1748</v>
      </c>
      <c r="Q152" s="2" t="s">
        <v>1023</v>
      </c>
    </row>
    <row r="153" spans="1:17" ht="45" x14ac:dyDescent="0.25">
      <c r="A153" s="2" t="s">
        <v>1749</v>
      </c>
      <c r="B153" s="2" t="s">
        <v>59</v>
      </c>
      <c r="C153" s="2" t="s">
        <v>58</v>
      </c>
      <c r="D153" s="2" t="s">
        <v>1028</v>
      </c>
      <c r="E153" s="2" t="s">
        <v>1750</v>
      </c>
      <c r="F153" s="115">
        <v>12</v>
      </c>
      <c r="G153" s="2" t="s">
        <v>1050</v>
      </c>
      <c r="H153" s="2">
        <v>50</v>
      </c>
      <c r="I153" s="2" t="s">
        <v>1744</v>
      </c>
      <c r="J153" s="2" t="s">
        <v>1745</v>
      </c>
      <c r="K153" s="111">
        <v>3</v>
      </c>
      <c r="L153" s="111">
        <v>4</v>
      </c>
      <c r="M153" s="111">
        <v>7.2</v>
      </c>
      <c r="N153" s="2" t="s">
        <v>1746</v>
      </c>
      <c r="O153" s="2" t="s">
        <v>1747</v>
      </c>
      <c r="P153" s="2" t="s">
        <v>1748</v>
      </c>
      <c r="Q153" s="2" t="s">
        <v>1023</v>
      </c>
    </row>
    <row r="154" spans="1:17" ht="45" x14ac:dyDescent="0.25">
      <c r="A154" s="2" t="s">
        <v>1753</v>
      </c>
      <c r="B154" s="2" t="s">
        <v>59</v>
      </c>
      <c r="C154" s="2" t="s">
        <v>58</v>
      </c>
      <c r="D154" s="2" t="s">
        <v>1028</v>
      </c>
      <c r="E154" s="2" t="s">
        <v>1754</v>
      </c>
      <c r="F154" s="115">
        <v>12</v>
      </c>
      <c r="G154" s="2" t="s">
        <v>1050</v>
      </c>
      <c r="H154" s="2">
        <v>51</v>
      </c>
      <c r="I154" s="2" t="s">
        <v>1744</v>
      </c>
      <c r="J154" s="2" t="s">
        <v>1745</v>
      </c>
      <c r="K154" s="111">
        <v>3</v>
      </c>
      <c r="L154" s="111">
        <v>4</v>
      </c>
      <c r="M154" s="111">
        <v>7.2</v>
      </c>
      <c r="N154" s="2" t="s">
        <v>1746</v>
      </c>
      <c r="O154" s="2" t="s">
        <v>1747</v>
      </c>
      <c r="P154" s="2" t="s">
        <v>1748</v>
      </c>
      <c r="Q154" s="2" t="s">
        <v>1023</v>
      </c>
    </row>
    <row r="155" spans="1:17" ht="45" x14ac:dyDescent="0.25">
      <c r="A155" s="2" t="s">
        <v>1758</v>
      </c>
      <c r="B155" s="2" t="s">
        <v>59</v>
      </c>
      <c r="C155" s="2" t="s">
        <v>58</v>
      </c>
      <c r="D155" s="2" t="s">
        <v>1028</v>
      </c>
      <c r="E155" s="2" t="s">
        <v>1759</v>
      </c>
      <c r="F155" s="115">
        <v>12</v>
      </c>
      <c r="G155" s="2" t="s">
        <v>1050</v>
      </c>
      <c r="H155" s="2">
        <v>52</v>
      </c>
      <c r="I155" s="2" t="s">
        <v>1744</v>
      </c>
      <c r="J155" s="2" t="s">
        <v>1745</v>
      </c>
      <c r="K155" s="111">
        <v>3</v>
      </c>
      <c r="L155" s="111">
        <v>4</v>
      </c>
      <c r="M155" s="111">
        <v>7.2</v>
      </c>
      <c r="N155" s="2" t="s">
        <v>1746</v>
      </c>
      <c r="O155" s="2" t="s">
        <v>1747</v>
      </c>
      <c r="P155" s="2" t="s">
        <v>1748</v>
      </c>
      <c r="Q155" s="2" t="s">
        <v>1023</v>
      </c>
    </row>
    <row r="156" spans="1:17" ht="45" x14ac:dyDescent="0.25">
      <c r="A156" s="2" t="s">
        <v>528</v>
      </c>
      <c r="B156" s="2" t="s">
        <v>59</v>
      </c>
      <c r="C156" s="2" t="s">
        <v>58</v>
      </c>
      <c r="D156" s="2" t="s">
        <v>1028</v>
      </c>
      <c r="E156" s="2" t="s">
        <v>529</v>
      </c>
      <c r="F156" s="115">
        <v>12</v>
      </c>
      <c r="G156" s="2" t="s">
        <v>1139</v>
      </c>
      <c r="H156" s="2">
        <v>38</v>
      </c>
      <c r="I156" s="2" t="s">
        <v>1765</v>
      </c>
      <c r="J156" s="2" t="s">
        <v>1766</v>
      </c>
      <c r="K156" s="111">
        <v>5</v>
      </c>
      <c r="L156" s="111">
        <v>2.4</v>
      </c>
      <c r="M156" s="111">
        <v>4.32</v>
      </c>
      <c r="N156" s="2" t="s">
        <v>1746</v>
      </c>
      <c r="O156" s="2" t="s">
        <v>1767</v>
      </c>
      <c r="P156" s="2" t="s">
        <v>1768</v>
      </c>
      <c r="Q156" s="2" t="s">
        <v>1023</v>
      </c>
    </row>
    <row r="157" spans="1:17" ht="45" x14ac:dyDescent="0.25">
      <c r="A157" s="2" t="s">
        <v>1769</v>
      </c>
      <c r="B157" s="2" t="s">
        <v>59</v>
      </c>
      <c r="C157" s="2" t="s">
        <v>58</v>
      </c>
      <c r="D157" s="2" t="s">
        <v>1028</v>
      </c>
      <c r="E157" s="2" t="s">
        <v>1770</v>
      </c>
      <c r="F157" s="115">
        <v>12</v>
      </c>
      <c r="G157" s="2" t="s">
        <v>1017</v>
      </c>
      <c r="H157" s="2">
        <v>28</v>
      </c>
      <c r="I157" s="2" t="s">
        <v>1774</v>
      </c>
      <c r="J157" s="2" t="s">
        <v>1745</v>
      </c>
      <c r="K157" s="111">
        <v>3</v>
      </c>
      <c r="L157" s="111">
        <v>4</v>
      </c>
      <c r="M157" s="111">
        <v>7.2</v>
      </c>
      <c r="N157" s="2" t="s">
        <v>1746</v>
      </c>
      <c r="O157" s="2" t="s">
        <v>1747</v>
      </c>
      <c r="P157" s="2" t="s">
        <v>1775</v>
      </c>
      <c r="Q157" s="2" t="s">
        <v>1023</v>
      </c>
    </row>
    <row r="158" spans="1:17" ht="45" x14ac:dyDescent="0.25">
      <c r="A158" s="2" t="s">
        <v>521</v>
      </c>
      <c r="B158" s="2" t="s">
        <v>59</v>
      </c>
      <c r="C158" s="2" t="s">
        <v>58</v>
      </c>
      <c r="D158" s="2" t="s">
        <v>1028</v>
      </c>
      <c r="E158" s="2" t="s">
        <v>522</v>
      </c>
      <c r="F158" s="115">
        <v>12</v>
      </c>
      <c r="G158" s="2" t="s">
        <v>1139</v>
      </c>
      <c r="H158" s="2">
        <v>39</v>
      </c>
      <c r="I158" s="2" t="s">
        <v>1765</v>
      </c>
      <c r="J158" s="2" t="s">
        <v>1766</v>
      </c>
      <c r="K158" s="111">
        <v>5</v>
      </c>
      <c r="L158" s="111">
        <v>2.4</v>
      </c>
      <c r="M158" s="111">
        <v>4.32</v>
      </c>
      <c r="N158" s="2" t="s">
        <v>1746</v>
      </c>
      <c r="O158" s="2" t="s">
        <v>1781</v>
      </c>
      <c r="P158" s="2" t="s">
        <v>1768</v>
      </c>
      <c r="Q158" s="2" t="s">
        <v>1023</v>
      </c>
    </row>
    <row r="159" spans="1:17" ht="45" x14ac:dyDescent="0.25">
      <c r="A159" s="2" t="s">
        <v>526</v>
      </c>
      <c r="B159" s="2" t="s">
        <v>59</v>
      </c>
      <c r="C159" s="2" t="s">
        <v>58</v>
      </c>
      <c r="D159" s="2" t="s">
        <v>1028</v>
      </c>
      <c r="E159" s="2" t="s">
        <v>527</v>
      </c>
      <c r="F159" s="115">
        <v>12</v>
      </c>
      <c r="G159" s="2" t="s">
        <v>1139</v>
      </c>
      <c r="H159" s="2">
        <v>40</v>
      </c>
      <c r="I159" s="2" t="s">
        <v>1765</v>
      </c>
      <c r="J159" s="2" t="s">
        <v>1766</v>
      </c>
      <c r="K159" s="111">
        <v>5</v>
      </c>
      <c r="L159" s="111">
        <v>2.4</v>
      </c>
      <c r="M159" s="111">
        <v>4.32</v>
      </c>
      <c r="N159" s="2" t="s">
        <v>1746</v>
      </c>
      <c r="O159" s="2" t="s">
        <v>1781</v>
      </c>
      <c r="P159" s="2" t="s">
        <v>1768</v>
      </c>
      <c r="Q159" s="2" t="s">
        <v>1023</v>
      </c>
    </row>
    <row r="160" spans="1:17" ht="45" x14ac:dyDescent="0.25">
      <c r="A160" s="2" t="s">
        <v>533</v>
      </c>
      <c r="B160" s="2" t="s">
        <v>59</v>
      </c>
      <c r="C160" s="2" t="s">
        <v>62</v>
      </c>
      <c r="D160" s="2" t="s">
        <v>1028</v>
      </c>
      <c r="E160" s="2" t="s">
        <v>534</v>
      </c>
      <c r="F160" s="115">
        <v>12</v>
      </c>
      <c r="G160" s="2" t="s">
        <v>1139</v>
      </c>
      <c r="H160" s="2">
        <v>41</v>
      </c>
      <c r="I160" s="2" t="s">
        <v>1765</v>
      </c>
      <c r="J160" s="2" t="s">
        <v>1766</v>
      </c>
      <c r="K160" s="111">
        <v>5</v>
      </c>
      <c r="L160" s="111">
        <v>2.4</v>
      </c>
      <c r="M160" s="111">
        <v>4.32</v>
      </c>
      <c r="N160" s="2" t="s">
        <v>1746</v>
      </c>
      <c r="O160" s="2" t="s">
        <v>1767</v>
      </c>
      <c r="P160" s="2" t="s">
        <v>1768</v>
      </c>
      <c r="Q160" s="2" t="s">
        <v>1023</v>
      </c>
    </row>
    <row r="161" spans="1:17" ht="45" x14ac:dyDescent="0.25">
      <c r="A161" s="2" t="s">
        <v>1789</v>
      </c>
      <c r="B161" s="2" t="s">
        <v>59</v>
      </c>
      <c r="C161" s="2" t="s">
        <v>62</v>
      </c>
      <c r="D161" s="2" t="s">
        <v>1028</v>
      </c>
      <c r="E161" s="2" t="s">
        <v>1790</v>
      </c>
      <c r="F161" s="115">
        <v>12</v>
      </c>
      <c r="G161" s="2" t="s">
        <v>1050</v>
      </c>
      <c r="H161" s="2">
        <v>53</v>
      </c>
      <c r="I161" s="2" t="s">
        <v>1744</v>
      </c>
      <c r="J161" s="2" t="s">
        <v>1745</v>
      </c>
      <c r="K161" s="111">
        <v>3</v>
      </c>
      <c r="L161" s="111">
        <v>4</v>
      </c>
      <c r="M161" s="111">
        <v>7.2</v>
      </c>
      <c r="N161" s="2" t="s">
        <v>1746</v>
      </c>
      <c r="O161" s="2" t="s">
        <v>1747</v>
      </c>
      <c r="P161" s="2" t="s">
        <v>1748</v>
      </c>
      <c r="Q161" s="2" t="s">
        <v>1023</v>
      </c>
    </row>
    <row r="162" spans="1:17" ht="45" x14ac:dyDescent="0.25">
      <c r="A162" s="2" t="s">
        <v>1794</v>
      </c>
      <c r="B162" s="2" t="s">
        <v>59</v>
      </c>
      <c r="C162" s="2" t="s">
        <v>62</v>
      </c>
      <c r="D162" s="2" t="s">
        <v>1028</v>
      </c>
      <c r="E162" s="2" t="s">
        <v>1795</v>
      </c>
      <c r="F162" s="115">
        <v>12</v>
      </c>
      <c r="G162" s="2" t="s">
        <v>1050</v>
      </c>
      <c r="H162" s="2">
        <v>54</v>
      </c>
      <c r="I162" s="2" t="s">
        <v>1744</v>
      </c>
      <c r="J162" s="2" t="s">
        <v>1745</v>
      </c>
      <c r="K162" s="111">
        <v>3</v>
      </c>
      <c r="L162" s="111">
        <v>4</v>
      </c>
      <c r="M162" s="111">
        <v>7.2</v>
      </c>
      <c r="N162" s="2" t="s">
        <v>1746</v>
      </c>
      <c r="O162" s="2" t="s">
        <v>1747</v>
      </c>
      <c r="P162" s="2" t="s">
        <v>1748</v>
      </c>
      <c r="Q162" s="2" t="s">
        <v>1023</v>
      </c>
    </row>
    <row r="163" spans="1:17" ht="45" x14ac:dyDescent="0.25">
      <c r="A163" s="2" t="s">
        <v>1798</v>
      </c>
      <c r="B163" s="2" t="s">
        <v>59</v>
      </c>
      <c r="C163" s="2" t="s">
        <v>62</v>
      </c>
      <c r="D163" s="2" t="s">
        <v>1028</v>
      </c>
      <c r="E163" s="2" t="s">
        <v>1799</v>
      </c>
      <c r="F163" s="115">
        <v>12</v>
      </c>
      <c r="G163" s="2" t="s">
        <v>1050</v>
      </c>
      <c r="H163" s="2">
        <v>55</v>
      </c>
      <c r="I163" s="2" t="s">
        <v>1744</v>
      </c>
      <c r="J163" s="2" t="s">
        <v>1745</v>
      </c>
      <c r="K163" s="111">
        <v>3</v>
      </c>
      <c r="L163" s="111">
        <v>4</v>
      </c>
      <c r="M163" s="111">
        <v>7.2</v>
      </c>
      <c r="N163" s="2" t="s">
        <v>1746</v>
      </c>
      <c r="O163" s="2" t="s">
        <v>1747</v>
      </c>
      <c r="P163" s="2" t="s">
        <v>1748</v>
      </c>
      <c r="Q163" s="2" t="s">
        <v>1023</v>
      </c>
    </row>
    <row r="164" spans="1:17" ht="45" x14ac:dyDescent="0.25">
      <c r="A164" s="2" t="s">
        <v>1802</v>
      </c>
      <c r="B164" s="2" t="s">
        <v>59</v>
      </c>
      <c r="C164" s="2" t="s">
        <v>62</v>
      </c>
      <c r="D164" s="2" t="s">
        <v>1028</v>
      </c>
      <c r="E164" s="2" t="s">
        <v>1803</v>
      </c>
      <c r="F164" s="115">
        <v>12</v>
      </c>
      <c r="G164" s="2" t="s">
        <v>1050</v>
      </c>
      <c r="H164" s="2">
        <v>56</v>
      </c>
      <c r="I164" s="2" t="s">
        <v>1744</v>
      </c>
      <c r="J164" s="2" t="s">
        <v>1745</v>
      </c>
      <c r="K164" s="111">
        <v>3</v>
      </c>
      <c r="L164" s="111">
        <v>4</v>
      </c>
      <c r="M164" s="111">
        <v>7.2</v>
      </c>
      <c r="N164" s="2" t="s">
        <v>1746</v>
      </c>
      <c r="O164" s="2" t="s">
        <v>1747</v>
      </c>
      <c r="P164" s="2" t="s">
        <v>1748</v>
      </c>
      <c r="Q164" s="2" t="s">
        <v>1023</v>
      </c>
    </row>
    <row r="165" spans="1:17" ht="45" x14ac:dyDescent="0.25">
      <c r="A165" s="2" t="s">
        <v>243</v>
      </c>
      <c r="B165" s="2" t="s">
        <v>59</v>
      </c>
      <c r="C165" s="2" t="s">
        <v>62</v>
      </c>
      <c r="D165" s="2" t="s">
        <v>1028</v>
      </c>
      <c r="E165" s="2" t="s">
        <v>1806</v>
      </c>
      <c r="F165" s="115">
        <v>12</v>
      </c>
      <c r="G165" s="2" t="s">
        <v>1050</v>
      </c>
      <c r="H165" s="2">
        <v>57</v>
      </c>
      <c r="I165" s="2" t="s">
        <v>1744</v>
      </c>
      <c r="J165" s="2" t="s">
        <v>1745</v>
      </c>
      <c r="K165" s="111">
        <v>3</v>
      </c>
      <c r="L165" s="111">
        <v>4</v>
      </c>
      <c r="M165" s="111">
        <v>7.2</v>
      </c>
      <c r="N165" s="2" t="s">
        <v>1746</v>
      </c>
      <c r="O165" s="2" t="s">
        <v>1747</v>
      </c>
      <c r="P165" s="2" t="s">
        <v>1748</v>
      </c>
      <c r="Q165" s="2" t="s">
        <v>1023</v>
      </c>
    </row>
    <row r="166" spans="1:17" ht="45" x14ac:dyDescent="0.25">
      <c r="A166" s="2" t="s">
        <v>1809</v>
      </c>
      <c r="B166" s="2" t="s">
        <v>59</v>
      </c>
      <c r="C166" s="2" t="s">
        <v>62</v>
      </c>
      <c r="D166" s="2" t="s">
        <v>1028</v>
      </c>
      <c r="E166" s="2" t="s">
        <v>1810</v>
      </c>
      <c r="F166" s="115">
        <v>12</v>
      </c>
      <c r="G166" s="2" t="s">
        <v>1050</v>
      </c>
      <c r="H166" s="2">
        <v>58</v>
      </c>
      <c r="I166" s="2" t="s">
        <v>1744</v>
      </c>
      <c r="J166" s="2" t="s">
        <v>1745</v>
      </c>
      <c r="K166" s="111">
        <v>3</v>
      </c>
      <c r="L166" s="111">
        <v>4</v>
      </c>
      <c r="M166" s="111">
        <v>7.2</v>
      </c>
      <c r="N166" s="2" t="s">
        <v>1746</v>
      </c>
      <c r="O166" s="2" t="s">
        <v>1747</v>
      </c>
      <c r="P166" s="2" t="s">
        <v>1748</v>
      </c>
      <c r="Q166" s="2" t="s">
        <v>1023</v>
      </c>
    </row>
    <row r="167" spans="1:17" ht="45" x14ac:dyDescent="0.25">
      <c r="A167" s="2" t="s">
        <v>1814</v>
      </c>
      <c r="B167" s="2" t="s">
        <v>59</v>
      </c>
      <c r="C167" s="2" t="s">
        <v>62</v>
      </c>
      <c r="D167" s="2" t="s">
        <v>1028</v>
      </c>
      <c r="E167" s="2" t="s">
        <v>1815</v>
      </c>
      <c r="F167" s="115">
        <v>12</v>
      </c>
      <c r="G167" s="2" t="s">
        <v>1017</v>
      </c>
      <c r="H167" s="2">
        <v>29</v>
      </c>
      <c r="I167" s="2" t="s">
        <v>1774</v>
      </c>
      <c r="J167" s="2" t="s">
        <v>1745</v>
      </c>
      <c r="K167" s="111">
        <v>3</v>
      </c>
      <c r="L167" s="111">
        <v>4</v>
      </c>
      <c r="M167" s="111">
        <v>7.2</v>
      </c>
      <c r="N167" s="2" t="s">
        <v>1746</v>
      </c>
      <c r="O167" s="2" t="s">
        <v>1747</v>
      </c>
      <c r="P167" s="2" t="s">
        <v>1775</v>
      </c>
      <c r="Q167" s="2" t="s">
        <v>1023</v>
      </c>
    </row>
    <row r="168" spans="1:17" ht="45" x14ac:dyDescent="0.25">
      <c r="A168" s="2" t="s">
        <v>1818</v>
      </c>
      <c r="B168" s="2" t="s">
        <v>59</v>
      </c>
      <c r="C168" s="2" t="s">
        <v>62</v>
      </c>
      <c r="D168" s="2" t="s">
        <v>1028</v>
      </c>
      <c r="E168" s="2" t="s">
        <v>1819</v>
      </c>
      <c r="F168" s="115">
        <v>12</v>
      </c>
      <c r="G168" s="2" t="s">
        <v>1017</v>
      </c>
      <c r="H168" s="2">
        <v>30</v>
      </c>
      <c r="I168" s="2" t="s">
        <v>1774</v>
      </c>
      <c r="J168" s="2" t="s">
        <v>1745</v>
      </c>
      <c r="K168" s="111">
        <v>3</v>
      </c>
      <c r="L168" s="111">
        <v>4</v>
      </c>
      <c r="M168" s="111">
        <v>7.2</v>
      </c>
      <c r="N168" s="2" t="s">
        <v>1746</v>
      </c>
      <c r="O168" s="2" t="s">
        <v>1747</v>
      </c>
      <c r="P168" s="2" t="s">
        <v>1775</v>
      </c>
      <c r="Q168" s="2" t="s">
        <v>1023</v>
      </c>
    </row>
    <row r="169" spans="1:17" ht="30" x14ac:dyDescent="0.25">
      <c r="A169" s="2" t="s">
        <v>378</v>
      </c>
      <c r="B169" s="2" t="s">
        <v>41</v>
      </c>
      <c r="C169" s="2" t="s">
        <v>40</v>
      </c>
      <c r="D169" s="2" t="s">
        <v>768</v>
      </c>
      <c r="E169" s="2" t="s">
        <v>379</v>
      </c>
      <c r="F169" s="115">
        <v>12</v>
      </c>
      <c r="G169" s="2" t="s">
        <v>171</v>
      </c>
      <c r="H169" s="2">
        <v>0</v>
      </c>
      <c r="I169" s="2" t="s">
        <v>782</v>
      </c>
      <c r="J169" s="2" t="s">
        <v>781</v>
      </c>
      <c r="K169" s="111">
        <v>0</v>
      </c>
      <c r="L169" s="111">
        <v>0</v>
      </c>
      <c r="M169" s="111">
        <v>0</v>
      </c>
      <c r="N169" s="2" t="s">
        <v>171</v>
      </c>
      <c r="O169" s="2" t="s">
        <v>783</v>
      </c>
      <c r="P169" s="2" t="s">
        <v>784</v>
      </c>
      <c r="Q169" s="2" t="s">
        <v>785</v>
      </c>
    </row>
    <row r="170" spans="1:17" ht="30" x14ac:dyDescent="0.25">
      <c r="A170" s="2" t="s">
        <v>381</v>
      </c>
      <c r="B170" s="2" t="s">
        <v>41</v>
      </c>
      <c r="C170" s="2" t="s">
        <v>40</v>
      </c>
      <c r="D170" s="2" t="s">
        <v>768</v>
      </c>
      <c r="E170" s="2" t="s">
        <v>382</v>
      </c>
      <c r="F170" s="115">
        <v>10</v>
      </c>
      <c r="G170" s="2" t="s">
        <v>171</v>
      </c>
      <c r="H170" s="2">
        <v>0</v>
      </c>
      <c r="I170" s="2" t="s">
        <v>782</v>
      </c>
      <c r="J170" s="2" t="s">
        <v>781</v>
      </c>
      <c r="K170" s="111">
        <v>0</v>
      </c>
      <c r="L170" s="111">
        <v>0</v>
      </c>
      <c r="M170" s="111">
        <v>0</v>
      </c>
      <c r="N170" s="2" t="s">
        <v>171</v>
      </c>
      <c r="O170" s="2" t="s">
        <v>783</v>
      </c>
      <c r="P170" s="2" t="s">
        <v>784</v>
      </c>
      <c r="Q170" s="2" t="s">
        <v>785</v>
      </c>
    </row>
    <row r="171" spans="1:17" ht="30" x14ac:dyDescent="0.25">
      <c r="A171" s="2" t="s">
        <v>396</v>
      </c>
      <c r="B171" s="2" t="s">
        <v>41</v>
      </c>
      <c r="C171" s="2" t="s">
        <v>40</v>
      </c>
      <c r="D171" s="2" t="s">
        <v>768</v>
      </c>
      <c r="E171" s="2" t="s">
        <v>397</v>
      </c>
      <c r="F171" s="115">
        <v>10</v>
      </c>
      <c r="G171" s="2" t="s">
        <v>171</v>
      </c>
      <c r="H171" s="2">
        <v>0</v>
      </c>
      <c r="I171" s="2" t="s">
        <v>782</v>
      </c>
      <c r="J171" s="2" t="s">
        <v>781</v>
      </c>
      <c r="K171" s="111">
        <v>0</v>
      </c>
      <c r="L171" s="111">
        <v>0</v>
      </c>
      <c r="M171" s="111">
        <v>0</v>
      </c>
      <c r="N171" s="2" t="s">
        <v>171</v>
      </c>
      <c r="O171" s="2" t="s">
        <v>783</v>
      </c>
      <c r="P171" s="2" t="s">
        <v>784</v>
      </c>
      <c r="Q171" s="2" t="s">
        <v>785</v>
      </c>
    </row>
    <row r="172" spans="1:17" ht="30" x14ac:dyDescent="0.25">
      <c r="A172" s="2" t="s">
        <v>373</v>
      </c>
      <c r="B172" s="2" t="s">
        <v>41</v>
      </c>
      <c r="C172" s="2" t="s">
        <v>40</v>
      </c>
      <c r="D172" s="2" t="s">
        <v>768</v>
      </c>
      <c r="E172" s="2" t="s">
        <v>374</v>
      </c>
      <c r="F172" s="115">
        <v>10</v>
      </c>
      <c r="G172" s="2" t="s">
        <v>171</v>
      </c>
      <c r="H172" s="2">
        <v>0</v>
      </c>
      <c r="I172" s="2" t="s">
        <v>782</v>
      </c>
      <c r="J172" s="2" t="s">
        <v>781</v>
      </c>
      <c r="K172" s="111">
        <v>0</v>
      </c>
      <c r="L172" s="111">
        <v>0</v>
      </c>
      <c r="M172" s="111">
        <v>0</v>
      </c>
      <c r="N172" s="2" t="s">
        <v>171</v>
      </c>
      <c r="O172" s="2" t="s">
        <v>783</v>
      </c>
      <c r="P172" s="2" t="s">
        <v>784</v>
      </c>
      <c r="Q172" s="2" t="s">
        <v>785</v>
      </c>
    </row>
    <row r="173" spans="1:17" ht="30" x14ac:dyDescent="0.25">
      <c r="A173" s="2" t="s">
        <v>284</v>
      </c>
      <c r="B173" s="2" t="s">
        <v>41</v>
      </c>
      <c r="C173" s="2" t="s">
        <v>40</v>
      </c>
      <c r="D173" s="2" t="s">
        <v>768</v>
      </c>
      <c r="E173" s="2" t="s">
        <v>399</v>
      </c>
      <c r="F173" s="115">
        <v>12</v>
      </c>
      <c r="G173" s="2" t="s">
        <v>171</v>
      </c>
      <c r="H173" s="2">
        <v>0</v>
      </c>
      <c r="I173" s="2" t="s">
        <v>782</v>
      </c>
      <c r="J173" s="2" t="s">
        <v>781</v>
      </c>
      <c r="K173" s="111">
        <v>0</v>
      </c>
      <c r="L173" s="111">
        <v>0</v>
      </c>
      <c r="M173" s="111">
        <v>0</v>
      </c>
      <c r="N173" s="2" t="s">
        <v>171</v>
      </c>
      <c r="O173" s="2" t="s">
        <v>783</v>
      </c>
      <c r="P173" s="2" t="s">
        <v>784</v>
      </c>
      <c r="Q173" s="2" t="s">
        <v>785</v>
      </c>
    </row>
    <row r="174" spans="1:17" ht="30" x14ac:dyDescent="0.25">
      <c r="A174" s="2" t="s">
        <v>288</v>
      </c>
      <c r="B174" s="2" t="s">
        <v>41</v>
      </c>
      <c r="C174" s="2" t="s">
        <v>40</v>
      </c>
      <c r="D174" s="2" t="s">
        <v>768</v>
      </c>
      <c r="E174" s="2" t="s">
        <v>392</v>
      </c>
      <c r="F174" s="115">
        <v>12</v>
      </c>
      <c r="G174" s="2" t="s">
        <v>171</v>
      </c>
      <c r="H174" s="2">
        <v>0</v>
      </c>
      <c r="I174" s="2" t="s">
        <v>782</v>
      </c>
      <c r="J174" s="2" t="s">
        <v>781</v>
      </c>
      <c r="K174" s="111">
        <v>0</v>
      </c>
      <c r="L174" s="111">
        <v>0</v>
      </c>
      <c r="M174" s="111">
        <v>0</v>
      </c>
      <c r="N174" s="2" t="s">
        <v>171</v>
      </c>
      <c r="O174" s="2" t="s">
        <v>783</v>
      </c>
      <c r="P174" s="2" t="s">
        <v>784</v>
      </c>
      <c r="Q174" s="2" t="s">
        <v>785</v>
      </c>
    </row>
    <row r="175" spans="1:17" ht="30" x14ac:dyDescent="0.25">
      <c r="A175" s="2" t="s">
        <v>292</v>
      </c>
      <c r="B175" s="2" t="s">
        <v>41</v>
      </c>
      <c r="C175" s="2" t="s">
        <v>40</v>
      </c>
      <c r="D175" s="2" t="s">
        <v>768</v>
      </c>
      <c r="E175" s="2" t="s">
        <v>394</v>
      </c>
      <c r="F175" s="115">
        <v>10</v>
      </c>
      <c r="G175" s="2" t="s">
        <v>171</v>
      </c>
      <c r="H175" s="2">
        <v>0</v>
      </c>
      <c r="I175" s="2" t="s">
        <v>782</v>
      </c>
      <c r="J175" s="2" t="s">
        <v>781</v>
      </c>
      <c r="K175" s="111">
        <v>0</v>
      </c>
      <c r="L175" s="111">
        <v>0</v>
      </c>
      <c r="M175" s="111">
        <v>0</v>
      </c>
      <c r="N175" s="2" t="s">
        <v>171</v>
      </c>
      <c r="O175" s="2" t="s">
        <v>783</v>
      </c>
      <c r="P175" s="2" t="s">
        <v>784</v>
      </c>
      <c r="Q175" s="2" t="s">
        <v>785</v>
      </c>
    </row>
    <row r="176" spans="1:17" ht="30" x14ac:dyDescent="0.25">
      <c r="A176" s="2" t="s">
        <v>384</v>
      </c>
      <c r="B176" s="2" t="s">
        <v>41</v>
      </c>
      <c r="C176" s="2" t="s">
        <v>44</v>
      </c>
      <c r="D176" s="2" t="s">
        <v>768</v>
      </c>
      <c r="E176" s="2" t="s">
        <v>385</v>
      </c>
      <c r="F176" s="115">
        <v>12</v>
      </c>
      <c r="G176" s="2" t="s">
        <v>171</v>
      </c>
      <c r="H176" s="2">
        <v>0</v>
      </c>
      <c r="I176" s="2" t="s">
        <v>782</v>
      </c>
      <c r="J176" s="2" t="s">
        <v>781</v>
      </c>
      <c r="K176" s="111">
        <v>0</v>
      </c>
      <c r="L176" s="111">
        <v>0</v>
      </c>
      <c r="M176" s="111">
        <v>0</v>
      </c>
      <c r="N176" s="2" t="s">
        <v>171</v>
      </c>
      <c r="O176" s="2" t="s">
        <v>783</v>
      </c>
      <c r="P176" s="2" t="s">
        <v>784</v>
      </c>
      <c r="Q176" s="2" t="s">
        <v>785</v>
      </c>
    </row>
    <row r="177" spans="1:17" ht="30" x14ac:dyDescent="0.25">
      <c r="A177" s="2" t="s">
        <v>389</v>
      </c>
      <c r="B177" s="2" t="s">
        <v>41</v>
      </c>
      <c r="C177" s="2" t="s">
        <v>44</v>
      </c>
      <c r="D177" s="2" t="s">
        <v>768</v>
      </c>
      <c r="E177" s="2" t="s">
        <v>390</v>
      </c>
      <c r="F177" s="115">
        <v>12</v>
      </c>
      <c r="G177" s="2" t="s">
        <v>171</v>
      </c>
      <c r="H177" s="2">
        <v>0</v>
      </c>
      <c r="I177" s="2" t="s">
        <v>782</v>
      </c>
      <c r="J177" s="2" t="s">
        <v>781</v>
      </c>
      <c r="K177" s="111">
        <v>0</v>
      </c>
      <c r="L177" s="111">
        <v>0</v>
      </c>
      <c r="M177" s="111">
        <v>0</v>
      </c>
      <c r="N177" s="2" t="s">
        <v>171</v>
      </c>
      <c r="O177" s="2" t="s">
        <v>783</v>
      </c>
      <c r="P177" s="2" t="s">
        <v>784</v>
      </c>
      <c r="Q177" s="2" t="s">
        <v>785</v>
      </c>
    </row>
    <row r="178" spans="1:17" ht="30" x14ac:dyDescent="0.25">
      <c r="A178" s="2" t="s">
        <v>368</v>
      </c>
      <c r="B178" s="2" t="s">
        <v>41</v>
      </c>
      <c r="C178" s="2" t="s">
        <v>44</v>
      </c>
      <c r="D178" s="2" t="s">
        <v>768</v>
      </c>
      <c r="E178" s="2" t="s">
        <v>369</v>
      </c>
      <c r="F178" s="115">
        <v>10</v>
      </c>
      <c r="G178" s="2" t="s">
        <v>171</v>
      </c>
      <c r="H178" s="2">
        <v>0</v>
      </c>
      <c r="I178" s="2" t="s">
        <v>782</v>
      </c>
      <c r="J178" s="2" t="s">
        <v>781</v>
      </c>
      <c r="K178" s="111">
        <v>0</v>
      </c>
      <c r="L178" s="111">
        <v>0</v>
      </c>
      <c r="M178" s="111">
        <v>0</v>
      </c>
      <c r="N178" s="2" t="s">
        <v>171</v>
      </c>
      <c r="O178" s="2" t="s">
        <v>783</v>
      </c>
      <c r="P178" s="2" t="s">
        <v>784</v>
      </c>
      <c r="Q178" s="2" t="s">
        <v>785</v>
      </c>
    </row>
    <row r="179" spans="1:17" ht="30" x14ac:dyDescent="0.25">
      <c r="A179" s="2" t="s">
        <v>401</v>
      </c>
      <c r="B179" s="2" t="s">
        <v>41</v>
      </c>
      <c r="C179" s="2" t="s">
        <v>44</v>
      </c>
      <c r="D179" s="2" t="s">
        <v>768</v>
      </c>
      <c r="E179" s="2" t="s">
        <v>402</v>
      </c>
      <c r="F179" s="115">
        <v>8</v>
      </c>
      <c r="G179" s="2" t="s">
        <v>171</v>
      </c>
      <c r="H179" s="2">
        <v>0</v>
      </c>
      <c r="I179" s="2" t="s">
        <v>782</v>
      </c>
      <c r="J179" s="2" t="s">
        <v>781</v>
      </c>
      <c r="K179" s="111">
        <v>0</v>
      </c>
      <c r="L179" s="111">
        <v>0</v>
      </c>
      <c r="M179" s="111">
        <v>0</v>
      </c>
      <c r="N179" s="2" t="s">
        <v>171</v>
      </c>
      <c r="O179" s="2" t="s">
        <v>783</v>
      </c>
      <c r="P179" s="2" t="s">
        <v>784</v>
      </c>
      <c r="Q179" s="2" t="s">
        <v>785</v>
      </c>
    </row>
    <row r="180" spans="1:17" ht="30" x14ac:dyDescent="0.25">
      <c r="A180" s="2" t="s">
        <v>404</v>
      </c>
      <c r="B180" s="2" t="s">
        <v>41</v>
      </c>
      <c r="C180" s="2" t="s">
        <v>44</v>
      </c>
      <c r="D180" s="2" t="s">
        <v>768</v>
      </c>
      <c r="E180" s="2" t="s">
        <v>405</v>
      </c>
      <c r="F180" s="115">
        <v>10</v>
      </c>
      <c r="G180" s="2" t="s">
        <v>171</v>
      </c>
      <c r="H180" s="2">
        <v>0</v>
      </c>
      <c r="I180" s="2" t="s">
        <v>782</v>
      </c>
      <c r="J180" s="2" t="s">
        <v>781</v>
      </c>
      <c r="K180" s="111">
        <v>0</v>
      </c>
      <c r="L180" s="111">
        <v>0</v>
      </c>
      <c r="M180" s="111">
        <v>0</v>
      </c>
      <c r="N180" s="2" t="s">
        <v>171</v>
      </c>
      <c r="O180" s="2" t="s">
        <v>783</v>
      </c>
      <c r="P180" s="2" t="s">
        <v>784</v>
      </c>
      <c r="Q180" s="2" t="s">
        <v>785</v>
      </c>
    </row>
    <row r="181" spans="1:17" ht="30" x14ac:dyDescent="0.25">
      <c r="A181" s="2" t="s">
        <v>407</v>
      </c>
      <c r="B181" s="2" t="s">
        <v>41</v>
      </c>
      <c r="C181" s="2" t="s">
        <v>44</v>
      </c>
      <c r="D181" s="2" t="s">
        <v>768</v>
      </c>
      <c r="E181" s="2" t="s">
        <v>408</v>
      </c>
      <c r="F181" s="115">
        <v>12</v>
      </c>
      <c r="G181" s="2" t="s">
        <v>171</v>
      </c>
      <c r="H181" s="2">
        <v>0</v>
      </c>
      <c r="I181" s="2" t="s">
        <v>782</v>
      </c>
      <c r="J181" s="2" t="s">
        <v>781</v>
      </c>
      <c r="K181" s="111">
        <v>0</v>
      </c>
      <c r="L181" s="111">
        <v>0</v>
      </c>
      <c r="M181" s="111">
        <v>0</v>
      </c>
      <c r="N181" s="2" t="s">
        <v>171</v>
      </c>
      <c r="O181" s="2" t="s">
        <v>783</v>
      </c>
      <c r="P181" s="2" t="s">
        <v>784</v>
      </c>
      <c r="Q181" s="2" t="s">
        <v>785</v>
      </c>
    </row>
    <row r="182" spans="1:17" ht="30" x14ac:dyDescent="0.25">
      <c r="A182" s="2" t="s">
        <v>410</v>
      </c>
      <c r="B182" s="2" t="s">
        <v>41</v>
      </c>
      <c r="C182" s="2" t="s">
        <v>44</v>
      </c>
      <c r="D182" s="2" t="s">
        <v>768</v>
      </c>
      <c r="E182" s="2" t="s">
        <v>411</v>
      </c>
      <c r="F182" s="115">
        <v>12</v>
      </c>
      <c r="G182" s="2" t="s">
        <v>171</v>
      </c>
      <c r="H182" s="2">
        <v>0</v>
      </c>
      <c r="I182" s="2" t="s">
        <v>782</v>
      </c>
      <c r="J182" s="2" t="s">
        <v>781</v>
      </c>
      <c r="K182" s="111">
        <v>0</v>
      </c>
      <c r="L182" s="111">
        <v>0</v>
      </c>
      <c r="M182" s="111">
        <v>0</v>
      </c>
      <c r="N182" s="2" t="s">
        <v>171</v>
      </c>
      <c r="O182" s="2" t="s">
        <v>783</v>
      </c>
      <c r="P182" s="2" t="s">
        <v>784</v>
      </c>
      <c r="Q182" s="2" t="s">
        <v>785</v>
      </c>
    </row>
    <row r="183" spans="1:17" ht="30" x14ac:dyDescent="0.25">
      <c r="A183" s="2" t="s">
        <v>416</v>
      </c>
      <c r="B183" s="2" t="s">
        <v>41</v>
      </c>
      <c r="C183" s="2" t="s">
        <v>40</v>
      </c>
      <c r="D183" s="2" t="s">
        <v>768</v>
      </c>
      <c r="E183" s="2" t="s">
        <v>417</v>
      </c>
      <c r="F183" s="115">
        <v>10</v>
      </c>
      <c r="G183" s="2" t="s">
        <v>171</v>
      </c>
      <c r="H183" s="2">
        <v>0</v>
      </c>
      <c r="I183" s="2" t="s">
        <v>782</v>
      </c>
      <c r="J183" s="2" t="s">
        <v>781</v>
      </c>
      <c r="K183" s="111">
        <v>0</v>
      </c>
      <c r="L183" s="111">
        <v>0</v>
      </c>
      <c r="M183" s="111">
        <v>0</v>
      </c>
      <c r="N183" s="2" t="s">
        <v>171</v>
      </c>
      <c r="O183" s="2" t="s">
        <v>783</v>
      </c>
      <c r="P183" s="2" t="s">
        <v>784</v>
      </c>
      <c r="Q183" s="2" t="s">
        <v>785</v>
      </c>
    </row>
    <row r="184" spans="1:17" ht="45" x14ac:dyDescent="0.25">
      <c r="A184" s="2" t="s">
        <v>261</v>
      </c>
      <c r="B184" s="2" t="s">
        <v>41</v>
      </c>
      <c r="C184" s="2" t="s">
        <v>47</v>
      </c>
      <c r="D184" s="2" t="s">
        <v>1028</v>
      </c>
      <c r="E184" s="2" t="s">
        <v>420</v>
      </c>
      <c r="F184" s="115">
        <v>12</v>
      </c>
      <c r="G184" s="2" t="s">
        <v>1139</v>
      </c>
      <c r="H184" s="2">
        <v>7</v>
      </c>
      <c r="I184" s="2" t="s">
        <v>1615</v>
      </c>
      <c r="J184" s="2" t="s">
        <v>1079</v>
      </c>
      <c r="K184" s="111">
        <v>10</v>
      </c>
      <c r="L184" s="111">
        <v>1.2</v>
      </c>
      <c r="M184" s="111">
        <v>1.7999999999999998</v>
      </c>
      <c r="N184" s="2" t="s">
        <v>1617</v>
      </c>
      <c r="O184" s="2" t="s">
        <v>1891</v>
      </c>
      <c r="P184" s="2" t="s">
        <v>1619</v>
      </c>
      <c r="Q184" s="2" t="s">
        <v>1023</v>
      </c>
    </row>
    <row r="185" spans="1:17" ht="45" x14ac:dyDescent="0.25">
      <c r="A185" s="2" t="s">
        <v>429</v>
      </c>
      <c r="B185" s="2" t="s">
        <v>41</v>
      </c>
      <c r="C185" s="2" t="s">
        <v>47</v>
      </c>
      <c r="D185" s="2" t="s">
        <v>1028</v>
      </c>
      <c r="E185" s="2" t="s">
        <v>430</v>
      </c>
      <c r="F185" s="115">
        <v>12</v>
      </c>
      <c r="G185" s="2" t="s">
        <v>1139</v>
      </c>
      <c r="H185" s="2">
        <v>17</v>
      </c>
      <c r="I185" s="2" t="s">
        <v>1615</v>
      </c>
      <c r="J185" s="2" t="s">
        <v>1616</v>
      </c>
      <c r="K185" s="111">
        <v>10</v>
      </c>
      <c r="L185" s="111">
        <v>1.2</v>
      </c>
      <c r="M185" s="111">
        <v>1.7999999999999998</v>
      </c>
      <c r="N185" s="2" t="s">
        <v>1617</v>
      </c>
      <c r="O185" s="2" t="s">
        <v>1895</v>
      </c>
      <c r="P185" s="2" t="s">
        <v>1619</v>
      </c>
      <c r="Q185" s="2" t="s">
        <v>1023</v>
      </c>
    </row>
    <row r="186" spans="1:17" ht="45" x14ac:dyDescent="0.25">
      <c r="A186" s="2" t="s">
        <v>443</v>
      </c>
      <c r="B186" s="2" t="s">
        <v>41</v>
      </c>
      <c r="C186" s="2" t="s">
        <v>49</v>
      </c>
      <c r="D186" s="2" t="s">
        <v>1028</v>
      </c>
      <c r="E186" s="2" t="s">
        <v>444</v>
      </c>
      <c r="F186" s="115">
        <v>12</v>
      </c>
      <c r="G186" s="2" t="s">
        <v>1139</v>
      </c>
      <c r="H186" s="2">
        <v>20</v>
      </c>
      <c r="I186" s="2" t="s">
        <v>1615</v>
      </c>
      <c r="J186" s="2" t="s">
        <v>1616</v>
      </c>
      <c r="K186" s="111">
        <v>10</v>
      </c>
      <c r="L186" s="111">
        <v>1.2</v>
      </c>
      <c r="M186" s="111">
        <v>1.7999999999999998</v>
      </c>
      <c r="N186" s="2" t="s">
        <v>1653</v>
      </c>
      <c r="O186" s="2" t="s">
        <v>1905</v>
      </c>
      <c r="P186" s="2" t="s">
        <v>1619</v>
      </c>
      <c r="Q186" s="2" t="s">
        <v>1023</v>
      </c>
    </row>
    <row r="187" spans="1:17" ht="45" x14ac:dyDescent="0.25">
      <c r="A187" s="2" t="s">
        <v>448</v>
      </c>
      <c r="B187" s="2" t="s">
        <v>41</v>
      </c>
      <c r="C187" s="2" t="s">
        <v>49</v>
      </c>
      <c r="D187" s="2" t="s">
        <v>1028</v>
      </c>
      <c r="E187" s="2" t="s">
        <v>449</v>
      </c>
      <c r="F187" s="115">
        <v>12</v>
      </c>
      <c r="G187" s="2" t="s">
        <v>1139</v>
      </c>
      <c r="H187" s="2">
        <v>18</v>
      </c>
      <c r="I187" s="2" t="s">
        <v>1615</v>
      </c>
      <c r="J187" s="2" t="s">
        <v>1616</v>
      </c>
      <c r="K187" s="111">
        <v>10</v>
      </c>
      <c r="L187" s="111">
        <v>1.2</v>
      </c>
      <c r="M187" s="111">
        <v>1.7999999999999998</v>
      </c>
      <c r="N187" s="2" t="s">
        <v>1617</v>
      </c>
      <c r="O187" s="2" t="s">
        <v>1912</v>
      </c>
      <c r="P187" s="2" t="s">
        <v>1619</v>
      </c>
      <c r="Q187" s="2" t="s">
        <v>1023</v>
      </c>
    </row>
    <row r="188" spans="1:17" ht="45" x14ac:dyDescent="0.25">
      <c r="A188" s="2" t="s">
        <v>463</v>
      </c>
      <c r="B188" s="2" t="s">
        <v>41</v>
      </c>
      <c r="C188" s="2" t="s">
        <v>49</v>
      </c>
      <c r="D188" s="2" t="s">
        <v>1028</v>
      </c>
      <c r="E188" s="2" t="s">
        <v>3047</v>
      </c>
      <c r="F188" s="115">
        <v>12</v>
      </c>
      <c r="G188" s="2" t="s">
        <v>1139</v>
      </c>
      <c r="H188" s="2">
        <v>21</v>
      </c>
      <c r="I188" s="2" t="s">
        <v>1615</v>
      </c>
      <c r="J188" s="2" t="s">
        <v>1616</v>
      </c>
      <c r="K188" s="111">
        <v>10</v>
      </c>
      <c r="L188" s="111">
        <v>1.2</v>
      </c>
      <c r="M188" s="111">
        <v>1.7999999999999998</v>
      </c>
      <c r="N188" s="2" t="s">
        <v>1653</v>
      </c>
      <c r="O188" s="2" t="s">
        <v>1916</v>
      </c>
      <c r="P188" s="2" t="s">
        <v>1619</v>
      </c>
      <c r="Q188" s="2" t="s">
        <v>1023</v>
      </c>
    </row>
    <row r="189" spans="1:17" ht="45" x14ac:dyDescent="0.25">
      <c r="A189" s="2" t="s">
        <v>460</v>
      </c>
      <c r="B189" s="2" t="s">
        <v>41</v>
      </c>
      <c r="C189" s="2" t="s">
        <v>49</v>
      </c>
      <c r="D189" s="2" t="s">
        <v>1028</v>
      </c>
      <c r="E189" s="2" t="s">
        <v>461</v>
      </c>
      <c r="F189" s="115">
        <v>10</v>
      </c>
      <c r="G189" s="2" t="s">
        <v>1139</v>
      </c>
      <c r="H189" s="2">
        <v>22</v>
      </c>
      <c r="I189" s="2" t="s">
        <v>1615</v>
      </c>
      <c r="J189" s="2" t="s">
        <v>1029</v>
      </c>
      <c r="K189" s="111">
        <v>9</v>
      </c>
      <c r="L189" s="111">
        <v>1.1111111111111112</v>
      </c>
      <c r="M189" s="111">
        <v>1.6666666666666667</v>
      </c>
      <c r="N189" s="2" t="s">
        <v>1653</v>
      </c>
      <c r="O189" s="2" t="s">
        <v>1922</v>
      </c>
      <c r="P189" s="2" t="s">
        <v>1619</v>
      </c>
      <c r="Q189" s="2" t="s">
        <v>1023</v>
      </c>
    </row>
    <row r="190" spans="1:17" ht="45" x14ac:dyDescent="0.25">
      <c r="A190" s="2" t="s">
        <v>492</v>
      </c>
      <c r="B190" s="2" t="s">
        <v>41</v>
      </c>
      <c r="C190" s="2" t="s">
        <v>52</v>
      </c>
      <c r="D190" s="2" t="s">
        <v>1028</v>
      </c>
      <c r="E190" s="2" t="s">
        <v>493</v>
      </c>
      <c r="F190" s="115">
        <v>12</v>
      </c>
      <c r="G190" s="2" t="s">
        <v>1139</v>
      </c>
      <c r="H190" s="2">
        <v>30</v>
      </c>
      <c r="I190" s="2" t="s">
        <v>1615</v>
      </c>
      <c r="J190" s="2" t="s">
        <v>1029</v>
      </c>
      <c r="K190" s="111">
        <v>9</v>
      </c>
      <c r="L190" s="111">
        <v>1.3333333333333333</v>
      </c>
      <c r="M190" s="111">
        <v>2</v>
      </c>
      <c r="N190" s="2" t="s">
        <v>1669</v>
      </c>
      <c r="O190" s="2" t="s">
        <v>494</v>
      </c>
      <c r="P190" s="2" t="s">
        <v>1619</v>
      </c>
      <c r="Q190" s="2" t="s">
        <v>1023</v>
      </c>
    </row>
    <row r="191" spans="1:17" ht="45" x14ac:dyDescent="0.25">
      <c r="A191" s="2" t="s">
        <v>495</v>
      </c>
      <c r="B191" s="2" t="s">
        <v>41</v>
      </c>
      <c r="C191" s="2" t="s">
        <v>52</v>
      </c>
      <c r="D191" s="2" t="s">
        <v>1028</v>
      </c>
      <c r="E191" s="2" t="s">
        <v>496</v>
      </c>
      <c r="F191" s="115">
        <v>12</v>
      </c>
      <c r="G191" s="2" t="s">
        <v>1139</v>
      </c>
      <c r="H191" s="2">
        <v>31</v>
      </c>
      <c r="I191" s="2" t="s">
        <v>1615</v>
      </c>
      <c r="J191" s="2" t="s">
        <v>1029</v>
      </c>
      <c r="K191" s="111">
        <v>9</v>
      </c>
      <c r="L191" s="111">
        <v>1.3333333333333333</v>
      </c>
      <c r="M191" s="111">
        <v>2</v>
      </c>
      <c r="N191" s="2" t="s">
        <v>1669</v>
      </c>
      <c r="O191" s="2" t="s">
        <v>497</v>
      </c>
      <c r="P191" s="2" t="s">
        <v>1619</v>
      </c>
      <c r="Q191" s="2" t="s">
        <v>1023</v>
      </c>
    </row>
    <row r="192" spans="1:17" ht="45" x14ac:dyDescent="0.25">
      <c r="A192" s="2" t="s">
        <v>336</v>
      </c>
      <c r="B192" s="2" t="s">
        <v>41</v>
      </c>
      <c r="C192" s="2" t="s">
        <v>52</v>
      </c>
      <c r="D192" s="2" t="s">
        <v>1028</v>
      </c>
      <c r="E192" s="2" t="s">
        <v>498</v>
      </c>
      <c r="F192" s="115">
        <v>12</v>
      </c>
      <c r="G192" s="2" t="s">
        <v>1139</v>
      </c>
      <c r="H192" s="2">
        <v>32</v>
      </c>
      <c r="I192" s="2" t="s">
        <v>1615</v>
      </c>
      <c r="J192" s="2" t="s">
        <v>1616</v>
      </c>
      <c r="K192" s="111">
        <v>10</v>
      </c>
      <c r="L192" s="111">
        <v>1.2</v>
      </c>
      <c r="M192" s="111">
        <v>1.7999999999999998</v>
      </c>
      <c r="N192" s="2" t="s">
        <v>1669</v>
      </c>
      <c r="O192" s="2" t="s">
        <v>499</v>
      </c>
      <c r="P192" s="2" t="s">
        <v>1619</v>
      </c>
      <c r="Q192" s="2" t="s">
        <v>1023</v>
      </c>
    </row>
    <row r="193" spans="1:17" ht="45" x14ac:dyDescent="0.25">
      <c r="A193" s="2" t="s">
        <v>515</v>
      </c>
      <c r="B193" s="2" t="s">
        <v>41</v>
      </c>
      <c r="C193" s="2" t="s">
        <v>55</v>
      </c>
      <c r="D193" s="2" t="s">
        <v>1028</v>
      </c>
      <c r="E193" s="2" t="s">
        <v>516</v>
      </c>
      <c r="F193" s="115">
        <v>10</v>
      </c>
      <c r="G193" s="2" t="s">
        <v>1139</v>
      </c>
      <c r="H193" s="2">
        <v>37</v>
      </c>
      <c r="I193" s="2" t="s">
        <v>1615</v>
      </c>
      <c r="J193" s="2" t="s">
        <v>1227</v>
      </c>
      <c r="K193" s="111">
        <v>10</v>
      </c>
      <c r="L193" s="111">
        <v>1</v>
      </c>
      <c r="M193" s="111">
        <v>1.7</v>
      </c>
      <c r="N193" s="2" t="s">
        <v>1665</v>
      </c>
      <c r="O193" s="2" t="s">
        <v>518</v>
      </c>
      <c r="P193" s="2" t="s">
        <v>1619</v>
      </c>
      <c r="Q193" s="2" t="s">
        <v>1023</v>
      </c>
    </row>
    <row r="194" spans="1:17" ht="45" x14ac:dyDescent="0.25">
      <c r="A194" s="2" t="s">
        <v>340</v>
      </c>
      <c r="B194" s="2" t="s">
        <v>41</v>
      </c>
      <c r="C194" s="2" t="s">
        <v>55</v>
      </c>
      <c r="D194" s="2" t="s">
        <v>1028</v>
      </c>
      <c r="E194" s="2" t="s">
        <v>511</v>
      </c>
      <c r="F194" s="115">
        <v>10</v>
      </c>
      <c r="G194" s="2" t="s">
        <v>1139</v>
      </c>
      <c r="H194" s="2">
        <v>36</v>
      </c>
      <c r="I194" s="2" t="s">
        <v>1615</v>
      </c>
      <c r="J194" s="2" t="s">
        <v>1616</v>
      </c>
      <c r="K194" s="111">
        <v>10</v>
      </c>
      <c r="L194" s="111">
        <v>1</v>
      </c>
      <c r="M194" s="111">
        <v>1.5</v>
      </c>
      <c r="N194" s="2" t="s">
        <v>1665</v>
      </c>
      <c r="O194" s="2" t="s">
        <v>513</v>
      </c>
      <c r="P194" s="2" t="s">
        <v>1619</v>
      </c>
      <c r="Q194" s="2" t="s">
        <v>1023</v>
      </c>
    </row>
    <row r="195" spans="1:17" ht="45" x14ac:dyDescent="0.25">
      <c r="A195" s="2" t="s">
        <v>1940</v>
      </c>
      <c r="B195" s="2" t="s">
        <v>30</v>
      </c>
      <c r="C195" s="2" t="s">
        <v>38</v>
      </c>
      <c r="D195" s="2" t="s">
        <v>1028</v>
      </c>
      <c r="E195" s="2" t="s">
        <v>1941</v>
      </c>
      <c r="F195" s="115">
        <v>6</v>
      </c>
      <c r="G195" s="2" t="s">
        <v>1050</v>
      </c>
      <c r="H195" s="2">
        <v>47</v>
      </c>
      <c r="I195" s="2" t="s">
        <v>1286</v>
      </c>
      <c r="J195" s="2" t="s">
        <v>1079</v>
      </c>
      <c r="K195" s="111">
        <v>10</v>
      </c>
      <c r="L195" s="111">
        <v>0.6</v>
      </c>
      <c r="M195" s="111">
        <v>0.89999999999999991</v>
      </c>
      <c r="N195" s="2" t="s">
        <v>1545</v>
      </c>
      <c r="O195" s="2" t="s">
        <v>1949</v>
      </c>
      <c r="P195" s="2" t="s">
        <v>1289</v>
      </c>
      <c r="Q195" s="2" t="s">
        <v>1023</v>
      </c>
    </row>
    <row r="196" spans="1:17" ht="45" x14ac:dyDescent="0.25">
      <c r="A196" s="2" t="s">
        <v>1950</v>
      </c>
      <c r="B196" s="2" t="s">
        <v>41</v>
      </c>
      <c r="C196" s="2" t="s">
        <v>47</v>
      </c>
      <c r="D196" s="2" t="s">
        <v>1028</v>
      </c>
      <c r="E196" s="2" t="s">
        <v>3048</v>
      </c>
      <c r="F196" s="115">
        <v>10</v>
      </c>
      <c r="G196" s="2" t="s">
        <v>1139</v>
      </c>
      <c r="H196" s="2">
        <v>8</v>
      </c>
      <c r="I196" s="2" t="s">
        <v>1615</v>
      </c>
      <c r="J196" s="2" t="s">
        <v>1079</v>
      </c>
      <c r="K196" s="111">
        <v>10</v>
      </c>
      <c r="L196" s="111">
        <v>1</v>
      </c>
      <c r="M196" s="111">
        <v>1.5</v>
      </c>
      <c r="N196" s="2" t="s">
        <v>1617</v>
      </c>
      <c r="O196" s="2" t="s">
        <v>1957</v>
      </c>
      <c r="P196" s="2" t="s">
        <v>1619</v>
      </c>
      <c r="Q196" s="2" t="s">
        <v>1023</v>
      </c>
    </row>
    <row r="197" spans="1:17" ht="45" x14ac:dyDescent="0.25">
      <c r="A197" s="2" t="s">
        <v>1962</v>
      </c>
      <c r="B197" s="2" t="s">
        <v>30</v>
      </c>
      <c r="C197" s="2" t="s">
        <v>33</v>
      </c>
      <c r="D197" s="2" t="s">
        <v>1028</v>
      </c>
      <c r="E197" s="2" t="s">
        <v>1963</v>
      </c>
      <c r="F197" s="115">
        <v>8</v>
      </c>
      <c r="G197" s="2" t="s">
        <v>1017</v>
      </c>
      <c r="H197" s="2">
        <v>17</v>
      </c>
      <c r="I197" s="2" t="s">
        <v>1403</v>
      </c>
      <c r="J197" s="2" t="s">
        <v>1029</v>
      </c>
      <c r="K197" s="111">
        <v>9</v>
      </c>
      <c r="L197" s="111">
        <v>0.88888888888888884</v>
      </c>
      <c r="M197" s="111">
        <v>1.3333333333333333</v>
      </c>
      <c r="N197" s="2" t="s">
        <v>1379</v>
      </c>
      <c r="O197" s="2" t="s">
        <v>1972</v>
      </c>
      <c r="P197" s="2" t="s">
        <v>1405</v>
      </c>
      <c r="Q197" s="2" t="s">
        <v>1023</v>
      </c>
    </row>
    <row r="198" spans="1:17" ht="45" x14ac:dyDescent="0.25">
      <c r="A198" s="2" t="s">
        <v>1973</v>
      </c>
      <c r="B198" s="2" t="s">
        <v>30</v>
      </c>
      <c r="C198" s="2" t="s">
        <v>38</v>
      </c>
      <c r="D198" s="2" t="s">
        <v>1028</v>
      </c>
      <c r="E198" s="2" t="s">
        <v>1974</v>
      </c>
      <c r="F198" s="115">
        <v>10</v>
      </c>
      <c r="G198" s="2" t="s">
        <v>1017</v>
      </c>
      <c r="H198" s="2">
        <v>22</v>
      </c>
      <c r="I198" s="2" t="s">
        <v>1403</v>
      </c>
      <c r="J198" s="2" t="s">
        <v>1982</v>
      </c>
      <c r="K198" s="111">
        <v>7</v>
      </c>
      <c r="L198" s="111">
        <v>1.4285714285714286</v>
      </c>
      <c r="M198" s="111">
        <v>2.285714285714286</v>
      </c>
      <c r="N198" s="2" t="s">
        <v>1545</v>
      </c>
      <c r="O198" s="2" t="s">
        <v>1983</v>
      </c>
      <c r="P198" s="2" t="s">
        <v>1405</v>
      </c>
      <c r="Q198" s="2" t="s">
        <v>1023</v>
      </c>
    </row>
    <row r="199" spans="1:17" ht="45" x14ac:dyDescent="0.25">
      <c r="A199" s="2" t="s">
        <v>1984</v>
      </c>
      <c r="B199" s="2" t="s">
        <v>30</v>
      </c>
      <c r="C199" s="2" t="s">
        <v>38</v>
      </c>
      <c r="D199" s="2" t="s">
        <v>1028</v>
      </c>
      <c r="E199" s="2" t="s">
        <v>1985</v>
      </c>
      <c r="F199" s="115">
        <v>12</v>
      </c>
      <c r="G199" s="2" t="s">
        <v>1017</v>
      </c>
      <c r="H199" s="2">
        <v>21</v>
      </c>
      <c r="I199" s="2" t="s">
        <v>1403</v>
      </c>
      <c r="J199" s="2" t="s">
        <v>1982</v>
      </c>
      <c r="K199" s="111">
        <v>7</v>
      </c>
      <c r="L199" s="111">
        <v>1.7142857142857142</v>
      </c>
      <c r="M199" s="111">
        <v>2.7428571428571429</v>
      </c>
      <c r="N199" s="2" t="s">
        <v>1545</v>
      </c>
      <c r="O199" s="2" t="s">
        <v>1994</v>
      </c>
      <c r="P199" s="2" t="s">
        <v>1405</v>
      </c>
      <c r="Q199" s="2" t="s">
        <v>1023</v>
      </c>
    </row>
    <row r="200" spans="1:17" ht="45" x14ac:dyDescent="0.25">
      <c r="A200" s="2" t="s">
        <v>1995</v>
      </c>
      <c r="B200" s="2" t="s">
        <v>30</v>
      </c>
      <c r="C200" s="2" t="s">
        <v>38</v>
      </c>
      <c r="D200" s="2" t="s">
        <v>1028</v>
      </c>
      <c r="E200" s="2" t="s">
        <v>3049</v>
      </c>
      <c r="F200" s="115">
        <v>12</v>
      </c>
      <c r="G200" s="2" t="s">
        <v>1017</v>
      </c>
      <c r="H200" s="2">
        <v>24</v>
      </c>
      <c r="I200" s="2" t="s">
        <v>1403</v>
      </c>
      <c r="J200" s="2" t="s">
        <v>1982</v>
      </c>
      <c r="K200" s="111">
        <v>7</v>
      </c>
      <c r="L200" s="111">
        <v>1.7142857142857142</v>
      </c>
      <c r="M200" s="111">
        <v>2.7428571428571429</v>
      </c>
      <c r="N200" s="2" t="s">
        <v>1545</v>
      </c>
      <c r="O200" s="2" t="s">
        <v>2003</v>
      </c>
      <c r="P200" s="2" t="s">
        <v>1405</v>
      </c>
      <c r="Q200" s="2" t="s">
        <v>1023</v>
      </c>
    </row>
    <row r="201" spans="1:17" ht="45" x14ac:dyDescent="0.25">
      <c r="A201" s="2" t="s">
        <v>2004</v>
      </c>
      <c r="B201" s="2" t="s">
        <v>30</v>
      </c>
      <c r="C201" s="2" t="s">
        <v>38</v>
      </c>
      <c r="D201" s="2" t="s">
        <v>1028</v>
      </c>
      <c r="E201" s="2" t="s">
        <v>2005</v>
      </c>
      <c r="F201" s="115">
        <v>10</v>
      </c>
      <c r="G201" s="2" t="s">
        <v>1017</v>
      </c>
      <c r="H201" s="2">
        <v>23</v>
      </c>
      <c r="I201" s="2" t="s">
        <v>1403</v>
      </c>
      <c r="J201" s="2" t="s">
        <v>1982</v>
      </c>
      <c r="K201" s="111">
        <v>7</v>
      </c>
      <c r="L201" s="111">
        <v>1.4285714285714286</v>
      </c>
      <c r="M201" s="111">
        <v>2.285714285714286</v>
      </c>
      <c r="N201" s="2" t="s">
        <v>1545</v>
      </c>
      <c r="O201" s="2" t="s">
        <v>2012</v>
      </c>
      <c r="P201" s="2" t="s">
        <v>1405</v>
      </c>
      <c r="Q201" s="2" t="s">
        <v>1023</v>
      </c>
    </row>
  </sheetData>
  <conditionalFormatting sqref="G2:G201">
    <cfRule type="expression" dxfId="10" priority="1">
      <formula>G2="Worker 1"</formula>
    </cfRule>
    <cfRule type="expression" dxfId="9" priority="2">
      <formula>G2="Worker 2"</formula>
    </cfRule>
    <cfRule type="expression" dxfId="8" priority="3">
      <formula>G2="Worker 3"</formula>
    </cfRule>
    <cfRule type="expression" dxfId="7" priority="4">
      <formula>G2="CLOSED"</formula>
    </cfRule>
  </conditionalFormatting>
  <conditionalFormatting sqref="M2:M201">
    <cfRule type="dataBar" priority="5">
      <dataBar>
        <cfvo type="min"/>
        <cfvo type="max"/>
        <color rgb="FF4BACC6"/>
      </dataBar>
    </cfRule>
    <cfRule type="dataBar" priority="6">
      <dataBar>
        <cfvo type="min"/>
        <cfvo type="max"/>
        <color rgb="FF4BACC6"/>
      </dataBar>
      <extLst>
        <ext xmlns:x14="http://schemas.microsoft.com/office/spreadsheetml/2009/9/main" uri="{B025F937-C7B1-47D3-B67F-A62EFF666E3E}">
          <x14:id>{3D272739-1DA0-5558-0BC3-AA0EADE00DFE}</x14:id>
        </ext>
      </extLst>
    </cfRule>
  </conditionalFormatting>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dataBar" id="{3D272739-1DA0-5558-0BC3-AA0EADE00DFE}">
            <x14:dataBar>
              <x14:cfvo type="min"/>
              <x14:cfvo type="max"/>
              <x14:negativeFillColor auto="1"/>
              <x14:axisColor auto="1"/>
            </x14:dataBar>
          </x14:cfRule>
          <xm:sqref>M2:M201</xm:sqref>
        </x14:conditionalFormatting>
      </x14:conditionalFormattings>
    </ext>
  </extLst>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L141"/>
  <sheetViews>
    <sheetView workbookViewId="0"/>
  </sheetViews>
  <sheetFormatPr defaultRowHeight="15" x14ac:dyDescent="0.25"/>
  <cols>
    <col min="1" max="1" width="7" customWidth="1"/>
    <col min="2" max="3" width="10" customWidth="1"/>
    <col min="4" max="4" width="12" customWidth="1"/>
    <col min="5" max="5" width="42" customWidth="1"/>
    <col min="6" max="6" width="12" customWidth="1"/>
    <col min="7" max="8" width="10" customWidth="1"/>
    <col min="9" max="9" width="27" customWidth="1"/>
    <col min="10" max="12" width="48" customWidth="1"/>
  </cols>
  <sheetData>
    <row r="1" spans="1:12" ht="19.5" x14ac:dyDescent="0.3">
      <c r="A1" s="138" t="s">
        <v>3050</v>
      </c>
      <c r="B1" s="138"/>
      <c r="C1" s="138"/>
      <c r="D1" s="138"/>
      <c r="E1" s="138"/>
      <c r="F1" s="138"/>
      <c r="G1" s="138"/>
      <c r="H1" s="138"/>
      <c r="I1" s="138"/>
      <c r="J1" s="138"/>
      <c r="K1" s="138"/>
      <c r="L1" s="138"/>
    </row>
    <row r="3" spans="1:12" ht="17.25" x14ac:dyDescent="0.3">
      <c r="A3" s="139" t="s">
        <v>3051</v>
      </c>
      <c r="B3" s="139"/>
      <c r="C3" s="139"/>
      <c r="D3" s="139"/>
      <c r="E3" s="139"/>
      <c r="F3" s="139"/>
      <c r="G3" s="139"/>
      <c r="H3" s="139"/>
      <c r="I3" s="139"/>
      <c r="J3" s="139"/>
      <c r="K3" s="139"/>
      <c r="L3" s="139"/>
    </row>
    <row r="4" spans="1:12" ht="30" x14ac:dyDescent="0.25">
      <c r="A4" s="113" t="s">
        <v>359</v>
      </c>
      <c r="B4" s="113" t="s">
        <v>3052</v>
      </c>
      <c r="C4" s="113" t="s">
        <v>1</v>
      </c>
      <c r="D4" s="113" t="s">
        <v>131</v>
      </c>
      <c r="E4" s="113" t="s">
        <v>361</v>
      </c>
      <c r="F4" s="113" t="s">
        <v>3032</v>
      </c>
      <c r="G4" s="113" t="s">
        <v>3053</v>
      </c>
      <c r="H4" s="113" t="s">
        <v>3054</v>
      </c>
      <c r="I4" s="113" t="s">
        <v>360</v>
      </c>
      <c r="J4" s="113" t="s">
        <v>3055</v>
      </c>
      <c r="K4" s="113" t="s">
        <v>3056</v>
      </c>
      <c r="L4" s="113" t="s">
        <v>3057</v>
      </c>
    </row>
    <row r="5" spans="1:12" ht="60" x14ac:dyDescent="0.25">
      <c r="A5" s="2">
        <v>1</v>
      </c>
      <c r="B5" s="2" t="s">
        <v>1066</v>
      </c>
      <c r="C5" s="2" t="s">
        <v>7</v>
      </c>
      <c r="D5" s="2" t="s">
        <v>21</v>
      </c>
      <c r="E5" s="2" t="s">
        <v>1067</v>
      </c>
      <c r="F5" s="111">
        <v>10</v>
      </c>
      <c r="G5" s="111">
        <v>1</v>
      </c>
      <c r="H5" s="111">
        <v>1.5</v>
      </c>
      <c r="I5" s="2" t="s">
        <v>1020</v>
      </c>
      <c r="J5" s="2" t="s">
        <v>1080</v>
      </c>
      <c r="K5" s="2" t="s">
        <v>1052</v>
      </c>
      <c r="L5" s="2" t="s">
        <v>1081</v>
      </c>
    </row>
    <row r="6" spans="1:12" ht="60" x14ac:dyDescent="0.25">
      <c r="A6" s="2">
        <v>2</v>
      </c>
      <c r="B6" s="2" t="s">
        <v>1082</v>
      </c>
      <c r="C6" s="2" t="s">
        <v>7</v>
      </c>
      <c r="D6" s="2" t="s">
        <v>21</v>
      </c>
      <c r="E6" s="2" t="s">
        <v>1083</v>
      </c>
      <c r="F6" s="111">
        <v>10</v>
      </c>
      <c r="G6" s="111">
        <v>1</v>
      </c>
      <c r="H6" s="111">
        <v>1.5</v>
      </c>
      <c r="I6" s="2" t="s">
        <v>1020</v>
      </c>
      <c r="J6" s="2" t="s">
        <v>1088</v>
      </c>
      <c r="K6" s="2" t="s">
        <v>1052</v>
      </c>
      <c r="L6" s="2" t="s">
        <v>1081</v>
      </c>
    </row>
    <row r="7" spans="1:12" ht="60" x14ac:dyDescent="0.25">
      <c r="A7" s="2">
        <v>3</v>
      </c>
      <c r="B7" s="2" t="s">
        <v>1096</v>
      </c>
      <c r="C7" s="2" t="s">
        <v>7</v>
      </c>
      <c r="D7" s="2" t="s">
        <v>21</v>
      </c>
      <c r="E7" s="2" t="s">
        <v>1097</v>
      </c>
      <c r="F7" s="111">
        <v>4</v>
      </c>
      <c r="G7" s="111">
        <v>0.44444444444444442</v>
      </c>
      <c r="H7" s="111">
        <v>0.66666666666666663</v>
      </c>
      <c r="I7" s="2" t="s">
        <v>1043</v>
      </c>
      <c r="J7" s="2" t="s">
        <v>1104</v>
      </c>
      <c r="K7" s="2" t="s">
        <v>1052</v>
      </c>
      <c r="L7" s="2" t="s">
        <v>1023</v>
      </c>
    </row>
    <row r="8" spans="1:12" ht="60" x14ac:dyDescent="0.25">
      <c r="A8" s="2">
        <v>4</v>
      </c>
      <c r="B8" s="2" t="s">
        <v>1105</v>
      </c>
      <c r="C8" s="2" t="s">
        <v>7</v>
      </c>
      <c r="D8" s="2" t="s">
        <v>21</v>
      </c>
      <c r="E8" s="2" t="s">
        <v>1106</v>
      </c>
      <c r="F8" s="111">
        <v>6</v>
      </c>
      <c r="G8" s="111">
        <v>0.6</v>
      </c>
      <c r="H8" s="111">
        <v>0.89999999999999991</v>
      </c>
      <c r="I8" s="2" t="s">
        <v>1043</v>
      </c>
      <c r="J8" s="2" t="s">
        <v>1114</v>
      </c>
      <c r="K8" s="2" t="s">
        <v>1052</v>
      </c>
      <c r="L8" s="2" t="s">
        <v>1115</v>
      </c>
    </row>
    <row r="9" spans="1:12" ht="60" x14ac:dyDescent="0.25">
      <c r="A9" s="2">
        <v>5</v>
      </c>
      <c r="B9" s="2" t="s">
        <v>1116</v>
      </c>
      <c r="C9" s="2" t="s">
        <v>7</v>
      </c>
      <c r="D9" s="2" t="s">
        <v>21</v>
      </c>
      <c r="E9" s="2" t="s">
        <v>1117</v>
      </c>
      <c r="F9" s="111">
        <v>4</v>
      </c>
      <c r="G9" s="111">
        <v>0.44444444444444442</v>
      </c>
      <c r="H9" s="111">
        <v>0.66666666666666663</v>
      </c>
      <c r="I9" s="2" t="s">
        <v>1043</v>
      </c>
      <c r="J9" s="2" t="s">
        <v>1120</v>
      </c>
      <c r="K9" s="2" t="s">
        <v>1052</v>
      </c>
      <c r="L9" s="2" t="s">
        <v>1023</v>
      </c>
    </row>
    <row r="10" spans="1:12" ht="60" x14ac:dyDescent="0.25">
      <c r="A10" s="2">
        <v>6</v>
      </c>
      <c r="B10" s="2" t="s">
        <v>1044</v>
      </c>
      <c r="C10" s="2" t="s">
        <v>7</v>
      </c>
      <c r="D10" s="2" t="s">
        <v>21</v>
      </c>
      <c r="E10" s="2" t="s">
        <v>1045</v>
      </c>
      <c r="F10" s="111">
        <v>4</v>
      </c>
      <c r="G10" s="111">
        <v>0.44444444444444442</v>
      </c>
      <c r="H10" s="111">
        <v>0.66666666666666663</v>
      </c>
      <c r="I10" s="2" t="s">
        <v>1043</v>
      </c>
      <c r="J10" s="2" t="s">
        <v>987</v>
      </c>
      <c r="K10" s="2" t="s">
        <v>1052</v>
      </c>
      <c r="L10" s="2" t="s">
        <v>1023</v>
      </c>
    </row>
    <row r="11" spans="1:12" ht="60" x14ac:dyDescent="0.25">
      <c r="A11" s="2">
        <v>7</v>
      </c>
      <c r="B11" s="2" t="s">
        <v>1053</v>
      </c>
      <c r="C11" s="2" t="s">
        <v>7</v>
      </c>
      <c r="D11" s="2" t="s">
        <v>21</v>
      </c>
      <c r="E11" s="2" t="s">
        <v>1054</v>
      </c>
      <c r="F11" s="111">
        <v>6</v>
      </c>
      <c r="G11" s="111">
        <v>0.66666666666666663</v>
      </c>
      <c r="H11" s="111">
        <v>1</v>
      </c>
      <c r="I11" s="2" t="s">
        <v>1043</v>
      </c>
      <c r="J11" s="2" t="s">
        <v>987</v>
      </c>
      <c r="K11" s="2" t="s">
        <v>1052</v>
      </c>
      <c r="L11" s="2" t="s">
        <v>1023</v>
      </c>
    </row>
    <row r="12" spans="1:12" ht="60" x14ac:dyDescent="0.25">
      <c r="A12" s="2">
        <v>8</v>
      </c>
      <c r="B12" s="2" t="s">
        <v>1058</v>
      </c>
      <c r="C12" s="2" t="s">
        <v>7</v>
      </c>
      <c r="D12" s="2" t="s">
        <v>21</v>
      </c>
      <c r="E12" s="2" t="s">
        <v>1059</v>
      </c>
      <c r="F12" s="111">
        <v>4</v>
      </c>
      <c r="G12" s="111">
        <v>0.44444444444444442</v>
      </c>
      <c r="H12" s="111">
        <v>0.66666666666666663</v>
      </c>
      <c r="I12" s="2" t="s">
        <v>1043</v>
      </c>
      <c r="J12" s="2" t="s">
        <v>987</v>
      </c>
      <c r="K12" s="2" t="s">
        <v>1052</v>
      </c>
      <c r="L12" s="2" t="s">
        <v>1023</v>
      </c>
    </row>
    <row r="13" spans="1:12" ht="60" x14ac:dyDescent="0.25">
      <c r="A13" s="2">
        <v>9</v>
      </c>
      <c r="B13" s="2" t="s">
        <v>1122</v>
      </c>
      <c r="C13" s="2" t="s">
        <v>7</v>
      </c>
      <c r="D13" s="2" t="s">
        <v>21</v>
      </c>
      <c r="E13" s="2" t="s">
        <v>1123</v>
      </c>
      <c r="F13" s="111">
        <v>10</v>
      </c>
      <c r="G13" s="111">
        <v>1.1111111111111112</v>
      </c>
      <c r="H13" s="111">
        <v>1.6666666666666667</v>
      </c>
      <c r="I13" s="2" t="s">
        <v>1043</v>
      </c>
      <c r="J13" s="2" t="s">
        <v>987</v>
      </c>
      <c r="K13" s="2" t="s">
        <v>1052</v>
      </c>
      <c r="L13" s="2" t="s">
        <v>1023</v>
      </c>
    </row>
    <row r="14" spans="1:12" ht="45" x14ac:dyDescent="0.25">
      <c r="A14" s="2">
        <v>10</v>
      </c>
      <c r="B14" s="2" t="s">
        <v>1274</v>
      </c>
      <c r="C14" s="2" t="s">
        <v>30</v>
      </c>
      <c r="D14" s="2" t="s">
        <v>29</v>
      </c>
      <c r="E14" s="2" t="s">
        <v>1275</v>
      </c>
      <c r="F14" s="111">
        <v>10</v>
      </c>
      <c r="G14" s="111">
        <v>1.6666666666666667</v>
      </c>
      <c r="H14" s="111">
        <v>2.666666666666667</v>
      </c>
      <c r="I14" s="2" t="s">
        <v>1287</v>
      </c>
      <c r="J14" s="2" t="s">
        <v>1288</v>
      </c>
      <c r="K14" s="2" t="s">
        <v>1289</v>
      </c>
      <c r="L14" s="2" t="s">
        <v>1023</v>
      </c>
    </row>
    <row r="15" spans="1:12" ht="45" x14ac:dyDescent="0.25">
      <c r="A15" s="2">
        <v>11</v>
      </c>
      <c r="B15" s="2" t="s">
        <v>1290</v>
      </c>
      <c r="C15" s="2" t="s">
        <v>30</v>
      </c>
      <c r="D15" s="2" t="s">
        <v>29</v>
      </c>
      <c r="E15" s="2" t="s">
        <v>1291</v>
      </c>
      <c r="F15" s="111">
        <v>10</v>
      </c>
      <c r="G15" s="111">
        <v>1.25</v>
      </c>
      <c r="H15" s="111">
        <v>1.9375</v>
      </c>
      <c r="I15" s="2" t="s">
        <v>1287</v>
      </c>
      <c r="J15" s="2" t="s">
        <v>1288</v>
      </c>
      <c r="K15" s="2" t="s">
        <v>1289</v>
      </c>
      <c r="L15" s="2" t="s">
        <v>1023</v>
      </c>
    </row>
    <row r="16" spans="1:12" ht="45" x14ac:dyDescent="0.25">
      <c r="A16" s="2">
        <v>12</v>
      </c>
      <c r="B16" s="2" t="s">
        <v>1295</v>
      </c>
      <c r="C16" s="2" t="s">
        <v>30</v>
      </c>
      <c r="D16" s="2" t="s">
        <v>29</v>
      </c>
      <c r="E16" s="2" t="s">
        <v>1296</v>
      </c>
      <c r="F16" s="111">
        <v>8</v>
      </c>
      <c r="G16" s="111">
        <v>1.6</v>
      </c>
      <c r="H16" s="111">
        <v>2.72</v>
      </c>
      <c r="I16" s="2" t="s">
        <v>1287</v>
      </c>
      <c r="J16" s="2" t="s">
        <v>1288</v>
      </c>
      <c r="K16" s="2" t="s">
        <v>1289</v>
      </c>
      <c r="L16" s="2" t="s">
        <v>1023</v>
      </c>
    </row>
    <row r="17" spans="1:12" ht="60" x14ac:dyDescent="0.25">
      <c r="A17" s="2">
        <v>13</v>
      </c>
      <c r="B17" s="2" t="s">
        <v>1311</v>
      </c>
      <c r="C17" s="2" t="s">
        <v>30</v>
      </c>
      <c r="D17" s="2" t="s">
        <v>29</v>
      </c>
      <c r="E17" s="2" t="s">
        <v>1312</v>
      </c>
      <c r="F17" s="111">
        <v>12</v>
      </c>
      <c r="G17" s="111">
        <v>1.5</v>
      </c>
      <c r="H17" s="111">
        <v>2.3250000000000002</v>
      </c>
      <c r="I17" s="2" t="s">
        <v>1309</v>
      </c>
      <c r="J17" s="2" t="s">
        <v>1319</v>
      </c>
      <c r="K17" s="2" t="s">
        <v>1289</v>
      </c>
      <c r="L17" s="2" t="s">
        <v>1023</v>
      </c>
    </row>
    <row r="18" spans="1:12" ht="60" x14ac:dyDescent="0.25">
      <c r="A18" s="2">
        <v>14</v>
      </c>
      <c r="B18" s="2" t="s">
        <v>1299</v>
      </c>
      <c r="C18" s="2" t="s">
        <v>30</v>
      </c>
      <c r="D18" s="2" t="s">
        <v>29</v>
      </c>
      <c r="E18" s="2" t="s">
        <v>1300</v>
      </c>
      <c r="F18" s="111">
        <v>12</v>
      </c>
      <c r="G18" s="111">
        <v>1.5</v>
      </c>
      <c r="H18" s="111">
        <v>2.3250000000000002</v>
      </c>
      <c r="I18" s="2" t="s">
        <v>1309</v>
      </c>
      <c r="J18" s="2" t="s">
        <v>1310</v>
      </c>
      <c r="K18" s="2" t="s">
        <v>1289</v>
      </c>
      <c r="L18" s="2" t="s">
        <v>1023</v>
      </c>
    </row>
    <row r="19" spans="1:12" ht="45" x14ac:dyDescent="0.25">
      <c r="A19" s="2">
        <v>15</v>
      </c>
      <c r="B19" s="2" t="s">
        <v>1320</v>
      </c>
      <c r="C19" s="2" t="s">
        <v>30</v>
      </c>
      <c r="D19" s="2" t="s">
        <v>29</v>
      </c>
      <c r="E19" s="2" t="s">
        <v>1321</v>
      </c>
      <c r="F19" s="111">
        <v>12</v>
      </c>
      <c r="G19" s="111">
        <v>1.5</v>
      </c>
      <c r="H19" s="111">
        <v>2.3250000000000002</v>
      </c>
      <c r="I19" s="2" t="s">
        <v>1309</v>
      </c>
      <c r="J19" s="2" t="s">
        <v>1329</v>
      </c>
      <c r="K19" s="2" t="s">
        <v>1289</v>
      </c>
      <c r="L19" s="2" t="s">
        <v>1023</v>
      </c>
    </row>
    <row r="20" spans="1:12" ht="60" x14ac:dyDescent="0.25">
      <c r="A20" s="2">
        <v>16</v>
      </c>
      <c r="B20" s="2" t="s">
        <v>1330</v>
      </c>
      <c r="C20" s="2" t="s">
        <v>30</v>
      </c>
      <c r="D20" s="2" t="s">
        <v>29</v>
      </c>
      <c r="E20" s="2" t="s">
        <v>1331</v>
      </c>
      <c r="F20" s="111">
        <v>12</v>
      </c>
      <c r="G20" s="111">
        <v>1.2</v>
      </c>
      <c r="H20" s="111">
        <v>1.7999999999999998</v>
      </c>
      <c r="I20" s="2" t="s">
        <v>1309</v>
      </c>
      <c r="J20" s="2" t="s">
        <v>1338</v>
      </c>
      <c r="K20" s="2" t="s">
        <v>1289</v>
      </c>
      <c r="L20" s="2" t="s">
        <v>1023</v>
      </c>
    </row>
    <row r="21" spans="1:12" ht="45" x14ac:dyDescent="0.25">
      <c r="A21" s="2">
        <v>17</v>
      </c>
      <c r="B21" s="2" t="s">
        <v>1346</v>
      </c>
      <c r="C21" s="2" t="s">
        <v>30</v>
      </c>
      <c r="D21" s="2" t="s">
        <v>29</v>
      </c>
      <c r="E21" s="2" t="s">
        <v>1347</v>
      </c>
      <c r="F21" s="111">
        <v>12</v>
      </c>
      <c r="G21" s="111">
        <v>1.2</v>
      </c>
      <c r="H21" s="111">
        <v>1.7999999999999998</v>
      </c>
      <c r="I21" s="2" t="s">
        <v>1309</v>
      </c>
      <c r="J21" s="2" t="s">
        <v>1354</v>
      </c>
      <c r="K21" s="2" t="s">
        <v>1289</v>
      </c>
      <c r="L21" s="2" t="s">
        <v>1023</v>
      </c>
    </row>
    <row r="22" spans="1:12" ht="45" x14ac:dyDescent="0.25">
      <c r="A22" s="2">
        <v>18</v>
      </c>
      <c r="B22" s="2" t="s">
        <v>1355</v>
      </c>
      <c r="C22" s="2" t="s">
        <v>30</v>
      </c>
      <c r="D22" s="2" t="s">
        <v>29</v>
      </c>
      <c r="E22" s="2" t="s">
        <v>1356</v>
      </c>
      <c r="F22" s="111">
        <v>6</v>
      </c>
      <c r="G22" s="111">
        <v>0.6</v>
      </c>
      <c r="H22" s="111">
        <v>0.89999999999999991</v>
      </c>
      <c r="I22" s="2" t="s">
        <v>1309</v>
      </c>
      <c r="J22" s="2" t="s">
        <v>1361</v>
      </c>
      <c r="K22" s="2" t="s">
        <v>1289</v>
      </c>
      <c r="L22" s="2" t="s">
        <v>1023</v>
      </c>
    </row>
    <row r="23" spans="1:12" ht="45" x14ac:dyDescent="0.25">
      <c r="A23" s="2">
        <v>19</v>
      </c>
      <c r="B23" s="2" t="s">
        <v>1362</v>
      </c>
      <c r="C23" s="2" t="s">
        <v>30</v>
      </c>
      <c r="D23" s="2" t="s">
        <v>29</v>
      </c>
      <c r="E23" s="2" t="s">
        <v>3042</v>
      </c>
      <c r="F23" s="111">
        <v>8</v>
      </c>
      <c r="G23" s="111">
        <v>0.8</v>
      </c>
      <c r="H23" s="111">
        <v>1.2000000000000002</v>
      </c>
      <c r="I23" s="2" t="s">
        <v>1309</v>
      </c>
      <c r="J23" s="2" t="s">
        <v>1370</v>
      </c>
      <c r="K23" s="2" t="s">
        <v>1289</v>
      </c>
      <c r="L23" s="2" t="s">
        <v>1023</v>
      </c>
    </row>
    <row r="24" spans="1:12" ht="45" x14ac:dyDescent="0.25">
      <c r="A24" s="2">
        <v>20</v>
      </c>
      <c r="B24" s="2" t="s">
        <v>1371</v>
      </c>
      <c r="C24" s="2" t="s">
        <v>30</v>
      </c>
      <c r="D24" s="2" t="s">
        <v>33</v>
      </c>
      <c r="E24" s="2" t="s">
        <v>1372</v>
      </c>
      <c r="F24" s="111">
        <v>12</v>
      </c>
      <c r="G24" s="111">
        <v>1.2</v>
      </c>
      <c r="H24" s="111">
        <v>1.7999999999999998</v>
      </c>
      <c r="I24" s="2" t="s">
        <v>1379</v>
      </c>
      <c r="J24" s="2" t="s">
        <v>1380</v>
      </c>
      <c r="K24" s="2" t="s">
        <v>1289</v>
      </c>
      <c r="L24" s="2" t="s">
        <v>1023</v>
      </c>
    </row>
    <row r="25" spans="1:12" ht="45" x14ac:dyDescent="0.25">
      <c r="A25" s="2">
        <v>21</v>
      </c>
      <c r="B25" s="2" t="s">
        <v>1381</v>
      </c>
      <c r="C25" s="2" t="s">
        <v>30</v>
      </c>
      <c r="D25" s="2" t="s">
        <v>33</v>
      </c>
      <c r="E25" s="2" t="s">
        <v>1382</v>
      </c>
      <c r="F25" s="111">
        <v>8</v>
      </c>
      <c r="G25" s="111">
        <v>0.8</v>
      </c>
      <c r="H25" s="111">
        <v>1.2000000000000002</v>
      </c>
      <c r="I25" s="2" t="s">
        <v>1379</v>
      </c>
      <c r="J25" s="2" t="s">
        <v>1389</v>
      </c>
      <c r="K25" s="2" t="s">
        <v>1289</v>
      </c>
      <c r="L25" s="2" t="s">
        <v>1023</v>
      </c>
    </row>
    <row r="26" spans="1:12" ht="45" x14ac:dyDescent="0.25">
      <c r="A26" s="2">
        <v>22</v>
      </c>
      <c r="B26" s="2" t="s">
        <v>1390</v>
      </c>
      <c r="C26" s="2" t="s">
        <v>30</v>
      </c>
      <c r="D26" s="2" t="s">
        <v>33</v>
      </c>
      <c r="E26" s="2" t="s">
        <v>1391</v>
      </c>
      <c r="F26" s="111">
        <v>6</v>
      </c>
      <c r="G26" s="111">
        <v>0.6</v>
      </c>
      <c r="H26" s="111">
        <v>0.89999999999999991</v>
      </c>
      <c r="I26" s="2" t="s">
        <v>1379</v>
      </c>
      <c r="J26" s="2" t="s">
        <v>1396</v>
      </c>
      <c r="K26" s="2" t="s">
        <v>1289</v>
      </c>
      <c r="L26" s="2" t="s">
        <v>1023</v>
      </c>
    </row>
    <row r="27" spans="1:12" ht="45" x14ac:dyDescent="0.25">
      <c r="A27" s="2">
        <v>23</v>
      </c>
      <c r="B27" s="2" t="s">
        <v>1406</v>
      </c>
      <c r="C27" s="2" t="s">
        <v>30</v>
      </c>
      <c r="D27" s="2" t="s">
        <v>33</v>
      </c>
      <c r="E27" s="2" t="s">
        <v>1407</v>
      </c>
      <c r="F27" s="111">
        <v>8</v>
      </c>
      <c r="G27" s="111">
        <v>0.8</v>
      </c>
      <c r="H27" s="111">
        <v>1.2000000000000002</v>
      </c>
      <c r="I27" s="2" t="s">
        <v>1379</v>
      </c>
      <c r="J27" s="2" t="s">
        <v>1413</v>
      </c>
      <c r="K27" s="2" t="s">
        <v>1289</v>
      </c>
      <c r="L27" s="2" t="s">
        <v>1023</v>
      </c>
    </row>
    <row r="28" spans="1:12" ht="45" x14ac:dyDescent="0.25">
      <c r="A28" s="2">
        <v>24</v>
      </c>
      <c r="B28" s="2" t="s">
        <v>1414</v>
      </c>
      <c r="C28" s="2" t="s">
        <v>30</v>
      </c>
      <c r="D28" s="2" t="s">
        <v>33</v>
      </c>
      <c r="E28" s="2" t="s">
        <v>1415</v>
      </c>
      <c r="F28" s="111">
        <v>6</v>
      </c>
      <c r="G28" s="111">
        <v>0.6</v>
      </c>
      <c r="H28" s="111">
        <v>0.89999999999999991</v>
      </c>
      <c r="I28" s="2" t="s">
        <v>1379</v>
      </c>
      <c r="J28" s="2" t="s">
        <v>1420</v>
      </c>
      <c r="K28" s="2" t="s">
        <v>1289</v>
      </c>
      <c r="L28" s="2" t="s">
        <v>1023</v>
      </c>
    </row>
    <row r="29" spans="1:12" ht="60" x14ac:dyDescent="0.25">
      <c r="A29" s="2">
        <v>25</v>
      </c>
      <c r="B29" s="2" t="s">
        <v>1428</v>
      </c>
      <c r="C29" s="2" t="s">
        <v>30</v>
      </c>
      <c r="D29" s="2" t="s">
        <v>33</v>
      </c>
      <c r="E29" s="2" t="s">
        <v>1429</v>
      </c>
      <c r="F29" s="111">
        <v>8</v>
      </c>
      <c r="G29" s="111">
        <v>0.8</v>
      </c>
      <c r="H29" s="111">
        <v>1.2000000000000002</v>
      </c>
      <c r="I29" s="2" t="s">
        <v>1379</v>
      </c>
      <c r="J29" s="2" t="s">
        <v>1434</v>
      </c>
      <c r="K29" s="2" t="s">
        <v>1289</v>
      </c>
      <c r="L29" s="2" t="s">
        <v>1023</v>
      </c>
    </row>
    <row r="30" spans="1:12" ht="45" x14ac:dyDescent="0.25">
      <c r="A30" s="2">
        <v>26</v>
      </c>
      <c r="B30" s="2" t="s">
        <v>1435</v>
      </c>
      <c r="C30" s="2" t="s">
        <v>30</v>
      </c>
      <c r="D30" s="2" t="s">
        <v>33</v>
      </c>
      <c r="E30" s="2" t="s">
        <v>1436</v>
      </c>
      <c r="F30" s="111">
        <v>6</v>
      </c>
      <c r="G30" s="111">
        <v>0.6</v>
      </c>
      <c r="H30" s="111">
        <v>0.89999999999999991</v>
      </c>
      <c r="I30" s="2" t="s">
        <v>1379</v>
      </c>
      <c r="J30" s="2" t="s">
        <v>1441</v>
      </c>
      <c r="K30" s="2" t="s">
        <v>1289</v>
      </c>
      <c r="L30" s="2" t="s">
        <v>1023</v>
      </c>
    </row>
    <row r="31" spans="1:12" ht="60" x14ac:dyDescent="0.25">
      <c r="A31" s="2">
        <v>27</v>
      </c>
      <c r="B31" s="2" t="s">
        <v>1442</v>
      </c>
      <c r="C31" s="2" t="s">
        <v>30</v>
      </c>
      <c r="D31" s="2" t="s">
        <v>33</v>
      </c>
      <c r="E31" s="2" t="s">
        <v>1443</v>
      </c>
      <c r="F31" s="111">
        <v>8</v>
      </c>
      <c r="G31" s="111">
        <v>0.8</v>
      </c>
      <c r="H31" s="111">
        <v>1.2000000000000002</v>
      </c>
      <c r="I31" s="2" t="s">
        <v>1379</v>
      </c>
      <c r="J31" s="2" t="s">
        <v>1449</v>
      </c>
      <c r="K31" s="2" t="s">
        <v>1289</v>
      </c>
      <c r="L31" s="2" t="s">
        <v>1023</v>
      </c>
    </row>
    <row r="32" spans="1:12" ht="45" x14ac:dyDescent="0.25">
      <c r="A32" s="2">
        <v>28</v>
      </c>
      <c r="B32" s="2" t="s">
        <v>1450</v>
      </c>
      <c r="C32" s="2" t="s">
        <v>30</v>
      </c>
      <c r="D32" s="2" t="s">
        <v>33</v>
      </c>
      <c r="E32" s="2" t="s">
        <v>1451</v>
      </c>
      <c r="F32" s="111">
        <v>6</v>
      </c>
      <c r="G32" s="111">
        <v>0.6</v>
      </c>
      <c r="H32" s="111">
        <v>0.89999999999999991</v>
      </c>
      <c r="I32" s="2" t="s">
        <v>1379</v>
      </c>
      <c r="J32" s="2" t="s">
        <v>1456</v>
      </c>
      <c r="K32" s="2" t="s">
        <v>1289</v>
      </c>
      <c r="L32" s="2" t="s">
        <v>1457</v>
      </c>
    </row>
    <row r="33" spans="1:12" ht="60" x14ac:dyDescent="0.25">
      <c r="A33" s="2">
        <v>29</v>
      </c>
      <c r="B33" s="2" t="s">
        <v>1503</v>
      </c>
      <c r="C33" s="2" t="s">
        <v>30</v>
      </c>
      <c r="D33" s="2" t="s">
        <v>35</v>
      </c>
      <c r="E33" s="2" t="s">
        <v>1504</v>
      </c>
      <c r="F33" s="111">
        <v>12</v>
      </c>
      <c r="G33" s="111">
        <v>1.5</v>
      </c>
      <c r="H33" s="111">
        <v>2.3250000000000002</v>
      </c>
      <c r="I33" s="2" t="s">
        <v>1465</v>
      </c>
      <c r="J33" s="2" t="s">
        <v>1513</v>
      </c>
      <c r="K33" s="2" t="s">
        <v>1289</v>
      </c>
      <c r="L33" s="2" t="s">
        <v>1457</v>
      </c>
    </row>
    <row r="34" spans="1:12" ht="45" x14ac:dyDescent="0.25">
      <c r="A34" s="2">
        <v>30</v>
      </c>
      <c r="B34" s="2" t="s">
        <v>1519</v>
      </c>
      <c r="C34" s="2" t="s">
        <v>30</v>
      </c>
      <c r="D34" s="2" t="s">
        <v>35</v>
      </c>
      <c r="E34" s="2" t="s">
        <v>1520</v>
      </c>
      <c r="F34" s="111">
        <v>6</v>
      </c>
      <c r="G34" s="111">
        <v>0.6</v>
      </c>
      <c r="H34" s="111">
        <v>0.89999999999999991</v>
      </c>
      <c r="I34" s="2" t="s">
        <v>1465</v>
      </c>
      <c r="J34" s="2" t="s">
        <v>1524</v>
      </c>
      <c r="K34" s="2" t="s">
        <v>1289</v>
      </c>
      <c r="L34" s="2" t="s">
        <v>1457</v>
      </c>
    </row>
    <row r="35" spans="1:12" ht="45" x14ac:dyDescent="0.25">
      <c r="A35" s="2">
        <v>31</v>
      </c>
      <c r="B35" s="2" t="s">
        <v>1480</v>
      </c>
      <c r="C35" s="2" t="s">
        <v>30</v>
      </c>
      <c r="D35" s="2" t="s">
        <v>35</v>
      </c>
      <c r="E35" s="2" t="s">
        <v>1481</v>
      </c>
      <c r="F35" s="111">
        <v>8</v>
      </c>
      <c r="G35" s="111">
        <v>0.8</v>
      </c>
      <c r="H35" s="111">
        <v>1.2000000000000002</v>
      </c>
      <c r="I35" s="2" t="s">
        <v>1465</v>
      </c>
      <c r="J35" s="2" t="s">
        <v>1288</v>
      </c>
      <c r="K35" s="2" t="s">
        <v>1289</v>
      </c>
      <c r="L35" s="2" t="s">
        <v>1023</v>
      </c>
    </row>
    <row r="36" spans="1:12" ht="45" x14ac:dyDescent="0.25">
      <c r="A36" s="2">
        <v>32</v>
      </c>
      <c r="B36" s="2" t="s">
        <v>1494</v>
      </c>
      <c r="C36" s="2" t="s">
        <v>30</v>
      </c>
      <c r="D36" s="2" t="s">
        <v>35</v>
      </c>
      <c r="E36" s="2" t="s">
        <v>1495</v>
      </c>
      <c r="F36" s="111">
        <v>12</v>
      </c>
      <c r="G36" s="111">
        <v>1.2</v>
      </c>
      <c r="H36" s="111">
        <v>1.7999999999999998</v>
      </c>
      <c r="I36" s="2" t="s">
        <v>1465</v>
      </c>
      <c r="J36" s="2" t="s">
        <v>1288</v>
      </c>
      <c r="K36" s="2" t="s">
        <v>1289</v>
      </c>
      <c r="L36" s="2" t="s">
        <v>1023</v>
      </c>
    </row>
    <row r="37" spans="1:12" ht="45" x14ac:dyDescent="0.25">
      <c r="A37" s="2">
        <v>33</v>
      </c>
      <c r="B37" s="2" t="s">
        <v>1498</v>
      </c>
      <c r="C37" s="2" t="s">
        <v>30</v>
      </c>
      <c r="D37" s="2" t="s">
        <v>35</v>
      </c>
      <c r="E37" s="2" t="s">
        <v>1499</v>
      </c>
      <c r="F37" s="111">
        <v>12</v>
      </c>
      <c r="G37" s="111">
        <v>2</v>
      </c>
      <c r="H37" s="111">
        <v>3.2</v>
      </c>
      <c r="I37" s="2" t="s">
        <v>1465</v>
      </c>
      <c r="J37" s="2" t="s">
        <v>1288</v>
      </c>
      <c r="K37" s="2" t="s">
        <v>1289</v>
      </c>
      <c r="L37" s="2" t="s">
        <v>1023</v>
      </c>
    </row>
    <row r="38" spans="1:12" ht="45" x14ac:dyDescent="0.25">
      <c r="A38" s="2">
        <v>34</v>
      </c>
      <c r="B38" s="2" t="s">
        <v>210</v>
      </c>
      <c r="C38" s="2" t="s">
        <v>30</v>
      </c>
      <c r="D38" s="2" t="s">
        <v>35</v>
      </c>
      <c r="E38" s="2" t="s">
        <v>1514</v>
      </c>
      <c r="F38" s="111">
        <v>8</v>
      </c>
      <c r="G38" s="111">
        <v>0.8</v>
      </c>
      <c r="H38" s="111">
        <v>1.2000000000000002</v>
      </c>
      <c r="I38" s="2" t="s">
        <v>1465</v>
      </c>
      <c r="J38" s="2" t="s">
        <v>1288</v>
      </c>
      <c r="K38" s="2" t="s">
        <v>1289</v>
      </c>
      <c r="L38" s="2" t="s">
        <v>1023</v>
      </c>
    </row>
    <row r="39" spans="1:12" ht="45" x14ac:dyDescent="0.25">
      <c r="A39" s="2">
        <v>35</v>
      </c>
      <c r="B39" s="2" t="s">
        <v>1525</v>
      </c>
      <c r="C39" s="2" t="s">
        <v>30</v>
      </c>
      <c r="D39" s="2" t="s">
        <v>35</v>
      </c>
      <c r="E39" s="2" t="s">
        <v>1526</v>
      </c>
      <c r="F39" s="111">
        <v>4</v>
      </c>
      <c r="G39" s="111">
        <v>0.5</v>
      </c>
      <c r="H39" s="111">
        <v>0.77500000000000002</v>
      </c>
      <c r="I39" s="2" t="s">
        <v>1465</v>
      </c>
      <c r="J39" s="2" t="s">
        <v>1288</v>
      </c>
      <c r="K39" s="2" t="s">
        <v>1289</v>
      </c>
      <c r="L39" s="2" t="s">
        <v>1023</v>
      </c>
    </row>
    <row r="40" spans="1:12" ht="45" x14ac:dyDescent="0.25">
      <c r="A40" s="2">
        <v>36</v>
      </c>
      <c r="B40" s="2" t="s">
        <v>1529</v>
      </c>
      <c r="C40" s="2" t="s">
        <v>30</v>
      </c>
      <c r="D40" s="2" t="s">
        <v>35</v>
      </c>
      <c r="E40" s="2" t="s">
        <v>3043</v>
      </c>
      <c r="F40" s="111">
        <v>8</v>
      </c>
      <c r="G40" s="111">
        <v>0.8</v>
      </c>
      <c r="H40" s="111">
        <v>1.2000000000000002</v>
      </c>
      <c r="I40" s="2" t="s">
        <v>1465</v>
      </c>
      <c r="J40" s="2" t="s">
        <v>1288</v>
      </c>
      <c r="K40" s="2" t="s">
        <v>1289</v>
      </c>
      <c r="L40" s="2" t="s">
        <v>1023</v>
      </c>
    </row>
    <row r="41" spans="1:12" ht="45" x14ac:dyDescent="0.25">
      <c r="A41" s="2">
        <v>37</v>
      </c>
      <c r="B41" s="2" t="s">
        <v>1536</v>
      </c>
      <c r="C41" s="2" t="s">
        <v>30</v>
      </c>
      <c r="D41" s="2" t="s">
        <v>35</v>
      </c>
      <c r="E41" s="2" t="s">
        <v>1537</v>
      </c>
      <c r="F41" s="111">
        <v>6</v>
      </c>
      <c r="G41" s="111">
        <v>0.6</v>
      </c>
      <c r="H41" s="111">
        <v>0.89999999999999991</v>
      </c>
      <c r="I41" s="2" t="s">
        <v>1465</v>
      </c>
      <c r="J41" s="2" t="s">
        <v>1288</v>
      </c>
      <c r="K41" s="2" t="s">
        <v>1289</v>
      </c>
      <c r="L41" s="2" t="s">
        <v>1023</v>
      </c>
    </row>
    <row r="42" spans="1:12" ht="45" x14ac:dyDescent="0.25">
      <c r="A42" s="2">
        <v>38</v>
      </c>
      <c r="B42" s="2" t="s">
        <v>1339</v>
      </c>
      <c r="C42" s="2" t="s">
        <v>30</v>
      </c>
      <c r="D42" s="2" t="s">
        <v>29</v>
      </c>
      <c r="E42" s="2" t="s">
        <v>1340</v>
      </c>
      <c r="F42" s="111">
        <v>12</v>
      </c>
      <c r="G42" s="111">
        <v>1.2</v>
      </c>
      <c r="H42" s="111">
        <v>1.7999999999999998</v>
      </c>
      <c r="I42" s="2" t="s">
        <v>1309</v>
      </c>
      <c r="J42" s="2" t="s">
        <v>1345</v>
      </c>
      <c r="K42" s="2" t="s">
        <v>1289</v>
      </c>
      <c r="L42" s="2" t="s">
        <v>1023</v>
      </c>
    </row>
    <row r="43" spans="1:12" ht="45" x14ac:dyDescent="0.25">
      <c r="A43" s="2">
        <v>39</v>
      </c>
      <c r="B43" s="2" t="s">
        <v>1540</v>
      </c>
      <c r="C43" s="2" t="s">
        <v>30</v>
      </c>
      <c r="D43" s="2" t="s">
        <v>38</v>
      </c>
      <c r="E43" s="2" t="s">
        <v>1541</v>
      </c>
      <c r="F43" s="111">
        <v>12</v>
      </c>
      <c r="G43" s="111">
        <v>1.2</v>
      </c>
      <c r="H43" s="111">
        <v>1.7999999999999998</v>
      </c>
      <c r="I43" s="2" t="s">
        <v>1545</v>
      </c>
      <c r="J43" s="2" t="s">
        <v>1288</v>
      </c>
      <c r="K43" s="2" t="s">
        <v>1289</v>
      </c>
      <c r="L43" s="2" t="s">
        <v>1023</v>
      </c>
    </row>
    <row r="44" spans="1:12" ht="45" x14ac:dyDescent="0.25">
      <c r="A44" s="2">
        <v>40</v>
      </c>
      <c r="B44" s="2" t="s">
        <v>1546</v>
      </c>
      <c r="C44" s="2" t="s">
        <v>30</v>
      </c>
      <c r="D44" s="2" t="s">
        <v>38</v>
      </c>
      <c r="E44" s="2" t="s">
        <v>1547</v>
      </c>
      <c r="F44" s="111">
        <v>12</v>
      </c>
      <c r="G44" s="111">
        <v>1.2</v>
      </c>
      <c r="H44" s="111">
        <v>1.7999999999999998</v>
      </c>
      <c r="I44" s="2" t="s">
        <v>1545</v>
      </c>
      <c r="J44" s="2" t="s">
        <v>1288</v>
      </c>
      <c r="K44" s="2" t="s">
        <v>1289</v>
      </c>
      <c r="L44" s="2" t="s">
        <v>1023</v>
      </c>
    </row>
    <row r="45" spans="1:12" ht="45" x14ac:dyDescent="0.25">
      <c r="A45" s="2">
        <v>41</v>
      </c>
      <c r="B45" s="2" t="s">
        <v>1555</v>
      </c>
      <c r="C45" s="2" t="s">
        <v>30</v>
      </c>
      <c r="D45" s="2" t="s">
        <v>38</v>
      </c>
      <c r="E45" s="2" t="s">
        <v>1556</v>
      </c>
      <c r="F45" s="111">
        <v>12</v>
      </c>
      <c r="G45" s="111">
        <v>1.2</v>
      </c>
      <c r="H45" s="111">
        <v>1.7999999999999998</v>
      </c>
      <c r="I45" s="2" t="s">
        <v>1545</v>
      </c>
      <c r="J45" s="2" t="s">
        <v>1564</v>
      </c>
      <c r="K45" s="2" t="s">
        <v>1289</v>
      </c>
      <c r="L45" s="2" t="s">
        <v>1023</v>
      </c>
    </row>
    <row r="46" spans="1:12" ht="45" x14ac:dyDescent="0.25">
      <c r="A46" s="2">
        <v>42</v>
      </c>
      <c r="B46" s="2" t="s">
        <v>1565</v>
      </c>
      <c r="C46" s="2" t="s">
        <v>30</v>
      </c>
      <c r="D46" s="2" t="s">
        <v>38</v>
      </c>
      <c r="E46" s="2" t="s">
        <v>3044</v>
      </c>
      <c r="F46" s="111">
        <v>12</v>
      </c>
      <c r="G46" s="111">
        <v>2</v>
      </c>
      <c r="H46" s="111">
        <v>3.2</v>
      </c>
      <c r="I46" s="2" t="s">
        <v>1545</v>
      </c>
      <c r="J46" s="2" t="s">
        <v>1575</v>
      </c>
      <c r="K46" s="2" t="s">
        <v>1289</v>
      </c>
      <c r="L46" s="2" t="s">
        <v>1023</v>
      </c>
    </row>
    <row r="47" spans="1:12" ht="45" x14ac:dyDescent="0.25">
      <c r="A47" s="2">
        <v>43</v>
      </c>
      <c r="B47" s="2" t="s">
        <v>1576</v>
      </c>
      <c r="C47" s="2" t="s">
        <v>30</v>
      </c>
      <c r="D47" s="2" t="s">
        <v>38</v>
      </c>
      <c r="E47" s="2" t="s">
        <v>1577</v>
      </c>
      <c r="F47" s="111">
        <v>12</v>
      </c>
      <c r="G47" s="111">
        <v>2</v>
      </c>
      <c r="H47" s="111">
        <v>3.2</v>
      </c>
      <c r="I47" s="2" t="s">
        <v>1545</v>
      </c>
      <c r="J47" s="2" t="s">
        <v>1288</v>
      </c>
      <c r="K47" s="2" t="s">
        <v>1289</v>
      </c>
      <c r="L47" s="2" t="s">
        <v>1023</v>
      </c>
    </row>
    <row r="48" spans="1:12" ht="45" x14ac:dyDescent="0.25">
      <c r="A48" s="2">
        <v>44</v>
      </c>
      <c r="B48" s="2" t="s">
        <v>1580</v>
      </c>
      <c r="C48" s="2" t="s">
        <v>30</v>
      </c>
      <c r="D48" s="2" t="s">
        <v>38</v>
      </c>
      <c r="E48" s="2" t="s">
        <v>1581</v>
      </c>
      <c r="F48" s="111">
        <v>12</v>
      </c>
      <c r="G48" s="111">
        <v>2</v>
      </c>
      <c r="H48" s="111">
        <v>3.2</v>
      </c>
      <c r="I48" s="2" t="s">
        <v>1545</v>
      </c>
      <c r="J48" s="2" t="s">
        <v>1288</v>
      </c>
      <c r="K48" s="2" t="s">
        <v>1289</v>
      </c>
      <c r="L48" s="2" t="s">
        <v>1023</v>
      </c>
    </row>
    <row r="49" spans="1:12" ht="45" x14ac:dyDescent="0.25">
      <c r="A49" s="2">
        <v>45</v>
      </c>
      <c r="B49" s="2" t="s">
        <v>1587</v>
      </c>
      <c r="C49" s="2" t="s">
        <v>30</v>
      </c>
      <c r="D49" s="2" t="s">
        <v>38</v>
      </c>
      <c r="E49" s="2" t="s">
        <v>1588</v>
      </c>
      <c r="F49" s="111">
        <v>12</v>
      </c>
      <c r="G49" s="111">
        <v>2</v>
      </c>
      <c r="H49" s="111">
        <v>3.2</v>
      </c>
      <c r="I49" s="2" t="s">
        <v>1545</v>
      </c>
      <c r="J49" s="2" t="s">
        <v>1288</v>
      </c>
      <c r="K49" s="2" t="s">
        <v>1289</v>
      </c>
      <c r="L49" s="2" t="s">
        <v>1023</v>
      </c>
    </row>
    <row r="50" spans="1:12" ht="45" x14ac:dyDescent="0.25">
      <c r="A50" s="2">
        <v>46</v>
      </c>
      <c r="B50" s="2" t="s">
        <v>1593</v>
      </c>
      <c r="C50" s="2" t="s">
        <v>30</v>
      </c>
      <c r="D50" s="2" t="s">
        <v>38</v>
      </c>
      <c r="E50" s="2" t="s">
        <v>1594</v>
      </c>
      <c r="F50" s="111">
        <v>12</v>
      </c>
      <c r="G50" s="111">
        <v>0.66666666666666663</v>
      </c>
      <c r="H50" s="111">
        <v>0.9</v>
      </c>
      <c r="I50" s="2" t="s">
        <v>1545</v>
      </c>
      <c r="J50" s="2" t="s">
        <v>1288</v>
      </c>
      <c r="K50" s="2" t="s">
        <v>1289</v>
      </c>
      <c r="L50" s="2" t="s">
        <v>1023</v>
      </c>
    </row>
    <row r="51" spans="1:12" ht="45" x14ac:dyDescent="0.25">
      <c r="A51" s="2">
        <v>47</v>
      </c>
      <c r="B51" s="2" t="s">
        <v>1940</v>
      </c>
      <c r="C51" s="2" t="s">
        <v>30</v>
      </c>
      <c r="D51" s="2" t="s">
        <v>38</v>
      </c>
      <c r="E51" s="2" t="s">
        <v>1941</v>
      </c>
      <c r="F51" s="111">
        <v>6</v>
      </c>
      <c r="G51" s="111">
        <v>0.6</v>
      </c>
      <c r="H51" s="111">
        <v>0.89999999999999991</v>
      </c>
      <c r="I51" s="2" t="s">
        <v>1545</v>
      </c>
      <c r="J51" s="2" t="s">
        <v>1949</v>
      </c>
      <c r="K51" s="2" t="s">
        <v>1289</v>
      </c>
      <c r="L51" s="2" t="s">
        <v>1023</v>
      </c>
    </row>
    <row r="52" spans="1:12" ht="30" x14ac:dyDescent="0.25">
      <c r="A52" s="2">
        <v>48</v>
      </c>
      <c r="B52" s="2" t="s">
        <v>206</v>
      </c>
      <c r="C52" s="2" t="s">
        <v>41</v>
      </c>
      <c r="D52" s="2" t="s">
        <v>55</v>
      </c>
      <c r="E52" s="2" t="s">
        <v>1718</v>
      </c>
      <c r="F52" s="111">
        <v>12</v>
      </c>
      <c r="G52" s="111">
        <v>2.4</v>
      </c>
      <c r="H52" s="111">
        <v>4.08</v>
      </c>
      <c r="I52" s="2" t="s">
        <v>1665</v>
      </c>
      <c r="J52" s="2" t="s">
        <v>1729</v>
      </c>
      <c r="K52" s="2" t="s">
        <v>1730</v>
      </c>
      <c r="L52" s="2" t="s">
        <v>1731</v>
      </c>
    </row>
    <row r="53" spans="1:12" ht="45" x14ac:dyDescent="0.25">
      <c r="A53" s="2">
        <v>49</v>
      </c>
      <c r="B53" s="2" t="s">
        <v>1732</v>
      </c>
      <c r="C53" s="2" t="s">
        <v>59</v>
      </c>
      <c r="D53" s="2" t="s">
        <v>58</v>
      </c>
      <c r="E53" s="2" t="s">
        <v>1733</v>
      </c>
      <c r="F53" s="111">
        <v>12</v>
      </c>
      <c r="G53" s="111">
        <v>4</v>
      </c>
      <c r="H53" s="111">
        <v>7.2</v>
      </c>
      <c r="I53" s="2" t="s">
        <v>1746</v>
      </c>
      <c r="J53" s="2" t="s">
        <v>1747</v>
      </c>
      <c r="K53" s="2" t="s">
        <v>1748</v>
      </c>
      <c r="L53" s="2" t="s">
        <v>1023</v>
      </c>
    </row>
    <row r="54" spans="1:12" ht="45" x14ac:dyDescent="0.25">
      <c r="A54" s="2">
        <v>50</v>
      </c>
      <c r="B54" s="2" t="s">
        <v>1749</v>
      </c>
      <c r="C54" s="2" t="s">
        <v>59</v>
      </c>
      <c r="D54" s="2" t="s">
        <v>58</v>
      </c>
      <c r="E54" s="2" t="s">
        <v>1750</v>
      </c>
      <c r="F54" s="111">
        <v>12</v>
      </c>
      <c r="G54" s="111">
        <v>4</v>
      </c>
      <c r="H54" s="111">
        <v>7.2</v>
      </c>
      <c r="I54" s="2" t="s">
        <v>1746</v>
      </c>
      <c r="J54" s="2" t="s">
        <v>1747</v>
      </c>
      <c r="K54" s="2" t="s">
        <v>1748</v>
      </c>
      <c r="L54" s="2" t="s">
        <v>1023</v>
      </c>
    </row>
    <row r="55" spans="1:12" ht="45" x14ac:dyDescent="0.25">
      <c r="A55" s="2">
        <v>51</v>
      </c>
      <c r="B55" s="2" t="s">
        <v>1753</v>
      </c>
      <c r="C55" s="2" t="s">
        <v>59</v>
      </c>
      <c r="D55" s="2" t="s">
        <v>58</v>
      </c>
      <c r="E55" s="2" t="s">
        <v>1754</v>
      </c>
      <c r="F55" s="111">
        <v>12</v>
      </c>
      <c r="G55" s="111">
        <v>4</v>
      </c>
      <c r="H55" s="111">
        <v>7.2</v>
      </c>
      <c r="I55" s="2" t="s">
        <v>1746</v>
      </c>
      <c r="J55" s="2" t="s">
        <v>1747</v>
      </c>
      <c r="K55" s="2" t="s">
        <v>1748</v>
      </c>
      <c r="L55" s="2" t="s">
        <v>1023</v>
      </c>
    </row>
    <row r="56" spans="1:12" ht="45" x14ac:dyDescent="0.25">
      <c r="A56" s="2">
        <v>52</v>
      </c>
      <c r="B56" s="2" t="s">
        <v>1758</v>
      </c>
      <c r="C56" s="2" t="s">
        <v>59</v>
      </c>
      <c r="D56" s="2" t="s">
        <v>58</v>
      </c>
      <c r="E56" s="2" t="s">
        <v>1759</v>
      </c>
      <c r="F56" s="111">
        <v>12</v>
      </c>
      <c r="G56" s="111">
        <v>4</v>
      </c>
      <c r="H56" s="111">
        <v>7.2</v>
      </c>
      <c r="I56" s="2" t="s">
        <v>1746</v>
      </c>
      <c r="J56" s="2" t="s">
        <v>1747</v>
      </c>
      <c r="K56" s="2" t="s">
        <v>1748</v>
      </c>
      <c r="L56" s="2" t="s">
        <v>1023</v>
      </c>
    </row>
    <row r="57" spans="1:12" ht="45" x14ac:dyDescent="0.25">
      <c r="A57" s="2">
        <v>53</v>
      </c>
      <c r="B57" s="2" t="s">
        <v>1789</v>
      </c>
      <c r="C57" s="2" t="s">
        <v>59</v>
      </c>
      <c r="D57" s="2" t="s">
        <v>62</v>
      </c>
      <c r="E57" s="2" t="s">
        <v>1790</v>
      </c>
      <c r="F57" s="111">
        <v>12</v>
      </c>
      <c r="G57" s="111">
        <v>4</v>
      </c>
      <c r="H57" s="111">
        <v>7.2</v>
      </c>
      <c r="I57" s="2" t="s">
        <v>1746</v>
      </c>
      <c r="J57" s="2" t="s">
        <v>1747</v>
      </c>
      <c r="K57" s="2" t="s">
        <v>1748</v>
      </c>
      <c r="L57" s="2" t="s">
        <v>1023</v>
      </c>
    </row>
    <row r="58" spans="1:12" ht="45" x14ac:dyDescent="0.25">
      <c r="A58" s="2">
        <v>54</v>
      </c>
      <c r="B58" s="2" t="s">
        <v>1794</v>
      </c>
      <c r="C58" s="2" t="s">
        <v>59</v>
      </c>
      <c r="D58" s="2" t="s">
        <v>62</v>
      </c>
      <c r="E58" s="2" t="s">
        <v>1795</v>
      </c>
      <c r="F58" s="111">
        <v>12</v>
      </c>
      <c r="G58" s="111">
        <v>4</v>
      </c>
      <c r="H58" s="111">
        <v>7.2</v>
      </c>
      <c r="I58" s="2" t="s">
        <v>1746</v>
      </c>
      <c r="J58" s="2" t="s">
        <v>1747</v>
      </c>
      <c r="K58" s="2" t="s">
        <v>1748</v>
      </c>
      <c r="L58" s="2" t="s">
        <v>1023</v>
      </c>
    </row>
    <row r="59" spans="1:12" ht="45" x14ac:dyDescent="0.25">
      <c r="A59" s="2">
        <v>55</v>
      </c>
      <c r="B59" s="2" t="s">
        <v>1798</v>
      </c>
      <c r="C59" s="2" t="s">
        <v>59</v>
      </c>
      <c r="D59" s="2" t="s">
        <v>62</v>
      </c>
      <c r="E59" s="2" t="s">
        <v>1799</v>
      </c>
      <c r="F59" s="111">
        <v>12</v>
      </c>
      <c r="G59" s="111">
        <v>4</v>
      </c>
      <c r="H59" s="111">
        <v>7.2</v>
      </c>
      <c r="I59" s="2" t="s">
        <v>1746</v>
      </c>
      <c r="J59" s="2" t="s">
        <v>1747</v>
      </c>
      <c r="K59" s="2" t="s">
        <v>1748</v>
      </c>
      <c r="L59" s="2" t="s">
        <v>1023</v>
      </c>
    </row>
    <row r="60" spans="1:12" ht="45" x14ac:dyDescent="0.25">
      <c r="A60" s="2">
        <v>56</v>
      </c>
      <c r="B60" s="2" t="s">
        <v>1802</v>
      </c>
      <c r="C60" s="2" t="s">
        <v>59</v>
      </c>
      <c r="D60" s="2" t="s">
        <v>62</v>
      </c>
      <c r="E60" s="2" t="s">
        <v>1803</v>
      </c>
      <c r="F60" s="111">
        <v>12</v>
      </c>
      <c r="G60" s="111">
        <v>4</v>
      </c>
      <c r="H60" s="111">
        <v>7.2</v>
      </c>
      <c r="I60" s="2" t="s">
        <v>1746</v>
      </c>
      <c r="J60" s="2" t="s">
        <v>1747</v>
      </c>
      <c r="K60" s="2" t="s">
        <v>1748</v>
      </c>
      <c r="L60" s="2" t="s">
        <v>1023</v>
      </c>
    </row>
    <row r="61" spans="1:12" ht="45" x14ac:dyDescent="0.25">
      <c r="A61" s="2">
        <v>57</v>
      </c>
      <c r="B61" s="2" t="s">
        <v>243</v>
      </c>
      <c r="C61" s="2" t="s">
        <v>59</v>
      </c>
      <c r="D61" s="2" t="s">
        <v>62</v>
      </c>
      <c r="E61" s="2" t="s">
        <v>1806</v>
      </c>
      <c r="F61" s="111">
        <v>12</v>
      </c>
      <c r="G61" s="111">
        <v>4</v>
      </c>
      <c r="H61" s="111">
        <v>7.2</v>
      </c>
      <c r="I61" s="2" t="s">
        <v>1746</v>
      </c>
      <c r="J61" s="2" t="s">
        <v>1747</v>
      </c>
      <c r="K61" s="2" t="s">
        <v>1748</v>
      </c>
      <c r="L61" s="2" t="s">
        <v>1023</v>
      </c>
    </row>
    <row r="62" spans="1:12" ht="45" x14ac:dyDescent="0.25">
      <c r="A62" s="2">
        <v>58</v>
      </c>
      <c r="B62" s="2" t="s">
        <v>1809</v>
      </c>
      <c r="C62" s="2" t="s">
        <v>59</v>
      </c>
      <c r="D62" s="2" t="s">
        <v>62</v>
      </c>
      <c r="E62" s="2" t="s">
        <v>1810</v>
      </c>
      <c r="F62" s="111">
        <v>12</v>
      </c>
      <c r="G62" s="111">
        <v>4</v>
      </c>
      <c r="H62" s="111">
        <v>7.2</v>
      </c>
      <c r="I62" s="2" t="s">
        <v>1746</v>
      </c>
      <c r="J62" s="2" t="s">
        <v>1747</v>
      </c>
      <c r="K62" s="2" t="s">
        <v>1748</v>
      </c>
      <c r="L62" s="2" t="s">
        <v>1023</v>
      </c>
    </row>
    <row r="65" spans="1:12" ht="17.25" x14ac:dyDescent="0.3">
      <c r="A65" s="140" t="s">
        <v>3058</v>
      </c>
      <c r="B65" s="140"/>
      <c r="C65" s="140"/>
      <c r="D65" s="140"/>
      <c r="E65" s="140"/>
      <c r="F65" s="140"/>
      <c r="G65" s="140"/>
      <c r="H65" s="140"/>
      <c r="I65" s="140"/>
      <c r="J65" s="140"/>
      <c r="K65" s="140"/>
      <c r="L65" s="140"/>
    </row>
    <row r="66" spans="1:12" ht="30" x14ac:dyDescent="0.25">
      <c r="A66" s="113" t="s">
        <v>359</v>
      </c>
      <c r="B66" s="113" t="s">
        <v>3052</v>
      </c>
      <c r="C66" s="113" t="s">
        <v>1</v>
      </c>
      <c r="D66" s="113" t="s">
        <v>131</v>
      </c>
      <c r="E66" s="113" t="s">
        <v>361</v>
      </c>
      <c r="F66" s="113" t="s">
        <v>3032</v>
      </c>
      <c r="G66" s="113" t="s">
        <v>3053</v>
      </c>
      <c r="H66" s="113" t="s">
        <v>3054</v>
      </c>
      <c r="I66" s="113" t="s">
        <v>360</v>
      </c>
      <c r="J66" s="113" t="s">
        <v>3055</v>
      </c>
      <c r="K66" s="113" t="s">
        <v>3056</v>
      </c>
      <c r="L66" s="113" t="s">
        <v>3057</v>
      </c>
    </row>
    <row r="67" spans="1:12" ht="45" x14ac:dyDescent="0.25">
      <c r="A67" s="2">
        <v>1</v>
      </c>
      <c r="B67" s="2" t="s">
        <v>1003</v>
      </c>
      <c r="C67" s="2" t="s">
        <v>7</v>
      </c>
      <c r="D67" s="2" t="s">
        <v>17</v>
      </c>
      <c r="E67" s="2" t="s">
        <v>1004</v>
      </c>
      <c r="F67" s="111">
        <v>4</v>
      </c>
      <c r="G67" s="111">
        <v>0.75</v>
      </c>
      <c r="H67" s="111">
        <v>1.5</v>
      </c>
      <c r="I67" s="2" t="s">
        <v>1020</v>
      </c>
      <c r="J67" s="2" t="s">
        <v>1021</v>
      </c>
      <c r="K67" s="2" t="s">
        <v>1022</v>
      </c>
      <c r="L67" s="2" t="s">
        <v>1023</v>
      </c>
    </row>
    <row r="68" spans="1:12" ht="45" x14ac:dyDescent="0.25">
      <c r="A68" s="2">
        <v>2</v>
      </c>
      <c r="B68" s="2" t="s">
        <v>1024</v>
      </c>
      <c r="C68" s="2" t="s">
        <v>7</v>
      </c>
      <c r="D68" s="2" t="s">
        <v>17</v>
      </c>
      <c r="E68" s="2" t="s">
        <v>1025</v>
      </c>
      <c r="F68" s="111">
        <v>6</v>
      </c>
      <c r="G68" s="111">
        <v>0.66666666666666663</v>
      </c>
      <c r="H68" s="111">
        <v>1</v>
      </c>
      <c r="I68" s="2" t="s">
        <v>1020</v>
      </c>
      <c r="J68" s="2" t="s">
        <v>987</v>
      </c>
      <c r="K68" s="2" t="s">
        <v>1022</v>
      </c>
      <c r="L68" s="2" t="s">
        <v>1023</v>
      </c>
    </row>
    <row r="69" spans="1:12" ht="45" x14ac:dyDescent="0.25">
      <c r="A69" s="2">
        <v>3</v>
      </c>
      <c r="B69" s="2" t="s">
        <v>1030</v>
      </c>
      <c r="C69" s="2" t="s">
        <v>7</v>
      </c>
      <c r="D69" s="2" t="s">
        <v>17</v>
      </c>
      <c r="E69" s="2" t="s">
        <v>1031</v>
      </c>
      <c r="F69" s="111">
        <v>6</v>
      </c>
      <c r="G69" s="111">
        <v>0.66666666666666663</v>
      </c>
      <c r="H69" s="111">
        <v>1</v>
      </c>
      <c r="I69" s="2" t="s">
        <v>1020</v>
      </c>
      <c r="J69" s="2" t="s">
        <v>987</v>
      </c>
      <c r="K69" s="2" t="s">
        <v>1022</v>
      </c>
      <c r="L69" s="2" t="s">
        <v>1023</v>
      </c>
    </row>
    <row r="70" spans="1:12" ht="45" x14ac:dyDescent="0.25">
      <c r="A70" s="2">
        <v>4</v>
      </c>
      <c r="B70" s="2" t="s">
        <v>1034</v>
      </c>
      <c r="C70" s="2" t="s">
        <v>7</v>
      </c>
      <c r="D70" s="2" t="s">
        <v>17</v>
      </c>
      <c r="E70" s="2" t="s">
        <v>1035</v>
      </c>
      <c r="F70" s="111">
        <v>4</v>
      </c>
      <c r="G70" s="111">
        <v>0.44444444444444442</v>
      </c>
      <c r="H70" s="111">
        <v>0.66666666666666663</v>
      </c>
      <c r="I70" s="2" t="s">
        <v>1020</v>
      </c>
      <c r="J70" s="2" t="s">
        <v>987</v>
      </c>
      <c r="K70" s="2" t="s">
        <v>1022</v>
      </c>
      <c r="L70" s="2" t="s">
        <v>1023</v>
      </c>
    </row>
    <row r="71" spans="1:12" ht="45" x14ac:dyDescent="0.25">
      <c r="A71" s="2">
        <v>5</v>
      </c>
      <c r="B71" s="2" t="s">
        <v>1038</v>
      </c>
      <c r="C71" s="2" t="s">
        <v>7</v>
      </c>
      <c r="D71" s="2" t="s">
        <v>21</v>
      </c>
      <c r="E71" s="2" t="s">
        <v>1039</v>
      </c>
      <c r="F71" s="111">
        <v>4</v>
      </c>
      <c r="G71" s="111">
        <v>0.44444444444444442</v>
      </c>
      <c r="H71" s="111">
        <v>0.66666666666666663</v>
      </c>
      <c r="I71" s="2" t="s">
        <v>1043</v>
      </c>
      <c r="J71" s="2" t="s">
        <v>987</v>
      </c>
      <c r="K71" s="2" t="s">
        <v>1022</v>
      </c>
      <c r="L71" s="2" t="s">
        <v>1023</v>
      </c>
    </row>
    <row r="72" spans="1:12" ht="45" x14ac:dyDescent="0.25">
      <c r="A72" s="2">
        <v>6</v>
      </c>
      <c r="B72" s="2" t="s">
        <v>1089</v>
      </c>
      <c r="C72" s="2" t="s">
        <v>7</v>
      </c>
      <c r="D72" s="2" t="s">
        <v>21</v>
      </c>
      <c r="E72" s="2" t="s">
        <v>1090</v>
      </c>
      <c r="F72" s="111">
        <v>4</v>
      </c>
      <c r="G72" s="111">
        <v>0.44444444444444442</v>
      </c>
      <c r="H72" s="111">
        <v>0.66666666666666663</v>
      </c>
      <c r="I72" s="2" t="s">
        <v>1043</v>
      </c>
      <c r="J72" s="2" t="s">
        <v>1095</v>
      </c>
      <c r="K72" s="2" t="s">
        <v>1022</v>
      </c>
      <c r="L72" s="2" t="s">
        <v>1023</v>
      </c>
    </row>
    <row r="73" spans="1:12" ht="45" x14ac:dyDescent="0.25">
      <c r="A73" s="2">
        <v>7</v>
      </c>
      <c r="B73" s="2" t="s">
        <v>1173</v>
      </c>
      <c r="C73" s="2" t="s">
        <v>7</v>
      </c>
      <c r="D73" s="2" t="s">
        <v>21</v>
      </c>
      <c r="E73" s="2" t="s">
        <v>1174</v>
      </c>
      <c r="F73" s="111">
        <v>6</v>
      </c>
      <c r="G73" s="111">
        <v>0.66666666666666663</v>
      </c>
      <c r="H73" s="111">
        <v>1</v>
      </c>
      <c r="I73" s="2" t="s">
        <v>1153</v>
      </c>
      <c r="J73" s="2" t="s">
        <v>1181</v>
      </c>
      <c r="K73" s="2" t="s">
        <v>1022</v>
      </c>
      <c r="L73" s="2" t="s">
        <v>1023</v>
      </c>
    </row>
    <row r="74" spans="1:12" ht="45" x14ac:dyDescent="0.25">
      <c r="A74" s="2">
        <v>8</v>
      </c>
      <c r="B74" s="2" t="s">
        <v>1144</v>
      </c>
      <c r="C74" s="2" t="s">
        <v>7</v>
      </c>
      <c r="D74" s="2" t="s">
        <v>21</v>
      </c>
      <c r="E74" s="2" t="s">
        <v>1145</v>
      </c>
      <c r="F74" s="111">
        <v>12</v>
      </c>
      <c r="G74" s="111">
        <v>1.3333333333333333</v>
      </c>
      <c r="H74" s="111">
        <v>2</v>
      </c>
      <c r="I74" s="2" t="s">
        <v>1153</v>
      </c>
      <c r="J74" s="2" t="s">
        <v>1154</v>
      </c>
      <c r="K74" s="2" t="s">
        <v>1022</v>
      </c>
      <c r="L74" s="2" t="s">
        <v>1023</v>
      </c>
    </row>
    <row r="75" spans="1:12" ht="45" x14ac:dyDescent="0.25">
      <c r="A75" s="2">
        <v>9</v>
      </c>
      <c r="B75" s="2" t="s">
        <v>1155</v>
      </c>
      <c r="C75" s="2" t="s">
        <v>7</v>
      </c>
      <c r="D75" s="2" t="s">
        <v>21</v>
      </c>
      <c r="E75" s="2" t="s">
        <v>1156</v>
      </c>
      <c r="F75" s="111">
        <v>6</v>
      </c>
      <c r="G75" s="111">
        <v>0.66666666666666663</v>
      </c>
      <c r="H75" s="111">
        <v>1</v>
      </c>
      <c r="I75" s="2" t="s">
        <v>1153</v>
      </c>
      <c r="J75" s="2" t="s">
        <v>1163</v>
      </c>
      <c r="K75" s="2" t="s">
        <v>1022</v>
      </c>
      <c r="L75" s="2" t="s">
        <v>1164</v>
      </c>
    </row>
    <row r="76" spans="1:12" ht="45" x14ac:dyDescent="0.25">
      <c r="A76" s="2">
        <v>10</v>
      </c>
      <c r="B76" s="2" t="s">
        <v>1219</v>
      </c>
      <c r="C76" s="2" t="s">
        <v>7</v>
      </c>
      <c r="D76" s="2" t="s">
        <v>25</v>
      </c>
      <c r="E76" s="2" t="s">
        <v>1220</v>
      </c>
      <c r="F76" s="111">
        <v>6</v>
      </c>
      <c r="G76" s="111">
        <v>1.2</v>
      </c>
      <c r="H76" s="111">
        <v>2.04</v>
      </c>
      <c r="I76" s="2" t="s">
        <v>1216</v>
      </c>
      <c r="J76" s="2" t="s">
        <v>1228</v>
      </c>
      <c r="K76" s="2" t="s">
        <v>1022</v>
      </c>
      <c r="L76" s="2" t="s">
        <v>1023</v>
      </c>
    </row>
    <row r="77" spans="1:12" ht="45" x14ac:dyDescent="0.25">
      <c r="A77" s="2">
        <v>11</v>
      </c>
      <c r="B77" s="2" t="s">
        <v>1229</v>
      </c>
      <c r="C77" s="2" t="s">
        <v>7</v>
      </c>
      <c r="D77" s="2" t="s">
        <v>25</v>
      </c>
      <c r="E77" s="2" t="s">
        <v>1230</v>
      </c>
      <c r="F77" s="111">
        <v>4</v>
      </c>
      <c r="G77" s="111">
        <v>0.8</v>
      </c>
      <c r="H77" s="111">
        <v>1.36</v>
      </c>
      <c r="I77" s="2" t="s">
        <v>1216</v>
      </c>
      <c r="J77" s="2" t="s">
        <v>1234</v>
      </c>
      <c r="K77" s="2" t="s">
        <v>1022</v>
      </c>
      <c r="L77" s="2" t="s">
        <v>1023</v>
      </c>
    </row>
    <row r="78" spans="1:12" ht="45" x14ac:dyDescent="0.25">
      <c r="A78" s="2">
        <v>12</v>
      </c>
      <c r="B78" s="2" t="s">
        <v>1236</v>
      </c>
      <c r="C78" s="2" t="s">
        <v>7</v>
      </c>
      <c r="D78" s="2" t="s">
        <v>25</v>
      </c>
      <c r="E78" s="2" t="s">
        <v>1237</v>
      </c>
      <c r="F78" s="111">
        <v>3</v>
      </c>
      <c r="G78" s="111">
        <v>0.6</v>
      </c>
      <c r="H78" s="111">
        <v>1.02</v>
      </c>
      <c r="I78" s="2" t="s">
        <v>1216</v>
      </c>
      <c r="J78" s="2" t="s">
        <v>1242</v>
      </c>
      <c r="K78" s="2" t="s">
        <v>1022</v>
      </c>
      <c r="L78" s="2" t="s">
        <v>1023</v>
      </c>
    </row>
    <row r="79" spans="1:12" ht="45" x14ac:dyDescent="0.25">
      <c r="A79" s="2">
        <v>13</v>
      </c>
      <c r="B79" s="2" t="s">
        <v>1243</v>
      </c>
      <c r="C79" s="2" t="s">
        <v>7</v>
      </c>
      <c r="D79" s="2" t="s">
        <v>25</v>
      </c>
      <c r="E79" s="2" t="s">
        <v>1244</v>
      </c>
      <c r="F79" s="111">
        <v>4</v>
      </c>
      <c r="G79" s="111">
        <v>0.8</v>
      </c>
      <c r="H79" s="111">
        <v>1.36</v>
      </c>
      <c r="I79" s="2" t="s">
        <v>1216</v>
      </c>
      <c r="J79" s="2" t="s">
        <v>1251</v>
      </c>
      <c r="K79" s="2" t="s">
        <v>1022</v>
      </c>
      <c r="L79" s="2" t="s">
        <v>1023</v>
      </c>
    </row>
    <row r="80" spans="1:12" ht="45" x14ac:dyDescent="0.25">
      <c r="A80" s="2">
        <v>14</v>
      </c>
      <c r="B80" s="2" t="s">
        <v>1252</v>
      </c>
      <c r="C80" s="2" t="s">
        <v>7</v>
      </c>
      <c r="D80" s="2" t="s">
        <v>25</v>
      </c>
      <c r="E80" s="2" t="s">
        <v>1253</v>
      </c>
      <c r="F80" s="111">
        <v>6</v>
      </c>
      <c r="G80" s="111">
        <v>0.33333333333333331</v>
      </c>
      <c r="H80" s="111">
        <v>0.45</v>
      </c>
      <c r="I80" s="2" t="s">
        <v>1216</v>
      </c>
      <c r="J80" s="2" t="s">
        <v>1257</v>
      </c>
      <c r="K80" s="2" t="s">
        <v>1022</v>
      </c>
      <c r="L80" s="2" t="s">
        <v>1023</v>
      </c>
    </row>
    <row r="81" spans="1:12" ht="45" x14ac:dyDescent="0.25">
      <c r="A81" s="2">
        <v>15</v>
      </c>
      <c r="B81" s="2" t="s">
        <v>1259</v>
      </c>
      <c r="C81" s="2" t="s">
        <v>7</v>
      </c>
      <c r="D81" s="2" t="s">
        <v>25</v>
      </c>
      <c r="E81" s="2" t="s">
        <v>1260</v>
      </c>
      <c r="F81" s="111">
        <v>4</v>
      </c>
      <c r="G81" s="111">
        <v>0.66666666666666663</v>
      </c>
      <c r="H81" s="111">
        <v>1.0666666666666667</v>
      </c>
      <c r="I81" s="2" t="s">
        <v>1216</v>
      </c>
      <c r="J81" s="2" t="s">
        <v>1266</v>
      </c>
      <c r="K81" s="2" t="s">
        <v>1022</v>
      </c>
      <c r="L81" s="2" t="s">
        <v>1023</v>
      </c>
    </row>
    <row r="82" spans="1:12" ht="45" x14ac:dyDescent="0.25">
      <c r="A82" s="2">
        <v>16</v>
      </c>
      <c r="B82" s="2" t="s">
        <v>1267</v>
      </c>
      <c r="C82" s="2" t="s">
        <v>7</v>
      </c>
      <c r="D82" s="2" t="s">
        <v>25</v>
      </c>
      <c r="E82" s="2" t="s">
        <v>1268</v>
      </c>
      <c r="F82" s="111">
        <v>6</v>
      </c>
      <c r="G82" s="111">
        <v>0.33333333333333331</v>
      </c>
      <c r="H82" s="111">
        <v>0.45</v>
      </c>
      <c r="I82" s="2" t="s">
        <v>1216</v>
      </c>
      <c r="J82" s="2" t="s">
        <v>1273</v>
      </c>
      <c r="K82" s="2" t="s">
        <v>1022</v>
      </c>
      <c r="L82" s="2" t="s">
        <v>1023</v>
      </c>
    </row>
    <row r="83" spans="1:12" ht="45" x14ac:dyDescent="0.25">
      <c r="A83" s="2">
        <v>17</v>
      </c>
      <c r="B83" s="2" t="s">
        <v>1962</v>
      </c>
      <c r="C83" s="2" t="s">
        <v>30</v>
      </c>
      <c r="D83" s="2" t="s">
        <v>33</v>
      </c>
      <c r="E83" s="2" t="s">
        <v>1963</v>
      </c>
      <c r="F83" s="111">
        <v>8</v>
      </c>
      <c r="G83" s="111">
        <v>0.88888888888888884</v>
      </c>
      <c r="H83" s="111">
        <v>1.3333333333333333</v>
      </c>
      <c r="I83" s="2" t="s">
        <v>1379</v>
      </c>
      <c r="J83" s="2" t="s">
        <v>1972</v>
      </c>
      <c r="K83" s="2" t="s">
        <v>1405</v>
      </c>
      <c r="L83" s="2" t="s">
        <v>1023</v>
      </c>
    </row>
    <row r="84" spans="1:12" ht="45" x14ac:dyDescent="0.25">
      <c r="A84" s="2">
        <v>18</v>
      </c>
      <c r="B84" s="2" t="s">
        <v>1397</v>
      </c>
      <c r="C84" s="2" t="s">
        <v>30</v>
      </c>
      <c r="D84" s="2" t="s">
        <v>33</v>
      </c>
      <c r="E84" s="2" t="s">
        <v>1398</v>
      </c>
      <c r="F84" s="111">
        <v>12</v>
      </c>
      <c r="G84" s="111">
        <v>1.3333333333333333</v>
      </c>
      <c r="H84" s="111">
        <v>2</v>
      </c>
      <c r="I84" s="2" t="s">
        <v>1379</v>
      </c>
      <c r="J84" s="2" t="s">
        <v>1404</v>
      </c>
      <c r="K84" s="2" t="s">
        <v>1405</v>
      </c>
      <c r="L84" s="2" t="s">
        <v>1023</v>
      </c>
    </row>
    <row r="85" spans="1:12" ht="60" x14ac:dyDescent="0.25">
      <c r="A85" s="2">
        <v>19</v>
      </c>
      <c r="B85" s="2" t="s">
        <v>1421</v>
      </c>
      <c r="C85" s="2" t="s">
        <v>30</v>
      </c>
      <c r="D85" s="2" t="s">
        <v>33</v>
      </c>
      <c r="E85" s="2" t="s">
        <v>1422</v>
      </c>
      <c r="F85" s="111">
        <v>12</v>
      </c>
      <c r="G85" s="111">
        <v>1.3333333333333333</v>
      </c>
      <c r="H85" s="111">
        <v>2</v>
      </c>
      <c r="I85" s="2" t="s">
        <v>1379</v>
      </c>
      <c r="J85" s="2" t="s">
        <v>1427</v>
      </c>
      <c r="K85" s="2" t="s">
        <v>1405</v>
      </c>
      <c r="L85" s="2" t="s">
        <v>1023</v>
      </c>
    </row>
    <row r="86" spans="1:12" ht="45" x14ac:dyDescent="0.25">
      <c r="A86" s="2">
        <v>20</v>
      </c>
      <c r="B86" s="2" t="s">
        <v>1551</v>
      </c>
      <c r="C86" s="2" t="s">
        <v>30</v>
      </c>
      <c r="D86" s="2" t="s">
        <v>38</v>
      </c>
      <c r="E86" s="2" t="s">
        <v>1552</v>
      </c>
      <c r="F86" s="111">
        <v>12</v>
      </c>
      <c r="G86" s="111">
        <v>1.3333333333333333</v>
      </c>
      <c r="H86" s="111">
        <v>2</v>
      </c>
      <c r="I86" s="2" t="s">
        <v>1545</v>
      </c>
      <c r="J86" s="2" t="s">
        <v>1288</v>
      </c>
      <c r="K86" s="2" t="s">
        <v>1405</v>
      </c>
      <c r="L86" s="2" t="s">
        <v>1023</v>
      </c>
    </row>
    <row r="87" spans="1:12" ht="45" x14ac:dyDescent="0.25">
      <c r="A87" s="2">
        <v>21</v>
      </c>
      <c r="B87" s="2" t="s">
        <v>1984</v>
      </c>
      <c r="C87" s="2" t="s">
        <v>30</v>
      </c>
      <c r="D87" s="2" t="s">
        <v>38</v>
      </c>
      <c r="E87" s="2" t="s">
        <v>1985</v>
      </c>
      <c r="F87" s="111">
        <v>12</v>
      </c>
      <c r="G87" s="111">
        <v>1.7142857142857142</v>
      </c>
      <c r="H87" s="111">
        <v>2.7428571428571429</v>
      </c>
      <c r="I87" s="2" t="s">
        <v>1545</v>
      </c>
      <c r="J87" s="2" t="s">
        <v>1994</v>
      </c>
      <c r="K87" s="2" t="s">
        <v>1405</v>
      </c>
      <c r="L87" s="2" t="s">
        <v>1023</v>
      </c>
    </row>
    <row r="88" spans="1:12" ht="45" x14ac:dyDescent="0.25">
      <c r="A88" s="2">
        <v>22</v>
      </c>
      <c r="B88" s="2" t="s">
        <v>1973</v>
      </c>
      <c r="C88" s="2" t="s">
        <v>30</v>
      </c>
      <c r="D88" s="2" t="s">
        <v>38</v>
      </c>
      <c r="E88" s="2" t="s">
        <v>1974</v>
      </c>
      <c r="F88" s="111">
        <v>10</v>
      </c>
      <c r="G88" s="111">
        <v>1.4285714285714286</v>
      </c>
      <c r="H88" s="111">
        <v>2.285714285714286</v>
      </c>
      <c r="I88" s="2" t="s">
        <v>1545</v>
      </c>
      <c r="J88" s="2" t="s">
        <v>1983</v>
      </c>
      <c r="K88" s="2" t="s">
        <v>1405</v>
      </c>
      <c r="L88" s="2" t="s">
        <v>1023</v>
      </c>
    </row>
    <row r="89" spans="1:12" ht="45" x14ac:dyDescent="0.25">
      <c r="A89" s="2">
        <v>23</v>
      </c>
      <c r="B89" s="2" t="s">
        <v>2004</v>
      </c>
      <c r="C89" s="2" t="s">
        <v>30</v>
      </c>
      <c r="D89" s="2" t="s">
        <v>38</v>
      </c>
      <c r="E89" s="2" t="s">
        <v>2005</v>
      </c>
      <c r="F89" s="111">
        <v>10</v>
      </c>
      <c r="G89" s="111">
        <v>1.4285714285714286</v>
      </c>
      <c r="H89" s="111">
        <v>2.285714285714286</v>
      </c>
      <c r="I89" s="2" t="s">
        <v>1545</v>
      </c>
      <c r="J89" s="2" t="s">
        <v>2012</v>
      </c>
      <c r="K89" s="2" t="s">
        <v>1405</v>
      </c>
      <c r="L89" s="2" t="s">
        <v>1023</v>
      </c>
    </row>
    <row r="90" spans="1:12" ht="45" x14ac:dyDescent="0.25">
      <c r="A90" s="2">
        <v>24</v>
      </c>
      <c r="B90" s="2" t="s">
        <v>1995</v>
      </c>
      <c r="C90" s="2" t="s">
        <v>30</v>
      </c>
      <c r="D90" s="2" t="s">
        <v>38</v>
      </c>
      <c r="E90" s="2" t="s">
        <v>3049</v>
      </c>
      <c r="F90" s="111">
        <v>12</v>
      </c>
      <c r="G90" s="111">
        <v>1.7142857142857142</v>
      </c>
      <c r="H90" s="111">
        <v>2.7428571428571429</v>
      </c>
      <c r="I90" s="2" t="s">
        <v>1545</v>
      </c>
      <c r="J90" s="2" t="s">
        <v>2003</v>
      </c>
      <c r="K90" s="2" t="s">
        <v>1405</v>
      </c>
      <c r="L90" s="2" t="s">
        <v>1023</v>
      </c>
    </row>
    <row r="91" spans="1:12" ht="60" x14ac:dyDescent="0.25">
      <c r="A91" s="2">
        <v>25</v>
      </c>
      <c r="B91" s="2" t="s">
        <v>1598</v>
      </c>
      <c r="C91" s="2" t="s">
        <v>30</v>
      </c>
      <c r="D91" s="2" t="s">
        <v>38</v>
      </c>
      <c r="E91" s="2" t="s">
        <v>1599</v>
      </c>
      <c r="F91" s="111">
        <v>12</v>
      </c>
      <c r="G91" s="111">
        <v>2.4</v>
      </c>
      <c r="H91" s="111">
        <v>4.08</v>
      </c>
      <c r="I91" s="2" t="s">
        <v>1545</v>
      </c>
      <c r="J91" s="2" t="s">
        <v>1606</v>
      </c>
      <c r="K91" s="2" t="s">
        <v>1405</v>
      </c>
      <c r="L91" s="2" t="s">
        <v>1607</v>
      </c>
    </row>
    <row r="92" spans="1:12" ht="45" x14ac:dyDescent="0.25">
      <c r="A92" s="2">
        <v>26</v>
      </c>
      <c r="B92" s="2" t="s">
        <v>1700</v>
      </c>
      <c r="C92" s="2" t="s">
        <v>41</v>
      </c>
      <c r="D92" s="2" t="s">
        <v>55</v>
      </c>
      <c r="E92" s="2" t="s">
        <v>1701</v>
      </c>
      <c r="F92" s="111">
        <v>8</v>
      </c>
      <c r="G92" s="111">
        <v>0.88888888888888884</v>
      </c>
      <c r="H92" s="111">
        <v>1.3333333333333333</v>
      </c>
      <c r="I92" s="2" t="s">
        <v>1665</v>
      </c>
      <c r="J92" s="2" t="s">
        <v>1711</v>
      </c>
      <c r="K92" s="2" t="s">
        <v>1712</v>
      </c>
      <c r="L92" s="2" t="s">
        <v>1023</v>
      </c>
    </row>
    <row r="93" spans="1:12" ht="45" x14ac:dyDescent="0.25">
      <c r="A93" s="2">
        <v>27</v>
      </c>
      <c r="B93" s="2" t="s">
        <v>1713</v>
      </c>
      <c r="C93" s="2" t="s">
        <v>41</v>
      </c>
      <c r="D93" s="2" t="s">
        <v>55</v>
      </c>
      <c r="E93" s="2" t="s">
        <v>1714</v>
      </c>
      <c r="F93" s="111">
        <v>6</v>
      </c>
      <c r="G93" s="111">
        <v>0.66666666666666663</v>
      </c>
      <c r="H93" s="111">
        <v>1</v>
      </c>
      <c r="I93" s="2" t="s">
        <v>1665</v>
      </c>
      <c r="J93" s="2" t="s">
        <v>1717</v>
      </c>
      <c r="K93" s="2" t="s">
        <v>1712</v>
      </c>
      <c r="L93" s="2" t="s">
        <v>1023</v>
      </c>
    </row>
    <row r="94" spans="1:12" ht="45" x14ac:dyDescent="0.25">
      <c r="A94" s="2">
        <v>28</v>
      </c>
      <c r="B94" s="2" t="s">
        <v>1769</v>
      </c>
      <c r="C94" s="2" t="s">
        <v>59</v>
      </c>
      <c r="D94" s="2" t="s">
        <v>58</v>
      </c>
      <c r="E94" s="2" t="s">
        <v>1770</v>
      </c>
      <c r="F94" s="111">
        <v>12</v>
      </c>
      <c r="G94" s="111">
        <v>4</v>
      </c>
      <c r="H94" s="111">
        <v>7.2</v>
      </c>
      <c r="I94" s="2" t="s">
        <v>1746</v>
      </c>
      <c r="J94" s="2" t="s">
        <v>1747</v>
      </c>
      <c r="K94" s="2" t="s">
        <v>1775</v>
      </c>
      <c r="L94" s="2" t="s">
        <v>1023</v>
      </c>
    </row>
    <row r="95" spans="1:12" ht="45" x14ac:dyDescent="0.25">
      <c r="A95" s="2">
        <v>29</v>
      </c>
      <c r="B95" s="2" t="s">
        <v>1814</v>
      </c>
      <c r="C95" s="2" t="s">
        <v>59</v>
      </c>
      <c r="D95" s="2" t="s">
        <v>62</v>
      </c>
      <c r="E95" s="2" t="s">
        <v>1815</v>
      </c>
      <c r="F95" s="111">
        <v>12</v>
      </c>
      <c r="G95" s="111">
        <v>4</v>
      </c>
      <c r="H95" s="111">
        <v>7.2</v>
      </c>
      <c r="I95" s="2" t="s">
        <v>1746</v>
      </c>
      <c r="J95" s="2" t="s">
        <v>1747</v>
      </c>
      <c r="K95" s="2" t="s">
        <v>1775</v>
      </c>
      <c r="L95" s="2" t="s">
        <v>1023</v>
      </c>
    </row>
    <row r="96" spans="1:12" ht="45" x14ac:dyDescent="0.25">
      <c r="A96" s="2">
        <v>30</v>
      </c>
      <c r="B96" s="2" t="s">
        <v>1818</v>
      </c>
      <c r="C96" s="2" t="s">
        <v>59</v>
      </c>
      <c r="D96" s="2" t="s">
        <v>62</v>
      </c>
      <c r="E96" s="2" t="s">
        <v>1819</v>
      </c>
      <c r="F96" s="111">
        <v>12</v>
      </c>
      <c r="G96" s="111">
        <v>4</v>
      </c>
      <c r="H96" s="111">
        <v>7.2</v>
      </c>
      <c r="I96" s="2" t="s">
        <v>1746</v>
      </c>
      <c r="J96" s="2" t="s">
        <v>1747</v>
      </c>
      <c r="K96" s="2" t="s">
        <v>1775</v>
      </c>
      <c r="L96" s="2" t="s">
        <v>1023</v>
      </c>
    </row>
    <row r="99" spans="1:12" ht="17.25" x14ac:dyDescent="0.3">
      <c r="A99" s="141" t="s">
        <v>3059</v>
      </c>
      <c r="B99" s="141"/>
      <c r="C99" s="141"/>
      <c r="D99" s="141"/>
      <c r="E99" s="141"/>
      <c r="F99" s="141"/>
      <c r="G99" s="141"/>
      <c r="H99" s="141"/>
      <c r="I99" s="141"/>
      <c r="J99" s="141"/>
      <c r="K99" s="141"/>
      <c r="L99" s="141"/>
    </row>
    <row r="100" spans="1:12" ht="30" x14ac:dyDescent="0.25">
      <c r="A100" s="113" t="s">
        <v>359</v>
      </c>
      <c r="B100" s="113" t="s">
        <v>3052</v>
      </c>
      <c r="C100" s="113" t="s">
        <v>1</v>
      </c>
      <c r="D100" s="113" t="s">
        <v>131</v>
      </c>
      <c r="E100" s="113" t="s">
        <v>361</v>
      </c>
      <c r="F100" s="113" t="s">
        <v>3032</v>
      </c>
      <c r="G100" s="113" t="s">
        <v>3053</v>
      </c>
      <c r="H100" s="113" t="s">
        <v>3054</v>
      </c>
      <c r="I100" s="113" t="s">
        <v>360</v>
      </c>
      <c r="J100" s="113" t="s">
        <v>3055</v>
      </c>
      <c r="K100" s="113" t="s">
        <v>3056</v>
      </c>
      <c r="L100" s="113" t="s">
        <v>3057</v>
      </c>
    </row>
    <row r="101" spans="1:12" ht="45" x14ac:dyDescent="0.25">
      <c r="A101" s="2">
        <v>1</v>
      </c>
      <c r="B101" s="2" t="s">
        <v>1130</v>
      </c>
      <c r="C101" s="2" t="s">
        <v>7</v>
      </c>
      <c r="D101" s="2" t="s">
        <v>21</v>
      </c>
      <c r="E101" s="2" t="s">
        <v>1131</v>
      </c>
      <c r="F101" s="111">
        <v>8</v>
      </c>
      <c r="G101" s="111">
        <v>0.8</v>
      </c>
      <c r="H101" s="111">
        <v>1.2000000000000002</v>
      </c>
      <c r="I101" s="2" t="s">
        <v>1020</v>
      </c>
      <c r="J101" s="2" t="s">
        <v>1141</v>
      </c>
      <c r="K101" s="2" t="s">
        <v>1142</v>
      </c>
      <c r="L101" s="2" t="s">
        <v>1143</v>
      </c>
    </row>
    <row r="102" spans="1:12" ht="45" x14ac:dyDescent="0.25">
      <c r="A102" s="2">
        <v>2</v>
      </c>
      <c r="B102" s="2" t="s">
        <v>1165</v>
      </c>
      <c r="C102" s="2" t="s">
        <v>7</v>
      </c>
      <c r="D102" s="2" t="s">
        <v>21</v>
      </c>
      <c r="E102" s="2" t="s">
        <v>1166</v>
      </c>
      <c r="F102" s="111">
        <v>8</v>
      </c>
      <c r="G102" s="111">
        <v>0.88888888888888884</v>
      </c>
      <c r="H102" s="111">
        <v>1.3333333333333333</v>
      </c>
      <c r="I102" s="2" t="s">
        <v>1153</v>
      </c>
      <c r="J102" s="2" t="s">
        <v>1171</v>
      </c>
      <c r="K102" s="2" t="s">
        <v>1142</v>
      </c>
      <c r="L102" s="2" t="s">
        <v>1172</v>
      </c>
    </row>
    <row r="103" spans="1:12" ht="45" x14ac:dyDescent="0.25">
      <c r="A103" s="2">
        <v>3</v>
      </c>
      <c r="B103" s="2" t="s">
        <v>190</v>
      </c>
      <c r="C103" s="2" t="s">
        <v>7</v>
      </c>
      <c r="D103" s="2" t="s">
        <v>25</v>
      </c>
      <c r="E103" s="2" t="s">
        <v>1210</v>
      </c>
      <c r="F103" s="111">
        <v>4</v>
      </c>
      <c r="G103" s="111">
        <v>0.25</v>
      </c>
      <c r="H103" s="111">
        <v>0.33750000000000002</v>
      </c>
      <c r="I103" s="2" t="s">
        <v>1216</v>
      </c>
      <c r="J103" s="2" t="s">
        <v>1217</v>
      </c>
      <c r="K103" s="2" t="s">
        <v>1142</v>
      </c>
      <c r="L103" s="2" t="s">
        <v>1218</v>
      </c>
    </row>
    <row r="104" spans="1:12" ht="45" x14ac:dyDescent="0.25">
      <c r="A104" s="2">
        <v>4</v>
      </c>
      <c r="B104" s="2" t="s">
        <v>1458</v>
      </c>
      <c r="C104" s="2" t="s">
        <v>30</v>
      </c>
      <c r="D104" s="2" t="s">
        <v>35</v>
      </c>
      <c r="E104" s="2" t="s">
        <v>1459</v>
      </c>
      <c r="F104" s="111">
        <v>12</v>
      </c>
      <c r="G104" s="111">
        <v>1.2</v>
      </c>
      <c r="H104" s="111">
        <v>1.7999999999999998</v>
      </c>
      <c r="I104" s="2" t="s">
        <v>1465</v>
      </c>
      <c r="J104" s="2" t="s">
        <v>1466</v>
      </c>
      <c r="K104" s="2" t="s">
        <v>1467</v>
      </c>
      <c r="L104" s="2" t="s">
        <v>1023</v>
      </c>
    </row>
    <row r="105" spans="1:12" ht="45" x14ac:dyDescent="0.25">
      <c r="A105" s="2">
        <v>5</v>
      </c>
      <c r="B105" s="2" t="s">
        <v>1468</v>
      </c>
      <c r="C105" s="2" t="s">
        <v>30</v>
      </c>
      <c r="D105" s="2" t="s">
        <v>35</v>
      </c>
      <c r="E105" s="2" t="s">
        <v>1469</v>
      </c>
      <c r="F105" s="111">
        <v>12</v>
      </c>
      <c r="G105" s="111">
        <v>1.2</v>
      </c>
      <c r="H105" s="111">
        <v>1.7999999999999998</v>
      </c>
      <c r="I105" s="2" t="s">
        <v>1465</v>
      </c>
      <c r="J105" s="2" t="s">
        <v>1479</v>
      </c>
      <c r="K105" s="2" t="s">
        <v>1467</v>
      </c>
      <c r="L105" s="2" t="s">
        <v>1023</v>
      </c>
    </row>
    <row r="106" spans="1:12" ht="45" x14ac:dyDescent="0.25">
      <c r="A106" s="2">
        <v>6</v>
      </c>
      <c r="B106" s="2" t="s">
        <v>1485</v>
      </c>
      <c r="C106" s="2" t="s">
        <v>30</v>
      </c>
      <c r="D106" s="2" t="s">
        <v>35</v>
      </c>
      <c r="E106" s="2" t="s">
        <v>1486</v>
      </c>
      <c r="F106" s="111">
        <v>6</v>
      </c>
      <c r="G106" s="111">
        <v>0.6</v>
      </c>
      <c r="H106" s="111">
        <v>0.89999999999999991</v>
      </c>
      <c r="I106" s="2" t="s">
        <v>1465</v>
      </c>
      <c r="J106" s="2" t="s">
        <v>1493</v>
      </c>
      <c r="K106" s="2" t="s">
        <v>1467</v>
      </c>
      <c r="L106" s="2" t="s">
        <v>1023</v>
      </c>
    </row>
    <row r="107" spans="1:12" ht="45" x14ac:dyDescent="0.25">
      <c r="A107" s="2">
        <v>7</v>
      </c>
      <c r="B107" s="2" t="s">
        <v>261</v>
      </c>
      <c r="C107" s="2" t="s">
        <v>41</v>
      </c>
      <c r="D107" s="2" t="s">
        <v>47</v>
      </c>
      <c r="E107" s="2" t="s">
        <v>420</v>
      </c>
      <c r="F107" s="111">
        <v>12</v>
      </c>
      <c r="G107" s="111">
        <v>1.2</v>
      </c>
      <c r="H107" s="111">
        <v>1.7999999999999998</v>
      </c>
      <c r="I107" s="2" t="s">
        <v>1617</v>
      </c>
      <c r="J107" s="2" t="s">
        <v>1891</v>
      </c>
      <c r="K107" s="2" t="s">
        <v>1619</v>
      </c>
      <c r="L107" s="2" t="s">
        <v>1023</v>
      </c>
    </row>
    <row r="108" spans="1:12" ht="45" x14ac:dyDescent="0.25">
      <c r="A108" s="2">
        <v>8</v>
      </c>
      <c r="B108" s="2" t="s">
        <v>1950</v>
      </c>
      <c r="C108" s="2" t="s">
        <v>41</v>
      </c>
      <c r="D108" s="2" t="s">
        <v>47</v>
      </c>
      <c r="E108" s="2" t="s">
        <v>3048</v>
      </c>
      <c r="F108" s="111">
        <v>10</v>
      </c>
      <c r="G108" s="111">
        <v>1</v>
      </c>
      <c r="H108" s="111">
        <v>1.5</v>
      </c>
      <c r="I108" s="2" t="s">
        <v>1617</v>
      </c>
      <c r="J108" s="2" t="s">
        <v>1957</v>
      </c>
      <c r="K108" s="2" t="s">
        <v>1619</v>
      </c>
      <c r="L108" s="2" t="s">
        <v>1023</v>
      </c>
    </row>
    <row r="109" spans="1:12" ht="45" x14ac:dyDescent="0.25">
      <c r="A109" s="2">
        <v>9</v>
      </c>
      <c r="B109" s="2" t="s">
        <v>423</v>
      </c>
      <c r="C109" s="2" t="s">
        <v>41</v>
      </c>
      <c r="D109" s="2" t="s">
        <v>47</v>
      </c>
      <c r="E109" s="2" t="s">
        <v>424</v>
      </c>
      <c r="F109" s="111">
        <v>10</v>
      </c>
      <c r="G109" s="111">
        <v>1</v>
      </c>
      <c r="H109" s="111">
        <v>1.5</v>
      </c>
      <c r="I109" s="2" t="s">
        <v>1617</v>
      </c>
      <c r="J109" s="2" t="s">
        <v>1618</v>
      </c>
      <c r="K109" s="2" t="s">
        <v>1619</v>
      </c>
      <c r="L109" s="2" t="s">
        <v>1023</v>
      </c>
    </row>
    <row r="110" spans="1:12" ht="45" x14ac:dyDescent="0.25">
      <c r="A110" s="2">
        <v>10</v>
      </c>
      <c r="B110" s="2" t="s">
        <v>432</v>
      </c>
      <c r="C110" s="2" t="s">
        <v>41</v>
      </c>
      <c r="D110" s="2" t="s">
        <v>47</v>
      </c>
      <c r="E110" s="2" t="s">
        <v>433</v>
      </c>
      <c r="F110" s="111">
        <v>12</v>
      </c>
      <c r="G110" s="111">
        <v>1.2</v>
      </c>
      <c r="H110" s="111">
        <v>1.7999999999999998</v>
      </c>
      <c r="I110" s="2" t="s">
        <v>1617</v>
      </c>
      <c r="J110" s="2" t="s">
        <v>1622</v>
      </c>
      <c r="K110" s="2" t="s">
        <v>1619</v>
      </c>
      <c r="L110" s="2" t="s">
        <v>1023</v>
      </c>
    </row>
    <row r="111" spans="1:12" ht="45" x14ac:dyDescent="0.25">
      <c r="A111" s="2">
        <v>11</v>
      </c>
      <c r="B111" s="2" t="s">
        <v>435</v>
      </c>
      <c r="C111" s="2" t="s">
        <v>41</v>
      </c>
      <c r="D111" s="2" t="s">
        <v>47</v>
      </c>
      <c r="E111" s="2" t="s">
        <v>436</v>
      </c>
      <c r="F111" s="111">
        <v>12</v>
      </c>
      <c r="G111" s="111">
        <v>1.2</v>
      </c>
      <c r="H111" s="111">
        <v>1.7999999999999998</v>
      </c>
      <c r="I111" s="2" t="s">
        <v>1617</v>
      </c>
      <c r="J111" s="2" t="s">
        <v>1622</v>
      </c>
      <c r="K111" s="2" t="s">
        <v>1619</v>
      </c>
      <c r="L111" s="2" t="s">
        <v>1023</v>
      </c>
    </row>
    <row r="112" spans="1:12" ht="45" x14ac:dyDescent="0.25">
      <c r="A112" s="2">
        <v>12</v>
      </c>
      <c r="B112" s="2" t="s">
        <v>437</v>
      </c>
      <c r="C112" s="2" t="s">
        <v>41</v>
      </c>
      <c r="D112" s="2" t="s">
        <v>47</v>
      </c>
      <c r="E112" s="2" t="s">
        <v>438</v>
      </c>
      <c r="F112" s="111">
        <v>12</v>
      </c>
      <c r="G112" s="111">
        <v>1.2</v>
      </c>
      <c r="H112" s="111">
        <v>1.7999999999999998</v>
      </c>
      <c r="I112" s="2" t="s">
        <v>1617</v>
      </c>
      <c r="J112" s="2" t="s">
        <v>439</v>
      </c>
      <c r="K112" s="2" t="s">
        <v>1619</v>
      </c>
      <c r="L112" s="2" t="s">
        <v>1023</v>
      </c>
    </row>
    <row r="113" spans="1:12" ht="45" x14ac:dyDescent="0.25">
      <c r="A113" s="2">
        <v>13</v>
      </c>
      <c r="B113" s="2" t="s">
        <v>440</v>
      </c>
      <c r="C113" s="2" t="s">
        <v>41</v>
      </c>
      <c r="D113" s="2" t="s">
        <v>47</v>
      </c>
      <c r="E113" s="2" t="s">
        <v>441</v>
      </c>
      <c r="F113" s="111">
        <v>12</v>
      </c>
      <c r="G113" s="111">
        <v>1.2</v>
      </c>
      <c r="H113" s="111">
        <v>1.7999999999999998</v>
      </c>
      <c r="I113" s="2" t="s">
        <v>1617</v>
      </c>
      <c r="J113" s="2" t="s">
        <v>437</v>
      </c>
      <c r="K113" s="2" t="s">
        <v>1619</v>
      </c>
      <c r="L113" s="2" t="s">
        <v>1023</v>
      </c>
    </row>
    <row r="114" spans="1:12" ht="45" x14ac:dyDescent="0.25">
      <c r="A114" s="2">
        <v>14</v>
      </c>
      <c r="B114" s="2" t="s">
        <v>451</v>
      </c>
      <c r="C114" s="2" t="s">
        <v>41</v>
      </c>
      <c r="D114" s="2" t="s">
        <v>49</v>
      </c>
      <c r="E114" s="2" t="s">
        <v>452</v>
      </c>
      <c r="F114" s="111">
        <v>12</v>
      </c>
      <c r="G114" s="111">
        <v>1.2</v>
      </c>
      <c r="H114" s="111">
        <v>1.7999999999999998</v>
      </c>
      <c r="I114" s="2" t="s">
        <v>1617</v>
      </c>
      <c r="J114" s="2" t="s">
        <v>453</v>
      </c>
      <c r="K114" s="2" t="s">
        <v>1619</v>
      </c>
      <c r="L114" s="2" t="s">
        <v>1023</v>
      </c>
    </row>
    <row r="115" spans="1:12" ht="45" x14ac:dyDescent="0.25">
      <c r="A115" s="2">
        <v>15</v>
      </c>
      <c r="B115" s="2" t="s">
        <v>454</v>
      </c>
      <c r="C115" s="2" t="s">
        <v>41</v>
      </c>
      <c r="D115" s="2" t="s">
        <v>49</v>
      </c>
      <c r="E115" s="2" t="s">
        <v>455</v>
      </c>
      <c r="F115" s="111">
        <v>12</v>
      </c>
      <c r="G115" s="111">
        <v>1.2</v>
      </c>
      <c r="H115" s="111">
        <v>1.7999999999999998</v>
      </c>
      <c r="I115" s="2" t="s">
        <v>1617</v>
      </c>
      <c r="J115" s="2" t="s">
        <v>1643</v>
      </c>
      <c r="K115" s="2" t="s">
        <v>1619</v>
      </c>
      <c r="L115" s="2" t="s">
        <v>1023</v>
      </c>
    </row>
    <row r="116" spans="1:12" ht="45" x14ac:dyDescent="0.25">
      <c r="A116" s="2">
        <v>16</v>
      </c>
      <c r="B116" s="2" t="s">
        <v>426</v>
      </c>
      <c r="C116" s="2" t="s">
        <v>41</v>
      </c>
      <c r="D116" s="2" t="s">
        <v>47</v>
      </c>
      <c r="E116" s="2" t="s">
        <v>427</v>
      </c>
      <c r="F116" s="111">
        <v>10</v>
      </c>
      <c r="G116" s="111">
        <v>1.25</v>
      </c>
      <c r="H116" s="111">
        <v>1.9375</v>
      </c>
      <c r="I116" s="2" t="s">
        <v>1617</v>
      </c>
      <c r="J116" s="2" t="s">
        <v>1650</v>
      </c>
      <c r="K116" s="2" t="s">
        <v>1619</v>
      </c>
      <c r="L116" s="2" t="s">
        <v>1023</v>
      </c>
    </row>
    <row r="117" spans="1:12" ht="45" x14ac:dyDescent="0.25">
      <c r="A117" s="2">
        <v>17</v>
      </c>
      <c r="B117" s="2" t="s">
        <v>429</v>
      </c>
      <c r="C117" s="2" t="s">
        <v>41</v>
      </c>
      <c r="D117" s="2" t="s">
        <v>47</v>
      </c>
      <c r="E117" s="2" t="s">
        <v>430</v>
      </c>
      <c r="F117" s="111">
        <v>12</v>
      </c>
      <c r="G117" s="111">
        <v>1.2</v>
      </c>
      <c r="H117" s="111">
        <v>1.7999999999999998</v>
      </c>
      <c r="I117" s="2" t="s">
        <v>1617</v>
      </c>
      <c r="J117" s="2" t="s">
        <v>1895</v>
      </c>
      <c r="K117" s="2" t="s">
        <v>1619</v>
      </c>
      <c r="L117" s="2" t="s">
        <v>1023</v>
      </c>
    </row>
    <row r="118" spans="1:12" ht="45" x14ac:dyDescent="0.25">
      <c r="A118" s="2">
        <v>18</v>
      </c>
      <c r="B118" s="2" t="s">
        <v>448</v>
      </c>
      <c r="C118" s="2" t="s">
        <v>41</v>
      </c>
      <c r="D118" s="2" t="s">
        <v>49</v>
      </c>
      <c r="E118" s="2" t="s">
        <v>449</v>
      </c>
      <c r="F118" s="111">
        <v>12</v>
      </c>
      <c r="G118" s="111">
        <v>1.2</v>
      </c>
      <c r="H118" s="111">
        <v>1.7999999999999998</v>
      </c>
      <c r="I118" s="2" t="s">
        <v>1617</v>
      </c>
      <c r="J118" s="2" t="s">
        <v>1912</v>
      </c>
      <c r="K118" s="2" t="s">
        <v>1619</v>
      </c>
      <c r="L118" s="2" t="s">
        <v>1023</v>
      </c>
    </row>
    <row r="119" spans="1:12" ht="45" x14ac:dyDescent="0.25">
      <c r="A119" s="2">
        <v>19</v>
      </c>
      <c r="B119" s="2" t="s">
        <v>457</v>
      </c>
      <c r="C119" s="2" t="s">
        <v>41</v>
      </c>
      <c r="D119" s="2" t="s">
        <v>49</v>
      </c>
      <c r="E119" s="2" t="s">
        <v>458</v>
      </c>
      <c r="F119" s="111">
        <v>10</v>
      </c>
      <c r="G119" s="111">
        <v>1</v>
      </c>
      <c r="H119" s="111">
        <v>1.5</v>
      </c>
      <c r="I119" s="2" t="s">
        <v>1653</v>
      </c>
      <c r="J119" s="2" t="s">
        <v>459</v>
      </c>
      <c r="K119" s="2" t="s">
        <v>1619</v>
      </c>
      <c r="L119" s="2" t="s">
        <v>1023</v>
      </c>
    </row>
    <row r="120" spans="1:12" ht="45" x14ac:dyDescent="0.25">
      <c r="A120" s="2">
        <v>20</v>
      </c>
      <c r="B120" s="2" t="s">
        <v>443</v>
      </c>
      <c r="C120" s="2" t="s">
        <v>41</v>
      </c>
      <c r="D120" s="2" t="s">
        <v>49</v>
      </c>
      <c r="E120" s="2" t="s">
        <v>444</v>
      </c>
      <c r="F120" s="111">
        <v>12</v>
      </c>
      <c r="G120" s="111">
        <v>1.2</v>
      </c>
      <c r="H120" s="111">
        <v>1.7999999999999998</v>
      </c>
      <c r="I120" s="2" t="s">
        <v>1653</v>
      </c>
      <c r="J120" s="2" t="s">
        <v>1905</v>
      </c>
      <c r="K120" s="2" t="s">
        <v>1619</v>
      </c>
      <c r="L120" s="2" t="s">
        <v>1023</v>
      </c>
    </row>
    <row r="121" spans="1:12" ht="45" x14ac:dyDescent="0.25">
      <c r="A121" s="2">
        <v>21</v>
      </c>
      <c r="B121" s="2" t="s">
        <v>463</v>
      </c>
      <c r="C121" s="2" t="s">
        <v>41</v>
      </c>
      <c r="D121" s="2" t="s">
        <v>49</v>
      </c>
      <c r="E121" s="2" t="s">
        <v>3047</v>
      </c>
      <c r="F121" s="111">
        <v>12</v>
      </c>
      <c r="G121" s="111">
        <v>1.2</v>
      </c>
      <c r="H121" s="111">
        <v>1.7999999999999998</v>
      </c>
      <c r="I121" s="2" t="s">
        <v>1653</v>
      </c>
      <c r="J121" s="2" t="s">
        <v>1916</v>
      </c>
      <c r="K121" s="2" t="s">
        <v>1619</v>
      </c>
      <c r="L121" s="2" t="s">
        <v>1023</v>
      </c>
    </row>
    <row r="122" spans="1:12" ht="45" x14ac:dyDescent="0.25">
      <c r="A122" s="2">
        <v>22</v>
      </c>
      <c r="B122" s="2" t="s">
        <v>460</v>
      </c>
      <c r="C122" s="2" t="s">
        <v>41</v>
      </c>
      <c r="D122" s="2" t="s">
        <v>49</v>
      </c>
      <c r="E122" s="2" t="s">
        <v>461</v>
      </c>
      <c r="F122" s="111">
        <v>10</v>
      </c>
      <c r="G122" s="111">
        <v>1.1111111111111112</v>
      </c>
      <c r="H122" s="111">
        <v>1.6666666666666667</v>
      </c>
      <c r="I122" s="2" t="s">
        <v>1653</v>
      </c>
      <c r="J122" s="2" t="s">
        <v>1922</v>
      </c>
      <c r="K122" s="2" t="s">
        <v>1619</v>
      </c>
      <c r="L122" s="2" t="s">
        <v>1023</v>
      </c>
    </row>
    <row r="123" spans="1:12" ht="45" x14ac:dyDescent="0.25">
      <c r="A123" s="2">
        <v>23</v>
      </c>
      <c r="B123" s="2" t="s">
        <v>469</v>
      </c>
      <c r="C123" s="2" t="s">
        <v>41</v>
      </c>
      <c r="D123" s="2" t="s">
        <v>52</v>
      </c>
      <c r="E123" s="2" t="s">
        <v>470</v>
      </c>
      <c r="F123" s="111">
        <v>12</v>
      </c>
      <c r="G123" s="111">
        <v>1.2</v>
      </c>
      <c r="H123" s="111">
        <v>1.7999999999999998</v>
      </c>
      <c r="I123" s="2" t="s">
        <v>1669</v>
      </c>
      <c r="J123" s="2" t="s">
        <v>472</v>
      </c>
      <c r="K123" s="2" t="s">
        <v>1619</v>
      </c>
      <c r="L123" s="2" t="s">
        <v>1023</v>
      </c>
    </row>
    <row r="124" spans="1:12" ht="45" x14ac:dyDescent="0.25">
      <c r="A124" s="2">
        <v>24</v>
      </c>
      <c r="B124" s="2" t="s">
        <v>474</v>
      </c>
      <c r="C124" s="2" t="s">
        <v>41</v>
      </c>
      <c r="D124" s="2" t="s">
        <v>52</v>
      </c>
      <c r="E124" s="2" t="s">
        <v>475</v>
      </c>
      <c r="F124" s="111">
        <v>12</v>
      </c>
      <c r="G124" s="111">
        <v>1.2</v>
      </c>
      <c r="H124" s="111">
        <v>1.7999999999999998</v>
      </c>
      <c r="I124" s="2" t="s">
        <v>1669</v>
      </c>
      <c r="J124" s="2" t="s">
        <v>476</v>
      </c>
      <c r="K124" s="2" t="s">
        <v>1619</v>
      </c>
      <c r="L124" s="2" t="s">
        <v>1023</v>
      </c>
    </row>
    <row r="125" spans="1:12" ht="45" x14ac:dyDescent="0.25">
      <c r="A125" s="2">
        <v>25</v>
      </c>
      <c r="B125" s="2" t="s">
        <v>477</v>
      </c>
      <c r="C125" s="2" t="s">
        <v>41</v>
      </c>
      <c r="D125" s="2" t="s">
        <v>52</v>
      </c>
      <c r="E125" s="2" t="s">
        <v>478</v>
      </c>
      <c r="F125" s="111">
        <v>12</v>
      </c>
      <c r="G125" s="111">
        <v>1.2</v>
      </c>
      <c r="H125" s="111">
        <v>1.7999999999999998</v>
      </c>
      <c r="I125" s="2" t="s">
        <v>1669</v>
      </c>
      <c r="J125" s="2" t="s">
        <v>480</v>
      </c>
      <c r="K125" s="2" t="s">
        <v>1619</v>
      </c>
      <c r="L125" s="2" t="s">
        <v>1023</v>
      </c>
    </row>
    <row r="126" spans="1:12" ht="45" x14ac:dyDescent="0.25">
      <c r="A126" s="2">
        <v>26</v>
      </c>
      <c r="B126" s="2" t="s">
        <v>482</v>
      </c>
      <c r="C126" s="2" t="s">
        <v>41</v>
      </c>
      <c r="D126" s="2" t="s">
        <v>52</v>
      </c>
      <c r="E126" s="2" t="s">
        <v>483</v>
      </c>
      <c r="F126" s="111">
        <v>8</v>
      </c>
      <c r="G126" s="111">
        <v>0.8</v>
      </c>
      <c r="H126" s="111">
        <v>1.2000000000000002</v>
      </c>
      <c r="I126" s="2" t="s">
        <v>1669</v>
      </c>
      <c r="J126" s="2" t="s">
        <v>484</v>
      </c>
      <c r="K126" s="2" t="s">
        <v>1619</v>
      </c>
      <c r="L126" s="2" t="s">
        <v>1023</v>
      </c>
    </row>
    <row r="127" spans="1:12" ht="45" x14ac:dyDescent="0.25">
      <c r="A127" s="2">
        <v>27</v>
      </c>
      <c r="B127" s="2" t="s">
        <v>485</v>
      </c>
      <c r="C127" s="2" t="s">
        <v>41</v>
      </c>
      <c r="D127" s="2" t="s">
        <v>52</v>
      </c>
      <c r="E127" s="2" t="s">
        <v>486</v>
      </c>
      <c r="F127" s="111">
        <v>8</v>
      </c>
      <c r="G127" s="111">
        <v>0.8</v>
      </c>
      <c r="H127" s="111">
        <v>1.2000000000000002</v>
      </c>
      <c r="I127" s="2" t="s">
        <v>1669</v>
      </c>
      <c r="J127" s="2" t="s">
        <v>487</v>
      </c>
      <c r="K127" s="2" t="s">
        <v>1619</v>
      </c>
      <c r="L127" s="2" t="s">
        <v>1023</v>
      </c>
    </row>
    <row r="128" spans="1:12" ht="45" x14ac:dyDescent="0.25">
      <c r="A128" s="2">
        <v>28</v>
      </c>
      <c r="B128" s="2" t="s">
        <v>488</v>
      </c>
      <c r="C128" s="2" t="s">
        <v>41</v>
      </c>
      <c r="D128" s="2" t="s">
        <v>52</v>
      </c>
      <c r="E128" s="2" t="s">
        <v>489</v>
      </c>
      <c r="F128" s="111">
        <v>8</v>
      </c>
      <c r="G128" s="111">
        <v>0.8</v>
      </c>
      <c r="H128" s="111">
        <v>1.2000000000000002</v>
      </c>
      <c r="I128" s="2" t="s">
        <v>1669</v>
      </c>
      <c r="J128" s="2" t="s">
        <v>485</v>
      </c>
      <c r="K128" s="2" t="s">
        <v>1619</v>
      </c>
      <c r="L128" s="2" t="s">
        <v>1023</v>
      </c>
    </row>
    <row r="129" spans="1:12" ht="45" x14ac:dyDescent="0.25">
      <c r="A129" s="2">
        <v>29</v>
      </c>
      <c r="B129" s="2" t="s">
        <v>490</v>
      </c>
      <c r="C129" s="2" t="s">
        <v>41</v>
      </c>
      <c r="D129" s="2" t="s">
        <v>52</v>
      </c>
      <c r="E129" s="2" t="s">
        <v>491</v>
      </c>
      <c r="F129" s="111">
        <v>8</v>
      </c>
      <c r="G129" s="111">
        <v>0.8</v>
      </c>
      <c r="H129" s="111">
        <v>1.2000000000000002</v>
      </c>
      <c r="I129" s="2" t="s">
        <v>1669</v>
      </c>
      <c r="J129" s="2" t="s">
        <v>488</v>
      </c>
      <c r="K129" s="2" t="s">
        <v>1619</v>
      </c>
      <c r="L129" s="2" t="s">
        <v>1023</v>
      </c>
    </row>
    <row r="130" spans="1:12" ht="45" x14ac:dyDescent="0.25">
      <c r="A130" s="2">
        <v>30</v>
      </c>
      <c r="B130" s="2" t="s">
        <v>492</v>
      </c>
      <c r="C130" s="2" t="s">
        <v>41</v>
      </c>
      <c r="D130" s="2" t="s">
        <v>52</v>
      </c>
      <c r="E130" s="2" t="s">
        <v>493</v>
      </c>
      <c r="F130" s="111">
        <v>12</v>
      </c>
      <c r="G130" s="111">
        <v>1.3333333333333333</v>
      </c>
      <c r="H130" s="111">
        <v>2</v>
      </c>
      <c r="I130" s="2" t="s">
        <v>1669</v>
      </c>
      <c r="J130" s="2" t="s">
        <v>494</v>
      </c>
      <c r="K130" s="2" t="s">
        <v>1619</v>
      </c>
      <c r="L130" s="2" t="s">
        <v>1023</v>
      </c>
    </row>
    <row r="131" spans="1:12" ht="45" x14ac:dyDescent="0.25">
      <c r="A131" s="2">
        <v>31</v>
      </c>
      <c r="B131" s="2" t="s">
        <v>495</v>
      </c>
      <c r="C131" s="2" t="s">
        <v>41</v>
      </c>
      <c r="D131" s="2" t="s">
        <v>52</v>
      </c>
      <c r="E131" s="2" t="s">
        <v>496</v>
      </c>
      <c r="F131" s="111">
        <v>12</v>
      </c>
      <c r="G131" s="111">
        <v>1.3333333333333333</v>
      </c>
      <c r="H131" s="111">
        <v>2</v>
      </c>
      <c r="I131" s="2" t="s">
        <v>1669</v>
      </c>
      <c r="J131" s="2" t="s">
        <v>497</v>
      </c>
      <c r="K131" s="2" t="s">
        <v>1619</v>
      </c>
      <c r="L131" s="2" t="s">
        <v>1023</v>
      </c>
    </row>
    <row r="132" spans="1:12" ht="45" x14ac:dyDescent="0.25">
      <c r="A132" s="2">
        <v>32</v>
      </c>
      <c r="B132" s="2" t="s">
        <v>336</v>
      </c>
      <c r="C132" s="2" t="s">
        <v>41</v>
      </c>
      <c r="D132" s="2" t="s">
        <v>52</v>
      </c>
      <c r="E132" s="2" t="s">
        <v>498</v>
      </c>
      <c r="F132" s="111">
        <v>12</v>
      </c>
      <c r="G132" s="111">
        <v>1.2</v>
      </c>
      <c r="H132" s="111">
        <v>1.7999999999999998</v>
      </c>
      <c r="I132" s="2" t="s">
        <v>1669</v>
      </c>
      <c r="J132" s="2" t="s">
        <v>499</v>
      </c>
      <c r="K132" s="2" t="s">
        <v>1619</v>
      </c>
      <c r="L132" s="2" t="s">
        <v>1023</v>
      </c>
    </row>
    <row r="133" spans="1:12" ht="45" x14ac:dyDescent="0.25">
      <c r="A133" s="2">
        <v>33</v>
      </c>
      <c r="B133" s="2" t="s">
        <v>145</v>
      </c>
      <c r="C133" s="2" t="s">
        <v>41</v>
      </c>
      <c r="D133" s="2" t="s">
        <v>55</v>
      </c>
      <c r="E133" s="2" t="s">
        <v>501</v>
      </c>
      <c r="F133" s="111">
        <v>12</v>
      </c>
      <c r="G133" s="111">
        <v>1.2</v>
      </c>
      <c r="H133" s="111">
        <v>1.7999999999999998</v>
      </c>
      <c r="I133" s="2" t="s">
        <v>1665</v>
      </c>
      <c r="J133" s="2" t="s">
        <v>1699</v>
      </c>
      <c r="K133" s="2" t="s">
        <v>1619</v>
      </c>
      <c r="L133" s="2" t="s">
        <v>1023</v>
      </c>
    </row>
    <row r="134" spans="1:12" ht="45" x14ac:dyDescent="0.25">
      <c r="A134" s="2">
        <v>34</v>
      </c>
      <c r="B134" s="2" t="s">
        <v>505</v>
      </c>
      <c r="C134" s="2" t="s">
        <v>41</v>
      </c>
      <c r="D134" s="2" t="s">
        <v>55</v>
      </c>
      <c r="E134" s="2" t="s">
        <v>506</v>
      </c>
      <c r="F134" s="111">
        <v>10</v>
      </c>
      <c r="G134" s="111">
        <v>1</v>
      </c>
      <c r="H134" s="111">
        <v>1.5</v>
      </c>
      <c r="I134" s="2" t="s">
        <v>1665</v>
      </c>
      <c r="J134" s="2" t="s">
        <v>1688</v>
      </c>
      <c r="K134" s="2" t="s">
        <v>1619</v>
      </c>
      <c r="L134" s="2" t="s">
        <v>1023</v>
      </c>
    </row>
    <row r="135" spans="1:12" ht="45" x14ac:dyDescent="0.25">
      <c r="A135" s="2">
        <v>35</v>
      </c>
      <c r="B135" s="2" t="s">
        <v>507</v>
      </c>
      <c r="C135" s="2" t="s">
        <v>41</v>
      </c>
      <c r="D135" s="2" t="s">
        <v>55</v>
      </c>
      <c r="E135" s="2" t="s">
        <v>3046</v>
      </c>
      <c r="F135" s="111">
        <v>12</v>
      </c>
      <c r="G135" s="111">
        <v>1.2</v>
      </c>
      <c r="H135" s="111">
        <v>1.7999999999999998</v>
      </c>
      <c r="I135" s="2" t="s">
        <v>1665</v>
      </c>
      <c r="J135" s="2" t="s">
        <v>509</v>
      </c>
      <c r="K135" s="2" t="s">
        <v>1619</v>
      </c>
      <c r="L135" s="2" t="s">
        <v>1023</v>
      </c>
    </row>
    <row r="136" spans="1:12" ht="45" x14ac:dyDescent="0.25">
      <c r="A136" s="2">
        <v>36</v>
      </c>
      <c r="B136" s="2" t="s">
        <v>340</v>
      </c>
      <c r="C136" s="2" t="s">
        <v>41</v>
      </c>
      <c r="D136" s="2" t="s">
        <v>55</v>
      </c>
      <c r="E136" s="2" t="s">
        <v>511</v>
      </c>
      <c r="F136" s="111">
        <v>10</v>
      </c>
      <c r="G136" s="111">
        <v>1</v>
      </c>
      <c r="H136" s="111">
        <v>1.5</v>
      </c>
      <c r="I136" s="2" t="s">
        <v>1665</v>
      </c>
      <c r="J136" s="2" t="s">
        <v>513</v>
      </c>
      <c r="K136" s="2" t="s">
        <v>1619</v>
      </c>
      <c r="L136" s="2" t="s">
        <v>1023</v>
      </c>
    </row>
    <row r="137" spans="1:12" ht="45" x14ac:dyDescent="0.25">
      <c r="A137" s="2">
        <v>37</v>
      </c>
      <c r="B137" s="2" t="s">
        <v>515</v>
      </c>
      <c r="C137" s="2" t="s">
        <v>41</v>
      </c>
      <c r="D137" s="2" t="s">
        <v>55</v>
      </c>
      <c r="E137" s="2" t="s">
        <v>516</v>
      </c>
      <c r="F137" s="111">
        <v>10</v>
      </c>
      <c r="G137" s="111">
        <v>1</v>
      </c>
      <c r="H137" s="111">
        <v>1.7</v>
      </c>
      <c r="I137" s="2" t="s">
        <v>1665</v>
      </c>
      <c r="J137" s="2" t="s">
        <v>518</v>
      </c>
      <c r="K137" s="2" t="s">
        <v>1619</v>
      </c>
      <c r="L137" s="2" t="s">
        <v>1023</v>
      </c>
    </row>
    <row r="138" spans="1:12" ht="45" x14ac:dyDescent="0.25">
      <c r="A138" s="2">
        <v>38</v>
      </c>
      <c r="B138" s="2" t="s">
        <v>528</v>
      </c>
      <c r="C138" s="2" t="s">
        <v>59</v>
      </c>
      <c r="D138" s="2" t="s">
        <v>58</v>
      </c>
      <c r="E138" s="2" t="s">
        <v>529</v>
      </c>
      <c r="F138" s="111">
        <v>12</v>
      </c>
      <c r="G138" s="111">
        <v>2.4</v>
      </c>
      <c r="H138" s="111">
        <v>4.32</v>
      </c>
      <c r="I138" s="2" t="s">
        <v>1746</v>
      </c>
      <c r="J138" s="2" t="s">
        <v>1767</v>
      </c>
      <c r="K138" s="2" t="s">
        <v>1768</v>
      </c>
      <c r="L138" s="2" t="s">
        <v>1023</v>
      </c>
    </row>
    <row r="139" spans="1:12" ht="45" x14ac:dyDescent="0.25">
      <c r="A139" s="2">
        <v>39</v>
      </c>
      <c r="B139" s="2" t="s">
        <v>521</v>
      </c>
      <c r="C139" s="2" t="s">
        <v>59</v>
      </c>
      <c r="D139" s="2" t="s">
        <v>58</v>
      </c>
      <c r="E139" s="2" t="s">
        <v>522</v>
      </c>
      <c r="F139" s="111">
        <v>12</v>
      </c>
      <c r="G139" s="111">
        <v>2.4</v>
      </c>
      <c r="H139" s="111">
        <v>4.32</v>
      </c>
      <c r="I139" s="2" t="s">
        <v>1746</v>
      </c>
      <c r="J139" s="2" t="s">
        <v>1781</v>
      </c>
      <c r="K139" s="2" t="s">
        <v>1768</v>
      </c>
      <c r="L139" s="2" t="s">
        <v>1023</v>
      </c>
    </row>
    <row r="140" spans="1:12" ht="45" x14ac:dyDescent="0.25">
      <c r="A140" s="2">
        <v>40</v>
      </c>
      <c r="B140" s="2" t="s">
        <v>526</v>
      </c>
      <c r="C140" s="2" t="s">
        <v>59</v>
      </c>
      <c r="D140" s="2" t="s">
        <v>58</v>
      </c>
      <c r="E140" s="2" t="s">
        <v>527</v>
      </c>
      <c r="F140" s="111">
        <v>12</v>
      </c>
      <c r="G140" s="111">
        <v>2.4</v>
      </c>
      <c r="H140" s="111">
        <v>4.32</v>
      </c>
      <c r="I140" s="2" t="s">
        <v>1746</v>
      </c>
      <c r="J140" s="2" t="s">
        <v>1781</v>
      </c>
      <c r="K140" s="2" t="s">
        <v>1768</v>
      </c>
      <c r="L140" s="2" t="s">
        <v>1023</v>
      </c>
    </row>
    <row r="141" spans="1:12" ht="45" x14ac:dyDescent="0.25">
      <c r="A141" s="2">
        <v>41</v>
      </c>
      <c r="B141" s="2" t="s">
        <v>533</v>
      </c>
      <c r="C141" s="2" t="s">
        <v>59</v>
      </c>
      <c r="D141" s="2" t="s">
        <v>62</v>
      </c>
      <c r="E141" s="2" t="s">
        <v>534</v>
      </c>
      <c r="F141" s="111">
        <v>12</v>
      </c>
      <c r="G141" s="111">
        <v>2.4</v>
      </c>
      <c r="H141" s="111">
        <v>4.32</v>
      </c>
      <c r="I141" s="2" t="s">
        <v>1746</v>
      </c>
      <c r="J141" s="2" t="s">
        <v>1767</v>
      </c>
      <c r="K141" s="2" t="s">
        <v>1768</v>
      </c>
      <c r="L141" s="2" t="s">
        <v>1023</v>
      </c>
    </row>
  </sheetData>
  <mergeCells count="4">
    <mergeCell ref="A1:L1"/>
    <mergeCell ref="A3:L3"/>
    <mergeCell ref="A65:L65"/>
    <mergeCell ref="A99:L99"/>
  </mergeCells>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H13"/>
  <sheetViews>
    <sheetView workbookViewId="0"/>
  </sheetViews>
  <sheetFormatPr defaultRowHeight="15" x14ac:dyDescent="0.25"/>
  <cols>
    <col min="1" max="1" width="16" customWidth="1"/>
    <col min="2" max="5" width="34" customWidth="1"/>
    <col min="6" max="6" width="30" customWidth="1"/>
    <col min="7" max="7" width="15" customWidth="1"/>
    <col min="8" max="8" width="40" customWidth="1"/>
  </cols>
  <sheetData>
    <row r="1" spans="1:8" ht="19.5" x14ac:dyDescent="0.3">
      <c r="A1" s="138" t="s">
        <v>3060</v>
      </c>
      <c r="B1" s="138"/>
      <c r="C1" s="138"/>
      <c r="D1" s="138"/>
      <c r="E1" s="138"/>
      <c r="F1" s="138"/>
      <c r="G1" s="138"/>
      <c r="H1" s="138"/>
    </row>
    <row r="3" spans="1:8" x14ac:dyDescent="0.25">
      <c r="A3" s="113" t="s">
        <v>2928</v>
      </c>
      <c r="B3" s="113" t="s">
        <v>1050</v>
      </c>
      <c r="C3" s="113" t="s">
        <v>1017</v>
      </c>
      <c r="D3" s="113" t="s">
        <v>1139</v>
      </c>
      <c r="E3" s="113" t="s">
        <v>3061</v>
      </c>
      <c r="F3" s="113" t="s">
        <v>3062</v>
      </c>
      <c r="G3" s="113" t="s">
        <v>3063</v>
      </c>
      <c r="H3" s="113" t="s">
        <v>3064</v>
      </c>
    </row>
    <row r="4" spans="1:8" ht="30" x14ac:dyDescent="0.25">
      <c r="A4" s="2" t="s">
        <v>3065</v>
      </c>
      <c r="B4" s="2" t="s">
        <v>3066</v>
      </c>
      <c r="C4" s="2" t="s">
        <v>3067</v>
      </c>
      <c r="D4" s="2" t="s">
        <v>3068</v>
      </c>
      <c r="E4" s="2" t="s">
        <v>3069</v>
      </c>
      <c r="F4" s="2" t="s">
        <v>3070</v>
      </c>
      <c r="G4" s="2" t="s">
        <v>3071</v>
      </c>
      <c r="H4" s="2" t="s">
        <v>3072</v>
      </c>
    </row>
    <row r="5" spans="1:8" ht="30" x14ac:dyDescent="0.25">
      <c r="A5" s="2" t="s">
        <v>3073</v>
      </c>
      <c r="B5" s="2" t="s">
        <v>3074</v>
      </c>
      <c r="C5" s="2" t="s">
        <v>3075</v>
      </c>
      <c r="D5" s="2" t="s">
        <v>3076</v>
      </c>
      <c r="E5" s="2" t="s">
        <v>3077</v>
      </c>
      <c r="F5" s="2" t="s">
        <v>3078</v>
      </c>
      <c r="G5" s="2" t="s">
        <v>3071</v>
      </c>
      <c r="H5" s="2" t="s">
        <v>3079</v>
      </c>
    </row>
    <row r="6" spans="1:8" ht="30" x14ac:dyDescent="0.25">
      <c r="A6" s="2" t="s">
        <v>3080</v>
      </c>
      <c r="B6" s="2" t="s">
        <v>3081</v>
      </c>
      <c r="C6" s="2" t="s">
        <v>3082</v>
      </c>
      <c r="D6" s="2" t="s">
        <v>3083</v>
      </c>
      <c r="E6" s="2" t="s">
        <v>3084</v>
      </c>
      <c r="F6" s="2" t="s">
        <v>3085</v>
      </c>
      <c r="G6" s="2" t="s">
        <v>3071</v>
      </c>
      <c r="H6" s="2" t="s">
        <v>3086</v>
      </c>
    </row>
    <row r="7" spans="1:8" ht="30" x14ac:dyDescent="0.25">
      <c r="A7" s="2" t="s">
        <v>3087</v>
      </c>
      <c r="B7" s="2" t="s">
        <v>3088</v>
      </c>
      <c r="C7" s="2" t="s">
        <v>3089</v>
      </c>
      <c r="D7" s="2" t="s">
        <v>3090</v>
      </c>
      <c r="E7" s="2" t="s">
        <v>3091</v>
      </c>
      <c r="F7" s="2" t="s">
        <v>3092</v>
      </c>
      <c r="G7" s="2" t="s">
        <v>3093</v>
      </c>
      <c r="H7" s="2" t="s">
        <v>3094</v>
      </c>
    </row>
    <row r="8" spans="1:8" ht="30" x14ac:dyDescent="0.25">
      <c r="A8" s="2" t="s">
        <v>3095</v>
      </c>
      <c r="B8" s="2" t="s">
        <v>3096</v>
      </c>
      <c r="C8" s="2" t="s">
        <v>3097</v>
      </c>
      <c r="D8" s="2" t="s">
        <v>3098</v>
      </c>
      <c r="E8" s="2" t="s">
        <v>3099</v>
      </c>
      <c r="F8" s="2" t="s">
        <v>3100</v>
      </c>
      <c r="G8" s="2" t="s">
        <v>3101</v>
      </c>
      <c r="H8" s="2" t="s">
        <v>3102</v>
      </c>
    </row>
    <row r="9" spans="1:8" ht="30" x14ac:dyDescent="0.25">
      <c r="A9" s="2" t="s">
        <v>3103</v>
      </c>
      <c r="B9" s="2" t="s">
        <v>3104</v>
      </c>
      <c r="C9" s="2" t="s">
        <v>3105</v>
      </c>
      <c r="D9" s="2" t="s">
        <v>3106</v>
      </c>
      <c r="E9" s="2" t="s">
        <v>3107</v>
      </c>
      <c r="F9" s="2" t="s">
        <v>3108</v>
      </c>
      <c r="G9" s="2" t="s">
        <v>3093</v>
      </c>
      <c r="H9" s="2" t="s">
        <v>3109</v>
      </c>
    </row>
    <row r="10" spans="1:8" ht="30" x14ac:dyDescent="0.25">
      <c r="A10" s="2" t="s">
        <v>3110</v>
      </c>
      <c r="B10" s="2" t="s">
        <v>3111</v>
      </c>
      <c r="C10" s="2" t="s">
        <v>3112</v>
      </c>
      <c r="D10" s="2" t="s">
        <v>3113</v>
      </c>
      <c r="E10" s="2" t="s">
        <v>3114</v>
      </c>
      <c r="F10" s="2" t="s">
        <v>3115</v>
      </c>
      <c r="G10" s="2" t="s">
        <v>3101</v>
      </c>
      <c r="H10" s="2" t="s">
        <v>3116</v>
      </c>
    </row>
    <row r="11" spans="1:8" ht="30" x14ac:dyDescent="0.25">
      <c r="A11" s="2" t="s">
        <v>3117</v>
      </c>
      <c r="B11" s="2" t="s">
        <v>3118</v>
      </c>
      <c r="C11" s="2" t="s">
        <v>3119</v>
      </c>
      <c r="D11" s="2" t="s">
        <v>3120</v>
      </c>
      <c r="E11" s="2" t="s">
        <v>3121</v>
      </c>
      <c r="F11" s="2" t="s">
        <v>3122</v>
      </c>
      <c r="G11" s="2" t="s">
        <v>3093</v>
      </c>
      <c r="H11" s="2" t="s">
        <v>3123</v>
      </c>
    </row>
    <row r="12" spans="1:8" ht="30" x14ac:dyDescent="0.25">
      <c r="A12" s="2" t="s">
        <v>3124</v>
      </c>
      <c r="B12" s="2" t="s">
        <v>3125</v>
      </c>
      <c r="C12" s="2" t="s">
        <v>3126</v>
      </c>
      <c r="D12" s="2" t="s">
        <v>3127</v>
      </c>
      <c r="E12" s="2" t="s">
        <v>3128</v>
      </c>
      <c r="F12" s="2" t="s">
        <v>3129</v>
      </c>
      <c r="G12" s="2" t="s">
        <v>3071</v>
      </c>
      <c r="H12" s="2" t="s">
        <v>3130</v>
      </c>
    </row>
    <row r="13" spans="1:8" ht="45" x14ac:dyDescent="0.25">
      <c r="A13" s="2" t="s">
        <v>3131</v>
      </c>
      <c r="B13" s="2" t="s">
        <v>3132</v>
      </c>
      <c r="C13" s="2" t="s">
        <v>3133</v>
      </c>
      <c r="D13" s="2" t="s">
        <v>3134</v>
      </c>
      <c r="E13" s="2" t="s">
        <v>3135</v>
      </c>
      <c r="F13" s="2" t="s">
        <v>3136</v>
      </c>
      <c r="G13" s="2" t="s">
        <v>3093</v>
      </c>
      <c r="H13" s="2" t="s">
        <v>3137</v>
      </c>
    </row>
  </sheetData>
  <mergeCells count="1">
    <mergeCell ref="A1:H1"/>
  </mergeCells>
  <conditionalFormatting sqref="G4:G13">
    <cfRule type="expression" dxfId="6" priority="1">
      <formula>LEFT(G4,5)="Green"</formula>
    </cfRule>
    <cfRule type="expression" dxfId="5" priority="2">
      <formula>LEFT(G4,6)="Yellow"</formula>
    </cfRule>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18</vt:i4>
      </vt:variant>
    </vt:vector>
  </HeadingPairs>
  <TitlesOfParts>
    <vt:vector size="18" baseType="lpstr">
      <vt:lpstr>Backlog</vt:lpstr>
      <vt:lpstr>Phase Summary</vt:lpstr>
      <vt:lpstr>Milestone Rollup</vt:lpstr>
      <vt:lpstr>Legend</vt:lpstr>
      <vt:lpstr>Audit Traceability</vt:lpstr>
      <vt:lpstr>Worker 3 Lane</vt:lpstr>
      <vt:lpstr>AI-ML Architecture Coverage</vt:lpstr>
      <vt:lpstr>v2.10 Change Log</vt:lpstr>
      <vt:lpstr>Design Review Findings</vt:lpstr>
      <vt:lpstr>Target Route Coverage</vt:lpstr>
      <vt:lpstr>Revision Summary</vt:lpstr>
      <vt:lpstr>Two-Track Product Contract</vt:lpstr>
      <vt:lpstr>Concept Rulings v2.10.3</vt:lpstr>
      <vt:lpstr>Delivery Feasibility</vt:lpstr>
      <vt:lpstr>AI Agent Operating Model</vt:lpstr>
      <vt:lpstr>AI Agent Task Map</vt:lpstr>
      <vt:lpstr>AI Agent Queues</vt:lpstr>
      <vt:lpstr>AI Agent Calendar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Elsayed, Karim (SMS group GmbH)</cp:lastModifiedBy>
  <dcterms:modified xsi:type="dcterms:W3CDTF">2026-08-19T05:49:32Z</dcterms:modified>
</cp:coreProperties>
</file>