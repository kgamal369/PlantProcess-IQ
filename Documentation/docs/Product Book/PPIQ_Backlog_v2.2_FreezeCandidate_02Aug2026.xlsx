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0A8873CB-2C80-444E-AC6E-F83E2B7A610F}" xr6:coauthVersionLast="47" xr6:coauthVersionMax="47" xr10:uidLastSave="{00000000-0000-0000-0000-000000000000}"/>
  <bookViews>
    <workbookView xWindow="-120" yWindow="-120" windowWidth="29040" windowHeight="15720" tabRatio="500"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D6" i="3" s="1"/>
  <c r="C2" i="3"/>
  <c r="C6" i="3" s="1"/>
  <c r="F14" i="2"/>
  <c r="E14" i="2"/>
  <c r="F13" i="2"/>
  <c r="E13" i="2"/>
  <c r="F12" i="2"/>
  <c r="E12" i="2"/>
  <c r="F11" i="2"/>
  <c r="E11" i="2"/>
  <c r="F10" i="2"/>
  <c r="E10" i="2"/>
  <c r="F9" i="2"/>
  <c r="E9" i="2"/>
  <c r="F8" i="2"/>
  <c r="E8" i="2"/>
  <c r="F7" i="2"/>
  <c r="E7" i="2"/>
  <c r="F6" i="2"/>
  <c r="E6" i="2"/>
  <c r="F5" i="2"/>
  <c r="E5" i="2"/>
  <c r="F4" i="2"/>
  <c r="E4" i="2"/>
  <c r="F3" i="2"/>
  <c r="E3" i="2"/>
  <c r="F2" i="2"/>
  <c r="F15" i="2" s="1"/>
  <c r="E2" i="2"/>
  <c r="E15" i="2" s="1"/>
</calcChain>
</file>

<file path=xl/sharedStrings.xml><?xml version="1.0" encoding="utf-8"?>
<sst xmlns="http://schemas.openxmlformats.org/spreadsheetml/2006/main" count="1564" uniqueCount="736">
  <si>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</si>
  <si>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</si>
  <si>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</si>
  <si>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</si>
  <si>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</si>
  <si>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</si>
  <si>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</si>
  <si>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</si>
  <si>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</si>
  <si>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</si>
  <si>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</si>
  <si>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</si>
  <si>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</si>
  <si>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</si>
  <si>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</si>
  <si>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</si>
  <si>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</si>
  <si>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</si>
  <si>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</si>
  <si>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</si>
  <si>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Not Started</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</si>
  <si>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</si>
  <si>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</si>
  <si>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</si>
  <si>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</si>
  <si>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</si>
  <si>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</si>
  <si>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</si>
  <si>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</si>
  <si>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</si>
  <si>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</si>
  <si>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</si>
  <si>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</si>
  <si>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ppiq_acceptance_empty and the one-query Rule 2 proof</t>
  </si>
  <si>
    <t>Database</t>
  </si>
  <si>
    <t>Schema</t>
  </si>
  <si>
    <t>Very Important</t>
  </si>
  <si>
    <t>Kept in M1 deliberately, and the reason must be written down because it does not pass Gate A on its own: the customer will not see this screen. It stays because it is the M1 RELEASE GATE - the proof that the artifact you are about to demonstrate is a product that starts empty, not a database someone filled by hand. If that justification is not accepted, move this task to M2a-P1 and drop M1 by four hours. Rule 2 says the plant schema starts empty and is provable in one query. Add a third database created by the same migration chain and nothing else. Write scripts/db/New-AcceptanceEmptyDb.ps1 that creates it, runs the EF migrations plus the post-EF SQL, and runs no seed. Then write the proof query: a single SELECT that returns zero for the sum of row counts across every plant-data table.</t>
  </si>
  <si>
    <t>An integration test in Backend/tests/PlantProcess.Api.IntegrationTests that connects to ppiq_acceptance_empty, runs the proof query, and asserts the result is 0. The test must fail if a future seed script writes a plant row into a fresh database.</t>
  </si>
  <si>
    <t>T-005</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</si>
  <si>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</si>
  <si>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</si>
  <si>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</si>
  <si>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</si>
  <si>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</si>
  <si>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T-006</t>
  </si>
  <si>
    <t>Rebuild ppiq_presentation into scratch and diff against live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</si>
  <si>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</si>
  <si>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</si>
  <si>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</si>
  <si>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T-007</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</si>
  <si>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</si>
  <si>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</si>
  <si>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</si>
  <si>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T-008</t>
  </si>
  <si>
    <t>Author the Presentation Phenomena Manifest</t>
  </si>
  <si>
    <t>Write docs/m1/PHENOMENA_MANIFEST.md listing 10 to 15 industrial behaviours the dataset must exhibit, each with the entities involved, the expected direction and strength, and the screen that will show it. The required set: casting speed by temperature by grade interaction; thickness changing the optimum speed; a real quality difference between two equipment units; a shift effect; a downtime pattern; a yield against throughput trade-off; defect probability rising above a speed band; a plausible correlation that disappears after conditioning; a good-practice operating band; a bad-practice band; one insufficient-support case the engine must refuse; one clean genealogy chain. Every phenomenon is planted in the DATA. None of them may be an answer written in code.</t>
  </si>
  <si>
    <t>Peer review against the rule: for each entry, name the table and column where the effect will live. If any entry can only be satisfied by a code branch or a hardcoded string, it is rejected and rewritten.</t>
  </si>
  <si>
    <t>T-009</t>
  </si>
  <si>
    <t>Extend the emulated sources: speed, temperature and grade interaction</t>
  </si>
  <si>
    <t>Emulated sources</t>
  </si>
  <si>
    <t>The emulated plant lives in the src_*_shape schemas and is loaded by Backend/database/scripts/110_phase1_demo_source_shapes.sql and the seed files under Backend/database/seed. Extend the generator so casting speed, tundish temperature and grade interact: within each grade, defect rate is lowest inside a speed band, and the band shifts with temperature. Do not write the answer anywhere. Generate rows so the relationship is discoverable by a correlation run.</t>
  </si>
  <si>
    <t>Write a SQL verification script that groups the generated rows by grade and speed decile and prints mean defect rate. The band must be visible in the printed table without any smoothing. Save the output to the evidence folder.</t>
  </si>
  <si>
    <t>T-010</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</si>
  <si>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</si>
  <si>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</si>
  <si>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</si>
  <si>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</si>
  <si>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</si>
  <si>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T-011</t>
  </si>
  <si>
    <t>Extend the emulated sources: equipment, shift, thickness and downtime</t>
  </si>
  <si>
    <t>Depends on the downtime schema slice above. Continue in the source generator. Add: a measurable quality difference between two equipment units on the same route step; a shift effect on at least one outcome; thickness shifting the optimum speed; and a downtime pattern where a short equipment stoppage sometimes does and sometimes does not become a production stoppage, populating both quantities independently so the difference is visible in the data rather than asserted in a slide.</t>
  </si>
  <si>
    <t>A SQL verification script per effect printing group means and counts. For downtime, assert the count of equipment stoppages exceeds the count of production stoppages, that both columns are non-null on every row, and that at least one row has stopped_minutes greater than zero with production_impact_minutes equal to zero.</t>
  </si>
  <si>
    <t>T-012</t>
  </si>
  <si>
    <t>Extend the emulated sources: the confounded correlation and the refusal case</t>
  </si>
  <si>
    <t>Two phenomena carry more weight than the rest. First, plant a correlation that looks strong on a naive analysis and disappears once a visible confounder is conditioned on. Second, create one outcome that has genuine data but too few independent units or too few outcome events to pass the readiness gate, so the engine must refuse it. Gate thresholds are in ReadinessGate.cs: HeatsReady 60 / HeatsPartial 30, EventsReady 40 / EventsPartial 15, MinorityReady 0.10 / Partial 0.03, CompletenessReady 0.95 / Partial 0.85.</t>
  </si>
  <si>
    <t>Run the analysis path on both. The first must produce a finding that survives naive analysis and is reported as not surviving stratification. The second must return Blocked with a reason string naming the measured value and its threshold. Both outputs saved to the evidence folder. Do not weaken any gate threshold to achieve either result.</t>
  </si>
  <si>
    <t>T-013</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</si>
  <si>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</si>
  <si>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</si>
  <si>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</si>
  <si>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</si>
  <si>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T-014</t>
  </si>
  <si>
    <t>Data quality pass on the regenerated dataset</t>
  </si>
  <si>
    <t>Check the generated data for anything an engineer in the room would catch: negative or zero values where the parameter registry declares a positive range; units inconsistent with the parameter definition; timestamps out of order or in the future; genealogy children whose contribution weights do not sum to 1.0; rows with no provenance; distributions that are obviously uniform where a real plant would be skewed.</t>
  </si>
  <si>
    <t>A SQL QA script that returns zero rows for each of the above conditions. The genealogy check is already enforced by a database trigger on contribution_weight, so confirm the trigger fires by attempting an invalid insert in a transaction and rolling back.</t>
  </si>
  <si>
    <t>T-015</t>
  </si>
  <si>
    <t>Establish and fix the architecture test pool reliability</t>
  </si>
  <si>
    <t>Testing</t>
  </si>
  <si>
    <t>CI/CD</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</si>
  <si>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</si>
  <si>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</si>
  <si>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T-016</t>
  </si>
  <si>
    <t>M1-P2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</si>
  <si>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</si>
  <si>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</si>
  <si>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</si>
  <si>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</si>
  <si>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T-017</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</si>
  <si>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</si>
  <si>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</si>
  <si>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</si>
  <si>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T-018</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</si>
  <si>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</si>
  <si>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</si>
  <si>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</si>
  <si>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T-019</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</si>
  <si>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</si>
  <si>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</si>
  <si>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</si>
  <si>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</si>
  <si>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T-020</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</si>
  <si>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</si>
  <si>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</si>
  <si>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</si>
  <si>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T-021</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</si>
  <si>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</si>
  <si>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</si>
  <si>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</si>
  <si>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T-022</t>
  </si>
  <si>
    <t>Add Widget and Edit Widget open the shared shell in S2 mode</t>
  </si>
  <si>
    <t>Dashboard</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</si>
  <si>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</si>
  <si>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</si>
  <si>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T-023</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</si>
  <si>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</si>
  <si>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</si>
  <si>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</si>
  <si>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</si>
  <si>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T-024</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</si>
  <si>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</si>
  <si>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</si>
  <si>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</si>
  <si>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T-025</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</si>
  <si>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</si>
  <si>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</si>
  <si>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T-023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</si>
  <si>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</si>
  <si>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T-026</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</si>
  <si>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</si>
  <si>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</si>
  <si>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</si>
  <si>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T-027</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</si>
  <si>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</si>
  <si>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</si>
  <si>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</si>
  <si>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T-028</t>
  </si>
  <si>
    <t>Widget row census across the seven seeded dashboards</t>
  </si>
  <si>
    <t>scripts/demo/Seed-PresentationDashboards.v2.ps1 seeds seven dashboards with roughly 29 widgets: PRODUCTION_OVERVIEW, QUALITY_MONITORING, EQUIPMENT_OPERATIONS, CORRELATION_FINDINGS_BOARD, PARAMETER_DEEP_ANALYSIS, RISK_INTELLIGENCE and MODEL_INSIGHTS. Write a script that calls the widget query endpoint for every seeded widget and records the returned row count, the chart type and any warning. Historically about half returned zero rows.</t>
  </si>
  <si>
    <t>Produce docs/m1/evidence/widget_row_census.csv with one row per widget: dashboard, widget code, chart type, rows returned, error. Every widget on the six chosen pages must end this phase with rows greater than zero.</t>
  </si>
  <si>
    <t>T-029</t>
  </si>
  <si>
    <t>Fix every empty or wrong-shaped widget on the six chosen pages</t>
  </si>
  <si>
    <t>Working from the census, fix each failing widget. The order of preference is: correct the widget definition (dimension, measure, parameter code, filter) in the seed script; then correct the chart type; only then change code. Known historical cases to check: a widget grouped by the day dimension rendering as a donut with sixty slices, or a heatmap of dates; a widget using a measure that requires a parameterCode with the code left null; a widget bound to a dimension the server does not list as supported, which returns 400.</t>
  </si>
  <si>
    <t>Re-run the census. Every widget on the six pages returns rows and renders the chart type its title implies. Manually confirm the rule 'retitle when you repoint': no widget title describes something other than what it plots.</t>
  </si>
  <si>
    <t>T-030</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</si>
  <si>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</si>
  <si>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</si>
  <si>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</si>
  <si>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</si>
  <si>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T-031</t>
  </si>
  <si>
    <t>Give the six pages six distinct visual grammars from the registered grammar</t>
  </si>
  <si>
    <t>ORDERED IN v2.2 to run AFTER T-030, because the six grammars are chosen from the FINAL registered grammar, not from whichever types happen to be implemented today. Six pages that are all bar charts read as one page shown six times. Assign each of the six a dominant visual language and adjust widget definitions to match: KPI tiles with trend; Pareto; stacked or combination; scatter; heatmap; distribution or box plot; table with conditional formatting; timeline or genealogy where appropriate.</t>
  </si>
  <si>
    <t>Place the six pages side by side as screenshots. A reviewer who has not seen the product must be able to say what each page is for from the shapes alone, without reading the titles. Every chart type used appears in the registry as implemented, never as unavailable.</t>
  </si>
  <si>
    <t>T-032</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</si>
  <si>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</si>
  <si>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</si>
  <si>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</si>
  <si>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T-033</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</si>
  <si>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</si>
  <si>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</si>
  <si>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</si>
  <si>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T-034</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</si>
  <si>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</si>
  <si>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</si>
  <si>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</si>
  <si>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T-035</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</si>
  <si>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</si>
  <si>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</si>
  <si>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</si>
  <si>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T-036</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</si>
  <si>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</si>
  <si>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</si>
  <si>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</si>
  <si>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T-037</t>
  </si>
  <si>
    <t>M1-P4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</si>
  <si>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</si>
  <si>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</si>
  <si>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</si>
  <si>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</si>
  <si>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T-038</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</si>
  <si>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</si>
  <si>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</si>
  <si>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src_caster_oracle_shape_cast_pieces.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</si>
  <si>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</si>
  <si>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T-039</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</si>
  <si>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</si>
  <si>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</si>
  <si>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</si>
  <si>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T-040</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</si>
  <si>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</si>
  <si>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</si>
  <si>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</si>
  <si>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</si>
  <si>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T-041</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</si>
  <si>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</si>
  <si>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</si>
  <si>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</si>
  <si>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T-042</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</si>
  <si>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</si>
  <si>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</si>
  <si>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</si>
  <si>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T-043</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</si>
  <si>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</si>
  <si>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</si>
  <si>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</si>
  <si>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</si>
  <si>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T-044</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</si>
  <si>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</si>
  <si>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</si>
  <si>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</si>
  <si>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T-045</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</si>
  <si>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</si>
  <si>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</si>
  <si>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</si>
  <si>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</si>
  <si>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T-046</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</si>
  <si>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</si>
  <si>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</si>
  <si>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</si>
  <si>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</si>
  <si>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T-047</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</si>
  <si>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</si>
  <si>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</si>
  <si>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</si>
  <si>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T-048</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</si>
  <si>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</si>
  <si>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</si>
  <si>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</si>
  <si>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T-049</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</si>
  <si>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</si>
  <si>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</si>
  <si>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</si>
  <si>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T-050</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</si>
  <si>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</si>
  <si>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</si>
  <si>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</si>
  <si>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T-051</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</si>
  <si>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</si>
  <si>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</si>
  <si>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</si>
  <si>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</si>
  <si>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</si>
  <si>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</si>
  <si>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T-052</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</si>
  <si>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</si>
  <si>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</si>
  <si>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</si>
  <si>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T-053</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</si>
  <si>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</si>
  <si>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</si>
  <si>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</si>
  <si>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</si>
  <si>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T-054</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</si>
  <si>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</si>
  <si>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</si>
  <si>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</si>
  <si>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T-055</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</si>
  <si>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</si>
  <si>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</si>
  <si>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</si>
  <si>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</si>
  <si>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T-056</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</si>
  <si>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</si>
  <si>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</si>
  <si>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</si>
  <si>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T-057</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</si>
  <si>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</si>
  <si>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</si>
  <si>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</si>
  <si>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T-058</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</si>
  <si>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</si>
  <si>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</si>
  <si>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</si>
  <si>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T-059</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</si>
  <si>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</si>
  <si>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</si>
  <si>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</si>
  <si>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</si>
  <si>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T-060</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</si>
  <si>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</si>
  <si>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</si>
  <si>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</si>
  <si>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</si>
  <si>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T-061</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</si>
  <si>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</si>
  <si>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</si>
  <si>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</si>
  <si>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T-062</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</si>
  <si>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</si>
  <si>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</si>
  <si>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</si>
  <si>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</si>
  <si>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T-063</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</si>
  <si>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</si>
  <si>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</si>
  <si>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src_caster_oracle_shape_cast_pieces.</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</si>
  <si>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</si>
  <si>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T-064</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</si>
  <si>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</si>
  <si>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</si>
  <si>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</si>
  <si>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T-065</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</si>
  <si>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</si>
  <si>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</si>
  <si>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</si>
  <si>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T-066</t>
  </si>
  <si>
    <t>M2a</t>
  </si>
  <si>
    <t>M2a-P1</t>
  </si>
  <si>
    <t>Physical three-schema migration</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</si>
  <si>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</si>
  <si>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t>
  </si>
  <si>
    <t>T-067</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</si>
  <si>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</si>
  <si>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</si>
  <si>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</si>
  <si>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T-068</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</si>
  <si>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</si>
  <si>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</si>
  <si>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</si>
  <si>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T-069</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</si>
  <si>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</si>
  <si>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</si>
  <si>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</si>
  <si>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T-070</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</si>
  <si>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</si>
  <si>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</si>
  <si>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</si>
  <si>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T-071</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</si>
  <si>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</si>
  <si>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</si>
  <si>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</si>
  <si>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T-072</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</si>
  <si>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</si>
  <si>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</si>
  <si>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</si>
  <si>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T-073</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</si>
  <si>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</si>
  <si>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</si>
  <si>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</si>
  <si>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T-074</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</si>
  <si>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</si>
  <si>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</si>
  <si>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</si>
  <si>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</si>
  <si>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T-075</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</si>
  <si>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</si>
  <si>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</si>
  <si>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</si>
  <si>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T-076</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</si>
  <si>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</si>
  <si>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</si>
  <si>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</si>
  <si>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</si>
  <si>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T-077</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</si>
  <si>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</si>
  <si>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</si>
  <si>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</si>
  <si>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T-078</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</si>
  <si>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</si>
  <si>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</si>
  <si>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</si>
  <si>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T-079</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</si>
  <si>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</si>
  <si>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</si>
  <si>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</si>
  <si>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T-080</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</si>
  <si>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</si>
  <si>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</si>
  <si>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</si>
  <si>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</si>
  <si>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T-081</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</si>
  <si>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</si>
  <si>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</si>
  <si>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</si>
  <si>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T-082</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</si>
  <si>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</si>
  <si>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</si>
  <si>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</si>
  <si>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T-083</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</si>
  <si>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</si>
  <si>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</si>
  <si>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</si>
  <si>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T-084</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</si>
  <si>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</si>
  <si>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</si>
  <si>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</si>
  <si>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T-085</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</si>
  <si>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</si>
  <si>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</si>
  <si>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</si>
  <si>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</si>
  <si>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T-086</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</si>
  <si>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</si>
  <si>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</si>
  <si>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</si>
  <si>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T-087</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</si>
  <si>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</si>
  <si>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</si>
  <si>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</si>
  <si>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</si>
  <si>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T-088</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</si>
  <si>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</si>
  <si>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</si>
  <si>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</si>
  <si>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T-089</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</si>
  <si>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</si>
  <si>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</si>
  <si>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</si>
  <si>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</si>
  <si>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T-090</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</si>
  <si>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</si>
  <si>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</si>
  <si>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</si>
  <si>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T-091</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</si>
  <si>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</si>
  <si>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</si>
  <si>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</si>
  <si>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T-092</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</si>
  <si>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</si>
  <si>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</si>
  <si>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</si>
  <si>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</si>
  <si>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T-093</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</si>
  <si>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</si>
  <si>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</si>
  <si>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</si>
  <si>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</si>
  <si>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T-094</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</si>
  <si>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</si>
  <si>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</si>
  <si>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</si>
  <si>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T-095</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</si>
  <si>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</si>
  <si>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</si>
  <si>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</si>
  <si>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T-096</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</si>
  <si>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</si>
  <si>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</si>
  <si>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</si>
  <si>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</si>
  <si>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</si>
  <si>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T-097</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</si>
  <si>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</si>
  <si>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</si>
  <si>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</si>
  <si>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</si>
  <si>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T-098</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</si>
  <si>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</si>
  <si>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</si>
  <si>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</si>
  <si>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T-099</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</si>
  <si>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</si>
  <si>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</si>
  <si>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</si>
  <si>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</si>
  <si>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T-100</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</si>
  <si>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</si>
  <si>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</si>
  <si>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</si>
  <si>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</si>
  <si>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T-101</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</si>
  <si>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</si>
  <si>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</si>
  <si>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</si>
  <si>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T-102</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</si>
  <si>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</si>
  <si>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</si>
  <si>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</si>
  <si>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</si>
  <si>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T-103</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</si>
  <si>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</si>
  <si>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</si>
  <si>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</si>
  <si>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T-104</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</si>
  <si>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</si>
  <si>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</si>
  <si>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</si>
  <si>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</si>
  <si>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T-105</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</si>
  <si>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</si>
  <si>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</si>
  <si>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</si>
  <si>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T-106</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</si>
  <si>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</si>
  <si>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</si>
  <si>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</si>
  <si>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</si>
  <si>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</si>
  <si>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</si>
  <si>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T-107</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</si>
  <si>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</si>
  <si>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</si>
  <si>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</si>
  <si>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T-108</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</si>
  <si>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</si>
  <si>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</si>
  <si>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</si>
  <si>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</si>
  <si>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T-109</t>
  </si>
  <si>
    <t>Practice signature, windowing, context and cohorts</t>
  </si>
  <si>
    <t>Practice learning</t>
  </si>
  <si>
    <t>Implement the practice-learning engine core from Chapter 4 5.6.4b: signature construction, parameter windowing, context, and the comparison cohort.</t>
  </si>
  <si>
    <t>On the presentation dataset, confirm the engine recovers the good-practice band planted in M1-P1 and does not recover a band from the null control.</t>
  </si>
  <si>
    <t>T-110</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</si>
  <si>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</si>
  <si>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</si>
  <si>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</si>
  <si>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T-111</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</si>
  <si>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</si>
  <si>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</si>
  <si>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</si>
  <si>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T-112</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</si>
  <si>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</si>
  <si>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</si>
  <si>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</si>
  <si>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T-113</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</si>
  <si>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</si>
  <si>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</si>
  <si>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</si>
  <si>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T-114</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</si>
  <si>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</si>
  <si>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</si>
  <si>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</si>
  <si>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T-115</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</si>
  <si>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</si>
  <si>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</si>
  <si>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</si>
  <si>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</si>
  <si>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T-116</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</si>
  <si>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</si>
  <si>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</si>
  <si>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</si>
  <si>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T-117</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</si>
  <si>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</si>
  <si>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</si>
  <si>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</si>
  <si>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</si>
  <si>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</si>
  <si>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T-118</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</si>
  <si>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</si>
  <si>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</si>
  <si>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</si>
  <si>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T-119</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</si>
  <si>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</si>
  <si>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</si>
  <si>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</si>
  <si>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T-120</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</si>
  <si>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</si>
  <si>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</si>
  <si>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</si>
  <si>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presentation dataset and confirm each carries a support count above the configured threshold, an effect range and resolvable comparable evidence. A candidate with insufficient support must not be generated at all.</t>
  </si>
  <si>
    <t>T-121</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</si>
  <si>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</si>
  <si>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</si>
  <si>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</si>
  <si>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T-122</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</si>
  <si>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</si>
  <si>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</si>
  <si>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</si>
  <si>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</si>
  <si>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T-123</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</si>
  <si>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</si>
  <si>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</si>
  <si>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</si>
  <si>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T-124</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</si>
  <si>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</si>
  <si>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</si>
  <si>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</si>
  <si>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</si>
  <si>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T-125</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</si>
  <si>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</si>
  <si>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</si>
  <si>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</si>
  <si>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T-126</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</si>
  <si>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</si>
  <si>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</si>
  <si>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</si>
  <si>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T-127</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</si>
  <si>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</si>
  <si>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</si>
  <si>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</si>
  <si>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T-128</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</si>
  <si>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</si>
  <si>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</si>
  <si>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</si>
  <si>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T-129</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</si>
  <si>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</si>
  <si>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</si>
  <si>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</si>
  <si>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</si>
  <si>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</si>
  <si>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</si>
  <si>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T-130</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</si>
  <si>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</si>
  <si>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</si>
  <si>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</si>
  <si>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T-131</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</si>
  <si>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</si>
  <si>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</si>
  <si>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</si>
  <si>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</si>
  <si>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T-132</t>
  </si>
  <si>
    <t>Query plans, indexes and partition boundaries</t>
  </si>
  <si>
    <t>Performance</t>
  </si>
  <si>
    <t>Tune against real measurements from the customer's volumes, not against assumptions.</t>
  </si>
  <si>
    <t>Before and after query plans recorded for the ten slowest queries, with the improvement measured.</t>
  </si>
  <si>
    <t>T-133</t>
  </si>
  <si>
    <t>Pool weights, scan amplification and model-serving memory</t>
  </si>
  <si>
    <t>Tune the concurrency and memory model to the site's measured load.</t>
  </si>
  <si>
    <t>Scan Amplification stays within baseline under real load. No job class starves another.</t>
  </si>
  <si>
    <t>T-134</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</si>
  <si>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</si>
  <si>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</si>
  <si>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</si>
  <si>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</si>
  <si>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T-135</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</si>
  <si>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</si>
  <si>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</si>
  <si>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</si>
  <si>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</si>
  <si>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T-136</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</si>
  <si>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</si>
  <si>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</si>
  <si>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</si>
  <si>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T-137</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</si>
  <si>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</si>
  <si>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</si>
  <si>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</si>
  <si>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</si>
  <si>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</si>
  <si>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T-138</t>
  </si>
  <si>
    <t>HA, DR and restore rehearsal</t>
  </si>
  <si>
    <t>Resilience</t>
  </si>
  <si>
    <t>Production topology, RPO and RTO objectives, and a real disaster-recovery rehearsal.</t>
  </si>
  <si>
    <t>A full recovery rehearsal completes within the stated RPO and RTO, witnessed and recorded.</t>
  </si>
  <si>
    <t>T-139</t>
  </si>
  <si>
    <t>SSO and identity integration</t>
  </si>
  <si>
    <t>Integrate the customer identity provider with the final role catalogue, account lifecycle and emergency access.</t>
  </si>
  <si>
    <t>Account provisioning, de-provisioning and emergency access all tested against the customer directory.</t>
  </si>
  <si>
    <t>T-140</t>
  </si>
  <si>
    <t>Site security hardening and sign-off</t>
  </si>
  <si>
    <t>Network rules, secrets, certificate rotation, RLS and tenant proof, audit review.</t>
  </si>
  <si>
    <t>A tenant-isolation proof from the database alone, plus a signed security review.</t>
  </si>
  <si>
    <t>T-141</t>
  </si>
  <si>
    <t>Monitoring, SLOs and support escalation</t>
  </si>
  <si>
    <t>Operational dashboards, alerts, queue and latency and backup and certificate health, and the escalation path.</t>
  </si>
  <si>
    <t>Each SLO has a measured baseline and an alert that fires before it is breached.</t>
  </si>
  <si>
    <t>T-142</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</si>
  <si>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</si>
  <si>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</si>
  <si>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</si>
  <si>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</si>
  <si>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T-143</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</si>
  <si>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</si>
  <si>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</si>
  <si>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</si>
  <si>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</si>
  <si>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T-144</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</si>
  <si>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</si>
  <si>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</si>
  <si>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</si>
  <si>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T-145</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</si>
  <si>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</si>
  <si>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</si>
  <si>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</si>
  <si>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</si>
  <si>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</si>
  <si>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</si>
  <si>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</si>
  <si>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</si>
  <si>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</si>
  <si>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</si>
  <si>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</si>
  <si>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Six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</si>
  <si>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</si>
  <si>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</si>
  <si>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</si>
  <si>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</si>
  <si>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</si>
  <si>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</si>
  <si>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</si>
  <si>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</si>
  <si>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</si>
  <si>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</si>
  <si>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</si>
  <si>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</si>
  <si>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</si>
  <si>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</si>
  <si>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cannot produce a real answer in the first weeks of a pilot regardless of when they are built.</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</si>
  <si>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</si>
  <si>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</si>
  <si>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</si>
  <si>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</si>
  <si>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</si>
  <si>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</si>
  <si>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</si>
  <si>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</si>
  <si>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452 h as corrected in v2.2. Freeze what the customer can see; adapt what sits behind it.</t>
  </si>
  <si>
    <t>Deployable core, 400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</si>
  <si>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</si>
  <si>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</si>
  <si>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v2.2 - FREEZE CANDIDATE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</si>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</sst>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EAF6FF"/>
      <name val="Arial"/>
      <family val="2"/>
    </font>
    <font>
      <b/>
      <sz val="9"/>
      <name val="Arial"/>
      <family val="2"/>
    </font>
    <font>
      <sz val="9"/>
      <name val="Arial"/>
      <family val="2"/>
    </font>
    <font>
      <b/>
      <sz val="10"/>
      <name val="Arial"/>
      <family val="2"/>
    </font>
    <font>
      <b/>
      <sz val="11"/>
      <name val="Arial"/>
      <family val="2"/>
    </font>
    <font>
      <b/>
      <sz val="13"/>
      <name val="Arial"/>
      <family val="2"/>
    </font>
  </fonts>
  <fills count="9">
    <fill>
      <patternFill patternType="none"/>
    </fill>
    <fill>
      <patternFill patternType="gray125"/>
    </fill>
    <fill>
      <patternFill patternType="solid">
        <fgColor rgb="FF0B1730"/>
        <bgColor rgb="FF000000"/>
      </patternFill>
    </fill>
    <fill>
      <patternFill patternType="solid">
        <fgColor rgb="FF00D4FF"/>
        <bgColor rgb="FF00FFFF"/>
      </patternFill>
    </fill>
    <fill>
      <patternFill patternType="solid">
        <fgColor rgb="FFFF4D5E"/>
        <bgColor rgb="FFFF8080"/>
      </patternFill>
    </fill>
    <fill>
      <patternFill patternType="solid">
        <fgColor rgb="FFFFB547"/>
        <bgColor rgb="FFFF9900"/>
      </patternFill>
    </fill>
    <fill>
      <patternFill patternType="solid">
        <fgColor rgb="FF0A84FF"/>
        <bgColor rgb="FF3366FF"/>
      </patternFill>
    </fill>
    <fill>
      <patternFill patternType="solid">
        <fgColor rgb="FF2CE6A2"/>
        <bgColor rgb="FF00D4FF"/>
      </patternFill>
    </fill>
    <fill>
      <patternFill patternType="solid">
        <fgColor rgb="FF8EA7C1"/>
        <bgColor rgb="FF9999FF"/>
      </patternFill>
    </fill>
  </fills>
  <borders count="2">
    <border>
      <left/>
      <right/>
      <top/>
      <bottom/>
      <diagonal/>
    </border>
    <border>
      <left style="thin">
        <color rgb="FF1D3A63"/>
      </left>
      <right style="thin">
        <color rgb="FF1D3A63"/>
      </right>
      <top style="thin">
        <color rgb="FF1D3A63"/>
      </top>
      <bottom style="thin">
        <color rgb="FF1D3A63"/>
      </bottom>
      <diagonal/>
    </border>
  </borders>
  <cellStyleXfs count="1">
    <xf numFmtId="0" fontId="0" fillId="0" borderId="0"/>
  </cellStyleXfs>
  <cellXfs count="26">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3" fillId="0" borderId="1" xfId="0" applyFont="1" applyBorder="1" applyAlignment="1">
      <alignment vertical="top" wrapText="1"/>
    </xf>
    <xf numFmtId="0" fontId="2" fillId="4" borderId="1" xfId="0" applyFont="1" applyFill="1" applyBorder="1" applyAlignment="1">
      <alignment vertical="top" wrapText="1"/>
    </xf>
    <xf numFmtId="0" fontId="3" fillId="0" borderId="1" xfId="0" applyFont="1" applyBorder="1" applyAlignment="1">
      <alignment horizontal="right" vertical="top"/>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1" fillId="2" borderId="1" xfId="0" applyFont="1" applyFill="1" applyBorder="1" applyAlignment="1">
      <alignment vertical="center" wrapText="1"/>
    </xf>
    <xf numFmtId="0" fontId="3" fillId="3"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5" fillId="0" borderId="0" xfId="0" applyFont="1"/>
    <xf numFmtId="0" fontId="6" fillId="0" borderId="0" xfId="0" applyFont="1"/>
    <xf numFmtId="0" fontId="2" fillId="0" borderId="0" xfId="0" applyFont="1"/>
    <xf numFmtId="0" fontId="3"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EAF6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A84FF"/>
      <rgbColor rgb="FFCCCCFF"/>
      <rgbColor rgb="FF000080"/>
      <rgbColor rgb="FFFF00FF"/>
      <rgbColor rgb="FFFFFF00"/>
      <rgbColor rgb="FF00FFFF"/>
      <rgbColor rgb="FF800080"/>
      <rgbColor rgb="FF800000"/>
      <rgbColor rgb="FF008080"/>
      <rgbColor rgb="FF0000FF"/>
      <rgbColor rgb="FF00D4FF"/>
      <rgbColor rgb="FFCCFFFF"/>
      <rgbColor rgb="FFCCFFCC"/>
      <rgbColor rgb="FFFFFF99"/>
      <rgbColor rgb="FF99CCFF"/>
      <rgbColor rgb="FFFF99CC"/>
      <rgbColor rgb="FFCC99FF"/>
      <rgbColor rgb="FFFFCC99"/>
      <rgbColor rgb="FF3366FF"/>
      <rgbColor rgb="FF2CE6A2"/>
      <rgbColor rgb="FF99CC00"/>
      <rgbColor rgb="FFFFB547"/>
      <rgbColor rgb="FFFF9900"/>
      <rgbColor rgb="FFFF4D5E"/>
      <rgbColor rgb="FF666699"/>
      <rgbColor rgb="FF8EA7C1"/>
      <rgbColor rgb="FF1D3A63"/>
      <rgbColor rgb="FF339966"/>
      <rgbColor rgb="FF0B173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46"/>
  <sheetViews>
    <sheetView tabSelected="1" topLeftCell="D1" zoomScaleNormal="100" workbookViewId="0">
      <pane ySplit="1" topLeftCell="A2" activePane="bottomLeft" state="frozen"/>
      <selection pane="bottomLeft" activeCell="K2" sqref="K2:K4"/>
    </sheetView>
  </sheetViews>
  <sheetFormatPr defaultColWidth="8.7109375" defaultRowHeight="15" x14ac:dyDescent="0.25"/>
  <cols>
    <col min="1" max="1" width="9" customWidth="1"/>
    <col min="2" max="2" width="12" customWidth="1"/>
    <col min="3" max="3" width="10" customWidth="1"/>
    <col min="4" max="4" width="40" customWidth="1"/>
    <col min="5" max="5" width="14" customWidth="1"/>
    <col min="6" max="6" width="20" customWidth="1"/>
    <col min="7" max="7" width="15" customWidth="1"/>
    <col min="8" max="8" width="95" customWidth="1"/>
    <col min="9" max="9" width="70" customWidth="1"/>
    <col min="10" max="10" width="8" customWidth="1"/>
    <col min="11" max="11" width="13" customWidth="1"/>
  </cols>
  <sheetData>
    <row r="1" spans="1:11" ht="30" customHeight="1" x14ac:dyDescent="0.25">
      <c r="A1" s="1" t="s">
        <v>0</v>
      </c>
      <c r="B1" s="1" t="s">
        <v>1</v>
      </c>
      <c r="C1" s="1" t="s">
        <v>2</v>
      </c>
      <c r="D1" s="1" t="s">
        <v>3</v>
      </c>
      <c r="E1" s="1" t="s">
        <v>4</v>
      </c>
      <c r="F1" s="1" t="s">
        <v>5</v>
      </c>
      <c r="G1" s="1" t="s">
        <v>6</v>
      </c>
      <c r="H1" s="1" t="s">
        <v>7</v>
      </c>
      <c r="I1" s="1" t="s">
        <v>8</v>
      </c>
      <c r="J1" s="1" t="s">
        <v>9</v>
      </c>
      <c r="K1" s="1" t="s">
        <v>10</v>
      </c>
    </row>
    <row r="2" spans="1:11" ht="96" customHeight="1" x14ac:dyDescent="0.25">
      <c r="A2" s="2" t="s">
        <v>11</v>
      </c>
      <c r="B2" s="3" t="s">
        <v>12</v>
      </c>
      <c r="C2" s="4" t="s">
        <v>13</v>
      </c>
      <c r="D2" s="4" t="s">
        <v>14</v>
      </c>
      <c r="E2" s="4" t="s">
        <v>15</v>
      </c>
      <c r="F2" s="4" t="s">
        <v>16</v>
      </c>
      <c r="G2" s="5" t="s">
        <v>17</v>
      </c>
      <c r="H2" s="4" t="s">
        <v>18</v>
      </c>
      <c r="I2" s="4" t="s">
        <v>19</v>
      </c>
      <c r="J2" s="6">
        <v>8</v>
      </c>
      <c r="K2" s="4" t="s">
        <v>735</v>
      </c>
    </row>
    <row r="3" spans="1:11" ht="96" customHeight="1" x14ac:dyDescent="0.25">
      <c r="A3" s="2" t="s">
        <v>21</v>
      </c>
      <c r="B3" s="3" t="s">
        <v>12</v>
      </c>
      <c r="C3" s="4" t="s">
        <v>13</v>
      </c>
      <c r="D3" s="4" t="s">
        <v>22</v>
      </c>
      <c r="E3" s="4" t="s">
        <v>23</v>
      </c>
      <c r="F3" s="4" t="s">
        <v>16</v>
      </c>
      <c r="G3" s="5" t="s">
        <v>17</v>
      </c>
      <c r="H3" s="4" t="s">
        <v>24</v>
      </c>
      <c r="I3" s="4" t="s">
        <v>25</v>
      </c>
      <c r="J3" s="6">
        <v>8</v>
      </c>
      <c r="K3" s="4" t="s">
        <v>735</v>
      </c>
    </row>
    <row r="4" spans="1:11" ht="96" customHeight="1" x14ac:dyDescent="0.25">
      <c r="A4" s="2" t="s">
        <v>26</v>
      </c>
      <c r="B4" s="3" t="s">
        <v>12</v>
      </c>
      <c r="C4" s="4" t="s">
        <v>13</v>
      </c>
      <c r="D4" s="4" t="s">
        <v>27</v>
      </c>
      <c r="E4" s="4" t="s">
        <v>28</v>
      </c>
      <c r="F4" s="4" t="s">
        <v>29</v>
      </c>
      <c r="G4" s="5" t="s">
        <v>17</v>
      </c>
      <c r="H4" s="4" t="s">
        <v>30</v>
      </c>
      <c r="I4" s="4" t="s">
        <v>31</v>
      </c>
      <c r="J4" s="6">
        <v>4</v>
      </c>
      <c r="K4" s="4" t="s">
        <v>735</v>
      </c>
    </row>
    <row r="5" spans="1:11" ht="96" customHeight="1" x14ac:dyDescent="0.25">
      <c r="A5" s="2" t="s">
        <v>32</v>
      </c>
      <c r="B5" s="3" t="s">
        <v>12</v>
      </c>
      <c r="C5" s="4" t="s">
        <v>13</v>
      </c>
      <c r="D5" s="4" t="s">
        <v>33</v>
      </c>
      <c r="E5" s="4" t="s">
        <v>34</v>
      </c>
      <c r="F5" s="4" t="s">
        <v>35</v>
      </c>
      <c r="G5" s="7" t="s">
        <v>36</v>
      </c>
      <c r="H5" s="4" t="s">
        <v>37</v>
      </c>
      <c r="I5" s="4" t="s">
        <v>38</v>
      </c>
      <c r="J5" s="6">
        <v>4</v>
      </c>
      <c r="K5" s="4" t="s">
        <v>20</v>
      </c>
    </row>
    <row r="6" spans="1:11" ht="96" customHeight="1" x14ac:dyDescent="0.25">
      <c r="A6" s="2" t="s">
        <v>39</v>
      </c>
      <c r="B6" s="3" t="s">
        <v>12</v>
      </c>
      <c r="C6" s="4" t="s">
        <v>13</v>
      </c>
      <c r="D6" s="4" t="s">
        <v>40</v>
      </c>
      <c r="E6" s="4" t="s">
        <v>15</v>
      </c>
      <c r="F6" s="4" t="s">
        <v>41</v>
      </c>
      <c r="G6" s="8" t="s">
        <v>42</v>
      </c>
      <c r="H6" s="4" t="s">
        <v>43</v>
      </c>
      <c r="I6" s="4" t="s">
        <v>44</v>
      </c>
      <c r="J6" s="6">
        <v>4</v>
      </c>
      <c r="K6" s="4" t="s">
        <v>20</v>
      </c>
    </row>
    <row r="7" spans="1:11" ht="96" customHeight="1" x14ac:dyDescent="0.25">
      <c r="A7" s="2" t="s">
        <v>45</v>
      </c>
      <c r="B7" s="3" t="s">
        <v>12</v>
      </c>
      <c r="C7" s="4" t="s">
        <v>13</v>
      </c>
      <c r="D7" s="4" t="s">
        <v>46</v>
      </c>
      <c r="E7" s="4" t="s">
        <v>34</v>
      </c>
      <c r="F7" s="4" t="s">
        <v>47</v>
      </c>
      <c r="G7" s="5" t="s">
        <v>17</v>
      </c>
      <c r="H7" s="4" t="s">
        <v>48</v>
      </c>
      <c r="I7" s="4" t="s">
        <v>49</v>
      </c>
      <c r="J7" s="6">
        <v>6</v>
      </c>
      <c r="K7" s="4" t="s">
        <v>20</v>
      </c>
    </row>
    <row r="8" spans="1:11" ht="96" customHeight="1" x14ac:dyDescent="0.25">
      <c r="A8" s="2" t="s">
        <v>50</v>
      </c>
      <c r="B8" s="3" t="s">
        <v>12</v>
      </c>
      <c r="C8" s="4" t="s">
        <v>13</v>
      </c>
      <c r="D8" s="4" t="s">
        <v>51</v>
      </c>
      <c r="E8" s="4" t="s">
        <v>34</v>
      </c>
      <c r="F8" s="4" t="s">
        <v>47</v>
      </c>
      <c r="G8" s="5" t="s">
        <v>17</v>
      </c>
      <c r="H8" s="4" t="s">
        <v>52</v>
      </c>
      <c r="I8" s="4" t="s">
        <v>53</v>
      </c>
      <c r="J8" s="6">
        <v>8</v>
      </c>
      <c r="K8" s="4" t="s">
        <v>20</v>
      </c>
    </row>
    <row r="9" spans="1:11" ht="96" customHeight="1" x14ac:dyDescent="0.25">
      <c r="A9" s="2" t="s">
        <v>54</v>
      </c>
      <c r="B9" s="3" t="s">
        <v>12</v>
      </c>
      <c r="C9" s="4" t="s">
        <v>13</v>
      </c>
      <c r="D9" s="4" t="s">
        <v>55</v>
      </c>
      <c r="E9" s="4" t="s">
        <v>15</v>
      </c>
      <c r="F9" s="4" t="s">
        <v>47</v>
      </c>
      <c r="G9" s="5" t="s">
        <v>17</v>
      </c>
      <c r="H9" s="4" t="s">
        <v>56</v>
      </c>
      <c r="I9" s="4" t="s">
        <v>57</v>
      </c>
      <c r="J9" s="6">
        <v>8</v>
      </c>
      <c r="K9" s="4" t="s">
        <v>20</v>
      </c>
    </row>
    <row r="10" spans="1:11" ht="96" customHeight="1" x14ac:dyDescent="0.25">
      <c r="A10" s="2" t="s">
        <v>58</v>
      </c>
      <c r="B10" s="3" t="s">
        <v>12</v>
      </c>
      <c r="C10" s="4" t="s">
        <v>13</v>
      </c>
      <c r="D10" s="4" t="s">
        <v>59</v>
      </c>
      <c r="E10" s="4" t="s">
        <v>34</v>
      </c>
      <c r="F10" s="4" t="s">
        <v>60</v>
      </c>
      <c r="G10" s="5" t="s">
        <v>17</v>
      </c>
      <c r="H10" s="4" t="s">
        <v>61</v>
      </c>
      <c r="I10" s="4" t="s">
        <v>62</v>
      </c>
      <c r="J10" s="6">
        <v>8</v>
      </c>
      <c r="K10" s="4" t="s">
        <v>20</v>
      </c>
    </row>
    <row r="11" spans="1:11" ht="96" customHeight="1" x14ac:dyDescent="0.25">
      <c r="A11" s="2" t="s">
        <v>63</v>
      </c>
      <c r="B11" s="3" t="s">
        <v>12</v>
      </c>
      <c r="C11" s="4" t="s">
        <v>13</v>
      </c>
      <c r="D11" s="4" t="s">
        <v>64</v>
      </c>
      <c r="E11" s="4" t="s">
        <v>65</v>
      </c>
      <c r="F11" s="4" t="s">
        <v>66</v>
      </c>
      <c r="G11" s="5" t="s">
        <v>17</v>
      </c>
      <c r="H11" s="4" t="s">
        <v>67</v>
      </c>
      <c r="I11" s="4" t="s">
        <v>68</v>
      </c>
      <c r="J11" s="6">
        <v>6</v>
      </c>
      <c r="K11" s="4" t="s">
        <v>20</v>
      </c>
    </row>
    <row r="12" spans="1:11" ht="96" customHeight="1" x14ac:dyDescent="0.25">
      <c r="A12" s="2" t="s">
        <v>69</v>
      </c>
      <c r="B12" s="3" t="s">
        <v>12</v>
      </c>
      <c r="C12" s="4" t="s">
        <v>13</v>
      </c>
      <c r="D12" s="4" t="s">
        <v>70</v>
      </c>
      <c r="E12" s="4" t="s">
        <v>34</v>
      </c>
      <c r="F12" s="4" t="s">
        <v>60</v>
      </c>
      <c r="G12" s="5" t="s">
        <v>17</v>
      </c>
      <c r="H12" s="4" t="s">
        <v>71</v>
      </c>
      <c r="I12" s="4" t="s">
        <v>72</v>
      </c>
      <c r="J12" s="6">
        <v>8</v>
      </c>
      <c r="K12" s="4" t="s">
        <v>20</v>
      </c>
    </row>
    <row r="13" spans="1:11" ht="96" customHeight="1" x14ac:dyDescent="0.25">
      <c r="A13" s="2" t="s">
        <v>73</v>
      </c>
      <c r="B13" s="3" t="s">
        <v>12</v>
      </c>
      <c r="C13" s="4" t="s">
        <v>13</v>
      </c>
      <c r="D13" s="4" t="s">
        <v>74</v>
      </c>
      <c r="E13" s="4" t="s">
        <v>34</v>
      </c>
      <c r="F13" s="4" t="s">
        <v>60</v>
      </c>
      <c r="G13" s="5" t="s">
        <v>17</v>
      </c>
      <c r="H13" s="4" t="s">
        <v>75</v>
      </c>
      <c r="I13" s="4" t="s">
        <v>76</v>
      </c>
      <c r="J13" s="6">
        <v>8</v>
      </c>
      <c r="K13" s="4" t="s">
        <v>20</v>
      </c>
    </row>
    <row r="14" spans="1:11" ht="96" customHeight="1" x14ac:dyDescent="0.25">
      <c r="A14" s="2" t="s">
        <v>77</v>
      </c>
      <c r="B14" s="3" t="s">
        <v>12</v>
      </c>
      <c r="C14" s="4" t="s">
        <v>13</v>
      </c>
      <c r="D14" s="4" t="s">
        <v>78</v>
      </c>
      <c r="E14" s="4" t="s">
        <v>79</v>
      </c>
      <c r="F14" s="4" t="s">
        <v>47</v>
      </c>
      <c r="G14" s="5" t="s">
        <v>17</v>
      </c>
      <c r="H14" s="4" t="s">
        <v>80</v>
      </c>
      <c r="I14" s="4" t="s">
        <v>81</v>
      </c>
      <c r="J14" s="6">
        <v>8</v>
      </c>
      <c r="K14" s="4" t="s">
        <v>20</v>
      </c>
    </row>
    <row r="15" spans="1:11" ht="96" customHeight="1" x14ac:dyDescent="0.25">
      <c r="A15" s="2" t="s">
        <v>82</v>
      </c>
      <c r="B15" s="3" t="s">
        <v>12</v>
      </c>
      <c r="C15" s="4" t="s">
        <v>13</v>
      </c>
      <c r="D15" s="4" t="s">
        <v>83</v>
      </c>
      <c r="E15" s="4" t="s">
        <v>34</v>
      </c>
      <c r="F15" s="4" t="s">
        <v>47</v>
      </c>
      <c r="G15" s="7" t="s">
        <v>36</v>
      </c>
      <c r="H15" s="4" t="s">
        <v>84</v>
      </c>
      <c r="I15" s="4" t="s">
        <v>85</v>
      </c>
      <c r="J15" s="6">
        <v>4</v>
      </c>
      <c r="K15" s="4" t="s">
        <v>20</v>
      </c>
    </row>
    <row r="16" spans="1:11" ht="96" customHeight="1" x14ac:dyDescent="0.25">
      <c r="A16" s="2" t="s">
        <v>86</v>
      </c>
      <c r="B16" s="3" t="s">
        <v>12</v>
      </c>
      <c r="C16" s="4" t="s">
        <v>13</v>
      </c>
      <c r="D16" s="4" t="s">
        <v>87</v>
      </c>
      <c r="E16" s="4" t="s">
        <v>88</v>
      </c>
      <c r="F16" s="4" t="s">
        <v>89</v>
      </c>
      <c r="G16" s="7" t="s">
        <v>36</v>
      </c>
      <c r="H16" s="4" t="s">
        <v>90</v>
      </c>
      <c r="I16" s="4" t="s">
        <v>91</v>
      </c>
      <c r="J16" s="6">
        <v>6</v>
      </c>
      <c r="K16" s="4" t="s">
        <v>20</v>
      </c>
    </row>
    <row r="17" spans="1:11" ht="96" customHeight="1" x14ac:dyDescent="0.25">
      <c r="A17" s="2" t="s">
        <v>92</v>
      </c>
      <c r="B17" s="3" t="s">
        <v>12</v>
      </c>
      <c r="C17" s="4" t="s">
        <v>93</v>
      </c>
      <c r="D17" s="4" t="s">
        <v>94</v>
      </c>
      <c r="E17" s="4" t="s">
        <v>23</v>
      </c>
      <c r="F17" s="4" t="s">
        <v>95</v>
      </c>
      <c r="G17" s="5" t="s">
        <v>17</v>
      </c>
      <c r="H17" s="4" t="s">
        <v>96</v>
      </c>
      <c r="I17" s="4" t="s">
        <v>97</v>
      </c>
      <c r="J17" s="6">
        <v>12</v>
      </c>
      <c r="K17" s="4" t="s">
        <v>20</v>
      </c>
    </row>
    <row r="18" spans="1:11" ht="96" customHeight="1" x14ac:dyDescent="0.25">
      <c r="A18" s="2" t="s">
        <v>98</v>
      </c>
      <c r="B18" s="3" t="s">
        <v>12</v>
      </c>
      <c r="C18" s="4" t="s">
        <v>93</v>
      </c>
      <c r="D18" s="4" t="s">
        <v>99</v>
      </c>
      <c r="E18" s="4" t="s">
        <v>23</v>
      </c>
      <c r="F18" s="4" t="s">
        <v>95</v>
      </c>
      <c r="G18" s="5" t="s">
        <v>17</v>
      </c>
      <c r="H18" s="4" t="s">
        <v>100</v>
      </c>
      <c r="I18" s="4" t="s">
        <v>101</v>
      </c>
      <c r="J18" s="6">
        <v>12</v>
      </c>
      <c r="K18" s="4" t="s">
        <v>20</v>
      </c>
    </row>
    <row r="19" spans="1:11" ht="96" customHeight="1" x14ac:dyDescent="0.25">
      <c r="A19" s="2" t="s">
        <v>102</v>
      </c>
      <c r="B19" s="3" t="s">
        <v>12</v>
      </c>
      <c r="C19" s="4" t="s">
        <v>93</v>
      </c>
      <c r="D19" s="4" t="s">
        <v>103</v>
      </c>
      <c r="E19" s="4" t="s">
        <v>23</v>
      </c>
      <c r="F19" s="4" t="s">
        <v>95</v>
      </c>
      <c r="G19" s="7" t="s">
        <v>36</v>
      </c>
      <c r="H19" s="4" t="s">
        <v>104</v>
      </c>
      <c r="I19" s="4" t="s">
        <v>105</v>
      </c>
      <c r="J19" s="6">
        <v>10</v>
      </c>
      <c r="K19" s="4" t="s">
        <v>20</v>
      </c>
    </row>
    <row r="20" spans="1:11" ht="96" customHeight="1" x14ac:dyDescent="0.25">
      <c r="A20" s="2" t="s">
        <v>106</v>
      </c>
      <c r="B20" s="3" t="s">
        <v>12</v>
      </c>
      <c r="C20" s="4" t="s">
        <v>93</v>
      </c>
      <c r="D20" s="4" t="s">
        <v>107</v>
      </c>
      <c r="E20" s="4" t="s">
        <v>23</v>
      </c>
      <c r="F20" s="4" t="s">
        <v>108</v>
      </c>
      <c r="G20" s="7" t="s">
        <v>36</v>
      </c>
      <c r="H20" s="4" t="s">
        <v>109</v>
      </c>
      <c r="I20" s="4" t="s">
        <v>110</v>
      </c>
      <c r="J20" s="6">
        <v>8</v>
      </c>
      <c r="K20" s="4" t="s">
        <v>20</v>
      </c>
    </row>
    <row r="21" spans="1:11" ht="96" customHeight="1" x14ac:dyDescent="0.25">
      <c r="A21" s="2" t="s">
        <v>111</v>
      </c>
      <c r="B21" s="3" t="s">
        <v>12</v>
      </c>
      <c r="C21" s="4" t="s">
        <v>93</v>
      </c>
      <c r="D21" s="4" t="s">
        <v>112</v>
      </c>
      <c r="E21" s="4" t="s">
        <v>23</v>
      </c>
      <c r="F21" s="4" t="s">
        <v>108</v>
      </c>
      <c r="G21" s="5" t="s">
        <v>17</v>
      </c>
      <c r="H21" s="4" t="s">
        <v>113</v>
      </c>
      <c r="I21" s="4" t="s">
        <v>114</v>
      </c>
      <c r="J21" s="6">
        <v>12</v>
      </c>
      <c r="K21" s="4" t="s">
        <v>20</v>
      </c>
    </row>
    <row r="22" spans="1:11" ht="96" customHeight="1" x14ac:dyDescent="0.25">
      <c r="A22" s="2" t="s">
        <v>115</v>
      </c>
      <c r="B22" s="3" t="s">
        <v>12</v>
      </c>
      <c r="C22" s="4" t="s">
        <v>93</v>
      </c>
      <c r="D22" s="4" t="s">
        <v>116</v>
      </c>
      <c r="E22" s="4" t="s">
        <v>23</v>
      </c>
      <c r="F22" s="4" t="s">
        <v>95</v>
      </c>
      <c r="G22" s="8" t="s">
        <v>42</v>
      </c>
      <c r="H22" s="4" t="s">
        <v>117</v>
      </c>
      <c r="I22" s="4" t="s">
        <v>118</v>
      </c>
      <c r="J22" s="6">
        <v>3</v>
      </c>
      <c r="K22" s="4" t="s">
        <v>20</v>
      </c>
    </row>
    <row r="23" spans="1:11" ht="96" customHeight="1" x14ac:dyDescent="0.25">
      <c r="A23" s="2" t="s">
        <v>119</v>
      </c>
      <c r="B23" s="3" t="s">
        <v>12</v>
      </c>
      <c r="C23" s="4" t="s">
        <v>93</v>
      </c>
      <c r="D23" s="4" t="s">
        <v>120</v>
      </c>
      <c r="E23" s="4" t="s">
        <v>23</v>
      </c>
      <c r="F23" s="4" t="s">
        <v>121</v>
      </c>
      <c r="G23" s="5" t="s">
        <v>17</v>
      </c>
      <c r="H23" s="4" t="s">
        <v>122</v>
      </c>
      <c r="I23" s="4" t="s">
        <v>123</v>
      </c>
      <c r="J23" s="6">
        <v>12</v>
      </c>
      <c r="K23" s="4" t="s">
        <v>20</v>
      </c>
    </row>
    <row r="24" spans="1:11" ht="96" customHeight="1" x14ac:dyDescent="0.25">
      <c r="A24" s="2" t="s">
        <v>124</v>
      </c>
      <c r="B24" s="3" t="s">
        <v>12</v>
      </c>
      <c r="C24" s="4" t="s">
        <v>93</v>
      </c>
      <c r="D24" s="4" t="s">
        <v>125</v>
      </c>
      <c r="E24" s="4" t="s">
        <v>65</v>
      </c>
      <c r="F24" s="4" t="s">
        <v>126</v>
      </c>
      <c r="G24" s="5" t="s">
        <v>17</v>
      </c>
      <c r="H24" s="4" t="s">
        <v>127</v>
      </c>
      <c r="I24" s="4" t="s">
        <v>128</v>
      </c>
      <c r="J24" s="6">
        <v>12</v>
      </c>
      <c r="K24" s="4" t="s">
        <v>20</v>
      </c>
    </row>
    <row r="25" spans="1:11" ht="96" customHeight="1" x14ac:dyDescent="0.25">
      <c r="A25" s="2" t="s">
        <v>129</v>
      </c>
      <c r="B25" s="3" t="s">
        <v>12</v>
      </c>
      <c r="C25" s="4" t="s">
        <v>93</v>
      </c>
      <c r="D25" s="4" t="s">
        <v>130</v>
      </c>
      <c r="E25" s="4" t="s">
        <v>23</v>
      </c>
      <c r="F25" s="4" t="s">
        <v>95</v>
      </c>
      <c r="G25" s="7" t="s">
        <v>36</v>
      </c>
      <c r="H25" s="4" t="s">
        <v>131</v>
      </c>
      <c r="I25" s="4" t="s">
        <v>132</v>
      </c>
      <c r="J25" s="6">
        <v>8</v>
      </c>
      <c r="K25" s="4" t="s">
        <v>20</v>
      </c>
    </row>
    <row r="26" spans="1:11" ht="96" customHeight="1" x14ac:dyDescent="0.25">
      <c r="A26" s="2" t="s">
        <v>133</v>
      </c>
      <c r="B26" s="3" t="s">
        <v>12</v>
      </c>
      <c r="C26" s="4" t="s">
        <v>134</v>
      </c>
      <c r="D26" s="4" t="s">
        <v>135</v>
      </c>
      <c r="E26" s="4" t="s">
        <v>23</v>
      </c>
      <c r="F26" s="4" t="s">
        <v>121</v>
      </c>
      <c r="G26" s="5" t="s">
        <v>17</v>
      </c>
      <c r="H26" s="4" t="s">
        <v>136</v>
      </c>
      <c r="I26" s="4" t="s">
        <v>137</v>
      </c>
      <c r="J26" s="6">
        <v>6</v>
      </c>
      <c r="K26" s="4" t="s">
        <v>20</v>
      </c>
    </row>
    <row r="27" spans="1:11" ht="96" customHeight="1" x14ac:dyDescent="0.25">
      <c r="A27" s="2" t="s">
        <v>138</v>
      </c>
      <c r="B27" s="3" t="s">
        <v>12</v>
      </c>
      <c r="C27" s="4" t="s">
        <v>134</v>
      </c>
      <c r="D27" s="4" t="s">
        <v>139</v>
      </c>
      <c r="E27" s="4" t="s">
        <v>23</v>
      </c>
      <c r="F27" s="4" t="s">
        <v>121</v>
      </c>
      <c r="G27" s="5" t="s">
        <v>17</v>
      </c>
      <c r="H27" s="4" t="s">
        <v>140</v>
      </c>
      <c r="I27" s="4" t="s">
        <v>141</v>
      </c>
      <c r="J27" s="6">
        <v>6</v>
      </c>
      <c r="K27" s="4" t="s">
        <v>20</v>
      </c>
    </row>
    <row r="28" spans="1:11" ht="96" customHeight="1" x14ac:dyDescent="0.25">
      <c r="A28" s="2" t="s">
        <v>142</v>
      </c>
      <c r="B28" s="3" t="s">
        <v>12</v>
      </c>
      <c r="C28" s="4" t="s">
        <v>134</v>
      </c>
      <c r="D28" s="4" t="s">
        <v>143</v>
      </c>
      <c r="E28" s="4" t="s">
        <v>23</v>
      </c>
      <c r="F28" s="4" t="s">
        <v>121</v>
      </c>
      <c r="G28" s="5" t="s">
        <v>17</v>
      </c>
      <c r="H28" s="4" t="s">
        <v>144</v>
      </c>
      <c r="I28" s="4" t="s">
        <v>145</v>
      </c>
      <c r="J28" s="6">
        <v>12</v>
      </c>
      <c r="K28" s="4" t="s">
        <v>20</v>
      </c>
    </row>
    <row r="29" spans="1:11" ht="96" customHeight="1" x14ac:dyDescent="0.25">
      <c r="A29" s="2" t="s">
        <v>146</v>
      </c>
      <c r="B29" s="3" t="s">
        <v>12</v>
      </c>
      <c r="C29" s="4" t="s">
        <v>134</v>
      </c>
      <c r="D29" s="4" t="s">
        <v>147</v>
      </c>
      <c r="E29" s="4" t="s">
        <v>88</v>
      </c>
      <c r="F29" s="4" t="s">
        <v>121</v>
      </c>
      <c r="G29" s="5" t="s">
        <v>17</v>
      </c>
      <c r="H29" s="4" t="s">
        <v>148</v>
      </c>
      <c r="I29" s="4" t="s">
        <v>149</v>
      </c>
      <c r="J29" s="6">
        <v>8</v>
      </c>
      <c r="K29" s="4" t="s">
        <v>20</v>
      </c>
    </row>
    <row r="30" spans="1:11" ht="96" customHeight="1" x14ac:dyDescent="0.25">
      <c r="A30" s="2" t="s">
        <v>150</v>
      </c>
      <c r="B30" s="3" t="s">
        <v>12</v>
      </c>
      <c r="C30" s="4" t="s">
        <v>134</v>
      </c>
      <c r="D30" s="4" t="s">
        <v>151</v>
      </c>
      <c r="E30" s="4" t="s">
        <v>23</v>
      </c>
      <c r="F30" s="4" t="s">
        <v>121</v>
      </c>
      <c r="G30" s="5" t="s">
        <v>17</v>
      </c>
      <c r="H30" s="4" t="s">
        <v>152</v>
      </c>
      <c r="I30" s="4" t="s">
        <v>153</v>
      </c>
      <c r="J30" s="6">
        <v>12</v>
      </c>
      <c r="K30" s="4" t="s">
        <v>20</v>
      </c>
    </row>
    <row r="31" spans="1:11" ht="96" customHeight="1" x14ac:dyDescent="0.25">
      <c r="A31" s="2" t="s">
        <v>154</v>
      </c>
      <c r="B31" s="3" t="s">
        <v>12</v>
      </c>
      <c r="C31" s="4" t="s">
        <v>134</v>
      </c>
      <c r="D31" s="4" t="s">
        <v>155</v>
      </c>
      <c r="E31" s="4" t="s">
        <v>65</v>
      </c>
      <c r="F31" s="4" t="s">
        <v>156</v>
      </c>
      <c r="G31" s="5" t="s">
        <v>17</v>
      </c>
      <c r="H31" s="4" t="s">
        <v>157</v>
      </c>
      <c r="I31" s="4" t="s">
        <v>158</v>
      </c>
      <c r="J31" s="6">
        <v>8</v>
      </c>
      <c r="K31" s="4" t="s">
        <v>20</v>
      </c>
    </row>
    <row r="32" spans="1:11" ht="96" customHeight="1" x14ac:dyDescent="0.25">
      <c r="A32" s="2" t="s">
        <v>159</v>
      </c>
      <c r="B32" s="3" t="s">
        <v>12</v>
      </c>
      <c r="C32" s="4" t="s">
        <v>134</v>
      </c>
      <c r="D32" s="4" t="s">
        <v>160</v>
      </c>
      <c r="E32" s="4" t="s">
        <v>23</v>
      </c>
      <c r="F32" s="4" t="s">
        <v>121</v>
      </c>
      <c r="G32" s="7" t="s">
        <v>36</v>
      </c>
      <c r="H32" s="4" t="s">
        <v>161</v>
      </c>
      <c r="I32" s="4" t="s">
        <v>162</v>
      </c>
      <c r="J32" s="6">
        <v>8</v>
      </c>
      <c r="K32" s="4" t="s">
        <v>20</v>
      </c>
    </row>
    <row r="33" spans="1:11" ht="96" customHeight="1" x14ac:dyDescent="0.25">
      <c r="A33" s="2" t="s">
        <v>163</v>
      </c>
      <c r="B33" s="3" t="s">
        <v>12</v>
      </c>
      <c r="C33" s="4" t="s">
        <v>134</v>
      </c>
      <c r="D33" s="4" t="s">
        <v>164</v>
      </c>
      <c r="E33" s="4" t="s">
        <v>23</v>
      </c>
      <c r="F33" s="4" t="s">
        <v>121</v>
      </c>
      <c r="G33" s="7" t="s">
        <v>36</v>
      </c>
      <c r="H33" s="4" t="s">
        <v>165</v>
      </c>
      <c r="I33" s="4" t="s">
        <v>166</v>
      </c>
      <c r="J33" s="6">
        <v>4</v>
      </c>
      <c r="K33" s="4" t="s">
        <v>20</v>
      </c>
    </row>
    <row r="34" spans="1:11" ht="96" customHeight="1" x14ac:dyDescent="0.25">
      <c r="A34" s="2" t="s">
        <v>167</v>
      </c>
      <c r="B34" s="3" t="s">
        <v>12</v>
      </c>
      <c r="C34" s="4" t="s">
        <v>134</v>
      </c>
      <c r="D34" s="4" t="s">
        <v>168</v>
      </c>
      <c r="E34" s="4" t="s">
        <v>23</v>
      </c>
      <c r="F34" s="4" t="s">
        <v>121</v>
      </c>
      <c r="G34" s="8" t="s">
        <v>42</v>
      </c>
      <c r="H34" s="4" t="s">
        <v>169</v>
      </c>
      <c r="I34" s="4" t="s">
        <v>170</v>
      </c>
      <c r="J34" s="6">
        <v>4</v>
      </c>
      <c r="K34" s="4" t="s">
        <v>20</v>
      </c>
    </row>
    <row r="35" spans="1:11" ht="96" customHeight="1" x14ac:dyDescent="0.25">
      <c r="A35" s="2" t="s">
        <v>171</v>
      </c>
      <c r="B35" s="3" t="s">
        <v>12</v>
      </c>
      <c r="C35" s="4" t="s">
        <v>134</v>
      </c>
      <c r="D35" s="4" t="s">
        <v>172</v>
      </c>
      <c r="E35" s="4" t="s">
        <v>23</v>
      </c>
      <c r="F35" s="4" t="s">
        <v>121</v>
      </c>
      <c r="G35" s="7" t="s">
        <v>36</v>
      </c>
      <c r="H35" s="4" t="s">
        <v>173</v>
      </c>
      <c r="I35" s="4" t="s">
        <v>174</v>
      </c>
      <c r="J35" s="6">
        <v>6</v>
      </c>
      <c r="K35" s="4" t="s">
        <v>20</v>
      </c>
    </row>
    <row r="36" spans="1:11" ht="96" customHeight="1" x14ac:dyDescent="0.25">
      <c r="A36" s="2" t="s">
        <v>175</v>
      </c>
      <c r="B36" s="3" t="s">
        <v>12</v>
      </c>
      <c r="C36" s="4" t="s">
        <v>134</v>
      </c>
      <c r="D36" s="4" t="s">
        <v>176</v>
      </c>
      <c r="E36" s="4" t="s">
        <v>23</v>
      </c>
      <c r="F36" s="4" t="s">
        <v>121</v>
      </c>
      <c r="G36" s="5" t="s">
        <v>17</v>
      </c>
      <c r="H36" s="4" t="s">
        <v>177</v>
      </c>
      <c r="I36" s="4" t="s">
        <v>178</v>
      </c>
      <c r="J36" s="6">
        <v>6</v>
      </c>
      <c r="K36" s="4" t="s">
        <v>20</v>
      </c>
    </row>
    <row r="37" spans="1:11" ht="96" customHeight="1" x14ac:dyDescent="0.25">
      <c r="A37" s="2" t="s">
        <v>179</v>
      </c>
      <c r="B37" s="3" t="s">
        <v>12</v>
      </c>
      <c r="C37" s="4" t="s">
        <v>134</v>
      </c>
      <c r="D37" s="4" t="s">
        <v>180</v>
      </c>
      <c r="E37" s="4" t="s">
        <v>23</v>
      </c>
      <c r="F37" s="4" t="s">
        <v>121</v>
      </c>
      <c r="G37" s="5" t="s">
        <v>17</v>
      </c>
      <c r="H37" s="4" t="s">
        <v>181</v>
      </c>
      <c r="I37" s="4" t="s">
        <v>182</v>
      </c>
      <c r="J37" s="6">
        <v>4</v>
      </c>
      <c r="K37" s="4" t="s">
        <v>20</v>
      </c>
    </row>
    <row r="38" spans="1:11" ht="96" customHeight="1" x14ac:dyDescent="0.25">
      <c r="A38" s="2" t="s">
        <v>183</v>
      </c>
      <c r="B38" s="3" t="s">
        <v>12</v>
      </c>
      <c r="C38" s="4" t="s">
        <v>184</v>
      </c>
      <c r="D38" s="4" t="s">
        <v>185</v>
      </c>
      <c r="E38" s="4" t="s">
        <v>23</v>
      </c>
      <c r="F38" s="4" t="s">
        <v>186</v>
      </c>
      <c r="G38" s="7" t="s">
        <v>36</v>
      </c>
      <c r="H38" s="4" t="s">
        <v>187</v>
      </c>
      <c r="I38" s="4" t="s">
        <v>188</v>
      </c>
      <c r="J38" s="6">
        <v>4</v>
      </c>
      <c r="K38" s="4" t="s">
        <v>20</v>
      </c>
    </row>
    <row r="39" spans="1:11" ht="96" customHeight="1" x14ac:dyDescent="0.25">
      <c r="A39" s="2" t="s">
        <v>189</v>
      </c>
      <c r="B39" s="3" t="s">
        <v>12</v>
      </c>
      <c r="C39" s="4" t="s">
        <v>184</v>
      </c>
      <c r="D39" s="4" t="s">
        <v>190</v>
      </c>
      <c r="E39" s="4" t="s">
        <v>23</v>
      </c>
      <c r="F39" s="4" t="s">
        <v>191</v>
      </c>
      <c r="G39" s="7" t="s">
        <v>36</v>
      </c>
      <c r="H39" s="4" t="s">
        <v>192</v>
      </c>
      <c r="I39" s="4" t="s">
        <v>193</v>
      </c>
      <c r="J39" s="6">
        <v>6</v>
      </c>
      <c r="K39" s="4" t="s">
        <v>20</v>
      </c>
    </row>
    <row r="40" spans="1:11" ht="96" customHeight="1" x14ac:dyDescent="0.25">
      <c r="A40" s="2" t="s">
        <v>194</v>
      </c>
      <c r="B40" s="3" t="s">
        <v>12</v>
      </c>
      <c r="C40" s="4" t="s">
        <v>184</v>
      </c>
      <c r="D40" s="4" t="s">
        <v>195</v>
      </c>
      <c r="E40" s="4" t="s">
        <v>23</v>
      </c>
      <c r="F40" s="4" t="s">
        <v>191</v>
      </c>
      <c r="G40" s="8" t="s">
        <v>42</v>
      </c>
      <c r="H40" s="4" t="s">
        <v>196</v>
      </c>
      <c r="I40" s="4" t="s">
        <v>197</v>
      </c>
      <c r="J40" s="6">
        <v>4</v>
      </c>
      <c r="K40" s="4" t="s">
        <v>20</v>
      </c>
    </row>
    <row r="41" spans="1:11" ht="96" customHeight="1" x14ac:dyDescent="0.25">
      <c r="A41" s="2" t="s">
        <v>198</v>
      </c>
      <c r="B41" s="3" t="s">
        <v>12</v>
      </c>
      <c r="C41" s="4" t="s">
        <v>184</v>
      </c>
      <c r="D41" s="4" t="s">
        <v>199</v>
      </c>
      <c r="E41" s="4" t="s">
        <v>65</v>
      </c>
      <c r="F41" s="4" t="s">
        <v>200</v>
      </c>
      <c r="G41" s="5" t="s">
        <v>17</v>
      </c>
      <c r="H41" s="4" t="s">
        <v>201</v>
      </c>
      <c r="I41" s="4" t="s">
        <v>202</v>
      </c>
      <c r="J41" s="6">
        <v>10</v>
      </c>
      <c r="K41" s="4" t="s">
        <v>20</v>
      </c>
    </row>
    <row r="42" spans="1:11" ht="96" customHeight="1" x14ac:dyDescent="0.25">
      <c r="A42" s="2" t="s">
        <v>203</v>
      </c>
      <c r="B42" s="3" t="s">
        <v>12</v>
      </c>
      <c r="C42" s="4" t="s">
        <v>184</v>
      </c>
      <c r="D42" s="4" t="s">
        <v>204</v>
      </c>
      <c r="E42" s="4" t="s">
        <v>65</v>
      </c>
      <c r="F42" s="4" t="s">
        <v>200</v>
      </c>
      <c r="G42" s="5" t="s">
        <v>17</v>
      </c>
      <c r="H42" s="4" t="s">
        <v>205</v>
      </c>
      <c r="I42" s="4" t="s">
        <v>206</v>
      </c>
      <c r="J42" s="6">
        <v>10</v>
      </c>
      <c r="K42" s="4" t="s">
        <v>20</v>
      </c>
    </row>
    <row r="43" spans="1:11" ht="96" customHeight="1" x14ac:dyDescent="0.25">
      <c r="A43" s="2" t="s">
        <v>207</v>
      </c>
      <c r="B43" s="3" t="s">
        <v>12</v>
      </c>
      <c r="C43" s="4" t="s">
        <v>184</v>
      </c>
      <c r="D43" s="4" t="s">
        <v>208</v>
      </c>
      <c r="E43" s="4" t="s">
        <v>23</v>
      </c>
      <c r="F43" s="4" t="s">
        <v>121</v>
      </c>
      <c r="G43" s="7" t="s">
        <v>36</v>
      </c>
      <c r="H43" s="4" t="s">
        <v>209</v>
      </c>
      <c r="I43" s="4" t="s">
        <v>210</v>
      </c>
      <c r="J43" s="6">
        <v>4</v>
      </c>
      <c r="K43" s="4" t="s">
        <v>20</v>
      </c>
    </row>
    <row r="44" spans="1:11" ht="96" customHeight="1" x14ac:dyDescent="0.25">
      <c r="A44" s="2" t="s">
        <v>211</v>
      </c>
      <c r="B44" s="3" t="s">
        <v>12</v>
      </c>
      <c r="C44" s="4" t="s">
        <v>184</v>
      </c>
      <c r="D44" s="4" t="s">
        <v>212</v>
      </c>
      <c r="E44" s="4" t="s">
        <v>65</v>
      </c>
      <c r="F44" s="4" t="s">
        <v>213</v>
      </c>
      <c r="G44" s="5" t="s">
        <v>17</v>
      </c>
      <c r="H44" s="4" t="s">
        <v>214</v>
      </c>
      <c r="I44" s="4" t="s">
        <v>215</v>
      </c>
      <c r="J44" s="6">
        <v>6</v>
      </c>
      <c r="K44" s="4" t="s">
        <v>20</v>
      </c>
    </row>
    <row r="45" spans="1:11" ht="96" customHeight="1" x14ac:dyDescent="0.25">
      <c r="A45" s="2" t="s">
        <v>216</v>
      </c>
      <c r="B45" s="3" t="s">
        <v>12</v>
      </c>
      <c r="C45" s="4" t="s">
        <v>184</v>
      </c>
      <c r="D45" s="4" t="s">
        <v>217</v>
      </c>
      <c r="E45" s="4" t="s">
        <v>23</v>
      </c>
      <c r="F45" s="4" t="s">
        <v>213</v>
      </c>
      <c r="G45" s="5" t="s">
        <v>17</v>
      </c>
      <c r="H45" s="4" t="s">
        <v>218</v>
      </c>
      <c r="I45" s="4" t="s">
        <v>219</v>
      </c>
      <c r="J45" s="6">
        <v>4</v>
      </c>
      <c r="K45" s="4" t="s">
        <v>20</v>
      </c>
    </row>
    <row r="46" spans="1:11" ht="96" customHeight="1" x14ac:dyDescent="0.25">
      <c r="A46" s="2" t="s">
        <v>220</v>
      </c>
      <c r="B46" s="3" t="s">
        <v>12</v>
      </c>
      <c r="C46" s="4" t="s">
        <v>184</v>
      </c>
      <c r="D46" s="4" t="s">
        <v>221</v>
      </c>
      <c r="E46" s="4" t="s">
        <v>23</v>
      </c>
      <c r="F46" s="4" t="s">
        <v>222</v>
      </c>
      <c r="G46" s="7" t="s">
        <v>36</v>
      </c>
      <c r="H46" s="4" t="s">
        <v>223</v>
      </c>
      <c r="I46" s="4" t="s">
        <v>224</v>
      </c>
      <c r="J46" s="6">
        <v>10</v>
      </c>
      <c r="K46" s="4" t="s">
        <v>20</v>
      </c>
    </row>
    <row r="47" spans="1:11" ht="96" customHeight="1" x14ac:dyDescent="0.25">
      <c r="A47" s="2" t="s">
        <v>225</v>
      </c>
      <c r="B47" s="3" t="s">
        <v>12</v>
      </c>
      <c r="C47" s="4" t="s">
        <v>184</v>
      </c>
      <c r="D47" s="4" t="s">
        <v>226</v>
      </c>
      <c r="E47" s="4" t="s">
        <v>65</v>
      </c>
      <c r="F47" s="4" t="s">
        <v>227</v>
      </c>
      <c r="G47" s="5" t="s">
        <v>17</v>
      </c>
      <c r="H47" s="4" t="s">
        <v>228</v>
      </c>
      <c r="I47" s="4" t="s">
        <v>229</v>
      </c>
      <c r="J47" s="6">
        <v>8</v>
      </c>
      <c r="K47" s="4" t="s">
        <v>20</v>
      </c>
    </row>
    <row r="48" spans="1:11" ht="96" customHeight="1" x14ac:dyDescent="0.25">
      <c r="A48" s="2" t="s">
        <v>230</v>
      </c>
      <c r="B48" s="3" t="s">
        <v>12</v>
      </c>
      <c r="C48" s="4" t="s">
        <v>184</v>
      </c>
      <c r="D48" s="4" t="s">
        <v>231</v>
      </c>
      <c r="E48" s="4" t="s">
        <v>23</v>
      </c>
      <c r="F48" s="4" t="s">
        <v>79</v>
      </c>
      <c r="G48" s="5" t="s">
        <v>17</v>
      </c>
      <c r="H48" s="4" t="s">
        <v>232</v>
      </c>
      <c r="I48" s="4" t="s">
        <v>233</v>
      </c>
      <c r="J48" s="6">
        <v>12</v>
      </c>
      <c r="K48" s="4" t="s">
        <v>20</v>
      </c>
    </row>
    <row r="49" spans="1:11" ht="96" customHeight="1" x14ac:dyDescent="0.25">
      <c r="A49" s="2" t="s">
        <v>234</v>
      </c>
      <c r="B49" s="3" t="s">
        <v>12</v>
      </c>
      <c r="C49" s="4" t="s">
        <v>184</v>
      </c>
      <c r="D49" s="4" t="s">
        <v>235</v>
      </c>
      <c r="E49" s="4" t="s">
        <v>23</v>
      </c>
      <c r="F49" s="4" t="s">
        <v>79</v>
      </c>
      <c r="G49" s="5" t="s">
        <v>17</v>
      </c>
      <c r="H49" s="4" t="s">
        <v>236</v>
      </c>
      <c r="I49" s="4" t="s">
        <v>237</v>
      </c>
      <c r="J49" s="6">
        <v>6</v>
      </c>
      <c r="K49" s="4" t="s">
        <v>20</v>
      </c>
    </row>
    <row r="50" spans="1:11" ht="96" customHeight="1" x14ac:dyDescent="0.25">
      <c r="A50" s="2" t="s">
        <v>238</v>
      </c>
      <c r="B50" s="3" t="s">
        <v>12</v>
      </c>
      <c r="C50" s="4" t="s">
        <v>184</v>
      </c>
      <c r="D50" s="4" t="s">
        <v>239</v>
      </c>
      <c r="E50" s="4" t="s">
        <v>23</v>
      </c>
      <c r="F50" s="4" t="s">
        <v>79</v>
      </c>
      <c r="G50" s="7" t="s">
        <v>36</v>
      </c>
      <c r="H50" s="4" t="s">
        <v>240</v>
      </c>
      <c r="I50" s="4" t="s">
        <v>241</v>
      </c>
      <c r="J50" s="6">
        <v>8</v>
      </c>
      <c r="K50" s="4" t="s">
        <v>20</v>
      </c>
    </row>
    <row r="51" spans="1:11" ht="96" customHeight="1" x14ac:dyDescent="0.25">
      <c r="A51" s="2" t="s">
        <v>242</v>
      </c>
      <c r="B51" s="3" t="s">
        <v>12</v>
      </c>
      <c r="C51" s="4" t="s">
        <v>184</v>
      </c>
      <c r="D51" s="4" t="s">
        <v>243</v>
      </c>
      <c r="E51" s="4" t="s">
        <v>23</v>
      </c>
      <c r="F51" s="4" t="s">
        <v>79</v>
      </c>
      <c r="G51" s="5" t="s">
        <v>17</v>
      </c>
      <c r="H51" s="4" t="s">
        <v>244</v>
      </c>
      <c r="I51" s="4" t="s">
        <v>245</v>
      </c>
      <c r="J51" s="6">
        <v>6</v>
      </c>
      <c r="K51" s="4" t="s">
        <v>20</v>
      </c>
    </row>
    <row r="52" spans="1:11" ht="96" customHeight="1" x14ac:dyDescent="0.25">
      <c r="A52" s="2" t="s">
        <v>246</v>
      </c>
      <c r="B52" s="3" t="s">
        <v>12</v>
      </c>
      <c r="C52" s="4" t="s">
        <v>247</v>
      </c>
      <c r="D52" s="4" t="s">
        <v>248</v>
      </c>
      <c r="E52" s="4" t="s">
        <v>249</v>
      </c>
      <c r="F52" s="4" t="s">
        <v>250</v>
      </c>
      <c r="G52" s="5" t="s">
        <v>17</v>
      </c>
      <c r="H52" s="4" t="s">
        <v>251</v>
      </c>
      <c r="I52" s="4" t="s">
        <v>252</v>
      </c>
      <c r="J52" s="6">
        <v>8</v>
      </c>
      <c r="K52" s="4" t="s">
        <v>20</v>
      </c>
    </row>
    <row r="53" spans="1:11" ht="96" customHeight="1" x14ac:dyDescent="0.25">
      <c r="A53" s="2" t="s">
        <v>253</v>
      </c>
      <c r="B53" s="3" t="s">
        <v>12</v>
      </c>
      <c r="C53" s="4" t="s">
        <v>247</v>
      </c>
      <c r="D53" s="4" t="s">
        <v>254</v>
      </c>
      <c r="E53" s="4" t="s">
        <v>249</v>
      </c>
      <c r="F53" s="4" t="s">
        <v>250</v>
      </c>
      <c r="G53" s="8" t="s">
        <v>42</v>
      </c>
      <c r="H53" s="4" t="s">
        <v>255</v>
      </c>
      <c r="I53" s="4" t="s">
        <v>256</v>
      </c>
      <c r="J53" s="6">
        <v>6</v>
      </c>
      <c r="K53" s="4" t="s">
        <v>20</v>
      </c>
    </row>
    <row r="54" spans="1:11" ht="96" customHeight="1" x14ac:dyDescent="0.25">
      <c r="A54" s="2" t="s">
        <v>257</v>
      </c>
      <c r="B54" s="3" t="s">
        <v>12</v>
      </c>
      <c r="C54" s="4" t="s">
        <v>247</v>
      </c>
      <c r="D54" s="4" t="s">
        <v>258</v>
      </c>
      <c r="E54" s="4" t="s">
        <v>23</v>
      </c>
      <c r="F54" s="4" t="s">
        <v>259</v>
      </c>
      <c r="G54" s="5" t="s">
        <v>17</v>
      </c>
      <c r="H54" s="4" t="s">
        <v>260</v>
      </c>
      <c r="I54" s="4" t="s">
        <v>261</v>
      </c>
      <c r="J54" s="6">
        <v>8</v>
      </c>
      <c r="K54" s="4" t="s">
        <v>20</v>
      </c>
    </row>
    <row r="55" spans="1:11" ht="96" customHeight="1" x14ac:dyDescent="0.25">
      <c r="A55" s="2" t="s">
        <v>262</v>
      </c>
      <c r="B55" s="3" t="s">
        <v>12</v>
      </c>
      <c r="C55" s="4" t="s">
        <v>247</v>
      </c>
      <c r="D55" s="4" t="s">
        <v>263</v>
      </c>
      <c r="E55" s="4" t="s">
        <v>65</v>
      </c>
      <c r="F55" s="4" t="s">
        <v>259</v>
      </c>
      <c r="G55" s="5" t="s">
        <v>17</v>
      </c>
      <c r="H55" s="4" t="s">
        <v>264</v>
      </c>
      <c r="I55" s="4" t="s">
        <v>265</v>
      </c>
      <c r="J55" s="6">
        <v>8</v>
      </c>
      <c r="K55" s="4" t="s">
        <v>20</v>
      </c>
    </row>
    <row r="56" spans="1:11" ht="96" customHeight="1" x14ac:dyDescent="0.25">
      <c r="A56" s="2" t="s">
        <v>266</v>
      </c>
      <c r="B56" s="3" t="s">
        <v>12</v>
      </c>
      <c r="C56" s="4" t="s">
        <v>247</v>
      </c>
      <c r="D56" s="4" t="s">
        <v>267</v>
      </c>
      <c r="E56" s="4" t="s">
        <v>268</v>
      </c>
      <c r="F56" s="4" t="s">
        <v>259</v>
      </c>
      <c r="G56" s="5" t="s">
        <v>17</v>
      </c>
      <c r="H56" s="4" t="s">
        <v>269</v>
      </c>
      <c r="I56" s="4" t="s">
        <v>270</v>
      </c>
      <c r="J56" s="6">
        <v>8</v>
      </c>
      <c r="K56" s="4" t="s">
        <v>20</v>
      </c>
    </row>
    <row r="57" spans="1:11" ht="96" customHeight="1" x14ac:dyDescent="0.25">
      <c r="A57" s="2" t="s">
        <v>271</v>
      </c>
      <c r="B57" s="3" t="s">
        <v>12</v>
      </c>
      <c r="C57" s="4" t="s">
        <v>247</v>
      </c>
      <c r="D57" s="4" t="s">
        <v>272</v>
      </c>
      <c r="E57" s="4" t="s">
        <v>65</v>
      </c>
      <c r="F57" s="4" t="s">
        <v>259</v>
      </c>
      <c r="G57" s="7" t="s">
        <v>36</v>
      </c>
      <c r="H57" s="4" t="s">
        <v>273</v>
      </c>
      <c r="I57" s="4" t="s">
        <v>274</v>
      </c>
      <c r="J57" s="6">
        <v>4</v>
      </c>
      <c r="K57" s="4" t="s">
        <v>20</v>
      </c>
    </row>
    <row r="58" spans="1:11" ht="96" customHeight="1" x14ac:dyDescent="0.25">
      <c r="A58" s="2" t="s">
        <v>275</v>
      </c>
      <c r="B58" s="3" t="s">
        <v>12</v>
      </c>
      <c r="C58" s="4" t="s">
        <v>247</v>
      </c>
      <c r="D58" s="4" t="s">
        <v>276</v>
      </c>
      <c r="E58" s="4" t="s">
        <v>23</v>
      </c>
      <c r="F58" s="4" t="s">
        <v>259</v>
      </c>
      <c r="G58" s="7" t="s">
        <v>36</v>
      </c>
      <c r="H58" s="4" t="s">
        <v>277</v>
      </c>
      <c r="I58" s="4" t="s">
        <v>278</v>
      </c>
      <c r="J58" s="6">
        <v>4</v>
      </c>
      <c r="K58" s="4" t="s">
        <v>20</v>
      </c>
    </row>
    <row r="59" spans="1:11" ht="96" customHeight="1" x14ac:dyDescent="0.25">
      <c r="A59" s="2" t="s">
        <v>279</v>
      </c>
      <c r="B59" s="3" t="s">
        <v>12</v>
      </c>
      <c r="C59" s="4" t="s">
        <v>247</v>
      </c>
      <c r="D59" s="4" t="s">
        <v>280</v>
      </c>
      <c r="E59" s="4" t="s">
        <v>15</v>
      </c>
      <c r="F59" s="4" t="s">
        <v>259</v>
      </c>
      <c r="G59" s="7" t="s">
        <v>36</v>
      </c>
      <c r="H59" s="4" t="s">
        <v>281</v>
      </c>
      <c r="I59" s="4" t="s">
        <v>282</v>
      </c>
      <c r="J59" s="6">
        <v>4</v>
      </c>
      <c r="K59" s="4" t="s">
        <v>20</v>
      </c>
    </row>
    <row r="60" spans="1:11" ht="96" customHeight="1" x14ac:dyDescent="0.25">
      <c r="A60" s="2" t="s">
        <v>283</v>
      </c>
      <c r="B60" s="3" t="s">
        <v>12</v>
      </c>
      <c r="C60" s="4" t="s">
        <v>247</v>
      </c>
      <c r="D60" s="4" t="s">
        <v>284</v>
      </c>
      <c r="E60" s="4" t="s">
        <v>88</v>
      </c>
      <c r="F60" s="4" t="s">
        <v>285</v>
      </c>
      <c r="G60" s="5" t="s">
        <v>17</v>
      </c>
      <c r="H60" s="4" t="s">
        <v>286</v>
      </c>
      <c r="I60" s="4" t="s">
        <v>287</v>
      </c>
      <c r="J60" s="6">
        <v>6</v>
      </c>
      <c r="K60" s="4" t="s">
        <v>20</v>
      </c>
    </row>
    <row r="61" spans="1:11" ht="96" customHeight="1" x14ac:dyDescent="0.25">
      <c r="A61" s="2" t="s">
        <v>288</v>
      </c>
      <c r="B61" s="3" t="s">
        <v>12</v>
      </c>
      <c r="C61" s="4" t="s">
        <v>247</v>
      </c>
      <c r="D61" s="4" t="s">
        <v>289</v>
      </c>
      <c r="E61" s="4" t="s">
        <v>88</v>
      </c>
      <c r="F61" s="4" t="s">
        <v>290</v>
      </c>
      <c r="G61" s="7" t="s">
        <v>36</v>
      </c>
      <c r="H61" s="4" t="s">
        <v>291</v>
      </c>
      <c r="I61" s="4" t="s">
        <v>292</v>
      </c>
      <c r="J61" s="6">
        <v>4</v>
      </c>
      <c r="K61" s="4" t="s">
        <v>20</v>
      </c>
    </row>
    <row r="62" spans="1:11" ht="96" customHeight="1" x14ac:dyDescent="0.25">
      <c r="A62" s="2" t="s">
        <v>293</v>
      </c>
      <c r="B62" s="3" t="s">
        <v>12</v>
      </c>
      <c r="C62" s="4" t="s">
        <v>247</v>
      </c>
      <c r="D62" s="4" t="s">
        <v>294</v>
      </c>
      <c r="E62" s="4" t="s">
        <v>88</v>
      </c>
      <c r="F62" s="4" t="s">
        <v>285</v>
      </c>
      <c r="G62" s="7" t="s">
        <v>36</v>
      </c>
      <c r="H62" s="4" t="s">
        <v>295</v>
      </c>
      <c r="I62" s="4" t="s">
        <v>296</v>
      </c>
      <c r="J62" s="6">
        <v>3</v>
      </c>
      <c r="K62" s="4" t="s">
        <v>20</v>
      </c>
    </row>
    <row r="63" spans="1:11" ht="96" customHeight="1" x14ac:dyDescent="0.25">
      <c r="A63" s="2" t="s">
        <v>297</v>
      </c>
      <c r="B63" s="3" t="s">
        <v>12</v>
      </c>
      <c r="C63" s="4" t="s">
        <v>247</v>
      </c>
      <c r="D63" s="4" t="s">
        <v>298</v>
      </c>
      <c r="E63" s="4" t="s">
        <v>88</v>
      </c>
      <c r="F63" s="4" t="s">
        <v>299</v>
      </c>
      <c r="G63" s="5" t="s">
        <v>17</v>
      </c>
      <c r="H63" s="4" t="s">
        <v>300</v>
      </c>
      <c r="I63" s="4" t="s">
        <v>301</v>
      </c>
      <c r="J63" s="6">
        <v>4</v>
      </c>
      <c r="K63" s="4" t="s">
        <v>20</v>
      </c>
    </row>
    <row r="64" spans="1:11" ht="96" customHeight="1" x14ac:dyDescent="0.25">
      <c r="A64" s="2" t="s">
        <v>302</v>
      </c>
      <c r="B64" s="3" t="s">
        <v>12</v>
      </c>
      <c r="C64" s="4" t="s">
        <v>247</v>
      </c>
      <c r="D64" s="4" t="s">
        <v>303</v>
      </c>
      <c r="E64" s="4" t="s">
        <v>15</v>
      </c>
      <c r="F64" s="4" t="s">
        <v>304</v>
      </c>
      <c r="G64" s="5" t="s">
        <v>17</v>
      </c>
      <c r="H64" s="4" t="s">
        <v>305</v>
      </c>
      <c r="I64" s="4" t="s">
        <v>306</v>
      </c>
      <c r="J64" s="6">
        <v>6</v>
      </c>
      <c r="K64" s="4" t="s">
        <v>20</v>
      </c>
    </row>
    <row r="65" spans="1:11" ht="96" customHeight="1" x14ac:dyDescent="0.25">
      <c r="A65" s="2" t="s">
        <v>307</v>
      </c>
      <c r="B65" s="3" t="s">
        <v>12</v>
      </c>
      <c r="C65" s="4" t="s">
        <v>247</v>
      </c>
      <c r="D65" s="4" t="s">
        <v>308</v>
      </c>
      <c r="E65" s="4" t="s">
        <v>28</v>
      </c>
      <c r="F65" s="4" t="s">
        <v>304</v>
      </c>
      <c r="G65" s="7" t="s">
        <v>36</v>
      </c>
      <c r="H65" s="4" t="s">
        <v>309</v>
      </c>
      <c r="I65" s="4" t="s">
        <v>310</v>
      </c>
      <c r="J65" s="6">
        <v>4</v>
      </c>
      <c r="K65" s="4" t="s">
        <v>20</v>
      </c>
    </row>
    <row r="66" spans="1:11" ht="96" customHeight="1" x14ac:dyDescent="0.25">
      <c r="A66" s="2" t="s">
        <v>311</v>
      </c>
      <c r="B66" s="3" t="s">
        <v>12</v>
      </c>
      <c r="C66" s="4" t="s">
        <v>247</v>
      </c>
      <c r="D66" s="4" t="s">
        <v>312</v>
      </c>
      <c r="E66" s="4" t="s">
        <v>15</v>
      </c>
      <c r="F66" s="4" t="s">
        <v>304</v>
      </c>
      <c r="G66" s="5" t="s">
        <v>17</v>
      </c>
      <c r="H66" s="4" t="s">
        <v>313</v>
      </c>
      <c r="I66" s="4" t="s">
        <v>314</v>
      </c>
      <c r="J66" s="6">
        <v>6</v>
      </c>
      <c r="K66" s="4" t="s">
        <v>20</v>
      </c>
    </row>
    <row r="67" spans="1:11" ht="96" customHeight="1" x14ac:dyDescent="0.25">
      <c r="A67" s="2" t="s">
        <v>315</v>
      </c>
      <c r="B67" s="8" t="s">
        <v>316</v>
      </c>
      <c r="C67" s="4" t="s">
        <v>317</v>
      </c>
      <c r="D67" s="4" t="s">
        <v>318</v>
      </c>
      <c r="E67" s="4" t="s">
        <v>34</v>
      </c>
      <c r="F67" s="4" t="s">
        <v>35</v>
      </c>
      <c r="G67" s="5" t="s">
        <v>17</v>
      </c>
      <c r="H67" s="4" t="s">
        <v>319</v>
      </c>
      <c r="I67" s="4" t="s">
        <v>320</v>
      </c>
      <c r="J67" s="6">
        <v>12</v>
      </c>
      <c r="K67" s="4" t="s">
        <v>20</v>
      </c>
    </row>
    <row r="68" spans="1:11" ht="96" customHeight="1" x14ac:dyDescent="0.25">
      <c r="A68" s="2" t="s">
        <v>321</v>
      </c>
      <c r="B68" s="8" t="s">
        <v>316</v>
      </c>
      <c r="C68" s="4" t="s">
        <v>317</v>
      </c>
      <c r="D68" s="4" t="s">
        <v>322</v>
      </c>
      <c r="E68" s="4" t="s">
        <v>34</v>
      </c>
      <c r="F68" s="4" t="s">
        <v>35</v>
      </c>
      <c r="G68" s="7" t="s">
        <v>36</v>
      </c>
      <c r="H68" s="4" t="s">
        <v>323</v>
      </c>
      <c r="I68" s="4" t="s">
        <v>324</v>
      </c>
      <c r="J68" s="6">
        <v>12</v>
      </c>
      <c r="K68" s="4" t="s">
        <v>20</v>
      </c>
    </row>
    <row r="69" spans="1:11" ht="96" customHeight="1" x14ac:dyDescent="0.25">
      <c r="A69" s="2" t="s">
        <v>325</v>
      </c>
      <c r="B69" s="8" t="s">
        <v>316</v>
      </c>
      <c r="C69" s="4" t="s">
        <v>317</v>
      </c>
      <c r="D69" s="4" t="s">
        <v>326</v>
      </c>
      <c r="E69" s="4" t="s">
        <v>34</v>
      </c>
      <c r="F69" s="4" t="s">
        <v>126</v>
      </c>
      <c r="G69" s="5" t="s">
        <v>17</v>
      </c>
      <c r="H69" s="4" t="s">
        <v>327</v>
      </c>
      <c r="I69" s="4" t="s">
        <v>328</v>
      </c>
      <c r="J69" s="6">
        <v>12</v>
      </c>
      <c r="K69" s="4" t="s">
        <v>20</v>
      </c>
    </row>
    <row r="70" spans="1:11" ht="96" customHeight="1" x14ac:dyDescent="0.25">
      <c r="A70" s="2" t="s">
        <v>329</v>
      </c>
      <c r="B70" s="8" t="s">
        <v>316</v>
      </c>
      <c r="C70" s="4" t="s">
        <v>317</v>
      </c>
      <c r="D70" s="4" t="s">
        <v>330</v>
      </c>
      <c r="E70" s="4" t="s">
        <v>65</v>
      </c>
      <c r="F70" s="4" t="s">
        <v>126</v>
      </c>
      <c r="G70" s="5" t="s">
        <v>17</v>
      </c>
      <c r="H70" s="4" t="s">
        <v>331</v>
      </c>
      <c r="I70" s="4" t="s">
        <v>332</v>
      </c>
      <c r="J70" s="6">
        <v>12</v>
      </c>
      <c r="K70" s="4" t="s">
        <v>20</v>
      </c>
    </row>
    <row r="71" spans="1:11" ht="96" customHeight="1" x14ac:dyDescent="0.25">
      <c r="A71" s="2" t="s">
        <v>333</v>
      </c>
      <c r="B71" s="8" t="s">
        <v>316</v>
      </c>
      <c r="C71" s="4" t="s">
        <v>317</v>
      </c>
      <c r="D71" s="4" t="s">
        <v>334</v>
      </c>
      <c r="E71" s="4" t="s">
        <v>65</v>
      </c>
      <c r="F71" s="4" t="s">
        <v>126</v>
      </c>
      <c r="G71" s="7" t="s">
        <v>36</v>
      </c>
      <c r="H71" s="4" t="s">
        <v>335</v>
      </c>
      <c r="I71" s="4" t="s">
        <v>336</v>
      </c>
      <c r="J71" s="6">
        <v>12</v>
      </c>
      <c r="K71" s="4" t="s">
        <v>20</v>
      </c>
    </row>
    <row r="72" spans="1:11" ht="96" customHeight="1" x14ac:dyDescent="0.25">
      <c r="A72" s="2" t="s">
        <v>337</v>
      </c>
      <c r="B72" s="8" t="s">
        <v>316</v>
      </c>
      <c r="C72" s="4" t="s">
        <v>317</v>
      </c>
      <c r="D72" s="4" t="s">
        <v>338</v>
      </c>
      <c r="E72" s="4" t="s">
        <v>65</v>
      </c>
      <c r="F72" s="4" t="s">
        <v>156</v>
      </c>
      <c r="G72" s="5" t="s">
        <v>17</v>
      </c>
      <c r="H72" s="4" t="s">
        <v>339</v>
      </c>
      <c r="I72" s="4" t="s">
        <v>340</v>
      </c>
      <c r="J72" s="6">
        <v>12</v>
      </c>
      <c r="K72" s="4" t="s">
        <v>20</v>
      </c>
    </row>
    <row r="73" spans="1:11" ht="96" customHeight="1" x14ac:dyDescent="0.25">
      <c r="A73" s="2" t="s">
        <v>341</v>
      </c>
      <c r="B73" s="8" t="s">
        <v>316</v>
      </c>
      <c r="C73" s="4" t="s">
        <v>317</v>
      </c>
      <c r="D73" s="4" t="s">
        <v>342</v>
      </c>
      <c r="E73" s="4" t="s">
        <v>65</v>
      </c>
      <c r="F73" s="4" t="s">
        <v>156</v>
      </c>
      <c r="G73" s="7" t="s">
        <v>36</v>
      </c>
      <c r="H73" s="4" t="s">
        <v>343</v>
      </c>
      <c r="I73" s="4" t="s">
        <v>344</v>
      </c>
      <c r="J73" s="6">
        <v>6</v>
      </c>
      <c r="K73" s="4" t="s">
        <v>20</v>
      </c>
    </row>
    <row r="74" spans="1:11" ht="96" customHeight="1" x14ac:dyDescent="0.25">
      <c r="A74" s="2" t="s">
        <v>345</v>
      </c>
      <c r="B74" s="8" t="s">
        <v>316</v>
      </c>
      <c r="C74" s="4" t="s">
        <v>317</v>
      </c>
      <c r="D74" s="4" t="s">
        <v>346</v>
      </c>
      <c r="E74" s="4" t="s">
        <v>65</v>
      </c>
      <c r="F74" s="4" t="s">
        <v>156</v>
      </c>
      <c r="G74" s="7" t="s">
        <v>36</v>
      </c>
      <c r="H74" s="4" t="s">
        <v>347</v>
      </c>
      <c r="I74" s="4" t="s">
        <v>348</v>
      </c>
      <c r="J74" s="6">
        <v>8</v>
      </c>
      <c r="K74" s="4" t="s">
        <v>20</v>
      </c>
    </row>
    <row r="75" spans="1:11" ht="96" customHeight="1" x14ac:dyDescent="0.25">
      <c r="A75" s="2" t="s">
        <v>349</v>
      </c>
      <c r="B75" s="8" t="s">
        <v>316</v>
      </c>
      <c r="C75" s="4" t="s">
        <v>317</v>
      </c>
      <c r="D75" s="4" t="s">
        <v>350</v>
      </c>
      <c r="E75" s="4" t="s">
        <v>65</v>
      </c>
      <c r="F75" s="4" t="s">
        <v>351</v>
      </c>
      <c r="G75" s="7" t="s">
        <v>36</v>
      </c>
      <c r="H75" s="4" t="s">
        <v>352</v>
      </c>
      <c r="I75" s="4" t="s">
        <v>353</v>
      </c>
      <c r="J75" s="6">
        <v>8</v>
      </c>
      <c r="K75" s="4" t="s">
        <v>20</v>
      </c>
    </row>
    <row r="76" spans="1:11" ht="96" customHeight="1" x14ac:dyDescent="0.25">
      <c r="A76" s="2" t="s">
        <v>354</v>
      </c>
      <c r="B76" s="8" t="s">
        <v>316</v>
      </c>
      <c r="C76" s="4" t="s">
        <v>317</v>
      </c>
      <c r="D76" s="4" t="s">
        <v>355</v>
      </c>
      <c r="E76" s="4" t="s">
        <v>65</v>
      </c>
      <c r="F76" s="4" t="s">
        <v>351</v>
      </c>
      <c r="G76" s="7" t="s">
        <v>36</v>
      </c>
      <c r="H76" s="4" t="s">
        <v>356</v>
      </c>
      <c r="I76" s="4" t="s">
        <v>357</v>
      </c>
      <c r="J76" s="6">
        <v>6</v>
      </c>
      <c r="K76" s="4" t="s">
        <v>20</v>
      </c>
    </row>
    <row r="77" spans="1:11" ht="96" customHeight="1" x14ac:dyDescent="0.25">
      <c r="A77" s="2" t="s">
        <v>358</v>
      </c>
      <c r="B77" s="8" t="s">
        <v>316</v>
      </c>
      <c r="C77" s="4" t="s">
        <v>359</v>
      </c>
      <c r="D77" s="4" t="s">
        <v>360</v>
      </c>
      <c r="E77" s="4" t="s">
        <v>65</v>
      </c>
      <c r="F77" s="4" t="s">
        <v>200</v>
      </c>
      <c r="G77" s="5" t="s">
        <v>17</v>
      </c>
      <c r="H77" s="4" t="s">
        <v>361</v>
      </c>
      <c r="I77" s="4" t="s">
        <v>362</v>
      </c>
      <c r="J77" s="6">
        <v>12</v>
      </c>
      <c r="K77" s="4" t="s">
        <v>20</v>
      </c>
    </row>
    <row r="78" spans="1:11" ht="96" customHeight="1" x14ac:dyDescent="0.25">
      <c r="A78" s="2" t="s">
        <v>363</v>
      </c>
      <c r="B78" s="8" t="s">
        <v>316</v>
      </c>
      <c r="C78" s="4" t="s">
        <v>359</v>
      </c>
      <c r="D78" s="4" t="s">
        <v>364</v>
      </c>
      <c r="E78" s="4" t="s">
        <v>65</v>
      </c>
      <c r="F78" s="4" t="s">
        <v>200</v>
      </c>
      <c r="G78" s="5" t="s">
        <v>17</v>
      </c>
      <c r="H78" s="4" t="s">
        <v>365</v>
      </c>
      <c r="I78" s="4" t="s">
        <v>366</v>
      </c>
      <c r="J78" s="6">
        <v>8</v>
      </c>
      <c r="K78" s="4" t="s">
        <v>20</v>
      </c>
    </row>
    <row r="79" spans="1:11" ht="96" customHeight="1" x14ac:dyDescent="0.25">
      <c r="A79" s="2" t="s">
        <v>367</v>
      </c>
      <c r="B79" s="8" t="s">
        <v>316</v>
      </c>
      <c r="C79" s="4" t="s">
        <v>359</v>
      </c>
      <c r="D79" s="4" t="s">
        <v>368</v>
      </c>
      <c r="E79" s="4" t="s">
        <v>65</v>
      </c>
      <c r="F79" s="4" t="s">
        <v>200</v>
      </c>
      <c r="G79" s="5" t="s">
        <v>17</v>
      </c>
      <c r="H79" s="4" t="s">
        <v>369</v>
      </c>
      <c r="I79" s="4" t="s">
        <v>370</v>
      </c>
      <c r="J79" s="6">
        <v>6</v>
      </c>
      <c r="K79" s="4" t="s">
        <v>20</v>
      </c>
    </row>
    <row r="80" spans="1:11" ht="96" customHeight="1" x14ac:dyDescent="0.25">
      <c r="A80" s="2" t="s">
        <v>371</v>
      </c>
      <c r="B80" s="8" t="s">
        <v>316</v>
      </c>
      <c r="C80" s="4" t="s">
        <v>359</v>
      </c>
      <c r="D80" s="4" t="s">
        <v>372</v>
      </c>
      <c r="E80" s="4" t="s">
        <v>23</v>
      </c>
      <c r="F80" s="4" t="s">
        <v>200</v>
      </c>
      <c r="G80" s="7" t="s">
        <v>36</v>
      </c>
      <c r="H80" s="4" t="s">
        <v>373</v>
      </c>
      <c r="I80" s="4" t="s">
        <v>374</v>
      </c>
      <c r="J80" s="6">
        <v>12</v>
      </c>
      <c r="K80" s="4" t="s">
        <v>20</v>
      </c>
    </row>
    <row r="81" spans="1:11" ht="96" customHeight="1" x14ac:dyDescent="0.25">
      <c r="A81" s="2" t="s">
        <v>375</v>
      </c>
      <c r="B81" s="8" t="s">
        <v>316</v>
      </c>
      <c r="C81" s="4" t="s">
        <v>359</v>
      </c>
      <c r="D81" s="4" t="s">
        <v>376</v>
      </c>
      <c r="E81" s="4" t="s">
        <v>65</v>
      </c>
      <c r="F81" s="4" t="s">
        <v>377</v>
      </c>
      <c r="G81" s="5" t="s">
        <v>17</v>
      </c>
      <c r="H81" s="4" t="s">
        <v>378</v>
      </c>
      <c r="I81" s="4" t="s">
        <v>379</v>
      </c>
      <c r="J81" s="6">
        <v>8</v>
      </c>
      <c r="K81" s="4" t="s">
        <v>20</v>
      </c>
    </row>
    <row r="82" spans="1:11" ht="96" customHeight="1" x14ac:dyDescent="0.25">
      <c r="A82" s="2" t="s">
        <v>380</v>
      </c>
      <c r="B82" s="8" t="s">
        <v>316</v>
      </c>
      <c r="C82" s="4" t="s">
        <v>359</v>
      </c>
      <c r="D82" s="4" t="s">
        <v>381</v>
      </c>
      <c r="E82" s="4" t="s">
        <v>65</v>
      </c>
      <c r="F82" s="4" t="s">
        <v>377</v>
      </c>
      <c r="G82" s="5" t="s">
        <v>17</v>
      </c>
      <c r="H82" s="4" t="s">
        <v>382</v>
      </c>
      <c r="I82" s="4" t="s">
        <v>383</v>
      </c>
      <c r="J82" s="6">
        <v>6</v>
      </c>
      <c r="K82" s="4" t="s">
        <v>20</v>
      </c>
    </row>
    <row r="83" spans="1:11" ht="96" customHeight="1" x14ac:dyDescent="0.25">
      <c r="A83" s="2" t="s">
        <v>384</v>
      </c>
      <c r="B83" s="8" t="s">
        <v>316</v>
      </c>
      <c r="C83" s="4" t="s">
        <v>359</v>
      </c>
      <c r="D83" s="4" t="s">
        <v>385</v>
      </c>
      <c r="E83" s="4" t="s">
        <v>23</v>
      </c>
      <c r="F83" s="4" t="s">
        <v>377</v>
      </c>
      <c r="G83" s="7" t="s">
        <v>36</v>
      </c>
      <c r="H83" s="4" t="s">
        <v>386</v>
      </c>
      <c r="I83" s="4" t="s">
        <v>387</v>
      </c>
      <c r="J83" s="6">
        <v>12</v>
      </c>
      <c r="K83" s="4" t="s">
        <v>20</v>
      </c>
    </row>
    <row r="84" spans="1:11" ht="96" customHeight="1" x14ac:dyDescent="0.25">
      <c r="A84" s="2" t="s">
        <v>388</v>
      </c>
      <c r="B84" s="8" t="s">
        <v>316</v>
      </c>
      <c r="C84" s="4" t="s">
        <v>359</v>
      </c>
      <c r="D84" s="4" t="s">
        <v>389</v>
      </c>
      <c r="E84" s="4" t="s">
        <v>65</v>
      </c>
      <c r="F84" s="4" t="s">
        <v>222</v>
      </c>
      <c r="G84" s="7" t="s">
        <v>36</v>
      </c>
      <c r="H84" s="4" t="s">
        <v>390</v>
      </c>
      <c r="I84" s="4" t="s">
        <v>391</v>
      </c>
      <c r="J84" s="6">
        <v>8</v>
      </c>
      <c r="K84" s="4" t="s">
        <v>20</v>
      </c>
    </row>
    <row r="85" spans="1:11" ht="96" customHeight="1" x14ac:dyDescent="0.25">
      <c r="A85" s="2" t="s">
        <v>392</v>
      </c>
      <c r="B85" s="8" t="s">
        <v>316</v>
      </c>
      <c r="C85" s="4" t="s">
        <v>359</v>
      </c>
      <c r="D85" s="4" t="s">
        <v>393</v>
      </c>
      <c r="E85" s="4" t="s">
        <v>65</v>
      </c>
      <c r="F85" s="4" t="s">
        <v>222</v>
      </c>
      <c r="G85" s="7" t="s">
        <v>36</v>
      </c>
      <c r="H85" s="4" t="s">
        <v>394</v>
      </c>
      <c r="I85" s="4" t="s">
        <v>395</v>
      </c>
      <c r="J85" s="6">
        <v>6</v>
      </c>
      <c r="K85" s="4" t="s">
        <v>20</v>
      </c>
    </row>
    <row r="86" spans="1:11" ht="96" customHeight="1" x14ac:dyDescent="0.25">
      <c r="A86" s="2" t="s">
        <v>396</v>
      </c>
      <c r="B86" s="8" t="s">
        <v>316</v>
      </c>
      <c r="C86" s="4" t="s">
        <v>359</v>
      </c>
      <c r="D86" s="4" t="s">
        <v>397</v>
      </c>
      <c r="E86" s="4" t="s">
        <v>65</v>
      </c>
      <c r="F86" s="4" t="s">
        <v>398</v>
      </c>
      <c r="G86" s="5" t="s">
        <v>17</v>
      </c>
      <c r="H86" s="4" t="s">
        <v>399</v>
      </c>
      <c r="I86" s="4" t="s">
        <v>400</v>
      </c>
      <c r="J86" s="6">
        <v>8</v>
      </c>
      <c r="K86" s="4" t="s">
        <v>20</v>
      </c>
    </row>
    <row r="87" spans="1:11" ht="96" customHeight="1" x14ac:dyDescent="0.25">
      <c r="A87" s="2" t="s">
        <v>401</v>
      </c>
      <c r="B87" s="8" t="s">
        <v>316</v>
      </c>
      <c r="C87" s="4" t="s">
        <v>359</v>
      </c>
      <c r="D87" s="4" t="s">
        <v>402</v>
      </c>
      <c r="E87" s="4" t="s">
        <v>65</v>
      </c>
      <c r="F87" s="4" t="s">
        <v>398</v>
      </c>
      <c r="G87" s="5" t="s">
        <v>17</v>
      </c>
      <c r="H87" s="4" t="s">
        <v>403</v>
      </c>
      <c r="I87" s="4" t="s">
        <v>404</v>
      </c>
      <c r="J87" s="6">
        <v>6</v>
      </c>
      <c r="K87" s="4" t="s">
        <v>20</v>
      </c>
    </row>
    <row r="88" spans="1:11" ht="96" customHeight="1" x14ac:dyDescent="0.25">
      <c r="A88" s="2" t="s">
        <v>405</v>
      </c>
      <c r="B88" s="8" t="s">
        <v>316</v>
      </c>
      <c r="C88" s="4" t="s">
        <v>406</v>
      </c>
      <c r="D88" s="4" t="s">
        <v>407</v>
      </c>
      <c r="E88" s="4" t="s">
        <v>65</v>
      </c>
      <c r="F88" s="4" t="s">
        <v>227</v>
      </c>
      <c r="G88" s="5" t="s">
        <v>17</v>
      </c>
      <c r="H88" s="4" t="s">
        <v>408</v>
      </c>
      <c r="I88" s="4" t="s">
        <v>409</v>
      </c>
      <c r="J88" s="6">
        <v>12</v>
      </c>
      <c r="K88" s="4" t="s">
        <v>20</v>
      </c>
    </row>
    <row r="89" spans="1:11" ht="96" customHeight="1" x14ac:dyDescent="0.25">
      <c r="A89" s="2" t="s">
        <v>410</v>
      </c>
      <c r="B89" s="8" t="s">
        <v>316</v>
      </c>
      <c r="C89" s="4" t="s">
        <v>406</v>
      </c>
      <c r="D89" s="4" t="s">
        <v>411</v>
      </c>
      <c r="E89" s="4" t="s">
        <v>65</v>
      </c>
      <c r="F89" s="4" t="s">
        <v>227</v>
      </c>
      <c r="G89" s="5" t="s">
        <v>17</v>
      </c>
      <c r="H89" s="4" t="s">
        <v>412</v>
      </c>
      <c r="I89" s="4" t="s">
        <v>413</v>
      </c>
      <c r="J89" s="6">
        <v>12</v>
      </c>
      <c r="K89" s="4" t="s">
        <v>20</v>
      </c>
    </row>
    <row r="90" spans="1:11" ht="96" customHeight="1" x14ac:dyDescent="0.25">
      <c r="A90" s="2" t="s">
        <v>414</v>
      </c>
      <c r="B90" s="8" t="s">
        <v>316</v>
      </c>
      <c r="C90" s="4" t="s">
        <v>406</v>
      </c>
      <c r="D90" s="4" t="s">
        <v>415</v>
      </c>
      <c r="E90" s="4" t="s">
        <v>65</v>
      </c>
      <c r="F90" s="4" t="s">
        <v>416</v>
      </c>
      <c r="G90" s="5" t="s">
        <v>17</v>
      </c>
      <c r="H90" s="4" t="s">
        <v>417</v>
      </c>
      <c r="I90" s="4" t="s">
        <v>418</v>
      </c>
      <c r="J90" s="6">
        <v>8</v>
      </c>
      <c r="K90" s="4" t="s">
        <v>20</v>
      </c>
    </row>
    <row r="91" spans="1:11" ht="96" customHeight="1" x14ac:dyDescent="0.25">
      <c r="A91" s="2" t="s">
        <v>419</v>
      </c>
      <c r="B91" s="8" t="s">
        <v>316</v>
      </c>
      <c r="C91" s="4" t="s">
        <v>406</v>
      </c>
      <c r="D91" s="4" t="s">
        <v>420</v>
      </c>
      <c r="E91" s="4" t="s">
        <v>65</v>
      </c>
      <c r="F91" s="4" t="s">
        <v>416</v>
      </c>
      <c r="G91" s="5" t="s">
        <v>17</v>
      </c>
      <c r="H91" s="4" t="s">
        <v>421</v>
      </c>
      <c r="I91" s="4" t="s">
        <v>422</v>
      </c>
      <c r="J91" s="6">
        <v>6</v>
      </c>
      <c r="K91" s="4" t="s">
        <v>20</v>
      </c>
    </row>
    <row r="92" spans="1:11" ht="96" customHeight="1" x14ac:dyDescent="0.25">
      <c r="A92" s="2" t="s">
        <v>423</v>
      </c>
      <c r="B92" s="8" t="s">
        <v>316</v>
      </c>
      <c r="C92" s="4" t="s">
        <v>406</v>
      </c>
      <c r="D92" s="4" t="s">
        <v>424</v>
      </c>
      <c r="E92" s="4" t="s">
        <v>65</v>
      </c>
      <c r="F92" s="4" t="s">
        <v>416</v>
      </c>
      <c r="G92" s="5" t="s">
        <v>17</v>
      </c>
      <c r="H92" s="4" t="s">
        <v>425</v>
      </c>
      <c r="I92" s="4" t="s">
        <v>426</v>
      </c>
      <c r="J92" s="6">
        <v>12</v>
      </c>
      <c r="K92" s="4" t="s">
        <v>20</v>
      </c>
    </row>
    <row r="93" spans="1:11" ht="96" customHeight="1" x14ac:dyDescent="0.25">
      <c r="A93" s="2" t="s">
        <v>427</v>
      </c>
      <c r="B93" s="8" t="s">
        <v>316</v>
      </c>
      <c r="C93" s="4" t="s">
        <v>406</v>
      </c>
      <c r="D93" s="4" t="s">
        <v>428</v>
      </c>
      <c r="E93" s="4" t="s">
        <v>28</v>
      </c>
      <c r="F93" s="4" t="s">
        <v>429</v>
      </c>
      <c r="G93" s="7" t="s">
        <v>36</v>
      </c>
      <c r="H93" s="4" t="s">
        <v>430</v>
      </c>
      <c r="I93" s="4" t="s">
        <v>431</v>
      </c>
      <c r="J93" s="6">
        <v>12</v>
      </c>
      <c r="K93" s="4" t="s">
        <v>20</v>
      </c>
    </row>
    <row r="94" spans="1:11" ht="96" customHeight="1" x14ac:dyDescent="0.25">
      <c r="A94" s="2" t="s">
        <v>432</v>
      </c>
      <c r="B94" s="8" t="s">
        <v>316</v>
      </c>
      <c r="C94" s="4" t="s">
        <v>406</v>
      </c>
      <c r="D94" s="4" t="s">
        <v>433</v>
      </c>
      <c r="E94" s="4" t="s">
        <v>34</v>
      </c>
      <c r="F94" s="4" t="s">
        <v>434</v>
      </c>
      <c r="G94" s="5" t="s">
        <v>17</v>
      </c>
      <c r="H94" s="4" t="s">
        <v>435</v>
      </c>
      <c r="I94" s="4" t="s">
        <v>436</v>
      </c>
      <c r="J94" s="6">
        <v>12</v>
      </c>
      <c r="K94" s="4" t="s">
        <v>20</v>
      </c>
    </row>
    <row r="95" spans="1:11" ht="96" customHeight="1" x14ac:dyDescent="0.25">
      <c r="A95" s="2" t="s">
        <v>437</v>
      </c>
      <c r="B95" s="8" t="s">
        <v>316</v>
      </c>
      <c r="C95" s="4" t="s">
        <v>406</v>
      </c>
      <c r="D95" s="4" t="s">
        <v>438</v>
      </c>
      <c r="E95" s="4" t="s">
        <v>65</v>
      </c>
      <c r="F95" s="4" t="s">
        <v>434</v>
      </c>
      <c r="G95" s="7" t="s">
        <v>36</v>
      </c>
      <c r="H95" s="4" t="s">
        <v>439</v>
      </c>
      <c r="I95" s="4" t="s">
        <v>440</v>
      </c>
      <c r="J95" s="6">
        <v>8</v>
      </c>
      <c r="K95" s="4" t="s">
        <v>20</v>
      </c>
    </row>
    <row r="96" spans="1:11" ht="96" customHeight="1" x14ac:dyDescent="0.25">
      <c r="A96" s="2" t="s">
        <v>441</v>
      </c>
      <c r="B96" s="8" t="s">
        <v>316</v>
      </c>
      <c r="C96" s="4" t="s">
        <v>406</v>
      </c>
      <c r="D96" s="4" t="s">
        <v>442</v>
      </c>
      <c r="E96" s="4" t="s">
        <v>65</v>
      </c>
      <c r="F96" s="4" t="s">
        <v>434</v>
      </c>
      <c r="G96" s="7" t="s">
        <v>36</v>
      </c>
      <c r="H96" s="4" t="s">
        <v>443</v>
      </c>
      <c r="I96" s="4" t="s">
        <v>444</v>
      </c>
      <c r="J96" s="6">
        <v>6</v>
      </c>
      <c r="K96" s="4" t="s">
        <v>20</v>
      </c>
    </row>
    <row r="97" spans="1:11" ht="96" customHeight="1" x14ac:dyDescent="0.25">
      <c r="A97" s="2" t="s">
        <v>445</v>
      </c>
      <c r="B97" s="8" t="s">
        <v>316</v>
      </c>
      <c r="C97" s="4" t="s">
        <v>446</v>
      </c>
      <c r="D97" s="4" t="s">
        <v>447</v>
      </c>
      <c r="E97" s="4" t="s">
        <v>65</v>
      </c>
      <c r="F97" s="4" t="s">
        <v>448</v>
      </c>
      <c r="G97" s="5" t="s">
        <v>17</v>
      </c>
      <c r="H97" s="4" t="s">
        <v>449</v>
      </c>
      <c r="I97" s="4" t="s">
        <v>450</v>
      </c>
      <c r="J97" s="6">
        <v>12</v>
      </c>
      <c r="K97" s="4" t="s">
        <v>20</v>
      </c>
    </row>
    <row r="98" spans="1:11" ht="96" customHeight="1" x14ac:dyDescent="0.25">
      <c r="A98" s="2" t="s">
        <v>451</v>
      </c>
      <c r="B98" s="8" t="s">
        <v>316</v>
      </c>
      <c r="C98" s="4" t="s">
        <v>446</v>
      </c>
      <c r="D98" s="4" t="s">
        <v>452</v>
      </c>
      <c r="E98" s="4" t="s">
        <v>65</v>
      </c>
      <c r="F98" s="4" t="s">
        <v>453</v>
      </c>
      <c r="G98" s="5" t="s">
        <v>17</v>
      </c>
      <c r="H98" s="4" t="s">
        <v>454</v>
      </c>
      <c r="I98" s="4" t="s">
        <v>455</v>
      </c>
      <c r="J98" s="6">
        <v>12</v>
      </c>
      <c r="K98" s="4" t="s">
        <v>20</v>
      </c>
    </row>
    <row r="99" spans="1:11" ht="96" customHeight="1" x14ac:dyDescent="0.25">
      <c r="A99" s="2" t="s">
        <v>456</v>
      </c>
      <c r="B99" s="8" t="s">
        <v>316</v>
      </c>
      <c r="C99" s="4" t="s">
        <v>446</v>
      </c>
      <c r="D99" s="4" t="s">
        <v>457</v>
      </c>
      <c r="E99" s="4" t="s">
        <v>23</v>
      </c>
      <c r="F99" s="4" t="s">
        <v>453</v>
      </c>
      <c r="G99" s="7" t="s">
        <v>36</v>
      </c>
      <c r="H99" s="4" t="s">
        <v>458</v>
      </c>
      <c r="I99" s="4" t="s">
        <v>459</v>
      </c>
      <c r="J99" s="6">
        <v>12</v>
      </c>
      <c r="K99" s="4" t="s">
        <v>20</v>
      </c>
    </row>
    <row r="100" spans="1:11" ht="96" customHeight="1" x14ac:dyDescent="0.25">
      <c r="A100" s="2" t="s">
        <v>460</v>
      </c>
      <c r="B100" s="8" t="s">
        <v>316</v>
      </c>
      <c r="C100" s="4" t="s">
        <v>446</v>
      </c>
      <c r="D100" s="4" t="s">
        <v>461</v>
      </c>
      <c r="E100" s="4" t="s">
        <v>65</v>
      </c>
      <c r="F100" s="4" t="s">
        <v>462</v>
      </c>
      <c r="G100" s="5" t="s">
        <v>17</v>
      </c>
      <c r="H100" s="4" t="s">
        <v>463</v>
      </c>
      <c r="I100" s="4" t="s">
        <v>464</v>
      </c>
      <c r="J100" s="6">
        <v>12</v>
      </c>
      <c r="K100" s="4" t="s">
        <v>20</v>
      </c>
    </row>
    <row r="101" spans="1:11" ht="96" customHeight="1" x14ac:dyDescent="0.25">
      <c r="A101" s="2" t="s">
        <v>465</v>
      </c>
      <c r="B101" s="8" t="s">
        <v>316</v>
      </c>
      <c r="C101" s="4" t="s">
        <v>446</v>
      </c>
      <c r="D101" s="4" t="s">
        <v>466</v>
      </c>
      <c r="E101" s="4" t="s">
        <v>28</v>
      </c>
      <c r="F101" s="4" t="s">
        <v>467</v>
      </c>
      <c r="G101" s="5" t="s">
        <v>17</v>
      </c>
      <c r="H101" s="4" t="s">
        <v>468</v>
      </c>
      <c r="I101" s="4" t="s">
        <v>469</v>
      </c>
      <c r="J101" s="6">
        <v>12</v>
      </c>
      <c r="K101" s="4" t="s">
        <v>20</v>
      </c>
    </row>
    <row r="102" spans="1:11" ht="96" customHeight="1" x14ac:dyDescent="0.25">
      <c r="A102" s="2" t="s">
        <v>470</v>
      </c>
      <c r="B102" s="8" t="s">
        <v>316</v>
      </c>
      <c r="C102" s="4" t="s">
        <v>446</v>
      </c>
      <c r="D102" s="4" t="s">
        <v>471</v>
      </c>
      <c r="E102" s="4" t="s">
        <v>28</v>
      </c>
      <c r="F102" s="4" t="s">
        <v>467</v>
      </c>
      <c r="G102" s="5" t="s">
        <v>17</v>
      </c>
      <c r="H102" s="4" t="s">
        <v>472</v>
      </c>
      <c r="I102" s="4" t="s">
        <v>473</v>
      </c>
      <c r="J102" s="6">
        <v>12</v>
      </c>
      <c r="K102" s="4" t="s">
        <v>20</v>
      </c>
    </row>
    <row r="103" spans="1:11" ht="96" customHeight="1" x14ac:dyDescent="0.25">
      <c r="A103" s="2" t="s">
        <v>474</v>
      </c>
      <c r="B103" s="8" t="s">
        <v>316</v>
      </c>
      <c r="C103" s="4" t="s">
        <v>446</v>
      </c>
      <c r="D103" s="4" t="s">
        <v>475</v>
      </c>
      <c r="E103" s="4" t="s">
        <v>28</v>
      </c>
      <c r="F103" s="4" t="s">
        <v>476</v>
      </c>
      <c r="G103" s="5" t="s">
        <v>17</v>
      </c>
      <c r="H103" s="4" t="s">
        <v>477</v>
      </c>
      <c r="I103" s="4" t="s">
        <v>478</v>
      </c>
      <c r="J103" s="6">
        <v>12</v>
      </c>
      <c r="K103" s="4" t="s">
        <v>20</v>
      </c>
    </row>
    <row r="104" spans="1:11" ht="96" customHeight="1" x14ac:dyDescent="0.25">
      <c r="A104" s="2" t="s">
        <v>479</v>
      </c>
      <c r="B104" s="8" t="s">
        <v>316</v>
      </c>
      <c r="C104" s="4" t="s">
        <v>446</v>
      </c>
      <c r="D104" s="4" t="s">
        <v>480</v>
      </c>
      <c r="E104" s="4" t="s">
        <v>28</v>
      </c>
      <c r="F104" s="4" t="s">
        <v>429</v>
      </c>
      <c r="G104" s="7" t="s">
        <v>36</v>
      </c>
      <c r="H104" s="4" t="s">
        <v>481</v>
      </c>
      <c r="I104" s="4" t="s">
        <v>482</v>
      </c>
      <c r="J104" s="6">
        <v>12</v>
      </c>
      <c r="K104" s="4" t="s">
        <v>20</v>
      </c>
    </row>
    <row r="105" spans="1:11" ht="96" customHeight="1" x14ac:dyDescent="0.25">
      <c r="A105" s="2" t="s">
        <v>483</v>
      </c>
      <c r="B105" s="8" t="s">
        <v>316</v>
      </c>
      <c r="C105" s="4" t="s">
        <v>446</v>
      </c>
      <c r="D105" s="4" t="s">
        <v>484</v>
      </c>
      <c r="E105" s="4" t="s">
        <v>15</v>
      </c>
      <c r="F105" s="4" t="s">
        <v>485</v>
      </c>
      <c r="G105" s="7" t="s">
        <v>36</v>
      </c>
      <c r="H105" s="4" t="s">
        <v>486</v>
      </c>
      <c r="I105" s="4" t="s">
        <v>487</v>
      </c>
      <c r="J105" s="6">
        <v>12</v>
      </c>
      <c r="K105" s="4" t="s">
        <v>20</v>
      </c>
    </row>
    <row r="106" spans="1:11" ht="96" customHeight="1" x14ac:dyDescent="0.25">
      <c r="A106" s="2" t="s">
        <v>488</v>
      </c>
      <c r="B106" s="8" t="s">
        <v>316</v>
      </c>
      <c r="C106" s="4" t="s">
        <v>446</v>
      </c>
      <c r="D106" s="4" t="s">
        <v>489</v>
      </c>
      <c r="E106" s="4" t="s">
        <v>88</v>
      </c>
      <c r="F106" s="4" t="s">
        <v>299</v>
      </c>
      <c r="G106" s="5" t="s">
        <v>17</v>
      </c>
      <c r="H106" s="4" t="s">
        <v>490</v>
      </c>
      <c r="I106" s="4" t="s">
        <v>491</v>
      </c>
      <c r="J106" s="6">
        <v>12</v>
      </c>
      <c r="K106" s="4" t="s">
        <v>20</v>
      </c>
    </row>
    <row r="107" spans="1:11" ht="96" customHeight="1" x14ac:dyDescent="0.25">
      <c r="A107" s="2" t="s">
        <v>492</v>
      </c>
      <c r="B107" s="9" t="s">
        <v>493</v>
      </c>
      <c r="C107" s="4" t="s">
        <v>494</v>
      </c>
      <c r="D107" s="4" t="s">
        <v>495</v>
      </c>
      <c r="E107" s="4" t="s">
        <v>268</v>
      </c>
      <c r="F107" s="4" t="s">
        <v>496</v>
      </c>
      <c r="G107" s="5" t="s">
        <v>17</v>
      </c>
      <c r="H107" s="4" t="s">
        <v>497</v>
      </c>
      <c r="I107" s="4" t="s">
        <v>498</v>
      </c>
      <c r="J107" s="6">
        <v>12</v>
      </c>
      <c r="K107" s="4" t="s">
        <v>20</v>
      </c>
    </row>
    <row r="108" spans="1:11" ht="96" customHeight="1" x14ac:dyDescent="0.25">
      <c r="A108" s="2" t="s">
        <v>499</v>
      </c>
      <c r="B108" s="9" t="s">
        <v>493</v>
      </c>
      <c r="C108" s="4" t="s">
        <v>494</v>
      </c>
      <c r="D108" s="4" t="s">
        <v>500</v>
      </c>
      <c r="E108" s="4" t="s">
        <v>268</v>
      </c>
      <c r="F108" s="4" t="s">
        <v>496</v>
      </c>
      <c r="G108" s="5" t="s">
        <v>17</v>
      </c>
      <c r="H108" s="4" t="s">
        <v>501</v>
      </c>
      <c r="I108" s="4" t="s">
        <v>502</v>
      </c>
      <c r="J108" s="6">
        <v>12</v>
      </c>
      <c r="K108" s="4" t="s">
        <v>20</v>
      </c>
    </row>
    <row r="109" spans="1:11" ht="96" customHeight="1" x14ac:dyDescent="0.25">
      <c r="A109" s="2" t="s">
        <v>503</v>
      </c>
      <c r="B109" s="9" t="s">
        <v>493</v>
      </c>
      <c r="C109" s="4" t="s">
        <v>494</v>
      </c>
      <c r="D109" s="4" t="s">
        <v>504</v>
      </c>
      <c r="E109" s="4" t="s">
        <v>268</v>
      </c>
      <c r="F109" s="4" t="s">
        <v>505</v>
      </c>
      <c r="G109" s="5" t="s">
        <v>17</v>
      </c>
      <c r="H109" s="4" t="s">
        <v>506</v>
      </c>
      <c r="I109" s="4" t="s">
        <v>507</v>
      </c>
      <c r="J109" s="6">
        <v>12</v>
      </c>
      <c r="K109" s="4" t="s">
        <v>20</v>
      </c>
    </row>
    <row r="110" spans="1:11" ht="96" customHeight="1" x14ac:dyDescent="0.25">
      <c r="A110" s="2" t="s">
        <v>508</v>
      </c>
      <c r="B110" s="9" t="s">
        <v>493</v>
      </c>
      <c r="C110" s="4" t="s">
        <v>494</v>
      </c>
      <c r="D110" s="4" t="s">
        <v>509</v>
      </c>
      <c r="E110" s="4" t="s">
        <v>268</v>
      </c>
      <c r="F110" s="4" t="s">
        <v>510</v>
      </c>
      <c r="G110" s="5" t="s">
        <v>17</v>
      </c>
      <c r="H110" s="4" t="s">
        <v>511</v>
      </c>
      <c r="I110" s="4" t="s">
        <v>512</v>
      </c>
      <c r="J110" s="6">
        <v>12</v>
      </c>
      <c r="K110" s="4" t="s">
        <v>20</v>
      </c>
    </row>
    <row r="111" spans="1:11" ht="96" customHeight="1" x14ac:dyDescent="0.25">
      <c r="A111" s="2" t="s">
        <v>513</v>
      </c>
      <c r="B111" s="9" t="s">
        <v>493</v>
      </c>
      <c r="C111" s="4" t="s">
        <v>494</v>
      </c>
      <c r="D111" s="4" t="s">
        <v>514</v>
      </c>
      <c r="E111" s="4" t="s">
        <v>268</v>
      </c>
      <c r="F111" s="4" t="s">
        <v>510</v>
      </c>
      <c r="G111" s="5" t="s">
        <v>17</v>
      </c>
      <c r="H111" s="4" t="s">
        <v>515</v>
      </c>
      <c r="I111" s="4" t="s">
        <v>516</v>
      </c>
      <c r="J111" s="6">
        <v>12</v>
      </c>
      <c r="K111" s="4" t="s">
        <v>20</v>
      </c>
    </row>
    <row r="112" spans="1:11" ht="96" customHeight="1" x14ac:dyDescent="0.25">
      <c r="A112" s="2" t="s">
        <v>517</v>
      </c>
      <c r="B112" s="9" t="s">
        <v>493</v>
      </c>
      <c r="C112" s="4" t="s">
        <v>494</v>
      </c>
      <c r="D112" s="4" t="s">
        <v>518</v>
      </c>
      <c r="E112" s="4" t="s">
        <v>268</v>
      </c>
      <c r="F112" s="4" t="s">
        <v>510</v>
      </c>
      <c r="G112" s="7" t="s">
        <v>36</v>
      </c>
      <c r="H112" s="4" t="s">
        <v>519</v>
      </c>
      <c r="I112" s="4" t="s">
        <v>520</v>
      </c>
      <c r="J112" s="6">
        <v>12</v>
      </c>
      <c r="K112" s="4" t="s">
        <v>20</v>
      </c>
    </row>
    <row r="113" spans="1:11" ht="96" customHeight="1" x14ac:dyDescent="0.25">
      <c r="A113" s="2" t="s">
        <v>521</v>
      </c>
      <c r="B113" s="9" t="s">
        <v>493</v>
      </c>
      <c r="C113" s="4" t="s">
        <v>494</v>
      </c>
      <c r="D113" s="4" t="s">
        <v>522</v>
      </c>
      <c r="E113" s="4" t="s">
        <v>268</v>
      </c>
      <c r="F113" s="4" t="s">
        <v>496</v>
      </c>
      <c r="G113" s="5" t="s">
        <v>17</v>
      </c>
      <c r="H113" s="4" t="s">
        <v>523</v>
      </c>
      <c r="I113" s="4" t="s">
        <v>524</v>
      </c>
      <c r="J113" s="6">
        <v>12</v>
      </c>
      <c r="K113" s="4" t="s">
        <v>20</v>
      </c>
    </row>
    <row r="114" spans="1:11" ht="96" customHeight="1" x14ac:dyDescent="0.25">
      <c r="A114" s="2" t="s">
        <v>525</v>
      </c>
      <c r="B114" s="9" t="s">
        <v>493</v>
      </c>
      <c r="C114" s="4" t="s">
        <v>494</v>
      </c>
      <c r="D114" s="4" t="s">
        <v>526</v>
      </c>
      <c r="E114" s="4" t="s">
        <v>34</v>
      </c>
      <c r="F114" s="4" t="s">
        <v>496</v>
      </c>
      <c r="G114" s="7" t="s">
        <v>36</v>
      </c>
      <c r="H114" s="4" t="s">
        <v>527</v>
      </c>
      <c r="I114" s="4" t="s">
        <v>528</v>
      </c>
      <c r="J114" s="6">
        <v>10</v>
      </c>
      <c r="K114" s="4" t="s">
        <v>20</v>
      </c>
    </row>
    <row r="115" spans="1:11" ht="96" customHeight="1" x14ac:dyDescent="0.25">
      <c r="A115" s="2" t="s">
        <v>529</v>
      </c>
      <c r="B115" s="9" t="s">
        <v>493</v>
      </c>
      <c r="C115" s="4" t="s">
        <v>494</v>
      </c>
      <c r="D115" s="4" t="s">
        <v>530</v>
      </c>
      <c r="E115" s="4" t="s">
        <v>268</v>
      </c>
      <c r="F115" s="4" t="s">
        <v>510</v>
      </c>
      <c r="G115" s="8" t="s">
        <v>42</v>
      </c>
      <c r="H115" s="4" t="s">
        <v>531</v>
      </c>
      <c r="I115" s="4" t="s">
        <v>532</v>
      </c>
      <c r="J115" s="6">
        <v>10</v>
      </c>
      <c r="K115" s="4" t="s">
        <v>20</v>
      </c>
    </row>
    <row r="116" spans="1:11" ht="96" customHeight="1" x14ac:dyDescent="0.25">
      <c r="A116" s="2" t="s">
        <v>533</v>
      </c>
      <c r="B116" s="9" t="s">
        <v>493</v>
      </c>
      <c r="C116" s="4" t="s">
        <v>494</v>
      </c>
      <c r="D116" s="4" t="s">
        <v>534</v>
      </c>
      <c r="E116" s="4" t="s">
        <v>268</v>
      </c>
      <c r="F116" s="4" t="s">
        <v>259</v>
      </c>
      <c r="G116" s="10" t="s">
        <v>535</v>
      </c>
      <c r="H116" s="4" t="s">
        <v>536</v>
      </c>
      <c r="I116" s="4" t="s">
        <v>537</v>
      </c>
      <c r="J116" s="6">
        <v>3</v>
      </c>
      <c r="K116" s="4" t="s">
        <v>20</v>
      </c>
    </row>
    <row r="117" spans="1:11" ht="96" customHeight="1" x14ac:dyDescent="0.25">
      <c r="A117" s="2" t="s">
        <v>538</v>
      </c>
      <c r="B117" s="9" t="s">
        <v>493</v>
      </c>
      <c r="C117" s="4" t="s">
        <v>494</v>
      </c>
      <c r="D117" s="4" t="s">
        <v>539</v>
      </c>
      <c r="E117" s="4" t="s">
        <v>268</v>
      </c>
      <c r="F117" s="4" t="s">
        <v>259</v>
      </c>
      <c r="G117" s="7" t="s">
        <v>36</v>
      </c>
      <c r="H117" s="4" t="s">
        <v>540</v>
      </c>
      <c r="I117" s="4" t="s">
        <v>541</v>
      </c>
      <c r="J117" s="6">
        <v>12</v>
      </c>
      <c r="K117" s="4" t="s">
        <v>20</v>
      </c>
    </row>
    <row r="118" spans="1:11" ht="96" customHeight="1" x14ac:dyDescent="0.25">
      <c r="A118" s="2" t="s">
        <v>542</v>
      </c>
      <c r="B118" s="9" t="s">
        <v>493</v>
      </c>
      <c r="C118" s="4" t="s">
        <v>543</v>
      </c>
      <c r="D118" s="4" t="s">
        <v>544</v>
      </c>
      <c r="E118" s="4" t="s">
        <v>268</v>
      </c>
      <c r="F118" s="4" t="s">
        <v>545</v>
      </c>
      <c r="G118" s="5" t="s">
        <v>17</v>
      </c>
      <c r="H118" s="4" t="s">
        <v>546</v>
      </c>
      <c r="I118" s="4" t="s">
        <v>547</v>
      </c>
      <c r="J118" s="6">
        <v>12</v>
      </c>
      <c r="K118" s="4" t="s">
        <v>20</v>
      </c>
    </row>
    <row r="119" spans="1:11" ht="96" customHeight="1" x14ac:dyDescent="0.25">
      <c r="A119" s="2" t="s">
        <v>548</v>
      </c>
      <c r="B119" s="9" t="s">
        <v>493</v>
      </c>
      <c r="C119" s="4" t="s">
        <v>543</v>
      </c>
      <c r="D119" s="4" t="s">
        <v>549</v>
      </c>
      <c r="E119" s="4" t="s">
        <v>268</v>
      </c>
      <c r="F119" s="4" t="s">
        <v>545</v>
      </c>
      <c r="G119" s="5" t="s">
        <v>17</v>
      </c>
      <c r="H119" s="4" t="s">
        <v>550</v>
      </c>
      <c r="I119" s="4" t="s">
        <v>551</v>
      </c>
      <c r="J119" s="6">
        <v>12</v>
      </c>
      <c r="K119" s="4" t="s">
        <v>20</v>
      </c>
    </row>
    <row r="120" spans="1:11" ht="96" customHeight="1" x14ac:dyDescent="0.25">
      <c r="A120" s="2" t="s">
        <v>552</v>
      </c>
      <c r="B120" s="9" t="s">
        <v>493</v>
      </c>
      <c r="C120" s="4" t="s">
        <v>543</v>
      </c>
      <c r="D120" s="4" t="s">
        <v>553</v>
      </c>
      <c r="E120" s="4" t="s">
        <v>268</v>
      </c>
      <c r="F120" s="4" t="s">
        <v>545</v>
      </c>
      <c r="G120" s="7" t="s">
        <v>36</v>
      </c>
      <c r="H120" s="4" t="s">
        <v>554</v>
      </c>
      <c r="I120" s="4" t="s">
        <v>555</v>
      </c>
      <c r="J120" s="6">
        <v>12</v>
      </c>
      <c r="K120" s="4" t="s">
        <v>20</v>
      </c>
    </row>
    <row r="121" spans="1:11" ht="96" customHeight="1" x14ac:dyDescent="0.25">
      <c r="A121" s="2" t="s">
        <v>556</v>
      </c>
      <c r="B121" s="9" t="s">
        <v>493</v>
      </c>
      <c r="C121" s="4" t="s">
        <v>543</v>
      </c>
      <c r="D121" s="4" t="s">
        <v>557</v>
      </c>
      <c r="E121" s="4" t="s">
        <v>268</v>
      </c>
      <c r="F121" s="4" t="s">
        <v>558</v>
      </c>
      <c r="G121" s="5" t="s">
        <v>17</v>
      </c>
      <c r="H121" s="4" t="s">
        <v>559</v>
      </c>
      <c r="I121" s="4" t="s">
        <v>560</v>
      </c>
      <c r="J121" s="6">
        <v>6</v>
      </c>
      <c r="K121" s="4" t="s">
        <v>20</v>
      </c>
    </row>
    <row r="122" spans="1:11" ht="96" customHeight="1" x14ac:dyDescent="0.25">
      <c r="A122" s="2" t="s">
        <v>561</v>
      </c>
      <c r="B122" s="9" t="s">
        <v>493</v>
      </c>
      <c r="C122" s="4" t="s">
        <v>543</v>
      </c>
      <c r="D122" s="4" t="s">
        <v>562</v>
      </c>
      <c r="E122" s="4" t="s">
        <v>268</v>
      </c>
      <c r="F122" s="4" t="s">
        <v>558</v>
      </c>
      <c r="G122" s="5" t="s">
        <v>17</v>
      </c>
      <c r="H122" s="4" t="s">
        <v>563</v>
      </c>
      <c r="I122" s="4" t="s">
        <v>564</v>
      </c>
      <c r="J122" s="6">
        <v>8</v>
      </c>
      <c r="K122" s="4" t="s">
        <v>20</v>
      </c>
    </row>
    <row r="123" spans="1:11" ht="96" customHeight="1" x14ac:dyDescent="0.25">
      <c r="A123" s="2" t="s">
        <v>565</v>
      </c>
      <c r="B123" s="9" t="s">
        <v>493</v>
      </c>
      <c r="C123" s="4" t="s">
        <v>543</v>
      </c>
      <c r="D123" s="4" t="s">
        <v>566</v>
      </c>
      <c r="E123" s="4" t="s">
        <v>268</v>
      </c>
      <c r="F123" s="4" t="s">
        <v>567</v>
      </c>
      <c r="G123" s="5" t="s">
        <v>17</v>
      </c>
      <c r="H123" s="4" t="s">
        <v>568</v>
      </c>
      <c r="I123" s="4" t="s">
        <v>569</v>
      </c>
      <c r="J123" s="6">
        <v>8</v>
      </c>
      <c r="K123" s="4" t="s">
        <v>20</v>
      </c>
    </row>
    <row r="124" spans="1:11" ht="96" customHeight="1" x14ac:dyDescent="0.25">
      <c r="A124" s="2" t="s">
        <v>570</v>
      </c>
      <c r="B124" s="9" t="s">
        <v>493</v>
      </c>
      <c r="C124" s="4" t="s">
        <v>543</v>
      </c>
      <c r="D124" s="4" t="s">
        <v>571</v>
      </c>
      <c r="E124" s="4" t="s">
        <v>268</v>
      </c>
      <c r="F124" s="4" t="s">
        <v>567</v>
      </c>
      <c r="G124" s="5" t="s">
        <v>17</v>
      </c>
      <c r="H124" s="4" t="s">
        <v>572</v>
      </c>
      <c r="I124" s="4" t="s">
        <v>573</v>
      </c>
      <c r="J124" s="6">
        <v>6</v>
      </c>
      <c r="K124" s="4" t="s">
        <v>20</v>
      </c>
    </row>
    <row r="125" spans="1:11" ht="96" customHeight="1" x14ac:dyDescent="0.25">
      <c r="A125" s="2" t="s">
        <v>574</v>
      </c>
      <c r="B125" s="9" t="s">
        <v>493</v>
      </c>
      <c r="C125" s="4" t="s">
        <v>543</v>
      </c>
      <c r="D125" s="4" t="s">
        <v>575</v>
      </c>
      <c r="E125" s="4" t="s">
        <v>79</v>
      </c>
      <c r="F125" s="4" t="s">
        <v>576</v>
      </c>
      <c r="G125" s="7" t="s">
        <v>36</v>
      </c>
      <c r="H125" s="4" t="s">
        <v>577</v>
      </c>
      <c r="I125" s="4" t="s">
        <v>578</v>
      </c>
      <c r="J125" s="6">
        <v>12</v>
      </c>
      <c r="K125" s="4" t="s">
        <v>20</v>
      </c>
    </row>
    <row r="126" spans="1:11" ht="96" customHeight="1" x14ac:dyDescent="0.25">
      <c r="A126" s="2" t="s">
        <v>579</v>
      </c>
      <c r="B126" s="9" t="s">
        <v>493</v>
      </c>
      <c r="C126" s="4" t="s">
        <v>543</v>
      </c>
      <c r="D126" s="4" t="s">
        <v>580</v>
      </c>
      <c r="E126" s="4" t="s">
        <v>79</v>
      </c>
      <c r="F126" s="4" t="s">
        <v>576</v>
      </c>
      <c r="G126" s="5" t="s">
        <v>17</v>
      </c>
      <c r="H126" s="4" t="s">
        <v>581</v>
      </c>
      <c r="I126" s="4" t="s">
        <v>582</v>
      </c>
      <c r="J126" s="6">
        <v>12</v>
      </c>
      <c r="K126" s="4" t="s">
        <v>20</v>
      </c>
    </row>
    <row r="127" spans="1:11" ht="96" customHeight="1" x14ac:dyDescent="0.25">
      <c r="A127" s="2" t="s">
        <v>583</v>
      </c>
      <c r="B127" s="9" t="s">
        <v>493</v>
      </c>
      <c r="C127" s="4" t="s">
        <v>543</v>
      </c>
      <c r="D127" s="4" t="s">
        <v>584</v>
      </c>
      <c r="E127" s="4" t="s">
        <v>23</v>
      </c>
      <c r="F127" s="4" t="s">
        <v>351</v>
      </c>
      <c r="G127" s="7" t="s">
        <v>36</v>
      </c>
      <c r="H127" s="4" t="s">
        <v>585</v>
      </c>
      <c r="I127" s="4" t="s">
        <v>586</v>
      </c>
      <c r="J127" s="6">
        <v>8</v>
      </c>
      <c r="K127" s="4" t="s">
        <v>20</v>
      </c>
    </row>
    <row r="128" spans="1:11" ht="96" customHeight="1" x14ac:dyDescent="0.25">
      <c r="A128" s="2" t="s">
        <v>587</v>
      </c>
      <c r="B128" s="9" t="s">
        <v>493</v>
      </c>
      <c r="C128" s="4" t="s">
        <v>543</v>
      </c>
      <c r="D128" s="4" t="s">
        <v>588</v>
      </c>
      <c r="E128" s="4" t="s">
        <v>23</v>
      </c>
      <c r="F128" s="4" t="s">
        <v>351</v>
      </c>
      <c r="G128" s="7" t="s">
        <v>36</v>
      </c>
      <c r="H128" s="4" t="s">
        <v>589</v>
      </c>
      <c r="I128" s="4" t="s">
        <v>590</v>
      </c>
      <c r="J128" s="6">
        <v>6</v>
      </c>
      <c r="K128" s="4" t="s">
        <v>20</v>
      </c>
    </row>
    <row r="129" spans="1:11" ht="96" customHeight="1" x14ac:dyDescent="0.25">
      <c r="A129" s="2" t="s">
        <v>591</v>
      </c>
      <c r="B129" s="9" t="s">
        <v>493</v>
      </c>
      <c r="C129" s="4" t="s">
        <v>543</v>
      </c>
      <c r="D129" s="4" t="s">
        <v>592</v>
      </c>
      <c r="E129" s="4" t="s">
        <v>88</v>
      </c>
      <c r="F129" s="4" t="s">
        <v>89</v>
      </c>
      <c r="G129" s="5" t="s">
        <v>17</v>
      </c>
      <c r="H129" s="4" t="s">
        <v>593</v>
      </c>
      <c r="I129" s="4" t="s">
        <v>594</v>
      </c>
      <c r="J129" s="6">
        <v>12</v>
      </c>
      <c r="K129" s="4" t="s">
        <v>20</v>
      </c>
    </row>
    <row r="130" spans="1:11" ht="96" customHeight="1" x14ac:dyDescent="0.25">
      <c r="A130" s="2" t="s">
        <v>595</v>
      </c>
      <c r="B130" s="10" t="s">
        <v>596</v>
      </c>
      <c r="C130" s="4" t="s">
        <v>597</v>
      </c>
      <c r="D130" s="4" t="s">
        <v>598</v>
      </c>
      <c r="E130" s="4" t="s">
        <v>65</v>
      </c>
      <c r="F130" s="4" t="s">
        <v>599</v>
      </c>
      <c r="G130" s="5" t="s">
        <v>17</v>
      </c>
      <c r="H130" s="4" t="s">
        <v>600</v>
      </c>
      <c r="I130" s="4" t="s">
        <v>601</v>
      </c>
      <c r="J130" s="6">
        <v>12</v>
      </c>
      <c r="K130" s="4" t="s">
        <v>20</v>
      </c>
    </row>
    <row r="131" spans="1:11" ht="96" customHeight="1" x14ac:dyDescent="0.25">
      <c r="A131" s="2" t="s">
        <v>602</v>
      </c>
      <c r="B131" s="10" t="s">
        <v>596</v>
      </c>
      <c r="C131" s="4" t="s">
        <v>597</v>
      </c>
      <c r="D131" s="4" t="s">
        <v>603</v>
      </c>
      <c r="E131" s="4" t="s">
        <v>34</v>
      </c>
      <c r="F131" s="4" t="s">
        <v>599</v>
      </c>
      <c r="G131" s="5" t="s">
        <v>17</v>
      </c>
      <c r="H131" s="4" t="s">
        <v>604</v>
      </c>
      <c r="I131" s="4" t="s">
        <v>605</v>
      </c>
      <c r="J131" s="6">
        <v>12</v>
      </c>
      <c r="K131" s="4" t="s">
        <v>20</v>
      </c>
    </row>
    <row r="132" spans="1:11" ht="96" customHeight="1" x14ac:dyDescent="0.25">
      <c r="A132" s="2" t="s">
        <v>606</v>
      </c>
      <c r="B132" s="10" t="s">
        <v>596</v>
      </c>
      <c r="C132" s="4" t="s">
        <v>597</v>
      </c>
      <c r="D132" s="4" t="s">
        <v>607</v>
      </c>
      <c r="E132" s="4" t="s">
        <v>65</v>
      </c>
      <c r="F132" s="4" t="s">
        <v>608</v>
      </c>
      <c r="G132" s="5" t="s">
        <v>17</v>
      </c>
      <c r="H132" s="4" t="s">
        <v>609</v>
      </c>
      <c r="I132" s="4" t="s">
        <v>610</v>
      </c>
      <c r="J132" s="6">
        <v>12</v>
      </c>
      <c r="K132" s="4" t="s">
        <v>20</v>
      </c>
    </row>
    <row r="133" spans="1:11" ht="96" customHeight="1" x14ac:dyDescent="0.25">
      <c r="A133" s="2" t="s">
        <v>611</v>
      </c>
      <c r="B133" s="10" t="s">
        <v>596</v>
      </c>
      <c r="C133" s="4" t="s">
        <v>597</v>
      </c>
      <c r="D133" s="4" t="s">
        <v>612</v>
      </c>
      <c r="E133" s="4" t="s">
        <v>34</v>
      </c>
      <c r="F133" s="4" t="s">
        <v>613</v>
      </c>
      <c r="G133" s="7" t="s">
        <v>36</v>
      </c>
      <c r="H133" s="4" t="s">
        <v>614</v>
      </c>
      <c r="I133" s="4" t="s">
        <v>615</v>
      </c>
      <c r="J133" s="6">
        <v>12</v>
      </c>
      <c r="K133" s="4" t="s">
        <v>20</v>
      </c>
    </row>
    <row r="134" spans="1:11" ht="96" customHeight="1" x14ac:dyDescent="0.25">
      <c r="A134" s="2" t="s">
        <v>616</v>
      </c>
      <c r="B134" s="10" t="s">
        <v>596</v>
      </c>
      <c r="C134" s="4" t="s">
        <v>597</v>
      </c>
      <c r="D134" s="4" t="s">
        <v>617</v>
      </c>
      <c r="E134" s="4" t="s">
        <v>28</v>
      </c>
      <c r="F134" s="4" t="s">
        <v>613</v>
      </c>
      <c r="G134" s="7" t="s">
        <v>36</v>
      </c>
      <c r="H134" s="4" t="s">
        <v>618</v>
      </c>
      <c r="I134" s="4" t="s">
        <v>619</v>
      </c>
      <c r="J134" s="6">
        <v>12</v>
      </c>
      <c r="K134" s="4" t="s">
        <v>20</v>
      </c>
    </row>
    <row r="135" spans="1:11" ht="96" customHeight="1" x14ac:dyDescent="0.25">
      <c r="A135" s="2" t="s">
        <v>620</v>
      </c>
      <c r="B135" s="10" t="s">
        <v>596</v>
      </c>
      <c r="C135" s="4" t="s">
        <v>597</v>
      </c>
      <c r="D135" s="4" t="s">
        <v>621</v>
      </c>
      <c r="E135" s="4" t="s">
        <v>23</v>
      </c>
      <c r="F135" s="4" t="s">
        <v>622</v>
      </c>
      <c r="G135" s="7" t="s">
        <v>36</v>
      </c>
      <c r="H135" s="4" t="s">
        <v>623</v>
      </c>
      <c r="I135" s="4" t="s">
        <v>624</v>
      </c>
      <c r="J135" s="6">
        <v>12</v>
      </c>
      <c r="K135" s="4" t="s">
        <v>20</v>
      </c>
    </row>
    <row r="136" spans="1:11" ht="96" customHeight="1" x14ac:dyDescent="0.25">
      <c r="A136" s="2" t="s">
        <v>625</v>
      </c>
      <c r="B136" s="10" t="s">
        <v>596</v>
      </c>
      <c r="C136" s="4" t="s">
        <v>597</v>
      </c>
      <c r="D136" s="4" t="s">
        <v>626</v>
      </c>
      <c r="E136" s="4" t="s">
        <v>268</v>
      </c>
      <c r="F136" s="4" t="s">
        <v>627</v>
      </c>
      <c r="G136" s="7" t="s">
        <v>36</v>
      </c>
      <c r="H136" s="4" t="s">
        <v>628</v>
      </c>
      <c r="I136" s="4" t="s">
        <v>629</v>
      </c>
      <c r="J136" s="6">
        <v>12</v>
      </c>
      <c r="K136" s="4" t="s">
        <v>20</v>
      </c>
    </row>
    <row r="137" spans="1:11" ht="96" customHeight="1" x14ac:dyDescent="0.25">
      <c r="A137" s="2" t="s">
        <v>630</v>
      </c>
      <c r="B137" s="10" t="s">
        <v>596</v>
      </c>
      <c r="C137" s="4" t="s">
        <v>597</v>
      </c>
      <c r="D137" s="4" t="s">
        <v>631</v>
      </c>
      <c r="E137" s="4" t="s">
        <v>268</v>
      </c>
      <c r="F137" s="4" t="s">
        <v>558</v>
      </c>
      <c r="G137" s="7" t="s">
        <v>36</v>
      </c>
      <c r="H137" s="4" t="s">
        <v>632</v>
      </c>
      <c r="I137" s="4" t="s">
        <v>633</v>
      </c>
      <c r="J137" s="6">
        <v>12</v>
      </c>
      <c r="K137" s="4" t="s">
        <v>20</v>
      </c>
    </row>
    <row r="138" spans="1:11" ht="96" customHeight="1" x14ac:dyDescent="0.25">
      <c r="A138" s="2" t="s">
        <v>634</v>
      </c>
      <c r="B138" s="10" t="s">
        <v>596</v>
      </c>
      <c r="C138" s="4" t="s">
        <v>635</v>
      </c>
      <c r="D138" s="4" t="s">
        <v>636</v>
      </c>
      <c r="E138" s="4" t="s">
        <v>28</v>
      </c>
      <c r="F138" s="4" t="s">
        <v>637</v>
      </c>
      <c r="G138" s="5" t="s">
        <v>17</v>
      </c>
      <c r="H138" s="4" t="s">
        <v>638</v>
      </c>
      <c r="I138" s="4" t="s">
        <v>639</v>
      </c>
      <c r="J138" s="6">
        <v>12</v>
      </c>
      <c r="K138" s="4" t="s">
        <v>20</v>
      </c>
    </row>
    <row r="139" spans="1:11" ht="96" customHeight="1" x14ac:dyDescent="0.25">
      <c r="A139" s="2" t="s">
        <v>640</v>
      </c>
      <c r="B139" s="10" t="s">
        <v>596</v>
      </c>
      <c r="C139" s="4" t="s">
        <v>635</v>
      </c>
      <c r="D139" s="4" t="s">
        <v>641</v>
      </c>
      <c r="E139" s="4" t="s">
        <v>28</v>
      </c>
      <c r="F139" s="4" t="s">
        <v>642</v>
      </c>
      <c r="G139" s="5" t="s">
        <v>17</v>
      </c>
      <c r="H139" s="4" t="s">
        <v>643</v>
      </c>
      <c r="I139" s="4" t="s">
        <v>644</v>
      </c>
      <c r="J139" s="6">
        <v>12</v>
      </c>
      <c r="K139" s="4" t="s">
        <v>20</v>
      </c>
    </row>
    <row r="140" spans="1:11" ht="96" customHeight="1" x14ac:dyDescent="0.25">
      <c r="A140" s="2" t="s">
        <v>645</v>
      </c>
      <c r="B140" s="10" t="s">
        <v>596</v>
      </c>
      <c r="C140" s="4" t="s">
        <v>635</v>
      </c>
      <c r="D140" s="4" t="s">
        <v>646</v>
      </c>
      <c r="E140" s="4" t="s">
        <v>65</v>
      </c>
      <c r="F140" s="4" t="s">
        <v>434</v>
      </c>
      <c r="G140" s="7" t="s">
        <v>36</v>
      </c>
      <c r="H140" s="4" t="s">
        <v>647</v>
      </c>
      <c r="I140" s="4" t="s">
        <v>648</v>
      </c>
      <c r="J140" s="6">
        <v>12</v>
      </c>
      <c r="K140" s="4" t="s">
        <v>20</v>
      </c>
    </row>
    <row r="141" spans="1:11" ht="96" customHeight="1" x14ac:dyDescent="0.25">
      <c r="A141" s="2" t="s">
        <v>649</v>
      </c>
      <c r="B141" s="10" t="s">
        <v>596</v>
      </c>
      <c r="C141" s="4" t="s">
        <v>635</v>
      </c>
      <c r="D141" s="4" t="s">
        <v>650</v>
      </c>
      <c r="E141" s="4" t="s">
        <v>28</v>
      </c>
      <c r="F141" s="4" t="s">
        <v>434</v>
      </c>
      <c r="G141" s="5" t="s">
        <v>17</v>
      </c>
      <c r="H141" s="4" t="s">
        <v>651</v>
      </c>
      <c r="I141" s="4" t="s">
        <v>652</v>
      </c>
      <c r="J141" s="6">
        <v>12</v>
      </c>
      <c r="K141" s="4" t="s">
        <v>20</v>
      </c>
    </row>
    <row r="142" spans="1:11" ht="96" customHeight="1" x14ac:dyDescent="0.25">
      <c r="A142" s="2" t="s">
        <v>653</v>
      </c>
      <c r="B142" s="10" t="s">
        <v>596</v>
      </c>
      <c r="C142" s="4" t="s">
        <v>635</v>
      </c>
      <c r="D142" s="4" t="s">
        <v>654</v>
      </c>
      <c r="E142" s="4" t="s">
        <v>28</v>
      </c>
      <c r="F142" s="4" t="s">
        <v>429</v>
      </c>
      <c r="G142" s="7" t="s">
        <v>36</v>
      </c>
      <c r="H142" s="4" t="s">
        <v>655</v>
      </c>
      <c r="I142" s="4" t="s">
        <v>656</v>
      </c>
      <c r="J142" s="6">
        <v>12</v>
      </c>
      <c r="K142" s="4" t="s">
        <v>20</v>
      </c>
    </row>
    <row r="143" spans="1:11" ht="96" customHeight="1" x14ac:dyDescent="0.25">
      <c r="A143" s="2" t="s">
        <v>657</v>
      </c>
      <c r="B143" s="10" t="s">
        <v>596</v>
      </c>
      <c r="C143" s="4" t="s">
        <v>635</v>
      </c>
      <c r="D143" s="4" t="s">
        <v>658</v>
      </c>
      <c r="E143" s="4" t="s">
        <v>65</v>
      </c>
      <c r="F143" s="4" t="s">
        <v>659</v>
      </c>
      <c r="G143" s="5" t="s">
        <v>17</v>
      </c>
      <c r="H143" s="4" t="s">
        <v>660</v>
      </c>
      <c r="I143" s="4" t="s">
        <v>661</v>
      </c>
      <c r="J143" s="6">
        <v>12</v>
      </c>
      <c r="K143" s="4" t="s">
        <v>20</v>
      </c>
    </row>
    <row r="144" spans="1:11" ht="96" customHeight="1" x14ac:dyDescent="0.25">
      <c r="A144" s="2" t="s">
        <v>662</v>
      </c>
      <c r="B144" s="10" t="s">
        <v>596</v>
      </c>
      <c r="C144" s="4" t="s">
        <v>635</v>
      </c>
      <c r="D144" s="4" t="s">
        <v>663</v>
      </c>
      <c r="E144" s="4" t="s">
        <v>65</v>
      </c>
      <c r="F144" s="4" t="s">
        <v>664</v>
      </c>
      <c r="G144" s="7" t="s">
        <v>36</v>
      </c>
      <c r="H144" s="4" t="s">
        <v>665</v>
      </c>
      <c r="I144" s="4" t="s">
        <v>666</v>
      </c>
      <c r="J144" s="6">
        <v>12</v>
      </c>
      <c r="K144" s="4" t="s">
        <v>20</v>
      </c>
    </row>
    <row r="145" spans="1:11" ht="96" customHeight="1" x14ac:dyDescent="0.25">
      <c r="A145" s="2" t="s">
        <v>667</v>
      </c>
      <c r="B145" s="10" t="s">
        <v>596</v>
      </c>
      <c r="C145" s="4" t="s">
        <v>635</v>
      </c>
      <c r="D145" s="4" t="s">
        <v>668</v>
      </c>
      <c r="E145" s="4" t="s">
        <v>249</v>
      </c>
      <c r="F145" s="4" t="s">
        <v>250</v>
      </c>
      <c r="G145" s="8" t="s">
        <v>42</v>
      </c>
      <c r="H145" s="4" t="s">
        <v>669</v>
      </c>
      <c r="I145" s="4" t="s">
        <v>670</v>
      </c>
      <c r="J145" s="6">
        <v>12</v>
      </c>
      <c r="K145" s="4" t="s">
        <v>20</v>
      </c>
    </row>
    <row r="146" spans="1:11" ht="96" customHeight="1" x14ac:dyDescent="0.25">
      <c r="A146" s="2" t="s">
        <v>671</v>
      </c>
      <c r="B146" s="10" t="s">
        <v>596</v>
      </c>
      <c r="C146" s="4" t="s">
        <v>635</v>
      </c>
      <c r="D146" s="4" t="s">
        <v>672</v>
      </c>
      <c r="E146" s="4" t="s">
        <v>15</v>
      </c>
      <c r="F146" s="4" t="s">
        <v>485</v>
      </c>
      <c r="G146" s="5" t="s">
        <v>17</v>
      </c>
      <c r="H146" s="4" t="s">
        <v>673</v>
      </c>
      <c r="I146" s="4" t="s">
        <v>674</v>
      </c>
      <c r="J146" s="6">
        <v>12</v>
      </c>
      <c r="K146" s="4" t="s">
        <v>20</v>
      </c>
    </row>
  </sheetData>
  <autoFilter ref="A1:K146"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11" t="s">
        <v>2</v>
      </c>
      <c r="B1" s="11" t="s">
        <v>675</v>
      </c>
      <c r="C1" s="11" t="s">
        <v>676</v>
      </c>
      <c r="D1" s="11" t="s">
        <v>677</v>
      </c>
      <c r="E1" s="11" t="s">
        <v>678</v>
      </c>
      <c r="F1" s="11" t="s">
        <v>9</v>
      </c>
    </row>
    <row r="2" spans="1:6" ht="60" customHeight="1" x14ac:dyDescent="0.25">
      <c r="A2" s="4" t="s">
        <v>13</v>
      </c>
      <c r="B2" s="12" t="s">
        <v>12</v>
      </c>
      <c r="C2" s="4" t="s">
        <v>679</v>
      </c>
      <c r="D2" s="4" t="s">
        <v>680</v>
      </c>
      <c r="E2" s="4">
        <f>COUNTIF(Backlog!C:C,A2)</f>
        <v>15</v>
      </c>
      <c r="F2" s="4">
        <f>SUMIF(Backlog!C:C,A2,Backlog!J:J)</f>
        <v>98</v>
      </c>
    </row>
    <row r="3" spans="1:6" ht="60" customHeight="1" x14ac:dyDescent="0.25">
      <c r="A3" s="4" t="s">
        <v>93</v>
      </c>
      <c r="B3" s="12" t="s">
        <v>12</v>
      </c>
      <c r="C3" s="4" t="s">
        <v>681</v>
      </c>
      <c r="D3" s="4" t="s">
        <v>682</v>
      </c>
      <c r="E3" s="4">
        <f>COUNTIF(Backlog!C:C,A3)</f>
        <v>9</v>
      </c>
      <c r="F3" s="4">
        <f>SUMIF(Backlog!C:C,A3,Backlog!J:J)</f>
        <v>89</v>
      </c>
    </row>
    <row r="4" spans="1:6" ht="60" customHeight="1" x14ac:dyDescent="0.25">
      <c r="A4" s="4" t="s">
        <v>134</v>
      </c>
      <c r="B4" s="12" t="s">
        <v>12</v>
      </c>
      <c r="C4" s="4" t="s">
        <v>683</v>
      </c>
      <c r="D4" s="4" t="s">
        <v>684</v>
      </c>
      <c r="E4" s="4">
        <f>COUNTIF(Backlog!C:C,A4)</f>
        <v>12</v>
      </c>
      <c r="F4" s="4">
        <f>SUMIF(Backlog!C:C,A4,Backlog!J:J)</f>
        <v>84</v>
      </c>
    </row>
    <row r="5" spans="1:6" ht="60" customHeight="1" x14ac:dyDescent="0.25">
      <c r="A5" s="4" t="s">
        <v>184</v>
      </c>
      <c r="B5" s="12" t="s">
        <v>12</v>
      </c>
      <c r="C5" s="4" t="s">
        <v>685</v>
      </c>
      <c r="D5" s="4" t="s">
        <v>686</v>
      </c>
      <c r="E5" s="4">
        <f>COUNTIF(Backlog!C:C,A5)</f>
        <v>14</v>
      </c>
      <c r="F5" s="4">
        <f>SUMIF(Backlog!C:C,A5,Backlog!J:J)</f>
        <v>98</v>
      </c>
    </row>
    <row r="6" spans="1:6" ht="60" customHeight="1" x14ac:dyDescent="0.25">
      <c r="A6" s="4" t="s">
        <v>247</v>
      </c>
      <c r="B6" s="12" t="s">
        <v>12</v>
      </c>
      <c r="C6" s="4" t="s">
        <v>687</v>
      </c>
      <c r="D6" s="4" t="s">
        <v>688</v>
      </c>
      <c r="E6" s="4">
        <f>COUNTIF(Backlog!C:C,A6)</f>
        <v>15</v>
      </c>
      <c r="F6" s="4">
        <f>SUMIF(Backlog!C:C,A6,Backlog!J:J)</f>
        <v>83</v>
      </c>
    </row>
    <row r="7" spans="1:6" ht="60" customHeight="1" x14ac:dyDescent="0.25">
      <c r="A7" s="4" t="s">
        <v>317</v>
      </c>
      <c r="B7" s="13" t="s">
        <v>316</v>
      </c>
      <c r="C7" s="4" t="s">
        <v>689</v>
      </c>
      <c r="D7" s="4" t="s">
        <v>690</v>
      </c>
      <c r="E7" s="4">
        <f>COUNTIF(Backlog!C:C,A7)</f>
        <v>10</v>
      </c>
      <c r="F7" s="4">
        <f>SUMIF(Backlog!C:C,A7,Backlog!J:J)</f>
        <v>100</v>
      </c>
    </row>
    <row r="8" spans="1:6" ht="60" customHeight="1" x14ac:dyDescent="0.25">
      <c r="A8" s="4" t="s">
        <v>359</v>
      </c>
      <c r="B8" s="13" t="s">
        <v>316</v>
      </c>
      <c r="C8" s="4" t="s">
        <v>691</v>
      </c>
      <c r="D8" s="4" t="s">
        <v>692</v>
      </c>
      <c r="E8" s="4">
        <f>COUNTIF(Backlog!C:C,A8)</f>
        <v>11</v>
      </c>
      <c r="F8" s="4">
        <f>SUMIF(Backlog!C:C,A8,Backlog!J:J)</f>
        <v>92</v>
      </c>
    </row>
    <row r="9" spans="1:6" ht="60" customHeight="1" x14ac:dyDescent="0.25">
      <c r="A9" s="4" t="s">
        <v>406</v>
      </c>
      <c r="B9" s="13" t="s">
        <v>316</v>
      </c>
      <c r="C9" s="4" t="s">
        <v>693</v>
      </c>
      <c r="D9" s="4" t="s">
        <v>694</v>
      </c>
      <c r="E9" s="4">
        <f>COUNTIF(Backlog!C:C,A9)</f>
        <v>9</v>
      </c>
      <c r="F9" s="4">
        <f>SUMIF(Backlog!C:C,A9,Backlog!J:J)</f>
        <v>88</v>
      </c>
    </row>
    <row r="10" spans="1:6" ht="60" customHeight="1" x14ac:dyDescent="0.25">
      <c r="A10" s="4" t="s">
        <v>446</v>
      </c>
      <c r="B10" s="13" t="s">
        <v>316</v>
      </c>
      <c r="C10" s="4" t="s">
        <v>695</v>
      </c>
      <c r="D10" s="4" t="s">
        <v>696</v>
      </c>
      <c r="E10" s="4">
        <f>COUNTIF(Backlog!C:C,A10)</f>
        <v>10</v>
      </c>
      <c r="F10" s="4">
        <f>SUMIF(Backlog!C:C,A10,Backlog!J:J)</f>
        <v>120</v>
      </c>
    </row>
    <row r="11" spans="1:6" ht="60" customHeight="1" x14ac:dyDescent="0.25">
      <c r="A11" s="4" t="s">
        <v>494</v>
      </c>
      <c r="B11" s="14" t="s">
        <v>493</v>
      </c>
      <c r="C11" s="4" t="s">
        <v>697</v>
      </c>
      <c r="D11" s="4" t="s">
        <v>698</v>
      </c>
      <c r="E11" s="4">
        <f>COUNTIF(Backlog!C:C,A11)</f>
        <v>11</v>
      </c>
      <c r="F11" s="4">
        <f>SUMIF(Backlog!C:C,A11,Backlog!J:J)</f>
        <v>119</v>
      </c>
    </row>
    <row r="12" spans="1:6" ht="60" customHeight="1" x14ac:dyDescent="0.25">
      <c r="A12" s="4" t="s">
        <v>543</v>
      </c>
      <c r="B12" s="14" t="s">
        <v>493</v>
      </c>
      <c r="C12" s="4" t="s">
        <v>699</v>
      </c>
      <c r="D12" s="4" t="s">
        <v>700</v>
      </c>
      <c r="E12" s="4">
        <f>COUNTIF(Backlog!C:C,A12)</f>
        <v>12</v>
      </c>
      <c r="F12" s="4">
        <f>SUMIF(Backlog!C:C,A12,Backlog!J:J)</f>
        <v>114</v>
      </c>
    </row>
    <row r="13" spans="1:6" ht="60" customHeight="1" x14ac:dyDescent="0.25">
      <c r="A13" s="4" t="s">
        <v>597</v>
      </c>
      <c r="B13" s="15" t="s">
        <v>596</v>
      </c>
      <c r="C13" s="4" t="s">
        <v>701</v>
      </c>
      <c r="D13" s="4" t="s">
        <v>702</v>
      </c>
      <c r="E13" s="4">
        <f>COUNTIF(Backlog!C:C,A13)</f>
        <v>8</v>
      </c>
      <c r="F13" s="4">
        <f>SUMIF(Backlog!C:C,A13,Backlog!J:J)</f>
        <v>96</v>
      </c>
    </row>
    <row r="14" spans="1:6" ht="60" customHeight="1" x14ac:dyDescent="0.25">
      <c r="A14" s="4" t="s">
        <v>635</v>
      </c>
      <c r="B14" s="15" t="s">
        <v>596</v>
      </c>
      <c r="C14" s="4" t="s">
        <v>703</v>
      </c>
      <c r="D14" s="4" t="s">
        <v>704</v>
      </c>
      <c r="E14" s="4">
        <f>COUNTIF(Backlog!C:C,A14)</f>
        <v>9</v>
      </c>
      <c r="F14" s="4">
        <f>SUMIF(Backlog!C:C,A14,Backlog!J:J)</f>
        <v>108</v>
      </c>
    </row>
    <row r="15" spans="1:6" x14ac:dyDescent="0.25">
      <c r="C15" s="16" t="s">
        <v>705</v>
      </c>
      <c r="E15" s="16">
        <f>SUM(E2:E14)</f>
        <v>145</v>
      </c>
      <c r="F15" s="16">
        <f>SUM(F2:F14)</f>
        <v>1289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zoomScaleNormal="100" workbookViewId="0"/>
  </sheetViews>
  <sheetFormatPr defaultColWidth="8.7109375" defaultRowHeight="15" x14ac:dyDescent="0.25"/>
  <cols>
    <col min="1" max="1" width="12" customWidth="1"/>
    <col min="2" max="2" width="78" customWidth="1"/>
    <col min="3" max="4" width="9" customWidth="1"/>
    <col min="5" max="5" width="10" customWidth="1"/>
    <col min="6" max="6" width="16" customWidth="1"/>
  </cols>
  <sheetData>
    <row r="1" spans="1:6" x14ac:dyDescent="0.25">
      <c r="A1" s="17" t="s">
        <v>675</v>
      </c>
      <c r="B1" s="17" t="s">
        <v>706</v>
      </c>
      <c r="C1" s="17" t="s">
        <v>678</v>
      </c>
      <c r="D1" s="17" t="s">
        <v>9</v>
      </c>
      <c r="E1" s="17" t="s">
        <v>17</v>
      </c>
      <c r="F1" s="17" t="s">
        <v>36</v>
      </c>
    </row>
    <row r="2" spans="1:6" ht="33.75" customHeight="1" x14ac:dyDescent="0.25">
      <c r="A2" s="18" t="s">
        <v>12</v>
      </c>
      <c r="B2" s="4" t="s">
        <v>707</v>
      </c>
      <c r="C2" s="4">
        <f>COUNTIF(Backlog!B:B,A2)</f>
        <v>65</v>
      </c>
      <c r="D2" s="4">
        <f>SUMIF(Backlog!B:B,A2,Backlog!J:J)</f>
        <v>452</v>
      </c>
      <c r="E2" s="4">
        <f>COUNTIFS(Backlog!B:B,A2,Backlog!G:G,"Critical")</f>
        <v>40</v>
      </c>
      <c r="F2" s="4">
        <f>COUNTIFS(Backlog!B:B,A2,Backlog!G:G,"Very Important")</f>
        <v>20</v>
      </c>
    </row>
    <row r="3" spans="1:6" ht="33.75" customHeight="1" x14ac:dyDescent="0.25">
      <c r="A3" s="19" t="s">
        <v>316</v>
      </c>
      <c r="B3" s="4" t="s">
        <v>708</v>
      </c>
      <c r="C3" s="4">
        <f>COUNTIF(Backlog!B:B,A3)</f>
        <v>40</v>
      </c>
      <c r="D3" s="4">
        <f>SUMIF(Backlog!B:B,A3,Backlog!J:J)</f>
        <v>400</v>
      </c>
      <c r="E3" s="4">
        <f>COUNTIFS(Backlog!B:B,A3,Backlog!G:G,"Critical")</f>
        <v>24</v>
      </c>
      <c r="F3" s="4">
        <f>COUNTIFS(Backlog!B:B,A3,Backlog!G:G,"Very Important")</f>
        <v>16</v>
      </c>
    </row>
    <row r="4" spans="1:6" ht="33.75" customHeight="1" x14ac:dyDescent="0.25">
      <c r="A4" s="20" t="s">
        <v>493</v>
      </c>
      <c r="B4" s="4" t="s">
        <v>709</v>
      </c>
      <c r="C4" s="4">
        <f>COUNTIF(Backlog!B:B,A4)</f>
        <v>23</v>
      </c>
      <c r="D4" s="4">
        <f>SUMIF(Backlog!B:B,A4,Backlog!J:J)</f>
        <v>233</v>
      </c>
      <c r="E4" s="4">
        <f>COUNTIFS(Backlog!B:B,A4,Backlog!G:G,"Critical")</f>
        <v>14</v>
      </c>
      <c r="F4" s="4">
        <f>COUNTIFS(Backlog!B:B,A4,Backlog!G:G,"Very Important")</f>
        <v>7</v>
      </c>
    </row>
    <row r="5" spans="1:6" ht="33.75" customHeight="1" x14ac:dyDescent="0.25">
      <c r="A5" s="21" t="s">
        <v>596</v>
      </c>
      <c r="B5" s="4" t="s">
        <v>710</v>
      </c>
      <c r="C5" s="4">
        <f>COUNTIF(Backlog!B:B,A5)</f>
        <v>17</v>
      </c>
      <c r="D5" s="4">
        <f>SUMIF(Backlog!B:B,A5,Backlog!J:J)</f>
        <v>204</v>
      </c>
      <c r="E5" s="4">
        <f>COUNTIFS(Backlog!B:B,A5,Backlog!G:G,"Critical")</f>
        <v>8</v>
      </c>
      <c r="F5" s="4">
        <f>COUNTIFS(Backlog!B:B,A5,Backlog!G:G,"Very Important")</f>
        <v>8</v>
      </c>
    </row>
    <row r="6" spans="1:6" x14ac:dyDescent="0.25">
      <c r="B6" s="16" t="s">
        <v>705</v>
      </c>
      <c r="C6" s="22">
        <f>SUM(C2:C5)</f>
        <v>145</v>
      </c>
      <c r="D6" s="22">
        <f>SUM(D2:D5)</f>
        <v>1289</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zoomScaleNormal="100" workbookViewId="0"/>
  </sheetViews>
  <sheetFormatPr defaultColWidth="8.7109375" defaultRowHeight="15" x14ac:dyDescent="0.25"/>
  <cols>
    <col min="1" max="1" width="26" customWidth="1"/>
    <col min="2" max="2" width="110" customWidth="1"/>
  </cols>
  <sheetData>
    <row r="1" spans="1:2" ht="16.5" x14ac:dyDescent="0.25">
      <c r="A1" s="23" t="s">
        <v>711</v>
      </c>
    </row>
    <row r="3" spans="1:2" x14ac:dyDescent="0.25">
      <c r="A3" s="24" t="s">
        <v>712</v>
      </c>
      <c r="B3" s="25" t="s">
        <v>713</v>
      </c>
    </row>
    <row r="4" spans="1:2" ht="24" x14ac:dyDescent="0.25">
      <c r="A4" s="24" t="s">
        <v>0</v>
      </c>
      <c r="B4" s="25" t="s">
        <v>714</v>
      </c>
    </row>
    <row r="5" spans="1:2" x14ac:dyDescent="0.25">
      <c r="A5" s="24" t="s">
        <v>1</v>
      </c>
      <c r="B5" s="25" t="s">
        <v>715</v>
      </c>
    </row>
    <row r="6" spans="1:2" x14ac:dyDescent="0.25">
      <c r="A6" s="24" t="s">
        <v>2</v>
      </c>
      <c r="B6" s="25" t="s">
        <v>716</v>
      </c>
    </row>
    <row r="7" spans="1:2" x14ac:dyDescent="0.25">
      <c r="A7" s="24" t="s">
        <v>6</v>
      </c>
      <c r="B7" s="25" t="s">
        <v>717</v>
      </c>
    </row>
    <row r="8" spans="1:2" x14ac:dyDescent="0.25">
      <c r="A8" s="24" t="s">
        <v>9</v>
      </c>
      <c r="B8" s="25" t="s">
        <v>718</v>
      </c>
    </row>
    <row r="9" spans="1:2" x14ac:dyDescent="0.25">
      <c r="A9" s="24" t="s">
        <v>719</v>
      </c>
      <c r="B9" s="25" t="s">
        <v>720</v>
      </c>
    </row>
    <row r="10" spans="1:2" x14ac:dyDescent="0.25">
      <c r="A10" s="24" t="s">
        <v>721</v>
      </c>
      <c r="B10" s="25" t="s">
        <v>722</v>
      </c>
    </row>
    <row r="11" spans="1:2" x14ac:dyDescent="0.25">
      <c r="A11" s="24"/>
      <c r="B11" s="25"/>
    </row>
    <row r="12" spans="1:2" ht="24" x14ac:dyDescent="0.25">
      <c r="A12" s="24" t="s">
        <v>723</v>
      </c>
      <c r="B12" s="25" t="s">
        <v>724</v>
      </c>
    </row>
    <row r="13" spans="1:2" x14ac:dyDescent="0.25">
      <c r="A13" s="24" t="s">
        <v>725</v>
      </c>
      <c r="B13" s="25" t="s">
        <v>726</v>
      </c>
    </row>
    <row r="14" spans="1:2" ht="24" x14ac:dyDescent="0.25">
      <c r="A14" s="24" t="s">
        <v>727</v>
      </c>
      <c r="B14" s="25" t="s">
        <v>728</v>
      </c>
    </row>
    <row r="15" spans="1:2" x14ac:dyDescent="0.25">
      <c r="A15" s="24" t="s">
        <v>729</v>
      </c>
      <c r="B15" s="25" t="s">
        <v>730</v>
      </c>
    </row>
    <row r="16" spans="1:2" x14ac:dyDescent="0.25">
      <c r="A16" s="24"/>
      <c r="B16" s="25"/>
    </row>
    <row r="17" spans="1:2" x14ac:dyDescent="0.25">
      <c r="A17" s="24" t="s">
        <v>731</v>
      </c>
      <c r="B17" s="25" t="s">
        <v>732</v>
      </c>
    </row>
    <row r="18" spans="1:2" ht="24" x14ac:dyDescent="0.25">
      <c r="A18" s="24" t="s">
        <v>733</v>
      </c>
      <c r="B18" s="25" t="s">
        <v>734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Elsayed, Karim (SMS group GmbH)</cp:lastModifiedBy>
  <cp:revision>0</cp:revision>
  <dcterms:created xsi:type="dcterms:W3CDTF">2026-08-02T13:08:57Z</dcterms:created>
  <dcterms:modified xsi:type="dcterms:W3CDTF">2026-08-02T13:30:49Z</dcterms:modified>
  <dc:language>en-US</dc:language>
</cp:coreProperties>
</file>