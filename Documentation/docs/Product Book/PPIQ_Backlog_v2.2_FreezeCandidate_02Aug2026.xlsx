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cklog" sheetId="1" state="visible" r:id="rId3"/>
    <sheet name="Phase Summary" sheetId="2" state="visible" r:id="rId4"/>
    <sheet name="Milestone Rollup" sheetId="3" state="visible" r:id="rId5"/>
    <sheet name="Legend" sheetId="4" state="visible" r:id="rId6"/>
  </sheets>
  <definedNames>
    <definedName function="false" hidden="true" localSheetId="0" name="_xlnm._FilterDatabase" vbProcedure="false">Backlog!$A$1:$K$146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<sst xmlns="http://schemas.openxmlformats.org/spreadsheetml/2006/main" count="1564" uniqueCount="735">
  <si>
    <t xml:space="preserve">Task Id</t>
  </si>
  <si>
    <t xml:space="preserve">Milestone Id</t>
  </si>
  <si>
    <t xml:space="preserve">Phase Id</t>
  </si>
  <si>
    <t xml:space="preserve">Task Name</t>
  </si>
  <si>
    <t xml:space="preserve">Module</t>
  </si>
  <si>
    <t xml:space="preserve">Sub-module</t>
  </si>
  <si>
    <t xml:space="preserve">Priority</t>
  </si>
  <si>
    <t xml:space="preserve">Task Description</t>
  </si>
  <si>
    <t xml:space="preserve">Task Validation</t>
  </si>
  <si>
    <t xml:space="preserve">Hours</t>
  </si>
  <si>
    <t xml:space="preserve">Status</t>
  </si>
  <si>
    <t xml:space="preserve">T-001</t>
  </si>
  <si>
    <t xml:space="preserve">M1</t>
  </si>
  <si>
    <t xml:space="preserve">M1-P1</t>
  </si>
  <si>
    <t xml:space="preserve">Build the six-beat Design Traceability Matrix</t>
  </si>
  <si>
    <t xml:space="preserve">Documentation</t>
  </si>
  <si>
    <t xml:space="preserve">Design contract</t>
  </si>
  <si>
    <t xml:space="preserve">Critical</t>
  </si>
  <si>
    <t xml:space="preserve">Create docs/m1/M1_Traceability_Matrix.md. One row per screen that will be opened in the customer presentation. Columns: Screen, Route, Chapter 2 journey step (J4..J15), Chapter 3 page contract id (A1..F9 / G1..G6), Chapter 4 behaviour section (5.1..5.7), Chapter 5 tutorial step, Current implementation file, Classification. Classification is one of KEEP (matches final design), MODIFY (visible surface needs change), TEMP-ADAPTER (visible surface is final but persistence behind it is temporary and M2 replaces it), NEW. Get the route list from Frontend/PlantProcess.Web/src/App.tsx, which currently declares 69 route paths. Chapter 3 section 4.4 lists the target 40 route pages plus 6 shell components; every presentation screen must map to one of them.</t>
  </si>
  <si>
    <t xml:space="preserve">The matrix has zero rows where the Chapter 3 column is blank. Walk the list with the App.tsx route table open: every route you intend to open in the room appears, and no route outside the list is reachable from the demo navigation. Reviewed and signed off before any other M1 task starts.</t>
  </si>
  <si>
    <t xml:space="preserve">Not Started</t>
  </si>
  <si>
    <t xml:space="preserve">T-002</t>
  </si>
  <si>
    <t xml:space="preserve">Audit every presented route and control against the Chapter 3 page inventory</t>
  </si>
  <si>
    <t xml:space="preserve">Frontend</t>
  </si>
  <si>
    <t xml:space="preserve">CORRECTED IN v2.1. The v2.0 validation only forbade phase-token routes, which was too narrow - and the code proves it was also unnecessary, because every to: value in AppLayout.tsx is already canonical and the legacy /phase8, /phase9 and /phase15 paths are Navigate reverse redirects that no navigation entry points at. The real task is wider. Compare EVERY presented route, EVERY JourneyRail stage and EVERY navigation entry against the Chapter 3 4.4 canonical inventory of 40 route pages plus 6 shell components. For each, record the Chapter 3 contract id or record it as out-of-inventory. An out-of-inventory surface that is opened in the room is a frozen contract nobody chose. Note that PPIQ-T12 (navigationContract.test.ts) already ships from this task's own applied pack and covers the token rule; the audit below extends it, it does not repeat it.</t>
  </si>
  <si>
    <t xml:space="preserve">A table with one row per presented route, per JourneyRail stage and per navigation entry, each carrying a Chapter 3 contract id or an explicit out-of-inventory decision. Zero rows left undecided. Cross-check the JourneyRail stage list against Chapter 2 3.3.1 J1 to J15 - a stage that names a journey step the design does not have is a defect.</t>
  </si>
  <si>
    <t xml:space="preserve">T-003</t>
  </si>
  <si>
    <t xml:space="preserve">Lock the presentation profile as a data profile, not a branch</t>
  </si>
  <si>
    <t xml:space="preserve">Infrastructure</t>
  </si>
  <si>
    <t xml:space="preserve">Environments</t>
  </si>
  <si>
    <t xml:space="preserve">Chapter 6 forbids environment branches: the same artifact moves across environments. Confirm scripts/run/start-api.ps1 keeps its ValidateSet local/test/server/presentation and that the only difference between profiles is env/profiles/*.env. Fix the duplicated ConnectionStrings__PlantProcessDb declaration that appears twice (lines 18 and 19) in both local.env and presentation.env. Add a top-of-file comment to start-api.ps1 stating that the default is `local` and that the presentation must be launched with -Profile presentation.</t>
  </si>
  <si>
    <t xml:space="preserve">Run `.\scripts\run\start-api.ps1 -Profile presentation` and hit GET /api/ml/foundation/readiness. It must report outcome_values around 195,221 and correlation_results around 320, which proves the API is on ppiq_presentation. Repeat with -Profile local and confirm the numbers differ. Record both outputs in the evidence folder.</t>
  </si>
  <si>
    <t xml:space="preserve">T-004</t>
  </si>
  <si>
    <t xml:space="preserve">Create ppiq_acceptance_empty and the one-query Rule 2 proof</t>
  </si>
  <si>
    <t xml:space="preserve">Database</t>
  </si>
  <si>
    <t xml:space="preserve">Schema</t>
  </si>
  <si>
    <t xml:space="preserve">Very Important</t>
  </si>
  <si>
    <t xml:space="preserve">Kept in M1 deliberately, and the reason must be written down because it does not pass Gate A on its own: the customer will not see this screen. It stays because it is the M1 RELEASE GATE - the proof that the artifact you are about to demonstrate is a product that starts empty, not a database someone filled by hand. If that justification is not accepted, move this task to M2a-P1 and drop M1 by four hours. Rule 2 says the plant schema starts empty and is provable in one query. Add a third database created by the same migration chain and nothing else. Write scripts/db/New-AcceptanceEmptyDb.ps1 that creates it, runs the EF migrations plus the post-EF SQL, and runs no seed. Then write the proof query: a single SELECT that returns zero for the sum of row counts across every plant-data table.</t>
  </si>
  <si>
    <t xml:space="preserve">An integration test in Backend/tests/PlantProcess.Api.IntegrationTests that connects to ppiq_acceptance_empty, runs the proof query, and asserts the result is 0. The test must fail if a future seed script writes a plant row into a fresh database.</t>
  </si>
  <si>
    <t xml:space="preserve">T-005</t>
  </si>
  <si>
    <t xml:space="preserve">Create the M1 acceptance checklist and evidence folder</t>
  </si>
  <si>
    <t xml:space="preserve">Quality</t>
  </si>
  <si>
    <t xml:space="preserve">Important</t>
  </si>
  <si>
    <t xml:space="preserve">Create docs/m1/ACCEPTANCE.md holding the UI/UX Golden Gate as a checklist applied per screen: Standard* components where one exists, no raw local styling, primary Electric Blue, selection Electric Cyan, secondary Corporate Blue, warning and refusal Amber, destructive Hot Red, muted Muted Steel, inline-start/inline-end never left/right, keyboard path, RTL mirror, all seven states (Empty, Loading, Populated, Filtered-empty, Blocked, Refused, Failed), widget failure isolation, registry-driven customer vocabulary, no number without evidence. Create docs/m1/evidence/ for screenshots and command output.</t>
  </si>
  <si>
    <t xml:space="preserve">Every screen in the traceability matrix has a checklist instance in the folder. A screen is not Green until every line is ticked with an evidence file name beside it.</t>
  </si>
  <si>
    <t xml:space="preserve">T-006</t>
  </si>
  <si>
    <t xml:space="preserve">Rebuild ppiq_presentation into scratch and diff against live</t>
  </si>
  <si>
    <t xml:space="preserve">Presentation data</t>
  </si>
  <si>
    <t xml:space="preserve">scripts/demo/Rebuild-PresentationDb.ps1 rebuilds the demo database in one command, but it restores from deploy/.ppiq-snapshots/ppiq_app_20260713_203359.dump, a 13 July snapshot. Every correction made against the live presentation database between 14 and 27 July survives a rebuild only if it became one of the script's steps. Run the script with -TargetDb ppiq_presentation_scratch (the script's guard requires the name to contain 'presentation'), then produce a diff: object list (tables, views, functions, triggers, indexes) and row count per table, scratch versus live.</t>
  </si>
  <si>
    <t xml:space="preserve">Produce docs/m1/evidence/presentation_db_diff.txt. Acceptance is either an empty diff, or a written list of every difference. Do not proceed to the next task until that list exists, and never run the rebuild against the live database before it does.</t>
  </si>
  <si>
    <t xml:space="preserve">T-007</t>
  </si>
  <si>
    <t xml:space="preserve">Convert every diff finding into a seed or migration script</t>
  </si>
  <si>
    <t xml:space="preserve">For each row of the diff from the previous task, decide: is this a product fix (goes to Backend/database/scripts as a numbered migration) or presentation data (goes to scripts/demo as a seed step)? The governing law is that presentation DATA may be presentation-only but presentation FIXES may never be. Add each item in the correct place and re-run the rebuild.</t>
  </si>
  <si>
    <t xml:space="preserve">Re-run Rebuild-PresentationDb.ps1 into a fresh scratch database and re-run the diff. It must now be empty. That output is the proof that no fix exists only as data.</t>
  </si>
  <si>
    <t xml:space="preserve">T-008</t>
  </si>
  <si>
    <t xml:space="preserve">Author the Presentation Phenomena Manifest</t>
  </si>
  <si>
    <t xml:space="preserve">Write docs/m1/PHENOMENA_MANIFEST.md listing 10 to 15 industrial behaviours the dataset must exhibit, each with the entities involved, the expected direction and strength, and the screen that will show it. The required set: casting speed by temperature by grade interaction; thickness changing the optimum speed; a real quality difference between two equipment units; a shift effect; a downtime pattern; a yield against throughput trade-off; defect probability rising above a speed band; a plausible correlation that disappears after conditioning; a good-practice operating band; a bad-practice band; one insufficient-support case the engine must refuse; one clean genealogy chain. Every phenomenon is planted in the DATA. None of them may be an answer written in code.</t>
  </si>
  <si>
    <t xml:space="preserve">Peer review against the rule: for each entry, name the table and column where the effect will live. If any entry can only be satisfied by a code branch or a hardcoded string, it is rejected and rewritten.</t>
  </si>
  <si>
    <t xml:space="preserve">T-009</t>
  </si>
  <si>
    <t xml:space="preserve">Extend the emulated sources: speed, temperature and grade interaction</t>
  </si>
  <si>
    <t xml:space="preserve">Emulated sources</t>
  </si>
  <si>
    <t xml:space="preserve">The emulated plant lives in the src_*_shape schemas and is loaded by Backend/database/scripts/110_phase1_demo_source_shapes.sql and the seed files under Backend/database/seed. Extend the generator so casting speed, tundish temperature and grade interact: within each grade, defect rate is lowest inside a speed band, and the band shifts with temperature. Do not write the answer anywhere. Generate rows so the relationship is discoverable by a correlation run.</t>
  </si>
  <si>
    <t xml:space="preserve">Write a SQL verification script that groups the generated rows by grade and speed decile and prints mean defect rate. The band must be visible in the printed table without any smoothing. Save the output to the evidence folder.</t>
  </si>
  <si>
    <t xml:space="preserve">T-010</t>
  </si>
  <si>
    <t xml:space="preserve">Downtime two-quantity contract: final schema and domain slice</t>
  </si>
  <si>
    <t xml:space="preserve">Backend</t>
  </si>
  <si>
    <t xml:space="preserve">Canonical model</t>
  </si>
  <si>
    <t xml:space="preserve">CORRECTED IN v2.1, and this was a materially wrong task. v2.0 treated the downtime work as data seeding only. It is not. The canonical DowntimeEvent entity carries timestamps, equipment, a DowntimeType and a reason, but it does NOT carry the two quantities the design requires. Chapter 3 4.5.4 specifies stopped_minutes and production_impact_minutes as separate columns, both NOT NULL and both greater than or equal to zero, because they are different quantities and one may never stand in for the other - a twenty-minute mill stoppage absorbed by buffer slabs costs no production, while a three-minute caster pump stoppage can force a sequence rebuild and cost six hours. Add both fields to the domain entity, write the migration, and extend the projection mapping so a projected downtime row carries both. Use the final column names so M2a extends rather than migrates.</t>
  </si>
  <si>
    <t xml:space="preserve">Project a downtime batch and assert every row has both columns populated and non-negative. Attempt an insert with a null production_impact_minutes and confirm the database rejects it. Confirm no code path derives one quantity from the other.</t>
  </si>
  <si>
    <t xml:space="preserve">T-011</t>
  </si>
  <si>
    <t xml:space="preserve">Extend the emulated sources: equipment, shift, thickness and downtime</t>
  </si>
  <si>
    <t xml:space="preserve">Depends on the downtime schema slice above. Continue in the source generator. Add: a measurable quality difference between two equipment units on the same route step; a shift effect on at least one outcome; thickness shifting the optimum speed; and a downtime pattern where a short equipment stoppage sometimes does and sometimes does not become a production stoppage, populating both quantities independently so the difference is visible in the data rather than asserted in a slide.</t>
  </si>
  <si>
    <t xml:space="preserve">A SQL verification script per effect printing group means and counts. For downtime, assert the count of equipment stoppages exceeds the count of production stoppages, that both columns are non-null on every row, and that at least one row has stopped_minutes greater than zero with production_impact_minutes equal to zero.</t>
  </si>
  <si>
    <t xml:space="preserve">T-012</t>
  </si>
  <si>
    <t xml:space="preserve">Extend the emulated sources: the confounded correlation and the refusal case</t>
  </si>
  <si>
    <t xml:space="preserve">Two phenomena carry more weight than the rest. First, plant a correlation that looks strong on a naive analysis and disappears once a visible confounder is conditioned on. Second, create one outcome that has genuine data but too few independent units or too few outcome events to pass the readiness gate, so the engine must refuse it. Gate thresholds are in ReadinessGate.cs: HeatsReady 60 / HeatsPartial 30, EventsReady 40 / EventsPartial 15, MinorityReady 0.10 / Partial 0.03, CompletenessReady 0.95 / Partial 0.85.</t>
  </si>
  <si>
    <t xml:space="preserve">Run the analysis path on both. The first must produce a finding that survives naive analysis and is reported as not surviving stratification. The second must return Blocked with a reason string naming the measured value and its threshold. Both outputs saved to the evidence folder. Do not weaken any gate threshold to achieve either result.</t>
  </si>
  <si>
    <t xml:space="preserve">T-013</t>
  </si>
  <si>
    <t xml:space="preserve">Run the canonical semantic path end to end through the M1 compatibility boundaries</t>
  </si>
  <si>
    <t xml:space="preserve">Engine</t>
  </si>
  <si>
    <t xml:space="preserve">CORRECTED IN v2.1. The v2.0 wording implied the final physical topology is in place. It is not, and it is not supposed to be before M2a. What M1 proves is the canonical SEMANTIC path: connection test, dataset registration, incremental import into staging, canonical projection through the customer-authored mapping, genealogy, feature and outcome refresh, then an analysis run - each step reached through the product's own services, never by loading a target table directly. Record row counts at every stage. Note the sequencing: the final external definition contract is built later in M1-P2, so this walk is repeated once it lands - the second walk is what proves the contract did not change behaviour.</t>
  </si>
  <si>
    <t xml:space="preserve">One command log showing a single row entering at the source and appearing in material_units and the canonical views, with stage counts that are monotonic and explainable. Every write on the path goes through the final service interface, not a table name - which is what lets M2a replace the storage without this test changing.</t>
  </si>
  <si>
    <t xml:space="preserve">T-014</t>
  </si>
  <si>
    <t xml:space="preserve">Data quality pass on the regenerated dataset</t>
  </si>
  <si>
    <t xml:space="preserve">Check the generated data for anything an engineer in the room would catch: negative or zero values where the parameter registry declares a positive range; units inconsistent with the parameter definition; timestamps out of order or in the future; genealogy children whose contribution weights do not sum to 1.0; rows with no provenance; distributions that are obviously uniform where a real plant would be skewed.</t>
  </si>
  <si>
    <t xml:space="preserve">A SQL QA script that returns zero rows for each of the above conditions. The genealogy check is already enforced by a database trigger on contribution_weight, so confirm the trigger fires by attempting an invalid insert in a transaction and rolling back.</t>
  </si>
  <si>
    <t xml:space="preserve">T-015</t>
  </si>
  <si>
    <t xml:space="preserve">Establish and fix the architecture test pool reliability</t>
  </si>
  <si>
    <t xml:space="preserve">Testing</t>
  </si>
  <si>
    <t xml:space="preserve">CI/CD</t>
  </si>
  <si>
    <t xml:space="preserve">NEW IN v2.1, raised by a real failure. The navigation contract pack auto-reverted on a gate that reported 15 files and 57 tests passing with one error: a vitest worker failed to START for noMojibake.test.ts and never ran. A re-run went green, which means the gate is intermittent. The diagnostic inventory found the cause candidate: all 16 architecture test files declare no environment and none needs a DOM, yet the suite spends 40 to 45 seconds of a 62 to 68 second run on environment setup and teardown - roughly two thirds of the wall time paid for a browser environment nothing uses. Add // @vitest-environment node to the architecture test files, or set it for that directory in the vitest config. Do not raise a timeout and do not add a retry: a gate that is argued with is a gate that gets switched off, and one that fails at random teaches the team to re-run until green, which is how a real failure gets ignored.</t>
  </si>
  <si>
    <t xml:space="preserve">Ten consecutive runs of the architecture suite on a clean tree, all green, with zero worker-start timeouts, recorded in the evidence folder. Report the wall time before and after; the environment share should fall sharply. This matters because M1-P5 certification depends on this pool - the golden journey and the visual and accessibility gates run on it, on the two days when there is no time left to diagnose anything.</t>
  </si>
  <si>
    <t xml:space="preserve">T-016</t>
  </si>
  <si>
    <t xml:space="preserve">M1-P2</t>
  </si>
  <si>
    <t xml:space="preserve">Shared Authoring Shell, part 1: the shell contract and the four regions</t>
  </si>
  <si>
    <t xml:space="preserve">UI/UX no-code frontend</t>
  </si>
  <si>
    <t xml:space="preserve">CORRECTED IN v2.1, and this is the largest correction in the backlog. v2.0 said 'restructure the page layout only, do not change the graph model'. That was wrong: the current graph model does not express the final block grammar, and freezing three separate authoring surfaces in front of the customer is exactly what the Visible Contract law forbids. Chapter 4 5.2.1 rules ONE shell serving FIVE purposes - S1 transformation, S2 page and widget, S3 analysis, S4 model, S5 log rule - with the same board semantics, the same lifecycle and the same definition concept. Build SharedAuthoringShell as the single component, with the four regions from 5.2.3: mode bar (Block or SQL) with Run and Validate; schema tree on the inline-start side; board or SQL editor in the centre; toolbox on the inline-end side; debug log across the bottom. Take a purpose parameter S1 to S5. Do not throw away VisualJoinCanvasPage - its 784 lines of typed ports, compiled-SQL pane, dry run, publish and debug log are the strongest asset here. CONVERGE it into the shell as the S1 face.</t>
  </si>
  <si>
    <t xml:space="preserve">Open the shell in S1 mode and confirm every capability that VisualJoinCanvasPage had still works: schema tree, join, preview, compiled SQL, publish, debug log. Open it in S2 mode and confirm the same four regions render with the widget toolbox. A vitest asserting one component serves both purposes and that no second authoring page component is exported.</t>
  </si>
  <si>
    <t xml:space="preserve">T-017</t>
  </si>
  <si>
    <t xml:space="preserve">Shared Authoring Shell, part 2: relational block grammar on the board</t>
  </si>
  <si>
    <t xml:space="preserve">CORRECTED IN v2.1. v2.0 said 'keep that decision' about editing filters and derived columns in the Preparation Definition side panel. That contradicts the design: Chapter 4 5.2.5 puts Join, Filter, Select, Rename, Group by, Sort, Union, Derived Column, Cast and Lookup on the BOARD as relational blocks, not in a side form. A side form is a different product shape and the customer would receive something else after M2. Implement the block set the six-beat demonstration actually needs - source, join, filter, derived column, select or rename - as board nodes with typed ports, and keep drag-time refusal of an illegal connection with a named reason per 5.2.7. The operator lists in the interface must stay byte-identical to the whitelist BuildSafeSelect enforces, so an illegal state is unreachable rather than rejected afterwards. Blocks the design defines but the demonstration does not need are declared in the registry and rendered as unavailable, not omitted.</t>
  </si>
  <si>
    <t xml:space="preserve">Build a preparation on the board using source, join, filter and derived column as nodes, preview it, and confirm the compiled SQL matches. Attempt each illegal connection from the enumerated set and confirm each is refused with a sentence. A vitest asserting the interface operator list equals the server whitelist.</t>
  </si>
  <si>
    <t xml:space="preserve">T-018</t>
  </si>
  <si>
    <t xml:space="preserve">Registry-driven schema, table and attribute tree</t>
  </si>
  <si>
    <t xml:space="preserve">EXPANDED IN v2.1. The current tree is real - three levels, typed columns, isKeyCandidate markers, schema name from the configuration key Prep:StagingSchema. The final contract asks for more: grouping, drag of a table or a single attribute onto the board, multi-select, search across schema, table and column, the column type AND its nullability, and an approximate row count per table. Nothing in this tree may be a hardcoded table or column name.</t>
  </si>
  <si>
    <t xml:space="preserve">Drag one attribute and one whole table onto the board and confirm both produce a valid source node. Multi-select three columns and confirm the selection reaches the block. Search a partial column name and confirm only matching tables expand. Grep the file for any literal table name from the emulated plant; there must be none.</t>
  </si>
  <si>
    <t xml:space="preserve">T-019</t>
  </si>
  <si>
    <t xml:space="preserve">Compiled-SQL pane and debug log with rows and cost</t>
  </si>
  <si>
    <t xml:space="preserve">SQL Editor</t>
  </si>
  <si>
    <t xml:space="preserve">The dry-run endpoint already returns the SQL it built, so the pane shows what actually runs rather than a client reconstruction. Keep that. Add the debug log contract from Chapter 4 5.2.8: entries typed Error, Warning or Success, each with a message written for a plant engineer, plus returned row count and an execution cost estimate. Never render a raw exception string.</t>
  </si>
  <si>
    <t xml:space="preserve">Trigger three cases and confirm three distinct log entries: a valid preview (Success with row count), a preview returning zero rows (Warning with an explanation), and a rejected operator (Error naming the operator). Confirm no output contains a stack trace or the words 'could not load', 'failed to load' or 'unable to load', which the PPIQ-T09 architecture test forbids.</t>
  </si>
  <si>
    <t xml:space="preserve">T-020</t>
  </si>
  <si>
    <t xml:space="preserve">SQL mode: safe editor, run test, returned columns and the reconstructability rule</t>
  </si>
  <si>
    <t xml:space="preserve">EXPANDED IN v2.1. The backend contract is strong already: SafeSqlValidator is 295 lines, SELECT and WITH only, token-boundary validation so created_at stays legal, forbidding DDL, DML, COPY, large-object functions, dblink*, pg_sleep*, pg_catalog, information_schema and xp_*. Build the editor over it with syntax highlighting, schema and column autocomplete from the same catalogue the tree uses, a Run test button, the returned column list with inferred types and a sample of returned values. Two rules v2.0 missed and Chapter 4 5.2.12 requires: the toolbox DISAPPEARS entirely in SQL mode, and switching back from SQL to Block is offered only when the SQL is reconstructable as blocks - otherwise the user gets a warning and must confirm explicitly that the block representation will be discarded.</t>
  </si>
  <si>
    <t xml:space="preserve">Run a valid SELECT and confirm columns and samples render. Run a DROP, a pg_catalog reference, a pg_sleep call and a forbidden token hidden inside a comment, and confirm each is refused by name. Switch to SQL mode and confirm the toolbox is gone, not merely disabled. Author SQL that cannot be reconstructed, switch back to Block, and confirm the warning appears and requires explicit confirmation.</t>
  </si>
  <si>
    <t xml:space="preserve">T-021</t>
  </si>
  <si>
    <t xml:space="preserve">Certify returned-column role mapping inside the S2 shell</t>
  </si>
  <si>
    <t xml:space="preserve">REDUCED IN v2.1 from implementation to hardening. The mechanism already exists: widget-role-binding.ts provides readRoleBinding, writeRoleBinding, staleRoles and describeStale, persisting the binding by column and detecting stale mapped roles. The remaining work is integration into the S2 face of the shared shell plus certification, not a build.</t>
  </si>
  <si>
    <t xml:space="preserve">Assign roles inside the shell, re-run the query unchanged, confirm roles persist. Edit the query to drop a mapped column, re-run, and confirm the stale-role warning names the missing column.</t>
  </si>
  <si>
    <t xml:space="preserve">T-022</t>
  </si>
  <si>
    <t xml:space="preserve">Add Widget and Edit Widget open the shared shell in S2 mode</t>
  </si>
  <si>
    <t xml:space="preserve">Dashboard</t>
  </si>
  <si>
    <t xml:space="preserve">CORRECTED IN v2.1. v2.0 said Add and Edit should both reopen WidgetAuthoringPanel. That is the wrong architecture: Chapter 4 5.1.10 says Add Widget is kind picker, then name, then THE SHARED SHELL IN S2 MODE, then preview, then save - not a standalone panel. WidgetAuthoringPanel.tsx is good code and its Rule 1 discipline is exemplary, since every list comes from GET /analytics/dashboard/metadata with zero plant literals. Carry that discipline into the S2 face of the shell rather than preserving the panel as a separate surface. Wire both entry points - the workspace Add widget control and the per-widget Edit control - to the same shell with the current definition loaded. Rename the local state wizardOpen to authoringOpen; wizard is a leftover from a deleted component and the design does not use the word.</t>
  </si>
  <si>
    <t xml:space="preserve">Create a widget through Add, save, reload, then open Edit on the same widget and confirm every field shows the saved value including query, filters, chart type and role bindings. Confirm both entry points reach the same component - a vitest asserting WidgetAuthoringPanel is no longer rendered as a standalone surface anywhere.</t>
  </si>
  <si>
    <t xml:space="preserve">T-023</t>
  </si>
  <si>
    <t xml:space="preserve">Final definition service interface with a compatibility adapter</t>
  </si>
  <si>
    <t xml:space="preserve">Definition store</t>
  </si>
  <si>
    <t xml:space="preserve">Chapter 3 4.5.11 specifies one definition_store with definition_versions and definition_dependencies. That table set does not exist; a repository-wide search for definition_store returns zero hits. M1 does not build it. M1 builds the FINAL external contract in front of the current persistence, so M2a can replace the storage without the UI moving. Create IDefinitionService with Create, Update, GetCurrent, GetVersion, ListVersions and Publish, taking a definition kind. CORRECTED IN v2.2: the kind enum was missing S4. The one-shell contract runs S1 to S5, so the enum must carry Transformation (S1), Page, Widget (S2), Analysis (S3), Model (S4) and LogRule (S5), plus the S2 sub-kinds the design also versions - MasterDimension, MasterMeasure, Filter, Hierarchy and Bookmark. Declare the full enum now even where M1 stores only some of them: an external contract that has to gain a member in M2a was never final.</t>
  </si>
  <si>
    <t xml:space="preserve">An integration test that creates a widget definition through IDefinitionService, reads it back by version, updates it, and confirms two versions exist. The test must not reference any concrete table name, so that it still passes unchanged after M2a replaces the storage - that is the real acceptance criterion. A second test asserting the kind enum contains all eleven members, so the contract cannot quietly narrow.</t>
  </si>
  <si>
    <t xml:space="preserve">T-024</t>
  </si>
  <si>
    <t xml:space="preserve">Authoring states, keyboard path, RTL and error wording</t>
  </si>
  <si>
    <t xml:space="preserve">SEQUENCED IN v2.1: this runs AFTER shell convergence, never before, or it certifies a surface that is about to change. Apply the Golden Gate to both modes of the shared shell. Implement all seven states. Add a full keyboard path: tab order through the four regions, Enter to run, Escape to close. Mirror under RTL using inline-start and inline-end only. Replace any raw error string - src/test/architecture/noRawErrorStrings.test.ts fails on could not load, failed to load, unable to load and loading failed, allowlisting only DataFetchBoundary.tsx and ErrorBoundary.tsx.</t>
  </si>
  <si>
    <t xml:space="preserve">Run npm run test and the architecture suite; both green. Complete one full authoring scenario using only the keyboard. Switch the document direction to rtl and screenshot both modes.</t>
  </si>
  <si>
    <t xml:space="preserve">T-025</t>
  </si>
  <si>
    <t xml:space="preserve">M1-P3</t>
  </si>
  <si>
    <t xml:space="preserve">D2 Page Builder, part 1: create a page and reach the shared shell</t>
  </si>
  <si>
    <t xml:space="preserve">NEW IN v2.1 and it was the single largest omission. Customer beat 2 is add a page, add a widget, edit its SQL, arrange it, show it - and there was no task for the first half. The current PageBuilderPage saves and loads, which is worth keeping, but its widget library is a hardcoded demo set (Risk KPI, Defect breakdown, Defect trend, Date range, List filter) bound to hardcoded sources such as schema_view:risk_summary, and its reducer knows only kpi, bar, line, filter-date and filter-list. That is not the final D2 surface. Build the flow Chapter 4 5.1.9 specifies: Create Page, then page name, code and audience, then an empty 12-column grid, then Add Widget opening the FINAL kind picker, then the shared shell in S2 mode. CORRECTED IN v2.2: widget KINDS are structural product grammar and are FIXED, exactly like chart types and the numeric safety limits - what is customer-driven is dimensions, measures, filters and data, and the chart catalogue arrives from metadata. Serve the kinds from the metadata endpoint if you wish, but do not build an extension path for them. M1 does not need the final definition_store; the adapter from T-023 carries the persistence.</t>
  </si>
  <si>
    <t xml:space="preserve">From an empty state, create a page, give it a name and code, and land on an empty 12-column grid. Press Add Widget and confirm the picker offers exactly the final structural kind set returned by the metadata endpoint - no more, no fewer, and no compiled list in the reducer. VALIDATION CORRECTED IN v2.2: do not test by adding a kind through the registry, because a customer adding a structural kind is not a design contract. Test instead that the endpoint returns the final allowed kinds and that the reducer contains no hardcoded widget library.</t>
  </si>
  <si>
    <t xml:space="preserve">T-026</t>
  </si>
  <si>
    <t xml:space="preserve">D2 Page Builder, part 2: arrange, save layout and publish</t>
  </si>
  <si>
    <t xml:space="preserve">NEW IN v2.1, second half of the same flow. After a widget is saved from the shared shell it lands on the grid. Implement arrange, save layout and publish per Chapter 4 5.1.9, reusing the existing layout persistence which already serialises and reloads through the API. Publish makes the page visible in the Workspaces navigation group, which is how the customer sees the loop close.</t>
  </si>
  <si>
    <t xml:space="preserve">Create a page, add two widgets through the shell, arrange them, save the layout, hard-reload, and confirm the arrangement is identical. Publish it and confirm it appears in the Workspaces navigation group. Delete the draft and confirm it does not.</t>
  </si>
  <si>
    <t xml:space="preserve">T-027</t>
  </si>
  <si>
    <t xml:space="preserve">Bring the workspace to the final D1 anatomy</t>
  </si>
  <si>
    <t xml:space="preserve">EXPANDED IN v2.1. v2.0 described header, selections bar, grid and associative strip, and treated the current DashboardFilterBar as the final architecture. Chapter 4 5.1.2 asks for more: header, PERMANENT selection bar, associative strip, SHEET NAVIGATOR, and a 12-column widget grid. It also defines the relationship between a filter WIDGET placed on the page and the page-level selection state, and the as-of and edit semantics. Do not freeze DashboardFilterBar as the final shape - align it to the specified selection bar, and add the sheet navigator so a page with more than one sheet is navigable.</t>
  </si>
  <si>
    <t xml:space="preserve">Screenshot against the 5.1.2 diagram. Apply three selections and confirm three removable chips appear and that removing one updates every widget. Add a second sheet and confirm the navigator switches between them while the selection bar persists. Place a filter widget on the page and confirm it composes with the page-level selection rather than competing with it.</t>
  </si>
  <si>
    <t xml:space="preserve">T-028</t>
  </si>
  <si>
    <t xml:space="preserve">Widget row census across the seven seeded dashboards</t>
  </si>
  <si>
    <t xml:space="preserve">scripts/demo/Seed-PresentationDashboards.v2.ps1 seeds seven dashboards with roughly 29 widgets: PRODUCTION_OVERVIEW, QUALITY_MONITORING, EQUIPMENT_OPERATIONS, CORRELATION_FINDINGS_BOARD, PARAMETER_DEEP_ANALYSIS, RISK_INTELLIGENCE and MODEL_INSIGHTS. Write a script that calls the widget query endpoint for every seeded widget and records the returned row count, the chart type and any warning. Historically about half returned zero rows.</t>
  </si>
  <si>
    <t xml:space="preserve">Produce docs/m1/evidence/widget_row_census.csv with one row per widget: dashboard, widget code, chart type, rows returned, error. Every widget on the six chosen pages must end this phase with rows greater than zero.</t>
  </si>
  <si>
    <t xml:space="preserve">T-029</t>
  </si>
  <si>
    <t xml:space="preserve">Fix every empty or wrong-shaped widget on the six chosen pages</t>
  </si>
  <si>
    <t xml:space="preserve">Working from the census, fix each failing widget. The order of preference is: correct the widget definition (dimension, measure, parameter code, filter) in the seed script; then correct the chart type; only then change code. Known historical cases to check: a widget grouped by the day dimension rendering as a donut with sixty slices, or a heatmap of dates; a widget using a measure that requires a parameterCode with the code left null; a widget bound to a dimension the server does not list as supported, which returns 400.</t>
  </si>
  <si>
    <t xml:space="preserve">Re-run the census. Every widget on the six pages returns rows and renders the chart type its title implies. Manually confirm the rule 'retitle when you repoint': no widget title describes something other than what it plots.</t>
  </si>
  <si>
    <t xml:space="preserve">T-030</t>
  </si>
  <si>
    <t xml:space="preserve">Register the final chart grammar and implement the presentation subset</t>
  </si>
  <si>
    <t xml:space="preserve">Registry</t>
  </si>
  <si>
    <t xml:space="preserve">CORRECTED IN v2.1, and this was a real design conflict. v2.0 declared the ten currently implemented chart types as the closed grammar and said do not extend it. Chapter 4 5.1.5 defines seventeen: Bar, stacked Column, Line, Area, Combo, Pie, Donut, Scatter, Heatmap, Pareto, Box plot, Histogram, Gauge, Waterfall, Table, Pivot table and KPI. Freezing ten would show the customer a smaller product than the one they receive. The correction is not to build seventeen renderers in ten days: declare the FINAL seventeen in the registry with an implemented or not-yet-available state, implement only the subset the six presentation pages need, and have the switcher offer compatible implemented types while saying in one sentence why an unavailable or incompatible type is not offered. ORDERED IN v2.2 to run before the six-grammar task, which selects from this registry.</t>
  </si>
  <si>
    <t xml:space="preserve">The registry returns seventeen chart types. The switcher on a temporal-dimension widget offers only compatible implemented types and gives a reason for each omission. Flip one type from not-yet-available to implemented in the registry and confirm it becomes selectable with no code change. Switch a KPI to Bar and back to KPI and confirm the round trip works.</t>
  </si>
  <si>
    <t xml:space="preserve">T-031</t>
  </si>
  <si>
    <t xml:space="preserve">Give the six pages six distinct visual grammars from the registered grammar</t>
  </si>
  <si>
    <t xml:space="preserve">ORDERED IN v2.2 to run AFTER T-030, because the six grammars are chosen from the FINAL registered grammar, not from whichever types happen to be implemented today. Six pages that are all bar charts read as one page shown six times. Assign each of the six a dominant visual language and adjust widget definitions to match: KPI tiles with trend; Pareto; stacked or combination; scatter; heatmap; distribution or box plot; table with conditional formatting; timeline or genealogy where appropriate.</t>
  </si>
  <si>
    <t xml:space="preserve">Place the six pages side by side as screenshots. A reviewer who has not seen the product must be able to say what each page is for from the shapes alone, without reading the titles. Every chart type used appears in the registry as implemented, never as unavailable.</t>
  </si>
  <si>
    <t xml:space="preserve">T-032</t>
  </si>
  <si>
    <t xml:space="preserve">Associative model, part 1: the alternative state and registry-driven fields</t>
  </si>
  <si>
    <t xml:space="preserve">SPLIT IN v2.2 by dependency. Part 1 has no dependency outside this phase and runs here; part 2 needs the relationship resolver and runs in M1-P4 after it exists. Do not rebuild the excluded pivot - it already works, an excluded value can be clicked and the selection pivots. The work here is twofold: add the ALTERNATIVE state, which is the fourth state Chapter 4 5.1.3 requires and which is missing today; and make the associative field set registry-driven instead of a fixed list.</t>
  </si>
  <si>
    <t xml:space="preserve">All four states render distinctly - selected, possible, excluded, alternative - on the token colours, selection Electric Cyan and excluded Muted Steel. Add a dimension through the registry and confirm it appears in the strip with no code change.</t>
  </si>
  <si>
    <t xml:space="preserve">T-033</t>
  </si>
  <si>
    <t xml:space="preserve">Certify layout drag, resize, save, reload and responsive behaviour</t>
  </si>
  <si>
    <t xml:space="preserve">REDUCED IN v2.1 from implementation to certification. useDashboardGridLayout and useDashboardLayoutPersistence already serialise, save and reload the grid through the API. The work is hardening and proof, not building: confirm the Save layout control confirms with a toast, that a reload restores exactly what was saved, and that the behaviour holds at 1920x1080, 1440x900 and 1280x800.</t>
  </si>
  <si>
    <t xml:space="preserve">Move and resize three widgets, save, hard-reload, and confirm the layout is identical. Repeat at each of the three widths. Record a short screen capture into the evidence folder.</t>
  </si>
  <si>
    <t xml:space="preserve">T-034</t>
  </si>
  <si>
    <t xml:space="preserve">Drill to population, provenance and evidence</t>
  </si>
  <si>
    <t xml:space="preserve">RETARGETED IN v2.1. The v2.0 assessment of the drawer's visual state was stale, and the real value is not the transition. Focus on the chain: click a point, see the POPULATION behind it, see its PROVENANCE, and reach the source evidence. Correct the off-palette colours to the token set and position the drawer logically with inline-start and inline-end so RTL mirrors correctly. Add the open transition and respect prefers-reduced-motion, but treat that as the smallest part of the task.</t>
  </si>
  <si>
    <t xml:space="preserve">Click a bar and confirm the drawer lists the underlying population with a resolvable provenance handle and a path to the source rows. Set prefers-reduced-motion and confirm the transition is suppressed. Switch to RTL and confirm the drawer opens from the correct edge. Confirm every colour used appears in the token set.</t>
  </si>
  <si>
    <t xml:space="preserve">T-035</t>
  </si>
  <si>
    <t xml:space="preserve">Widget failure isolation and the seven states</t>
  </si>
  <si>
    <t xml:space="preserve">Chapter 4 requires that one widget failing never destroys the page, and that filtered-empty is distinguishable from genuinely empty. Wrap each widget in its own boundary and implement all seven states with the correct colour semantics: Blocked and Refused in Amber, Failed in Hot Red, Empty and Filtered-empty in Muted Steel with different wording.</t>
  </si>
  <si>
    <t xml:space="preserve">Inject a failure into one widget query and confirm the other widgets on the page continue to render and interact. Apply a filter that returns no rows and confirm the widget says the selection returned nothing, not that there is no data.</t>
  </si>
  <si>
    <t xml:space="preserve">T-036</t>
  </si>
  <si>
    <t xml:space="preserve">Remove the hardcoded parameter default from the API client</t>
  </si>
  <si>
    <t xml:space="preserve">Frontend/PlantProcess.Web/src/api/productCoreApiClient.runtime.ts line 300 reads `parameterCode: filters.parameterCode || "CastingSpeed"`. That is a steel-specific literal in product logic and a Rule 1 violation reachable by a customer. Remove the fallback. When no parameter is selected, either omit the field or resolve a default from the parameter registry returned by the metadata endpoint.</t>
  </si>
  <si>
    <t xml:space="preserve">Grep the whole src tree for CastingSpeed and confirm the only remaining hits are in demo content or test fixtures, never in product code paths. Load a parameter widget with no parameter selected and confirm it either shows a chooser or a registry-resolved default, and does not silently query a steel parameter.</t>
  </si>
  <si>
    <t xml:space="preserve">T-037</t>
  </si>
  <si>
    <t xml:space="preserve">M1-P4</t>
  </si>
  <si>
    <t xml:space="preserve">J4 Connections: read-only proof and load budget made visible</t>
  </si>
  <si>
    <t xml:space="preserve">Connections</t>
  </si>
  <si>
    <t xml:space="preserve">The connection page must show, for a configured source, that the connection is read-only enforced, what the load budget is, and the result of a live test. The backing facts already exist: connection_profiles carries read_only_enforced, and ThrottlingDataSourceReader evaluates every read against ISourceLoadBudgetProvider and ISourceQueryRateLimiter before it reaches the source. Surface those three facts on the page.</t>
  </si>
  <si>
    <t xml:space="preserve">Open the page with one configured source, press Test, and confirm three visible outcomes: connection succeeded, read-only enforced true, and the current load budget. Then stop the emulated source container and confirm the failure state names the reason rather than showing a raw exception.</t>
  </si>
  <si>
    <t xml:space="preserve">T-038</t>
  </si>
  <si>
    <t xml:space="preserve">J5 and J6 Dataset registry browse and watermark suggestion</t>
  </si>
  <si>
    <t xml:space="preserve">Data integration</t>
  </si>
  <si>
    <t xml:space="preserve">The Prepare Source for Import page already discovers tables from a live source. Improve schema, table and column search, and make the business key and watermark column suggestions explicit with the reason for each suggestion. Note the demonstration warning: staged tables carry emulator plumbing names such as src_caster_oracle_shape_cast_pieces. Decide deliberately whether to show them with an honest sentence or to present display names; do not discover this live in front of the customer.</t>
  </si>
  <si>
    <t xml:space="preserve">Register one dataset end to end and confirm the suggested business key and watermark are shown with reasons and can be overridden. Record which naming decision was taken in the traceability matrix.</t>
  </si>
  <si>
    <t xml:space="preserve">T-039</t>
  </si>
  <si>
    <t xml:space="preserve">J6 Import progress visibility</t>
  </si>
  <si>
    <t xml:space="preserve">An import that runs with no visible progress reads as a hang. Add a named progress indication driven by the existing import batch records: batch started, rows staged, batch completed, with the dataset name. Use the activity tray pattern rather than a modal.</t>
  </si>
  <si>
    <t xml:space="preserve">Start an incremental import of at least 100k rows and confirm progress updates at least every few seconds and ends in a completed state with a row count that matches the staging table delta.</t>
  </si>
  <si>
    <t xml:space="preserve">T-040</t>
  </si>
  <si>
    <t xml:space="preserve">J7 Relationship model vertical slice, part 1: publish one relationship</t>
  </si>
  <si>
    <t xml:space="preserve">Relationship model</t>
  </si>
  <si>
    <t xml:space="preserve">Chapter 3 4.5.10 specifies plant_relationships plus members and paths, with sixteen declared consumers. A repository search for plant_relationships returns zero hits, so this does not exist. M1 does not build the whole model. M1 builds the smallest FINAL slice: the three tables with their real columns, and the ability to declare and publish one relationship between two source entities with its members and cardinality. Use the final table and column names from 4.5.10 so M2 extends rather than migrates.</t>
  </si>
  <si>
    <t xml:space="preserve">An integration test that publishes one relationship, reads it back, and asserts it is versioned and marked published. A second test asserting an unpublished relationship is not returned to consumers.</t>
  </si>
  <si>
    <t xml:space="preserve">T-041</t>
  </si>
  <si>
    <t xml:space="preserve">J7 Relationship model vertical slice, part 2: one resolver consumer</t>
  </si>
  <si>
    <t xml:space="preserve">Chapter 3 says page and widget associative queries resolve through the published relationship model. Implement the path resolver for the single published relationship and make exactly one widget query use it for a cross-source join, instead of a join written into the widget's own query. This matters because the cross-source correlation is the categorical value proposition and a demonstration that joins inside one dashboard proves the opposite of the product design.</t>
  </si>
  <si>
    <t xml:space="preserve">Point one widget at data spanning two sources, confirm it renders, then unpublish the relationship and confirm the widget refuses with a named reason instead of silently returning a partial result. Restore and confirm it renders again.</t>
  </si>
  <si>
    <t xml:space="preserve">T-042</t>
  </si>
  <si>
    <t xml:space="preserve">Associative model, part 2: cross-source state through the published relationship</t>
  </si>
  <si>
    <t xml:space="preserve">SPLIT IN v2.2 and placed here because it DEPENDS on the resolver built immediately above. Make the cross-source associative state resolve through the published relationship model rather than through a join a dashboard owns. Chapter 3 DF7 requires page and widget queries and associative states to resolve through the published model; a selection that spans two sources and works by a dashboard-local join proves the opposite of the product design.</t>
  </si>
  <si>
    <t xml:space="preserve">Apply a selection that spans two sources and confirm the strip and every widget narrow consistently. Unpublish the relationship and confirm the cross-source state refuses with a named reason rather than silently narrowing to one source.</t>
  </si>
  <si>
    <t xml:space="preserve">T-043</t>
  </si>
  <si>
    <t xml:space="preserve">C2 Mapping Health, part 1: the typed issue contract and the reprocess API</t>
  </si>
  <si>
    <t xml:space="preserve">Mapping health</t>
  </si>
  <si>
    <t xml:space="preserve">CORRECTED IN v2.1. v2.0 said the API exists and only the control is missing. That was wrong. The current MappingHealthPage consumes a source-level SUMMARY only - mapped field count, drift counts, blocking state - from /mapping-health/summary. There is no issue-row model and no typed quarantine or reprocess contract at all. Build the minimal FINAL slice: a typed issue record with a named code, the offending source row as an example, and a reprocess endpoint. Use the final Chapter 3 4.5.14 code names for the classes you implement so M2a adds the remaining PV classes without the contract or the page changing.</t>
  </si>
  <si>
    <t xml:space="preserve">Introduce a deliberately malformed mapping, run the projection, and confirm the API returns issues grouped by a named code with an example row. Call reprocess after correcting the mapping and confirm only the affected rows clear. An integration test asserting the response shape matches the final contract.</t>
  </si>
  <si>
    <t xml:space="preserve">T-044</t>
  </si>
  <si>
    <t xml:space="preserve">C2 Mapping Health, part 2: the final visible page</t>
  </si>
  <si>
    <t xml:space="preserve">Build the C2 page shape from Chapter 3 4.4 over the contract above: issues grouped by code, an example row per group, and a Reprocess control. The full fifteen PV classes are M2a work; M1 needs the SHAPE to be final so the customer sees the same page after M2a with more codes in it, not a different page.</t>
  </si>
  <si>
    <t xml:space="preserve">Walk the page with three issue codes present, reprocess one, and confirm the group clears while the others remain. Confirm the empty state says the mapping is clean rather than that there is no data.</t>
  </si>
  <si>
    <t xml:space="preserve">T-045</t>
  </si>
  <si>
    <t xml:space="preserve">C5 Genealogy: converge the legacy workbench onto the final two-state surface</t>
  </si>
  <si>
    <t xml:space="preserve">Genealogy</t>
  </si>
  <si>
    <t xml:space="preserve">EXPANDED IN v2.1. v2.0 said make the landing search work, and estimated six hours. The real gap is larger: /materials currently renders a legacy investigation workbench, which is a different surface from the Chapter 3 4.4 C5 contract of a two-state page - a search state and a selected-unit state opening the bidirectional genealogy thread with attribution weights and evidence. Converge the workbench onto that contract rather than adding a search box to it. Keep the genealogy walk itself, which is strong and trigger-enforced.</t>
  </si>
  <si>
    <t xml:space="preserve">Search a known material code, open it, walk backward to parents and forward to children, and confirm the attribution weights on each child sum to exactly 1.0 - enforced by a database trigger, so a failure here is a data problem. Confirm the page has exactly two states and that no legacy workbench panel remains reachable from it.</t>
  </si>
  <si>
    <t xml:space="preserve">T-046</t>
  </si>
  <si>
    <t xml:space="preserve">Add job_definitions.target_definition_id and the JB error codes</t>
  </si>
  <si>
    <t xml:space="preserve">Jobs</t>
  </si>
  <si>
    <t xml:space="preserve">A repository search for target_definition_id returns zero hits. Chapter 3 4.5.5a specifies that a job must declare which definition it runs and under what version policy - a pinned version, or the current published one. Without it a job cannot say what it executes, which blocks J12 and tutorial T7. Add the column with a foreign key, the version policy field, and the JB error domain codes for the failure cases named in 4.5.5a.</t>
  </si>
  <si>
    <t xml:space="preserve">VALIDATION CORRECTED IN v2.1: do not test by physically deleting the target definition. Definitions are an immutable versioned authority and a physical delete is not a state the design permits. Test the three states that can actually occur - the target is unpublished, the target id is missing, and a pinned version no longer exists - and confirm each fails with a JB code and a readable sentence. Also confirm the run history records the version actually used.</t>
  </si>
  <si>
    <t xml:space="preserve">T-047</t>
  </si>
  <si>
    <t xml:space="preserve">J12 Analysis authoring: converge onto D3 Analysis Toolbox in S3 mode</t>
  </si>
  <si>
    <t xml:space="preserve">CORRECTED IN v2.1, and this was a Continuity Test blocker. v2.0 said wire the target and version selector into AnalysisJobConfigPage.tsx. That page has no Chapter 3 owner and is not the canonical surface: Chapter 3 4.4 D3 names /analysis/toolbox as the analysis authoring surface, and the design uses one shared authoring model, so analysis is authored in the shared shell in S3 mode. Showing the customer AnalysisJobConfigPage now and replacing it in M2 breaks the contract they were shown. Keep the existing backend services - AnalysisJobDefinitionEndpoints already provides definition-options, list, get, create, update, run and results - and converge the VISIBLE authoring onto D3 in S3 mode, with the target and version selector from the task above. Remove AnalysisJobConfigPage from the M1 navigation and record it on the M2a retirement list.</t>
  </si>
  <si>
    <t xml:space="preserve">Author one analysis definition entirely through /analysis/toolbox in S3 mode, attach a target and version, and run it. Confirm the three honest outcomes render distinctly: Completed, Blocked with the measured value beside its threshold in Amber, and Failed in Hot Red. Confirm AnalysisJobConfigPage is unreachable from the navigation used in the presentation. Do not weaken any gate threshold to produce a completion.</t>
  </si>
  <si>
    <t xml:space="preserve">T-048</t>
  </si>
  <si>
    <t xml:space="preserve">One visible readiness authority on Home and Analysis</t>
  </si>
  <si>
    <t xml:space="preserve">ReadinessGate.cs is complete and correct: five dimensions, thresholds as a record, overall equals the worst dimension via Math.Max over the enum, and every dimension returns a reason string built from the measured value and its threshold. Today that authority is not visible in one place. Build one readiness panel showing the five dimensions, each with its measured value beside its threshold and its state, and place it on both Home and the Analysis surface reading from the same endpoint.</t>
  </si>
  <si>
    <t xml:space="preserve">Compare the panel against a direct call to GET /api/ml/foundation/readiness. Every number on screen must match the API response exactly. Change one threshold in configuration and confirm the panel moves, proving it is not a static rendering.</t>
  </si>
  <si>
    <t xml:space="preserve">T-049</t>
  </si>
  <si>
    <t xml:space="preserve">Findings evidence panel, registry-driven throughout</t>
  </si>
  <si>
    <t xml:space="preserve">EXPANDED IN v2.1. A finding must open into its evidence: method, population, effect size, q-value after Benjamini-Hochberg, whether it survived stratification, and a path to the source rows. StatisticalDiscipline.cs already produces the ranking by absolute effect size with the p-value only as a tie-breaker at q equal to 0.05. Render what the engine computes. ADDED IN v2.1: the page's initial outcome and parameter state must come from the registry as well, not from a hardcoded default - a page that opens on a literal is the same Rule 1 defect as a dropdown built from one.</t>
  </si>
  <si>
    <t xml:space="preserve">Open the strongest finding and confirm all six elements are present. Confirm the ordering is by effect size and not p-value, by comparing against the API response. Change the registry's default outcome and confirm the page opens on the new one with no code change.</t>
  </si>
  <si>
    <t xml:space="preserve">T-050</t>
  </si>
  <si>
    <t xml:space="preserve">Retire the hardcoded outcome and grain arrays</t>
  </si>
  <si>
    <t xml:space="preserve">Frontend/PlantProcess.Web/src/pages/Analysis/AnalysisToolboxPage.tsx line 18 declares OUTCOMES as a literal array of four steel-specific keys, and line 19 declares GRAINS as ["coil", "slab", "heat"]. A server registry already exists: table public.ml_outcome_definitions is exposed at GET /ml/foundation/outcomes by MlFoundationEndpoints.cs and carries the grain per outcome. AnalysisJobConfigPage already consumes it. Replace both arrays with the registry call and take the grain from the selected outcome's registry row rather than defaulting.</t>
  </si>
  <si>
    <t xml:space="preserve">Confirm the dropdown contents match the API response exactly. Add a registry row through the API and confirm it appears in the UI with no code change, which is the Rule 1 acceptance test. Also confirm no server code path falls back to the grain literal 'coil' when the outcome declares a different grain.</t>
  </si>
  <si>
    <t xml:space="preserve">T-051</t>
  </si>
  <si>
    <t xml:space="preserve">M1-P5</t>
  </si>
  <si>
    <t xml:space="preserve">Website, part 1: the five-product information architecture</t>
  </si>
  <si>
    <t xml:space="preserve">Website</t>
  </si>
  <si>
    <t xml:space="preserve">Public site</t>
  </si>
  <si>
    <t xml:space="preserve">CORRECTED IN v2.1, and this was a material visible-contract error. v2.0 said do not open /products/:code because the wrong architecture is an M2 or M3 fix. That is demo avoidance, not design conformance: the customer sees the header, the navigation and the company positioning whether or not a product route is clicked, and Chapter 6 6.2 states plainly that SOU has FIVE separate products - PlantProcess IQ, MES, QES, Yard and Warehouse Management, Energy Management - with PPIQ as the flagship but NOT as the company and NOT as a container around the other four. The current site is deliberately the opposite: it removes direct product navigation and a validator asserts they are removed. Correct the visible architecture now. This is not a rebuild - Chapter 6 6.2.0 keeps 18 components as-is, enhances 9, and replaces exactly one, LegacyProductRoute. Add the Products mega-menu and the portfolio page, remove the assertion that the sibling products must not exist, and replace the redirect.</t>
  </si>
  <si>
    <t xml:space="preserve">The header shows a Products menu listing five products. The portfolio page presents five, with PPIQ as flagship and none of the other four described as a PPIQ capability pack. Update the validator that currently asserts their removal - a test that pins the wrong architecture is worse than no test. Confirm no claim on any product page violates the Chapter 6 6.2.10 honesty rule.</t>
  </si>
  <si>
    <t xml:space="preserve">T-052</t>
  </si>
  <si>
    <t xml:space="preserve">Website, part 2: polish the presentation routes</t>
  </si>
  <si>
    <t xml:space="preserve">With the architecture corrected, polish only the routes you will actually open: home, the PPIQ narrative, proof, security and the call to action. Preserve the components the Chapter 6 audit marked keep: HeroTopology, GoldenThread, TrustEngine, SignalVsNoise, useScrollDraw, RoiCalculator, RequestDemoForm, ConnectorHonestyBlock and PositioningTruthBlock.</t>
  </si>
  <si>
    <t xml:space="preserve">Click every link on every route you will open and confirm none is dead. Check desktop, mobile and keyboard navigation on those routes. Confirm no page shows a blocker, an unfinished item or a failed test, per the standing website honesty rule.</t>
  </si>
  <si>
    <t xml:space="preserve">T-053</t>
  </si>
  <si>
    <t xml:space="preserve">Build the G1 persistent assistant dock</t>
  </si>
  <si>
    <t xml:space="preserve">Chatbot</t>
  </si>
  <si>
    <t xml:space="preserve">Chapter 4 5.7.1 specifies a persistent dock present on every authenticated page, not a route. Today Frontend/PlantProcess.Web/src/components/assistant/AssistantChat.tsx is rendered by exactly one page, Phase8/AssistantRuntimePage.tsx. Move the chat into a dock shell mounted in AppLayout so it is available on every authenticated presentation surface, with a collapsed and expanded state. This is a visible-contract item: shipping a separate page in M1 and a dock after M2 would fail the Customer Contract Continuity Test.</t>
  </si>
  <si>
    <t xml:space="preserve">Open the dock on at least five different pages and confirm the conversation persists across navigation. Confirm the collapsed state does not obscure any control. Add a vitest asserting the dock renders inside the authenticated layout and not as a route element.</t>
  </si>
  <si>
    <t xml:space="preserve">T-054</t>
  </si>
  <si>
    <t xml:space="preserve">Page and widget context envelope</t>
  </si>
  <si>
    <t xml:space="preserve">The assistant must know what the user is looking at. Extend the ask request so the client sends a context envelope: current route, page code, focused widget code, active selections and filters, and the widget's own last result summary with its evidence handles. The endpoint is POST /api/assistant/ask in Backend/PlantProcess.Api/Endpoints/Assistant/AssistantEndpoints.cs, which already accepts ContextChips. Use the context to narrow retrieval rather than to answer.</t>
  </si>
  <si>
    <t xml:space="preserve">Ask the same question on two different pages and confirm the retrieved evidence differs. Assert in an integration test that the context reaches the retrieval call and that no context field is echoed into the answer text unverified.</t>
  </si>
  <si>
    <t xml:space="preserve">T-055</t>
  </si>
  <si>
    <t xml:space="preserve">Add the page and widget chunk family to the retrieval corpus</t>
  </si>
  <si>
    <t xml:space="preserve">AI+ML</t>
  </si>
  <si>
    <t xml:space="preserve">This is the single highest-value change in the sprint. Backend/PlantProcess.Infrastructure/Assistant/CanonicalChunkProducer.cs currently builds only five chunk families: CONNECTOR, DATASET and MAPPING from configuration, DOC for the honesty contract, and FINDING for the latest correlation results. Nothing describes what is on the page. Add a family that emits one true sentence per widget result, for example: 'On page Quality Monitoring, widget Defect rate by equipment shows EAF 3.4 per square metre and Caster 1.9 per square metre for June 2026, over 1,284 coils.' Every number in that sentence must come from a real query result and carry an evidence handle. Then rebuild the index through the existing POST /api/assistant/reindex endpoint, which is already wired to this producer through NpgsqlRetrievalIndex. This matters because GroundingService blocks any sentence containing a number not present in retrieved evidence, so without this family the assistant refuses every question about a chart.</t>
  </si>
  <si>
    <t xml:space="preserve">Reindex, then ask 'what does this chart show' on three different pages and confirm each answer contains numbers that match the widget on screen and carries at least one citation. Then delete the new chunks, reindex, and confirm the assistant returns the honest refusal rather than inventing an answer. Both behaviours must be demonstrable.</t>
  </si>
  <si>
    <t xml:space="preserve">T-056</t>
  </si>
  <si>
    <t xml:space="preserve">Registry-typed quantity guard on assistant answers</t>
  </si>
  <si>
    <t xml:space="preserve">GroundingService.Enforce already blocks any sentence with a number absent from the retrieved claims and blocks the phrases 'root cause', 'is caused by', 'will cause', 'guaranteed' and 'will save'. Add a typed layer above it: when the question names a quantity that exists in the parameter registry, validate the answer's unit, sign and range against the registry row for that parameter. Reject a date where a speed was asked for, a mass where a speed was asked for, and a negative value where the registry declares a positive range.</t>
  </si>
  <si>
    <t xml:space="preserve">Unit tests feeding a crafted draft for each rejection case and asserting the sentence is blocked. Then a live check: ask for a casting speed and confirm the answer either gives a speed with the registry's unit, gives an evidence band, or refuses. It must never return a date or a mass.</t>
  </si>
  <si>
    <t xml:space="preserve">T-057</t>
  </si>
  <si>
    <t xml:space="preserve">Citation chips, evidence strip and suggested questions</t>
  </si>
  <si>
    <t xml:space="preserve">Render each citation as a chip that expands to its evidence, add an evidence strip under the answer, and add an Open in page action that navigates to the surface the evidence came from. Add three to five suggested starter questions derived from the current page context so a live demonstration has a safe opening move.</t>
  </si>
  <si>
    <t xml:space="preserve">Click a citation chip and confirm it expands to the underlying evidence. Click Open in page and confirm it navigates to the correct surface with the relevant selection applied. Confirm suggested questions change between two different pages.</t>
  </si>
  <si>
    <t xml:space="preserve">T-058</t>
  </si>
  <si>
    <t xml:space="preserve">Certified question pack and offline fallback</t>
  </si>
  <si>
    <t xml:space="preserve">Prepare 10 to 15 questions whose evidence is known to exist, covering at least three pages, and record for each the expected answer shape: a value with a unit, an evidence band with a record count, a conditional answer naming what would narrow it, or an honest refusal. These are not scripted answers; they are a known-good evidence landscape. Select two or three for live use. Prepare the offline path so a network failure downgrades to the extractive model rather than to an error.</t>
  </si>
  <si>
    <t xml:space="preserve">Run all 10 to 15 twice, once online and once with the model endpoint unreachable, and record both answers. Any question that refuses in both runs is removed from the live set.</t>
  </si>
  <si>
    <t xml:space="preserve">T-059</t>
  </si>
  <si>
    <t xml:space="preserve">One Playwright journey covering all six beats</t>
  </si>
  <si>
    <t xml:space="preserve">E2E</t>
  </si>
  <si>
    <t xml:space="preserve">Write a single spec that walks the whole demonstration: connect, register a dataset, import, map and publish the relationship, open genealogy, create a page, add a widget through the shared shell, edit its query, save, open the six dashboards, cross-filter, run an analysis and see the readiness outcome, ask the assistant a question on a page, open the evidence, and open the website routes. The existing E2E stage in the Jenkinsfile already runs the full Playwright suite through deploy/scripts/ci-e2e-stack.sh, so this spec joins a gate that actually executes.</t>
  </si>
  <si>
    <t xml:space="preserve">VALIDATION CORRECTED IN v2.1: clean database means a FRESHLY REBUILT ppiq_presentation, produced by Rebuild-PresentationDb.ps1 - not an empty installation. The demonstration runs on prepared data by design, so an empty-install precondition would test something the presentation never does. The spec passes twice consecutively from a fresh rebuild. A deliberate break in any beat fails the spec at that beat with a readable assertion message.</t>
  </si>
  <si>
    <t xml:space="preserve">T-060</t>
  </si>
  <si>
    <t xml:space="preserve">Execute visual regression and accessibility on the presented routes</t>
  </si>
  <si>
    <t xml:space="preserve">Visual and a11y</t>
  </si>
  <si>
    <t xml:space="preserve">package.json already defines test:visual and test:a11y as genuine Playwright invocations, but nothing in the pipeline calls them, and tools/ci/validate-real-ui-gates.cjs invokes them with --list, so it verifies the gates exist rather than that they pass. Also package.json line 84 defines phase9:matrix with --list. Point the visual and accessibility specs at the presentation routes and run them for real. Remove the --list flags from validate-real-ui-gates.cjs.</t>
  </si>
  <si>
    <t xml:space="preserve">Both suites run and pass on every presented route. Confirm by deliberately introducing a contrast failure and checking the accessibility suite goes red, then reverting. The first run on a machine writes visual baselines and reports them as failures; that is expected and the second run is the real one.</t>
  </si>
  <si>
    <t xml:space="preserve">T-061</t>
  </si>
  <si>
    <t xml:space="preserve">Failure injection suite</t>
  </si>
  <si>
    <t xml:space="preserve">Rehearse the failures that are most likely to happen live: one widget query fails while the page keeps working; the assistant refuses because evidence is missing; the API is restarted mid-demonstration; a filter selection returns no rows; the model endpoint is unreachable. Each must produce a designed state, not a stack trace.</t>
  </si>
  <si>
    <t xml:space="preserve">Five scripted injections, each with a screenshot of the resulting state in the evidence folder, each showing a sentence rather than a raw error. A red outline with no sentence beside it is a failure of the specification, not an acceptable outcome.</t>
  </si>
  <si>
    <t xml:space="preserve">T-062</t>
  </si>
  <si>
    <t xml:space="preserve">Capture the Customer Contract Continuity snapshots</t>
  </si>
  <si>
    <t xml:space="preserve">Continuity</t>
  </si>
  <si>
    <t xml:space="preserve">On the last day of M1, capture the visible contract: a screenshot of every presented page, the navigation tree, control positions, the Add Widget and Edit Widget flow, the wiring and SQL modes, the assistant dock, the engine surfaces, any logging surface shown, and the website routes. Store them under docs/m1/continuity/ with a manifest naming each file and the route it came from.</t>
  </si>
  <si>
    <t xml:space="preserve">The manifest covers every row of the traceability matrix. This set becomes the regression truth for M2: after M2 the comparison must show no change to navigation, control placement, authoring flow, terminology or refusal semantics. Additions and speed improvements are allowed; replacements are not.</t>
  </si>
  <si>
    <t xml:space="preserve">T-063</t>
  </si>
  <si>
    <t xml:space="preserve">Write the screen-by-screen demonstration script</t>
  </si>
  <si>
    <t xml:space="preserve">Rehearsal</t>
  </si>
  <si>
    <t xml:space="preserve">Write docs/m1/DEMO_SCRIPT.md as a numbered list of screens in the order they will be opened, and for each screen the one or two sentences said while it is on screen, the exact clicks in order, and the expected on-screen result. Mark each of the six beats and its boundary. Include the deliberate cuts as written decisions so they are decisions rather than discoveries in the room: J1 to J3 narrated as commissioning; no login screen; no euro value figure; no live licence tier toggle unless the 30-minute check on LicenseUsagePanel proves it works. CORRECTED IN v2.1: the line 'never open /products/:code' is REMOVED. After the website architecture correction the product pages are part of the story, not a hazard to avoid. Add the two standing warnings: launch with -Profile presentation, and the staged tables carry emulator names such as src_caster_oracle_shape_cast_pieces.</t>
  </si>
  <si>
    <t xml:space="preserve">Read the script aloud against a clock without touching the product; it must fit the meeting slot. Then walk the product with the script in hand and confirm every click named exists and produces the stated result. Any mismatch is a defect in the product or the script, and both are fixed before the first rehearsal.</t>
  </si>
  <si>
    <t xml:space="preserve">T-064</t>
  </si>
  <si>
    <t xml:space="preserve">Presentation environment preparation and clean-start verification</t>
  </si>
  <si>
    <t xml:space="preserve">Prepare the machine that will run the demonstration and prove it starts clean, twice. Fixed browser profile with notifications, extensions and update prompts disabled; fixed window size and zoom matching the resolution rehearsed at; emulated source containers started and healthy; API launched with -Profile presentation and verified against GET /api/ml/foundation/readiness; the web app served from a production build rather than a dev server; ports free; screen sleep and screensaver disabled. Note that scripts/run/start-api.ps1 defaults to -Profile local, which resolves to ppiq_app and reproduces an empty Findings page in front of the customer.</t>
  </si>
  <si>
    <t xml:space="preserve">Cold-boot the machine and reach the first demonstration screen following only a written checklist, twice, timing both. Record both timings. If the second run needs a step that is not on the checklist, the checklist is wrong.</t>
  </si>
  <si>
    <t xml:space="preserve">T-065</t>
  </si>
  <si>
    <t xml:space="preserve">Three rehearsals, hostile hands and the fallback package</t>
  </si>
  <si>
    <t xml:space="preserve">Three full timed rehearsals from a clean laptop boot, of which one is run by someone else holding the mouse and trying to break it. Then assemble the fallback package: a database backup, a short screen recording of each beat, and still images of the key screens, so a hardware or network failure does not end the meeting. Time the journey narration against a clock, since fifteen steps at two to three minutes each is thirty-seven minutes of continuous talking.</t>
  </si>
  <si>
    <t xml:space="preserve">Two consecutive rehearsals complete with no surprise. The hostile-hands run produces a defect list that is either fixed or explicitly accepted in writing. The fallback package exists on a second device.</t>
  </si>
  <si>
    <t xml:space="preserve">T-066</t>
  </si>
  <si>
    <t xml:space="preserve">M2a</t>
  </si>
  <si>
    <t xml:space="preserve">M2a-P1</t>
  </si>
  <si>
    <t xml:space="preserve">Physical three-schema migration</t>
  </si>
  <si>
    <t xml:space="preserve">The measured database carries twelve schemas with 162 tables in public, of which 108 use a ppiq_ name prefix, while the ruled schemas ppiq_plant and ppiq_meta exist and hold zero tables. Migrate to the three ruled schemas: ppiq_staging, ppiq_plant, ppiq_meta. The staging rename is already prepared, because the canvas reads its schema from the configuration key Prep:StagingSchema rather than a literal.</t>
  </si>
  <si>
    <t xml:space="preserve">Rule 2 is provable in one query on a fresh database. All application tests pass. The canvas catalogue lists tables from the renamed schema with only a configuration change.</t>
  </si>
  <si>
    <t xml:space="preserve">T-067</t>
  </si>
  <si>
    <t xml:space="preserve">Canonical migration order and legacy script archival</t>
  </si>
  <si>
    <t xml:space="preserve">Backend/database/scripts contains hotfix, repair, phase and drift-correction scripts accumulated over months, including cases where two scripts created the same table. Define one canonical ordered migration path, archive superseded scripts, and add a truth gate that no two scripts create the same table.</t>
  </si>
  <si>
    <t xml:space="preserve">A fresh database builds from the canonical path with no manual step. The truth gate fails if a duplicate CREATE TABLE is introduced.</t>
  </si>
  <si>
    <t xml:space="preserve">T-068</t>
  </si>
  <si>
    <t xml:space="preserve">definition_store, definition_versions and definition_dependencies</t>
  </si>
  <si>
    <t xml:space="preserve">Create the tables specified in Chapter 3 4.5.11 with immutable versions and a dependency graph, plus a trigger that rejects a dependency cycle.</t>
  </si>
  <si>
    <t xml:space="preserve">Integration tests: create, version, publish, and reject a cycle. Version rows must be immutable, proved by an update attempt that fails.</t>
  </si>
  <si>
    <t xml:space="preserve">T-069</t>
  </si>
  <si>
    <t xml:space="preserve">Move all five definition kinds onto the store</t>
  </si>
  <si>
    <t xml:space="preserve">Replace the M1 compatibility adapter behind IDefinitionService with the real implementation for all five purposes: S1 Transformation, S2 Pages and widgets and filters and master items, S3 Analysis, S4 Model, S5 Log rule. The old per-artifact tables become a compatibility projection and then are retired.</t>
  </si>
  <si>
    <t xml:space="preserve">The M1 integration test written against IDefinitionService must pass unchanged, since it references no table name. That is the proof that the visible contract did not move.</t>
  </si>
  <si>
    <t xml:space="preserve">T-070</t>
  </si>
  <si>
    <t xml:space="preserve">Impact preview, export and import</t>
  </si>
  <si>
    <t xml:space="preserve">Add dependency impact preview before a publish, and export and import of a definition with its dependencies, per Chapter 3 4.5.11.</t>
  </si>
  <si>
    <t xml:space="preserve">Publish a change to a definition three others depend on and confirm the preview lists all three before the publish is confirmed. Export and reimport into an empty database and confirm equality.</t>
  </si>
  <si>
    <t xml:space="preserve">T-071</t>
  </si>
  <si>
    <t xml:space="preserve">Registry authority: dimensions and measures as rows</t>
  </si>
  <si>
    <t xml:space="preserve">DashboardWidgetQuerySafetyRegistry declares SupportedDimensions as a compiled HashSet that includes ProductFamily, GradeOrRecipe, ShiftCode, DefectType and RiskClass, referenced through DashboardMetadataCodes.Dimensions. That is plant vocabulary compiled into the product and a Rule 1 violation reachable by a customer. Move dimensions and measures to registry rows. Chart types and the numeric limits stay closed, because they are product grammar rather than customer knowledge.</t>
  </si>
  <si>
    <t xml:space="preserve">Add a dimension through the registry API and confirm it becomes selectable in the authoring shell with no code change and no redeploy. Confirm chart types remain closed by attempting to add one and being refused.</t>
  </si>
  <si>
    <t xml:space="preserve">T-072</t>
  </si>
  <si>
    <t xml:space="preserve">Plant-vocabulary sweep, part 1: build the term list and the architecture test</t>
  </si>
  <si>
    <t xml:space="preserve">Rule 1 needs an enforcement mechanism before the sweep, or the sweep is a one-off. Create a registry-held list of plant terms (the term list is itself DATA, never a compiled constant) and an architecture test that fails the build when any listed term appears in product code outside registry data, seed content or test fixtures. Seed the list from the dimension names already found compiled into DashboardWidgetQuerySafetyRegistry: ProductFamily, GradeOrRecipe, ShiftCode, DefectType, RiskClass.</t>
  </si>
  <si>
    <t xml:space="preserve">Add a term to the list and confirm the build goes red on an existing violation, then goes green once that violation is fixed. Confirm removing a term from the list does not require a code change.</t>
  </si>
  <si>
    <t xml:space="preserve">T-073</t>
  </si>
  <si>
    <t xml:space="preserve">Plant-vocabulary sweep, part 2: clear the violations and rename the canonical grain</t>
  </si>
  <si>
    <t xml:space="preserve">Run the new architecture test and clear every violation it names across backend and frontend. Include the canonical grain literal 'coil', which the canonical layer applies even to aluminium, tyre and batch product types - native grains observed in the data include slab, heat, cast, packagedlot, rawmaterial, aluminiumroll, tyreunit, batch and lot. Rename it to a generic term and migrate existing rows.</t>
  </si>
  <si>
    <t xml:space="preserve">The architecture test passes with zero violations. Query the canonical layer for a non-steel product type and confirm its grain is no longer reported as 'coil'.</t>
  </si>
  <si>
    <t xml:space="preserve">T-074</t>
  </si>
  <si>
    <t xml:space="preserve">API namespace migration, part 1: map the 92 prefixes onto the 27 domains and stand up dual-serve</t>
  </si>
  <si>
    <t xml:space="preserve">Namespace</t>
  </si>
  <si>
    <t xml:space="preserve">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t>
  </si>
  <si>
    <t xml:space="preserve">Every one of the 544 routes appears exactly once in the mapping table. Both the old and the new path return identical responses for a sample of twenty routes.</t>
  </si>
  <si>
    <t xml:space="preserve">T-075</t>
  </si>
  <si>
    <t xml:space="preserve">API namespace migration, part 2: migrate the clients and add the token gate</t>
  </si>
  <si>
    <t xml:space="preserve">Move the ~177 frontend API client methods across 13 modules and the 72 methods on productCoreApiClient.runtime.ts onto the new paths. Then add a gate that fails the build when a registered route or a client base path contains a phase, version or task token. Schedule the removal of the dual-serve window as a named follow-up task rather than leaving it open indefinitely.</t>
  </si>
  <si>
    <t xml:space="preserve">A test asserting no registered route matches /phase\d+|\/v\d+\/|p\d\d/. Open the browser network tab during the golden journey and confirm no request URL carries a phase or version token.</t>
  </si>
  <si>
    <t xml:space="preserve">T-076</t>
  </si>
  <si>
    <t xml:space="preserve">M2a-P2</t>
  </si>
  <si>
    <t xml:space="preserve">Relationship members, cardinality, grain conversion and preferred paths</t>
  </si>
  <si>
    <t xml:space="preserve">Extend the M1 slice to the full model in Chapter 3 4.5.10: members, cardinality, grain conversion between related entities, preferred path selection when more than one path exists, and published versions.</t>
  </si>
  <si>
    <t xml:space="preserve">Declare two paths between the same pair of entities, mark one preferred, and confirm the resolver chooses it. Change the preference and confirm the resolution changes with no other edit.</t>
  </si>
  <si>
    <t xml:space="preserve">T-077</t>
  </si>
  <si>
    <t xml:space="preserve">Path resolver, part 1: resolver core and the first eight consumers</t>
  </si>
  <si>
    <t xml:space="preserve">Chapter 2 3.15.4 names sixteen consumers of the relationship model. Build the resolver core, then route the first eight through it: canonical projection, page and widget queries, associative filtering, drill-down, drill-through, genealogy, statistics and correlation.</t>
  </si>
  <si>
    <t xml:space="preserve">A regression test per consumer asserting it resolves through the published model, and refuses with a named reason when the relationship is unpublished. Eight tests, no exceptions.</t>
  </si>
  <si>
    <t xml:space="preserve">T-078</t>
  </si>
  <si>
    <t xml:space="preserve">Path resolver, part 2: the remaining eight consumers and the regression suite</t>
  </si>
  <si>
    <t xml:space="preserve">Route the remaining eight through the resolver: feature engineering, model training, prediction, practice learning, remediation search, value calculation, assistant retrieval and evidence. Some of these are built in M2b; add the resolver seam now so they cannot be written against an ad-hoc join later.</t>
  </si>
  <si>
    <t xml:space="preserve">Eight further regression tests. For consumers whose engine arrives in M2b, the test asserts the seam exists and refuses when unpublished, which is what stops a later shortcut.</t>
  </si>
  <si>
    <t xml:space="preserve">T-079</t>
  </si>
  <si>
    <t xml:space="preserve">Relationship Browser page and path evidence</t>
  </si>
  <si>
    <t xml:space="preserve">Build the C6 Relationship Browser from Chapter 3 4.4 with the ten-field page contract, showing declared relationships, their members, their paths and the evidence for each path.</t>
  </si>
  <si>
    <t xml:space="preserve">Open a relationship and confirm its members, cardinality and path are shown with evidence. Confirm an unpublished relationship is visibly distinct from a published one.</t>
  </si>
  <si>
    <t xml:space="preserve">T-080</t>
  </si>
  <si>
    <t xml:space="preserve">Quarantine, part 1: the table, the reprocess API and the first eight PV classes</t>
  </si>
  <si>
    <t xml:space="preserve">Quarantine</t>
  </si>
  <si>
    <t xml:space="preserve">Chapter 3 4.5.14 specifies quarantine with fifteen typed PV codes. A repository search for projection_quarantine returns zero hits, so this does not exist. Build the table with its columns, the reprocess endpoint, and the first eight validation classes so a bad row is quarantined under a named code instead of corrupting the canonical layer or failing the whole batch.</t>
  </si>
  <si>
    <t xml:space="preserve">Craft one malformed input per implemented class and assert each is quarantined under the correct code, while the good rows in the same batch still project.</t>
  </si>
  <si>
    <t xml:space="preserve">T-081</t>
  </si>
  <si>
    <t xml:space="preserve">Quarantine, part 2: the remaining seven PV classes and per-class tests</t>
  </si>
  <si>
    <t xml:space="preserve">Implement the remaining seven validation classes and give every class its own test fixture, so the class set is provably complete against Chapter 3 4.5.14 rather than approximately complete.</t>
  </si>
  <si>
    <t xml:space="preserve">Fifteen fixtures, fifteen codes, fifteen passing tests. A test that enumerates the PV enum and fails if any member has no fixture.</t>
  </si>
  <si>
    <t xml:space="preserve">T-082</t>
  </si>
  <si>
    <t xml:space="preserve">Quarantine retry, reprocess and Mapping Health completion</t>
  </si>
  <si>
    <t xml:space="preserve">Complete the C2 Mapping Health page against Chapter 3 4.4 C2: issues grouped by code, example rows, and Reprocess after the mapping is corrected. The M1 version delivered the shape; this delivers the full class set and the retry semantics.</t>
  </si>
  <si>
    <t xml:space="preserve">Quarantine rows under three different codes, correct one mapping, reprocess, and confirm only the affected rows clear. The M1 continuity snapshot of this page must still match.</t>
  </si>
  <si>
    <t xml:space="preserve">T-083</t>
  </si>
  <si>
    <t xml:space="preserve">Identity resolution across sources</t>
  </si>
  <si>
    <t xml:space="preserve">Harden material identity resolution using material_aliases so the same physical material arriving under two different source identifiers becomes one canonical unit. The schema already supports this: material_units carries a unique key on (site_id, material_code) plus a filtered unique on (source_system, source_record_id), which makes projection idempotent without forbidding rows that have no source identity.</t>
  </si>
  <si>
    <t xml:space="preserve">Import the same material under two different source identifiers and confirm one canonical unit results with both aliases recorded. Re-run the import and confirm no duplicate appears.</t>
  </si>
  <si>
    <t xml:space="preserve">T-084</t>
  </si>
  <si>
    <t xml:space="preserve">Genealogy bidirectional walk hardening and weight proof</t>
  </si>
  <si>
    <t xml:space="preserve">Confirm the genealogy layer walks both directions on the customer's own keys and that attribution weights are enforced to sum to exactly 1.0 per child by the database trigger on genealogy_edges.contribution_weight numeric(9,6).</t>
  </si>
  <si>
    <t xml:space="preserve">Walk a chain backward and forward and confirm the same edges are traversed. Attempt an insert whose weights sum to 0.99 inside a transaction and confirm the trigger rejects it, then roll back.</t>
  </si>
  <si>
    <t xml:space="preserve">T-085</t>
  </si>
  <si>
    <t xml:space="preserve">Projection through the versioned mapping, with version stamping</t>
  </si>
  <si>
    <t xml:space="preserve">Projection</t>
  </si>
  <si>
    <t xml:space="preserve">Complete the DF5 contract: source-shaped staging projects into the canonical plant model through the customer-authored versioned mapping, and every projected row records the mapping version that produced it.</t>
  </si>
  <si>
    <t xml:space="preserve">Project a batch, change the mapping version, project again, and confirm each row records the version that produced it. No row may carry a null mapping version.</t>
  </si>
  <si>
    <t xml:space="preserve">T-086</t>
  </si>
  <si>
    <t xml:space="preserve">Idempotent reprojection and mapping-version regression</t>
  </si>
  <si>
    <t xml:space="preserve">Make reprojection idempotent and add the regression suite: reprojecting the same batch must not duplicate rows, and rolling a mapping back to a previous version must produce the earlier result exactly.</t>
  </si>
  <si>
    <t xml:space="preserve">Reproject the same batch three times and confirm row counts are unchanged. Roll a mapping back and confirm the canonical output matches the earlier snapshot byte for byte.</t>
  </si>
  <si>
    <t xml:space="preserve">T-087</t>
  </si>
  <si>
    <t xml:space="preserve">M2a-P3</t>
  </si>
  <si>
    <t xml:space="preserve">Job target version policy and dependency DAG</t>
  </si>
  <si>
    <t xml:space="preserve">Build on the M1 target_definition_id work: add the full version policy (pinned or current published), the job dependency graph, and cycle validation.</t>
  </si>
  <si>
    <t xml:space="preserve">Declare a three-job chain, run it, and confirm order. Introduce a cycle and confirm it is refused at save time with a named code.</t>
  </si>
  <si>
    <t xml:space="preserve">T-088</t>
  </si>
  <si>
    <t xml:space="preserve">Weighted pools, compute weights and admission control</t>
  </si>
  <si>
    <t xml:space="preserve">Implement mechanisms 3 and 4 from Chapter 4 5.3.2: skip-if-running, latest-only, and admission control with weighted pools per job class.</t>
  </si>
  <si>
    <t xml:space="preserve">Schedule more jobs than the pool allows and confirm they queue rather than degrade the machine. Confirm a second instance of a running job is skipped, not queued twice.</t>
  </si>
  <si>
    <t xml:space="preserve">T-089</t>
  </si>
  <si>
    <t xml:space="preserve">stage_watermarks and delta-scoped projection</t>
  </si>
  <si>
    <t xml:space="preserve">Delta propagation</t>
  </si>
  <si>
    <t xml:space="preserve">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t>
  </si>
  <si>
    <t xml:space="preserve">Change one source row and confirm projection processes a bounded delta rather than a full scan, evidenced by rows-scanned telemetry.</t>
  </si>
  <si>
    <t xml:space="preserve">T-090</t>
  </si>
  <si>
    <t xml:space="preserve">Delta-scoped feature refresh and analysis, with telemetry</t>
  </si>
  <si>
    <t xml:space="preserve">Extend the delta strategy to the feature refresh and analysis job classes, and emit rows-scanned telemetry per stage so amplification can be measured.</t>
  </si>
  <si>
    <t xml:space="preserve">Change one source row and confirm the feature and analysis stages each scan a bounded delta. Telemetry must report rows scanned per stage per run.</t>
  </si>
  <si>
    <t xml:space="preserve">T-091</t>
  </si>
  <si>
    <t xml:space="preserve">Chunk manifests, checkpoint, resume and deterministic merge</t>
  </si>
  <si>
    <t xml:space="preserve">Implement Chapter 4 5.3.9.6a: bounded chunks with receipts, checkpoint and resume after interruption, and a deterministic merge so a resumed run produces the same result as an uninterrupted one.</t>
  </si>
  <si>
    <t xml:space="preserve">Kill a running job at 60 percent, restart it, and confirm the final result is byte-identical to an uninterrupted run over the same input.</t>
  </si>
  <si>
    <t xml:space="preserve">T-092</t>
  </si>
  <si>
    <t xml:space="preserve">Scan budget and the Scan Amplification metric</t>
  </si>
  <si>
    <t xml:space="preserve">Monitoring</t>
  </si>
  <si>
    <t xml:space="preserve">Add scan admission and the Scan Amplification Ratio from Chapter 6 6.1.12.2a, with a baseline and a regression gate that fails the build when amplification rises beyond the baseline.</t>
  </si>
  <si>
    <t xml:space="preserve">Record a baseline, then deliberately remove a delta scope and confirm the gate goes red. Restore and confirm green.</t>
  </si>
  <si>
    <t xml:space="preserve">T-093</t>
  </si>
  <si>
    <t xml:space="preserve">Force RLS on every tenant-owned table with an architecture test</t>
  </si>
  <si>
    <t xml:space="preserve">Security</t>
  </si>
  <si>
    <t xml:space="preserve">The measured database has one RLS policy against 193 tables, while migration scripts 510, 530, 540 and 560 contain dynamic CREATE POLICY loops, so the scripts exist but the coverage does not. Establish the true coverage, then force RLS on every tenant-owned table and add an architecture test that fails the build when a tenant table is added without a policy.</t>
  </si>
  <si>
    <t xml:space="preserve">A query listing tenant-owned tables without a policy returns zero rows. Add a new tenant table in a branch and confirm the architecture test goes red before it is merged.</t>
  </si>
  <si>
    <t xml:space="preserve">T-094</t>
  </si>
  <si>
    <t xml:space="preserve">Secret and configuration hygiene</t>
  </si>
  <si>
    <t xml:space="preserve">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t>
  </si>
  <si>
    <t xml:space="preserve">A secret scan across the repository returns no live credential. Generate an audit package and confirm secrets are masked. Confirm the E2E stack still runs with credentials supplied from the environment.</t>
  </si>
  <si>
    <t xml:space="preserve">T-095</t>
  </si>
  <si>
    <t xml:space="preserve">Tenant keys, tenant-aware uniqueness and canonical namespace on new APIs</t>
  </si>
  <si>
    <t xml:space="preserve">Apply tenant keys and tenant-aware uniqueness to every table introduced in M1 and M2a, and put every new endpoint on the canonical namespace from the outset so the migration does not have to catch up with new work.</t>
  </si>
  <si>
    <t xml:space="preserve">Insert the same natural key for two tenants and confirm both persist. A test asserting every endpoint added after this date matches the canonical domain pattern.</t>
  </si>
  <si>
    <t xml:space="preserve">T-096</t>
  </si>
  <si>
    <t xml:space="preserve">M2a-P4</t>
  </si>
  <si>
    <t xml:space="preserve">J1 to J3 commissioning built for real</t>
  </si>
  <si>
    <t xml:space="preserve">Commissioning</t>
  </si>
  <si>
    <t xml:space="preserve">Chapter 5 classifies installation, licence activation and user provisioning as commissioning prerequisites, which is why M1 narrates rather than demonstrates them. Build them: first-run installation, licence activation with the Ed25519 signed token, and initial user provisioning. Respect the Admin Golden Rule: the SOU support account is auto-provisioned and undeletable, while the customer administrator is a manual commissioning step and is never auto-created.</t>
  </si>
  <si>
    <t xml:space="preserve">Commission a site from an empty database following only the runbook, with no developer intervention and no database console. Confirm the customer administrator is not created automatically.</t>
  </si>
  <si>
    <t xml:space="preserve">T-097</t>
  </si>
  <si>
    <t xml:space="preserve">Eight-role catalogue with three enforcement layers</t>
  </si>
  <si>
    <t xml:space="preserve">Users and roles</t>
  </si>
  <si>
    <t xml:space="preserve">Implement the role catalogue as the shipped default with a three-role minimum as the smallest legal configuration, enforced at the API, the query and the UI layers. FormalRoleAccessMatrix already models capabilities including AssistantChat; extend rather than replace it.</t>
  </si>
  <si>
    <t xml:space="preserve">A matrix test asserting every role against every capability, at all three layers. Confirm a viewer cannot author SQL at any licence tier, which is a standing ruling.</t>
  </si>
  <si>
    <t xml:space="preserve">T-098</t>
  </si>
  <si>
    <t xml:space="preserve">Users and Roles administration surface</t>
  </si>
  <si>
    <t xml:space="preserve">Build the F1 Users and Roles page from Chapter 3 4.4 with the ten-field page contract. The code itself records that Users and Roles and System Health are missing from the UI.</t>
  </si>
  <si>
    <t xml:space="preserve">Create, edit, disable and re-enable a user, and change a role assignment, entirely through the interface. Confirm the audit layer records each change.</t>
  </si>
  <si>
    <t xml:space="preserve">T-099</t>
  </si>
  <si>
    <t xml:space="preserve">Licence and entitlement enforcement</t>
  </si>
  <si>
    <t xml:space="preserve">Licence</t>
  </si>
  <si>
    <t xml:space="preserve">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t>
  </si>
  <si>
    <t xml:space="preserve">Exceed a meter and confirm the import queues and the job waits for a slot rather than failing. Confirm the customer can see their own approach to each meter in the interface, since a limit the customer cannot see is a trap.</t>
  </si>
  <si>
    <t xml:space="preserve">T-100</t>
  </si>
  <si>
    <t xml:space="preserve">Container architecture and configuration profiles</t>
  </si>
  <si>
    <t xml:space="preserve">Deployment</t>
  </si>
  <si>
    <t xml:space="preserve">Chapter 6 6.1.2 specifies sixteen containers with one responsibility each and four configuration profiles. Infrastructure today is eight files and 856 lines. Build the container set, the image policy, health and readiness endpoints, and volume and secret segmentation.</t>
  </si>
  <si>
    <t xml:space="preserve">Bring up each of the four profiles from a clean machine. Every container reports healthy. Confirm no container has a responsibility that belongs to another.</t>
  </si>
  <si>
    <t xml:space="preserve">T-101</t>
  </si>
  <si>
    <t xml:space="preserve">Install package, migration runner, upgrade and rollback</t>
  </si>
  <si>
    <t xml:space="preserve">Build the fresh installation and upgrade paths from Chapter 6 6.1.4, including what an upgrade may never do, and a rollback path. Migration runs as a deployment step rather than as a manual action.</t>
  </si>
  <si>
    <t xml:space="preserve">Install on a clean machine, upgrade from the previous version, then roll back. All three complete without manual database intervention. Run the fourteen post-deployment acceptance checks from 6.1.4.6.</t>
  </si>
  <si>
    <t xml:space="preserve">T-102</t>
  </si>
  <si>
    <t xml:space="preserve">Backup with a tested restore acceptance procedure</t>
  </si>
  <si>
    <t xml:space="preserve">Backup</t>
  </si>
  <si>
    <t xml:space="preserve">Chapter 6 6.1.11 requires not just backup but a tested restore acceptance procedure with a consistency rule. Implement schedule, retention, encryption and the restore rehearsal.</t>
  </si>
  <si>
    <t xml:space="preserve">Perform a real restore into a clean environment and run the acceptance procedure against it. A backup that has never been restored does not count as a backup.</t>
  </si>
  <si>
    <t xml:space="preserve">T-103</t>
  </si>
  <si>
    <t xml:space="preserve">Minimum monitoring, health and alerting</t>
  </si>
  <si>
    <t xml:space="preserve">Implement the minimum from Chapter 6 6.1.12 required to operate a soft test: per-component metrics, alert severity and escalation, and the operational dashboard. Full observability and SLOs are M3.</t>
  </si>
  <si>
    <t xml:space="preserve">Trigger each alert condition deliberately and confirm it fires with the correct severity and reaches the configured channel.</t>
  </si>
  <si>
    <t xml:space="preserve">T-104</t>
  </si>
  <si>
    <t xml:space="preserve">Support runbook and UAT dataset and configuration import</t>
  </si>
  <si>
    <t xml:space="preserve">Handover</t>
  </si>
  <si>
    <t xml:space="preserve">Write the runbook the customer's own operator will follow, and build the path to import the customer's UAT dataset and configuration. Include the operator, data engineer and administrator sections.</t>
  </si>
  <si>
    <t xml:space="preserve">A person who has not worked on the project commissions a site and completes one import following only the runbook. Every step they had to ask about is a defect in the runbook.</t>
  </si>
  <si>
    <t xml:space="preserve">T-105</t>
  </si>
  <si>
    <t xml:space="preserve">Canonical journey regression and the Continuity comparison</t>
  </si>
  <si>
    <t xml:space="preserve">Run J1 to J15 against a normal ppiq_app database with no presentation shortcut and no demonstration-only code path. Then run the Customer Contract Continuity comparison against the snapshots captured at the end of M1.</t>
  </si>
  <si>
    <t xml:space="preserve">The journey passes on the canonical database. The continuity comparison shows no change to navigation, control placement, authoring flow, terminology or refusal semantics. Any difference is a defect in M2, not an improvement.</t>
  </si>
  <si>
    <t xml:space="preserve">T-106</t>
  </si>
  <si>
    <t xml:space="preserve">M2b</t>
  </si>
  <si>
    <t xml:space="preserve">M2b-P1</t>
  </si>
  <si>
    <t xml:space="preserve">Feature store, outcome store and snapshots</t>
  </si>
  <si>
    <t xml:space="preserve">Intelligence store</t>
  </si>
  <si>
    <t xml:space="preserve">Build the versioned feature and outcome history with snapshots, per Chapter 3 4.5.12. This is prerequisite to everything downstream, and nothing downstream may invent its own persistence.</t>
  </si>
  <si>
    <t xml:space="preserve">Compute a feature set, snapshot it, change the underlying data, and confirm the snapshot still reproduces the original training input exactly.</t>
  </si>
  <si>
    <t xml:space="preserve">T-107</t>
  </si>
  <si>
    <t xml:space="preserve">Compute runs and correlation result persistence</t>
  </si>
  <si>
    <t xml:space="preserve">Unify compute run records with gate state and gate evidence, and move correlation results onto the common substrate with evidence handles.</t>
  </si>
  <si>
    <t xml:space="preserve">Every result row resolves to its run, its gate state and its evidence. A result with an unresolvable evidence handle fails the test.</t>
  </si>
  <si>
    <t xml:space="preserve">T-108</t>
  </si>
  <si>
    <t xml:space="preserve">Model registry, serving identity and fallback</t>
  </si>
  <si>
    <t xml:space="preserve">Model lifecycle</t>
  </si>
  <si>
    <t xml:space="preserve">Implement serving_role and the six-condition fallback policy from Chapter 4 5.6.7a, with drift observations.</t>
  </si>
  <si>
    <t xml:space="preserve">Promote a model, force each of the six fallback conditions, and confirm the correct fallback occurs and is recorded. Confirm no prediction is served by a model without a serving role.</t>
  </si>
  <si>
    <t xml:space="preserve">T-109</t>
  </si>
  <si>
    <t xml:space="preserve">Practice signature, windowing, context and cohorts</t>
  </si>
  <si>
    <t xml:space="preserve">Practice learning</t>
  </si>
  <si>
    <t xml:space="preserve">Implement the practice-learning engine core from Chapter 4 5.6.4b: signature construction, parameter windowing, context, and the comparison cohort.</t>
  </si>
  <si>
    <t xml:space="preserve">On the presentation dataset, confirm the engine recovers the good-practice band planted in M1-P1 and does not recover a band from the null control.</t>
  </si>
  <si>
    <t xml:space="preserve">T-110</t>
  </si>
  <si>
    <t xml:space="preserve">Support, confidence, back-off ladder and tolerance sensitivity</t>
  </si>
  <si>
    <t xml:space="preserve">Add support and confidence ranking, the back-off ladder for sparse cohorts, and the tolerance sensitivity test that flags a practice whose result depends on the tolerance chosen.</t>
  </si>
  <si>
    <t xml:space="preserve">A practice that survives resampling is ranked; one that does not is flagged. Widen the tolerance and confirm any practice whose result flips is marked sensitive.</t>
  </si>
  <si>
    <t xml:space="preserve">T-111</t>
  </si>
  <si>
    <t xml:space="preserve">practice_statistics persistence, drift and D10 Practice Insights</t>
  </si>
  <si>
    <t xml:space="preserve">Persist practice statistics, implement drift detection against the plant's own demonstrated best, and build the D10 page from Chapter 3 4.4.</t>
  </si>
  <si>
    <t xml:space="preserve">Shift the operating data away from the learned band and confirm drift is detected and surfaced with its evidence.</t>
  </si>
  <si>
    <t xml:space="preserve">T-112</t>
  </si>
  <si>
    <t xml:space="preserve">Bindable intelligence registry and evidence handles</t>
  </si>
  <si>
    <t xml:space="preserve">Chapter 3 4.5.13 requires intelligence to be a first-class analytical object: a prediction, a finding, a practice benchmark or a value impact must be bindable by an authored page or widget exactly like canonical data. Build the bindable-intelligence registry so those sources appear in the authoring shell alongside plant dimensions and measures, and so every bound value carries a resolvable evidence handle.</t>
  </si>
  <si>
    <t xml:space="preserve">Bind a prediction to a chart through the normal authoring shell with no code change, filter it, drill into it, and open its evidence. Then break one evidence handle and confirm the widget refuses rather than rendering an uncited number.</t>
  </si>
  <si>
    <t xml:space="preserve">T-113</t>
  </si>
  <si>
    <t xml:space="preserve">Tenant-aware uniqueness across the intelligence tables</t>
  </si>
  <si>
    <t xml:space="preserve">Every intelligence table added in this phase is tenant-owned. Apply tenant keys and tenant-aware uniqueness consistently, so two tenants can hold the same natural key without collision, and add the tables to the RLS architecture test built in M2a-P3.</t>
  </si>
  <si>
    <t xml:space="preserve">Insert the same natural key for two tenants and confirm both persist. Confirm the RLS architecture test fails if one of the new tables is added without a policy.</t>
  </si>
  <si>
    <t xml:space="preserve">T-114</t>
  </si>
  <si>
    <t xml:space="preserve">Incremental practice recomputation</t>
  </si>
  <si>
    <t xml:space="preserve">Make practice recomputation incremental against the stage watermarks built in M2a-P3, so a growing history does not become a full recompute.</t>
  </si>
  <si>
    <t xml:space="preserve">Add one day of data and confirm the recomputation scans a bounded delta, evidenced by the Scan Amplification metric staying within baseline.</t>
  </si>
  <si>
    <t xml:space="preserve">T-115</t>
  </si>
  <si>
    <t xml:space="preserve">Wire a real model behind the assistant provider seam</t>
  </si>
  <si>
    <t xml:space="preserve">Optional</t>
  </si>
  <si>
    <t xml:space="preserve">MOVED FROM M1 IN v2.1 as optional and cut-first. AssistantInfrastructureExtensions.AddAssistant registers Top15RealAssistantModel when Top15ModelEndpointConfig.FromEnvironment().IsConfigured and otherwise falls back to ExtractiveAssistantModel. Five environment variables, of which PPIQ_ASSISTANT_MODEL_ENDPOINT alone also enables the path. Top15HttpAssistantModelClient POSTs {Question, ProviderKey, ModelKey, ModelVersion, Evidence[{Handle, Text, SourceKind, SourceRef}]} and reads answer or text. No commercial provider accepts that shape, so the work is a small local translating service. Only retrieved evidence is sent, never the database, and the output still passes GroundingService.</t>
  </si>
  <si>
    <t xml:space="preserve">With the endpoint unset the extractive model answers and the product still works. With it set, answers improve and every number is still cited. The demonstration must never depend on network access in the room, which is why this is not M1 work.</t>
  </si>
  <si>
    <t xml:space="preserve">T-116</t>
  </si>
  <si>
    <t xml:space="preserve">Assistant finalisation on canonical sources</t>
  </si>
  <si>
    <t xml:space="preserve">Move the assistant off any M1-specific retrieval or prepared state and onto the canonical intelligence sources, keeping the M1 dock UX unchanged.</t>
  </si>
  <si>
    <t xml:space="preserve">The continuity snapshot of the assistant dock still matches. Every answer resolves to canonical evidence with no prepared corpus in the path.</t>
  </si>
  <si>
    <t xml:space="preserve">T-117</t>
  </si>
  <si>
    <t xml:space="preserve">M2b-P2</t>
  </si>
  <si>
    <t xml:space="preserve">prediction_runs, predictions and prediction_current</t>
  </si>
  <si>
    <t xml:space="preserve">Prediction</t>
  </si>
  <si>
    <t xml:space="preserve">Build the operational prediction pipeline and prediction_current as the complete operational read model, per Chapter 3 4.5.12.</t>
  </si>
  <si>
    <t xml:space="preserve">Score a live population and confirm prediction_current reflects exactly the active predictions with no stale rows.</t>
  </si>
  <si>
    <t xml:space="preserve">T-118</t>
  </si>
  <si>
    <t xml:space="preserve">Prediction drivers and comparables, persisted</t>
  </si>
  <si>
    <t xml:space="preserve">Persist the contributing drivers and comparable historical cases so explainability is drillable rather than narrated.</t>
  </si>
  <si>
    <t xml:space="preserve">Open a prediction and confirm its drivers and comparables come from persisted rows, not from a UI computation. Delete the rows and confirm the UI refuses rather than inventing.</t>
  </si>
  <si>
    <t xml:space="preserve">T-119</t>
  </si>
  <si>
    <t xml:space="preserve">Actionable deadline and latency health</t>
  </si>
  <si>
    <t xml:space="preserve">Implement actionable_deadline_utc and met_actionable_deadline from Chapter 4 5.8.8, so a prediction that arrives after the stage that could act on it is visibly recorded as missed.</t>
  </si>
  <si>
    <t xml:space="preserve">Force a late prediction and confirm it is recorded as having missed its deadline and is not presented as actionable.</t>
  </si>
  <si>
    <t xml:space="preserve">T-120</t>
  </si>
  <si>
    <t xml:space="preserve">Remediation candidate generation from the customer's own history</t>
  </si>
  <si>
    <t xml:space="preserve">Remediation</t>
  </si>
  <si>
    <t xml:space="preserve">Search the customer's own history for comparable early conditions that later achieved a better outcome, and identify what was done differently in the remaining production stages. Persist the candidate with its proposed later-stage practice, historical support count, expected-effect range, comparable evidence and limitations.</t>
  </si>
  <si>
    <t xml:space="preserve">Generate candidates on the presentation dataset and confirm each carries a support count above the configured threshold, an effect range and resolvable comparable evidence. A candidate with insufficient support must not be generated at all.</t>
  </si>
  <si>
    <t xml:space="preserve">T-121</t>
  </si>
  <si>
    <t xml:space="preserve">The per-prediction nine-check eligibility gate, can_accept and suppression</t>
  </si>
  <si>
    <t xml:space="preserve">Implement the nine checks from Chapter 4 5.6.4d and the can_accept authority from Chapter 3 4.5.12a. The design correction that matters most: eligibility is evaluated PER PREDICTION, not stored as a global property of the template, because the same template is actionable for one unit and not for another that has already passed the stage. Suppressed means suppressed - a failing candidate is not shown at all.</t>
  </si>
  <si>
    <t xml:space="preserve">Craft one input per check and confirm each fails by name. Confirm that a candidate suppressed for one prediction is still offered for another where the checks pass. Confirm a suppressed candidate does not appear anywhere in the UI, since a reader under time pressure may act on what they see.</t>
  </si>
  <si>
    <t xml:space="preserve">T-122</t>
  </si>
  <si>
    <t xml:space="preserve">Accept, Reject and Defer with action recording</t>
  </si>
  <si>
    <t xml:space="preserve">Feedback loop</t>
  </si>
  <si>
    <t xml:space="preserve">Implement the human decision boundary from Chapter 3 DF14: Accept, Reject and Defer, each recorded with its actor, timestamp and reason, and each producing an action record. The product must never automatically control the plant.</t>
  </si>
  <si>
    <t xml:space="preserve">Take each of the three decisions and confirm each is recorded with actor and reason and produces the correct downstream state. Confirm no code path issues a control instruction to any source system.</t>
  </si>
  <si>
    <t xml:space="preserve">T-123</t>
  </si>
  <si>
    <t xml:space="preserve">Outcome capture, evaluation and escalation</t>
  </si>
  <si>
    <t xml:space="preserve">Capture the observed outcome after the fact, write the evaluation that closes the loop, and implement remediation_escalations for the cases that need a human above the operator.</t>
  </si>
  <si>
    <t xml:space="preserve">Accept a candidate, let the outcome arrive, and confirm the evaluation is written and feeds the next governed review. Trigger an escalation condition and confirm it routes correctly.</t>
  </si>
  <si>
    <t xml:space="preserve">T-124</t>
  </si>
  <si>
    <t xml:space="preserve">Retire the superseded correlation engine</t>
  </si>
  <si>
    <t xml:space="preserve">Consolidation</t>
  </si>
  <si>
    <t xml:space="preserve">Three ICorrelationComputeEngine implementations exist plus a fourth engine key that appears in result rows but has no C# class, because those rows were written by running a Postgres function directly. The gated .NET engine is the DI default. Delete the retired Postgres engine and its SQL function, and decide whether the managed keyed service stays.</t>
  </si>
  <si>
    <t xml:space="preserve">One engine remains reachable. A test asserts no compute path can write a finding without passing the readiness gate.</t>
  </si>
  <si>
    <t xml:space="preserve">T-125</t>
  </si>
  <si>
    <t xml:space="preserve">Fix the outcome namespace, grain assignment and ordinal loader</t>
  </si>
  <si>
    <t xml:space="preserve">Three related defects: the engine and the registry use different outcome namespaces; the ML refresh routine deletes and re-inserts outcome values while assigning grain itself, so a manual grain correction is silently undone; and the ordinal loader selects only the effective sample key, numeric value, category value and heat id, never reading the severity column, so an ordinal outcome always reports a zero minority fraction.</t>
  </si>
  <si>
    <t xml:space="preserve">One namespace across engine and registry. Correct the grain in the refresh routine and confirm it survives a refresh. Load an ordinal outcome and confirm the minority fraction reflects the real class spread.</t>
  </si>
  <si>
    <t xml:space="preserve">T-126</t>
  </si>
  <si>
    <t xml:space="preserve">Map the 108 page files onto the 40 target pages</t>
  </si>
  <si>
    <t xml:space="preserve">Chapter 3 4.3 specifies 40 route pages plus 6 shell components. The repository holds 108 page files in 42 groups with 48 lazy route components, and roughly 14 files are reachable by nobody. Produce the keep, merge and delete decision per file, then delete the unreachable ones under Rule 4, which requires the replacement to land with the deletion in the same change.</t>
  </si>
  <si>
    <t xml:space="preserve">A test asserting every page file under src/pages is reachable from a declared route. The count of page files moves toward 40 and no orphan remains.</t>
  </si>
  <si>
    <t xml:space="preserve">T-127</t>
  </si>
  <si>
    <t xml:space="preserve">Delete the legacy redirects and re-verify continuity</t>
  </si>
  <si>
    <t xml:space="preserve">Remove the roughly 20 legacy Navigate redirects and the live phase-token routes (/phase8/*, /phase9/*, /phase15/*) that App.tsx still declares among its 69 route paths, then re-run the Customer Contract Continuity comparison.</t>
  </si>
  <si>
    <t xml:space="preserve">No route path matches /phase\d+/. The continuity comparison against the M1 snapshots still shows no change to any presented page.</t>
  </si>
  <si>
    <t xml:space="preserve">T-128</t>
  </si>
  <si>
    <t xml:space="preserve">Complete the test gates</t>
  </si>
  <si>
    <t xml:space="preserve">Add the remaining pipeline stages from Chapter 6 6.1.3 to reach the specified twenty-two, make visual regression and accessibility blocking, and make the golden journey J1 to J15 a merge blocker.</t>
  </si>
  <si>
    <t xml:space="preserve">A deliberately broken golden journey blocks a merge. A deliberately introduced contrast failure blocks a merge. Both then revert to green.</t>
  </si>
  <si>
    <t xml:space="preserve">T-129</t>
  </si>
  <si>
    <t xml:space="preserve">M3</t>
  </si>
  <si>
    <t xml:space="preserve">M3-P1</t>
  </si>
  <si>
    <t xml:space="preserve">Site defect burn-down</t>
  </si>
  <si>
    <t xml:space="preserve">Site findings</t>
  </si>
  <si>
    <t xml:space="preserve">Fix what soft testing finds, without changing the frozen visible contract unless a formal product decision is approved and recorded.</t>
  </si>
  <si>
    <t xml:space="preserve">Each defect has a reproduction, a fix and a regression test. Any visible-contract change carries a written approval.</t>
  </si>
  <si>
    <t xml:space="preserve">T-130</t>
  </si>
  <si>
    <t xml:space="preserve">Customer data edge cases</t>
  </si>
  <si>
    <t xml:space="preserve">New source patterns, dirty data, unusual keys, timestamps, nulls, late arrivals and customer-specific mapping requirements, handled through the three doors.</t>
  </si>
  <si>
    <t xml:space="preserve">Each case handled through import, registry or authoring. Any case requiring a code branch is escalated as a design gap.</t>
  </si>
  <si>
    <t xml:space="preserve">T-131</t>
  </si>
  <si>
    <t xml:space="preserve">Connector certification against real sources</t>
  </si>
  <si>
    <t xml:space="preserve">Connectors</t>
  </si>
  <si>
    <t xml:space="preserve">Enable and certify the customer's actual connectors. A catalogue row is not a connector; an unbuilt one stays dimmed and badged as planned.</t>
  </si>
  <si>
    <t xml:space="preserve">Each certified connector completes a read-only import against the real source with the load budget enforced.</t>
  </si>
  <si>
    <t xml:space="preserve">T-132</t>
  </si>
  <si>
    <t xml:space="preserve">Query plans, indexes and partition boundaries</t>
  </si>
  <si>
    <t xml:space="preserve">Performance</t>
  </si>
  <si>
    <t xml:space="preserve">Tune against real measurements from the customer's volumes, not against assumptions.</t>
  </si>
  <si>
    <t xml:space="preserve">Before and after query plans recorded for the ten slowest queries, with the improvement measured.</t>
  </si>
  <si>
    <t xml:space="preserve">T-133</t>
  </si>
  <si>
    <t xml:space="preserve">Pool weights, scan amplification and model-serving memory</t>
  </si>
  <si>
    <t xml:space="preserve">Tune the concurrency and memory model to the site's measured load.</t>
  </si>
  <si>
    <t xml:space="preserve">Scan Amplification stays within baseline under real load. No job class starves another.</t>
  </si>
  <si>
    <t xml:space="preserve">T-134</t>
  </si>
  <si>
    <t xml:space="preserve">Customer definitions built through the product</t>
  </si>
  <si>
    <t xml:space="preserve">Authoring</t>
  </si>
  <si>
    <t xml:space="preserve">Build and validate the customer's real pages, relationships, measures, analyses, models and log rules using the product's own authoring surfaces.</t>
  </si>
  <si>
    <t xml:space="preserve">Every customer artifact exists as a definition in the store, created through the interface, with no manual database insert.</t>
  </si>
  <si>
    <t xml:space="preserve">T-135</t>
  </si>
  <si>
    <t xml:space="preserve">Practice and prediction calibration</t>
  </si>
  <si>
    <t xml:space="preserve">Calibration</t>
  </si>
  <si>
    <t xml:space="preserve">Longer data window, retrain and validate under governance, tune thresholds, measure deadline health.</t>
  </si>
  <si>
    <t xml:space="preserve">A governed retraining record exists for each model, with the drift test that gated its release.</t>
  </si>
  <si>
    <t xml:space="preserve">T-136</t>
  </si>
  <si>
    <t xml:space="preserve">Remediation validation against real process constraints</t>
  </si>
  <si>
    <t xml:space="preserve">Validate actionability rules against the customer's real process constraints. The human approval boundary stays intact.</t>
  </si>
  <si>
    <t xml:space="preserve">Each of the nine checks validated against a real constraint. No path permits automatic plant control.</t>
  </si>
  <si>
    <t xml:space="preserve">T-137</t>
  </si>
  <si>
    <t xml:space="preserve">M3-P2</t>
  </si>
  <si>
    <t xml:space="preserve">C1 to C4 capacity certification</t>
  </si>
  <si>
    <t xml:space="preserve">Certification</t>
  </si>
  <si>
    <t xml:space="preserve">Run the four capacity profiles and site benchmarks, and replace the ten REFERENCE_ASSUMPTION constants in the Chapter 6 sizing model with measured values.</t>
  </si>
  <si>
    <t xml:space="preserve">Every worked example in Chapter 6 6.1.9.6 recomputes correctly from measured constants. Chapter 6 is then frozen.</t>
  </si>
  <si>
    <t xml:space="preserve">T-138</t>
  </si>
  <si>
    <t xml:space="preserve">HA, DR and restore rehearsal</t>
  </si>
  <si>
    <t xml:space="preserve">Resilience</t>
  </si>
  <si>
    <t xml:space="preserve">Production topology, RPO and RTO objectives, and a real disaster-recovery rehearsal.</t>
  </si>
  <si>
    <t xml:space="preserve">A full recovery rehearsal completes within the stated RPO and RTO, witnessed and recorded.</t>
  </si>
  <si>
    <t xml:space="preserve">T-139</t>
  </si>
  <si>
    <t xml:space="preserve">SSO and identity integration</t>
  </si>
  <si>
    <t xml:space="preserve">Integrate the customer identity provider with the final role catalogue, account lifecycle and emergency access.</t>
  </si>
  <si>
    <t xml:space="preserve">Account provisioning, de-provisioning and emergency access all tested against the customer directory.</t>
  </si>
  <si>
    <t xml:space="preserve">T-140</t>
  </si>
  <si>
    <t xml:space="preserve">Site security hardening and sign-off</t>
  </si>
  <si>
    <t xml:space="preserve">Network rules, secrets, certificate rotation, RLS and tenant proof, audit review.</t>
  </si>
  <si>
    <t xml:space="preserve">A tenant-isolation proof from the database alone, plus a signed security review.</t>
  </si>
  <si>
    <t xml:space="preserve">T-141</t>
  </si>
  <si>
    <t xml:space="preserve">Monitoring, SLOs and support escalation</t>
  </si>
  <si>
    <t xml:space="preserve">Operational dashboards, alerts, queue and latency and backup and certificate health, and the escalation path.</t>
  </si>
  <si>
    <t xml:space="preserve">Each SLO has a measured baseline and an alert that fires before it is breached.</t>
  </si>
  <si>
    <t xml:space="preserve">T-142</t>
  </si>
  <si>
    <t xml:space="preserve">The Value Engine</t>
  </si>
  <si>
    <t xml:space="preserve">Value</t>
  </si>
  <si>
    <t xml:space="preserve">Build value_impacts, cost_assumptions, the value realisation ledger and the D7 Value Dashboard, honouring the two-downtime-quantity rule. This is the only work that moves the economic buyer, and the pilot supplies the real numbers it needs.</t>
  </si>
  <si>
    <t xml:space="preserve">A euro figure is only ever shown as a bounded range with its assumptions visible and its evidence resolvable. No number without evidence.</t>
  </si>
  <si>
    <t xml:space="preserve">T-143</t>
  </si>
  <si>
    <t xml:space="preserve">Commercial capacity finalisation and the sales calculator</t>
  </si>
  <si>
    <t xml:space="preserve">Commercial</t>
  </si>
  <si>
    <t xml:space="preserve">Validate the real user, page, job, DB-link and data bands against measured infrastructure, and build the Sales Administration and capacity calculator from Chapter 6 6.3.8.</t>
  </si>
  <si>
    <t xml:space="preserve">A quote produced by the calculator matches the measured server class for the same inputs.</t>
  </si>
  <si>
    <t xml:space="preserve">T-144</t>
  </si>
  <si>
    <t xml:space="preserve">Five-product website production completion</t>
  </si>
  <si>
    <t xml:space="preserve">CORRECTED IN v2.2. The redirect replacement, the portfolio page and the mega-menu are now M1 work, because the customer sees the company architecture in the room. What remains here is production completion of the five product pages: full content, proof sections, SEO and metadata, analytics, lead flows, localization, and the final honesty certification across every claim.</t>
  </si>
  <si>
    <t xml:space="preserve">Each of the five products has a complete page under the Golden Rule product-page contract. Every claim passes the Chapter 6 6.2.10 honesty rule and the certification is recorded. Lead flow tested end to end on each page.</t>
  </si>
  <si>
    <t xml:space="preserve">T-145</t>
  </si>
  <si>
    <t xml:space="preserve">Documentation, training and production acceptance</t>
  </si>
  <si>
    <t xml:space="preserve">Runbook, operator and data-engineer and administrator guides, release notes, known limitations, rollback plan and the formal acceptance suite.</t>
  </si>
  <si>
    <t xml:space="preserve">The acceptance suite passes and is signed. Known limitations are written down before the customer finds them.</t>
  </si>
  <si>
    <t xml:space="preserve">Milestone</t>
  </si>
  <si>
    <t xml:space="preserve">Phase Title</t>
  </si>
  <si>
    <t xml:space="preserve">Intent</t>
  </si>
  <si>
    <t xml:space="preserve">Tasks</t>
  </si>
  <si>
    <t xml:space="preserve">Presentation Truth and Dataset Foundation</t>
  </si>
  <si>
    <t xml:space="preserve">Establish what will be shown, prove the environment rebuilds from source control, and plant the analytical phenomena the whole demonstration feeds on. Blocks M1-P3 and M1-P5.</t>
  </si>
  <si>
    <t xml:space="preserve">No-Code Authoring Shell - wiring, SQL and widget authoring</t>
  </si>
  <si>
    <t xml:space="preserve">Presentation beat 1 and half of beat 2. The one shell serving five purposes, in both modes, producing one governed definition. Visible contract is final; persistence behind it may be adapted.</t>
  </si>
  <si>
    <t xml:space="preserve">BI Workspace and Six Showcase Pages</t>
  </si>
  <si>
    <t xml:space="preserve">Presentation beat 2. Seven dashboards are already seeded; this phase is certification, differentiation and interaction quality, not construction.</t>
  </si>
  <si>
    <t xml:space="preserve">Journey J4 to J15 and the Engine Slice</t>
  </si>
  <si>
    <t xml:space="preserve">Presentation beats 3 and 4. RENAMED IN v2.2: the website tasks live in M1-P5, so this phase no longer carries beat 6. Every visible transition credible with no dead end. J1 to J3 are commissioning per Chapter 5 and are narrated, not demonstrated.</t>
  </si>
  <si>
    <t xml:space="preserve">Assistant Dock and Presentation Certification</t>
  </si>
  <si>
    <t xml:space="preserve">Presentation beat 5 plus the certification gate. Deliberately smaller than the other phases because it runs in the last week and must absorb slippage from M1-P1 and M1-P3.</t>
  </si>
  <si>
    <t xml:space="preserve">Canonical Schema Authority and the Unified Definition Store</t>
  </si>
  <si>
    <t xml:space="preserve">Replace the M1 compatibility adapter with the real definition store and move the schema to its final three-schema topology, without the customer-visible contract moving.</t>
  </si>
  <si>
    <t xml:space="preserve">Permanent Relationship Model and Projection Quarantine</t>
  </si>
  <si>
    <t xml:space="preserve">Turn the M1 single-relationship slice into the permanent product mechanism, and make customer data failures visible, typed and recoverable.</t>
  </si>
  <si>
    <t xml:space="preserve">Job Runtime, Delta Propagation and Security Hardening</t>
  </si>
  <si>
    <t xml:space="preserve">Make execution bounded and tenancy real. Chapter 4 5.3.9 proves that the answer to large data is architecture, not tighter licence limits.</t>
  </si>
  <si>
    <t xml:space="preserve">Commissioning, Roles, Licence and the On-Site Package</t>
  </si>
  <si>
    <t xml:space="preserve">Everything required to install and operate at the customer site. The visible surfaces were frozen in M1; this is the backend and the operational package behind them.</t>
  </si>
  <si>
    <t xml:space="preserve">Intelligence Substrate and Practice Learning</t>
  </si>
  <si>
    <t xml:space="preserve">Shipped as a governed update during the soft-test period. The readiness gate requires 60 independent units and 40 outcome events, so these engines cannot produce a real answer in the first weeks of a pilot regardless of when they are built.</t>
  </si>
  <si>
    <t xml:space="preserve">Prediction, Remediation, Engine Consolidation and Gates</t>
  </si>
  <si>
    <t xml:space="preserve">The differentiating intelligence, plus the retirement of superseded engines and the completion of the test gates.</t>
  </si>
  <si>
    <t xml:space="preserve">Site Stabilisation and Real-Data Performance</t>
  </si>
  <si>
    <t xml:space="preserve">Reserved capacity. Half of M3 is written by the customer during the soft test; these phases exist so that work has a home and does not become unplanned scope.</t>
  </si>
  <si>
    <t xml:space="preserve">Production Certification, Enterprise Operations and Commercial Completion</t>
  </si>
  <si>
    <t xml:space="preserve">What the sale depends on. Chapter 6 cannot be frozen until C1 to C4 replace the reference assumptions.</t>
  </si>
  <si>
    <t xml:space="preserve">TOTAL</t>
  </si>
  <si>
    <t xml:space="preserve">Definition</t>
  </si>
  <si>
    <t xml:space="preserve">Customer presentation, 452 h as corrected in v2.2. Freeze what the customer can see; adapt what sits behind it.</t>
  </si>
  <si>
    <t xml:space="preserve">Deployable core, 400 h. Canonical journey and installability. Prediction and remediation surfaces present but legitimately readiness-blocked.</t>
  </si>
  <si>
    <t xml:space="preserve">Intelligence completion, 233 h, shipped as a governed update during the soft test. Full functional J1-J15 acceptance happens here, not at M2a.</t>
  </si>
  <si>
    <t xml:space="preserve">Site stabilisation, real-data performance, certification and commercial completion.</t>
  </si>
  <si>
    <t xml:space="preserve">PPIQ EXECUTABLE BACKLOG v2.2 - FREEZE CANDIDATE - LEGEND</t>
  </si>
  <si>
    <t xml:space="preserve">Edit only these columns</t>
  </si>
  <si>
    <t xml:space="preserve">Status (column K on the Backlog sheet). Everything else is generated from the plan.</t>
  </si>
  <si>
    <t xml:space="preserve">PLANNED EXECUTION ORDER, dependency-aware. Not severity order - severity is the Priority column. Ids restart at each backlog epoch.</t>
  </si>
  <si>
    <t xml:space="preserve">M1 presentation / M2a deployable core / M2b intelligence completion / M3 site and production.</t>
  </si>
  <si>
    <t xml:space="preserve">A group of tasks on one topic, 80 to 120 hours, no exceptions. Every phase ends pushable.</t>
  </si>
  <si>
    <t xml:space="preserve">Critical / Very Important / Important / Optional. This is SEVERITY, not sequence.</t>
  </si>
  <si>
    <t xml:space="preserve">No task exceeds 12 hours. Larger items were split.</t>
  </si>
  <si>
    <t xml:space="preserve">Status values to use</t>
  </si>
  <si>
    <t xml:space="preserve">Not Started / In Progress / Blocked / Done. There is no Partial: a partial task is rewritten as its remainder with a fresh estimate.</t>
  </si>
  <si>
    <t xml:space="preserve">Definition of Done</t>
  </si>
  <si>
    <t xml:space="preserve">The Validation column passes in a browser or against a running system. Compiling is not done. Gates passing is not done.</t>
  </si>
  <si>
    <t xml:space="preserve">Governing law</t>
  </si>
  <si>
    <t xml:space="preserve">Temporary data is allowed. Temporary internal implementation is sometimes allowed. Temporary product identity, UX, workflow or behaviour is never allowed.</t>
  </si>
  <si>
    <t xml:space="preserve">M1 visible contract</t>
  </si>
  <si>
    <t xml:space="preserve">UI appearance, UX flow, routes, terminology, control behaviour and placement, and visible state and refusal semantics are final in M1.</t>
  </si>
  <si>
    <t xml:space="preserve">M1 hidden implementation</t>
  </si>
  <si>
    <t xml:space="preserve">May be a compatibility adapter, temporary schema, or partial algorithm, but only if replacing it later changes nothing the customer can see.</t>
  </si>
  <si>
    <t xml:space="preserve">Never allowed</t>
  </si>
  <si>
    <t xml:space="preserve">A fake hardcoded product answer, at any milestone.</t>
  </si>
  <si>
    <t xml:space="preserve">Example row</t>
  </si>
  <si>
    <t xml:space="preserve">T-001 / M1 / M1-P1 / Build the six-beat Design Traceability Matrix / Documentation / Design contract / Critical / 8 h / Not Started</t>
  </si>
  <si>
    <t xml:space="preserve">Source</t>
  </si>
  <si>
    <t xml:space="preserve">Estimates by Claude against Master Design Chapters 1 to 6 and the UltimateAudit_29Jul2026_233112 repository package. All hours are estimates.</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</si>
</sst>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EAF6FF"/>
      <name val="Arial"/>
      <family val="0"/>
      <charset val="1"/>
    </font>
    <font>
      <b val="true"/>
      <sz val="9"/>
      <name val="Arial"/>
      <family val="0"/>
      <charset val="1"/>
    </font>
    <font>
      <sz val="9"/>
      <name val="Arial"/>
      <family val="0"/>
      <charset val="1"/>
    </font>
    <font>
      <b val="true"/>
      <sz val="10"/>
      <name val="Arial"/>
      <family val="0"/>
      <charset val="1"/>
    </font>
    <font>
      <b val="true"/>
      <sz val="11"/>
      <name val="Arial"/>
      <family val="0"/>
      <charset val="1"/>
    </font>
    <font>
      <b val="true"/>
      <sz val="13"/>
      <name val="Arial"/>
      <family val="0"/>
      <charset val="1"/>
    </font>
  </fonts>
  <fills count="9">
    <fill>
      <patternFill patternType="none"/>
    </fill>
    <fill>
      <patternFill patternType="gray125"/>
    </fill>
    <fill>
      <patternFill patternType="solid">
        <fgColor rgb="FF0B1730"/>
        <bgColor rgb="FF000000"/>
      </patternFill>
    </fill>
    <fill>
      <patternFill patternType="solid">
        <fgColor rgb="FF00D4FF"/>
        <bgColor rgb="FF00FFFF"/>
      </patternFill>
    </fill>
    <fill>
      <patternFill patternType="solid">
        <fgColor rgb="FFFF4D5E"/>
        <bgColor rgb="FFFF8080"/>
      </patternFill>
    </fill>
    <fill>
      <patternFill patternType="solid">
        <fgColor rgb="FFFFB547"/>
        <bgColor rgb="FFFF9900"/>
      </patternFill>
    </fill>
    <fill>
      <patternFill patternType="solid">
        <fgColor rgb="FF0A84FF"/>
        <bgColor rgb="FF3366FF"/>
      </patternFill>
    </fill>
    <fill>
      <patternFill patternType="solid">
        <fgColor rgb="FF2CE6A2"/>
        <bgColor rgb="FF00D4FF"/>
      </patternFill>
    </fill>
    <fill>
      <patternFill patternType="solid">
        <fgColor rgb="FF8EA7C1"/>
        <bgColor rgb="FF9999FF"/>
      </patternFill>
    </fill>
  </fills>
  <borders count="2">
    <border diagonalUp="false" diagonalDown="false">
      <left/>
      <right/>
      <top/>
      <bottom/>
      <diagonal/>
    </border>
    <border diagonalUp="false" diagonalDown="false">
      <left style="thin">
        <color rgb="FF1D3A63"/>
      </left>
      <right style="thin">
        <color rgb="FF1D3A63"/>
      </right>
      <top style="thin">
        <color rgb="FF1D3A63"/>
      </top>
      <bottom style="thin">
        <color rgb="FF1D3A6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right"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0B1730"/>
          <bgColor rgb="FF000000"/>
        </patternFill>
      </fill>
    </dxf>
    <dxf>
      <fill>
        <patternFill patternType="solid">
          <bgColor rgb="FF000000"/>
        </patternFill>
      </fill>
    </dxf>
    <dxf>
      <fill>
        <patternFill patternType="solid">
          <fgColor rgb="FFEAF6FF"/>
          <bgColor rgb="FF000000"/>
        </patternFill>
      </fill>
    </dxf>
    <dxf>
      <fill>
        <patternFill patternType="solid">
          <fgColor rgb="FF00D4FF"/>
          <bgColor rgb="FF000000"/>
        </patternFill>
      </fill>
    </dxf>
    <dxf>
      <fill>
        <patternFill patternType="solid">
          <fgColor rgb="FF0A84FF"/>
          <bgColor rgb="FF000000"/>
        </patternFill>
      </fill>
    </dxf>
    <dxf>
      <fill>
        <patternFill patternType="solid">
          <fgColor rgb="FF2CE6A2"/>
          <bgColor rgb="FF000000"/>
        </patternFill>
      </fill>
    </dxf>
    <dxf>
      <fill>
        <patternFill patternType="solid">
          <fgColor rgb="FF8EA7C1"/>
          <bgColor rgb="FF000000"/>
        </patternFill>
      </fill>
    </dxf>
    <dxf>
      <fill>
        <patternFill patternType="solid">
          <fgColor rgb="FFFF4D5E"/>
          <bgColor rgb="FF000000"/>
        </patternFill>
      </fill>
    </dxf>
    <dxf>
      <fill>
        <patternFill patternType="solid">
          <fgColor rgb="FFFFB547"/>
          <bgColor rgb="FF000000"/>
        </patternFill>
      </fill>
    </dxf>
  </dxfs>
  <colors>
    <indexedColors>
      <rgbColor rgb="FF000000"/>
      <rgbColor rgb="FFEAF6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A84FF"/>
      <rgbColor rgb="FFCCCCFF"/>
      <rgbColor rgb="FF000080"/>
      <rgbColor rgb="FFFF00FF"/>
      <rgbColor rgb="FFFFFF00"/>
      <rgbColor rgb="FF00FFFF"/>
      <rgbColor rgb="FF800080"/>
      <rgbColor rgb="FF800000"/>
      <rgbColor rgb="FF008080"/>
      <rgbColor rgb="FF0000FF"/>
      <rgbColor rgb="FF00D4FF"/>
      <rgbColor rgb="FFCCFFFF"/>
      <rgbColor rgb="FFCCFFCC"/>
      <rgbColor rgb="FFFFFF99"/>
      <rgbColor rgb="FF99CCFF"/>
      <rgbColor rgb="FFFF99CC"/>
      <rgbColor rgb="FFCC99FF"/>
      <rgbColor rgb="FFFFCC99"/>
      <rgbColor rgb="FF3366FF"/>
      <rgbColor rgb="FF2CE6A2"/>
      <rgbColor rgb="FF99CC00"/>
      <rgbColor rgb="FFFFB547"/>
      <rgbColor rgb="FFFF9900"/>
      <rgbColor rgb="FFFF4D5E"/>
      <rgbColor rgb="FF666699"/>
      <rgbColor rgb="FF8EA7C1"/>
      <rgbColor rgb="FF1D3A63"/>
      <rgbColor rgb="FF339966"/>
      <rgbColor rgb="FF0B173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0"/>
    <col collapsed="false" customWidth="true" hidden="false" outlineLevel="0" max="4" min="4" style="0" width="40"/>
    <col collapsed="false" customWidth="true" hidden="false" outlineLevel="0" max="5" min="5" style="0" width="14"/>
    <col collapsed="false" customWidth="true" hidden="false" outlineLevel="0" max="6" min="6" style="0" width="20"/>
    <col collapsed="false" customWidth="true" hidden="false" outlineLevel="0" max="7" min="7" style="0" width="15"/>
    <col collapsed="false" customWidth="true" hidden="false" outlineLevel="0" max="8" min="8" style="0" width="95"/>
    <col collapsed="false" customWidth="true" hidden="false" outlineLevel="0" max="9" min="9" style="0" width="70"/>
    <col collapsed="false" customWidth="true" hidden="false" outlineLevel="0" max="10" min="10" style="0" width="8"/>
    <col collapsed="false" customWidth="true" hidden="false" outlineLevel="0" max="11" min="11" style="0" width="13"/>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row>
    <row r="2" customFormat="false" ht="96" hidden="false" customHeight="true" outlineLevel="0" collapsed="false">
      <c r="A2" s="2" t="s">
        <v>11</v>
      </c>
      <c r="B2" s="3" t="s">
        <v>12</v>
      </c>
      <c r="C2" s="4" t="s">
        <v>13</v>
      </c>
      <c r="D2" s="4" t="s">
        <v>14</v>
      </c>
      <c r="E2" s="4" t="s">
        <v>15</v>
      </c>
      <c r="F2" s="4" t="s">
        <v>16</v>
      </c>
      <c r="G2" s="5" t="s">
        <v>17</v>
      </c>
      <c r="H2" s="4" t="s">
        <v>18</v>
      </c>
      <c r="I2" s="4" t="s">
        <v>19</v>
      </c>
      <c r="J2" s="6" t="n">
        <v>8</v>
      </c>
      <c r="K2" s="4" t="s">
        <v>20</v>
      </c>
    </row>
    <row r="3" customFormat="false" ht="96" hidden="false" customHeight="true" outlineLevel="0" collapsed="false">
      <c r="A3" s="2" t="s">
        <v>21</v>
      </c>
      <c r="B3" s="3" t="s">
        <v>12</v>
      </c>
      <c r="C3" s="4" t="s">
        <v>13</v>
      </c>
      <c r="D3" s="4" t="s">
        <v>22</v>
      </c>
      <c r="E3" s="4" t="s">
        <v>23</v>
      </c>
      <c r="F3" s="4" t="s">
        <v>16</v>
      </c>
      <c r="G3" s="5" t="s">
        <v>17</v>
      </c>
      <c r="H3" s="4" t="s">
        <v>24</v>
      </c>
      <c r="I3" s="4" t="s">
        <v>25</v>
      </c>
      <c r="J3" s="6" t="n">
        <v>8</v>
      </c>
      <c r="K3" s="4" t="s">
        <v>20</v>
      </c>
    </row>
    <row r="4" customFormat="false" ht="96" hidden="false" customHeight="true" outlineLevel="0" collapsed="false">
      <c r="A4" s="2" t="s">
        <v>26</v>
      </c>
      <c r="B4" s="3" t="s">
        <v>12</v>
      </c>
      <c r="C4" s="4" t="s">
        <v>13</v>
      </c>
      <c r="D4" s="4" t="s">
        <v>27</v>
      </c>
      <c r="E4" s="4" t="s">
        <v>28</v>
      </c>
      <c r="F4" s="4" t="s">
        <v>29</v>
      </c>
      <c r="G4" s="5" t="s">
        <v>17</v>
      </c>
      <c r="H4" s="4" t="s">
        <v>30</v>
      </c>
      <c r="I4" s="4" t="s">
        <v>31</v>
      </c>
      <c r="J4" s="6" t="n">
        <v>4</v>
      </c>
      <c r="K4" s="4" t="s">
        <v>20</v>
      </c>
    </row>
    <row r="5" customFormat="false" ht="96" hidden="false" customHeight="true" outlineLevel="0" collapsed="false">
      <c r="A5" s="2" t="s">
        <v>32</v>
      </c>
      <c r="B5" s="3" t="s">
        <v>12</v>
      </c>
      <c r="C5" s="4" t="s">
        <v>13</v>
      </c>
      <c r="D5" s="4" t="s">
        <v>33</v>
      </c>
      <c r="E5" s="4" t="s">
        <v>34</v>
      </c>
      <c r="F5" s="4" t="s">
        <v>35</v>
      </c>
      <c r="G5" s="7" t="s">
        <v>36</v>
      </c>
      <c r="H5" s="4" t="s">
        <v>37</v>
      </c>
      <c r="I5" s="4" t="s">
        <v>38</v>
      </c>
      <c r="J5" s="6" t="n">
        <v>4</v>
      </c>
      <c r="K5" s="4" t="s">
        <v>20</v>
      </c>
    </row>
    <row r="6" customFormat="false" ht="96" hidden="false" customHeight="true" outlineLevel="0" collapsed="false">
      <c r="A6" s="2" t="s">
        <v>39</v>
      </c>
      <c r="B6" s="3" t="s">
        <v>12</v>
      </c>
      <c r="C6" s="4" t="s">
        <v>13</v>
      </c>
      <c r="D6" s="4" t="s">
        <v>40</v>
      </c>
      <c r="E6" s="4" t="s">
        <v>15</v>
      </c>
      <c r="F6" s="4" t="s">
        <v>41</v>
      </c>
      <c r="G6" s="8" t="s">
        <v>42</v>
      </c>
      <c r="H6" s="4" t="s">
        <v>43</v>
      </c>
      <c r="I6" s="4" t="s">
        <v>44</v>
      </c>
      <c r="J6" s="6" t="n">
        <v>4</v>
      </c>
      <c r="K6" s="4" t="s">
        <v>20</v>
      </c>
    </row>
    <row r="7" customFormat="false" ht="96" hidden="false" customHeight="true" outlineLevel="0" collapsed="false">
      <c r="A7" s="2" t="s">
        <v>45</v>
      </c>
      <c r="B7" s="3" t="s">
        <v>12</v>
      </c>
      <c r="C7" s="4" t="s">
        <v>13</v>
      </c>
      <c r="D7" s="4" t="s">
        <v>46</v>
      </c>
      <c r="E7" s="4" t="s">
        <v>34</v>
      </c>
      <c r="F7" s="4" t="s">
        <v>47</v>
      </c>
      <c r="G7" s="5" t="s">
        <v>17</v>
      </c>
      <c r="H7" s="4" t="s">
        <v>48</v>
      </c>
      <c r="I7" s="4" t="s">
        <v>49</v>
      </c>
      <c r="J7" s="6" t="n">
        <v>6</v>
      </c>
      <c r="K7" s="4" t="s">
        <v>20</v>
      </c>
    </row>
    <row r="8" customFormat="false" ht="96" hidden="false" customHeight="true" outlineLevel="0" collapsed="false">
      <c r="A8" s="2" t="s">
        <v>50</v>
      </c>
      <c r="B8" s="3" t="s">
        <v>12</v>
      </c>
      <c r="C8" s="4" t="s">
        <v>13</v>
      </c>
      <c r="D8" s="4" t="s">
        <v>51</v>
      </c>
      <c r="E8" s="4" t="s">
        <v>34</v>
      </c>
      <c r="F8" s="4" t="s">
        <v>47</v>
      </c>
      <c r="G8" s="5" t="s">
        <v>17</v>
      </c>
      <c r="H8" s="4" t="s">
        <v>52</v>
      </c>
      <c r="I8" s="4" t="s">
        <v>53</v>
      </c>
      <c r="J8" s="6" t="n">
        <v>8</v>
      </c>
      <c r="K8" s="4" t="s">
        <v>20</v>
      </c>
    </row>
    <row r="9" customFormat="false" ht="96" hidden="false" customHeight="true" outlineLevel="0" collapsed="false">
      <c r="A9" s="2" t="s">
        <v>54</v>
      </c>
      <c r="B9" s="3" t="s">
        <v>12</v>
      </c>
      <c r="C9" s="4" t="s">
        <v>13</v>
      </c>
      <c r="D9" s="4" t="s">
        <v>55</v>
      </c>
      <c r="E9" s="4" t="s">
        <v>15</v>
      </c>
      <c r="F9" s="4" t="s">
        <v>47</v>
      </c>
      <c r="G9" s="5" t="s">
        <v>17</v>
      </c>
      <c r="H9" s="4" t="s">
        <v>56</v>
      </c>
      <c r="I9" s="4" t="s">
        <v>57</v>
      </c>
      <c r="J9" s="6" t="n">
        <v>8</v>
      </c>
      <c r="K9" s="4" t="s">
        <v>20</v>
      </c>
    </row>
    <row r="10" customFormat="false" ht="96" hidden="false" customHeight="true" outlineLevel="0" collapsed="false">
      <c r="A10" s="2" t="s">
        <v>58</v>
      </c>
      <c r="B10" s="3" t="s">
        <v>12</v>
      </c>
      <c r="C10" s="4" t="s">
        <v>13</v>
      </c>
      <c r="D10" s="4" t="s">
        <v>59</v>
      </c>
      <c r="E10" s="4" t="s">
        <v>34</v>
      </c>
      <c r="F10" s="4" t="s">
        <v>60</v>
      </c>
      <c r="G10" s="5" t="s">
        <v>17</v>
      </c>
      <c r="H10" s="4" t="s">
        <v>61</v>
      </c>
      <c r="I10" s="4" t="s">
        <v>62</v>
      </c>
      <c r="J10" s="6" t="n">
        <v>8</v>
      </c>
      <c r="K10" s="4" t="s">
        <v>20</v>
      </c>
    </row>
    <row r="11" customFormat="false" ht="96" hidden="false" customHeight="true" outlineLevel="0" collapsed="false">
      <c r="A11" s="2" t="s">
        <v>63</v>
      </c>
      <c r="B11" s="3" t="s">
        <v>12</v>
      </c>
      <c r="C11" s="4" t="s">
        <v>13</v>
      </c>
      <c r="D11" s="4" t="s">
        <v>64</v>
      </c>
      <c r="E11" s="4" t="s">
        <v>65</v>
      </c>
      <c r="F11" s="4" t="s">
        <v>66</v>
      </c>
      <c r="G11" s="5" t="s">
        <v>17</v>
      </c>
      <c r="H11" s="4" t="s">
        <v>67</v>
      </c>
      <c r="I11" s="4" t="s">
        <v>68</v>
      </c>
      <c r="J11" s="6" t="n">
        <v>6</v>
      </c>
      <c r="K11" s="4" t="s">
        <v>20</v>
      </c>
    </row>
    <row r="12" customFormat="false" ht="96" hidden="false" customHeight="true" outlineLevel="0" collapsed="false">
      <c r="A12" s="2" t="s">
        <v>69</v>
      </c>
      <c r="B12" s="3" t="s">
        <v>12</v>
      </c>
      <c r="C12" s="4" t="s">
        <v>13</v>
      </c>
      <c r="D12" s="4" t="s">
        <v>70</v>
      </c>
      <c r="E12" s="4" t="s">
        <v>34</v>
      </c>
      <c r="F12" s="4" t="s">
        <v>60</v>
      </c>
      <c r="G12" s="5" t="s">
        <v>17</v>
      </c>
      <c r="H12" s="4" t="s">
        <v>71</v>
      </c>
      <c r="I12" s="4" t="s">
        <v>72</v>
      </c>
      <c r="J12" s="6" t="n">
        <v>8</v>
      </c>
      <c r="K12" s="4" t="s">
        <v>20</v>
      </c>
    </row>
    <row r="13" customFormat="false" ht="96" hidden="false" customHeight="true" outlineLevel="0" collapsed="false">
      <c r="A13" s="2" t="s">
        <v>73</v>
      </c>
      <c r="B13" s="3" t="s">
        <v>12</v>
      </c>
      <c r="C13" s="4" t="s">
        <v>13</v>
      </c>
      <c r="D13" s="4" t="s">
        <v>74</v>
      </c>
      <c r="E13" s="4" t="s">
        <v>34</v>
      </c>
      <c r="F13" s="4" t="s">
        <v>60</v>
      </c>
      <c r="G13" s="5" t="s">
        <v>17</v>
      </c>
      <c r="H13" s="4" t="s">
        <v>75</v>
      </c>
      <c r="I13" s="4" t="s">
        <v>76</v>
      </c>
      <c r="J13" s="6" t="n">
        <v>8</v>
      </c>
      <c r="K13" s="4" t="s">
        <v>20</v>
      </c>
    </row>
    <row r="14" customFormat="false" ht="96" hidden="false" customHeight="true" outlineLevel="0" collapsed="false">
      <c r="A14" s="2" t="s">
        <v>77</v>
      </c>
      <c r="B14" s="3" t="s">
        <v>12</v>
      </c>
      <c r="C14" s="4" t="s">
        <v>13</v>
      </c>
      <c r="D14" s="4" t="s">
        <v>78</v>
      </c>
      <c r="E14" s="4" t="s">
        <v>79</v>
      </c>
      <c r="F14" s="4" t="s">
        <v>47</v>
      </c>
      <c r="G14" s="5" t="s">
        <v>17</v>
      </c>
      <c r="H14" s="4" t="s">
        <v>80</v>
      </c>
      <c r="I14" s="4" t="s">
        <v>81</v>
      </c>
      <c r="J14" s="6" t="n">
        <v>8</v>
      </c>
      <c r="K14" s="4" t="s">
        <v>20</v>
      </c>
    </row>
    <row r="15" customFormat="false" ht="96" hidden="false" customHeight="true" outlineLevel="0" collapsed="false">
      <c r="A15" s="2" t="s">
        <v>82</v>
      </c>
      <c r="B15" s="3" t="s">
        <v>12</v>
      </c>
      <c r="C15" s="4" t="s">
        <v>13</v>
      </c>
      <c r="D15" s="4" t="s">
        <v>83</v>
      </c>
      <c r="E15" s="4" t="s">
        <v>34</v>
      </c>
      <c r="F15" s="4" t="s">
        <v>47</v>
      </c>
      <c r="G15" s="7" t="s">
        <v>36</v>
      </c>
      <c r="H15" s="4" t="s">
        <v>84</v>
      </c>
      <c r="I15" s="4" t="s">
        <v>85</v>
      </c>
      <c r="J15" s="6" t="n">
        <v>4</v>
      </c>
      <c r="K15" s="4" t="s">
        <v>20</v>
      </c>
    </row>
    <row r="16" customFormat="false" ht="96" hidden="false" customHeight="true" outlineLevel="0" collapsed="false">
      <c r="A16" s="2" t="s">
        <v>86</v>
      </c>
      <c r="B16" s="3" t="s">
        <v>12</v>
      </c>
      <c r="C16" s="4" t="s">
        <v>13</v>
      </c>
      <c r="D16" s="4" t="s">
        <v>87</v>
      </c>
      <c r="E16" s="4" t="s">
        <v>88</v>
      </c>
      <c r="F16" s="4" t="s">
        <v>89</v>
      </c>
      <c r="G16" s="7" t="s">
        <v>36</v>
      </c>
      <c r="H16" s="4" t="s">
        <v>90</v>
      </c>
      <c r="I16" s="4" t="s">
        <v>91</v>
      </c>
      <c r="J16" s="6" t="n">
        <v>6</v>
      </c>
      <c r="K16" s="4" t="s">
        <v>20</v>
      </c>
    </row>
    <row r="17" customFormat="false" ht="96" hidden="false" customHeight="true" outlineLevel="0" collapsed="false">
      <c r="A17" s="2" t="s">
        <v>92</v>
      </c>
      <c r="B17" s="3" t="s">
        <v>12</v>
      </c>
      <c r="C17" s="4" t="s">
        <v>93</v>
      </c>
      <c r="D17" s="4" t="s">
        <v>94</v>
      </c>
      <c r="E17" s="4" t="s">
        <v>23</v>
      </c>
      <c r="F17" s="4" t="s">
        <v>95</v>
      </c>
      <c r="G17" s="5" t="s">
        <v>17</v>
      </c>
      <c r="H17" s="4" t="s">
        <v>96</v>
      </c>
      <c r="I17" s="4" t="s">
        <v>97</v>
      </c>
      <c r="J17" s="6" t="n">
        <v>12</v>
      </c>
      <c r="K17" s="4" t="s">
        <v>20</v>
      </c>
    </row>
    <row r="18" customFormat="false" ht="96" hidden="false" customHeight="true" outlineLevel="0" collapsed="false">
      <c r="A18" s="2" t="s">
        <v>98</v>
      </c>
      <c r="B18" s="3" t="s">
        <v>12</v>
      </c>
      <c r="C18" s="4" t="s">
        <v>93</v>
      </c>
      <c r="D18" s="4" t="s">
        <v>99</v>
      </c>
      <c r="E18" s="4" t="s">
        <v>23</v>
      </c>
      <c r="F18" s="4" t="s">
        <v>95</v>
      </c>
      <c r="G18" s="5" t="s">
        <v>17</v>
      </c>
      <c r="H18" s="4" t="s">
        <v>100</v>
      </c>
      <c r="I18" s="4" t="s">
        <v>101</v>
      </c>
      <c r="J18" s="6" t="n">
        <v>12</v>
      </c>
      <c r="K18" s="4" t="s">
        <v>20</v>
      </c>
    </row>
    <row r="19" customFormat="false" ht="96" hidden="false" customHeight="true" outlineLevel="0" collapsed="false">
      <c r="A19" s="2" t="s">
        <v>102</v>
      </c>
      <c r="B19" s="3" t="s">
        <v>12</v>
      </c>
      <c r="C19" s="4" t="s">
        <v>93</v>
      </c>
      <c r="D19" s="4" t="s">
        <v>103</v>
      </c>
      <c r="E19" s="4" t="s">
        <v>23</v>
      </c>
      <c r="F19" s="4" t="s">
        <v>95</v>
      </c>
      <c r="G19" s="7" t="s">
        <v>36</v>
      </c>
      <c r="H19" s="4" t="s">
        <v>104</v>
      </c>
      <c r="I19" s="4" t="s">
        <v>105</v>
      </c>
      <c r="J19" s="6" t="n">
        <v>10</v>
      </c>
      <c r="K19" s="4" t="s">
        <v>20</v>
      </c>
    </row>
    <row r="20" customFormat="false" ht="96" hidden="false" customHeight="true" outlineLevel="0" collapsed="false">
      <c r="A20" s="2" t="s">
        <v>106</v>
      </c>
      <c r="B20" s="3" t="s">
        <v>12</v>
      </c>
      <c r="C20" s="4" t="s">
        <v>93</v>
      </c>
      <c r="D20" s="4" t="s">
        <v>107</v>
      </c>
      <c r="E20" s="4" t="s">
        <v>23</v>
      </c>
      <c r="F20" s="4" t="s">
        <v>108</v>
      </c>
      <c r="G20" s="7" t="s">
        <v>36</v>
      </c>
      <c r="H20" s="4" t="s">
        <v>109</v>
      </c>
      <c r="I20" s="4" t="s">
        <v>110</v>
      </c>
      <c r="J20" s="6" t="n">
        <v>8</v>
      </c>
      <c r="K20" s="4" t="s">
        <v>20</v>
      </c>
    </row>
    <row r="21" customFormat="false" ht="96" hidden="false" customHeight="true" outlineLevel="0" collapsed="false">
      <c r="A21" s="2" t="s">
        <v>111</v>
      </c>
      <c r="B21" s="3" t="s">
        <v>12</v>
      </c>
      <c r="C21" s="4" t="s">
        <v>93</v>
      </c>
      <c r="D21" s="4" t="s">
        <v>112</v>
      </c>
      <c r="E21" s="4" t="s">
        <v>23</v>
      </c>
      <c r="F21" s="4" t="s">
        <v>108</v>
      </c>
      <c r="G21" s="5" t="s">
        <v>17</v>
      </c>
      <c r="H21" s="4" t="s">
        <v>113</v>
      </c>
      <c r="I21" s="4" t="s">
        <v>114</v>
      </c>
      <c r="J21" s="6" t="n">
        <v>12</v>
      </c>
      <c r="K21" s="4" t="s">
        <v>20</v>
      </c>
    </row>
    <row r="22" customFormat="false" ht="96" hidden="false" customHeight="true" outlineLevel="0" collapsed="false">
      <c r="A22" s="2" t="s">
        <v>115</v>
      </c>
      <c r="B22" s="3" t="s">
        <v>12</v>
      </c>
      <c r="C22" s="4" t="s">
        <v>93</v>
      </c>
      <c r="D22" s="4" t="s">
        <v>116</v>
      </c>
      <c r="E22" s="4" t="s">
        <v>23</v>
      </c>
      <c r="F22" s="4" t="s">
        <v>95</v>
      </c>
      <c r="G22" s="8" t="s">
        <v>42</v>
      </c>
      <c r="H22" s="4" t="s">
        <v>117</v>
      </c>
      <c r="I22" s="4" t="s">
        <v>118</v>
      </c>
      <c r="J22" s="6" t="n">
        <v>3</v>
      </c>
      <c r="K22" s="4" t="s">
        <v>20</v>
      </c>
    </row>
    <row r="23" customFormat="false" ht="96" hidden="false" customHeight="true" outlineLevel="0" collapsed="false">
      <c r="A23" s="2" t="s">
        <v>119</v>
      </c>
      <c r="B23" s="3" t="s">
        <v>12</v>
      </c>
      <c r="C23" s="4" t="s">
        <v>93</v>
      </c>
      <c r="D23" s="4" t="s">
        <v>120</v>
      </c>
      <c r="E23" s="4" t="s">
        <v>23</v>
      </c>
      <c r="F23" s="4" t="s">
        <v>121</v>
      </c>
      <c r="G23" s="5" t="s">
        <v>17</v>
      </c>
      <c r="H23" s="4" t="s">
        <v>122</v>
      </c>
      <c r="I23" s="4" t="s">
        <v>123</v>
      </c>
      <c r="J23" s="6" t="n">
        <v>12</v>
      </c>
      <c r="K23" s="4" t="s">
        <v>20</v>
      </c>
    </row>
    <row r="24" customFormat="false" ht="96" hidden="false" customHeight="true" outlineLevel="0" collapsed="false">
      <c r="A24" s="2" t="s">
        <v>124</v>
      </c>
      <c r="B24" s="3" t="s">
        <v>12</v>
      </c>
      <c r="C24" s="4" t="s">
        <v>93</v>
      </c>
      <c r="D24" s="4" t="s">
        <v>125</v>
      </c>
      <c r="E24" s="4" t="s">
        <v>65</v>
      </c>
      <c r="F24" s="4" t="s">
        <v>126</v>
      </c>
      <c r="G24" s="5" t="s">
        <v>17</v>
      </c>
      <c r="H24" s="4" t="s">
        <v>127</v>
      </c>
      <c r="I24" s="4" t="s">
        <v>128</v>
      </c>
      <c r="J24" s="6" t="n">
        <v>12</v>
      </c>
      <c r="K24" s="4" t="s">
        <v>20</v>
      </c>
    </row>
    <row r="25" customFormat="false" ht="96" hidden="false" customHeight="true" outlineLevel="0" collapsed="false">
      <c r="A25" s="2" t="s">
        <v>129</v>
      </c>
      <c r="B25" s="3" t="s">
        <v>12</v>
      </c>
      <c r="C25" s="4" t="s">
        <v>93</v>
      </c>
      <c r="D25" s="4" t="s">
        <v>130</v>
      </c>
      <c r="E25" s="4" t="s">
        <v>23</v>
      </c>
      <c r="F25" s="4" t="s">
        <v>95</v>
      </c>
      <c r="G25" s="7" t="s">
        <v>36</v>
      </c>
      <c r="H25" s="4" t="s">
        <v>131</v>
      </c>
      <c r="I25" s="4" t="s">
        <v>132</v>
      </c>
      <c r="J25" s="6" t="n">
        <v>8</v>
      </c>
      <c r="K25" s="4" t="s">
        <v>20</v>
      </c>
    </row>
    <row r="26" customFormat="false" ht="96" hidden="false" customHeight="true" outlineLevel="0" collapsed="false">
      <c r="A26" s="2" t="s">
        <v>133</v>
      </c>
      <c r="B26" s="3" t="s">
        <v>12</v>
      </c>
      <c r="C26" s="4" t="s">
        <v>134</v>
      </c>
      <c r="D26" s="4" t="s">
        <v>135</v>
      </c>
      <c r="E26" s="4" t="s">
        <v>23</v>
      </c>
      <c r="F26" s="4" t="s">
        <v>121</v>
      </c>
      <c r="G26" s="5" t="s">
        <v>17</v>
      </c>
      <c r="H26" s="4" t="s">
        <v>136</v>
      </c>
      <c r="I26" s="4" t="s">
        <v>137</v>
      </c>
      <c r="J26" s="6" t="n">
        <v>6</v>
      </c>
      <c r="K26" s="4" t="s">
        <v>20</v>
      </c>
    </row>
    <row r="27" customFormat="false" ht="96" hidden="false" customHeight="true" outlineLevel="0" collapsed="false">
      <c r="A27" s="2" t="s">
        <v>138</v>
      </c>
      <c r="B27" s="3" t="s">
        <v>12</v>
      </c>
      <c r="C27" s="4" t="s">
        <v>134</v>
      </c>
      <c r="D27" s="4" t="s">
        <v>139</v>
      </c>
      <c r="E27" s="4" t="s">
        <v>23</v>
      </c>
      <c r="F27" s="4" t="s">
        <v>121</v>
      </c>
      <c r="G27" s="5" t="s">
        <v>17</v>
      </c>
      <c r="H27" s="4" t="s">
        <v>140</v>
      </c>
      <c r="I27" s="4" t="s">
        <v>141</v>
      </c>
      <c r="J27" s="6" t="n">
        <v>6</v>
      </c>
      <c r="K27" s="4" t="s">
        <v>20</v>
      </c>
    </row>
    <row r="28" customFormat="false" ht="96" hidden="false" customHeight="true" outlineLevel="0" collapsed="false">
      <c r="A28" s="2" t="s">
        <v>142</v>
      </c>
      <c r="B28" s="3" t="s">
        <v>12</v>
      </c>
      <c r="C28" s="4" t="s">
        <v>134</v>
      </c>
      <c r="D28" s="4" t="s">
        <v>143</v>
      </c>
      <c r="E28" s="4" t="s">
        <v>23</v>
      </c>
      <c r="F28" s="4" t="s">
        <v>121</v>
      </c>
      <c r="G28" s="5" t="s">
        <v>17</v>
      </c>
      <c r="H28" s="4" t="s">
        <v>144</v>
      </c>
      <c r="I28" s="4" t="s">
        <v>145</v>
      </c>
      <c r="J28" s="6" t="n">
        <v>12</v>
      </c>
      <c r="K28" s="4" t="s">
        <v>20</v>
      </c>
    </row>
    <row r="29" customFormat="false" ht="96" hidden="false" customHeight="true" outlineLevel="0" collapsed="false">
      <c r="A29" s="2" t="s">
        <v>146</v>
      </c>
      <c r="B29" s="3" t="s">
        <v>12</v>
      </c>
      <c r="C29" s="4" t="s">
        <v>134</v>
      </c>
      <c r="D29" s="4" t="s">
        <v>147</v>
      </c>
      <c r="E29" s="4" t="s">
        <v>88</v>
      </c>
      <c r="F29" s="4" t="s">
        <v>121</v>
      </c>
      <c r="G29" s="5" t="s">
        <v>17</v>
      </c>
      <c r="H29" s="4" t="s">
        <v>148</v>
      </c>
      <c r="I29" s="4" t="s">
        <v>149</v>
      </c>
      <c r="J29" s="6" t="n">
        <v>8</v>
      </c>
      <c r="K29" s="4" t="s">
        <v>20</v>
      </c>
    </row>
    <row r="30" customFormat="false" ht="96" hidden="false" customHeight="true" outlineLevel="0" collapsed="false">
      <c r="A30" s="2" t="s">
        <v>150</v>
      </c>
      <c r="B30" s="3" t="s">
        <v>12</v>
      </c>
      <c r="C30" s="4" t="s">
        <v>134</v>
      </c>
      <c r="D30" s="4" t="s">
        <v>151</v>
      </c>
      <c r="E30" s="4" t="s">
        <v>23</v>
      </c>
      <c r="F30" s="4" t="s">
        <v>121</v>
      </c>
      <c r="G30" s="5" t="s">
        <v>17</v>
      </c>
      <c r="H30" s="4" t="s">
        <v>152</v>
      </c>
      <c r="I30" s="4" t="s">
        <v>153</v>
      </c>
      <c r="J30" s="6" t="n">
        <v>12</v>
      </c>
      <c r="K30" s="4" t="s">
        <v>20</v>
      </c>
    </row>
    <row r="31" customFormat="false" ht="96" hidden="false" customHeight="true" outlineLevel="0" collapsed="false">
      <c r="A31" s="2" t="s">
        <v>154</v>
      </c>
      <c r="B31" s="3" t="s">
        <v>12</v>
      </c>
      <c r="C31" s="4" t="s">
        <v>134</v>
      </c>
      <c r="D31" s="4" t="s">
        <v>155</v>
      </c>
      <c r="E31" s="4" t="s">
        <v>65</v>
      </c>
      <c r="F31" s="4" t="s">
        <v>156</v>
      </c>
      <c r="G31" s="5" t="s">
        <v>17</v>
      </c>
      <c r="H31" s="4" t="s">
        <v>157</v>
      </c>
      <c r="I31" s="4" t="s">
        <v>158</v>
      </c>
      <c r="J31" s="6" t="n">
        <v>8</v>
      </c>
      <c r="K31" s="4" t="s">
        <v>20</v>
      </c>
    </row>
    <row r="32" customFormat="false" ht="96" hidden="false" customHeight="true" outlineLevel="0" collapsed="false">
      <c r="A32" s="2" t="s">
        <v>159</v>
      </c>
      <c r="B32" s="3" t="s">
        <v>12</v>
      </c>
      <c r="C32" s="4" t="s">
        <v>134</v>
      </c>
      <c r="D32" s="4" t="s">
        <v>160</v>
      </c>
      <c r="E32" s="4" t="s">
        <v>23</v>
      </c>
      <c r="F32" s="4" t="s">
        <v>121</v>
      </c>
      <c r="G32" s="7" t="s">
        <v>36</v>
      </c>
      <c r="H32" s="4" t="s">
        <v>161</v>
      </c>
      <c r="I32" s="4" t="s">
        <v>162</v>
      </c>
      <c r="J32" s="6" t="n">
        <v>8</v>
      </c>
      <c r="K32" s="4" t="s">
        <v>20</v>
      </c>
    </row>
    <row r="33" customFormat="false" ht="96" hidden="false" customHeight="true" outlineLevel="0" collapsed="false">
      <c r="A33" s="2" t="s">
        <v>163</v>
      </c>
      <c r="B33" s="3" t="s">
        <v>12</v>
      </c>
      <c r="C33" s="4" t="s">
        <v>134</v>
      </c>
      <c r="D33" s="4" t="s">
        <v>164</v>
      </c>
      <c r="E33" s="4" t="s">
        <v>23</v>
      </c>
      <c r="F33" s="4" t="s">
        <v>121</v>
      </c>
      <c r="G33" s="7" t="s">
        <v>36</v>
      </c>
      <c r="H33" s="4" t="s">
        <v>165</v>
      </c>
      <c r="I33" s="4" t="s">
        <v>166</v>
      </c>
      <c r="J33" s="6" t="n">
        <v>4</v>
      </c>
      <c r="K33" s="4" t="s">
        <v>20</v>
      </c>
    </row>
    <row r="34" customFormat="false" ht="96" hidden="false" customHeight="true" outlineLevel="0" collapsed="false">
      <c r="A34" s="2" t="s">
        <v>167</v>
      </c>
      <c r="B34" s="3" t="s">
        <v>12</v>
      </c>
      <c r="C34" s="4" t="s">
        <v>134</v>
      </c>
      <c r="D34" s="4" t="s">
        <v>168</v>
      </c>
      <c r="E34" s="4" t="s">
        <v>23</v>
      </c>
      <c r="F34" s="4" t="s">
        <v>121</v>
      </c>
      <c r="G34" s="8" t="s">
        <v>42</v>
      </c>
      <c r="H34" s="4" t="s">
        <v>169</v>
      </c>
      <c r="I34" s="4" t="s">
        <v>170</v>
      </c>
      <c r="J34" s="6" t="n">
        <v>4</v>
      </c>
      <c r="K34" s="4" t="s">
        <v>20</v>
      </c>
    </row>
    <row r="35" customFormat="false" ht="96" hidden="false" customHeight="true" outlineLevel="0" collapsed="false">
      <c r="A35" s="2" t="s">
        <v>171</v>
      </c>
      <c r="B35" s="3" t="s">
        <v>12</v>
      </c>
      <c r="C35" s="4" t="s">
        <v>134</v>
      </c>
      <c r="D35" s="4" t="s">
        <v>172</v>
      </c>
      <c r="E35" s="4" t="s">
        <v>23</v>
      </c>
      <c r="F35" s="4" t="s">
        <v>121</v>
      </c>
      <c r="G35" s="7" t="s">
        <v>36</v>
      </c>
      <c r="H35" s="4" t="s">
        <v>173</v>
      </c>
      <c r="I35" s="4" t="s">
        <v>174</v>
      </c>
      <c r="J35" s="6" t="n">
        <v>6</v>
      </c>
      <c r="K35" s="4" t="s">
        <v>20</v>
      </c>
    </row>
    <row r="36" customFormat="false" ht="96" hidden="false" customHeight="true" outlineLevel="0" collapsed="false">
      <c r="A36" s="2" t="s">
        <v>175</v>
      </c>
      <c r="B36" s="3" t="s">
        <v>12</v>
      </c>
      <c r="C36" s="4" t="s">
        <v>134</v>
      </c>
      <c r="D36" s="4" t="s">
        <v>176</v>
      </c>
      <c r="E36" s="4" t="s">
        <v>23</v>
      </c>
      <c r="F36" s="4" t="s">
        <v>121</v>
      </c>
      <c r="G36" s="5" t="s">
        <v>17</v>
      </c>
      <c r="H36" s="4" t="s">
        <v>177</v>
      </c>
      <c r="I36" s="4" t="s">
        <v>178</v>
      </c>
      <c r="J36" s="6" t="n">
        <v>6</v>
      </c>
      <c r="K36" s="4" t="s">
        <v>20</v>
      </c>
    </row>
    <row r="37" customFormat="false" ht="96" hidden="false" customHeight="true" outlineLevel="0" collapsed="false">
      <c r="A37" s="2" t="s">
        <v>179</v>
      </c>
      <c r="B37" s="3" t="s">
        <v>12</v>
      </c>
      <c r="C37" s="4" t="s">
        <v>134</v>
      </c>
      <c r="D37" s="4" t="s">
        <v>180</v>
      </c>
      <c r="E37" s="4" t="s">
        <v>23</v>
      </c>
      <c r="F37" s="4" t="s">
        <v>121</v>
      </c>
      <c r="G37" s="5" t="s">
        <v>17</v>
      </c>
      <c r="H37" s="4" t="s">
        <v>181</v>
      </c>
      <c r="I37" s="4" t="s">
        <v>182</v>
      </c>
      <c r="J37" s="6" t="n">
        <v>4</v>
      </c>
      <c r="K37" s="4" t="s">
        <v>20</v>
      </c>
    </row>
    <row r="38" customFormat="false" ht="96" hidden="false" customHeight="true" outlineLevel="0" collapsed="false">
      <c r="A38" s="2" t="s">
        <v>183</v>
      </c>
      <c r="B38" s="3" t="s">
        <v>12</v>
      </c>
      <c r="C38" s="4" t="s">
        <v>184</v>
      </c>
      <c r="D38" s="4" t="s">
        <v>185</v>
      </c>
      <c r="E38" s="4" t="s">
        <v>23</v>
      </c>
      <c r="F38" s="4" t="s">
        <v>186</v>
      </c>
      <c r="G38" s="7" t="s">
        <v>36</v>
      </c>
      <c r="H38" s="4" t="s">
        <v>187</v>
      </c>
      <c r="I38" s="4" t="s">
        <v>188</v>
      </c>
      <c r="J38" s="6" t="n">
        <v>4</v>
      </c>
      <c r="K38" s="4" t="s">
        <v>20</v>
      </c>
    </row>
    <row r="39" customFormat="false" ht="96" hidden="false" customHeight="true" outlineLevel="0" collapsed="false">
      <c r="A39" s="2" t="s">
        <v>189</v>
      </c>
      <c r="B39" s="3" t="s">
        <v>12</v>
      </c>
      <c r="C39" s="4" t="s">
        <v>184</v>
      </c>
      <c r="D39" s="4" t="s">
        <v>190</v>
      </c>
      <c r="E39" s="4" t="s">
        <v>23</v>
      </c>
      <c r="F39" s="4" t="s">
        <v>191</v>
      </c>
      <c r="G39" s="7" t="s">
        <v>36</v>
      </c>
      <c r="H39" s="4" t="s">
        <v>192</v>
      </c>
      <c r="I39" s="4" t="s">
        <v>193</v>
      </c>
      <c r="J39" s="6" t="n">
        <v>6</v>
      </c>
      <c r="K39" s="4" t="s">
        <v>20</v>
      </c>
    </row>
    <row r="40" customFormat="false" ht="96" hidden="false" customHeight="true" outlineLevel="0" collapsed="false">
      <c r="A40" s="2" t="s">
        <v>194</v>
      </c>
      <c r="B40" s="3" t="s">
        <v>12</v>
      </c>
      <c r="C40" s="4" t="s">
        <v>184</v>
      </c>
      <c r="D40" s="4" t="s">
        <v>195</v>
      </c>
      <c r="E40" s="4" t="s">
        <v>23</v>
      </c>
      <c r="F40" s="4" t="s">
        <v>191</v>
      </c>
      <c r="G40" s="8" t="s">
        <v>42</v>
      </c>
      <c r="H40" s="4" t="s">
        <v>196</v>
      </c>
      <c r="I40" s="4" t="s">
        <v>197</v>
      </c>
      <c r="J40" s="6" t="n">
        <v>4</v>
      </c>
      <c r="K40" s="4" t="s">
        <v>20</v>
      </c>
    </row>
    <row r="41" customFormat="false" ht="96" hidden="false" customHeight="true" outlineLevel="0" collapsed="false">
      <c r="A41" s="2" t="s">
        <v>198</v>
      </c>
      <c r="B41" s="3" t="s">
        <v>12</v>
      </c>
      <c r="C41" s="4" t="s">
        <v>184</v>
      </c>
      <c r="D41" s="4" t="s">
        <v>199</v>
      </c>
      <c r="E41" s="4" t="s">
        <v>65</v>
      </c>
      <c r="F41" s="4" t="s">
        <v>200</v>
      </c>
      <c r="G41" s="5" t="s">
        <v>17</v>
      </c>
      <c r="H41" s="4" t="s">
        <v>201</v>
      </c>
      <c r="I41" s="4" t="s">
        <v>202</v>
      </c>
      <c r="J41" s="6" t="n">
        <v>10</v>
      </c>
      <c r="K41" s="4" t="s">
        <v>20</v>
      </c>
    </row>
    <row r="42" customFormat="false" ht="96" hidden="false" customHeight="true" outlineLevel="0" collapsed="false">
      <c r="A42" s="2" t="s">
        <v>203</v>
      </c>
      <c r="B42" s="3" t="s">
        <v>12</v>
      </c>
      <c r="C42" s="4" t="s">
        <v>184</v>
      </c>
      <c r="D42" s="4" t="s">
        <v>204</v>
      </c>
      <c r="E42" s="4" t="s">
        <v>65</v>
      </c>
      <c r="F42" s="4" t="s">
        <v>200</v>
      </c>
      <c r="G42" s="5" t="s">
        <v>17</v>
      </c>
      <c r="H42" s="4" t="s">
        <v>205</v>
      </c>
      <c r="I42" s="4" t="s">
        <v>206</v>
      </c>
      <c r="J42" s="6" t="n">
        <v>10</v>
      </c>
      <c r="K42" s="4" t="s">
        <v>20</v>
      </c>
    </row>
    <row r="43" customFormat="false" ht="96" hidden="false" customHeight="true" outlineLevel="0" collapsed="false">
      <c r="A43" s="2" t="s">
        <v>207</v>
      </c>
      <c r="B43" s="3" t="s">
        <v>12</v>
      </c>
      <c r="C43" s="4" t="s">
        <v>184</v>
      </c>
      <c r="D43" s="4" t="s">
        <v>208</v>
      </c>
      <c r="E43" s="4" t="s">
        <v>23</v>
      </c>
      <c r="F43" s="4" t="s">
        <v>121</v>
      </c>
      <c r="G43" s="7" t="s">
        <v>36</v>
      </c>
      <c r="H43" s="4" t="s">
        <v>209</v>
      </c>
      <c r="I43" s="4" t="s">
        <v>210</v>
      </c>
      <c r="J43" s="6" t="n">
        <v>4</v>
      </c>
      <c r="K43" s="4" t="s">
        <v>20</v>
      </c>
    </row>
    <row r="44" customFormat="false" ht="96" hidden="false" customHeight="true" outlineLevel="0" collapsed="false">
      <c r="A44" s="2" t="s">
        <v>211</v>
      </c>
      <c r="B44" s="3" t="s">
        <v>12</v>
      </c>
      <c r="C44" s="4" t="s">
        <v>184</v>
      </c>
      <c r="D44" s="4" t="s">
        <v>212</v>
      </c>
      <c r="E44" s="4" t="s">
        <v>65</v>
      </c>
      <c r="F44" s="4" t="s">
        <v>213</v>
      </c>
      <c r="G44" s="5" t="s">
        <v>17</v>
      </c>
      <c r="H44" s="4" t="s">
        <v>214</v>
      </c>
      <c r="I44" s="4" t="s">
        <v>215</v>
      </c>
      <c r="J44" s="6" t="n">
        <v>6</v>
      </c>
      <c r="K44" s="4" t="s">
        <v>20</v>
      </c>
    </row>
    <row r="45" customFormat="false" ht="96" hidden="false" customHeight="true" outlineLevel="0" collapsed="false">
      <c r="A45" s="2" t="s">
        <v>216</v>
      </c>
      <c r="B45" s="3" t="s">
        <v>12</v>
      </c>
      <c r="C45" s="4" t="s">
        <v>184</v>
      </c>
      <c r="D45" s="4" t="s">
        <v>217</v>
      </c>
      <c r="E45" s="4" t="s">
        <v>23</v>
      </c>
      <c r="F45" s="4" t="s">
        <v>213</v>
      </c>
      <c r="G45" s="5" t="s">
        <v>17</v>
      </c>
      <c r="H45" s="4" t="s">
        <v>218</v>
      </c>
      <c r="I45" s="4" t="s">
        <v>219</v>
      </c>
      <c r="J45" s="6" t="n">
        <v>4</v>
      </c>
      <c r="K45" s="4" t="s">
        <v>20</v>
      </c>
    </row>
    <row r="46" customFormat="false" ht="96" hidden="false" customHeight="true" outlineLevel="0" collapsed="false">
      <c r="A46" s="2" t="s">
        <v>220</v>
      </c>
      <c r="B46" s="3" t="s">
        <v>12</v>
      </c>
      <c r="C46" s="4" t="s">
        <v>184</v>
      </c>
      <c r="D46" s="4" t="s">
        <v>221</v>
      </c>
      <c r="E46" s="4" t="s">
        <v>23</v>
      </c>
      <c r="F46" s="4" t="s">
        <v>222</v>
      </c>
      <c r="G46" s="7" t="s">
        <v>36</v>
      </c>
      <c r="H46" s="4" t="s">
        <v>223</v>
      </c>
      <c r="I46" s="4" t="s">
        <v>224</v>
      </c>
      <c r="J46" s="6" t="n">
        <v>10</v>
      </c>
      <c r="K46" s="4" t="s">
        <v>20</v>
      </c>
    </row>
    <row r="47" customFormat="false" ht="96" hidden="false" customHeight="true" outlineLevel="0" collapsed="false">
      <c r="A47" s="2" t="s">
        <v>225</v>
      </c>
      <c r="B47" s="3" t="s">
        <v>12</v>
      </c>
      <c r="C47" s="4" t="s">
        <v>184</v>
      </c>
      <c r="D47" s="4" t="s">
        <v>226</v>
      </c>
      <c r="E47" s="4" t="s">
        <v>65</v>
      </c>
      <c r="F47" s="4" t="s">
        <v>227</v>
      </c>
      <c r="G47" s="5" t="s">
        <v>17</v>
      </c>
      <c r="H47" s="4" t="s">
        <v>228</v>
      </c>
      <c r="I47" s="4" t="s">
        <v>229</v>
      </c>
      <c r="J47" s="6" t="n">
        <v>8</v>
      </c>
      <c r="K47" s="4" t="s">
        <v>20</v>
      </c>
    </row>
    <row r="48" customFormat="false" ht="96" hidden="false" customHeight="true" outlineLevel="0" collapsed="false">
      <c r="A48" s="2" t="s">
        <v>230</v>
      </c>
      <c r="B48" s="3" t="s">
        <v>12</v>
      </c>
      <c r="C48" s="4" t="s">
        <v>184</v>
      </c>
      <c r="D48" s="4" t="s">
        <v>231</v>
      </c>
      <c r="E48" s="4" t="s">
        <v>23</v>
      </c>
      <c r="F48" s="4" t="s">
        <v>79</v>
      </c>
      <c r="G48" s="5" t="s">
        <v>17</v>
      </c>
      <c r="H48" s="4" t="s">
        <v>232</v>
      </c>
      <c r="I48" s="4" t="s">
        <v>233</v>
      </c>
      <c r="J48" s="6" t="n">
        <v>12</v>
      </c>
      <c r="K48" s="4" t="s">
        <v>20</v>
      </c>
    </row>
    <row r="49" customFormat="false" ht="96" hidden="false" customHeight="true" outlineLevel="0" collapsed="false">
      <c r="A49" s="2" t="s">
        <v>234</v>
      </c>
      <c r="B49" s="3" t="s">
        <v>12</v>
      </c>
      <c r="C49" s="4" t="s">
        <v>184</v>
      </c>
      <c r="D49" s="4" t="s">
        <v>235</v>
      </c>
      <c r="E49" s="4" t="s">
        <v>23</v>
      </c>
      <c r="F49" s="4" t="s">
        <v>79</v>
      </c>
      <c r="G49" s="5" t="s">
        <v>17</v>
      </c>
      <c r="H49" s="4" t="s">
        <v>236</v>
      </c>
      <c r="I49" s="4" t="s">
        <v>237</v>
      </c>
      <c r="J49" s="6" t="n">
        <v>6</v>
      </c>
      <c r="K49" s="4" t="s">
        <v>20</v>
      </c>
    </row>
    <row r="50" customFormat="false" ht="96" hidden="false" customHeight="true" outlineLevel="0" collapsed="false">
      <c r="A50" s="2" t="s">
        <v>238</v>
      </c>
      <c r="B50" s="3" t="s">
        <v>12</v>
      </c>
      <c r="C50" s="4" t="s">
        <v>184</v>
      </c>
      <c r="D50" s="4" t="s">
        <v>239</v>
      </c>
      <c r="E50" s="4" t="s">
        <v>23</v>
      </c>
      <c r="F50" s="4" t="s">
        <v>79</v>
      </c>
      <c r="G50" s="7" t="s">
        <v>36</v>
      </c>
      <c r="H50" s="4" t="s">
        <v>240</v>
      </c>
      <c r="I50" s="4" t="s">
        <v>241</v>
      </c>
      <c r="J50" s="6" t="n">
        <v>8</v>
      </c>
      <c r="K50" s="4" t="s">
        <v>20</v>
      </c>
    </row>
    <row r="51" customFormat="false" ht="96" hidden="false" customHeight="true" outlineLevel="0" collapsed="false">
      <c r="A51" s="2" t="s">
        <v>242</v>
      </c>
      <c r="B51" s="3" t="s">
        <v>12</v>
      </c>
      <c r="C51" s="4" t="s">
        <v>184</v>
      </c>
      <c r="D51" s="4" t="s">
        <v>243</v>
      </c>
      <c r="E51" s="4" t="s">
        <v>23</v>
      </c>
      <c r="F51" s="4" t="s">
        <v>79</v>
      </c>
      <c r="G51" s="5" t="s">
        <v>17</v>
      </c>
      <c r="H51" s="4" t="s">
        <v>244</v>
      </c>
      <c r="I51" s="4" t="s">
        <v>245</v>
      </c>
      <c r="J51" s="6" t="n">
        <v>6</v>
      </c>
      <c r="K51" s="4" t="s">
        <v>20</v>
      </c>
    </row>
    <row r="52" customFormat="false" ht="96" hidden="false" customHeight="true" outlineLevel="0" collapsed="false">
      <c r="A52" s="2" t="s">
        <v>246</v>
      </c>
      <c r="B52" s="3" t="s">
        <v>12</v>
      </c>
      <c r="C52" s="4" t="s">
        <v>247</v>
      </c>
      <c r="D52" s="4" t="s">
        <v>248</v>
      </c>
      <c r="E52" s="4" t="s">
        <v>249</v>
      </c>
      <c r="F52" s="4" t="s">
        <v>250</v>
      </c>
      <c r="G52" s="5" t="s">
        <v>17</v>
      </c>
      <c r="H52" s="4" t="s">
        <v>251</v>
      </c>
      <c r="I52" s="4" t="s">
        <v>252</v>
      </c>
      <c r="J52" s="6" t="n">
        <v>8</v>
      </c>
      <c r="K52" s="4" t="s">
        <v>20</v>
      </c>
    </row>
    <row r="53" customFormat="false" ht="96" hidden="false" customHeight="true" outlineLevel="0" collapsed="false">
      <c r="A53" s="2" t="s">
        <v>253</v>
      </c>
      <c r="B53" s="3" t="s">
        <v>12</v>
      </c>
      <c r="C53" s="4" t="s">
        <v>247</v>
      </c>
      <c r="D53" s="4" t="s">
        <v>254</v>
      </c>
      <c r="E53" s="4" t="s">
        <v>249</v>
      </c>
      <c r="F53" s="4" t="s">
        <v>250</v>
      </c>
      <c r="G53" s="8" t="s">
        <v>42</v>
      </c>
      <c r="H53" s="4" t="s">
        <v>255</v>
      </c>
      <c r="I53" s="4" t="s">
        <v>256</v>
      </c>
      <c r="J53" s="6" t="n">
        <v>6</v>
      </c>
      <c r="K53" s="4" t="s">
        <v>20</v>
      </c>
    </row>
    <row r="54" customFormat="false" ht="96" hidden="false" customHeight="true" outlineLevel="0" collapsed="false">
      <c r="A54" s="2" t="s">
        <v>257</v>
      </c>
      <c r="B54" s="3" t="s">
        <v>12</v>
      </c>
      <c r="C54" s="4" t="s">
        <v>247</v>
      </c>
      <c r="D54" s="4" t="s">
        <v>258</v>
      </c>
      <c r="E54" s="4" t="s">
        <v>23</v>
      </c>
      <c r="F54" s="4" t="s">
        <v>259</v>
      </c>
      <c r="G54" s="5" t="s">
        <v>17</v>
      </c>
      <c r="H54" s="4" t="s">
        <v>260</v>
      </c>
      <c r="I54" s="4" t="s">
        <v>261</v>
      </c>
      <c r="J54" s="6" t="n">
        <v>8</v>
      </c>
      <c r="K54" s="4" t="s">
        <v>20</v>
      </c>
    </row>
    <row r="55" customFormat="false" ht="96" hidden="false" customHeight="true" outlineLevel="0" collapsed="false">
      <c r="A55" s="2" t="s">
        <v>262</v>
      </c>
      <c r="B55" s="3" t="s">
        <v>12</v>
      </c>
      <c r="C55" s="4" t="s">
        <v>247</v>
      </c>
      <c r="D55" s="4" t="s">
        <v>263</v>
      </c>
      <c r="E55" s="4" t="s">
        <v>65</v>
      </c>
      <c r="F55" s="4" t="s">
        <v>259</v>
      </c>
      <c r="G55" s="5" t="s">
        <v>17</v>
      </c>
      <c r="H55" s="4" t="s">
        <v>264</v>
      </c>
      <c r="I55" s="4" t="s">
        <v>265</v>
      </c>
      <c r="J55" s="6" t="n">
        <v>8</v>
      </c>
      <c r="K55" s="4" t="s">
        <v>20</v>
      </c>
    </row>
    <row r="56" customFormat="false" ht="96" hidden="false" customHeight="true" outlineLevel="0" collapsed="false">
      <c r="A56" s="2" t="s">
        <v>266</v>
      </c>
      <c r="B56" s="3" t="s">
        <v>12</v>
      </c>
      <c r="C56" s="4" t="s">
        <v>247</v>
      </c>
      <c r="D56" s="4" t="s">
        <v>267</v>
      </c>
      <c r="E56" s="4" t="s">
        <v>268</v>
      </c>
      <c r="F56" s="4" t="s">
        <v>259</v>
      </c>
      <c r="G56" s="5" t="s">
        <v>17</v>
      </c>
      <c r="H56" s="4" t="s">
        <v>269</v>
      </c>
      <c r="I56" s="4" t="s">
        <v>270</v>
      </c>
      <c r="J56" s="6" t="n">
        <v>8</v>
      </c>
      <c r="K56" s="4" t="s">
        <v>20</v>
      </c>
    </row>
    <row r="57" customFormat="false" ht="96" hidden="false" customHeight="true" outlineLevel="0" collapsed="false">
      <c r="A57" s="2" t="s">
        <v>271</v>
      </c>
      <c r="B57" s="3" t="s">
        <v>12</v>
      </c>
      <c r="C57" s="4" t="s">
        <v>247</v>
      </c>
      <c r="D57" s="4" t="s">
        <v>272</v>
      </c>
      <c r="E57" s="4" t="s">
        <v>65</v>
      </c>
      <c r="F57" s="4" t="s">
        <v>259</v>
      </c>
      <c r="G57" s="7" t="s">
        <v>36</v>
      </c>
      <c r="H57" s="4" t="s">
        <v>273</v>
      </c>
      <c r="I57" s="4" t="s">
        <v>274</v>
      </c>
      <c r="J57" s="6" t="n">
        <v>4</v>
      </c>
      <c r="K57" s="4" t="s">
        <v>20</v>
      </c>
    </row>
    <row r="58" customFormat="false" ht="96" hidden="false" customHeight="true" outlineLevel="0" collapsed="false">
      <c r="A58" s="2" t="s">
        <v>275</v>
      </c>
      <c r="B58" s="3" t="s">
        <v>12</v>
      </c>
      <c r="C58" s="4" t="s">
        <v>247</v>
      </c>
      <c r="D58" s="4" t="s">
        <v>276</v>
      </c>
      <c r="E58" s="4" t="s">
        <v>23</v>
      </c>
      <c r="F58" s="4" t="s">
        <v>259</v>
      </c>
      <c r="G58" s="7" t="s">
        <v>36</v>
      </c>
      <c r="H58" s="4" t="s">
        <v>277</v>
      </c>
      <c r="I58" s="4" t="s">
        <v>278</v>
      </c>
      <c r="J58" s="6" t="n">
        <v>4</v>
      </c>
      <c r="K58" s="4" t="s">
        <v>20</v>
      </c>
    </row>
    <row r="59" customFormat="false" ht="96" hidden="false" customHeight="true" outlineLevel="0" collapsed="false">
      <c r="A59" s="2" t="s">
        <v>279</v>
      </c>
      <c r="B59" s="3" t="s">
        <v>12</v>
      </c>
      <c r="C59" s="4" t="s">
        <v>247</v>
      </c>
      <c r="D59" s="4" t="s">
        <v>280</v>
      </c>
      <c r="E59" s="4" t="s">
        <v>15</v>
      </c>
      <c r="F59" s="4" t="s">
        <v>259</v>
      </c>
      <c r="G59" s="7" t="s">
        <v>36</v>
      </c>
      <c r="H59" s="4" t="s">
        <v>281</v>
      </c>
      <c r="I59" s="4" t="s">
        <v>282</v>
      </c>
      <c r="J59" s="6" t="n">
        <v>4</v>
      </c>
      <c r="K59" s="4" t="s">
        <v>20</v>
      </c>
    </row>
    <row r="60" customFormat="false" ht="96" hidden="false" customHeight="true" outlineLevel="0" collapsed="false">
      <c r="A60" s="2" t="s">
        <v>283</v>
      </c>
      <c r="B60" s="3" t="s">
        <v>12</v>
      </c>
      <c r="C60" s="4" t="s">
        <v>247</v>
      </c>
      <c r="D60" s="4" t="s">
        <v>284</v>
      </c>
      <c r="E60" s="4" t="s">
        <v>88</v>
      </c>
      <c r="F60" s="4" t="s">
        <v>285</v>
      </c>
      <c r="G60" s="5" t="s">
        <v>17</v>
      </c>
      <c r="H60" s="4" t="s">
        <v>286</v>
      </c>
      <c r="I60" s="4" t="s">
        <v>287</v>
      </c>
      <c r="J60" s="6" t="n">
        <v>6</v>
      </c>
      <c r="K60" s="4" t="s">
        <v>20</v>
      </c>
    </row>
    <row r="61" customFormat="false" ht="96" hidden="false" customHeight="true" outlineLevel="0" collapsed="false">
      <c r="A61" s="2" t="s">
        <v>288</v>
      </c>
      <c r="B61" s="3" t="s">
        <v>12</v>
      </c>
      <c r="C61" s="4" t="s">
        <v>247</v>
      </c>
      <c r="D61" s="4" t="s">
        <v>289</v>
      </c>
      <c r="E61" s="4" t="s">
        <v>88</v>
      </c>
      <c r="F61" s="4" t="s">
        <v>290</v>
      </c>
      <c r="G61" s="7" t="s">
        <v>36</v>
      </c>
      <c r="H61" s="4" t="s">
        <v>291</v>
      </c>
      <c r="I61" s="4" t="s">
        <v>292</v>
      </c>
      <c r="J61" s="6" t="n">
        <v>4</v>
      </c>
      <c r="K61" s="4" t="s">
        <v>20</v>
      </c>
    </row>
    <row r="62" customFormat="false" ht="96" hidden="false" customHeight="true" outlineLevel="0" collapsed="false">
      <c r="A62" s="2" t="s">
        <v>293</v>
      </c>
      <c r="B62" s="3" t="s">
        <v>12</v>
      </c>
      <c r="C62" s="4" t="s">
        <v>247</v>
      </c>
      <c r="D62" s="4" t="s">
        <v>294</v>
      </c>
      <c r="E62" s="4" t="s">
        <v>88</v>
      </c>
      <c r="F62" s="4" t="s">
        <v>285</v>
      </c>
      <c r="G62" s="7" t="s">
        <v>36</v>
      </c>
      <c r="H62" s="4" t="s">
        <v>295</v>
      </c>
      <c r="I62" s="4" t="s">
        <v>296</v>
      </c>
      <c r="J62" s="6" t="n">
        <v>3</v>
      </c>
      <c r="K62" s="4" t="s">
        <v>20</v>
      </c>
    </row>
    <row r="63" customFormat="false" ht="96" hidden="false" customHeight="true" outlineLevel="0" collapsed="false">
      <c r="A63" s="2" t="s">
        <v>297</v>
      </c>
      <c r="B63" s="3" t="s">
        <v>12</v>
      </c>
      <c r="C63" s="4" t="s">
        <v>247</v>
      </c>
      <c r="D63" s="4" t="s">
        <v>298</v>
      </c>
      <c r="E63" s="4" t="s">
        <v>88</v>
      </c>
      <c r="F63" s="4" t="s">
        <v>299</v>
      </c>
      <c r="G63" s="5" t="s">
        <v>17</v>
      </c>
      <c r="H63" s="4" t="s">
        <v>300</v>
      </c>
      <c r="I63" s="4" t="s">
        <v>301</v>
      </c>
      <c r="J63" s="6" t="n">
        <v>4</v>
      </c>
      <c r="K63" s="4" t="s">
        <v>20</v>
      </c>
    </row>
    <row r="64" customFormat="false" ht="96" hidden="false" customHeight="true" outlineLevel="0" collapsed="false">
      <c r="A64" s="2" t="s">
        <v>302</v>
      </c>
      <c r="B64" s="3" t="s">
        <v>12</v>
      </c>
      <c r="C64" s="4" t="s">
        <v>247</v>
      </c>
      <c r="D64" s="4" t="s">
        <v>303</v>
      </c>
      <c r="E64" s="4" t="s">
        <v>15</v>
      </c>
      <c r="F64" s="4" t="s">
        <v>304</v>
      </c>
      <c r="G64" s="5" t="s">
        <v>17</v>
      </c>
      <c r="H64" s="4" t="s">
        <v>305</v>
      </c>
      <c r="I64" s="4" t="s">
        <v>306</v>
      </c>
      <c r="J64" s="6" t="n">
        <v>6</v>
      </c>
      <c r="K64" s="4" t="s">
        <v>20</v>
      </c>
    </row>
    <row r="65" customFormat="false" ht="96" hidden="false" customHeight="true" outlineLevel="0" collapsed="false">
      <c r="A65" s="2" t="s">
        <v>307</v>
      </c>
      <c r="B65" s="3" t="s">
        <v>12</v>
      </c>
      <c r="C65" s="4" t="s">
        <v>247</v>
      </c>
      <c r="D65" s="4" t="s">
        <v>308</v>
      </c>
      <c r="E65" s="4" t="s">
        <v>28</v>
      </c>
      <c r="F65" s="4" t="s">
        <v>304</v>
      </c>
      <c r="G65" s="7" t="s">
        <v>36</v>
      </c>
      <c r="H65" s="4" t="s">
        <v>309</v>
      </c>
      <c r="I65" s="4" t="s">
        <v>310</v>
      </c>
      <c r="J65" s="6" t="n">
        <v>4</v>
      </c>
      <c r="K65" s="4" t="s">
        <v>20</v>
      </c>
    </row>
    <row r="66" customFormat="false" ht="96" hidden="false" customHeight="true" outlineLevel="0" collapsed="false">
      <c r="A66" s="2" t="s">
        <v>311</v>
      </c>
      <c r="B66" s="3" t="s">
        <v>12</v>
      </c>
      <c r="C66" s="4" t="s">
        <v>247</v>
      </c>
      <c r="D66" s="4" t="s">
        <v>312</v>
      </c>
      <c r="E66" s="4" t="s">
        <v>15</v>
      </c>
      <c r="F66" s="4" t="s">
        <v>304</v>
      </c>
      <c r="G66" s="5" t="s">
        <v>17</v>
      </c>
      <c r="H66" s="4" t="s">
        <v>313</v>
      </c>
      <c r="I66" s="4" t="s">
        <v>314</v>
      </c>
      <c r="J66" s="6" t="n">
        <v>6</v>
      </c>
      <c r="K66" s="4" t="s">
        <v>20</v>
      </c>
    </row>
    <row r="67" customFormat="false" ht="96" hidden="false" customHeight="true" outlineLevel="0" collapsed="false">
      <c r="A67" s="2" t="s">
        <v>315</v>
      </c>
      <c r="B67" s="8" t="s">
        <v>316</v>
      </c>
      <c r="C67" s="4" t="s">
        <v>317</v>
      </c>
      <c r="D67" s="4" t="s">
        <v>318</v>
      </c>
      <c r="E67" s="4" t="s">
        <v>34</v>
      </c>
      <c r="F67" s="4" t="s">
        <v>35</v>
      </c>
      <c r="G67" s="5" t="s">
        <v>17</v>
      </c>
      <c r="H67" s="4" t="s">
        <v>319</v>
      </c>
      <c r="I67" s="4" t="s">
        <v>320</v>
      </c>
      <c r="J67" s="6" t="n">
        <v>12</v>
      </c>
      <c r="K67" s="4" t="s">
        <v>20</v>
      </c>
    </row>
    <row r="68" customFormat="false" ht="96" hidden="false" customHeight="true" outlineLevel="0" collapsed="false">
      <c r="A68" s="2" t="s">
        <v>321</v>
      </c>
      <c r="B68" s="8" t="s">
        <v>316</v>
      </c>
      <c r="C68" s="4" t="s">
        <v>317</v>
      </c>
      <c r="D68" s="4" t="s">
        <v>322</v>
      </c>
      <c r="E68" s="4" t="s">
        <v>34</v>
      </c>
      <c r="F68" s="4" t="s">
        <v>35</v>
      </c>
      <c r="G68" s="7" t="s">
        <v>36</v>
      </c>
      <c r="H68" s="4" t="s">
        <v>323</v>
      </c>
      <c r="I68" s="4" t="s">
        <v>324</v>
      </c>
      <c r="J68" s="6" t="n">
        <v>12</v>
      </c>
      <c r="K68" s="4" t="s">
        <v>20</v>
      </c>
    </row>
    <row r="69" customFormat="false" ht="96" hidden="false" customHeight="true" outlineLevel="0" collapsed="false">
      <c r="A69" s="2" t="s">
        <v>325</v>
      </c>
      <c r="B69" s="8" t="s">
        <v>316</v>
      </c>
      <c r="C69" s="4" t="s">
        <v>317</v>
      </c>
      <c r="D69" s="4" t="s">
        <v>326</v>
      </c>
      <c r="E69" s="4" t="s">
        <v>34</v>
      </c>
      <c r="F69" s="4" t="s">
        <v>126</v>
      </c>
      <c r="G69" s="5" t="s">
        <v>17</v>
      </c>
      <c r="H69" s="4" t="s">
        <v>327</v>
      </c>
      <c r="I69" s="4" t="s">
        <v>328</v>
      </c>
      <c r="J69" s="6" t="n">
        <v>12</v>
      </c>
      <c r="K69" s="4" t="s">
        <v>20</v>
      </c>
    </row>
    <row r="70" customFormat="false" ht="96" hidden="false" customHeight="true" outlineLevel="0" collapsed="false">
      <c r="A70" s="2" t="s">
        <v>329</v>
      </c>
      <c r="B70" s="8" t="s">
        <v>316</v>
      </c>
      <c r="C70" s="4" t="s">
        <v>317</v>
      </c>
      <c r="D70" s="4" t="s">
        <v>330</v>
      </c>
      <c r="E70" s="4" t="s">
        <v>65</v>
      </c>
      <c r="F70" s="4" t="s">
        <v>126</v>
      </c>
      <c r="G70" s="5" t="s">
        <v>17</v>
      </c>
      <c r="H70" s="4" t="s">
        <v>331</v>
      </c>
      <c r="I70" s="4" t="s">
        <v>332</v>
      </c>
      <c r="J70" s="6" t="n">
        <v>12</v>
      </c>
      <c r="K70" s="4" t="s">
        <v>20</v>
      </c>
    </row>
    <row r="71" customFormat="false" ht="96" hidden="false" customHeight="true" outlineLevel="0" collapsed="false">
      <c r="A71" s="2" t="s">
        <v>333</v>
      </c>
      <c r="B71" s="8" t="s">
        <v>316</v>
      </c>
      <c r="C71" s="4" t="s">
        <v>317</v>
      </c>
      <c r="D71" s="4" t="s">
        <v>334</v>
      </c>
      <c r="E71" s="4" t="s">
        <v>65</v>
      </c>
      <c r="F71" s="4" t="s">
        <v>126</v>
      </c>
      <c r="G71" s="7" t="s">
        <v>36</v>
      </c>
      <c r="H71" s="4" t="s">
        <v>335</v>
      </c>
      <c r="I71" s="4" t="s">
        <v>336</v>
      </c>
      <c r="J71" s="6" t="n">
        <v>12</v>
      </c>
      <c r="K71" s="4" t="s">
        <v>20</v>
      </c>
    </row>
    <row r="72" customFormat="false" ht="96" hidden="false" customHeight="true" outlineLevel="0" collapsed="false">
      <c r="A72" s="2" t="s">
        <v>337</v>
      </c>
      <c r="B72" s="8" t="s">
        <v>316</v>
      </c>
      <c r="C72" s="4" t="s">
        <v>317</v>
      </c>
      <c r="D72" s="4" t="s">
        <v>338</v>
      </c>
      <c r="E72" s="4" t="s">
        <v>65</v>
      </c>
      <c r="F72" s="4" t="s">
        <v>156</v>
      </c>
      <c r="G72" s="5" t="s">
        <v>17</v>
      </c>
      <c r="H72" s="4" t="s">
        <v>339</v>
      </c>
      <c r="I72" s="4" t="s">
        <v>340</v>
      </c>
      <c r="J72" s="6" t="n">
        <v>12</v>
      </c>
      <c r="K72" s="4" t="s">
        <v>20</v>
      </c>
    </row>
    <row r="73" customFormat="false" ht="96" hidden="false" customHeight="true" outlineLevel="0" collapsed="false">
      <c r="A73" s="2" t="s">
        <v>341</v>
      </c>
      <c r="B73" s="8" t="s">
        <v>316</v>
      </c>
      <c r="C73" s="4" t="s">
        <v>317</v>
      </c>
      <c r="D73" s="4" t="s">
        <v>342</v>
      </c>
      <c r="E73" s="4" t="s">
        <v>65</v>
      </c>
      <c r="F73" s="4" t="s">
        <v>156</v>
      </c>
      <c r="G73" s="7" t="s">
        <v>36</v>
      </c>
      <c r="H73" s="4" t="s">
        <v>343</v>
      </c>
      <c r="I73" s="4" t="s">
        <v>344</v>
      </c>
      <c r="J73" s="6" t="n">
        <v>6</v>
      </c>
      <c r="K73" s="4" t="s">
        <v>20</v>
      </c>
    </row>
    <row r="74" customFormat="false" ht="96" hidden="false" customHeight="true" outlineLevel="0" collapsed="false">
      <c r="A74" s="2" t="s">
        <v>345</v>
      </c>
      <c r="B74" s="8" t="s">
        <v>316</v>
      </c>
      <c r="C74" s="4" t="s">
        <v>317</v>
      </c>
      <c r="D74" s="4" t="s">
        <v>346</v>
      </c>
      <c r="E74" s="4" t="s">
        <v>65</v>
      </c>
      <c r="F74" s="4" t="s">
        <v>156</v>
      </c>
      <c r="G74" s="7" t="s">
        <v>36</v>
      </c>
      <c r="H74" s="4" t="s">
        <v>347</v>
      </c>
      <c r="I74" s="4" t="s">
        <v>348</v>
      </c>
      <c r="J74" s="6" t="n">
        <v>8</v>
      </c>
      <c r="K74" s="4" t="s">
        <v>20</v>
      </c>
    </row>
    <row r="75" customFormat="false" ht="96" hidden="false" customHeight="true" outlineLevel="0" collapsed="false">
      <c r="A75" s="2" t="s">
        <v>349</v>
      </c>
      <c r="B75" s="8" t="s">
        <v>316</v>
      </c>
      <c r="C75" s="4" t="s">
        <v>317</v>
      </c>
      <c r="D75" s="4" t="s">
        <v>350</v>
      </c>
      <c r="E75" s="4" t="s">
        <v>65</v>
      </c>
      <c r="F75" s="4" t="s">
        <v>351</v>
      </c>
      <c r="G75" s="7" t="s">
        <v>36</v>
      </c>
      <c r="H75" s="4" t="s">
        <v>352</v>
      </c>
      <c r="I75" s="4" t="s">
        <v>353</v>
      </c>
      <c r="J75" s="6" t="n">
        <v>8</v>
      </c>
      <c r="K75" s="4" t="s">
        <v>20</v>
      </c>
    </row>
    <row r="76" customFormat="false" ht="96" hidden="false" customHeight="true" outlineLevel="0" collapsed="false">
      <c r="A76" s="2" t="s">
        <v>354</v>
      </c>
      <c r="B76" s="8" t="s">
        <v>316</v>
      </c>
      <c r="C76" s="4" t="s">
        <v>317</v>
      </c>
      <c r="D76" s="4" t="s">
        <v>355</v>
      </c>
      <c r="E76" s="4" t="s">
        <v>65</v>
      </c>
      <c r="F76" s="4" t="s">
        <v>351</v>
      </c>
      <c r="G76" s="7" t="s">
        <v>36</v>
      </c>
      <c r="H76" s="4" t="s">
        <v>356</v>
      </c>
      <c r="I76" s="4" t="s">
        <v>357</v>
      </c>
      <c r="J76" s="6" t="n">
        <v>6</v>
      </c>
      <c r="K76" s="4" t="s">
        <v>20</v>
      </c>
    </row>
    <row r="77" customFormat="false" ht="96" hidden="false" customHeight="true" outlineLevel="0" collapsed="false">
      <c r="A77" s="2" t="s">
        <v>358</v>
      </c>
      <c r="B77" s="8" t="s">
        <v>316</v>
      </c>
      <c r="C77" s="4" t="s">
        <v>359</v>
      </c>
      <c r="D77" s="4" t="s">
        <v>360</v>
      </c>
      <c r="E77" s="4" t="s">
        <v>65</v>
      </c>
      <c r="F77" s="4" t="s">
        <v>200</v>
      </c>
      <c r="G77" s="5" t="s">
        <v>17</v>
      </c>
      <c r="H77" s="4" t="s">
        <v>361</v>
      </c>
      <c r="I77" s="4" t="s">
        <v>362</v>
      </c>
      <c r="J77" s="6" t="n">
        <v>12</v>
      </c>
      <c r="K77" s="4" t="s">
        <v>20</v>
      </c>
    </row>
    <row r="78" customFormat="false" ht="96" hidden="false" customHeight="true" outlineLevel="0" collapsed="false">
      <c r="A78" s="2" t="s">
        <v>363</v>
      </c>
      <c r="B78" s="8" t="s">
        <v>316</v>
      </c>
      <c r="C78" s="4" t="s">
        <v>359</v>
      </c>
      <c r="D78" s="4" t="s">
        <v>364</v>
      </c>
      <c r="E78" s="4" t="s">
        <v>65</v>
      </c>
      <c r="F78" s="4" t="s">
        <v>200</v>
      </c>
      <c r="G78" s="5" t="s">
        <v>17</v>
      </c>
      <c r="H78" s="4" t="s">
        <v>365</v>
      </c>
      <c r="I78" s="4" t="s">
        <v>366</v>
      </c>
      <c r="J78" s="6" t="n">
        <v>8</v>
      </c>
      <c r="K78" s="4" t="s">
        <v>20</v>
      </c>
    </row>
    <row r="79" customFormat="false" ht="96" hidden="false" customHeight="true" outlineLevel="0" collapsed="false">
      <c r="A79" s="2" t="s">
        <v>367</v>
      </c>
      <c r="B79" s="8" t="s">
        <v>316</v>
      </c>
      <c r="C79" s="4" t="s">
        <v>359</v>
      </c>
      <c r="D79" s="4" t="s">
        <v>368</v>
      </c>
      <c r="E79" s="4" t="s">
        <v>65</v>
      </c>
      <c r="F79" s="4" t="s">
        <v>200</v>
      </c>
      <c r="G79" s="5" t="s">
        <v>17</v>
      </c>
      <c r="H79" s="4" t="s">
        <v>369</v>
      </c>
      <c r="I79" s="4" t="s">
        <v>370</v>
      </c>
      <c r="J79" s="6" t="n">
        <v>6</v>
      </c>
      <c r="K79" s="4" t="s">
        <v>20</v>
      </c>
    </row>
    <row r="80" customFormat="false" ht="96" hidden="false" customHeight="true" outlineLevel="0" collapsed="false">
      <c r="A80" s="2" t="s">
        <v>371</v>
      </c>
      <c r="B80" s="8" t="s">
        <v>316</v>
      </c>
      <c r="C80" s="4" t="s">
        <v>359</v>
      </c>
      <c r="D80" s="4" t="s">
        <v>372</v>
      </c>
      <c r="E80" s="4" t="s">
        <v>23</v>
      </c>
      <c r="F80" s="4" t="s">
        <v>200</v>
      </c>
      <c r="G80" s="7" t="s">
        <v>36</v>
      </c>
      <c r="H80" s="4" t="s">
        <v>373</v>
      </c>
      <c r="I80" s="4" t="s">
        <v>374</v>
      </c>
      <c r="J80" s="6" t="n">
        <v>12</v>
      </c>
      <c r="K80" s="4" t="s">
        <v>20</v>
      </c>
    </row>
    <row r="81" customFormat="false" ht="96" hidden="false" customHeight="true" outlineLevel="0" collapsed="false">
      <c r="A81" s="2" t="s">
        <v>375</v>
      </c>
      <c r="B81" s="8" t="s">
        <v>316</v>
      </c>
      <c r="C81" s="4" t="s">
        <v>359</v>
      </c>
      <c r="D81" s="4" t="s">
        <v>376</v>
      </c>
      <c r="E81" s="4" t="s">
        <v>65</v>
      </c>
      <c r="F81" s="4" t="s">
        <v>377</v>
      </c>
      <c r="G81" s="5" t="s">
        <v>17</v>
      </c>
      <c r="H81" s="4" t="s">
        <v>378</v>
      </c>
      <c r="I81" s="4" t="s">
        <v>379</v>
      </c>
      <c r="J81" s="6" t="n">
        <v>8</v>
      </c>
      <c r="K81" s="4" t="s">
        <v>20</v>
      </c>
    </row>
    <row r="82" customFormat="false" ht="96" hidden="false" customHeight="true" outlineLevel="0" collapsed="false">
      <c r="A82" s="2" t="s">
        <v>380</v>
      </c>
      <c r="B82" s="8" t="s">
        <v>316</v>
      </c>
      <c r="C82" s="4" t="s">
        <v>359</v>
      </c>
      <c r="D82" s="4" t="s">
        <v>381</v>
      </c>
      <c r="E82" s="4" t="s">
        <v>65</v>
      </c>
      <c r="F82" s="4" t="s">
        <v>377</v>
      </c>
      <c r="G82" s="5" t="s">
        <v>17</v>
      </c>
      <c r="H82" s="4" t="s">
        <v>382</v>
      </c>
      <c r="I82" s="4" t="s">
        <v>383</v>
      </c>
      <c r="J82" s="6" t="n">
        <v>6</v>
      </c>
      <c r="K82" s="4" t="s">
        <v>20</v>
      </c>
    </row>
    <row r="83" customFormat="false" ht="96" hidden="false" customHeight="true" outlineLevel="0" collapsed="false">
      <c r="A83" s="2" t="s">
        <v>384</v>
      </c>
      <c r="B83" s="8" t="s">
        <v>316</v>
      </c>
      <c r="C83" s="4" t="s">
        <v>359</v>
      </c>
      <c r="D83" s="4" t="s">
        <v>385</v>
      </c>
      <c r="E83" s="4" t="s">
        <v>23</v>
      </c>
      <c r="F83" s="4" t="s">
        <v>377</v>
      </c>
      <c r="G83" s="7" t="s">
        <v>36</v>
      </c>
      <c r="H83" s="4" t="s">
        <v>386</v>
      </c>
      <c r="I83" s="4" t="s">
        <v>387</v>
      </c>
      <c r="J83" s="6" t="n">
        <v>12</v>
      </c>
      <c r="K83" s="4" t="s">
        <v>20</v>
      </c>
    </row>
    <row r="84" customFormat="false" ht="96" hidden="false" customHeight="true" outlineLevel="0" collapsed="false">
      <c r="A84" s="2" t="s">
        <v>388</v>
      </c>
      <c r="B84" s="8" t="s">
        <v>316</v>
      </c>
      <c r="C84" s="4" t="s">
        <v>359</v>
      </c>
      <c r="D84" s="4" t="s">
        <v>389</v>
      </c>
      <c r="E84" s="4" t="s">
        <v>65</v>
      </c>
      <c r="F84" s="4" t="s">
        <v>222</v>
      </c>
      <c r="G84" s="7" t="s">
        <v>36</v>
      </c>
      <c r="H84" s="4" t="s">
        <v>390</v>
      </c>
      <c r="I84" s="4" t="s">
        <v>391</v>
      </c>
      <c r="J84" s="6" t="n">
        <v>8</v>
      </c>
      <c r="K84" s="4" t="s">
        <v>20</v>
      </c>
    </row>
    <row r="85" customFormat="false" ht="96" hidden="false" customHeight="true" outlineLevel="0" collapsed="false">
      <c r="A85" s="2" t="s">
        <v>392</v>
      </c>
      <c r="B85" s="8" t="s">
        <v>316</v>
      </c>
      <c r="C85" s="4" t="s">
        <v>359</v>
      </c>
      <c r="D85" s="4" t="s">
        <v>393</v>
      </c>
      <c r="E85" s="4" t="s">
        <v>65</v>
      </c>
      <c r="F85" s="4" t="s">
        <v>222</v>
      </c>
      <c r="G85" s="7" t="s">
        <v>36</v>
      </c>
      <c r="H85" s="4" t="s">
        <v>394</v>
      </c>
      <c r="I85" s="4" t="s">
        <v>395</v>
      </c>
      <c r="J85" s="6" t="n">
        <v>6</v>
      </c>
      <c r="K85" s="4" t="s">
        <v>20</v>
      </c>
    </row>
    <row r="86" customFormat="false" ht="96" hidden="false" customHeight="true" outlineLevel="0" collapsed="false">
      <c r="A86" s="2" t="s">
        <v>396</v>
      </c>
      <c r="B86" s="8" t="s">
        <v>316</v>
      </c>
      <c r="C86" s="4" t="s">
        <v>359</v>
      </c>
      <c r="D86" s="4" t="s">
        <v>397</v>
      </c>
      <c r="E86" s="4" t="s">
        <v>65</v>
      </c>
      <c r="F86" s="4" t="s">
        <v>398</v>
      </c>
      <c r="G86" s="5" t="s">
        <v>17</v>
      </c>
      <c r="H86" s="4" t="s">
        <v>399</v>
      </c>
      <c r="I86" s="4" t="s">
        <v>400</v>
      </c>
      <c r="J86" s="6" t="n">
        <v>8</v>
      </c>
      <c r="K86" s="4" t="s">
        <v>20</v>
      </c>
    </row>
    <row r="87" customFormat="false" ht="96" hidden="false" customHeight="true" outlineLevel="0" collapsed="false">
      <c r="A87" s="2" t="s">
        <v>401</v>
      </c>
      <c r="B87" s="8" t="s">
        <v>316</v>
      </c>
      <c r="C87" s="4" t="s">
        <v>359</v>
      </c>
      <c r="D87" s="4" t="s">
        <v>402</v>
      </c>
      <c r="E87" s="4" t="s">
        <v>65</v>
      </c>
      <c r="F87" s="4" t="s">
        <v>398</v>
      </c>
      <c r="G87" s="5" t="s">
        <v>17</v>
      </c>
      <c r="H87" s="4" t="s">
        <v>403</v>
      </c>
      <c r="I87" s="4" t="s">
        <v>404</v>
      </c>
      <c r="J87" s="6" t="n">
        <v>6</v>
      </c>
      <c r="K87" s="4" t="s">
        <v>20</v>
      </c>
    </row>
    <row r="88" customFormat="false" ht="96" hidden="false" customHeight="true" outlineLevel="0" collapsed="false">
      <c r="A88" s="2" t="s">
        <v>405</v>
      </c>
      <c r="B88" s="8" t="s">
        <v>316</v>
      </c>
      <c r="C88" s="4" t="s">
        <v>406</v>
      </c>
      <c r="D88" s="4" t="s">
        <v>407</v>
      </c>
      <c r="E88" s="4" t="s">
        <v>65</v>
      </c>
      <c r="F88" s="4" t="s">
        <v>227</v>
      </c>
      <c r="G88" s="5" t="s">
        <v>17</v>
      </c>
      <c r="H88" s="4" t="s">
        <v>408</v>
      </c>
      <c r="I88" s="4" t="s">
        <v>409</v>
      </c>
      <c r="J88" s="6" t="n">
        <v>12</v>
      </c>
      <c r="K88" s="4" t="s">
        <v>20</v>
      </c>
    </row>
    <row r="89" customFormat="false" ht="96" hidden="false" customHeight="true" outlineLevel="0" collapsed="false">
      <c r="A89" s="2" t="s">
        <v>410</v>
      </c>
      <c r="B89" s="8" t="s">
        <v>316</v>
      </c>
      <c r="C89" s="4" t="s">
        <v>406</v>
      </c>
      <c r="D89" s="4" t="s">
        <v>411</v>
      </c>
      <c r="E89" s="4" t="s">
        <v>65</v>
      </c>
      <c r="F89" s="4" t="s">
        <v>227</v>
      </c>
      <c r="G89" s="5" t="s">
        <v>17</v>
      </c>
      <c r="H89" s="4" t="s">
        <v>412</v>
      </c>
      <c r="I89" s="4" t="s">
        <v>413</v>
      </c>
      <c r="J89" s="6" t="n">
        <v>12</v>
      </c>
      <c r="K89" s="4" t="s">
        <v>20</v>
      </c>
    </row>
    <row r="90" customFormat="false" ht="96" hidden="false" customHeight="true" outlineLevel="0" collapsed="false">
      <c r="A90" s="2" t="s">
        <v>414</v>
      </c>
      <c r="B90" s="8" t="s">
        <v>316</v>
      </c>
      <c r="C90" s="4" t="s">
        <v>406</v>
      </c>
      <c r="D90" s="4" t="s">
        <v>415</v>
      </c>
      <c r="E90" s="4" t="s">
        <v>65</v>
      </c>
      <c r="F90" s="4" t="s">
        <v>416</v>
      </c>
      <c r="G90" s="5" t="s">
        <v>17</v>
      </c>
      <c r="H90" s="4" t="s">
        <v>417</v>
      </c>
      <c r="I90" s="4" t="s">
        <v>418</v>
      </c>
      <c r="J90" s="6" t="n">
        <v>8</v>
      </c>
      <c r="K90" s="4" t="s">
        <v>20</v>
      </c>
    </row>
    <row r="91" customFormat="false" ht="96" hidden="false" customHeight="true" outlineLevel="0" collapsed="false">
      <c r="A91" s="2" t="s">
        <v>419</v>
      </c>
      <c r="B91" s="8" t="s">
        <v>316</v>
      </c>
      <c r="C91" s="4" t="s">
        <v>406</v>
      </c>
      <c r="D91" s="4" t="s">
        <v>420</v>
      </c>
      <c r="E91" s="4" t="s">
        <v>65</v>
      </c>
      <c r="F91" s="4" t="s">
        <v>416</v>
      </c>
      <c r="G91" s="5" t="s">
        <v>17</v>
      </c>
      <c r="H91" s="4" t="s">
        <v>421</v>
      </c>
      <c r="I91" s="4" t="s">
        <v>422</v>
      </c>
      <c r="J91" s="6" t="n">
        <v>6</v>
      </c>
      <c r="K91" s="4" t="s">
        <v>20</v>
      </c>
    </row>
    <row r="92" customFormat="false" ht="96" hidden="false" customHeight="true" outlineLevel="0" collapsed="false">
      <c r="A92" s="2" t="s">
        <v>423</v>
      </c>
      <c r="B92" s="8" t="s">
        <v>316</v>
      </c>
      <c r="C92" s="4" t="s">
        <v>406</v>
      </c>
      <c r="D92" s="4" t="s">
        <v>424</v>
      </c>
      <c r="E92" s="4" t="s">
        <v>65</v>
      </c>
      <c r="F92" s="4" t="s">
        <v>416</v>
      </c>
      <c r="G92" s="5" t="s">
        <v>17</v>
      </c>
      <c r="H92" s="4" t="s">
        <v>425</v>
      </c>
      <c r="I92" s="4" t="s">
        <v>426</v>
      </c>
      <c r="J92" s="6" t="n">
        <v>12</v>
      </c>
      <c r="K92" s="4" t="s">
        <v>20</v>
      </c>
    </row>
    <row r="93" customFormat="false" ht="96" hidden="false" customHeight="true" outlineLevel="0" collapsed="false">
      <c r="A93" s="2" t="s">
        <v>427</v>
      </c>
      <c r="B93" s="8" t="s">
        <v>316</v>
      </c>
      <c r="C93" s="4" t="s">
        <v>406</v>
      </c>
      <c r="D93" s="4" t="s">
        <v>428</v>
      </c>
      <c r="E93" s="4" t="s">
        <v>28</v>
      </c>
      <c r="F93" s="4" t="s">
        <v>429</v>
      </c>
      <c r="G93" s="7" t="s">
        <v>36</v>
      </c>
      <c r="H93" s="4" t="s">
        <v>430</v>
      </c>
      <c r="I93" s="4" t="s">
        <v>431</v>
      </c>
      <c r="J93" s="6" t="n">
        <v>12</v>
      </c>
      <c r="K93" s="4" t="s">
        <v>20</v>
      </c>
    </row>
    <row r="94" customFormat="false" ht="96" hidden="false" customHeight="true" outlineLevel="0" collapsed="false">
      <c r="A94" s="2" t="s">
        <v>432</v>
      </c>
      <c r="B94" s="8" t="s">
        <v>316</v>
      </c>
      <c r="C94" s="4" t="s">
        <v>406</v>
      </c>
      <c r="D94" s="4" t="s">
        <v>433</v>
      </c>
      <c r="E94" s="4" t="s">
        <v>34</v>
      </c>
      <c r="F94" s="4" t="s">
        <v>434</v>
      </c>
      <c r="G94" s="5" t="s">
        <v>17</v>
      </c>
      <c r="H94" s="4" t="s">
        <v>435</v>
      </c>
      <c r="I94" s="4" t="s">
        <v>436</v>
      </c>
      <c r="J94" s="6" t="n">
        <v>12</v>
      </c>
      <c r="K94" s="4" t="s">
        <v>20</v>
      </c>
    </row>
    <row r="95" customFormat="false" ht="96" hidden="false" customHeight="true" outlineLevel="0" collapsed="false">
      <c r="A95" s="2" t="s">
        <v>437</v>
      </c>
      <c r="B95" s="8" t="s">
        <v>316</v>
      </c>
      <c r="C95" s="4" t="s">
        <v>406</v>
      </c>
      <c r="D95" s="4" t="s">
        <v>438</v>
      </c>
      <c r="E95" s="4" t="s">
        <v>65</v>
      </c>
      <c r="F95" s="4" t="s">
        <v>434</v>
      </c>
      <c r="G95" s="7" t="s">
        <v>36</v>
      </c>
      <c r="H95" s="4" t="s">
        <v>439</v>
      </c>
      <c r="I95" s="4" t="s">
        <v>440</v>
      </c>
      <c r="J95" s="6" t="n">
        <v>8</v>
      </c>
      <c r="K95" s="4" t="s">
        <v>20</v>
      </c>
    </row>
    <row r="96" customFormat="false" ht="96" hidden="false" customHeight="true" outlineLevel="0" collapsed="false">
      <c r="A96" s="2" t="s">
        <v>441</v>
      </c>
      <c r="B96" s="8" t="s">
        <v>316</v>
      </c>
      <c r="C96" s="4" t="s">
        <v>406</v>
      </c>
      <c r="D96" s="4" t="s">
        <v>442</v>
      </c>
      <c r="E96" s="4" t="s">
        <v>65</v>
      </c>
      <c r="F96" s="4" t="s">
        <v>434</v>
      </c>
      <c r="G96" s="7" t="s">
        <v>36</v>
      </c>
      <c r="H96" s="4" t="s">
        <v>443</v>
      </c>
      <c r="I96" s="4" t="s">
        <v>444</v>
      </c>
      <c r="J96" s="6" t="n">
        <v>6</v>
      </c>
      <c r="K96" s="4" t="s">
        <v>20</v>
      </c>
    </row>
    <row r="97" customFormat="false" ht="96" hidden="false" customHeight="true" outlineLevel="0" collapsed="false">
      <c r="A97" s="2" t="s">
        <v>445</v>
      </c>
      <c r="B97" s="8" t="s">
        <v>316</v>
      </c>
      <c r="C97" s="4" t="s">
        <v>446</v>
      </c>
      <c r="D97" s="4" t="s">
        <v>447</v>
      </c>
      <c r="E97" s="4" t="s">
        <v>65</v>
      </c>
      <c r="F97" s="4" t="s">
        <v>448</v>
      </c>
      <c r="G97" s="5" t="s">
        <v>17</v>
      </c>
      <c r="H97" s="4" t="s">
        <v>449</v>
      </c>
      <c r="I97" s="4" t="s">
        <v>450</v>
      </c>
      <c r="J97" s="6" t="n">
        <v>12</v>
      </c>
      <c r="K97" s="4" t="s">
        <v>20</v>
      </c>
    </row>
    <row r="98" customFormat="false" ht="96" hidden="false" customHeight="true" outlineLevel="0" collapsed="false">
      <c r="A98" s="2" t="s">
        <v>451</v>
      </c>
      <c r="B98" s="8" t="s">
        <v>316</v>
      </c>
      <c r="C98" s="4" t="s">
        <v>446</v>
      </c>
      <c r="D98" s="4" t="s">
        <v>452</v>
      </c>
      <c r="E98" s="4" t="s">
        <v>65</v>
      </c>
      <c r="F98" s="4" t="s">
        <v>453</v>
      </c>
      <c r="G98" s="5" t="s">
        <v>17</v>
      </c>
      <c r="H98" s="4" t="s">
        <v>454</v>
      </c>
      <c r="I98" s="4" t="s">
        <v>455</v>
      </c>
      <c r="J98" s="6" t="n">
        <v>12</v>
      </c>
      <c r="K98" s="4" t="s">
        <v>20</v>
      </c>
    </row>
    <row r="99" customFormat="false" ht="96" hidden="false" customHeight="true" outlineLevel="0" collapsed="false">
      <c r="A99" s="2" t="s">
        <v>456</v>
      </c>
      <c r="B99" s="8" t="s">
        <v>316</v>
      </c>
      <c r="C99" s="4" t="s">
        <v>446</v>
      </c>
      <c r="D99" s="4" t="s">
        <v>457</v>
      </c>
      <c r="E99" s="4" t="s">
        <v>23</v>
      </c>
      <c r="F99" s="4" t="s">
        <v>453</v>
      </c>
      <c r="G99" s="7" t="s">
        <v>36</v>
      </c>
      <c r="H99" s="4" t="s">
        <v>458</v>
      </c>
      <c r="I99" s="4" t="s">
        <v>459</v>
      </c>
      <c r="J99" s="6" t="n">
        <v>12</v>
      </c>
      <c r="K99" s="4" t="s">
        <v>20</v>
      </c>
    </row>
    <row r="100" customFormat="false" ht="96" hidden="false" customHeight="true" outlineLevel="0" collapsed="false">
      <c r="A100" s="2" t="s">
        <v>460</v>
      </c>
      <c r="B100" s="8" t="s">
        <v>316</v>
      </c>
      <c r="C100" s="4" t="s">
        <v>446</v>
      </c>
      <c r="D100" s="4" t="s">
        <v>461</v>
      </c>
      <c r="E100" s="4" t="s">
        <v>65</v>
      </c>
      <c r="F100" s="4" t="s">
        <v>462</v>
      </c>
      <c r="G100" s="5" t="s">
        <v>17</v>
      </c>
      <c r="H100" s="4" t="s">
        <v>463</v>
      </c>
      <c r="I100" s="4" t="s">
        <v>464</v>
      </c>
      <c r="J100" s="6" t="n">
        <v>12</v>
      </c>
      <c r="K100" s="4" t="s">
        <v>20</v>
      </c>
    </row>
    <row r="101" customFormat="false" ht="96" hidden="false" customHeight="true" outlineLevel="0" collapsed="false">
      <c r="A101" s="2" t="s">
        <v>465</v>
      </c>
      <c r="B101" s="8" t="s">
        <v>316</v>
      </c>
      <c r="C101" s="4" t="s">
        <v>446</v>
      </c>
      <c r="D101" s="4" t="s">
        <v>466</v>
      </c>
      <c r="E101" s="4" t="s">
        <v>28</v>
      </c>
      <c r="F101" s="4" t="s">
        <v>467</v>
      </c>
      <c r="G101" s="5" t="s">
        <v>17</v>
      </c>
      <c r="H101" s="4" t="s">
        <v>468</v>
      </c>
      <c r="I101" s="4" t="s">
        <v>469</v>
      </c>
      <c r="J101" s="6" t="n">
        <v>12</v>
      </c>
      <c r="K101" s="4" t="s">
        <v>20</v>
      </c>
    </row>
    <row r="102" customFormat="false" ht="96" hidden="false" customHeight="true" outlineLevel="0" collapsed="false">
      <c r="A102" s="2" t="s">
        <v>470</v>
      </c>
      <c r="B102" s="8" t="s">
        <v>316</v>
      </c>
      <c r="C102" s="4" t="s">
        <v>446</v>
      </c>
      <c r="D102" s="4" t="s">
        <v>471</v>
      </c>
      <c r="E102" s="4" t="s">
        <v>28</v>
      </c>
      <c r="F102" s="4" t="s">
        <v>467</v>
      </c>
      <c r="G102" s="5" t="s">
        <v>17</v>
      </c>
      <c r="H102" s="4" t="s">
        <v>472</v>
      </c>
      <c r="I102" s="4" t="s">
        <v>473</v>
      </c>
      <c r="J102" s="6" t="n">
        <v>12</v>
      </c>
      <c r="K102" s="4" t="s">
        <v>20</v>
      </c>
    </row>
    <row r="103" customFormat="false" ht="96" hidden="false" customHeight="true" outlineLevel="0" collapsed="false">
      <c r="A103" s="2" t="s">
        <v>474</v>
      </c>
      <c r="B103" s="8" t="s">
        <v>316</v>
      </c>
      <c r="C103" s="4" t="s">
        <v>446</v>
      </c>
      <c r="D103" s="4" t="s">
        <v>475</v>
      </c>
      <c r="E103" s="4" t="s">
        <v>28</v>
      </c>
      <c r="F103" s="4" t="s">
        <v>476</v>
      </c>
      <c r="G103" s="5" t="s">
        <v>17</v>
      </c>
      <c r="H103" s="4" t="s">
        <v>477</v>
      </c>
      <c r="I103" s="4" t="s">
        <v>478</v>
      </c>
      <c r="J103" s="6" t="n">
        <v>12</v>
      </c>
      <c r="K103" s="4" t="s">
        <v>20</v>
      </c>
    </row>
    <row r="104" customFormat="false" ht="96" hidden="false" customHeight="true" outlineLevel="0" collapsed="false">
      <c r="A104" s="2" t="s">
        <v>479</v>
      </c>
      <c r="B104" s="8" t="s">
        <v>316</v>
      </c>
      <c r="C104" s="4" t="s">
        <v>446</v>
      </c>
      <c r="D104" s="4" t="s">
        <v>480</v>
      </c>
      <c r="E104" s="4" t="s">
        <v>28</v>
      </c>
      <c r="F104" s="4" t="s">
        <v>429</v>
      </c>
      <c r="G104" s="7" t="s">
        <v>36</v>
      </c>
      <c r="H104" s="4" t="s">
        <v>481</v>
      </c>
      <c r="I104" s="4" t="s">
        <v>482</v>
      </c>
      <c r="J104" s="6" t="n">
        <v>12</v>
      </c>
      <c r="K104" s="4" t="s">
        <v>20</v>
      </c>
    </row>
    <row r="105" customFormat="false" ht="96" hidden="false" customHeight="true" outlineLevel="0" collapsed="false">
      <c r="A105" s="2" t="s">
        <v>483</v>
      </c>
      <c r="B105" s="8" t="s">
        <v>316</v>
      </c>
      <c r="C105" s="4" t="s">
        <v>446</v>
      </c>
      <c r="D105" s="4" t="s">
        <v>484</v>
      </c>
      <c r="E105" s="4" t="s">
        <v>15</v>
      </c>
      <c r="F105" s="4" t="s">
        <v>485</v>
      </c>
      <c r="G105" s="7" t="s">
        <v>36</v>
      </c>
      <c r="H105" s="4" t="s">
        <v>486</v>
      </c>
      <c r="I105" s="4" t="s">
        <v>487</v>
      </c>
      <c r="J105" s="6" t="n">
        <v>12</v>
      </c>
      <c r="K105" s="4" t="s">
        <v>20</v>
      </c>
    </row>
    <row r="106" customFormat="false" ht="96" hidden="false" customHeight="true" outlineLevel="0" collapsed="false">
      <c r="A106" s="2" t="s">
        <v>488</v>
      </c>
      <c r="B106" s="8" t="s">
        <v>316</v>
      </c>
      <c r="C106" s="4" t="s">
        <v>446</v>
      </c>
      <c r="D106" s="4" t="s">
        <v>489</v>
      </c>
      <c r="E106" s="4" t="s">
        <v>88</v>
      </c>
      <c r="F106" s="4" t="s">
        <v>299</v>
      </c>
      <c r="G106" s="5" t="s">
        <v>17</v>
      </c>
      <c r="H106" s="4" t="s">
        <v>490</v>
      </c>
      <c r="I106" s="4" t="s">
        <v>491</v>
      </c>
      <c r="J106" s="6" t="n">
        <v>12</v>
      </c>
      <c r="K106" s="4" t="s">
        <v>20</v>
      </c>
    </row>
    <row r="107" customFormat="false" ht="96" hidden="false" customHeight="true" outlineLevel="0" collapsed="false">
      <c r="A107" s="2" t="s">
        <v>492</v>
      </c>
      <c r="B107" s="9" t="s">
        <v>493</v>
      </c>
      <c r="C107" s="4" t="s">
        <v>494</v>
      </c>
      <c r="D107" s="4" t="s">
        <v>495</v>
      </c>
      <c r="E107" s="4" t="s">
        <v>268</v>
      </c>
      <c r="F107" s="4" t="s">
        <v>496</v>
      </c>
      <c r="G107" s="5" t="s">
        <v>17</v>
      </c>
      <c r="H107" s="4" t="s">
        <v>497</v>
      </c>
      <c r="I107" s="4" t="s">
        <v>498</v>
      </c>
      <c r="J107" s="6" t="n">
        <v>12</v>
      </c>
      <c r="K107" s="4" t="s">
        <v>20</v>
      </c>
    </row>
    <row r="108" customFormat="false" ht="96" hidden="false" customHeight="true" outlineLevel="0" collapsed="false">
      <c r="A108" s="2" t="s">
        <v>499</v>
      </c>
      <c r="B108" s="9" t="s">
        <v>493</v>
      </c>
      <c r="C108" s="4" t="s">
        <v>494</v>
      </c>
      <c r="D108" s="4" t="s">
        <v>500</v>
      </c>
      <c r="E108" s="4" t="s">
        <v>268</v>
      </c>
      <c r="F108" s="4" t="s">
        <v>496</v>
      </c>
      <c r="G108" s="5" t="s">
        <v>17</v>
      </c>
      <c r="H108" s="4" t="s">
        <v>501</v>
      </c>
      <c r="I108" s="4" t="s">
        <v>502</v>
      </c>
      <c r="J108" s="6" t="n">
        <v>12</v>
      </c>
      <c r="K108" s="4" t="s">
        <v>20</v>
      </c>
    </row>
    <row r="109" customFormat="false" ht="96" hidden="false" customHeight="true" outlineLevel="0" collapsed="false">
      <c r="A109" s="2" t="s">
        <v>503</v>
      </c>
      <c r="B109" s="9" t="s">
        <v>493</v>
      </c>
      <c r="C109" s="4" t="s">
        <v>494</v>
      </c>
      <c r="D109" s="4" t="s">
        <v>504</v>
      </c>
      <c r="E109" s="4" t="s">
        <v>268</v>
      </c>
      <c r="F109" s="4" t="s">
        <v>505</v>
      </c>
      <c r="G109" s="5" t="s">
        <v>17</v>
      </c>
      <c r="H109" s="4" t="s">
        <v>506</v>
      </c>
      <c r="I109" s="4" t="s">
        <v>507</v>
      </c>
      <c r="J109" s="6" t="n">
        <v>12</v>
      </c>
      <c r="K109" s="4" t="s">
        <v>20</v>
      </c>
    </row>
    <row r="110" customFormat="false" ht="96" hidden="false" customHeight="true" outlineLevel="0" collapsed="false">
      <c r="A110" s="2" t="s">
        <v>508</v>
      </c>
      <c r="B110" s="9" t="s">
        <v>493</v>
      </c>
      <c r="C110" s="4" t="s">
        <v>494</v>
      </c>
      <c r="D110" s="4" t="s">
        <v>509</v>
      </c>
      <c r="E110" s="4" t="s">
        <v>268</v>
      </c>
      <c r="F110" s="4" t="s">
        <v>510</v>
      </c>
      <c r="G110" s="5" t="s">
        <v>17</v>
      </c>
      <c r="H110" s="4" t="s">
        <v>511</v>
      </c>
      <c r="I110" s="4" t="s">
        <v>512</v>
      </c>
      <c r="J110" s="6" t="n">
        <v>12</v>
      </c>
      <c r="K110" s="4" t="s">
        <v>20</v>
      </c>
    </row>
    <row r="111" customFormat="false" ht="96" hidden="false" customHeight="true" outlineLevel="0" collapsed="false">
      <c r="A111" s="2" t="s">
        <v>513</v>
      </c>
      <c r="B111" s="9" t="s">
        <v>493</v>
      </c>
      <c r="C111" s="4" t="s">
        <v>494</v>
      </c>
      <c r="D111" s="4" t="s">
        <v>514</v>
      </c>
      <c r="E111" s="4" t="s">
        <v>268</v>
      </c>
      <c r="F111" s="4" t="s">
        <v>510</v>
      </c>
      <c r="G111" s="5" t="s">
        <v>17</v>
      </c>
      <c r="H111" s="4" t="s">
        <v>515</v>
      </c>
      <c r="I111" s="4" t="s">
        <v>516</v>
      </c>
      <c r="J111" s="6" t="n">
        <v>12</v>
      </c>
      <c r="K111" s="4" t="s">
        <v>20</v>
      </c>
    </row>
    <row r="112" customFormat="false" ht="96" hidden="false" customHeight="true" outlineLevel="0" collapsed="false">
      <c r="A112" s="2" t="s">
        <v>517</v>
      </c>
      <c r="B112" s="9" t="s">
        <v>493</v>
      </c>
      <c r="C112" s="4" t="s">
        <v>494</v>
      </c>
      <c r="D112" s="4" t="s">
        <v>518</v>
      </c>
      <c r="E112" s="4" t="s">
        <v>268</v>
      </c>
      <c r="F112" s="4" t="s">
        <v>510</v>
      </c>
      <c r="G112" s="7" t="s">
        <v>36</v>
      </c>
      <c r="H112" s="4" t="s">
        <v>519</v>
      </c>
      <c r="I112" s="4" t="s">
        <v>520</v>
      </c>
      <c r="J112" s="6" t="n">
        <v>12</v>
      </c>
      <c r="K112" s="4" t="s">
        <v>20</v>
      </c>
    </row>
    <row r="113" customFormat="false" ht="96" hidden="false" customHeight="true" outlineLevel="0" collapsed="false">
      <c r="A113" s="2" t="s">
        <v>521</v>
      </c>
      <c r="B113" s="9" t="s">
        <v>493</v>
      </c>
      <c r="C113" s="4" t="s">
        <v>494</v>
      </c>
      <c r="D113" s="4" t="s">
        <v>522</v>
      </c>
      <c r="E113" s="4" t="s">
        <v>268</v>
      </c>
      <c r="F113" s="4" t="s">
        <v>496</v>
      </c>
      <c r="G113" s="5" t="s">
        <v>17</v>
      </c>
      <c r="H113" s="4" t="s">
        <v>523</v>
      </c>
      <c r="I113" s="4" t="s">
        <v>524</v>
      </c>
      <c r="J113" s="6" t="n">
        <v>12</v>
      </c>
      <c r="K113" s="4" t="s">
        <v>20</v>
      </c>
    </row>
    <row r="114" customFormat="false" ht="96" hidden="false" customHeight="true" outlineLevel="0" collapsed="false">
      <c r="A114" s="2" t="s">
        <v>525</v>
      </c>
      <c r="B114" s="9" t="s">
        <v>493</v>
      </c>
      <c r="C114" s="4" t="s">
        <v>494</v>
      </c>
      <c r="D114" s="4" t="s">
        <v>526</v>
      </c>
      <c r="E114" s="4" t="s">
        <v>34</v>
      </c>
      <c r="F114" s="4" t="s">
        <v>496</v>
      </c>
      <c r="G114" s="7" t="s">
        <v>36</v>
      </c>
      <c r="H114" s="4" t="s">
        <v>527</v>
      </c>
      <c r="I114" s="4" t="s">
        <v>528</v>
      </c>
      <c r="J114" s="6" t="n">
        <v>10</v>
      </c>
      <c r="K114" s="4" t="s">
        <v>20</v>
      </c>
    </row>
    <row r="115" customFormat="false" ht="96" hidden="false" customHeight="true" outlineLevel="0" collapsed="false">
      <c r="A115" s="2" t="s">
        <v>529</v>
      </c>
      <c r="B115" s="9" t="s">
        <v>493</v>
      </c>
      <c r="C115" s="4" t="s">
        <v>494</v>
      </c>
      <c r="D115" s="4" t="s">
        <v>530</v>
      </c>
      <c r="E115" s="4" t="s">
        <v>268</v>
      </c>
      <c r="F115" s="4" t="s">
        <v>510</v>
      </c>
      <c r="G115" s="8" t="s">
        <v>42</v>
      </c>
      <c r="H115" s="4" t="s">
        <v>531</v>
      </c>
      <c r="I115" s="4" t="s">
        <v>532</v>
      </c>
      <c r="J115" s="6" t="n">
        <v>10</v>
      </c>
      <c r="K115" s="4" t="s">
        <v>20</v>
      </c>
    </row>
    <row r="116" customFormat="false" ht="96" hidden="false" customHeight="true" outlineLevel="0" collapsed="false">
      <c r="A116" s="2" t="s">
        <v>533</v>
      </c>
      <c r="B116" s="9" t="s">
        <v>493</v>
      </c>
      <c r="C116" s="4" t="s">
        <v>494</v>
      </c>
      <c r="D116" s="4" t="s">
        <v>534</v>
      </c>
      <c r="E116" s="4" t="s">
        <v>268</v>
      </c>
      <c r="F116" s="4" t="s">
        <v>259</v>
      </c>
      <c r="G116" s="10" t="s">
        <v>535</v>
      </c>
      <c r="H116" s="4" t="s">
        <v>536</v>
      </c>
      <c r="I116" s="4" t="s">
        <v>537</v>
      </c>
      <c r="J116" s="6" t="n">
        <v>3</v>
      </c>
      <c r="K116" s="4" t="s">
        <v>20</v>
      </c>
    </row>
    <row r="117" customFormat="false" ht="96" hidden="false" customHeight="true" outlineLevel="0" collapsed="false">
      <c r="A117" s="2" t="s">
        <v>538</v>
      </c>
      <c r="B117" s="9" t="s">
        <v>493</v>
      </c>
      <c r="C117" s="4" t="s">
        <v>494</v>
      </c>
      <c r="D117" s="4" t="s">
        <v>539</v>
      </c>
      <c r="E117" s="4" t="s">
        <v>268</v>
      </c>
      <c r="F117" s="4" t="s">
        <v>259</v>
      </c>
      <c r="G117" s="7" t="s">
        <v>36</v>
      </c>
      <c r="H117" s="4" t="s">
        <v>540</v>
      </c>
      <c r="I117" s="4" t="s">
        <v>541</v>
      </c>
      <c r="J117" s="6" t="n">
        <v>12</v>
      </c>
      <c r="K117" s="4" t="s">
        <v>20</v>
      </c>
    </row>
    <row r="118" customFormat="false" ht="96" hidden="false" customHeight="true" outlineLevel="0" collapsed="false">
      <c r="A118" s="2" t="s">
        <v>542</v>
      </c>
      <c r="B118" s="9" t="s">
        <v>493</v>
      </c>
      <c r="C118" s="4" t="s">
        <v>543</v>
      </c>
      <c r="D118" s="4" t="s">
        <v>544</v>
      </c>
      <c r="E118" s="4" t="s">
        <v>268</v>
      </c>
      <c r="F118" s="4" t="s">
        <v>545</v>
      </c>
      <c r="G118" s="5" t="s">
        <v>17</v>
      </c>
      <c r="H118" s="4" t="s">
        <v>546</v>
      </c>
      <c r="I118" s="4" t="s">
        <v>547</v>
      </c>
      <c r="J118" s="6" t="n">
        <v>12</v>
      </c>
      <c r="K118" s="4" t="s">
        <v>20</v>
      </c>
    </row>
    <row r="119" customFormat="false" ht="96" hidden="false" customHeight="true" outlineLevel="0" collapsed="false">
      <c r="A119" s="2" t="s">
        <v>548</v>
      </c>
      <c r="B119" s="9" t="s">
        <v>493</v>
      </c>
      <c r="C119" s="4" t="s">
        <v>543</v>
      </c>
      <c r="D119" s="4" t="s">
        <v>549</v>
      </c>
      <c r="E119" s="4" t="s">
        <v>268</v>
      </c>
      <c r="F119" s="4" t="s">
        <v>545</v>
      </c>
      <c r="G119" s="5" t="s">
        <v>17</v>
      </c>
      <c r="H119" s="4" t="s">
        <v>550</v>
      </c>
      <c r="I119" s="4" t="s">
        <v>551</v>
      </c>
      <c r="J119" s="6" t="n">
        <v>12</v>
      </c>
      <c r="K119" s="4" t="s">
        <v>20</v>
      </c>
    </row>
    <row r="120" customFormat="false" ht="96" hidden="false" customHeight="true" outlineLevel="0" collapsed="false">
      <c r="A120" s="2" t="s">
        <v>552</v>
      </c>
      <c r="B120" s="9" t="s">
        <v>493</v>
      </c>
      <c r="C120" s="4" t="s">
        <v>543</v>
      </c>
      <c r="D120" s="4" t="s">
        <v>553</v>
      </c>
      <c r="E120" s="4" t="s">
        <v>268</v>
      </c>
      <c r="F120" s="4" t="s">
        <v>545</v>
      </c>
      <c r="G120" s="7" t="s">
        <v>36</v>
      </c>
      <c r="H120" s="4" t="s">
        <v>554</v>
      </c>
      <c r="I120" s="4" t="s">
        <v>555</v>
      </c>
      <c r="J120" s="6" t="n">
        <v>12</v>
      </c>
      <c r="K120" s="4" t="s">
        <v>20</v>
      </c>
    </row>
    <row r="121" customFormat="false" ht="96" hidden="false" customHeight="true" outlineLevel="0" collapsed="false">
      <c r="A121" s="2" t="s">
        <v>556</v>
      </c>
      <c r="B121" s="9" t="s">
        <v>493</v>
      </c>
      <c r="C121" s="4" t="s">
        <v>543</v>
      </c>
      <c r="D121" s="4" t="s">
        <v>557</v>
      </c>
      <c r="E121" s="4" t="s">
        <v>268</v>
      </c>
      <c r="F121" s="4" t="s">
        <v>558</v>
      </c>
      <c r="G121" s="5" t="s">
        <v>17</v>
      </c>
      <c r="H121" s="4" t="s">
        <v>559</v>
      </c>
      <c r="I121" s="4" t="s">
        <v>560</v>
      </c>
      <c r="J121" s="6" t="n">
        <v>6</v>
      </c>
      <c r="K121" s="4" t="s">
        <v>20</v>
      </c>
    </row>
    <row r="122" customFormat="false" ht="96" hidden="false" customHeight="true" outlineLevel="0" collapsed="false">
      <c r="A122" s="2" t="s">
        <v>561</v>
      </c>
      <c r="B122" s="9" t="s">
        <v>493</v>
      </c>
      <c r="C122" s="4" t="s">
        <v>543</v>
      </c>
      <c r="D122" s="4" t="s">
        <v>562</v>
      </c>
      <c r="E122" s="4" t="s">
        <v>268</v>
      </c>
      <c r="F122" s="4" t="s">
        <v>558</v>
      </c>
      <c r="G122" s="5" t="s">
        <v>17</v>
      </c>
      <c r="H122" s="4" t="s">
        <v>563</v>
      </c>
      <c r="I122" s="4" t="s">
        <v>564</v>
      </c>
      <c r="J122" s="6" t="n">
        <v>8</v>
      </c>
      <c r="K122" s="4" t="s">
        <v>20</v>
      </c>
    </row>
    <row r="123" customFormat="false" ht="96" hidden="false" customHeight="true" outlineLevel="0" collapsed="false">
      <c r="A123" s="2" t="s">
        <v>565</v>
      </c>
      <c r="B123" s="9" t="s">
        <v>493</v>
      </c>
      <c r="C123" s="4" t="s">
        <v>543</v>
      </c>
      <c r="D123" s="4" t="s">
        <v>566</v>
      </c>
      <c r="E123" s="4" t="s">
        <v>268</v>
      </c>
      <c r="F123" s="4" t="s">
        <v>567</v>
      </c>
      <c r="G123" s="5" t="s">
        <v>17</v>
      </c>
      <c r="H123" s="4" t="s">
        <v>568</v>
      </c>
      <c r="I123" s="4" t="s">
        <v>569</v>
      </c>
      <c r="J123" s="6" t="n">
        <v>8</v>
      </c>
      <c r="K123" s="4" t="s">
        <v>20</v>
      </c>
    </row>
    <row r="124" customFormat="false" ht="96" hidden="false" customHeight="true" outlineLevel="0" collapsed="false">
      <c r="A124" s="2" t="s">
        <v>570</v>
      </c>
      <c r="B124" s="9" t="s">
        <v>493</v>
      </c>
      <c r="C124" s="4" t="s">
        <v>543</v>
      </c>
      <c r="D124" s="4" t="s">
        <v>571</v>
      </c>
      <c r="E124" s="4" t="s">
        <v>268</v>
      </c>
      <c r="F124" s="4" t="s">
        <v>567</v>
      </c>
      <c r="G124" s="5" t="s">
        <v>17</v>
      </c>
      <c r="H124" s="4" t="s">
        <v>572</v>
      </c>
      <c r="I124" s="4" t="s">
        <v>573</v>
      </c>
      <c r="J124" s="6" t="n">
        <v>6</v>
      </c>
      <c r="K124" s="4" t="s">
        <v>20</v>
      </c>
    </row>
    <row r="125" customFormat="false" ht="96" hidden="false" customHeight="true" outlineLevel="0" collapsed="false">
      <c r="A125" s="2" t="s">
        <v>574</v>
      </c>
      <c r="B125" s="9" t="s">
        <v>493</v>
      </c>
      <c r="C125" s="4" t="s">
        <v>543</v>
      </c>
      <c r="D125" s="4" t="s">
        <v>575</v>
      </c>
      <c r="E125" s="4" t="s">
        <v>79</v>
      </c>
      <c r="F125" s="4" t="s">
        <v>576</v>
      </c>
      <c r="G125" s="7" t="s">
        <v>36</v>
      </c>
      <c r="H125" s="4" t="s">
        <v>577</v>
      </c>
      <c r="I125" s="4" t="s">
        <v>578</v>
      </c>
      <c r="J125" s="6" t="n">
        <v>12</v>
      </c>
      <c r="K125" s="4" t="s">
        <v>20</v>
      </c>
    </row>
    <row r="126" customFormat="false" ht="96" hidden="false" customHeight="true" outlineLevel="0" collapsed="false">
      <c r="A126" s="2" t="s">
        <v>579</v>
      </c>
      <c r="B126" s="9" t="s">
        <v>493</v>
      </c>
      <c r="C126" s="4" t="s">
        <v>543</v>
      </c>
      <c r="D126" s="4" t="s">
        <v>580</v>
      </c>
      <c r="E126" s="4" t="s">
        <v>79</v>
      </c>
      <c r="F126" s="4" t="s">
        <v>576</v>
      </c>
      <c r="G126" s="5" t="s">
        <v>17</v>
      </c>
      <c r="H126" s="4" t="s">
        <v>581</v>
      </c>
      <c r="I126" s="4" t="s">
        <v>582</v>
      </c>
      <c r="J126" s="6" t="n">
        <v>12</v>
      </c>
      <c r="K126" s="4" t="s">
        <v>20</v>
      </c>
    </row>
    <row r="127" customFormat="false" ht="96" hidden="false" customHeight="true" outlineLevel="0" collapsed="false">
      <c r="A127" s="2" t="s">
        <v>583</v>
      </c>
      <c r="B127" s="9" t="s">
        <v>493</v>
      </c>
      <c r="C127" s="4" t="s">
        <v>543</v>
      </c>
      <c r="D127" s="4" t="s">
        <v>584</v>
      </c>
      <c r="E127" s="4" t="s">
        <v>23</v>
      </c>
      <c r="F127" s="4" t="s">
        <v>351</v>
      </c>
      <c r="G127" s="7" t="s">
        <v>36</v>
      </c>
      <c r="H127" s="4" t="s">
        <v>585</v>
      </c>
      <c r="I127" s="4" t="s">
        <v>586</v>
      </c>
      <c r="J127" s="6" t="n">
        <v>8</v>
      </c>
      <c r="K127" s="4" t="s">
        <v>20</v>
      </c>
    </row>
    <row r="128" customFormat="false" ht="96" hidden="false" customHeight="true" outlineLevel="0" collapsed="false">
      <c r="A128" s="2" t="s">
        <v>587</v>
      </c>
      <c r="B128" s="9" t="s">
        <v>493</v>
      </c>
      <c r="C128" s="4" t="s">
        <v>543</v>
      </c>
      <c r="D128" s="4" t="s">
        <v>588</v>
      </c>
      <c r="E128" s="4" t="s">
        <v>23</v>
      </c>
      <c r="F128" s="4" t="s">
        <v>351</v>
      </c>
      <c r="G128" s="7" t="s">
        <v>36</v>
      </c>
      <c r="H128" s="4" t="s">
        <v>589</v>
      </c>
      <c r="I128" s="4" t="s">
        <v>590</v>
      </c>
      <c r="J128" s="6" t="n">
        <v>6</v>
      </c>
      <c r="K128" s="4" t="s">
        <v>20</v>
      </c>
    </row>
    <row r="129" customFormat="false" ht="96" hidden="false" customHeight="true" outlineLevel="0" collapsed="false">
      <c r="A129" s="2" t="s">
        <v>591</v>
      </c>
      <c r="B129" s="9" t="s">
        <v>493</v>
      </c>
      <c r="C129" s="4" t="s">
        <v>543</v>
      </c>
      <c r="D129" s="4" t="s">
        <v>592</v>
      </c>
      <c r="E129" s="4" t="s">
        <v>88</v>
      </c>
      <c r="F129" s="4" t="s">
        <v>89</v>
      </c>
      <c r="G129" s="5" t="s">
        <v>17</v>
      </c>
      <c r="H129" s="4" t="s">
        <v>593</v>
      </c>
      <c r="I129" s="4" t="s">
        <v>594</v>
      </c>
      <c r="J129" s="6" t="n">
        <v>12</v>
      </c>
      <c r="K129" s="4" t="s">
        <v>20</v>
      </c>
    </row>
    <row r="130" customFormat="false" ht="96" hidden="false" customHeight="true" outlineLevel="0" collapsed="false">
      <c r="A130" s="2" t="s">
        <v>595</v>
      </c>
      <c r="B130" s="10" t="s">
        <v>596</v>
      </c>
      <c r="C130" s="4" t="s">
        <v>597</v>
      </c>
      <c r="D130" s="4" t="s">
        <v>598</v>
      </c>
      <c r="E130" s="4" t="s">
        <v>65</v>
      </c>
      <c r="F130" s="4" t="s">
        <v>599</v>
      </c>
      <c r="G130" s="5" t="s">
        <v>17</v>
      </c>
      <c r="H130" s="4" t="s">
        <v>600</v>
      </c>
      <c r="I130" s="4" t="s">
        <v>601</v>
      </c>
      <c r="J130" s="6" t="n">
        <v>12</v>
      </c>
      <c r="K130" s="4" t="s">
        <v>20</v>
      </c>
    </row>
    <row r="131" customFormat="false" ht="96" hidden="false" customHeight="true" outlineLevel="0" collapsed="false">
      <c r="A131" s="2" t="s">
        <v>602</v>
      </c>
      <c r="B131" s="10" t="s">
        <v>596</v>
      </c>
      <c r="C131" s="4" t="s">
        <v>597</v>
      </c>
      <c r="D131" s="4" t="s">
        <v>603</v>
      </c>
      <c r="E131" s="4" t="s">
        <v>34</v>
      </c>
      <c r="F131" s="4" t="s">
        <v>599</v>
      </c>
      <c r="G131" s="5" t="s">
        <v>17</v>
      </c>
      <c r="H131" s="4" t="s">
        <v>604</v>
      </c>
      <c r="I131" s="4" t="s">
        <v>605</v>
      </c>
      <c r="J131" s="6" t="n">
        <v>12</v>
      </c>
      <c r="K131" s="4" t="s">
        <v>20</v>
      </c>
    </row>
    <row r="132" customFormat="false" ht="96" hidden="false" customHeight="true" outlineLevel="0" collapsed="false">
      <c r="A132" s="2" t="s">
        <v>606</v>
      </c>
      <c r="B132" s="10" t="s">
        <v>596</v>
      </c>
      <c r="C132" s="4" t="s">
        <v>597</v>
      </c>
      <c r="D132" s="4" t="s">
        <v>607</v>
      </c>
      <c r="E132" s="4" t="s">
        <v>65</v>
      </c>
      <c r="F132" s="4" t="s">
        <v>608</v>
      </c>
      <c r="G132" s="5" t="s">
        <v>17</v>
      </c>
      <c r="H132" s="4" t="s">
        <v>609</v>
      </c>
      <c r="I132" s="4" t="s">
        <v>610</v>
      </c>
      <c r="J132" s="6" t="n">
        <v>12</v>
      </c>
      <c r="K132" s="4" t="s">
        <v>20</v>
      </c>
    </row>
    <row r="133" customFormat="false" ht="96" hidden="false" customHeight="true" outlineLevel="0" collapsed="false">
      <c r="A133" s="2" t="s">
        <v>611</v>
      </c>
      <c r="B133" s="10" t="s">
        <v>596</v>
      </c>
      <c r="C133" s="4" t="s">
        <v>597</v>
      </c>
      <c r="D133" s="4" t="s">
        <v>612</v>
      </c>
      <c r="E133" s="4" t="s">
        <v>34</v>
      </c>
      <c r="F133" s="4" t="s">
        <v>613</v>
      </c>
      <c r="G133" s="7" t="s">
        <v>36</v>
      </c>
      <c r="H133" s="4" t="s">
        <v>614</v>
      </c>
      <c r="I133" s="4" t="s">
        <v>615</v>
      </c>
      <c r="J133" s="6" t="n">
        <v>12</v>
      </c>
      <c r="K133" s="4" t="s">
        <v>20</v>
      </c>
    </row>
    <row r="134" customFormat="false" ht="96" hidden="false" customHeight="true" outlineLevel="0" collapsed="false">
      <c r="A134" s="2" t="s">
        <v>616</v>
      </c>
      <c r="B134" s="10" t="s">
        <v>596</v>
      </c>
      <c r="C134" s="4" t="s">
        <v>597</v>
      </c>
      <c r="D134" s="4" t="s">
        <v>617</v>
      </c>
      <c r="E134" s="4" t="s">
        <v>28</v>
      </c>
      <c r="F134" s="4" t="s">
        <v>613</v>
      </c>
      <c r="G134" s="7" t="s">
        <v>36</v>
      </c>
      <c r="H134" s="4" t="s">
        <v>618</v>
      </c>
      <c r="I134" s="4" t="s">
        <v>619</v>
      </c>
      <c r="J134" s="6" t="n">
        <v>12</v>
      </c>
      <c r="K134" s="4" t="s">
        <v>20</v>
      </c>
    </row>
    <row r="135" customFormat="false" ht="96" hidden="false" customHeight="true" outlineLevel="0" collapsed="false">
      <c r="A135" s="2" t="s">
        <v>620</v>
      </c>
      <c r="B135" s="10" t="s">
        <v>596</v>
      </c>
      <c r="C135" s="4" t="s">
        <v>597</v>
      </c>
      <c r="D135" s="4" t="s">
        <v>621</v>
      </c>
      <c r="E135" s="4" t="s">
        <v>23</v>
      </c>
      <c r="F135" s="4" t="s">
        <v>622</v>
      </c>
      <c r="G135" s="7" t="s">
        <v>36</v>
      </c>
      <c r="H135" s="4" t="s">
        <v>623</v>
      </c>
      <c r="I135" s="4" t="s">
        <v>624</v>
      </c>
      <c r="J135" s="6" t="n">
        <v>12</v>
      </c>
      <c r="K135" s="4" t="s">
        <v>20</v>
      </c>
    </row>
    <row r="136" customFormat="false" ht="96" hidden="false" customHeight="true" outlineLevel="0" collapsed="false">
      <c r="A136" s="2" t="s">
        <v>625</v>
      </c>
      <c r="B136" s="10" t="s">
        <v>596</v>
      </c>
      <c r="C136" s="4" t="s">
        <v>597</v>
      </c>
      <c r="D136" s="4" t="s">
        <v>626</v>
      </c>
      <c r="E136" s="4" t="s">
        <v>268</v>
      </c>
      <c r="F136" s="4" t="s">
        <v>627</v>
      </c>
      <c r="G136" s="7" t="s">
        <v>36</v>
      </c>
      <c r="H136" s="4" t="s">
        <v>628</v>
      </c>
      <c r="I136" s="4" t="s">
        <v>629</v>
      </c>
      <c r="J136" s="6" t="n">
        <v>12</v>
      </c>
      <c r="K136" s="4" t="s">
        <v>20</v>
      </c>
    </row>
    <row r="137" customFormat="false" ht="96" hidden="false" customHeight="true" outlineLevel="0" collapsed="false">
      <c r="A137" s="2" t="s">
        <v>630</v>
      </c>
      <c r="B137" s="10" t="s">
        <v>596</v>
      </c>
      <c r="C137" s="4" t="s">
        <v>597</v>
      </c>
      <c r="D137" s="4" t="s">
        <v>631</v>
      </c>
      <c r="E137" s="4" t="s">
        <v>268</v>
      </c>
      <c r="F137" s="4" t="s">
        <v>558</v>
      </c>
      <c r="G137" s="7" t="s">
        <v>36</v>
      </c>
      <c r="H137" s="4" t="s">
        <v>632</v>
      </c>
      <c r="I137" s="4" t="s">
        <v>633</v>
      </c>
      <c r="J137" s="6" t="n">
        <v>12</v>
      </c>
      <c r="K137" s="4" t="s">
        <v>20</v>
      </c>
    </row>
    <row r="138" customFormat="false" ht="96" hidden="false" customHeight="true" outlineLevel="0" collapsed="false">
      <c r="A138" s="2" t="s">
        <v>634</v>
      </c>
      <c r="B138" s="10" t="s">
        <v>596</v>
      </c>
      <c r="C138" s="4" t="s">
        <v>635</v>
      </c>
      <c r="D138" s="4" t="s">
        <v>636</v>
      </c>
      <c r="E138" s="4" t="s">
        <v>28</v>
      </c>
      <c r="F138" s="4" t="s">
        <v>637</v>
      </c>
      <c r="G138" s="5" t="s">
        <v>17</v>
      </c>
      <c r="H138" s="4" t="s">
        <v>638</v>
      </c>
      <c r="I138" s="4" t="s">
        <v>639</v>
      </c>
      <c r="J138" s="6" t="n">
        <v>12</v>
      </c>
      <c r="K138" s="4" t="s">
        <v>20</v>
      </c>
    </row>
    <row r="139" customFormat="false" ht="96" hidden="false" customHeight="true" outlineLevel="0" collapsed="false">
      <c r="A139" s="2" t="s">
        <v>640</v>
      </c>
      <c r="B139" s="10" t="s">
        <v>596</v>
      </c>
      <c r="C139" s="4" t="s">
        <v>635</v>
      </c>
      <c r="D139" s="4" t="s">
        <v>641</v>
      </c>
      <c r="E139" s="4" t="s">
        <v>28</v>
      </c>
      <c r="F139" s="4" t="s">
        <v>642</v>
      </c>
      <c r="G139" s="5" t="s">
        <v>17</v>
      </c>
      <c r="H139" s="4" t="s">
        <v>643</v>
      </c>
      <c r="I139" s="4" t="s">
        <v>644</v>
      </c>
      <c r="J139" s="6" t="n">
        <v>12</v>
      </c>
      <c r="K139" s="4" t="s">
        <v>20</v>
      </c>
    </row>
    <row r="140" customFormat="false" ht="96" hidden="false" customHeight="true" outlineLevel="0" collapsed="false">
      <c r="A140" s="2" t="s">
        <v>645</v>
      </c>
      <c r="B140" s="10" t="s">
        <v>596</v>
      </c>
      <c r="C140" s="4" t="s">
        <v>635</v>
      </c>
      <c r="D140" s="4" t="s">
        <v>646</v>
      </c>
      <c r="E140" s="4" t="s">
        <v>65</v>
      </c>
      <c r="F140" s="4" t="s">
        <v>434</v>
      </c>
      <c r="G140" s="7" t="s">
        <v>36</v>
      </c>
      <c r="H140" s="4" t="s">
        <v>647</v>
      </c>
      <c r="I140" s="4" t="s">
        <v>648</v>
      </c>
      <c r="J140" s="6" t="n">
        <v>12</v>
      </c>
      <c r="K140" s="4" t="s">
        <v>20</v>
      </c>
    </row>
    <row r="141" customFormat="false" ht="96" hidden="false" customHeight="true" outlineLevel="0" collapsed="false">
      <c r="A141" s="2" t="s">
        <v>649</v>
      </c>
      <c r="B141" s="10" t="s">
        <v>596</v>
      </c>
      <c r="C141" s="4" t="s">
        <v>635</v>
      </c>
      <c r="D141" s="4" t="s">
        <v>650</v>
      </c>
      <c r="E141" s="4" t="s">
        <v>28</v>
      </c>
      <c r="F141" s="4" t="s">
        <v>434</v>
      </c>
      <c r="G141" s="5" t="s">
        <v>17</v>
      </c>
      <c r="H141" s="4" t="s">
        <v>651</v>
      </c>
      <c r="I141" s="4" t="s">
        <v>652</v>
      </c>
      <c r="J141" s="6" t="n">
        <v>12</v>
      </c>
      <c r="K141" s="4" t="s">
        <v>20</v>
      </c>
    </row>
    <row r="142" customFormat="false" ht="96" hidden="false" customHeight="true" outlineLevel="0" collapsed="false">
      <c r="A142" s="2" t="s">
        <v>653</v>
      </c>
      <c r="B142" s="10" t="s">
        <v>596</v>
      </c>
      <c r="C142" s="4" t="s">
        <v>635</v>
      </c>
      <c r="D142" s="4" t="s">
        <v>654</v>
      </c>
      <c r="E142" s="4" t="s">
        <v>28</v>
      </c>
      <c r="F142" s="4" t="s">
        <v>429</v>
      </c>
      <c r="G142" s="7" t="s">
        <v>36</v>
      </c>
      <c r="H142" s="4" t="s">
        <v>655</v>
      </c>
      <c r="I142" s="4" t="s">
        <v>656</v>
      </c>
      <c r="J142" s="6" t="n">
        <v>12</v>
      </c>
      <c r="K142" s="4" t="s">
        <v>20</v>
      </c>
    </row>
    <row r="143" customFormat="false" ht="96" hidden="false" customHeight="true" outlineLevel="0" collapsed="false">
      <c r="A143" s="2" t="s">
        <v>657</v>
      </c>
      <c r="B143" s="10" t="s">
        <v>596</v>
      </c>
      <c r="C143" s="4" t="s">
        <v>635</v>
      </c>
      <c r="D143" s="4" t="s">
        <v>658</v>
      </c>
      <c r="E143" s="4" t="s">
        <v>65</v>
      </c>
      <c r="F143" s="4" t="s">
        <v>659</v>
      </c>
      <c r="G143" s="5" t="s">
        <v>17</v>
      </c>
      <c r="H143" s="4" t="s">
        <v>660</v>
      </c>
      <c r="I143" s="4" t="s">
        <v>661</v>
      </c>
      <c r="J143" s="6" t="n">
        <v>12</v>
      </c>
      <c r="K143" s="4" t="s">
        <v>20</v>
      </c>
    </row>
    <row r="144" customFormat="false" ht="96" hidden="false" customHeight="true" outlineLevel="0" collapsed="false">
      <c r="A144" s="2" t="s">
        <v>662</v>
      </c>
      <c r="B144" s="10" t="s">
        <v>596</v>
      </c>
      <c r="C144" s="4" t="s">
        <v>635</v>
      </c>
      <c r="D144" s="4" t="s">
        <v>663</v>
      </c>
      <c r="E144" s="4" t="s">
        <v>65</v>
      </c>
      <c r="F144" s="4" t="s">
        <v>664</v>
      </c>
      <c r="G144" s="7" t="s">
        <v>36</v>
      </c>
      <c r="H144" s="4" t="s">
        <v>665</v>
      </c>
      <c r="I144" s="4" t="s">
        <v>666</v>
      </c>
      <c r="J144" s="6" t="n">
        <v>12</v>
      </c>
      <c r="K144" s="4" t="s">
        <v>20</v>
      </c>
    </row>
    <row r="145" customFormat="false" ht="96" hidden="false" customHeight="true" outlineLevel="0" collapsed="false">
      <c r="A145" s="2" t="s">
        <v>667</v>
      </c>
      <c r="B145" s="10" t="s">
        <v>596</v>
      </c>
      <c r="C145" s="4" t="s">
        <v>635</v>
      </c>
      <c r="D145" s="4" t="s">
        <v>668</v>
      </c>
      <c r="E145" s="4" t="s">
        <v>249</v>
      </c>
      <c r="F145" s="4" t="s">
        <v>250</v>
      </c>
      <c r="G145" s="8" t="s">
        <v>42</v>
      </c>
      <c r="H145" s="4" t="s">
        <v>669</v>
      </c>
      <c r="I145" s="4" t="s">
        <v>670</v>
      </c>
      <c r="J145" s="6" t="n">
        <v>12</v>
      </c>
      <c r="K145" s="4" t="s">
        <v>20</v>
      </c>
    </row>
    <row r="146" customFormat="false" ht="96" hidden="false" customHeight="true" outlineLevel="0" collapsed="false">
      <c r="A146" s="2" t="s">
        <v>671</v>
      </c>
      <c r="B146" s="10" t="s">
        <v>596</v>
      </c>
      <c r="C146" s="4" t="s">
        <v>635</v>
      </c>
      <c r="D146" s="4" t="s">
        <v>672</v>
      </c>
      <c r="E146" s="4" t="s">
        <v>15</v>
      </c>
      <c r="F146" s="4" t="s">
        <v>485</v>
      </c>
      <c r="G146" s="5" t="s">
        <v>17</v>
      </c>
      <c r="H146" s="4" t="s">
        <v>673</v>
      </c>
      <c r="I146" s="4" t="s">
        <v>674</v>
      </c>
      <c r="J146" s="6" t="n">
        <v>12</v>
      </c>
      <c r="K146" s="4" t="s">
        <v>20</v>
      </c>
    </row>
  </sheetData>
  <autoFilter ref="A1:K1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6"/>
    <col collapsed="false" customWidth="true" hidden="false" outlineLevel="0" max="4" min="4" style="0" width="80"/>
    <col collapsed="false" customWidth="true" hidden="false" outlineLevel="0" max="5" min="5" style="0" width="8"/>
    <col collapsed="false" customWidth="true" hidden="false" outlineLevel="0" max="6" min="6" style="0" width="9"/>
  </cols>
  <sheetData>
    <row r="1" customFormat="false" ht="15" hidden="false" customHeight="false" outlineLevel="0" collapsed="false">
      <c r="A1" s="11" t="s">
        <v>2</v>
      </c>
      <c r="B1" s="11" t="s">
        <v>675</v>
      </c>
      <c r="C1" s="11" t="s">
        <v>676</v>
      </c>
      <c r="D1" s="11" t="s">
        <v>677</v>
      </c>
      <c r="E1" s="11" t="s">
        <v>678</v>
      </c>
      <c r="F1" s="11" t="s">
        <v>9</v>
      </c>
    </row>
    <row r="2" customFormat="false" ht="60" hidden="false" customHeight="true" outlineLevel="0" collapsed="false">
      <c r="A2" s="4" t="s">
        <v>13</v>
      </c>
      <c r="B2" s="12" t="s">
        <v>12</v>
      </c>
      <c r="C2" s="4" t="s">
        <v>679</v>
      </c>
      <c r="D2" s="4" t="s">
        <v>680</v>
      </c>
      <c r="E2" s="4" t="n">
        <f aca="false">COUNTIF(Backlog!C:C,A2)</f>
        <v>15</v>
      </c>
      <c r="F2" s="4" t="n">
        <f aca="false">SUMIF(Backlog!C:C,A2,Backlog!J:J)</f>
        <v>98</v>
      </c>
    </row>
    <row r="3" customFormat="false" ht="60" hidden="false" customHeight="true" outlineLevel="0" collapsed="false">
      <c r="A3" s="4" t="s">
        <v>93</v>
      </c>
      <c r="B3" s="12" t="s">
        <v>12</v>
      </c>
      <c r="C3" s="4" t="s">
        <v>681</v>
      </c>
      <c r="D3" s="4" t="s">
        <v>682</v>
      </c>
      <c r="E3" s="4" t="n">
        <f aca="false">COUNTIF(Backlog!C:C,A3)</f>
        <v>9</v>
      </c>
      <c r="F3" s="4" t="n">
        <f aca="false">SUMIF(Backlog!C:C,A3,Backlog!J:J)</f>
        <v>89</v>
      </c>
    </row>
    <row r="4" customFormat="false" ht="60" hidden="false" customHeight="true" outlineLevel="0" collapsed="false">
      <c r="A4" s="4" t="s">
        <v>134</v>
      </c>
      <c r="B4" s="12" t="s">
        <v>12</v>
      </c>
      <c r="C4" s="4" t="s">
        <v>683</v>
      </c>
      <c r="D4" s="4" t="s">
        <v>684</v>
      </c>
      <c r="E4" s="4" t="n">
        <f aca="false">COUNTIF(Backlog!C:C,A4)</f>
        <v>12</v>
      </c>
      <c r="F4" s="4" t="n">
        <f aca="false">SUMIF(Backlog!C:C,A4,Backlog!J:J)</f>
        <v>84</v>
      </c>
    </row>
    <row r="5" customFormat="false" ht="60" hidden="false" customHeight="true" outlineLevel="0" collapsed="false">
      <c r="A5" s="4" t="s">
        <v>184</v>
      </c>
      <c r="B5" s="12" t="s">
        <v>12</v>
      </c>
      <c r="C5" s="4" t="s">
        <v>685</v>
      </c>
      <c r="D5" s="4" t="s">
        <v>686</v>
      </c>
      <c r="E5" s="4" t="n">
        <f aca="false">COUNTIF(Backlog!C:C,A5)</f>
        <v>14</v>
      </c>
      <c r="F5" s="4" t="n">
        <f aca="false">SUMIF(Backlog!C:C,A5,Backlog!J:J)</f>
        <v>98</v>
      </c>
    </row>
    <row r="6" customFormat="false" ht="60" hidden="false" customHeight="true" outlineLevel="0" collapsed="false">
      <c r="A6" s="4" t="s">
        <v>247</v>
      </c>
      <c r="B6" s="12" t="s">
        <v>12</v>
      </c>
      <c r="C6" s="4" t="s">
        <v>687</v>
      </c>
      <c r="D6" s="4" t="s">
        <v>688</v>
      </c>
      <c r="E6" s="4" t="n">
        <f aca="false">COUNTIF(Backlog!C:C,A6)</f>
        <v>15</v>
      </c>
      <c r="F6" s="4" t="n">
        <f aca="false">SUMIF(Backlog!C:C,A6,Backlog!J:J)</f>
        <v>83</v>
      </c>
    </row>
    <row r="7" customFormat="false" ht="60" hidden="false" customHeight="true" outlineLevel="0" collapsed="false">
      <c r="A7" s="4" t="s">
        <v>317</v>
      </c>
      <c r="B7" s="13" t="s">
        <v>316</v>
      </c>
      <c r="C7" s="4" t="s">
        <v>689</v>
      </c>
      <c r="D7" s="4" t="s">
        <v>690</v>
      </c>
      <c r="E7" s="4" t="n">
        <f aca="false">COUNTIF(Backlog!C:C,A7)</f>
        <v>10</v>
      </c>
      <c r="F7" s="4" t="n">
        <f aca="false">SUMIF(Backlog!C:C,A7,Backlog!J:J)</f>
        <v>100</v>
      </c>
    </row>
    <row r="8" customFormat="false" ht="60" hidden="false" customHeight="true" outlineLevel="0" collapsed="false">
      <c r="A8" s="4" t="s">
        <v>359</v>
      </c>
      <c r="B8" s="13" t="s">
        <v>316</v>
      </c>
      <c r="C8" s="4" t="s">
        <v>691</v>
      </c>
      <c r="D8" s="4" t="s">
        <v>692</v>
      </c>
      <c r="E8" s="4" t="n">
        <f aca="false">COUNTIF(Backlog!C:C,A8)</f>
        <v>11</v>
      </c>
      <c r="F8" s="4" t="n">
        <f aca="false">SUMIF(Backlog!C:C,A8,Backlog!J:J)</f>
        <v>92</v>
      </c>
    </row>
    <row r="9" customFormat="false" ht="60" hidden="false" customHeight="true" outlineLevel="0" collapsed="false">
      <c r="A9" s="4" t="s">
        <v>406</v>
      </c>
      <c r="B9" s="13" t="s">
        <v>316</v>
      </c>
      <c r="C9" s="4" t="s">
        <v>693</v>
      </c>
      <c r="D9" s="4" t="s">
        <v>694</v>
      </c>
      <c r="E9" s="4" t="n">
        <f aca="false">COUNTIF(Backlog!C:C,A9)</f>
        <v>9</v>
      </c>
      <c r="F9" s="4" t="n">
        <f aca="false">SUMIF(Backlog!C:C,A9,Backlog!J:J)</f>
        <v>88</v>
      </c>
    </row>
    <row r="10" customFormat="false" ht="60" hidden="false" customHeight="true" outlineLevel="0" collapsed="false">
      <c r="A10" s="4" t="s">
        <v>446</v>
      </c>
      <c r="B10" s="13" t="s">
        <v>316</v>
      </c>
      <c r="C10" s="4" t="s">
        <v>695</v>
      </c>
      <c r="D10" s="4" t="s">
        <v>696</v>
      </c>
      <c r="E10" s="4" t="n">
        <f aca="false">COUNTIF(Backlog!C:C,A10)</f>
        <v>10</v>
      </c>
      <c r="F10" s="4" t="n">
        <f aca="false">SUMIF(Backlog!C:C,A10,Backlog!J:J)</f>
        <v>120</v>
      </c>
    </row>
    <row r="11" customFormat="false" ht="60" hidden="false" customHeight="true" outlineLevel="0" collapsed="false">
      <c r="A11" s="4" t="s">
        <v>494</v>
      </c>
      <c r="B11" s="14" t="s">
        <v>493</v>
      </c>
      <c r="C11" s="4" t="s">
        <v>697</v>
      </c>
      <c r="D11" s="4" t="s">
        <v>698</v>
      </c>
      <c r="E11" s="4" t="n">
        <f aca="false">COUNTIF(Backlog!C:C,A11)</f>
        <v>11</v>
      </c>
      <c r="F11" s="4" t="n">
        <f aca="false">SUMIF(Backlog!C:C,A11,Backlog!J:J)</f>
        <v>119</v>
      </c>
    </row>
    <row r="12" customFormat="false" ht="60" hidden="false" customHeight="true" outlineLevel="0" collapsed="false">
      <c r="A12" s="4" t="s">
        <v>543</v>
      </c>
      <c r="B12" s="14" t="s">
        <v>493</v>
      </c>
      <c r="C12" s="4" t="s">
        <v>699</v>
      </c>
      <c r="D12" s="4" t="s">
        <v>700</v>
      </c>
      <c r="E12" s="4" t="n">
        <f aca="false">COUNTIF(Backlog!C:C,A12)</f>
        <v>12</v>
      </c>
      <c r="F12" s="4" t="n">
        <f aca="false">SUMIF(Backlog!C:C,A12,Backlog!J:J)</f>
        <v>114</v>
      </c>
    </row>
    <row r="13" customFormat="false" ht="60" hidden="false" customHeight="true" outlineLevel="0" collapsed="false">
      <c r="A13" s="4" t="s">
        <v>597</v>
      </c>
      <c r="B13" s="15" t="s">
        <v>596</v>
      </c>
      <c r="C13" s="4" t="s">
        <v>701</v>
      </c>
      <c r="D13" s="4" t="s">
        <v>702</v>
      </c>
      <c r="E13" s="4" t="n">
        <f aca="false">COUNTIF(Backlog!C:C,A13)</f>
        <v>8</v>
      </c>
      <c r="F13" s="4" t="n">
        <f aca="false">SUMIF(Backlog!C:C,A13,Backlog!J:J)</f>
        <v>96</v>
      </c>
    </row>
    <row r="14" customFormat="false" ht="60" hidden="false" customHeight="true" outlineLevel="0" collapsed="false">
      <c r="A14" s="4" t="s">
        <v>635</v>
      </c>
      <c r="B14" s="15" t="s">
        <v>596</v>
      </c>
      <c r="C14" s="4" t="s">
        <v>703</v>
      </c>
      <c r="D14" s="4" t="s">
        <v>704</v>
      </c>
      <c r="E14" s="4" t="n">
        <f aca="false">COUNTIF(Backlog!C:C,A14)</f>
        <v>9</v>
      </c>
      <c r="F14" s="4" t="n">
        <f aca="false">SUMIF(Backlog!C:C,A14,Backlog!J:J)</f>
        <v>108</v>
      </c>
    </row>
    <row r="15" customFormat="false" ht="15" hidden="false" customHeight="false" outlineLevel="0" collapsed="false">
      <c r="C15" s="16" t="s">
        <v>705</v>
      </c>
      <c r="E15" s="16" t="n">
        <f aca="false">SUM(E2:E14)</f>
        <v>145</v>
      </c>
      <c r="F15" s="16" t="n">
        <f aca="false">SUM(F2:F14)</f>
        <v>1289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8"/>
    <col collapsed="false" customWidth="true" hidden="false" outlineLevel="0" max="4" min="3" style="0" width="9"/>
    <col collapsed="false" customWidth="true" hidden="false" outlineLevel="0" max="5" min="5" style="0" width="10"/>
    <col collapsed="false" customWidth="true" hidden="false" outlineLevel="0" max="6" min="6" style="0" width="16"/>
  </cols>
  <sheetData>
    <row r="1" customFormat="false" ht="15" hidden="false" customHeight="false" outlineLevel="0" collapsed="false">
      <c r="A1" s="17" t="s">
        <v>675</v>
      </c>
      <c r="B1" s="17" t="s">
        <v>706</v>
      </c>
      <c r="C1" s="17" t="s">
        <v>678</v>
      </c>
      <c r="D1" s="17" t="s">
        <v>9</v>
      </c>
      <c r="E1" s="17" t="s">
        <v>17</v>
      </c>
      <c r="F1" s="17" t="s">
        <v>36</v>
      </c>
    </row>
    <row r="2" customFormat="false" ht="33.75" hidden="false" customHeight="true" outlineLevel="0" collapsed="false">
      <c r="A2" s="18" t="s">
        <v>12</v>
      </c>
      <c r="B2" s="4" t="s">
        <v>707</v>
      </c>
      <c r="C2" s="4" t="n">
        <f aca="false">COUNTIF(Backlog!B:B,A2)</f>
        <v>65</v>
      </c>
      <c r="D2" s="4" t="n">
        <f aca="false">SUMIF(Backlog!B:B,A2,Backlog!J:J)</f>
        <v>452</v>
      </c>
      <c r="E2" s="4" t="n">
        <f aca="false">COUNTIFS(Backlog!B:B,A2,Backlog!G:G,"Critical")</f>
        <v>40</v>
      </c>
      <c r="F2" s="4" t="n">
        <f aca="false">COUNTIFS(Backlog!B:B,A2,Backlog!G:G,"Very Important")</f>
        <v>20</v>
      </c>
    </row>
    <row r="3" customFormat="false" ht="33.75" hidden="false" customHeight="true" outlineLevel="0" collapsed="false">
      <c r="A3" s="19" t="s">
        <v>316</v>
      </c>
      <c r="B3" s="4" t="s">
        <v>708</v>
      </c>
      <c r="C3" s="4" t="n">
        <f aca="false">COUNTIF(Backlog!B:B,A3)</f>
        <v>40</v>
      </c>
      <c r="D3" s="4" t="n">
        <f aca="false">SUMIF(Backlog!B:B,A3,Backlog!J:J)</f>
        <v>400</v>
      </c>
      <c r="E3" s="4" t="n">
        <f aca="false">COUNTIFS(Backlog!B:B,A3,Backlog!G:G,"Critical")</f>
        <v>24</v>
      </c>
      <c r="F3" s="4" t="n">
        <f aca="false">COUNTIFS(Backlog!B:B,A3,Backlog!G:G,"Very Important")</f>
        <v>16</v>
      </c>
    </row>
    <row r="4" customFormat="false" ht="33.75" hidden="false" customHeight="true" outlineLevel="0" collapsed="false">
      <c r="A4" s="20" t="s">
        <v>493</v>
      </c>
      <c r="B4" s="4" t="s">
        <v>709</v>
      </c>
      <c r="C4" s="4" t="n">
        <f aca="false">COUNTIF(Backlog!B:B,A4)</f>
        <v>23</v>
      </c>
      <c r="D4" s="4" t="n">
        <f aca="false">SUMIF(Backlog!B:B,A4,Backlog!J:J)</f>
        <v>233</v>
      </c>
      <c r="E4" s="4" t="n">
        <f aca="false">COUNTIFS(Backlog!B:B,A4,Backlog!G:G,"Critical")</f>
        <v>14</v>
      </c>
      <c r="F4" s="4" t="n">
        <f aca="false">COUNTIFS(Backlog!B:B,A4,Backlog!G:G,"Very Important")</f>
        <v>7</v>
      </c>
    </row>
    <row r="5" customFormat="false" ht="33.75" hidden="false" customHeight="true" outlineLevel="0" collapsed="false">
      <c r="A5" s="21" t="s">
        <v>596</v>
      </c>
      <c r="B5" s="4" t="s">
        <v>710</v>
      </c>
      <c r="C5" s="4" t="n">
        <f aca="false">COUNTIF(Backlog!B:B,A5)</f>
        <v>17</v>
      </c>
      <c r="D5" s="4" t="n">
        <f aca="false">SUMIF(Backlog!B:B,A5,Backlog!J:J)</f>
        <v>204</v>
      </c>
      <c r="E5" s="4" t="n">
        <f aca="false">COUNTIFS(Backlog!B:B,A5,Backlog!G:G,"Critical")</f>
        <v>8</v>
      </c>
      <c r="F5" s="4" t="n">
        <f aca="false">COUNTIFS(Backlog!B:B,A5,Backlog!G:G,"Very Important")</f>
        <v>8</v>
      </c>
    </row>
    <row r="6" customFormat="false" ht="15" hidden="false" customHeight="false" outlineLevel="0" collapsed="false">
      <c r="B6" s="16" t="s">
        <v>705</v>
      </c>
      <c r="C6" s="22" t="n">
        <f aca="false">SUM(C2:C5)</f>
        <v>145</v>
      </c>
      <c r="D6" s="22" t="n">
        <f aca="false">SUM(D2:D5)</f>
        <v>1289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6.15" hidden="false" customHeight="false" outlineLevel="0" collapsed="false">
      <c r="A1" s="23" t="s">
        <v>711</v>
      </c>
    </row>
    <row r="3" customFormat="false" ht="15" hidden="false" customHeight="false" outlineLevel="0" collapsed="false">
      <c r="A3" s="24" t="s">
        <v>712</v>
      </c>
      <c r="B3" s="25" t="s">
        <v>713</v>
      </c>
    </row>
    <row r="4" customFormat="false" ht="15" hidden="false" customHeight="false" outlineLevel="0" collapsed="false">
      <c r="A4" s="24" t="s">
        <v>0</v>
      </c>
      <c r="B4" s="25" t="s">
        <v>714</v>
      </c>
    </row>
    <row r="5" customFormat="false" ht="15" hidden="false" customHeight="false" outlineLevel="0" collapsed="false">
      <c r="A5" s="24" t="s">
        <v>1</v>
      </c>
      <c r="B5" s="25" t="s">
        <v>715</v>
      </c>
    </row>
    <row r="6" customFormat="false" ht="15" hidden="false" customHeight="false" outlineLevel="0" collapsed="false">
      <c r="A6" s="24" t="s">
        <v>2</v>
      </c>
      <c r="B6" s="25" t="s">
        <v>716</v>
      </c>
    </row>
    <row r="7" customFormat="false" ht="15" hidden="false" customHeight="false" outlineLevel="0" collapsed="false">
      <c r="A7" s="24" t="s">
        <v>6</v>
      </c>
      <c r="B7" s="25" t="s">
        <v>717</v>
      </c>
    </row>
    <row r="8" customFormat="false" ht="15" hidden="false" customHeight="false" outlineLevel="0" collapsed="false">
      <c r="A8" s="24" t="s">
        <v>9</v>
      </c>
      <c r="B8" s="25" t="s">
        <v>718</v>
      </c>
    </row>
    <row r="9" customFormat="false" ht="15" hidden="false" customHeight="false" outlineLevel="0" collapsed="false">
      <c r="A9" s="24" t="s">
        <v>719</v>
      </c>
      <c r="B9" s="25" t="s">
        <v>720</v>
      </c>
    </row>
    <row r="10" customFormat="false" ht="15" hidden="false" customHeight="false" outlineLevel="0" collapsed="false">
      <c r="A10" s="24" t="s">
        <v>721</v>
      </c>
      <c r="B10" s="25" t="s">
        <v>722</v>
      </c>
    </row>
    <row r="11" customFormat="false" ht="15" hidden="false" customHeight="false" outlineLevel="0" collapsed="false">
      <c r="A11" s="24"/>
      <c r="B11" s="25"/>
    </row>
    <row r="12" customFormat="false" ht="22.35" hidden="false" customHeight="false" outlineLevel="0" collapsed="false">
      <c r="A12" s="24" t="s">
        <v>723</v>
      </c>
      <c r="B12" s="25" t="s">
        <v>724</v>
      </c>
    </row>
    <row r="13" customFormat="false" ht="15" hidden="false" customHeight="false" outlineLevel="0" collapsed="false">
      <c r="A13" s="24" t="s">
        <v>725</v>
      </c>
      <c r="B13" s="25" t="s">
        <v>726</v>
      </c>
    </row>
    <row r="14" customFormat="false" ht="15" hidden="false" customHeight="false" outlineLevel="0" collapsed="false">
      <c r="A14" s="24" t="s">
        <v>727</v>
      </c>
      <c r="B14" s="25" t="s">
        <v>728</v>
      </c>
    </row>
    <row r="15" customFormat="false" ht="15" hidden="false" customHeight="false" outlineLevel="0" collapsed="false">
      <c r="A15" s="24" t="s">
        <v>729</v>
      </c>
      <c r="B15" s="25" t="s">
        <v>730</v>
      </c>
    </row>
    <row r="16" customFormat="false" ht="15" hidden="false" customHeight="false" outlineLevel="0" collapsed="false">
      <c r="A16" s="24"/>
      <c r="B16" s="25"/>
    </row>
    <row r="17" customFormat="false" ht="15" hidden="false" customHeight="false" outlineLevel="0" collapsed="false">
      <c r="A17" s="24" t="s">
        <v>731</v>
      </c>
      <c r="B17" s="25" t="s">
        <v>732</v>
      </c>
    </row>
    <row r="18" customFormat="false" ht="15" hidden="false" customHeight="false" outlineLevel="0" collapsed="false">
      <c r="A18" s="24" t="s">
        <v>733</v>
      </c>
      <c r="B18" s="25" t="s">
        <v>734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2026-08-02T13:08:57Z</dcterms:created>
  <dc:creator>openpyxl</dc:creator>
  <dc:description/>
  <dc:language>en-US</dc:language>
  <cp:lastModifiedBy/>
  <dcterms:modified xsi:type="dcterms:W3CDTF">2026-08-02T13:08:57Z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